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chatgpt-ligler\ispanya\"/>
    </mc:Choice>
  </mc:AlternateContent>
  <xr:revisionPtr revIDLastSave="0" documentId="13_ncr:1_{566563DD-4B46-4219-957A-9DD19E12C001}" xr6:coauthVersionLast="47" xr6:coauthVersionMax="47" xr10:uidLastSave="{00000000-0000-0000-0000-000000000000}"/>
  <bookViews>
    <workbookView xWindow="-120" yWindow="-120" windowWidth="29040" windowHeight="15840" xr2:uid="{288D9AE8-C2B0-4C81-8A88-988A90440B7C}"/>
  </bookViews>
  <sheets>
    <sheet name="Genel Fikstür" sheetId="1" r:id="rId1"/>
    <sheet name="İstatistikler" sheetId="2" r:id="rId2"/>
    <sheet name="11. Hafta İstatistikler" sheetId="14" r:id="rId3"/>
    <sheet name="Karışlaştırma Fikstürü" sheetId="13" r:id="rId4"/>
    <sheet name="Sakat-Cezalı" sheetId="12" r:id="rId5"/>
    <sheet name="10. Hafta İstatistikler" sheetId="11" r:id="rId6"/>
    <sheet name="9. Hafta Fikstür" sheetId="9" r:id="rId7"/>
    <sheet name="9. Hafta Büyük Şans Dağılımları" sheetId="10" r:id="rId8"/>
    <sheet name="9. Hafta İstatistikler" sheetId="8" r:id="rId9"/>
  </sheets>
  <definedNames>
    <definedName name="_xlnm._FilterDatabase" localSheetId="5" hidden="1">'10. Hafta İstatistikler'!$A$1:$BE$1</definedName>
    <definedName name="_xlnm._FilterDatabase" localSheetId="7" hidden="1">'9. Hafta Büyük Şans Dağılımları'!$A$1:$AA$1</definedName>
    <definedName name="_xlnm._FilterDatabase" localSheetId="6" hidden="1">'9. Hafta Fikstür'!$A$1:$AC$1063</definedName>
    <definedName name="_xlnm._FilterDatabase" localSheetId="8" hidden="1">'9. Hafta İstatistikler'!$A$1:$BI$1</definedName>
    <definedName name="_xlnm._FilterDatabase" localSheetId="0" hidden="1">'Genel Fikstür'!$A$1:$AA$1489</definedName>
    <definedName name="_xlnm._FilterDatabase" localSheetId="1" hidden="1">İstatistikler!$A$1:$BE$111</definedName>
    <definedName name="_xlnm._FilterDatabase" localSheetId="3" hidden="1">'Karışlaştırma Fikstürü'!$A$1:$AC$1</definedName>
    <definedName name="_xlnm._FilterDatabase" localSheetId="4" hidden="1">'Sakat-Cezalı'!$A$1:$M$1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10" i="2" l="1"/>
  <c r="AU110" i="2"/>
  <c r="AR110" i="2"/>
  <c r="AM110" i="2"/>
  <c r="Y1489" i="1"/>
  <c r="Y1488" i="1"/>
  <c r="AZ109" i="2"/>
  <c r="AU109" i="2"/>
  <c r="AR109" i="2"/>
  <c r="AM109" i="2"/>
  <c r="Y1472" i="1"/>
  <c r="Y1471" i="1"/>
  <c r="AZ108" i="2"/>
  <c r="AU108" i="2"/>
  <c r="AR108" i="2"/>
  <c r="AM108" i="2"/>
  <c r="Y1458" i="1"/>
  <c r="Y1457" i="1"/>
  <c r="AZ107" i="2"/>
  <c r="AU107" i="2"/>
  <c r="AR107" i="2"/>
  <c r="AM107" i="2"/>
  <c r="Y1445" i="1"/>
  <c r="Y1444" i="1"/>
  <c r="Y1427" i="1"/>
  <c r="Y1426" i="1"/>
  <c r="AZ106" i="2"/>
  <c r="AU106" i="2"/>
  <c r="AR106" i="2"/>
  <c r="AM106" i="2"/>
  <c r="Y1411" i="1"/>
  <c r="Y1410" i="1"/>
  <c r="AZ105" i="2"/>
  <c r="AU105" i="2"/>
  <c r="AR105" i="2"/>
  <c r="AM105" i="2"/>
  <c r="Y1400" i="1"/>
  <c r="Y1399" i="1"/>
  <c r="AZ104" i="2"/>
  <c r="AU104" i="2"/>
  <c r="AR104" i="2"/>
  <c r="AM104" i="2"/>
  <c r="Y1387" i="1"/>
  <c r="Y1386" i="1"/>
  <c r="AZ103" i="2"/>
  <c r="AU103" i="2"/>
  <c r="AR103" i="2"/>
  <c r="AM103" i="2"/>
  <c r="Y1371" i="1"/>
  <c r="Y1370" i="1"/>
  <c r="AZ102" i="2"/>
  <c r="AU102" i="2"/>
  <c r="AR102" i="2"/>
  <c r="AM102" i="2"/>
  <c r="H58" i="14" l="1"/>
  <c r="I58" i="14"/>
  <c r="J58" i="14"/>
  <c r="K58" i="14"/>
  <c r="L58" i="14"/>
  <c r="M58" i="14"/>
  <c r="N58" i="14"/>
  <c r="O58" i="14"/>
  <c r="P58" i="14"/>
  <c r="Q58" i="14"/>
  <c r="R58" i="14"/>
  <c r="S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AY58" i="14"/>
  <c r="AZ58" i="14"/>
  <c r="BA58" i="14"/>
  <c r="BB58" i="14"/>
  <c r="BC58" i="14"/>
  <c r="BD58" i="14"/>
  <c r="BE58" i="14"/>
  <c r="D58" i="14"/>
  <c r="E58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D46" i="14"/>
  <c r="E46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D35" i="14"/>
  <c r="E35" i="14"/>
  <c r="H23" i="14" l="1"/>
  <c r="I23" i="14"/>
  <c r="J23" i="14"/>
  <c r="K23" i="14"/>
  <c r="L23" i="14"/>
  <c r="M23" i="14"/>
  <c r="N23" i="14"/>
  <c r="O23" i="14"/>
  <c r="P23" i="14"/>
  <c r="Q23" i="14"/>
  <c r="R23" i="14"/>
  <c r="S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D23" i="14"/>
  <c r="E23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D10" i="14"/>
  <c r="E10" i="14"/>
  <c r="AZ101" i="2"/>
  <c r="AU101" i="2"/>
  <c r="AR101" i="2"/>
  <c r="AM101" i="2"/>
  <c r="Y1359" i="1"/>
  <c r="Y1358" i="1"/>
  <c r="AZ100" i="2"/>
  <c r="AU100" i="2"/>
  <c r="AR100" i="2"/>
  <c r="AM100" i="2"/>
  <c r="Y1347" i="1"/>
  <c r="Y1346" i="1"/>
  <c r="AZ99" i="2"/>
  <c r="AU99" i="2"/>
  <c r="AR99" i="2"/>
  <c r="AM99" i="2"/>
  <c r="Y1334" i="1"/>
  <c r="Y1333" i="1"/>
  <c r="AZ98" i="2"/>
  <c r="AU98" i="2"/>
  <c r="AR98" i="2"/>
  <c r="AM98" i="2"/>
  <c r="Y1317" i="1"/>
  <c r="Y1316" i="1"/>
  <c r="AZ97" i="2"/>
  <c r="AU97" i="2"/>
  <c r="AR97" i="2"/>
  <c r="AM97" i="2"/>
  <c r="Y1299" i="1"/>
  <c r="Y1298" i="1"/>
  <c r="AZ96" i="2"/>
  <c r="AU96" i="2"/>
  <c r="AR96" i="2"/>
  <c r="AM96" i="2"/>
  <c r="Y1280" i="1"/>
  <c r="Y1279" i="1"/>
  <c r="AZ95" i="2"/>
  <c r="AU95" i="2"/>
  <c r="AR95" i="2"/>
  <c r="AM95" i="2"/>
  <c r="Y1270" i="1"/>
  <c r="Y1269" i="1"/>
  <c r="AZ94" i="2"/>
  <c r="AU94" i="2"/>
  <c r="AR94" i="2"/>
  <c r="AM94" i="2"/>
  <c r="Y1264" i="1"/>
  <c r="Y1263" i="1"/>
  <c r="AZ93" i="2"/>
  <c r="AU93" i="2"/>
  <c r="AR93" i="2"/>
  <c r="AM93" i="2"/>
  <c r="Y1244" i="1"/>
  <c r="Y1243" i="1"/>
  <c r="AZ92" i="2"/>
  <c r="AU92" i="2"/>
  <c r="AR92" i="2"/>
  <c r="AM92" i="2"/>
  <c r="Y1231" i="1"/>
  <c r="Y1230" i="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J95" i="11"/>
  <c r="AK95" i="11"/>
  <c r="AL95" i="11"/>
  <c r="AM95" i="11"/>
  <c r="AN95" i="11"/>
  <c r="AO95" i="11"/>
  <c r="AP95" i="11"/>
  <c r="AQ95" i="11"/>
  <c r="AR95" i="11"/>
  <c r="AS95" i="11"/>
  <c r="AT95" i="11"/>
  <c r="AU95" i="11"/>
  <c r="AV95" i="11"/>
  <c r="AW95" i="11"/>
  <c r="AX95" i="11"/>
  <c r="AY95" i="11"/>
  <c r="AZ95" i="11"/>
  <c r="BA95" i="11"/>
  <c r="BB95" i="11"/>
  <c r="BC95" i="11"/>
  <c r="BD95" i="11"/>
  <c r="BE95" i="11"/>
  <c r="D95" i="11"/>
  <c r="E95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J86" i="11"/>
  <c r="AK86" i="11"/>
  <c r="AL86" i="11"/>
  <c r="AM86" i="11"/>
  <c r="AN86" i="11"/>
  <c r="AO86" i="11"/>
  <c r="AP86" i="11"/>
  <c r="AQ86" i="11"/>
  <c r="AR86" i="11"/>
  <c r="AS86" i="11"/>
  <c r="AT86" i="11"/>
  <c r="AU86" i="11"/>
  <c r="AV86" i="11"/>
  <c r="AW86" i="11"/>
  <c r="AX86" i="11"/>
  <c r="AY86" i="11"/>
  <c r="AZ86" i="11"/>
  <c r="BA86" i="11"/>
  <c r="BB86" i="11"/>
  <c r="BC86" i="11"/>
  <c r="BD86" i="11"/>
  <c r="BE86" i="11"/>
  <c r="D86" i="11"/>
  <c r="E86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J78" i="11"/>
  <c r="AK78" i="11"/>
  <c r="AL78" i="11"/>
  <c r="AM78" i="11"/>
  <c r="AN78" i="11"/>
  <c r="AO78" i="11"/>
  <c r="AP78" i="11"/>
  <c r="AQ78" i="11"/>
  <c r="AR78" i="11"/>
  <c r="AS78" i="11"/>
  <c r="AT78" i="11"/>
  <c r="AU78" i="11"/>
  <c r="AV78" i="11"/>
  <c r="AW78" i="11"/>
  <c r="AX78" i="11"/>
  <c r="AY78" i="11"/>
  <c r="AZ78" i="11"/>
  <c r="BA78" i="11"/>
  <c r="BB78" i="11"/>
  <c r="BC78" i="11"/>
  <c r="BD78" i="11"/>
  <c r="BE78" i="11"/>
  <c r="D78" i="11"/>
  <c r="E78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J70" i="11"/>
  <c r="AK70" i="11"/>
  <c r="AL70" i="11"/>
  <c r="AM70" i="11"/>
  <c r="AN70" i="11"/>
  <c r="AO70" i="11"/>
  <c r="AP70" i="11"/>
  <c r="AQ70" i="11"/>
  <c r="AR70" i="11"/>
  <c r="AS70" i="11"/>
  <c r="AT70" i="11"/>
  <c r="AU70" i="11"/>
  <c r="AV70" i="11"/>
  <c r="AW70" i="11"/>
  <c r="AX70" i="11"/>
  <c r="AY70" i="11"/>
  <c r="AZ70" i="11"/>
  <c r="BA70" i="11"/>
  <c r="BB70" i="11"/>
  <c r="BC70" i="11"/>
  <c r="BD70" i="11"/>
  <c r="BE70" i="11"/>
  <c r="D70" i="11"/>
  <c r="E7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BA60" i="11"/>
  <c r="BB60" i="11"/>
  <c r="BC60" i="11"/>
  <c r="BD60" i="11"/>
  <c r="BE60" i="11"/>
  <c r="D60" i="11"/>
  <c r="E6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AU50" i="11"/>
  <c r="AV50" i="11"/>
  <c r="AW50" i="11"/>
  <c r="AX50" i="11"/>
  <c r="AY50" i="11"/>
  <c r="AZ50" i="11"/>
  <c r="BA50" i="11"/>
  <c r="BB50" i="11"/>
  <c r="BC50" i="11"/>
  <c r="BD50" i="11"/>
  <c r="BE50" i="11"/>
  <c r="D50" i="11"/>
  <c r="E50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BA41" i="11"/>
  <c r="BB41" i="11"/>
  <c r="BC41" i="11"/>
  <c r="BD41" i="11"/>
  <c r="BE41" i="11"/>
  <c r="D41" i="11"/>
  <c r="E41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C30" i="11"/>
  <c r="BD30" i="11"/>
  <c r="BE30" i="11"/>
  <c r="D30" i="11"/>
  <c r="E3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A20" i="11"/>
  <c r="BB20" i="11"/>
  <c r="BC20" i="11"/>
  <c r="BD20" i="11"/>
  <c r="BE20" i="11"/>
  <c r="D20" i="11"/>
  <c r="E2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BB10" i="11"/>
  <c r="BC10" i="11"/>
  <c r="BD10" i="11"/>
  <c r="BE10" i="11"/>
  <c r="D10" i="11"/>
  <c r="E10" i="11"/>
  <c r="Y1223" i="1" l="1"/>
  <c r="Y1222" i="1"/>
  <c r="Y1211" i="1"/>
  <c r="Y1210" i="1"/>
  <c r="Y1200" i="1"/>
  <c r="Y1199" i="1"/>
  <c r="Y1189" i="1"/>
  <c r="Y1188" i="1"/>
  <c r="Y1176" i="1"/>
  <c r="Y1175" i="1"/>
  <c r="Y1170" i="1"/>
  <c r="Y1169" i="1"/>
  <c r="Y1154" i="1"/>
  <c r="Y1153" i="1"/>
  <c r="Y1140" i="1"/>
  <c r="Y1139" i="1"/>
  <c r="Y1122" i="1"/>
  <c r="Y1121" i="1"/>
  <c r="Y1107" i="1"/>
  <c r="Y1106" i="1"/>
  <c r="Y1089" i="1"/>
  <c r="Y1088" i="1"/>
  <c r="Y1075" i="1"/>
  <c r="Y1074" i="1"/>
  <c r="Y1063" i="1"/>
  <c r="Y1062" i="1"/>
  <c r="Y1043" i="1"/>
  <c r="Y1042" i="1"/>
  <c r="Y1026" i="1"/>
  <c r="Y1025" i="1"/>
  <c r="Y1010" i="1"/>
  <c r="Y1009" i="1"/>
  <c r="Y993" i="1"/>
  <c r="Y992" i="1"/>
  <c r="Y981" i="1"/>
  <c r="Y980" i="1"/>
  <c r="Y965" i="1"/>
  <c r="Y964" i="1"/>
  <c r="Y948" i="1"/>
  <c r="Y947" i="1"/>
  <c r="Y940" i="1"/>
  <c r="Y939" i="1"/>
  <c r="Y925" i="1"/>
  <c r="Y924" i="1"/>
  <c r="Y916" i="1"/>
  <c r="Y915" i="1"/>
  <c r="Y903" i="1"/>
  <c r="Y902" i="1"/>
  <c r="Y887" i="1"/>
  <c r="Y886" i="1"/>
  <c r="Y877" i="1"/>
  <c r="Y876" i="1"/>
  <c r="Y860" i="1"/>
  <c r="Y859" i="1"/>
  <c r="Y850" i="1"/>
  <c r="Y849" i="1"/>
  <c r="Y838" i="1"/>
  <c r="Y837" i="1"/>
  <c r="Y832" i="1"/>
  <c r="Y831" i="1"/>
  <c r="Y819" i="1"/>
  <c r="Y818" i="1"/>
  <c r="Y801" i="1"/>
  <c r="Y800" i="1"/>
  <c r="Y787" i="1"/>
  <c r="Y786" i="1"/>
  <c r="Y774" i="1"/>
  <c r="Y773" i="1"/>
  <c r="Y754" i="1"/>
  <c r="Y753" i="1"/>
  <c r="Y747" i="1"/>
  <c r="Y746" i="1"/>
  <c r="Y732" i="1"/>
  <c r="Y731" i="1"/>
  <c r="Y710" i="1"/>
  <c r="Y709" i="1"/>
  <c r="Y690" i="1"/>
  <c r="Y689" i="1"/>
  <c r="Y678" i="1"/>
  <c r="Y677" i="1"/>
  <c r="Y665" i="1"/>
  <c r="Y664" i="1"/>
  <c r="Y648" i="1"/>
  <c r="Y647" i="1"/>
  <c r="Y635" i="1"/>
  <c r="Y634" i="1"/>
  <c r="Y620" i="1"/>
  <c r="Y619" i="1"/>
  <c r="Y609" i="1"/>
  <c r="Y608" i="1"/>
  <c r="Y589" i="1"/>
  <c r="Y588" i="1"/>
  <c r="Y582" i="1"/>
  <c r="Y581" i="1"/>
  <c r="Y567" i="1"/>
  <c r="Y566" i="1"/>
  <c r="Y550" i="1"/>
  <c r="Y549" i="1"/>
  <c r="Y527" i="1"/>
  <c r="Y526" i="1"/>
  <c r="Y511" i="1"/>
  <c r="Y510" i="1"/>
  <c r="Y496" i="1"/>
  <c r="Y495" i="1"/>
  <c r="Y478" i="1"/>
  <c r="Y477" i="1"/>
  <c r="Y461" i="1"/>
  <c r="Y460" i="1"/>
  <c r="Y443" i="1"/>
  <c r="Y442" i="1"/>
  <c r="Y433" i="1"/>
  <c r="Y432" i="1"/>
  <c r="Y424" i="1"/>
  <c r="Y423" i="1"/>
  <c r="Y404" i="1"/>
  <c r="Y403" i="1"/>
  <c r="Y394" i="1"/>
  <c r="Y393" i="1"/>
  <c r="Y385" i="1"/>
  <c r="Y384" i="1"/>
  <c r="Y369" i="1"/>
  <c r="Y368" i="1"/>
  <c r="Y355" i="1"/>
  <c r="Y354" i="1"/>
  <c r="Y344" i="1"/>
  <c r="Y343" i="1"/>
  <c r="Y333" i="1"/>
  <c r="Y332" i="1"/>
  <c r="Y321" i="1"/>
  <c r="Y320" i="1"/>
  <c r="Y306" i="1"/>
  <c r="Y305" i="1"/>
  <c r="Y296" i="1"/>
  <c r="Y295" i="1"/>
  <c r="Y286" i="1"/>
  <c r="Y285" i="1"/>
  <c r="Y273" i="1"/>
  <c r="Y272" i="1"/>
  <c r="Y262" i="1"/>
  <c r="Y261" i="1"/>
  <c r="Y253" i="1"/>
  <c r="Y252" i="1"/>
  <c r="Y242" i="1"/>
  <c r="Y241" i="1"/>
  <c r="Y232" i="1"/>
  <c r="Y231" i="1"/>
  <c r="Y217" i="1"/>
  <c r="Y216" i="1"/>
  <c r="Y206" i="1"/>
  <c r="Y205" i="1"/>
  <c r="Y193" i="1"/>
  <c r="Y192" i="1"/>
  <c r="Y188" i="1"/>
  <c r="Y187" i="1"/>
  <c r="Y168" i="1"/>
  <c r="Y167" i="1"/>
  <c r="Y160" i="1"/>
  <c r="Y159" i="1"/>
  <c r="Y149" i="1"/>
  <c r="Y148" i="1"/>
  <c r="Y133" i="1"/>
  <c r="Y132" i="1"/>
  <c r="Y121" i="1"/>
  <c r="Y120" i="1"/>
  <c r="Y109" i="1"/>
  <c r="Y108" i="1"/>
  <c r="Y95" i="1"/>
  <c r="Y94" i="1"/>
  <c r="Y81" i="1"/>
  <c r="Y80" i="1"/>
  <c r="Y74" i="1"/>
  <c r="Y73" i="1"/>
  <c r="Y63" i="1"/>
  <c r="Y62" i="1"/>
  <c r="Y51" i="1"/>
  <c r="Y50" i="1"/>
  <c r="Y33" i="1"/>
  <c r="Y32" i="1"/>
  <c r="Y14" i="1"/>
  <c r="Y13" i="1"/>
  <c r="AZ86" i="2"/>
  <c r="AR84" i="2"/>
  <c r="AR82" i="2"/>
  <c r="M85" i="8"/>
  <c r="M76" i="8"/>
  <c r="M68" i="8"/>
  <c r="M59" i="8"/>
  <c r="M50" i="8"/>
  <c r="M42" i="8"/>
  <c r="M34" i="8"/>
  <c r="M25" i="8"/>
  <c r="M18" i="8"/>
  <c r="M9" i="8"/>
  <c r="D85" i="8"/>
  <c r="E85" i="8"/>
  <c r="H85" i="8"/>
  <c r="I85" i="8"/>
  <c r="J85" i="8"/>
  <c r="K85" i="8"/>
  <c r="L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D76" i="8"/>
  <c r="E76" i="8"/>
  <c r="H76" i="8"/>
  <c r="I76" i="8"/>
  <c r="J76" i="8"/>
  <c r="K76" i="8"/>
  <c r="L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BF76" i="8"/>
  <c r="BG76" i="8"/>
  <c r="BH76" i="8"/>
  <c r="BI76" i="8"/>
  <c r="D68" i="8"/>
  <c r="E68" i="8"/>
  <c r="H68" i="8"/>
  <c r="I68" i="8"/>
  <c r="J68" i="8"/>
  <c r="K68" i="8"/>
  <c r="L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H59" i="8"/>
  <c r="I59" i="8"/>
  <c r="J59" i="8"/>
  <c r="K59" i="8"/>
  <c r="L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AT59" i="8"/>
  <c r="AU59" i="8"/>
  <c r="AV59" i="8"/>
  <c r="AW59" i="8"/>
  <c r="AX59" i="8"/>
  <c r="AY59" i="8"/>
  <c r="AZ59" i="8"/>
  <c r="BA59" i="8"/>
  <c r="BB59" i="8"/>
  <c r="BC59" i="8"/>
  <c r="BD59" i="8"/>
  <c r="BE59" i="8"/>
  <c r="BF59" i="8"/>
  <c r="BG59" i="8"/>
  <c r="BH59" i="8"/>
  <c r="BI59" i="8"/>
  <c r="D59" i="8"/>
  <c r="E59" i="8"/>
  <c r="D50" i="8"/>
  <c r="E50" i="8"/>
  <c r="H50" i="8"/>
  <c r="I50" i="8"/>
  <c r="J50" i="8"/>
  <c r="K50" i="8"/>
  <c r="L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O50" i="8"/>
  <c r="AP50" i="8"/>
  <c r="AQ50" i="8"/>
  <c r="AR50" i="8"/>
  <c r="AS50" i="8"/>
  <c r="AT50" i="8"/>
  <c r="AU50" i="8"/>
  <c r="AV50" i="8"/>
  <c r="AW50" i="8"/>
  <c r="AX50" i="8"/>
  <c r="AY50" i="8"/>
  <c r="AZ50" i="8"/>
  <c r="BA50" i="8"/>
  <c r="BB50" i="8"/>
  <c r="BC50" i="8"/>
  <c r="BD50" i="8"/>
  <c r="BE50" i="8"/>
  <c r="BF50" i="8"/>
  <c r="BG50" i="8"/>
  <c r="BH50" i="8"/>
  <c r="BI50" i="8"/>
  <c r="H42" i="8"/>
  <c r="I42" i="8"/>
  <c r="J42" i="8"/>
  <c r="K42" i="8"/>
  <c r="L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X42" i="8"/>
  <c r="AY42" i="8"/>
  <c r="AZ42" i="8"/>
  <c r="BA42" i="8"/>
  <c r="BB42" i="8"/>
  <c r="BC42" i="8"/>
  <c r="BD42" i="8"/>
  <c r="BE42" i="8"/>
  <c r="BF42" i="8"/>
  <c r="BG42" i="8"/>
  <c r="BH42" i="8"/>
  <c r="BI42" i="8"/>
  <c r="D42" i="8"/>
  <c r="E42" i="8"/>
  <c r="D34" i="8"/>
  <c r="E34" i="8"/>
  <c r="H34" i="8"/>
  <c r="I34" i="8"/>
  <c r="J34" i="8"/>
  <c r="K34" i="8"/>
  <c r="L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D25" i="8"/>
  <c r="E25" i="8"/>
  <c r="H25" i="8"/>
  <c r="I25" i="8"/>
  <c r="J25" i="8"/>
  <c r="K25" i="8"/>
  <c r="L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D18" i="8"/>
  <c r="E18" i="8"/>
  <c r="H18" i="8"/>
  <c r="I18" i="8"/>
  <c r="J18" i="8"/>
  <c r="K18" i="8"/>
  <c r="L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H9" i="8"/>
  <c r="I9" i="8"/>
  <c r="J9" i="8"/>
  <c r="K9" i="8"/>
  <c r="L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D9" i="8"/>
  <c r="E9" i="8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7" i="2"/>
  <c r="AZ88" i="2"/>
  <c r="AZ89" i="2"/>
  <c r="AZ90" i="2"/>
  <c r="AZ91" i="2"/>
  <c r="AZ2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2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3" i="2"/>
  <c r="AR85" i="2"/>
  <c r="AR86" i="2"/>
  <c r="AR87" i="2"/>
  <c r="AR88" i="2"/>
  <c r="AR89" i="2"/>
  <c r="AR90" i="2"/>
  <c r="AR91" i="2"/>
  <c r="AR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T2" authorId="0" shapeId="0" xr:uid="{A8F20240-D90E-4286-9500-BA7677FE43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2" authorId="0" shapeId="0" xr:uid="{CDA86D97-EA22-4C39-94C3-C24ED5B0848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2" authorId="0" shapeId="0" xr:uid="{98441E9C-F40E-492D-B855-41D39DF7089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Daley Blind (16)
David Lopez (47)</t>
        </r>
      </text>
    </comment>
    <comment ref="BC2" authorId="0" shapeId="0" xr:uid="{A3E5E363-135D-4B54-9AAE-4FFA17570D7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Paulo Gazzaniga (17)</t>
        </r>
      </text>
    </comment>
    <comment ref="BD2" authorId="0" shapeId="0" xr:uid="{13A08EAD-1B1D-4EDC-AF21-EFFE3559DAF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Pep Chavarria (27)</t>
        </r>
      </text>
    </comment>
    <comment ref="T3" authorId="0" shapeId="0" xr:uid="{02F27895-0726-42BB-9231-3475C537C9E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3" authorId="0" shapeId="0" xr:uid="{C5A3B3A7-EB4C-45A0-8828-B8B51DA40F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B3" authorId="0" shapeId="0" xr:uid="{88A4D2FC-7829-4AEA-B7E2-7705BFDD77E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Rafa Marin (90+4)</t>
        </r>
      </text>
    </comment>
    <comment ref="BD3" authorId="0" shapeId="0" xr:uid="{3A0F0ABE-7284-4B29-94E4-E9503E9309D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Salomon Rondon (46)
Marco Esteban (54)</t>
        </r>
      </text>
    </comment>
    <comment ref="T4" authorId="0" shapeId="0" xr:uid="{17D97720-F720-4FED-BE1B-103E8005BB8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4" authorId="0" shapeId="0" xr:uid="{15A95943-544F-4B0C-92F5-D15826D5BAB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T5" authorId="0" shapeId="0" xr:uid="{74D2B445-C9F0-4278-8BE6-4BB5F80437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5" authorId="0" shapeId="0" xr:uid="{3410BB55-44E3-4467-BBDD-96490A12614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Cunat</t>
        </r>
      </text>
    </comment>
    <comment ref="BE5" authorId="0" shapeId="0" xr:uid="{81D239D2-09DC-4719-8841-E6D318D15D2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Jorge Cabello (90+1)</t>
        </r>
      </text>
    </comment>
    <comment ref="T6" authorId="0" shapeId="0" xr:uid="{BCD1F8A7-CD87-4C97-AC54-03ACD991E42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6" authorId="0" shapeId="0" xr:uid="{D8C923FB-57D1-4EB5-B7C5-D46D9CD9195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T7" authorId="0" shapeId="0" xr:uid="{8C464DD7-D7A1-4228-BB92-6EDDF47B6AD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7" authorId="0" shapeId="0" xr:uid="{A75ABACD-DB28-40B8-BAC9-D68F705081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BB7" authorId="0" shapeId="0" xr:uid="{09FFB321-51A1-4039-9056-68CFC20A58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Javi Rodriguez (45)</t>
        </r>
      </text>
    </comment>
    <comment ref="BC7" authorId="0" shapeId="0" xr:uid="{5298690C-196A-4594-85B9-1D158B447FB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Javi Rodriguez (71)</t>
        </r>
      </text>
    </comment>
    <comment ref="BD7" authorId="0" shapeId="0" xr:uid="{E3E9B5D1-0EE8-4907-A4D6-32A0110FABF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Davinchi (29)</t>
        </r>
      </text>
    </comment>
    <comment ref="T8" authorId="0" shapeId="0" xr:uid="{A4BCAF9E-26B1-434C-92AD-F6452EBD07E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8" authorId="0" shapeId="0" xr:uid="{60435A4B-FDC6-4BC0-8B7E-6F7B6E91BAE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BD8" authorId="0" shapeId="0" xr:uid="{8B7516CE-80A6-4690-9EE8-0FA8EC5487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Djibril Sow (44)</t>
        </r>
      </text>
    </comment>
    <comment ref="T9" authorId="0" shapeId="0" xr:uid="{278AEF0B-0EC7-40ED-8831-0375BAD3166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9" authorId="0" shapeId="0" xr:uid="{E14F8F92-8D90-4589-81F3-D9A2A7579CE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T10" authorId="0" shapeId="0" xr:uid="{6A304AF5-78F6-4BC4-8645-3E09613F339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U10" authorId="0" shapeId="0" xr:uid="{1032BC44-BB39-4132-91DE-8AEF0315A3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BB10" authorId="0" shapeId="0" xr:uid="{EC36B76D-87CF-433D-B4B1-4EDDF002EA2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German Valera (59)</t>
        </r>
      </text>
    </comment>
    <comment ref="T11" authorId="0" shapeId="0" xr:uid="{2F12DBE9-D475-4165-894D-C1586B5887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11" authorId="0" shapeId="0" xr:uid="{594F73B1-3EB1-4145-B9FB-42168C4ED7B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BB11" authorId="0" shapeId="0" xr:uid="{21BD2992-3DF5-480B-9354-030A6F9A1FF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Eder Militao (39)</t>
        </r>
      </text>
    </comment>
    <comment ref="T12" authorId="0" shapeId="0" xr:uid="{50BF3AE0-D3AD-46B6-AA94-1E92F995EC1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U12" authorId="0" shapeId="0" xr:uid="{E261F25B-B139-4883-862B-600B877525F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12" authorId="0" shapeId="0" xr:uid="{4028A06F-AB01-46C3-9D9D-C7699F7CF7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 Bartra (2)</t>
        </r>
      </text>
    </comment>
    <comment ref="BD12" authorId="0" shapeId="0" xr:uid="{51A624DA-F943-43F2-BFDE-CE612289CAF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Jonny (90+4)</t>
        </r>
      </text>
    </comment>
    <comment ref="T13" authorId="0" shapeId="0" xr:uid="{9741F97E-6F35-485C-B762-FC64890FB23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13" authorId="0" shapeId="0" xr:uid="{3E3B70CE-6A14-4F21-9FA1-75DDC95695E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D13" authorId="0" shapeId="0" xr:uid="{8691D06D-FD0E-471B-9A0D-51712F6BCD2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Manu Fernandez (8)</t>
        </r>
      </text>
    </comment>
    <comment ref="T14" authorId="0" shapeId="0" xr:uid="{196BC050-13A2-4882-97CB-6313C57709C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14" authorId="0" shapeId="0" xr:uid="{7260C1C7-2DA6-4C80-94BC-654786969C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T15" authorId="0" shapeId="0" xr:uid="{333BAD0F-1EF8-41BF-B8D2-B18A164EBE3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Cunat</t>
        </r>
      </text>
    </comment>
    <comment ref="U15" authorId="0" shapeId="0" xr:uid="{B66F54E4-EB15-4EEE-8B6E-D9052C054B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T16" authorId="0" shapeId="0" xr:uid="{BE03E71D-CFD6-4DDE-9C91-43EFC9F491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16" authorId="0" shapeId="0" xr:uid="{4C07665E-5139-464F-8CCA-BFF98FE1A1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</t>
        </r>
      </text>
    </comment>
    <comment ref="T17" authorId="0" shapeId="0" xr:uid="{E5C75D87-30F6-4643-84F3-5E0A10D95B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17" authorId="0" shapeId="0" xr:uid="{6289E895-5D91-4A18-8B35-5AF430FF64A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BE17" authorId="0" shapeId="0" xr:uid="{03B676C9-9AD2-4B91-9B4A-3256C7EBC00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Omar El Hilali (60)</t>
        </r>
      </text>
    </comment>
    <comment ref="T18" authorId="0" shapeId="0" xr:uid="{13019959-87E7-43CA-BEFF-9B6EB9946E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18" authorId="0" shapeId="0" xr:uid="{E7F2B6AD-3BC5-449E-9B3A-9357AA2DA6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Krapyvtsov</t>
        </r>
      </text>
    </comment>
    <comment ref="BE18" authorId="0" shapeId="0" xr:uid="{551FC2BB-D7DD-4890-B8E1-D56812DDC41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Yangel Herrera (6)</t>
        </r>
      </text>
    </comment>
    <comment ref="T19" authorId="0" shapeId="0" xr:uid="{CDAE5F89-29F3-48CF-9D7E-2A08D1BA5B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U19" authorId="0" shapeId="0" xr:uid="{F0359B4A-425A-40A6-A9E5-1CB42003409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BC19" authorId="0" shapeId="0" xr:uid="{0484CC3A-F89D-4AD9-BF46-662B0436385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Haissem Hassan (82)
Haissem Hassan (90+2)</t>
        </r>
      </text>
    </comment>
    <comment ref="T20" authorId="0" shapeId="0" xr:uid="{F5C75A73-3832-4CD7-B32F-B94DBF1C27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20" authorId="0" shapeId="0" xr:uid="{82082431-3AC2-45CD-A9F2-B274272A329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20" authorId="0" shapeId="0" xr:uid="{3BAE68DC-DB94-4597-BD5F-C169B8BF38F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Jauregizar (1)</t>
        </r>
      </text>
    </comment>
    <comment ref="T21" authorId="0" shapeId="0" xr:uid="{C6D9D42C-1EB7-47C2-A525-E360DF28144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U21" authorId="0" shapeId="0" xr:uid="{19D6EBA8-D45C-4859-8460-0B8519F14B3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BB21" authorId="0" shapeId="0" xr:uid="{2CF579F5-FED9-402E-AD57-EABD68DDD98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Kike Salas (50)</t>
        </r>
      </text>
    </comment>
    <comment ref="T22" authorId="0" shapeId="0" xr:uid="{CA2E6DD5-843B-4531-88B8-15A201BA5FA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22" authorId="0" shapeId="0" xr:uid="{C5B49ED5-B513-4CCB-A1CE-1C988D11F7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BB22" authorId="0" shapeId="0" xr:uid="{DE027FCE-52CB-4357-9C3D-8B0E494859D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Ilaix Moriba (36)</t>
        </r>
      </text>
    </comment>
    <comment ref="T23" authorId="0" shapeId="0" xr:uid="{CE0EDBC0-47BF-43AE-BF20-4984F1DA454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U23" authorId="0" shapeId="0" xr:uid="{B6BB03AC-DC72-41BE-9338-A5BEFA89BF6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BB23" authorId="0" shapeId="0" xr:uid="{C0B2ABB3-4632-44D1-BF4B-0449D4FE281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Matias Dituro (78)</t>
        </r>
      </text>
    </comment>
    <comment ref="T24" authorId="0" shapeId="0" xr:uid="{0408B870-110F-4AB5-A459-6BC028B24D6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24" authorId="0" shapeId="0" xr:uid="{D4469D0A-417F-4BEE-A600-42C079AC6D7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T25" authorId="0" shapeId="0" xr:uid="{A02D22A8-A44D-4FA1-A3FF-9BE428F6108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25" authorId="0" shapeId="0" xr:uid="{4BB90A22-7A11-464B-AB24-34B2799341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BB25" authorId="0" shapeId="0" xr:uid="{56DF3632-C647-4C11-8B3A-9E99056777D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Antonio Sivera (76)</t>
        </r>
      </text>
    </comment>
    <comment ref="BD25" authorId="0" shapeId="0" xr:uid="{708BEA0C-6FCA-4558-BBA6-D8AB690C294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Antoine Griezmann (82)</t>
        </r>
      </text>
    </comment>
    <comment ref="T26" authorId="0" shapeId="0" xr:uid="{0D7FFCFC-D193-441A-A010-BF56831E679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U26" authorId="0" shapeId="0" xr:uid="{F28772DE-176C-4009-BE17-163C7A73FB1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BB26" authorId="0" shapeId="0" xr:uid="{A3168D6F-62AE-4138-8CA1-254577FAC4A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Nacho Vidal (3)
Alberto Reina (5)
Alberto Reina (33)</t>
        </r>
      </text>
    </comment>
    <comment ref="BD26" authorId="0" shapeId="0" xr:uid="{0C0BE4AA-0559-4522-ABA1-BB9E1173A48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Igor Zubeldia (6)
Jon Aramburu (75)</t>
        </r>
      </text>
    </comment>
    <comment ref="T27" authorId="0" shapeId="0" xr:uid="{9789CA08-DF34-4766-8D59-C273CD2C8E3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27" authorId="0" shapeId="0" xr:uid="{1F6F37FB-D2D7-4E3F-BEF8-C6639CB6BBE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BB27" authorId="0" shapeId="0" xr:uid="{A9C3F78E-24A2-4941-9457-7B502FDE72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David Lopez (8)
Ivan Martinez (43)</t>
        </r>
      </text>
    </comment>
    <comment ref="BC27" authorId="0" shapeId="0" xr:uid="{71E37909-8221-4648-98AF-8F26906DA95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Alex Moreno (29)</t>
        </r>
      </text>
    </comment>
    <comment ref="T28" authorId="0" shapeId="0" xr:uid="{C51C617D-0820-409E-8A44-0715F3C278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28" authorId="0" shapeId="0" xr:uid="{7DF298F7-6C7F-4BD5-894A-A5E3A380D43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E28" authorId="0" shapeId="0" xr:uid="{1DC65440-3785-4994-B66E-CD84DFB35F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Mateu Morey (37)</t>
        </r>
      </text>
    </comment>
    <comment ref="T29" authorId="0" shapeId="0" xr:uid="{B01557A0-6091-46F0-B389-52AE9C45077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29" authorId="0" shapeId="0" xr:uid="{71266E31-63F0-41AA-AB5E-0A364384C43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BD29" authorId="0" shapeId="0" xr:uid="{7C173954-51B0-4A9D-A690-81D536DC70B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Pape Gueye (7)
Santi Comesana (17)</t>
        </r>
      </text>
    </comment>
    <comment ref="T30" authorId="0" shapeId="0" xr:uid="{FD9E5FC6-17EF-43F3-95EA-7C048FC92F6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U30" authorId="0" shapeId="0" xr:uid="{8CA48C06-B80A-4A20-BFFE-1C3CDD9DB02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BD30" authorId="0" shapeId="0" xr:uid="{05CA4781-4328-4780-A305-15FE66F691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Oihan Sancet (13)</t>
        </r>
      </text>
    </comment>
    <comment ref="T31" authorId="0" shapeId="0" xr:uid="{873D9EC1-5271-419A-B578-1A6A974610C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31" authorId="0" shapeId="0" xr:uid="{DB27AF53-6B2A-480F-8E97-5B0E6BD9AF5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T32" authorId="0" shapeId="0" xr:uid="{6EEF9473-28C9-4792-A0A9-65E94404B95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32" authorId="0" shapeId="0" xr:uid="{12364E58-FD84-4D64-84D5-5C4489B6EA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BB32" authorId="0" shapeId="0" xr:uid="{8E30BA74-A940-489C-BA55-2AB13E3876A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Unai Lopez (6)</t>
        </r>
      </text>
    </comment>
    <comment ref="T33" authorId="0" shapeId="0" xr:uid="{BC659EC2-E3A3-4A72-8DD3-E08C5168391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U33" authorId="0" shapeId="0" xr:uid="{1B2AA522-93FC-4FCD-B6E9-5F428B9C57D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BD33" authorId="0" shapeId="0" xr:uid="{B84C0FEC-6CAE-4FC7-A620-AFEBF972D8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Pedro Bigas (45)</t>
        </r>
      </text>
    </comment>
    <comment ref="T34" authorId="0" shapeId="0" xr:uid="{1BD6B47A-0954-4C48-A91C-3CCEBE667E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34" authorId="0" shapeId="0" xr:uid="{566AB0BE-64C5-49A5-A74E-61387C35441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D34" authorId="0" shapeId="0" xr:uid="{5E3305F9-171C-44BB-92F0-FE1774500D3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Santiago Colombatto (59)</t>
        </r>
      </text>
    </comment>
    <comment ref="BE34" authorId="0" shapeId="0" xr:uid="{81047D8F-EF82-4BB6-AB7D-119D3C6A88E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Aaron Escandell (53)</t>
        </r>
      </text>
    </comment>
    <comment ref="T35" authorId="0" shapeId="0" xr:uid="{C7AB839D-B40A-4256-BFAF-3B8DE3A738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35" authorId="0" shapeId="0" xr:uid="{399DB0DA-6BCE-44A7-9BA3-C3934F1B3F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BC35" authorId="0" shapeId="0" xr:uid="{3D8EC738-223B-451B-B916-C5101BE4927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Goti (11)</t>
        </r>
      </text>
    </comment>
    <comment ref="T36" authorId="0" shapeId="0" xr:uid="{DBC304FB-97D7-455B-85B3-639CD63D1AC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36" authorId="0" shapeId="0" xr:uid="{05FB562E-991A-4D34-AAA9-630753958DF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36" authorId="0" shapeId="0" xr:uid="{8E480780-22B9-404A-BC6C-13D6F234997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Vesga (90+1)</t>
        </r>
      </text>
    </comment>
    <comment ref="BD36" authorId="0" shapeId="0" xr:uid="{6DB64C62-752D-4A2A-AFD3-F7950B29DE8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Antonio Blanco (29)</t>
        </r>
      </text>
    </comment>
    <comment ref="T37" authorId="0" shapeId="0" xr:uid="{8B32065D-A967-486E-9D9B-DFECBB3A0B3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37" authorId="0" shapeId="0" xr:uid="{DDEC459E-E5AF-4232-94AA-4AC9111E8C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BB37" authorId="0" shapeId="0" xr:uid="{91007C9E-7741-4DBB-AA22-FA5012D81D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Pablo Barrios (14)</t>
        </r>
      </text>
    </comment>
    <comment ref="BE37" authorId="0" shapeId="0" xr:uid="{F0FB1686-9105-4FA4-A0C3-103E1D14314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 Cardona (8)</t>
        </r>
      </text>
    </comment>
    <comment ref="T38" authorId="0" shapeId="0" xr:uid="{4691F4DD-D0F7-4D3F-B8D4-87665F785DF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38" authorId="0" shapeId="0" xr:uid="{B3D3A185-D0A8-479F-8608-402BBCA9C44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T39" authorId="0" shapeId="0" xr:uid="{C02F6597-1796-40F0-AB1D-A0F02464A17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U39" authorId="0" shapeId="0" xr:uid="{BEFBC78F-699C-4EBB-830D-8AB9B70C2B9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BE39" authorId="0" shapeId="0" xr:uid="{288B2115-926D-4043-AD66-FA0A4E716D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Cucho Hernandez (1)
Natan (9)</t>
        </r>
      </text>
    </comment>
    <comment ref="T40" authorId="0" shapeId="0" xr:uid="{F4331AAB-71D1-481A-A743-426C7144F3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40" authorId="0" shapeId="0" xr:uid="{41A51781-CB49-48DE-ADCD-7E395DD3681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D40" authorId="0" shapeId="0" xr:uid="{CA0EC3C1-D9AC-4DB3-B05B-E259A28A3F3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Augusto Batalla (32)</t>
        </r>
      </text>
    </comment>
    <comment ref="T41" authorId="0" shapeId="0" xr:uid="{EBE0204D-2ABC-4CE3-A11C-F81BD9B0E1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U41" authorId="0" shapeId="0" xr:uid="{B3D4FEF0-67C8-44F5-93E5-0A62E22B899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BD41" authorId="0" shapeId="0" xr:uid="{CA522339-9D84-4159-AC2B-EBF4123BF1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Baptiste Santamaria (14)</t>
        </r>
      </text>
    </comment>
    <comment ref="BE41" authorId="0" shapeId="0" xr:uid="{B1BC0122-DC17-4F0D-9BB3-1CAE982F17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Copete (42)
Jose Gaya (65)</t>
        </r>
      </text>
    </comment>
    <comment ref="T42" authorId="0" shapeId="0" xr:uid="{5F925EFD-0016-47BE-80DC-2DD7EEF4C8B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42" authorId="0" shapeId="0" xr:uid="{C1AA63FC-8ACE-4AF6-8743-9C2F102ED1A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E42" authorId="0" shapeId="0" xr:uid="{1346ACB6-DC9F-4FEE-82E6-0172D3FC3F4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 Roman (33)</t>
        </r>
      </text>
    </comment>
    <comment ref="T43" authorId="0" shapeId="0" xr:uid="{BF8A4695-905E-4149-BC34-EC578C3CFF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U43" authorId="0" shapeId="0" xr:uid="{C7C72118-1265-460E-B90C-52A1F4F82D0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BB43" authorId="0" shapeId="0" xr:uid="{5F8CF10C-B143-47F7-99AF-86E0DB7176E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 Bartra (90)</t>
        </r>
      </text>
    </comment>
    <comment ref="BC43" authorId="0" shapeId="0" xr:uid="{8CA85601-0679-4BBD-AF26-7C6DEF8AB3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 Firpo (12)</t>
        </r>
      </text>
    </comment>
    <comment ref="BD43" authorId="0" shapeId="0" xr:uid="{4091BEB7-6DD7-4DDA-8FE8-85C6E38B2E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 Gorrotxategi (4)</t>
        </r>
      </text>
    </comment>
    <comment ref="BE43" authorId="0" shapeId="0" xr:uid="{BC9FE54E-8C1F-42CC-AAFE-6C58B698DB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Alex Remiro (48)</t>
        </r>
      </text>
    </comment>
    <comment ref="T44" authorId="0" shapeId="0" xr:uid="{505F055E-97A3-4C86-9F77-91BB0C51023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44" authorId="0" shapeId="0" xr:uid="{F7689D78-AEAD-48C0-82E3-EF6B7E9CAAA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T45" authorId="0" shapeId="0" xr:uid="{5C4EF1F7-6610-4358-9490-6E36AC6E363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45" authorId="0" shapeId="0" xr:uid="{3379FF80-9B1A-4634-8AB5-D1FC1A9B2E1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T46" authorId="0" shapeId="0" xr:uid="{098839E6-4E75-4AE1-81A5-5ECB25E264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46" authorId="0" shapeId="0" xr:uid="{8AAC188E-2972-40E4-B3DF-B6809E77F9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BC46" authorId="0" shapeId="0" xr:uid="{50D9BF2E-681D-4F41-972E-540B2489E2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Carles Alena (9)</t>
        </r>
      </text>
    </comment>
    <comment ref="T47" authorId="0" shapeId="0" xr:uid="{7638C35F-4364-4356-909F-B38822BE05C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47" authorId="0" shapeId="0" xr:uid="{F237F51A-52B5-42AD-9B21-B9FD9B9272A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T48" authorId="0" shapeId="0" xr:uid="{77DE6355-F289-48B8-A9B2-24FFA660A58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48" authorId="0" shapeId="0" xr:uid="{10DA8D49-F6AE-4BD9-B0B2-43BCAB5970D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T49" authorId="0" shapeId="0" xr:uid="{B73ECAFD-BF76-4AE2-8A9B-C9BEAF4910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49" authorId="0" shapeId="0" xr:uid="{D16EF83A-D6D1-4784-8B96-6299698BB5F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D49" authorId="0" shapeId="0" xr:uid="{A0E52960-9413-4285-B978-DD64489602A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Yoel Lago (82)</t>
        </r>
      </text>
    </comment>
    <comment ref="T50" authorId="0" shapeId="0" xr:uid="{D2CB27BC-0861-4A76-9AB7-EE62C408A18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50" authorId="0" shapeId="0" xr:uid="{860F1657-E0FF-42E0-9568-AFD0D6F5BB9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T51" authorId="0" shapeId="0" xr:uid="{5FD7DCCA-D4A5-433A-BF8D-20DC14A64C3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Penal</t>
        </r>
      </text>
    </comment>
    <comment ref="U51" authorId="0" shapeId="0" xr:uid="{27EE8581-4C42-497F-8EA9-5E41D7F8FD8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B51" authorId="0" shapeId="0" xr:uid="{F46F1FA6-C9B1-433A-A2BB-E02CA42B515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Rafa Mir (1)
David Affengruber (63)</t>
        </r>
      </text>
    </comment>
    <comment ref="BD51" authorId="0" shapeId="0" xr:uid="{92A9A463-D8FB-4383-B6CA-34720CE9C54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Nacho Vidal (41)</t>
        </r>
      </text>
    </comment>
    <comment ref="T52" authorId="0" shapeId="0" xr:uid="{B546FCBB-997D-4A57-95C5-631605802E3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U52" authorId="0" shapeId="0" xr:uid="{337A49C9-614F-4EA5-9247-947D15FCA9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T53" authorId="0" shapeId="0" xr:uid="{121A1B14-8E5F-494F-A71B-07C3F11E1D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53" authorId="0" shapeId="0" xr:uid="{6C599CFA-9E21-4599-B47D-7A6A6328622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BB53" authorId="0" shapeId="0" xr:uid="{7FCB19A5-45FA-4854-BB47-1AF32764080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Andoni Gorosabel (44)</t>
        </r>
      </text>
    </comment>
    <comment ref="BD53" authorId="0" shapeId="0" xr:uid="{DABF9219-DB9B-47BD-A30F-420CE7A00E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Jhon Solis (50)</t>
        </r>
      </text>
    </comment>
    <comment ref="BE53" authorId="0" shapeId="0" xr:uid="{79ED3D7C-98EA-44BF-9904-F9F8A34C75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Bryan Gil (47)</t>
        </r>
      </text>
    </comment>
    <comment ref="T54" authorId="0" shapeId="0" xr:uid="{6DD20B0B-A93E-4A16-9D74-603DB959A84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54" authorId="0" shapeId="0" xr:uid="{8020A215-C6E3-4BD3-BEB3-88598918780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T55" authorId="0" shapeId="0" xr:uid="{2A27B20D-0849-461E-A624-74164E3525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U55" authorId="0" shapeId="0" xr:uid="{C8A9CA6B-049C-429B-A77F-FA65270FBB0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BB55" authorId="0" shapeId="0" xr:uid="{76726133-A172-4338-9F65-2EA2B90EDB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Carlos Alvarez (15)
Unai Elgezabal (78)
Roger Brugue (80)</t>
        </r>
      </text>
    </comment>
    <comment ref="BD55" authorId="0" shapeId="0" xr:uid="{100ED65D-D292-41FB-88E6-685FBB8B06F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Arda Güler (2)</t>
        </r>
      </text>
    </comment>
    <comment ref="T56" authorId="0" shapeId="0" xr:uid="{F9D62C01-5DF7-4043-9F5E-A0749EBAC92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U56" authorId="0" shapeId="0" xr:uid="{D7B8FAF9-E5B9-4343-826E-4AFE44D0D12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Tenas</t>
        </r>
      </text>
    </comment>
    <comment ref="T57" authorId="0" shapeId="0" xr:uid="{C3C1988C-9D45-4A9A-85ED-A670AF6A409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57" authorId="0" shapeId="0" xr:uid="{5EC8FAC0-1E4E-47C1-9927-E3043870EA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57" authorId="0" shapeId="0" xr:uid="{D003D411-AE22-40F0-AA50-5306FDE088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Djene Dakonam (37)
Luis Milla (81)</t>
        </r>
      </text>
    </comment>
    <comment ref="T58" authorId="0" shapeId="0" xr:uid="{2537DDEE-1DBF-4969-B62D-B5E7926891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58" authorId="0" shapeId="0" xr:uid="{CBCA6694-5E74-4F2F-BDDE-339781D2C2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58" authorId="0" shapeId="0" xr:uid="{F8DF0EC3-3582-4619-8935-DF44B69FD6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Pablo Barrios (52)</t>
        </r>
      </text>
    </comment>
    <comment ref="BC58" authorId="0" shapeId="0" xr:uid="{92783692-BB51-4EBD-880A-C5EA707C043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Nico Gonzalez (76)</t>
        </r>
      </text>
    </comment>
    <comment ref="T59" authorId="0" shapeId="0" xr:uid="{7B72DB11-DFC9-4A00-BCC5-68F311787C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59" authorId="0" shapeId="0" xr:uid="{6B8510D7-4E9F-4A1E-9D00-F58458C8FA4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D59" authorId="0" shapeId="0" xr:uid="{D708D48B-BB5C-4041-8C5D-B140A61AF6E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Omar Mascarell (40)</t>
        </r>
      </text>
    </comment>
    <comment ref="T60" authorId="0" shapeId="0" xr:uid="{7449DE9C-80AC-44C6-B78B-86445A2982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60" authorId="0" shapeId="0" xr:uid="{F070ECE3-ED98-4B42-9D48-C38D420A1A6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BC60" authorId="0" shapeId="0" xr:uid="{F220412B-4216-48E9-A690-0A520DA426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Sergio Herrera (90+1)</t>
        </r>
      </text>
    </comment>
    <comment ref="T61" authorId="0" shapeId="0" xr:uid="{2C8A4341-3F11-4B6A-937D-889DBE699EF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U61" authorId="0" shapeId="0" xr:uid="{C0800F23-DB98-47D4-A3B6-65A75A49C8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BE61" authorId="0" shapeId="0" xr:uid="{FC56D6A9-38EF-4A12-A119-AF9AB9F44D8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Joan Garcia (32)</t>
        </r>
      </text>
    </comment>
    <comment ref="T62" authorId="0" shapeId="0" xr:uid="{A73371CC-1479-4656-9AC5-7594F7FBDA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62" authorId="0" shapeId="0" xr:uid="{36337D44-080E-4AE5-AC71-942BE37EC0A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BB62" authorId="0" shapeId="0" xr:uid="{37F4972D-42E5-4D5B-ABAD-7A2675E9481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Vladyslav Vanat (74)</t>
        </r>
      </text>
    </comment>
    <comment ref="BD62" authorId="0" shapeId="0" xr:uid="{A2743A6C-23C0-4B7B-BDB1-79E5BCE7420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Carlos Romero (51)</t>
        </r>
      </text>
    </comment>
    <comment ref="T63" authorId="0" shapeId="0" xr:uid="{0F382DAE-473A-4342-A9A2-C84C4EA5279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63" authorId="0" shapeId="0" xr:uid="{6886F633-925C-41BD-BEDE-1A0EDAECE8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BB63" authorId="0" shapeId="0" xr:uid="{C4589AEB-AD54-4343-BC00-06D32093F8D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Djene Dakonam (12)</t>
        </r>
      </text>
    </comment>
    <comment ref="T64" authorId="0" shapeId="0" xr:uid="{4C2A40A3-A5C3-44AA-BD91-429F6D05A54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64" authorId="0" shapeId="0" xr:uid="{AF0B6D42-419E-4E53-821D-A6BB135836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BC64" authorId="0" shapeId="0" xr:uid="{84110287-D48D-45D7-966B-F73E3CF1AC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Robin Le Normand (35)</t>
        </r>
      </text>
    </comment>
    <comment ref="BD64" authorId="0" shapeId="0" xr:uid="{CD63DD29-10A0-4CBF-8175-3094727EA9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Aurelien Tchouameni (61)</t>
        </r>
      </text>
    </comment>
    <comment ref="BE64" authorId="0" shapeId="0" xr:uid="{81EC35FA-C14C-4CD5-8373-EF58B3680A7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Federico Valverde (90+2)</t>
        </r>
      </text>
    </comment>
    <comment ref="T65" authorId="0" shapeId="0" xr:uid="{02AE9C58-8E1A-43B0-BE48-00ADECCF534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65" authorId="0" shapeId="0" xr:uid="{3A841696-3289-4AA8-A89A-792670D6E5F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65" authorId="0" shapeId="0" xr:uid="{418B8E08-2205-4444-90D0-22861715585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 Valjent (45)</t>
        </r>
      </text>
    </comment>
    <comment ref="T66" authorId="0" shapeId="0" xr:uid="{F00D436D-C886-41FC-9958-969BC07AF45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66" authorId="0" shapeId="0" xr:uid="{D138FA79-6929-48DA-B5CE-E0B28DA30E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BB66" authorId="0" shapeId="0" xr:uid="{92A1F030-0A05-4C79-AE9F-E5F8DE0C023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Pape Gueye (11)
Sergi Cardona (40)</t>
        </r>
      </text>
    </comment>
    <comment ref="BD66" authorId="0" shapeId="0" xr:uid="{DDEC1460-9A81-44AD-BB80-0EF7B258FAC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Jauregizar (2)
Unai Gomez (17)</t>
        </r>
      </text>
    </comment>
    <comment ref="T67" authorId="0" shapeId="0" xr:uid="{46F8C197-5E0A-4CCE-8F9F-0644F4C3EB1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67" authorId="0" shapeId="0" xr:uid="{2E41A5D8-4B9C-431E-986A-FA61997427E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Vlochodimos</t>
        </r>
      </text>
    </comment>
    <comment ref="BB67" authorId="0" shapeId="0" xr:uid="{97229B0E-18EA-4499-8C3D-95276D39F53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Isi Palazon (1)</t>
        </r>
      </text>
    </comment>
    <comment ref="BD67" authorId="0" shapeId="0" xr:uid="{B9903463-B9F0-4419-8B27-3C8C8AE071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Gabriel Suazo (73)</t>
        </r>
      </text>
    </comment>
    <comment ref="T68" authorId="0" shapeId="0" xr:uid="{FBC940A1-B667-4302-A1CD-13251D3C905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U68" authorId="0" shapeId="0" xr:uid="{23480462-CD35-468A-89F2-99F4703C2C0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B68" authorId="0" shapeId="0" xr:uid="{65ABED05-5580-402E-855A-5C784703B47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Pedro Bigas (31)</t>
        </r>
      </text>
    </comment>
    <comment ref="T69" authorId="0" shapeId="0" xr:uid="{1DC730E2-EAE5-4E1F-B793-FBA459E4614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U69" authorId="0" shapeId="0" xr:uid="{4CF21640-011D-418A-BDA4-D851EB400CF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BB69" authorId="0" shapeId="0" xr:uid="{CFAA2D4E-1002-4AE3-93C0-90CEB44C2A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Jules Kounde (83)</t>
        </r>
      </text>
    </comment>
    <comment ref="T70" authorId="0" shapeId="0" xr:uid="{A49FD240-8171-42E1-8CBD-1D1F9604DAD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U70" authorId="0" shapeId="0" xr:uid="{0CFF7D2D-FC6C-4F6D-B97A-1EC121B17F3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BD70" authorId="0" shapeId="0" xr:uid="{6ACF451F-6C43-4E8A-82CB-5C3537F3AB8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Sergio Herrera (32)</t>
        </r>
      </text>
    </comment>
    <comment ref="BE70" authorId="0" shapeId="0" xr:uid="{D933FEB4-1147-454F-9CE1-ADB4AF70E07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Alejandro Catena (18)
Enzo Boyomo (37)</t>
        </r>
      </text>
    </comment>
    <comment ref="T71" authorId="0" shapeId="0" xr:uid="{ED4482BE-0EF8-41E7-A883-5831C0BEEE1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71" authorId="0" shapeId="0" xr:uid="{A8DD9368-6491-438B-91F2-8765AFF754A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D71" authorId="0" shapeId="0" xr:uid="{7F30E940-80D1-4977-A8F1-D22D286531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Alberto Reina (66)</t>
        </r>
      </text>
    </comment>
    <comment ref="T72" authorId="0" shapeId="0" xr:uid="{66610F2A-4AEE-4ED8-A4D5-F22613EF4BD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72" authorId="0" shapeId="0" xr:uid="{02D880DC-3A5E-42E9-9221-8BD863B619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T73" authorId="0" shapeId="0" xr:uid="{A74AEBCD-54B4-491B-90F1-FA2ED374B00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U73" authorId="0" shapeId="0" xr:uid="{47EBB0BD-48B4-487F-9AEB-685E97119F5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BB73" authorId="0" shapeId="0" xr:uid="{482A57B8-F6CB-4FEB-8FD6-713596AD13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Leander Dendoncker (25)</t>
        </r>
      </text>
    </comment>
    <comment ref="T74" authorId="0" shapeId="0" xr:uid="{65C375E6-67CA-4C09-9468-099C27427B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74" authorId="0" shapeId="0" xr:uid="{4C293623-6727-4752-B5BA-353A9043B92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BB74" authorId="0" shapeId="0" xr:uid="{776554C2-0F47-46EF-B5AD-56EEBB28EE4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Vitor Reis (58)</t>
        </r>
      </text>
    </comment>
    <comment ref="T75" authorId="0" shapeId="0" xr:uid="{F487F2C8-D89B-4D2A-B7BD-FD694AE0065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75" authorId="0" shapeId="0" xr:uid="{E3895E6F-AED6-4E95-9B53-62A5A85FF30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T76" authorId="0" shapeId="0" xr:uid="{0DB336F2-C8B4-4754-A4E2-C4822F1ED1F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76" authorId="0" shapeId="0" xr:uid="{25BC6CB4-16F4-4108-B2E7-99257182B35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Tenas</t>
        </r>
      </text>
    </comment>
    <comment ref="BB76" authorId="0" shapeId="0" xr:uid="{6F74316B-AC7C-4485-A79C-57D02A41008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Franco Mastantuano (29)</t>
        </r>
      </text>
    </comment>
    <comment ref="BD76" authorId="0" shapeId="0" xr:uid="{FA224FB0-3FC2-4D4C-AA2B-D464494DB5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Santiago Mourino (21)</t>
        </r>
      </text>
    </comment>
    <comment ref="BE76" authorId="0" shapeId="0" xr:uid="{3AC2A1C9-1544-41E1-A4E3-B0D54BFEBEE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Tani Oluwaseyi (79)</t>
        </r>
      </text>
    </comment>
    <comment ref="T77" authorId="0" shapeId="0" xr:uid="{BCAA32AE-CA76-4649-8ED7-F05E4165685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77" authorId="0" shapeId="0" xr:uid="{2A1E94A5-5679-41F1-B08A-7565E98154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T78" authorId="0" shapeId="0" xr:uid="{5997F96E-CD15-4B65-BD0B-FC5E7D9857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U78" authorId="0" shapeId="0" xr:uid="{305ED03B-3BA8-42AD-A171-3CB51A64CCC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BC78" authorId="0" shapeId="0" xr:uid="{15AE96CC-3019-4E35-A059-2EFD9A26519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Lucien Agoume (51)</t>
        </r>
      </text>
    </comment>
    <comment ref="T79" authorId="0" shapeId="0" xr:uid="{BA8802CB-B2EC-4738-B3A6-C4198BBEA85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79" authorId="0" shapeId="0" xr:uid="{30F5E42C-E954-4D6C-B25E-3DF77663C7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T80" authorId="0" shapeId="0" xr:uid="{53438850-888A-47C0-AA04-8A92F62646D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80" authorId="0" shapeId="0" xr:uid="{1317A318-F463-4836-BBA3-EAE448979C2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80" authorId="0" shapeId="0" xr:uid="{5FC9100F-330B-48D9-BB1A-AE98A3FCE17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 Gorrotxategi (36)</t>
        </r>
      </text>
    </comment>
    <comment ref="T81" authorId="0" shapeId="0" xr:uid="{627530C9-AAA5-44AA-AE75-248E7C4C69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81" authorId="0" shapeId="0" xr:uid="{0E4846DC-7322-49B8-86F0-36E23ACF9F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BD81" authorId="0" shapeId="0" xr:uid="{9ACDAD04-0F6B-4DD9-AF5F-6FC053C768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Pablo Barrios (36)</t>
        </r>
      </text>
    </comment>
    <comment ref="C82" authorId="0" shapeId="0" xr:uid="{102C55AB-2E81-48AD-9E8B-D20530FDCC1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9 Ekim 2025 Teknik Direktör Değişimi; Yeni; Luis Carrion, Eski; Veljko Paunovic</t>
        </r>
      </text>
    </comment>
    <comment ref="T82" authorId="0" shapeId="0" xr:uid="{CF4B723F-ACE9-41D8-8610-6040416C2F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U82" authorId="0" shapeId="0" xr:uid="{5F12A7F9-143D-4707-9C7A-59B8FAC01F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BD82" authorId="0" shapeId="0" xr:uid="{8E8DDA1A-65B7-426C-979A-700A3F7D8F3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Carlos Romero (9)</t>
        </r>
      </text>
    </comment>
    <comment ref="T83" authorId="0" shapeId="0" xr:uid="{9249CF57-0543-4F38-8628-346E7C8E2C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U83" authorId="0" shapeId="0" xr:uid="{C27A28C4-70E4-48B6-B986-C881171C7CD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B83" authorId="0" shapeId="0" xr:uid="{A0172EC3-77E9-45CD-BB81-0698C07E23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Marcao (76)</t>
        </r>
      </text>
    </comment>
    <comment ref="BC83" authorId="0" shapeId="0" xr:uid="{C852AFC9-7C59-438A-BDC8-6241A9063A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Gabriel Suazo (66)</t>
        </r>
      </text>
    </comment>
    <comment ref="BD83" authorId="0" shapeId="0" xr:uid="{131926D6-34D1-4CE0-BE47-3B247C94DEE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Samu Costa (39)</t>
        </r>
      </text>
    </comment>
    <comment ref="T84" authorId="0" shapeId="0" xr:uid="{0C10AF23-8BDA-4D1E-842E-8277B2D323E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U84" authorId="0" shapeId="0" xr:uid="{492F79DA-8B47-4949-8992-D3606DC2AA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BB84" authorId="0" shapeId="0" xr:uid="{96500500-9BE6-4AA6-8727-5CA4768985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Jules Kounde (66)</t>
        </r>
      </text>
    </comment>
    <comment ref="BD84" authorId="0" shapeId="0" xr:uid="{BB64F130-6233-45D3-9A3E-70326ADB48D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Joel Roca (11)
Hugo Rincon (65)</t>
        </r>
      </text>
    </comment>
    <comment ref="T85" authorId="0" shapeId="0" xr:uid="{28B1BAF7-8CA3-4494-B720-496DB1176D7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Tenas </t>
        </r>
      </text>
    </comment>
    <comment ref="U85" authorId="0" shapeId="0" xr:uid="{1CBDC62F-3FE6-44B5-84F2-C75D2CEC37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BE85" authorId="0" shapeId="0" xr:uid="{574A85D0-A179-4FB3-A7C0-1202357966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Valentin Gomez (43)</t>
        </r>
      </text>
    </comment>
    <comment ref="T86" authorId="0" shapeId="0" xr:uid="{96BA7669-1DC4-4E28-8A2B-A819B94765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86" authorId="0" shapeId="0" xr:uid="{CED6C072-35F9-4A09-9A67-F5CB414034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T87" authorId="0" shapeId="0" xr:uid="{E7E68549-308E-47F8-8C59-21C0E73513E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U87" authorId="0" shapeId="0" xr:uid="{F13E2C5A-9CD5-4CDE-9DA2-2F7AA88162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BD87" authorId="0" shapeId="0" xr:uid="{241EAD52-63AF-43E0-87C1-70993D5842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Dani Vivian (53)
Jesus Areso (66)</t>
        </r>
      </text>
    </comment>
    <comment ref="T88" authorId="0" shapeId="0" xr:uid="{1711421F-AA88-4C5D-AFB4-B3A1CC8A144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88" authorId="0" shapeId="0" xr:uid="{601BA2F9-F4C5-4861-AB52-8ECE6C68C52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BB88" authorId="0" shapeId="0" xr:uid="{3B774CF1-561E-4624-A3A2-F2B30E69DF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Oscar Mingueza (11)</t>
        </r>
      </text>
    </comment>
    <comment ref="T89" authorId="0" shapeId="0" xr:uid="{E2743759-4AB2-414D-A815-0FEAF498B8E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U89" authorId="0" shapeId="0" xr:uid="{EA2F071D-6E1E-4EBB-96A8-9F936E7E0AA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D89" authorId="0" shapeId="0" xr:uid="{C42CA7D1-09FB-46E1-99CD-F0A9C04B66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Unai Lopez (47)</t>
        </r>
      </text>
    </comment>
    <comment ref="T90" authorId="0" shapeId="0" xr:uid="{4CB843E8-975A-43AC-8E70-B09216CD9D5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90" authorId="0" shapeId="0" xr:uid="{DE08205C-B8EE-4A00-AFB7-0B698054B4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T91" authorId="0" shapeId="0" xr:uid="{3EB1457D-05E0-453B-A23A-834E6D8FF9B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91" authorId="0" shapeId="0" xr:uid="{36BA40EC-A788-459D-B816-3B835BB1CF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T92" authorId="0" shapeId="0" xr:uid="{24593B87-B442-4F2E-BCD3-F3C99158832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92" authorId="0" shapeId="0" xr:uid="{4B8A6175-EA83-42F2-9851-66C3B6CC608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BD92" authorId="0" shapeId="0" xr:uid="{FB8CEA2C-06C5-46EF-A66F-97A99B57774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Odysseas Vlachodimos (82)</t>
        </r>
      </text>
    </comment>
    <comment ref="BE92" authorId="0" shapeId="0" xr:uid="{427C3D71-BD4D-49EB-94FE-A95D4C601E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Jose Angel Carmona (35)</t>
        </r>
      </text>
    </comment>
    <comment ref="T93" authorId="0" shapeId="0" xr:uid="{77AA2B42-429C-4141-ABD6-D2EA191E30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93" authorId="0" shapeId="0" xr:uid="{0F8F545B-5808-4B3E-A98A-F4749D24E06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T94" authorId="0" shapeId="0" xr:uid="{2071A48E-C6BE-4117-8E63-9EDD5B53288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94" authorId="0" shapeId="0" xr:uid="{713D27E7-558E-4166-9EAC-FFB0E474DC8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BD94" authorId="0" shapeId="0" xr:uid="{BDE0CC6B-0BB6-4995-8DEF-FB5CC5FDA4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Aleix Febas (90+2)</t>
        </r>
      </text>
    </comment>
    <comment ref="T95" authorId="0" shapeId="0" xr:uid="{02C6BD94-09DD-4F19-B0D5-B50DE89BEC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95" authorId="0" shapeId="0" xr:uid="{AB326291-535C-49B2-984B-25B9A051D54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BB95" authorId="0" shapeId="0" xr:uid="{FE0E87AA-A7B2-43CF-9C0C-509E5F7B054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Vesga (90+2)</t>
        </r>
      </text>
    </comment>
    <comment ref="T96" authorId="0" shapeId="0" xr:uid="{56F5CA17-7CB4-44DF-AF8F-E2EAC149775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96" authorId="0" shapeId="0" xr:uid="{2A34BBD8-273E-4F8F-BF9D-0C33D0477CC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BD96" authorId="0" shapeId="0" xr:uid="{451D0BCD-F3EA-45B8-ADE9-F67D58E2CE4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Alberto Moleiro (37)
Santi Camesana (37)
Sergi Cardona (69)</t>
        </r>
      </text>
    </comment>
    <comment ref="T97" authorId="0" shapeId="0" xr:uid="{4D6FA41C-6F1C-49B1-8F85-730B58B8008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97" authorId="0" shapeId="0" xr:uid="{B2FF0A73-C0C7-4321-866E-2B42B773249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BB97" authorId="0" shapeId="0" xr:uid="{75B0CE77-B4A9-4E85-8B6E-21078194560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Johan Mojica (27)</t>
        </r>
      </text>
    </comment>
    <comment ref="BD97" authorId="0" shapeId="0" xr:uid="{B1B20D8C-A25B-46B7-81CB-2E03382F1E3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Manu Sanchez (43)</t>
        </r>
      </text>
    </comment>
    <comment ref="T98" authorId="0" shapeId="0" xr:uid="{BFD4B94B-6874-4296-88E0-3D7406517CE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98" authorId="0" shapeId="0" xr:uid="{7F16F545-50AD-46D0-9D81-5146452295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BB98" authorId="0" shapeId="0" xr:uid="{D56AE79B-9401-42DB-9630-9305DBAD9E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Dean Huijsen (1)</t>
        </r>
      </text>
    </comment>
    <comment ref="BC98" authorId="0" shapeId="0" xr:uid="{FE13825D-4D76-4B3D-B001-FEC6692CA1F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Arda Güler (37)</t>
        </r>
      </text>
    </comment>
    <comment ref="BD98" authorId="0" shapeId="0" xr:uid="{437D153A-4236-416C-A49C-E6623C3F1C2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Roony Bardghji (87)</t>
        </r>
      </text>
    </comment>
    <comment ref="T99" authorId="0" shapeId="0" xr:uid="{3FAC6581-2369-417C-AF5C-383045FF170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99" authorId="0" shapeId="0" xr:uid="{D04B41AE-CC1E-4A2C-9736-45D1D711E2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B99" authorId="0" shapeId="0" xr:uid="{6EBB92CF-DCDC-45A4-B7A9-BE5A1C4E94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Lucas Torro (29)</t>
        </r>
      </text>
    </comment>
    <comment ref="BC99" authorId="0" shapeId="0" xr:uid="{A5E23536-B0CB-4101-81C8-7B19C7A838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Moi Gomez (25)</t>
        </r>
      </text>
    </comment>
    <comment ref="BD99" authorId="0" shapeId="0" xr:uid="{2607A313-AD27-48F9-9F4A-43ECC386BB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Ilaix Moriba (1)
Joseph Aidoo (14)
Bryan Zaragoza (16)
Hugo Sotelo (80)</t>
        </r>
      </text>
    </comment>
    <comment ref="T100" authorId="0" shapeId="0" xr:uid="{5E39133E-B59E-45CB-9965-9C83E38C13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100" authorId="0" shapeId="0" xr:uid="{1D6B64E8-63E5-4F20-8FE2-F36AB558405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100" authorId="0" shapeId="0" xr:uid="{65F4A198-C62E-4998-954B-0B74FDE4E9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Nobel Mendy (75)</t>
        </r>
      </text>
    </comment>
    <comment ref="T101" authorId="0" shapeId="0" xr:uid="{57B9209C-E9C7-4925-84BE-DAEF16022F7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U101" authorId="0" shapeId="0" xr:uid="{22E4BFC2-F504-4229-AAE6-F6B3C039353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T102" authorId="0" shapeId="0" xr:uid="{CD508281-6A48-4996-9ED9-7FD95BBF5A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102" authorId="0" shapeId="0" xr:uid="{C229B045-BDEF-4921-BE15-A5D877A8B2F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BB102" authorId="0" shapeId="0" xr:uid="{6AE9B5BE-8CE8-49B5-92F9-05F606535B8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Diego Rico (65)</t>
        </r>
      </text>
    </comment>
    <comment ref="T103" authorId="0" shapeId="0" xr:uid="{6F91EB7A-9B09-47B8-A769-B1B8A1963F4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103" authorId="0" shapeId="0" xr:uid="{30DC72DB-939E-461A-9B5F-2A1409D841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103" authorId="0" shapeId="0" xr:uid="{B88F7A61-654A-4337-BBDF-64B402C803F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Dani Parejo (85)</t>
        </r>
      </text>
    </comment>
    <comment ref="BE103" authorId="0" shapeId="0" xr:uid="{FCA14082-0BEC-40A0-B98B-A2094099CB1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Pep Chavarria (64)</t>
        </r>
      </text>
    </comment>
    <comment ref="T104" authorId="0" shapeId="0" xr:uid="{2C141F9F-0F56-40C3-9691-A23AB07B8CB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104" authorId="0" shapeId="0" xr:uid="{42B7E5F2-1117-4113-8810-514F4CA285B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BB104" authorId="0" shapeId="0" xr:uid="{9DD86FD0-9495-4D3A-9E9F-DB88FB5467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David Hancko (3)</t>
        </r>
      </text>
    </comment>
    <comment ref="BD104" authorId="0" shapeId="0" xr:uid="{19019A10-23FC-4B4A-A16D-DCFB549031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Marcao (28)</t>
        </r>
      </text>
    </comment>
    <comment ref="T105" authorId="0" shapeId="0" xr:uid="{56602812-B08C-4C6B-9331-C01D70903C5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105" authorId="0" shapeId="0" xr:uid="{12957A76-1EA5-4E8B-892A-DF993BA6D87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T106" authorId="0" shapeId="0" xr:uid="{0D5C9D1D-6BE5-4E86-A89A-3675462A928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106" authorId="0" shapeId="0" xr:uid="{7DE53EED-9165-44EA-BB9C-7475989F33B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BD106" authorId="0" shapeId="0" xr:uid="{AF9D0EDF-5FFA-4F67-A350-7677C5CC73B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Diego Lopez (4)
Copete (42)</t>
        </r>
      </text>
    </comment>
    <comment ref="T107" authorId="0" shapeId="0" xr:uid="{3B1CDD32-6B4D-4F2B-A5CB-523D06C9F5E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U107" authorId="0" shapeId="0" xr:uid="{0A492903-75E9-4664-ADE1-B8CC97D1081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B107" authorId="0" shapeId="0" xr:uid="{93E8577C-ABD0-431E-B726-C2332D85184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Kervin Arriaga (80)</t>
        </r>
      </text>
    </comment>
    <comment ref="T108" authorId="0" shapeId="0" xr:uid="{99F2E94E-7AD5-4B64-8483-E317F98D959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108" authorId="0" shapeId="0" xr:uid="{9BC9D790-842F-4937-AE4B-71121C1E233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BE108" authorId="0" shapeId="0" xr:uid="{7571D9C3-2115-40D9-BED9-7EA9D7C0CBF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Ruben Sanchez (39)</t>
        </r>
      </text>
    </comment>
    <comment ref="T109" authorId="0" shapeId="0" xr:uid="{A8241E7C-1D69-43B4-B93E-045937312A3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U109" authorId="0" shapeId="0" xr:uid="{6B7F2572-E861-4FEB-B198-EF165C87AC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BD109" authorId="0" shapeId="0" xr:uid="{37740E0F-0DA3-4386-8DC0-95F75806843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Inaki Pena (77)</t>
        </r>
      </text>
    </comment>
    <comment ref="BE109" authorId="0" shapeId="0" xr:uid="{BD481F9C-F737-4072-90DD-9650FA19590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David Affengruber (8)
Adria Pedrosa (10)</t>
        </r>
      </text>
    </comment>
    <comment ref="T110" authorId="0" shapeId="0" xr:uid="{42D0C7C4-6949-433A-A9FA-65620531B0A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U110" authorId="0" shapeId="0" xr:uid="{B74C16AF-A6B7-4916-AFE2-51395EB28A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Bergström</t>
        </r>
      </text>
    </comment>
    <comment ref="BB110" authorId="0" shapeId="0" xr:uid="{0B344598-D94A-4125-8DEF-2A1E0D691D5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Alvaro Valles (77)</t>
        </r>
      </text>
    </comment>
    <comment ref="BD110" authorId="0" shapeId="0" xr:uid="{3DF2840C-1522-4D23-A3FE-9FA9EAF2A5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Samu Costa (61)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T2" authorId="0" shapeId="0" xr:uid="{6A5D84AD-757B-4C98-96CC-616FBC83BFE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2" authorId="0" shapeId="0" xr:uid="{15047F7E-B807-41EE-957B-12398FA77FB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D2" authorId="0" shapeId="0" xr:uid="{17E43DFD-BEB0-48E2-A980-9C99008359B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Santiago Colombatto (59)</t>
        </r>
      </text>
    </comment>
    <comment ref="BE2" authorId="0" shapeId="0" xr:uid="{BE442B1B-03C9-4DD8-8586-05F243A46A2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Aaron Escandell (53)</t>
        </r>
      </text>
    </comment>
    <comment ref="T3" authorId="0" shapeId="0" xr:uid="{43A47C78-6608-4D74-915B-CE5E9CD4B1E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3" authorId="0" shapeId="0" xr:uid="{17DD4125-DA36-45B2-B01B-A699F14C716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3" authorId="0" shapeId="0" xr:uid="{D8081E6E-2F3F-4EB0-9E3F-47A01628ABB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Djene Dakonam (37)
Luis Milla (81)</t>
        </r>
      </text>
    </comment>
    <comment ref="T4" authorId="0" shapeId="0" xr:uid="{4886A65C-CC0D-456D-A068-927B7BB135A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4" authorId="0" shapeId="0" xr:uid="{A172A738-B20E-4267-B8D7-A4A29CFC496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BB4" authorId="0" shapeId="0" xr:uid="{721249C2-F61C-4AD3-9B68-DE8B6672889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Djene Dakonam (12)</t>
        </r>
      </text>
    </comment>
    <comment ref="T5" authorId="0" shapeId="0" xr:uid="{688357AA-F973-472C-A89D-B4DD69C9EB4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5" authorId="0" shapeId="0" xr:uid="{25B7DA8F-B621-4DAB-BB87-CA30E8B4A5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T6" authorId="0" shapeId="0" xr:uid="{FDA0E266-4DE7-42F1-AE04-3E60F96367E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6" authorId="0" shapeId="0" xr:uid="{6F28DE3F-2FB2-49EA-BF4C-D71F3EBFFAC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Krapyvtsov</t>
        </r>
      </text>
    </comment>
    <comment ref="BE6" authorId="0" shapeId="0" xr:uid="{027FB044-A162-46D7-9059-7588FD52B8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Yangel Herrera (6)</t>
        </r>
      </text>
    </comment>
    <comment ref="T7" authorId="0" shapeId="0" xr:uid="{54647165-7FBC-41C8-AF4D-CCDD703BB4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7" authorId="0" shapeId="0" xr:uid="{95CB8B47-7A85-4DE3-96FB-559657FDE74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T8" authorId="0" shapeId="0" xr:uid="{60756875-ED69-4166-B0E2-E7BD3F48547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8" authorId="0" shapeId="0" xr:uid="{2F19EEB7-59E5-4B4E-B015-FAA693E86F0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BB8" authorId="0" shapeId="0" xr:uid="{9555C2D1-B363-4965-B01E-F1397C25C1A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Andoni Gorosabel (44)</t>
        </r>
      </text>
    </comment>
    <comment ref="BD8" authorId="0" shapeId="0" xr:uid="{A59B8247-C781-4366-989D-A59BB5366DF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Jhon Solis (50)</t>
        </r>
      </text>
    </comment>
    <comment ref="BE8" authorId="0" shapeId="0" xr:uid="{777D3123-EF81-4579-A1FE-E81165FDF72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Bryan Gil (47)</t>
        </r>
      </text>
    </comment>
    <comment ref="T9" authorId="0" shapeId="0" xr:uid="{8BC5FB36-A37E-4BD8-825B-477A27EE902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U9" authorId="0" shapeId="0" xr:uid="{C9742B8A-9898-45F2-9296-677071CF714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BB9" authorId="0" shapeId="0" xr:uid="{94EDD393-1250-4A4D-A268-6F255EE1DE3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Jules Kounde (66)</t>
        </r>
      </text>
    </comment>
    <comment ref="BD9" authorId="0" shapeId="0" xr:uid="{58D07117-D388-4550-BF19-C9FAB6E51C5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Joel Roca (11)
Hugo Rincon (65)</t>
        </r>
      </text>
    </comment>
    <comment ref="T12" authorId="0" shapeId="0" xr:uid="{0B3EEFE6-CABB-435A-91F7-DE92320D404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12" authorId="0" shapeId="0" xr:uid="{85B5AA78-6A7F-4F18-9971-756A38055E8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B12" authorId="0" shapeId="0" xr:uid="{86A8EDD9-B4D5-4AD3-801F-DBED6421966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Rafa Marin (90+4)</t>
        </r>
      </text>
    </comment>
    <comment ref="BD12" authorId="0" shapeId="0" xr:uid="{2656E0A4-4692-4CF4-A8E1-7EF97BDA9DF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Salomon Rondon (46)
Marco Esteban (54)</t>
        </r>
      </text>
    </comment>
    <comment ref="T13" authorId="0" shapeId="0" xr:uid="{0CE4C929-4B17-49FE-B5D0-46E498D6EFA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13" authorId="0" shapeId="0" xr:uid="{9F958E9E-A63B-4565-B76D-7994267D25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Krapyvtsov</t>
        </r>
      </text>
    </comment>
    <comment ref="BE13" authorId="0" shapeId="0" xr:uid="{2853879D-3004-4613-95DB-AD1815768A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Yangel Herrera (6)</t>
        </r>
      </text>
    </comment>
    <comment ref="T14" authorId="0" shapeId="0" xr:uid="{A4C2B5D0-D7B1-4B87-89FE-CACC589EE2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14" authorId="0" shapeId="0" xr:uid="{E6C970AA-F0C4-4BDE-9FA8-AF8A14DB2DE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T15" authorId="0" shapeId="0" xr:uid="{80C55B12-443F-4447-887F-10D2F9B468B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15" authorId="0" shapeId="0" xr:uid="{648F5D49-9521-456A-981C-26C164761DF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BB15" authorId="0" shapeId="0" xr:uid="{1AFC1593-78B5-4C5E-9B23-EF56AF005E2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Pape Gueye (11)
Sergi Cardona (40)</t>
        </r>
      </text>
    </comment>
    <comment ref="BD15" authorId="0" shapeId="0" xr:uid="{443F3DAF-2202-44E0-BBAB-E74A79DB90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Jauregizar (2)
Unai Gomez (17)</t>
        </r>
      </text>
    </comment>
    <comment ref="T16" authorId="0" shapeId="0" xr:uid="{3976D952-D6B2-4BB8-B1C9-A0283C7D806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Tenas </t>
        </r>
      </text>
    </comment>
    <comment ref="U16" authorId="0" shapeId="0" xr:uid="{D5A881B1-1A5C-4DA7-91AE-E2CF80B7EB4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BE16" authorId="0" shapeId="0" xr:uid="{3116FD6C-5247-46BF-8D41-63F858CBE45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Valentin Gomez (43)</t>
        </r>
      </text>
    </comment>
    <comment ref="T17" authorId="0" shapeId="0" xr:uid="{1DE830B6-E067-4318-AAEF-5875DE73047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17" authorId="0" shapeId="0" xr:uid="{81D05071-60AB-477D-9794-1D357F7E41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17" authorId="0" shapeId="0" xr:uid="{38ABA796-38CA-4580-B1F1-BB1855CC2D4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Daley Blind (16)
David Lopez (47)</t>
        </r>
      </text>
    </comment>
    <comment ref="BC17" authorId="0" shapeId="0" xr:uid="{A7B3899E-55A2-4BDD-BBB1-8028C661B2D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Paulo Gazzaniga (17)</t>
        </r>
      </text>
    </comment>
    <comment ref="BD17" authorId="0" shapeId="0" xr:uid="{EF64A453-466A-49F1-9CFB-56E473F5C9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Pep Chavarria (27)</t>
        </r>
      </text>
    </comment>
    <comment ref="T18" authorId="0" shapeId="0" xr:uid="{C9E39B91-857D-4E2E-9335-C0B87B25424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18" authorId="0" shapeId="0" xr:uid="{A6E313F4-8FAA-44D5-8724-F4737C3AA74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18" authorId="0" shapeId="0" xr:uid="{D690208A-E876-43A0-B9A5-B03D34D6C0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Jauregizar (1)</t>
        </r>
      </text>
    </comment>
    <comment ref="T19" authorId="0" shapeId="0" xr:uid="{72EB5CB0-2AFB-450B-A47F-CCE6FF493D4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19" authorId="0" shapeId="0" xr:uid="{856BD124-0B09-4BB5-A76D-1CE75ECA978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D19" authorId="0" shapeId="0" xr:uid="{E2E8482F-5678-4509-9A90-8813B2E1C7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Augusto Batalla (32)</t>
        </r>
      </text>
    </comment>
    <comment ref="T20" authorId="0" shapeId="0" xr:uid="{D5C8FB85-5D03-4C34-BC8D-DEAFC17D35E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20" authorId="0" shapeId="0" xr:uid="{6E6424AD-A5AC-493D-93B8-02324AA9A13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20" authorId="0" shapeId="0" xr:uid="{5EA63CBD-B018-4317-B65F-C5DC26C6D8E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Pablo Barrios (52)</t>
        </r>
      </text>
    </comment>
    <comment ref="BC20" authorId="0" shapeId="0" xr:uid="{7A3055E3-54BA-480D-BD5B-5191D977461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Nico Gonzalez (76)</t>
        </r>
      </text>
    </comment>
    <comment ref="T21" authorId="0" shapeId="0" xr:uid="{58555F6A-B601-4588-A046-0917581709B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21" authorId="0" shapeId="0" xr:uid="{1D2A56B8-0B7C-42B2-8543-9B9A8BD1F5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21" authorId="0" shapeId="0" xr:uid="{D49F09D3-BCFA-422B-9F8F-628B8789E21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 Gorrotxategi (36)</t>
        </r>
      </text>
    </comment>
    <comment ref="T22" authorId="0" shapeId="0" xr:uid="{0270158C-4969-49C0-8747-7BB3F453BFA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U22" authorId="0" shapeId="0" xr:uid="{0EBEE168-DB4A-46A9-BE7A-95441D8DE55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D22" authorId="0" shapeId="0" xr:uid="{F6AD698E-1727-4E5B-B82B-AAE265712C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Unai Lopez (47)</t>
        </r>
      </text>
    </comment>
    <comment ref="T25" authorId="0" shapeId="0" xr:uid="{99AEE7AA-95F7-4E13-9205-A353D442032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25" authorId="0" shapeId="0" xr:uid="{ED2150D4-A16F-4372-A48A-21A14E261D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T26" authorId="0" shapeId="0" xr:uid="{7C8BB077-7B1A-4120-A1D8-101E8754CFA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26" authorId="0" shapeId="0" xr:uid="{4254FE28-AA39-4451-88B8-74CB0019F46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BB26" authorId="0" shapeId="0" xr:uid="{35C9B4FE-C5C4-444A-A794-C51501CA8A6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Pablo Barrios (14)</t>
        </r>
      </text>
    </comment>
    <comment ref="BE26" authorId="0" shapeId="0" xr:uid="{28E9C13D-D12F-4D59-A8B9-51F56BD1091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 Cardona (8)</t>
        </r>
      </text>
    </comment>
    <comment ref="T27" authorId="0" shapeId="0" xr:uid="{CCA0599F-E4D5-4717-B1F6-24CFA2A93B0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27" authorId="0" shapeId="0" xr:uid="{C7731495-F7F7-4B25-8CBD-14D6972EFD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27" authorId="0" shapeId="0" xr:uid="{3B21D2CD-C1A4-4201-8FDC-DE382BD8EC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Pablo Barrios (52)</t>
        </r>
      </text>
    </comment>
    <comment ref="BC27" authorId="0" shapeId="0" xr:uid="{ACBF9D64-6A38-4C84-B840-338D5AF219B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Nico Gonzalez (76)</t>
        </r>
      </text>
    </comment>
    <comment ref="T28" authorId="0" shapeId="0" xr:uid="{F2E5F046-803F-4484-B4C8-2369B9104E7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28" authorId="0" shapeId="0" xr:uid="{C416EFEF-0D77-40D1-8A24-15FE65418B1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BC28" authorId="0" shapeId="0" xr:uid="{6C6FFB67-F452-4475-988B-2446F61583A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Robin Le Normand (35)</t>
        </r>
      </text>
    </comment>
    <comment ref="BD28" authorId="0" shapeId="0" xr:uid="{07C35E39-4352-4001-82F9-FD765DF39CB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Aurelien Tchouameni (61)</t>
        </r>
      </text>
    </comment>
    <comment ref="BE28" authorId="0" shapeId="0" xr:uid="{74C2C7AB-BD9E-40DB-A1B5-2BBC0928FC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Federico Valverde (90+2)</t>
        </r>
      </text>
    </comment>
    <comment ref="T29" authorId="0" shapeId="0" xr:uid="{F837D470-4092-4387-A451-00AE182E07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29" authorId="0" shapeId="0" xr:uid="{12342F07-A3EC-4622-8596-DB92F381977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T30" authorId="0" shapeId="0" xr:uid="{4F846A26-EC4C-4037-8AFC-60B1ADE6357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30" authorId="0" shapeId="0" xr:uid="{03C6870E-9FCB-4B4B-B6F8-25643DDDE7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BD30" authorId="0" shapeId="0" xr:uid="{908C36F1-162A-471A-AB20-CBA032C2963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Djibril Sow (44)</t>
        </r>
      </text>
    </comment>
    <comment ref="T31" authorId="0" shapeId="0" xr:uid="{8BBCC1B0-1B0E-442B-A424-AF6BF5E4DB6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31" authorId="0" shapeId="0" xr:uid="{395B9D62-7FF3-4819-88F6-50660A578B7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BB31" authorId="0" shapeId="0" xr:uid="{294D8AC1-3FAF-4216-96DD-CB5949F4706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David Lopez (8)
Ivan Martinez (43)</t>
        </r>
      </text>
    </comment>
    <comment ref="BC31" authorId="0" shapeId="0" xr:uid="{6591B5E8-3794-4ACE-A444-D0633A861E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Alex Moreno (29)</t>
        </r>
      </text>
    </comment>
    <comment ref="T32" authorId="0" shapeId="0" xr:uid="{76E737F2-2CE8-4810-805A-8B80AD7B5B6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32" authorId="0" shapeId="0" xr:uid="{07D29076-9EF6-4696-89CD-FA14B2BED0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BC32" authorId="0" shapeId="0" xr:uid="{1A8C230E-52D3-4A22-BAE4-EBB2229382E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Carles Alena (9)</t>
        </r>
      </text>
    </comment>
    <comment ref="T33" authorId="0" shapeId="0" xr:uid="{73BD2053-2FC6-4036-8E87-FCB4C24601C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33" authorId="0" shapeId="0" xr:uid="{E57C87FD-9D44-48B5-9AA0-6EEF0B8820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Vlochodimos</t>
        </r>
      </text>
    </comment>
    <comment ref="BB33" authorId="0" shapeId="0" xr:uid="{4CFA1DF7-9CF1-4137-BA0C-AA30C4F11E7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Isi Palazon (1)</t>
        </r>
      </text>
    </comment>
    <comment ref="BD33" authorId="0" shapeId="0" xr:uid="{87E22EC4-C989-4472-A76F-475E7AC4F30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Gabriel Suazo (73)</t>
        </r>
      </text>
    </comment>
    <comment ref="T34" authorId="0" shapeId="0" xr:uid="{77B7AF86-6F16-431C-9FD3-91FDB0D10B2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34" authorId="0" shapeId="0" xr:uid="{5232ACDF-3383-4577-A510-341248BCDC9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BD34" authorId="0" shapeId="0" xr:uid="{42384613-621A-414D-9A05-4DEF971F383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Odysseas Vlachodimos (82)</t>
        </r>
      </text>
    </comment>
    <comment ref="BE34" authorId="0" shapeId="0" xr:uid="{5A58B43F-81A3-466E-AAD4-DE0999DCE7E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Jose Angel Carmona (35)</t>
        </r>
      </text>
    </comment>
    <comment ref="T37" authorId="0" shapeId="0" xr:uid="{AA8A720D-E103-460B-89E2-0165AD694CD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37" authorId="0" shapeId="0" xr:uid="{2608C415-5FD2-4E46-90CC-3A663B173A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BE37" authorId="0" shapeId="0" xr:uid="{E1704046-7D36-4186-B817-9F4B9C2204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Omar El Hilali (60)</t>
        </r>
      </text>
    </comment>
    <comment ref="T38" authorId="0" shapeId="0" xr:uid="{FB942034-6C98-4666-A08F-B46D56E070F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38" authorId="0" shapeId="0" xr:uid="{8D13E106-C064-44D9-90CE-7EED13AA6B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BC38" authorId="0" shapeId="0" xr:uid="{6430E78F-6857-4F98-8082-B53300CAC1A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Goti (11)</t>
        </r>
      </text>
    </comment>
    <comment ref="T39" authorId="0" shapeId="0" xr:uid="{CA44C5CD-77DB-45B5-B129-89EBC701666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39" authorId="0" shapeId="0" xr:uid="{975770F8-BC03-4F81-85F8-F46156708D8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D39" authorId="0" shapeId="0" xr:uid="{3B86340D-F9BF-492B-A2BB-AAB2C9F5DDD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Omar Mascarell (40)</t>
        </r>
      </text>
    </comment>
    <comment ref="T40" authorId="0" shapeId="0" xr:uid="{9AC73EC2-DE3E-4479-AA45-3CE19795231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40" authorId="0" shapeId="0" xr:uid="{9B6E2279-128E-4ACB-AD5C-4568C0792A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40" authorId="0" shapeId="0" xr:uid="{783FF8E4-CE19-4B65-ABB1-2BCA5645AF7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 Gorrotxategi (36)</t>
        </r>
      </text>
    </comment>
    <comment ref="T41" authorId="0" shapeId="0" xr:uid="{4E2D348C-2A50-4BAD-A2E4-3BB8A421AEA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41" authorId="0" shapeId="0" xr:uid="{EC50AE1E-BD98-4613-B223-D0DDF7005B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BD41" authorId="0" shapeId="0" xr:uid="{27018E55-5AFB-4813-952B-5016AB1275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Odysseas Vlachodimos (82)</t>
        </r>
      </text>
    </comment>
    <comment ref="BE41" authorId="0" shapeId="0" xr:uid="{EF7515E6-140F-4CAE-A30E-569528B85EF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Jose Angel Carmona (35)</t>
        </r>
      </text>
    </comment>
    <comment ref="T42" authorId="0" shapeId="0" xr:uid="{51A108AA-93B9-498F-82FE-FF31B3AB0EA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U42" authorId="0" shapeId="0" xr:uid="{74F84DFA-C833-4027-89D6-2EB4A81F5CB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BD42" authorId="0" shapeId="0" xr:uid="{FEBA5D92-0E30-416F-AD76-26C0D320ED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Oihan Sancet (13)</t>
        </r>
      </text>
    </comment>
    <comment ref="T43" authorId="0" shapeId="0" xr:uid="{A42127D0-ED9A-4601-A028-5782BB66CD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43" authorId="0" shapeId="0" xr:uid="{7E55C2A9-6E2A-483E-9A5B-451E9372EBD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T44" authorId="0" shapeId="0" xr:uid="{E61D4EEE-617B-41AF-9157-FEDF1DEC77A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44" authorId="0" shapeId="0" xr:uid="{14B853F3-55C8-44A8-B6AB-9B596C7324C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BB44" authorId="0" shapeId="0" xr:uid="{615AC69C-0EE1-43D2-B256-D46B49297B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Pape Gueye (11)
Sergi Cardona (40)</t>
        </r>
      </text>
    </comment>
    <comment ref="BD44" authorId="0" shapeId="0" xr:uid="{7640140C-D35E-4E96-85D6-1C2FF8F5A9F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Jauregizar (2)
Unai Gomez (17)</t>
        </r>
      </text>
    </comment>
    <comment ref="T45" authorId="0" shapeId="0" xr:uid="{0D8E7372-21A0-46A5-9910-2C40457C4D3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U45" authorId="0" shapeId="0" xr:uid="{BBED0860-00E7-4E9D-AAE5-569FEB9D142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BD45" authorId="0" shapeId="0" xr:uid="{0E666BE0-49B4-44CA-89E9-B72083E2D2C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Dani Vivian (53)
Jesus Areso (66)</t>
        </r>
      </text>
    </comment>
    <comment ref="T48" authorId="0" shapeId="0" xr:uid="{7C91972D-D357-4C5B-AFC4-CC6F6F10F7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48" authorId="0" shapeId="0" xr:uid="{5BA5D1D7-4833-49C6-A091-8657CE12D08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BB48" authorId="0" shapeId="0" xr:uid="{FD47DFBA-940E-467C-9A93-B0F162288F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Eder Militao (39)</t>
        </r>
      </text>
    </comment>
    <comment ref="T49" authorId="0" shapeId="0" xr:uid="{45C29352-8896-42D4-9889-DBAF65BA9BE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49" authorId="0" shapeId="0" xr:uid="{49476957-605B-4EBB-9038-C3E9260A871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E49" authorId="0" shapeId="0" xr:uid="{5FB56C18-A1F9-4FC2-91DD-776377332A8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Mateu Morey (37)</t>
        </r>
      </text>
    </comment>
    <comment ref="T50" authorId="0" shapeId="0" xr:uid="{0F3662F1-E9B9-45DB-A189-C9A93E13CE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50" authorId="0" shapeId="0" xr:uid="{1AD5FBA2-7D03-42DF-8D78-0B4B05FDC50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T51" authorId="0" shapeId="0" xr:uid="{F0C64ECF-C9B5-4C07-B071-0492934C4F6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51" authorId="0" shapeId="0" xr:uid="{071A9E96-CDF7-4A80-8A24-F303421388F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Tenas</t>
        </r>
      </text>
    </comment>
    <comment ref="BB51" authorId="0" shapeId="0" xr:uid="{A1A1CA8D-35B0-486D-88B7-CC410BC6A6A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Franco Mastantuano (29)</t>
        </r>
      </text>
    </comment>
    <comment ref="BD51" authorId="0" shapeId="0" xr:uid="{36FC5324-5ED9-4E66-A28B-6630143CE1A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Santiago Mourino (21)</t>
        </r>
      </text>
    </comment>
    <comment ref="BE51" authorId="0" shapeId="0" xr:uid="{FF82FA7B-55D4-4AAB-8AB4-DD14D4CB1E1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Tani Oluwaseyi (79)</t>
        </r>
      </text>
    </comment>
    <comment ref="T52" authorId="0" shapeId="0" xr:uid="{3F8CFCF0-C794-45CE-A3FD-A03CA167C50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52" authorId="0" shapeId="0" xr:uid="{903605FB-AFF6-401C-9A7A-E3A1FCF7A74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BB52" authorId="0" shapeId="0" xr:uid="{1DBE6483-5D06-4D16-9B33-652A0A1048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Dean Huijsen (1)</t>
        </r>
      </text>
    </comment>
    <comment ref="BC52" authorId="0" shapeId="0" xr:uid="{EF91799D-CE07-487D-80DC-338A666175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Arda Güler (37)</t>
        </r>
      </text>
    </comment>
    <comment ref="BD52" authorId="0" shapeId="0" xr:uid="{3A111431-5FD3-4A0E-A677-BEA19C9224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Roony Bardghji (87)</t>
        </r>
      </text>
    </comment>
    <comment ref="T53" authorId="0" shapeId="0" xr:uid="{6A9139A1-5761-4D5B-B428-C42670BDB4C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53" authorId="0" shapeId="0" xr:uid="{8591D239-B8AB-4219-9D8A-CF7ADDBF2B6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</t>
        </r>
      </text>
    </comment>
    <comment ref="T54" authorId="0" shapeId="0" xr:uid="{E0572E19-DEB9-4714-BCDE-3723E2198F2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U54" authorId="0" shapeId="0" xr:uid="{A8301639-E0EB-4169-B415-0EF7CC8417E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BD54" authorId="0" shapeId="0" xr:uid="{5ADCFCE4-CD93-49DC-9008-55AD6DE7A9B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Baptiste Santamaria (14)</t>
        </r>
      </text>
    </comment>
    <comment ref="BE54" authorId="0" shapeId="0" xr:uid="{8D0803B7-1429-4ADC-9EED-6A79937DB7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Copete (42)
Jose Gaya (65)</t>
        </r>
      </text>
    </comment>
    <comment ref="T55" authorId="0" shapeId="0" xr:uid="{1768655E-01FE-44F0-AB2C-743B6A796F4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55" authorId="0" shapeId="0" xr:uid="{C2BD57D9-2A3A-4960-8373-D3C67E55A80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T56" authorId="0" shapeId="0" xr:uid="{95B56193-A6F3-4F73-AB18-9E34824B12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56" authorId="0" shapeId="0" xr:uid="{CDE62BAA-F28B-44B1-9B57-CBACB4ED127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BB56" authorId="0" shapeId="0" xr:uid="{83E04B7D-4B67-4E42-9A0D-132BECA3A5B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Vitor Reis (58)</t>
        </r>
      </text>
    </comment>
    <comment ref="T57" authorId="0" shapeId="0" xr:uid="{3175D2F5-8F0E-4377-87EC-2F378CDEDB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57" authorId="0" shapeId="0" xr:uid="{F61819B2-87E9-4321-850F-056D6252D00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T2" authorId="0" shapeId="0" xr:uid="{104F1DA4-806E-413B-9162-3EE1969C571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2" authorId="0" shapeId="0" xr:uid="{56C4FEF0-472C-472C-9908-D37B814DB94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BE2" authorId="0" shapeId="0" xr:uid="{5E119D62-04D7-4B1D-9C6D-DD1C0DAACF4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Omar El Hilali (60)</t>
        </r>
      </text>
    </comment>
    <comment ref="T3" authorId="0" shapeId="0" xr:uid="{24FC1D73-E374-4AF8-9132-618D360ACE9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3" authorId="0" shapeId="0" xr:uid="{0DCC791C-18F4-40E5-A91D-F0D4E4ED9E9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BC3" authorId="0" shapeId="0" xr:uid="{8418A389-7593-493B-905F-35C65BF5BE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Goti (11)</t>
        </r>
      </text>
    </comment>
    <comment ref="T4" authorId="0" shapeId="0" xr:uid="{C92EA763-478A-4C7C-AF82-77D8121BAE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4" authorId="0" shapeId="0" xr:uid="{18008B1E-0955-45E9-A1CF-00F0E9BF3F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D4" authorId="0" shapeId="0" xr:uid="{BEDAC44B-561C-4A63-94C8-F6D82D9CD0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Omar Mascarell (40)</t>
        </r>
      </text>
    </comment>
    <comment ref="T5" authorId="0" shapeId="0" xr:uid="{0D61D62D-0884-454F-B274-D620AFB6553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5" authorId="0" shapeId="0" xr:uid="{5DB8036F-3805-42DD-A582-0DC04D16831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5" authorId="0" shapeId="0" xr:uid="{52F4F9C9-978B-49A6-B65E-F01D61B005F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 Gorrotxategi (36)</t>
        </r>
      </text>
    </comment>
    <comment ref="T6" authorId="0" shapeId="0" xr:uid="{28552803-5EDD-413C-8F02-164E4ABCA67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6" authorId="0" shapeId="0" xr:uid="{7864F403-2A69-4D25-8DBB-1A84CD31414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BD6" authorId="0" shapeId="0" xr:uid="{61CC8AE2-6FFF-49E7-97CC-DA979057732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Djibril Sow (44)</t>
        </r>
      </text>
    </comment>
    <comment ref="T7" authorId="0" shapeId="0" xr:uid="{137853B2-0BCF-4AB4-8DB2-24D06961CFF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7" authorId="0" shapeId="0" xr:uid="{728E0FBD-0710-4029-829C-67893DDE0DE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BB7" authorId="0" shapeId="0" xr:uid="{A38EA2C3-6AA9-4E1F-940B-05A82C2E702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David Lopez (8)
Ivan Martinez (43)</t>
        </r>
      </text>
    </comment>
    <comment ref="BC7" authorId="0" shapeId="0" xr:uid="{9620C4DA-ABEC-4BB9-BC3F-B80B8B6BC7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Alex Moreno (29)</t>
        </r>
      </text>
    </comment>
    <comment ref="T8" authorId="0" shapeId="0" xr:uid="{4776363F-CC41-466D-9038-6B5EEB977D4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8" authorId="0" shapeId="0" xr:uid="{AADC8BC1-9238-4141-8BA2-8E6CFEA46E7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BC8" authorId="0" shapeId="0" xr:uid="{31799E22-94E8-44C3-94EF-878BF27178A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Carles Alena (9)</t>
        </r>
      </text>
    </comment>
    <comment ref="T9" authorId="0" shapeId="0" xr:uid="{121A4D93-77E6-4E42-A53A-101D912FE7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9" authorId="0" shapeId="0" xr:uid="{27259E70-3939-4C5A-A464-17773B77ACE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Vlochodimos</t>
        </r>
      </text>
    </comment>
    <comment ref="BB9" authorId="0" shapeId="0" xr:uid="{06254FD9-0FFA-4429-B4D0-C946F9F5203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Isi Palazon (1)</t>
        </r>
      </text>
    </comment>
    <comment ref="BD9" authorId="0" shapeId="0" xr:uid="{98DD22A2-1970-4CE6-A0E1-1D39FC81965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Gabriel Suazo (73)</t>
        </r>
      </text>
    </comment>
    <comment ref="T11" authorId="0" shapeId="0" xr:uid="{44CCDC0B-F61C-4634-AD3B-4E6E59DBA7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11" authorId="0" shapeId="0" xr:uid="{1ADE2E4A-F242-44AC-87E2-BF8ADB70CD2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11" authorId="0" shapeId="0" xr:uid="{F7AED699-F006-4AC9-B2B8-D3C09609548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Daley Blind (16)
David Lopez (47)</t>
        </r>
      </text>
    </comment>
    <comment ref="BC11" authorId="0" shapeId="0" xr:uid="{F68ADF9E-7221-47B8-AA28-409AC7B41E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Paulo Gazzaniga (17)</t>
        </r>
      </text>
    </comment>
    <comment ref="BD11" authorId="0" shapeId="0" xr:uid="{6682CCA7-71E1-4713-979A-ABC8BFC8F5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Pep Chavarria (27)</t>
        </r>
      </text>
    </comment>
    <comment ref="T12" authorId="0" shapeId="0" xr:uid="{8E9CF3F5-3EFA-4031-A84C-79972745853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12" authorId="0" shapeId="0" xr:uid="{A7BD7C08-CA3F-44A6-A5A5-F86E6745C6A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BB12" authorId="0" shapeId="0" xr:uid="{20752BBE-3DF8-4EE3-95E4-D2A2C622EC5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David Lopez (8)
Ivan Martinez (43)</t>
        </r>
      </text>
    </comment>
    <comment ref="BC12" authorId="0" shapeId="0" xr:uid="{38E42BA4-0FA7-47C3-828F-0B9711140A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Alex Moreno (29)</t>
        </r>
      </text>
    </comment>
    <comment ref="T13" authorId="0" shapeId="0" xr:uid="{8FEC14DD-FE7C-414B-968D-EB69ED04DD9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13" authorId="0" shapeId="0" xr:uid="{8D6EDFDA-5EF3-48F4-B91A-B58A83A278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T14" authorId="0" shapeId="0" xr:uid="{C54758E7-FE29-4912-807D-B7795FAAFB5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14" authorId="0" shapeId="0" xr:uid="{E12F7376-716A-4DA1-8C4C-A2CFE9AAFF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BB14" authorId="0" shapeId="0" xr:uid="{00A3E427-A00D-485E-932C-AF90E8ECAE3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Vladyslav Vanat (74)</t>
        </r>
      </text>
    </comment>
    <comment ref="BD14" authorId="0" shapeId="0" xr:uid="{7E40540E-1984-4DC1-800F-8EE5323F53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Carlos Romero (51)</t>
        </r>
      </text>
    </comment>
    <comment ref="T15" authorId="0" shapeId="0" xr:uid="{EEF21FC4-AAD2-48A3-8BA9-A60A2E36BAF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15" authorId="0" shapeId="0" xr:uid="{63FAC688-588F-4817-A888-74FA95D221C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BB15" authorId="0" shapeId="0" xr:uid="{3094D567-BF39-46D9-BCA9-EA5029A383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Vitor Reis (58)</t>
        </r>
      </text>
    </comment>
    <comment ref="T16" authorId="0" shapeId="0" xr:uid="{67C5FE62-880E-4FF6-9060-4252EA091F8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16" authorId="0" shapeId="0" xr:uid="{F481B52A-AACA-43C2-BED8-3E6BFDFC96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B16" authorId="0" shapeId="0" xr:uid="{C240F99E-D317-416A-87C5-C423383D43C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Rafa Marin (90+4)</t>
        </r>
      </text>
    </comment>
    <comment ref="BD16" authorId="0" shapeId="0" xr:uid="{53BDCD84-3042-4AFE-9C16-A6675E736B5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Salomon Rondon (46)
Marco Esteban (54)</t>
        </r>
      </text>
    </comment>
    <comment ref="T17" authorId="0" shapeId="0" xr:uid="{5206BFD9-51F4-4654-90C2-10515FFAD4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17" authorId="0" shapeId="0" xr:uid="{0100849A-D6BB-4532-BF9B-7367C3660D0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D17" authorId="0" shapeId="0" xr:uid="{C0BE42CB-7413-498B-8353-571AE04A0A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Santiago Colombatto (59)</t>
        </r>
      </text>
    </comment>
    <comment ref="BE17" authorId="0" shapeId="0" xr:uid="{838A868D-AD49-4EA1-B0D4-D43D793D6FA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Aaron Escandell (53)</t>
        </r>
      </text>
    </comment>
    <comment ref="T18" authorId="0" shapeId="0" xr:uid="{CA875723-27DD-4F01-A28E-7AA596E183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Penal</t>
        </r>
      </text>
    </comment>
    <comment ref="U18" authorId="0" shapeId="0" xr:uid="{27AB6963-E94B-4C2B-85DC-124F561391B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B18" authorId="0" shapeId="0" xr:uid="{4AA16A58-CA71-43AA-A97A-4E66B33F526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Rafa Mir (1)
David Affengruber (63)</t>
        </r>
      </text>
    </comment>
    <comment ref="BD18" authorId="0" shapeId="0" xr:uid="{9D4D7365-DE5A-4DAA-BF93-A040C87E8F7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Nacho Vidal (41)</t>
        </r>
      </text>
    </comment>
    <comment ref="T19" authorId="0" shapeId="0" xr:uid="{2698DFF4-C00A-4D7E-9A78-ADD0BAA86E8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19" authorId="0" shapeId="0" xr:uid="{D721E1CD-6A55-4D03-BB93-1855B27229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D19" authorId="0" shapeId="0" xr:uid="{F091D164-4EF7-4F27-B967-E035C3DCC0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Alberto Reina (66)</t>
        </r>
      </text>
    </comment>
    <comment ref="T21" authorId="0" shapeId="0" xr:uid="{96648B2D-2387-4A26-895C-283B44866EE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21" authorId="0" shapeId="0" xr:uid="{BDB215E0-21F0-4CF4-A357-D149CDB568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T22" authorId="0" shapeId="0" xr:uid="{3462D0C7-7DE2-4B8C-BF54-28B2658633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22" authorId="0" shapeId="0" xr:uid="{57886C97-64DF-4EB0-B7DB-87FF94EDB98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T23" authorId="0" shapeId="0" xr:uid="{C60F7189-1575-4D37-9969-45E2C725947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23" authorId="0" shapeId="0" xr:uid="{0F633F90-9B04-4AE3-B8DE-D3387A91087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E23" authorId="0" shapeId="0" xr:uid="{6E85545B-B1CE-4AA8-99E5-656FA492CF7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 Roman (33)</t>
        </r>
      </text>
    </comment>
    <comment ref="T24" authorId="0" shapeId="0" xr:uid="{212CD846-791F-4D52-A12E-AE47EB6983B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24" authorId="0" shapeId="0" xr:uid="{F8DA5658-6DF7-47AB-B827-9DF7D9C80E9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T25" authorId="0" shapeId="0" xr:uid="{1430B067-CB06-40C5-BFB6-85C33C4C499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25" authorId="0" shapeId="0" xr:uid="{D9D61095-99B1-4CE3-9091-15142A42D3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T26" authorId="0" shapeId="0" xr:uid="{26F43756-7778-4FBD-89F6-A8BC4504B0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26" authorId="0" shapeId="0" xr:uid="{928BFDEB-0CF9-404B-8E79-F1ED015596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T27" authorId="0" shapeId="0" xr:uid="{49939EF5-F35D-462B-AB89-192D20E98B4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U27" authorId="0" shapeId="0" xr:uid="{F79EA951-762F-4F31-8116-22E8DDBD090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BD27" authorId="0" shapeId="0" xr:uid="{2090567A-DEC8-4826-948D-4BDB974EE9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Pedro Bigas (45)</t>
        </r>
      </text>
    </comment>
    <comment ref="T28" authorId="0" shapeId="0" xr:uid="{74650659-4F3A-4551-B235-3EAFBB74D8B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28" authorId="0" shapeId="0" xr:uid="{377A8F92-843C-4C81-86ED-AE0A4F39C61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BC28" authorId="0" shapeId="0" xr:uid="{A4FFA689-A622-4941-82D2-3E7888EA8A9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Sergio Herrera (90+1)</t>
        </r>
      </text>
    </comment>
    <comment ref="T29" authorId="0" shapeId="0" xr:uid="{49E89340-6C36-448D-A498-F6C79C3FF3C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29" authorId="0" shapeId="0" xr:uid="{FDC765E9-6DCE-4FC2-A6A2-458A2A43FB6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T31" authorId="0" shapeId="0" xr:uid="{7AC337CA-9D02-41D7-BB84-EBCFB5F03BF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31" authorId="0" shapeId="0" xr:uid="{9C6EE3F0-5685-4542-B54C-4084DC152DB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BD31" authorId="0" shapeId="0" xr:uid="{3232BC7C-349C-49F6-A148-8B998FE55E0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Djibril Sow (44)</t>
        </r>
      </text>
    </comment>
    <comment ref="T32" authorId="0" shapeId="0" xr:uid="{FC20C8CB-913A-42FD-AD7C-DE430D8FE6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32" authorId="0" shapeId="0" xr:uid="{ACFAF94E-9018-42F4-A365-35400A71996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32" authorId="0" shapeId="0" xr:uid="{1F69AA92-EDFE-408A-88B7-E622637BC18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Jauregizar (1)</t>
        </r>
      </text>
    </comment>
    <comment ref="T33" authorId="0" shapeId="0" xr:uid="{F8592B0A-0A69-4BA3-971E-69498BC6501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33" authorId="0" shapeId="0" xr:uid="{5DC3D694-C1BB-45FC-A4A7-0E263DEE64A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33" authorId="0" shapeId="0" xr:uid="{3A38FD5B-62F8-4E15-8BFB-4300BD5AE1A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Vesga (90+1)</t>
        </r>
      </text>
    </comment>
    <comment ref="BD33" authorId="0" shapeId="0" xr:uid="{553F5183-082F-40E6-86BA-7473E64541A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Antonio Blanco (29)</t>
        </r>
      </text>
    </comment>
    <comment ref="T34" authorId="0" shapeId="0" xr:uid="{193D8988-9B72-48CC-A080-A7C3EEF5C53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34" authorId="0" shapeId="0" xr:uid="{93B6031E-8A72-4047-8D03-1B54D47C05B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BB34" authorId="0" shapeId="0" xr:uid="{15BDF617-86E2-4FFA-BE63-5E33811A422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Andoni Gorosabel (44)</t>
        </r>
      </text>
    </comment>
    <comment ref="BD34" authorId="0" shapeId="0" xr:uid="{B0B5EBD3-8236-4557-96BC-B8FC28D406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Jhon Solis (50)</t>
        </r>
      </text>
    </comment>
    <comment ref="BE34" authorId="0" shapeId="0" xr:uid="{DF2C5925-180A-453D-9887-F8F1E75EA17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Bryan Gil (47)</t>
        </r>
      </text>
    </comment>
    <comment ref="T35" authorId="0" shapeId="0" xr:uid="{81F48C07-E340-4B3C-9754-96C226C8A64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35" authorId="0" shapeId="0" xr:uid="{65FF80B5-9BC4-42CC-A2EF-C0E4F3EC9A8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T36" authorId="0" shapeId="0" xr:uid="{EBD6418D-7C37-464A-AE82-0134F8E745F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36" authorId="0" shapeId="0" xr:uid="{3B7CCE3B-65CE-40EF-BDC3-44FFEE9C9C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BB36" authorId="0" shapeId="0" xr:uid="{7176BDB2-CDDD-4B5E-96EE-7A587E49668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Javi Rodriguez (45)</t>
        </r>
      </text>
    </comment>
    <comment ref="BC36" authorId="0" shapeId="0" xr:uid="{11EAC558-6C8C-4854-A9BE-752B0667D42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Javi Rodriguez (71)</t>
        </r>
      </text>
    </comment>
    <comment ref="BD36" authorId="0" shapeId="0" xr:uid="{A8796933-0EF0-4433-A3C2-9F5C92FE9C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Davinchi (29)</t>
        </r>
      </text>
    </comment>
    <comment ref="T37" authorId="0" shapeId="0" xr:uid="{94620DF8-B51B-44AD-90CB-E511E4A997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U37" authorId="0" shapeId="0" xr:uid="{638F225F-8535-4BCF-9617-58AC9C6B39C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BB37" authorId="0" shapeId="0" xr:uid="{0083B91C-92CB-4D0F-9FDE-7A420698321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Kike Salas (50)</t>
        </r>
      </text>
    </comment>
    <comment ref="T38" authorId="0" shapeId="0" xr:uid="{E8F89F2E-55C1-42C6-9365-E6F66943F0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38" authorId="0" shapeId="0" xr:uid="{16D0BDB4-97AA-4796-953A-24A0C8825A5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T39" authorId="0" shapeId="0" xr:uid="{6315CEE7-A011-4162-AA0D-2A3F0E5AF3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U39" authorId="0" shapeId="0" xr:uid="{F4B46C7B-BC3E-41A4-A9F1-C64E34C534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T40" authorId="0" shapeId="0" xr:uid="{BC4848FD-4FA5-4491-BC25-00DE072F556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40" authorId="0" shapeId="0" xr:uid="{731621BF-38C8-4490-B16B-D32B9ECFA41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T42" authorId="0" shapeId="0" xr:uid="{5BCAAE8F-89B9-4A94-943F-E988E68D968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42" authorId="0" shapeId="0" xr:uid="{3E4EE385-2F21-4150-951B-DD1205E811A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T43" authorId="0" shapeId="0" xr:uid="{54765B0F-1415-4A5D-8750-1C2B24F942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43" authorId="0" shapeId="0" xr:uid="{97C58B2E-CEAF-4B73-BC11-CFA7C424ACB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T44" authorId="0" shapeId="0" xr:uid="{93F0E9C6-F68F-4101-8ED5-5051BF01E48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44" authorId="0" shapeId="0" xr:uid="{BE114241-F6DB-41DE-95EC-0099081946F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T45" authorId="0" shapeId="0" xr:uid="{C806BE18-B592-4B28-8078-E5A26D5B9F7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45" authorId="0" shapeId="0" xr:uid="{7248DF42-BB07-40CC-AD88-C53050C72C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D45" authorId="0" shapeId="0" xr:uid="{BD4645E7-A854-438C-99D3-E0F4DCF4ABF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Alberto Reina (66)</t>
        </r>
      </text>
    </comment>
    <comment ref="T46" authorId="0" shapeId="0" xr:uid="{FD8ECDAB-EEB5-4D65-B177-638449C5325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46" authorId="0" shapeId="0" xr:uid="{A8CA7E20-C778-483F-8AA6-8E01D3CFE8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BD46" authorId="0" shapeId="0" xr:uid="{6FF6DE56-0823-4F3A-84DA-7CDDB11F207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Pape Gueye (7)
Santi Comesana (17)</t>
        </r>
      </text>
    </comment>
    <comment ref="T47" authorId="0" shapeId="0" xr:uid="{3BDD268D-2776-4317-8EAE-18417B8B312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47" authorId="0" shapeId="0" xr:uid="{7169A63D-7C0A-474D-BF38-6A00ACA8D71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BB47" authorId="0" shapeId="0" xr:uid="{FC636D10-4560-4DDF-A531-D978795EC11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Pablo Barrios (14)</t>
        </r>
      </text>
    </comment>
    <comment ref="BE47" authorId="0" shapeId="0" xr:uid="{FCA18C9F-DD33-4E0A-BB16-FE3D497B8EF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 Cardona (8)</t>
        </r>
      </text>
    </comment>
    <comment ref="T48" authorId="0" shapeId="0" xr:uid="{3DC7D7B0-F785-4216-AC26-208BA2747C0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U48" authorId="0" shapeId="0" xr:uid="{6C290797-E168-42CE-A5B3-F77EDA6EB0C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Tenas</t>
        </r>
      </text>
    </comment>
    <comment ref="T49" authorId="0" shapeId="0" xr:uid="{2926542B-F8B8-437D-8553-891581EE07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49" authorId="0" shapeId="0" xr:uid="{3DD5071F-EDF3-43F3-AD3B-2E9B9FF6073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Tenas</t>
        </r>
      </text>
    </comment>
    <comment ref="BB49" authorId="0" shapeId="0" xr:uid="{31AA9632-CB6F-4A11-B235-465F658310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Franco Mastantuano (29)</t>
        </r>
      </text>
    </comment>
    <comment ref="BD49" authorId="0" shapeId="0" xr:uid="{98E087BC-9EC3-4D4E-804C-6CE656E2AF8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Santiago Mourino (21)</t>
        </r>
      </text>
    </comment>
    <comment ref="BE49" authorId="0" shapeId="0" xr:uid="{5CFB48B7-6101-4A91-83CE-FD942A99AC2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Tani Oluwaseyi (79)</t>
        </r>
      </text>
    </comment>
    <comment ref="T51" authorId="0" shapeId="0" xr:uid="{DD111817-AC91-4462-B27B-956EC143393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51" authorId="0" shapeId="0" xr:uid="{B72A6D22-3404-4820-A978-3D0CF75DC5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T52" authorId="0" shapeId="0" xr:uid="{92A3D89D-56FA-452D-8176-F228CCCF807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52" authorId="0" shapeId="0" xr:uid="{8DA17956-088F-487E-8504-FC6A17306CD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D52" authorId="0" shapeId="0" xr:uid="{76474F0B-D68A-4BB9-9627-01BFFF1BA68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Manu Fernandez (8)</t>
        </r>
      </text>
    </comment>
    <comment ref="T53" authorId="0" shapeId="0" xr:uid="{7332214A-411F-43CD-A55C-2A6E94A5055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53" authorId="0" shapeId="0" xr:uid="{BFA0B9BE-6D2A-48A9-B76B-22B687731F4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T54" authorId="0" shapeId="0" xr:uid="{E814D8C8-4420-4DD7-94E9-DCB00D0B913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54" authorId="0" shapeId="0" xr:uid="{6522E642-D693-4A98-91CD-A48DB00287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54" authorId="0" shapeId="0" xr:uid="{EF113A5D-D84D-403D-9C77-799DFB791D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 Valjent (45)</t>
        </r>
      </text>
    </comment>
    <comment ref="T55" authorId="0" shapeId="0" xr:uid="{7A2689FA-FE9C-4CE5-BD26-9DF06BDADB5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55" authorId="0" shapeId="0" xr:uid="{7B093444-FD17-4C3C-BBD0-1CE3D25C41A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Cunat</t>
        </r>
      </text>
    </comment>
    <comment ref="BE55" authorId="0" shapeId="0" xr:uid="{D9F99F30-C4B6-496E-A88F-F3761565B1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Jorge Cabello (90+1)</t>
        </r>
      </text>
    </comment>
    <comment ref="T56" authorId="0" shapeId="0" xr:uid="{2C14036B-05BE-4065-8A9A-5BF31717C93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U56" authorId="0" shapeId="0" xr:uid="{4145892D-BEE3-4959-8D63-889F3EE5429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BB56" authorId="0" shapeId="0" xr:uid="{9F56C72C-DFD4-4078-B166-E3D462B01A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Matias Dituro (78)</t>
        </r>
      </text>
    </comment>
    <comment ref="T57" authorId="0" shapeId="0" xr:uid="{881E04E7-341E-4BFC-BCFB-D59D205FC47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57" authorId="0" shapeId="0" xr:uid="{D862158B-52AC-4439-B812-5CD33D65D2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T58" authorId="0" shapeId="0" xr:uid="{87C154C6-F9C8-48A7-A0F3-23658A25557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58" authorId="0" shapeId="0" xr:uid="{6CB1AF00-73B7-443B-A7C8-7873A874085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BB58" authorId="0" shapeId="0" xr:uid="{0A8FF613-96FC-465A-B317-ED3956DDC9C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Djene Dakonam (12)</t>
        </r>
      </text>
    </comment>
    <comment ref="T59" authorId="0" shapeId="0" xr:uid="{79862767-D3F4-41AA-ACE5-C76C4AEB19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U59" authorId="0" shapeId="0" xr:uid="{DF55F96D-6F35-4F95-95AE-ABE5B237A06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BB59" authorId="0" shapeId="0" xr:uid="{1991F313-B012-4A86-A57B-30039D91BCD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Leander Dendoncker (25)</t>
        </r>
      </text>
    </comment>
    <comment ref="T61" authorId="0" shapeId="0" xr:uid="{86B4B431-D39E-43A0-B526-1405900D83C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61" authorId="0" shapeId="0" xr:uid="{B723F1C6-A9AB-4F8C-8F05-7B37B125315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BB61" authorId="0" shapeId="0" xr:uid="{214B4881-A3B5-4DB5-94C7-384C2CE5877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Eder Militao (39)</t>
        </r>
      </text>
    </comment>
    <comment ref="T62" authorId="0" shapeId="0" xr:uid="{7BA109F5-3D89-4AA8-A3FC-B09642085C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62" authorId="0" shapeId="0" xr:uid="{91FFC8DF-483B-45D6-A874-D35912A218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E62" authorId="0" shapeId="0" xr:uid="{3424C12A-E4DD-4892-93CD-0FE069E6E1C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Mateu Morey (37)</t>
        </r>
      </text>
    </comment>
    <comment ref="T63" authorId="0" shapeId="0" xr:uid="{FA8B5943-E6EC-49ED-ADFB-D8C7EA9EAE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63" authorId="0" shapeId="0" xr:uid="{9E4D3483-A498-4AFF-A9A2-89B1A48DCF6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T64" authorId="0" shapeId="0" xr:uid="{643795C1-F19B-42EE-9A48-62BEEC326D7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64" authorId="0" shapeId="0" xr:uid="{3D4BFC76-1B15-4844-BA06-E8217C42299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Tenas</t>
        </r>
      </text>
    </comment>
    <comment ref="BB64" authorId="0" shapeId="0" xr:uid="{ACDA1823-1123-444D-9628-9EA28B7212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Franco Mastantuano (29)</t>
        </r>
      </text>
    </comment>
    <comment ref="BD64" authorId="0" shapeId="0" xr:uid="{F8A01DDA-8A87-4504-A193-EAD9EE60561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Santiago Mourino (21)</t>
        </r>
      </text>
    </comment>
    <comment ref="BE64" authorId="0" shapeId="0" xr:uid="{5EB087AE-3EAC-4B35-B647-82B524AF294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Tani Oluwaseyi (79)</t>
        </r>
      </text>
    </comment>
    <comment ref="T65" authorId="0" shapeId="0" xr:uid="{EF9AF4F3-1EFB-403D-98FF-A3018D28973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65" authorId="0" shapeId="0" xr:uid="{852FC442-BA44-47DD-9FD9-AD152302C6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T66" authorId="0" shapeId="0" xr:uid="{7FED2EFA-3279-4DD8-9433-C60B61BED3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Cunat</t>
        </r>
      </text>
    </comment>
    <comment ref="U66" authorId="0" shapeId="0" xr:uid="{8E996D7E-8A6B-46DA-BB69-9F023AD74FB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T67" authorId="0" shapeId="0" xr:uid="{BE74DBA8-3BED-4474-95D6-2764FE08BAB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67" authorId="0" shapeId="0" xr:uid="{E50F4C88-AE84-4A58-BE7F-2BBA2EDB4C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BB67" authorId="0" shapeId="0" xr:uid="{C783056C-84A2-43F5-984D-06D3E9356FD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Unai Lopez (6)</t>
        </r>
      </text>
    </comment>
    <comment ref="T68" authorId="0" shapeId="0" xr:uid="{B552536B-C592-472B-B150-00857B0FDBA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U68" authorId="0" shapeId="0" xr:uid="{98599586-934B-4DC8-99FE-FC36C9BC6B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BE68" authorId="0" shapeId="0" xr:uid="{2E70D075-F5B2-46D1-BC9F-519E5A894C4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Joan Garcia (32)</t>
        </r>
      </text>
    </comment>
    <comment ref="T69" authorId="0" shapeId="0" xr:uid="{E2E39DA3-7721-4789-BAA2-7421927B57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U69" authorId="0" shapeId="0" xr:uid="{1388BE34-AC79-49C2-BD66-1DC8AED75A4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BC69" authorId="0" shapeId="0" xr:uid="{3A7D96A6-B63E-45E4-A076-06C4FAC9373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Lucien Agoume (51)</t>
        </r>
      </text>
    </comment>
    <comment ref="T71" authorId="0" shapeId="0" xr:uid="{051EA956-F1A9-4D84-8C7C-E15E0A81115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71" authorId="0" shapeId="0" xr:uid="{ACD3198E-EE2A-4B0D-B326-ED25FAE6A62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</t>
        </r>
      </text>
    </comment>
    <comment ref="T72" authorId="0" shapeId="0" xr:uid="{0D3DD748-F54E-453D-8DEF-E027F0D8C34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72" authorId="0" shapeId="0" xr:uid="{059252E3-CAC8-4880-B011-D6389CC6E7E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D72" authorId="0" shapeId="0" xr:uid="{47B5AF91-AC5C-4ECD-A071-86F55C183CC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Augusto Batalla (32)</t>
        </r>
      </text>
    </comment>
    <comment ref="T73" authorId="0" shapeId="0" xr:uid="{2B268E75-048C-4548-8419-EABEF4AECE7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73" authorId="0" shapeId="0" xr:uid="{6AFDAC52-2919-4ADE-A90D-6B30FFFC8C9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BC73" authorId="0" shapeId="0" xr:uid="{E9975157-4D1A-453B-A434-A209BEAA0BC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Sergio Herrera (90+1)</t>
        </r>
      </text>
    </comment>
    <comment ref="T74" authorId="0" shapeId="0" xr:uid="{531C87CD-3958-4D9D-9781-703B9C1EE54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74" authorId="0" shapeId="0" xr:uid="{4AB1B79B-27F1-4138-8606-3621F6F77C6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T75" authorId="0" shapeId="0" xr:uid="{E02C7775-126F-4BD8-ABA5-F4DFD2F8E33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75" authorId="0" shapeId="0" xr:uid="{6BB61DA9-EEBE-4E72-8DCF-3753F3541CA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D75" authorId="0" shapeId="0" xr:uid="{3B02CFB1-DE46-4EA3-BF19-B9B0B32E89A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Manu Fernandez (8)</t>
        </r>
      </text>
    </comment>
    <comment ref="T76" authorId="0" shapeId="0" xr:uid="{BCA10491-E482-4CF2-92A8-188C834580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76" authorId="0" shapeId="0" xr:uid="{CC172E36-05FC-4CC4-977C-7F4BFCB7F9A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D76" authorId="0" shapeId="0" xr:uid="{8D84FFEC-608C-478E-8A78-E91D005612D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Yoel Lago (82)</t>
        </r>
      </text>
    </comment>
    <comment ref="T77" authorId="0" shapeId="0" xr:uid="{7AF71B78-50A0-4CF7-9E39-ECEACDF3666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U77" authorId="0" shapeId="0" xr:uid="{EEA1C5F8-BC32-4E83-A757-B299074C61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B77" authorId="0" shapeId="0" xr:uid="{7D6AE3B5-4C6E-465F-AAA5-8D2D9F1C08D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Pedro Bigas (31)</t>
        </r>
      </text>
    </comment>
    <comment ref="T79" authorId="0" shapeId="0" xr:uid="{7A92F95E-9420-4B90-8B35-A7671712E43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79" authorId="0" shapeId="0" xr:uid="{2DDDE813-032F-48E2-8E88-096AB04A2EC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BB79" authorId="0" shapeId="0" xr:uid="{F76589E8-65F3-47DB-A688-3F46C11329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Unai Lopez (6)</t>
        </r>
      </text>
    </comment>
    <comment ref="T80" authorId="0" shapeId="0" xr:uid="{A08907BB-50E8-4F06-B042-2B37E6819DA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80" authorId="0" shapeId="0" xr:uid="{9868ECC7-5324-41EE-BFC9-9CDD38F947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D80" authorId="0" shapeId="0" xr:uid="{A85B0A82-D997-4825-AEA8-D4556B82CFB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Yoel Lago (82)</t>
        </r>
      </text>
    </comment>
    <comment ref="T81" authorId="0" shapeId="0" xr:uid="{2B4572F9-6DBF-4169-8542-8E65618EE2A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81" authorId="0" shapeId="0" xr:uid="{FE1B517C-71F2-4970-B395-77F576469F6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Vlochodimos</t>
        </r>
      </text>
    </comment>
    <comment ref="BB81" authorId="0" shapeId="0" xr:uid="{1A45141C-0F30-4FFC-96BC-EA63DF65B4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Isi Palazon (1)</t>
        </r>
      </text>
    </comment>
    <comment ref="BD81" authorId="0" shapeId="0" xr:uid="{A8FD36AB-F35A-451C-8EC8-BAC9B8EE45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Gabriel Suazo (73)</t>
        </r>
      </text>
    </comment>
    <comment ref="T82" authorId="0" shapeId="0" xr:uid="{B875FC3A-F552-48A7-8DA1-41B72D25EB8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U82" authorId="0" shapeId="0" xr:uid="{E8F7BC58-4B9C-4F89-9E08-FF5649D870A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82" authorId="0" shapeId="0" xr:uid="{2A2A4358-6D0F-4F73-9103-D77D310E81E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 Bartra (2)</t>
        </r>
      </text>
    </comment>
    <comment ref="BD82" authorId="0" shapeId="0" xr:uid="{05C71B2A-2F80-424F-B16C-6D4299238C4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Jonny (90+4)</t>
        </r>
      </text>
    </comment>
    <comment ref="T83" authorId="0" shapeId="0" xr:uid="{D9F0B074-DEE1-40A3-A573-B8E9673729A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83" authorId="0" shapeId="0" xr:uid="{4CF5BEAC-62BD-4964-91D4-B1AD50503C0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83" authorId="0" shapeId="0" xr:uid="{DF1CAF10-82FE-4027-9A2A-35DBA4013BB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Vesga (90+1)</t>
        </r>
      </text>
    </comment>
    <comment ref="BD83" authorId="0" shapeId="0" xr:uid="{B2CBC8E9-88E2-43D4-A169-36DF2905737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Antonio Blanco (29)</t>
        </r>
      </text>
    </comment>
    <comment ref="T84" authorId="0" shapeId="0" xr:uid="{8971C4EF-7EA4-4E1C-BCE0-1C75A70FA45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84" authorId="0" shapeId="0" xr:uid="{668E1EA0-B95A-48D8-AAC9-77C00613002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84" authorId="0" shapeId="0" xr:uid="{AD24CAAA-A9F5-426D-AC3C-6FC83F9A8B2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Djene Dakonam (37)
Luis Milla (81)</t>
        </r>
      </text>
    </comment>
    <comment ref="T85" authorId="0" shapeId="0" xr:uid="{07273CCE-C2AB-46A2-8FBD-777247799E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85" authorId="0" shapeId="0" xr:uid="{92037A27-AE65-427D-AC16-EF1A912FF4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85" authorId="0" shapeId="0" xr:uid="{9CEDADEC-B719-46A7-9FC6-09B0717A7D0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 Valjent (45)</t>
        </r>
      </text>
    </comment>
    <comment ref="T87" authorId="0" shapeId="0" xr:uid="{13014D5E-D1E7-4C72-AA8A-494EDBB0A34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U87" authorId="0" shapeId="0" xr:uid="{81CCF996-673C-418D-A64E-9B071666F3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87" authorId="0" shapeId="0" xr:uid="{6E46C69E-E4CA-4CC9-A104-B99B424AF9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 Bartra (2)</t>
        </r>
      </text>
    </comment>
    <comment ref="BD87" authorId="0" shapeId="0" xr:uid="{263EC6A1-9415-4EBF-A078-86735727CAD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Jonny (90+4)</t>
        </r>
      </text>
    </comment>
    <comment ref="T88" authorId="0" shapeId="0" xr:uid="{DB8700FE-1AD8-43B1-B896-D85FABE1362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U88" authorId="0" shapeId="0" xr:uid="{3C918B81-2581-4FB6-A481-B987CE31348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BD88" authorId="0" shapeId="0" xr:uid="{3C59A781-55B7-4A4E-B9C4-52E0AE60D3D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Oihan Sancet (13)</t>
        </r>
      </text>
    </comment>
    <comment ref="T89" authorId="0" shapeId="0" xr:uid="{6202C9F7-8A22-4741-9958-F9EF8B0E6EE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U89" authorId="0" shapeId="0" xr:uid="{9F9C83D1-19DE-45F0-93F5-9FB2C30321A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BB89" authorId="0" shapeId="0" xr:uid="{AF986B31-5E4B-4465-9B1D-56EB5FBB03C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 Bartra (90)</t>
        </r>
      </text>
    </comment>
    <comment ref="BC89" authorId="0" shapeId="0" xr:uid="{4EB232A0-32A7-449D-BE14-C39CD9F3843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 Firpo (12)</t>
        </r>
      </text>
    </comment>
    <comment ref="BD89" authorId="0" shapeId="0" xr:uid="{8C1F066C-B613-4743-B191-5AB8FBF809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 Gorrotxategi (4)</t>
        </r>
      </text>
    </comment>
    <comment ref="BE89" authorId="0" shapeId="0" xr:uid="{F8D1936D-EC3D-46A4-8FDA-6434A3C085F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Alex Remiro (48)</t>
        </r>
      </text>
    </comment>
    <comment ref="T90" authorId="0" shapeId="0" xr:uid="{FB881259-4AD6-400D-93B2-B04E9912152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U90" authorId="0" shapeId="0" xr:uid="{064CC012-48A6-4096-90A2-3AE5B49FB28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BD90" authorId="0" shapeId="0" xr:uid="{63357806-26CA-498E-8B02-74E26B8531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Sergio Herrera (32)</t>
        </r>
      </text>
    </comment>
    <comment ref="BE90" authorId="0" shapeId="0" xr:uid="{F4305B29-98FF-4940-A94D-A5632226895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Alejandro Catena (18)
Enzo Boyomo (37)</t>
        </r>
      </text>
    </comment>
    <comment ref="T91" authorId="0" shapeId="0" xr:uid="{95F8D2BB-56C5-46DF-B150-AF6F5DC6E80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91" authorId="0" shapeId="0" xr:uid="{D9A69461-626A-4EB3-ACE1-224F5975B1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T92" authorId="0" shapeId="0" xr:uid="{6B997303-3E2A-4EAB-8AC7-C6ED022FA7E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92" authorId="0" shapeId="0" xr:uid="{FB950A74-380E-4B60-8952-D40B0D89CB6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BB92" authorId="0" shapeId="0" xr:uid="{38B5B2E2-EB75-4D5F-8698-6EB383D27F8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Antonio Sivera (76)</t>
        </r>
      </text>
    </comment>
    <comment ref="BD92" authorId="0" shapeId="0" xr:uid="{D5CD2A00-D57B-449F-BBF8-3EEEEC5C41E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Antoine Griezmann (82)</t>
        </r>
      </text>
    </comment>
    <comment ref="T93" authorId="0" shapeId="0" xr:uid="{B3F06693-F4EF-4818-8B81-BF9A3D2321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93" authorId="0" shapeId="0" xr:uid="{DFDE8ED9-64CD-45AE-84E3-8D91820B536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T94" authorId="0" shapeId="0" xr:uid="{C1415CCB-482A-40F7-BC8C-890B2124E80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94" authorId="0" shapeId="0" xr:uid="{B6BF14BB-C977-4AA9-949F-0D68A23B26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BD94" authorId="0" shapeId="0" xr:uid="{3D693B29-C5EF-48D9-A4D2-0A5C229A54F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Pablo Barrios (36)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X2" authorId="0" shapeId="0" xr:uid="{E260DC16-491B-4494-99FA-D7C7C11A890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Y2" authorId="0" shapeId="0" xr:uid="{C02CDFAD-AEF5-4904-90DE-60E5D67A83B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X3" authorId="0" shapeId="0" xr:uid="{C1AAA126-B6DB-4984-96F0-B520B3FB1C4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Y3" authorId="0" shapeId="0" xr:uid="{9B451F7E-42AC-461E-9580-2D63973CA27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X4" authorId="0" shapeId="0" xr:uid="{0D4302B8-3042-4232-9D8D-0FB712059AD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Y4" authorId="0" shapeId="0" xr:uid="{7EF403DE-69B8-404B-A907-0F2C51A14FE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X5" authorId="0" shapeId="0" xr:uid="{CC060725-B9D0-4339-A985-832D89BD5D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Y5" authorId="0" shapeId="0" xr:uid="{6E7039F8-053C-4865-BCD1-8EFC96E4C1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X6" authorId="0" shapeId="0" xr:uid="{C3203475-E1B0-46D3-B8AF-A72AAA8D157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Y6" authorId="0" shapeId="0" xr:uid="{A8E90559-9A15-41EF-ACE1-E9679AAF700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X7" authorId="0" shapeId="0" xr:uid="{E33624A2-90A3-45AC-964F-7632352A51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Y7" authorId="0" shapeId="0" xr:uid="{7B90FFF0-B3D5-4C9B-B6C9-97244D40B63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X8" authorId="0" shapeId="0" xr:uid="{370AEA0D-51A7-43C0-B819-0411854632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Y8" authorId="0" shapeId="0" xr:uid="{A3CCF11B-3C0B-413A-922C-32DB57D3117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X10" authorId="0" shapeId="0" xr:uid="{2F9BB662-D8D4-4E74-9C2A-8D69750D4EB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Y10" authorId="0" shapeId="0" xr:uid="{043CA701-EE7B-470D-AF64-E5E79B84BD2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X11" authorId="0" shapeId="0" xr:uid="{BA20E043-1B4C-40DC-9488-CD6ACCC595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Y11" authorId="0" shapeId="0" xr:uid="{FF175329-924A-43F5-A229-A140E501EC4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X12" authorId="0" shapeId="0" xr:uid="{16D4210C-9E3F-4717-8FD3-81B79E0D1A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Y12" authorId="0" shapeId="0" xr:uid="{36AAAC6E-EAD3-4EC6-9376-41520E1767D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Tenas</t>
        </r>
      </text>
    </comment>
    <comment ref="X13" authorId="0" shapeId="0" xr:uid="{612F7F71-D443-4784-A5C3-A244C488D0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Y13" authorId="0" shapeId="0" xr:uid="{ADDA605F-F6DF-4FB6-85AC-FCFDA7F8D88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X14" authorId="0" shapeId="0" xr:uid="{245656FB-58F4-404F-A4B5-7A74E7B2EB1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Y14" authorId="0" shapeId="0" xr:uid="{DBCBE4A2-6B56-4F5F-96EF-66A6C6E364E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X15" authorId="0" shapeId="0" xr:uid="{D7B5FB49-DE47-4C4E-B27B-1BABA3E625D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Y15" authorId="0" shapeId="0" xr:uid="{330EB6AB-7150-41F6-BA1E-98EC4FCDAA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X16" authorId="0" shapeId="0" xr:uid="{BD2F865F-BF30-4020-AA9E-A420C17814D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Y16" authorId="0" shapeId="0" xr:uid="{845D57F3-A716-442D-87E1-466A50EF82C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X17" authorId="0" shapeId="0" xr:uid="{D378D0F1-0A83-4C2A-85F3-ADF568862C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Y17" authorId="0" shapeId="0" xr:uid="{F03A3223-4730-4B94-917E-24561CD582D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X19" authorId="0" shapeId="0" xr:uid="{DAED5032-B37E-4980-A435-9D3BA4A6F1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Y19" authorId="0" shapeId="0" xr:uid="{BD029CD6-1262-4A53-990C-0C78354EBB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X20" authorId="0" shapeId="0" xr:uid="{CEF427DD-DCA7-40FA-BE27-8D75F587A15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Y20" authorId="0" shapeId="0" xr:uid="{D3412D9B-1FE2-487C-B7AC-D3744C9ACE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X21" authorId="0" shapeId="0" xr:uid="{7C9D1631-896E-416F-94D9-6659BFD929E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Y21" authorId="0" shapeId="0" xr:uid="{E439C0CD-806E-41E3-8924-9B8F4F5D02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X22" authorId="0" shapeId="0" xr:uid="{5F648F92-54AD-4621-8696-67FDE7C789E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Y22" authorId="0" shapeId="0" xr:uid="{6FAACBFF-ED2B-413D-B0CE-9219CD2326E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Krapyvtsov</t>
        </r>
      </text>
    </comment>
    <comment ref="X23" authorId="0" shapeId="0" xr:uid="{35D1D2BE-5579-4BC2-BDBC-30989BB8344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Y23" authorId="0" shapeId="0" xr:uid="{90EFC4D8-00F2-492F-BDEE-EC8EA4C1E7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X24" authorId="0" shapeId="0" xr:uid="{43977A60-FAB2-407D-9AC2-7338E2927BC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Y24" authorId="0" shapeId="0" xr:uid="{CFC01744-A5C1-4D75-8965-8101F45305B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X26" authorId="0" shapeId="0" xr:uid="{4D86B2BC-D889-4E45-86E8-C5D81733A22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Y26" authorId="0" shapeId="0" xr:uid="{49470A8F-178F-44FC-85FC-76245B3A3B4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X27" authorId="0" shapeId="0" xr:uid="{7B0C116D-9A55-4700-B15F-7CE83F3E3B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Y27" authorId="0" shapeId="0" xr:uid="{3C4E366B-E523-47B3-AAA8-155C7A4E05E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Krapyvtsov</t>
        </r>
      </text>
    </comment>
    <comment ref="X28" authorId="0" shapeId="0" xr:uid="{1BA5D0D9-6AD2-4C49-B5CA-56B1E370AE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Y28" authorId="0" shapeId="0" xr:uid="{A6BD652F-CF8A-4864-B54B-58E22A5ED0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X29" authorId="0" shapeId="0" xr:uid="{B8237524-CFA8-41B5-B246-D14A496053F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Y29" authorId="0" shapeId="0" xr:uid="{6EF9DA00-E273-4BC8-924E-89A5917B0C1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X30" authorId="0" shapeId="0" xr:uid="{A10E966A-24E9-46F6-90E7-D2A5365668E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Y30" authorId="0" shapeId="0" xr:uid="{B735C79E-29CB-4E90-9471-B45A288D18C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X31" authorId="0" shapeId="0" xr:uid="{7295E591-CB81-438A-AB77-9299102F28F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Y31" authorId="0" shapeId="0" xr:uid="{8C91CF04-6E28-42F4-99CB-53983F65EF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X32" authorId="0" shapeId="0" xr:uid="{8D0B4E3E-1D61-481C-8680-2FD787FB1D3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Y32" authorId="0" shapeId="0" xr:uid="{CD613403-BA32-466E-88F0-2E763E99D8E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X33" authorId="0" shapeId="0" xr:uid="{920DB143-49A5-402B-88CF-5DFCF71EEC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Y33" authorId="0" shapeId="0" xr:uid="{DCD6D263-742E-4582-B81F-5129DA53181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X35" authorId="0" shapeId="0" xr:uid="{EF1D63CC-2F95-4BAA-8A97-63114AAF24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Y35" authorId="0" shapeId="0" xr:uid="{3182D4A4-B95A-4D09-A0CC-4034D6ED4F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X36" authorId="0" shapeId="0" xr:uid="{219B7233-73D9-40CC-B134-E657FBAE64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Y36" authorId="0" shapeId="0" xr:uid="{4206B4BE-31D1-4D7D-97E6-7F6719034C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X37" authorId="0" shapeId="0" xr:uid="{7433DAE7-0D45-4A14-A9A8-5AE11E91AB4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Y37" authorId="0" shapeId="0" xr:uid="{F584AE74-66C3-4C32-A3C5-54EA31A9EEF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X38" authorId="0" shapeId="0" xr:uid="{428BC36A-48EC-4CCB-B5A8-D4EF5E15CAC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Y38" authorId="0" shapeId="0" xr:uid="{B5D5A188-9A00-4310-B1F9-B44F2AE947A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X39" authorId="0" shapeId="0" xr:uid="{627D2AA7-753D-49B3-9452-B83ABBF021B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Y39" authorId="0" shapeId="0" xr:uid="{9981E8EF-C6CD-498C-A11D-1313D231DF4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X40" authorId="0" shapeId="0" xr:uid="{C00F2A83-476C-4D3C-A51D-4825F9D88C8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Y40" authorId="0" shapeId="0" xr:uid="{75FD2177-B26A-4BA8-890E-9A31391816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X41" authorId="0" shapeId="0" xr:uid="{B9F0A635-D7ED-46F5-A8ED-BADFC3263E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Y41" authorId="0" shapeId="0" xr:uid="{A9DE3138-EAD6-4CA4-9829-9C0404E0B9D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X43" authorId="0" shapeId="0" xr:uid="{65581B87-FE2D-4CD8-805B-15BE41A3FFB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Y43" authorId="0" shapeId="0" xr:uid="{7FE14E74-909C-4D53-827E-FE32FBC3A77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X44" authorId="0" shapeId="0" xr:uid="{CC463D06-C906-4FB1-956A-719CE772543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Y44" authorId="0" shapeId="0" xr:uid="{16D716BC-F323-45D6-A815-011655B154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X45" authorId="0" shapeId="0" xr:uid="{0AD336DB-AEB8-47B5-806C-1D589DF0160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Penal</t>
        </r>
      </text>
    </comment>
    <comment ref="Y45" authorId="0" shapeId="0" xr:uid="{AE676FCC-BB26-4BC1-8288-15AAD7E6C2C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X46" authorId="0" shapeId="0" xr:uid="{31F99B53-8101-4181-B8C0-AC42D66191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Y46" authorId="0" shapeId="0" xr:uid="{49074350-5188-427D-9122-0FBF4A3CBD1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X47" authorId="0" shapeId="0" xr:uid="{48D4816D-4EF5-4A47-95EC-A12CC3D640E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Y47" authorId="0" shapeId="0" xr:uid="{070B7841-6298-4F69-B22D-484C6C6D93E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X48" authorId="0" shapeId="0" xr:uid="{559EAF7B-429E-4840-83B4-65BFE2CFE1E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Y48" authorId="0" shapeId="0" xr:uid="{0DF5C745-183E-48CD-B041-76FF09B032C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X49" authorId="0" shapeId="0" xr:uid="{092CB9B1-A194-44FC-9C05-9FB3D6E3AEF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Y49" authorId="0" shapeId="0" xr:uid="{57875781-D4B9-449B-851B-93B585651C2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X51" authorId="0" shapeId="0" xr:uid="{9A3EB5AD-CF71-4B9B-AE19-0718F88609E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Y51" authorId="0" shapeId="0" xr:uid="{51B02BF3-03FC-4F27-A437-3355865E67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X52" authorId="0" shapeId="0" xr:uid="{30FEFF52-9338-4600-B106-7C24F663450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Y52" authorId="0" shapeId="0" xr:uid="{A27002CA-F995-4FEB-B899-744441118F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X53" authorId="0" shapeId="0" xr:uid="{E102A138-B07E-4F47-8A1D-3E415B70BE1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Y53" authorId="0" shapeId="0" xr:uid="{64AE706E-AFB9-4BCC-91BE-7193C7C27B4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X54" authorId="0" shapeId="0" xr:uid="{4983EE44-AD57-4DDB-BFCC-33858761934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Y54" authorId="0" shapeId="0" xr:uid="{B7C0D2C6-E875-415C-BF51-163DAED6029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X55" authorId="0" shapeId="0" xr:uid="{952994AD-1317-400E-91DA-E9F52947C92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Y55" authorId="0" shapeId="0" xr:uid="{25FCC081-5D22-41F5-9BEE-E6298E4DBD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X56" authorId="0" shapeId="0" xr:uid="{EDF70505-65BD-4118-B40F-1CA730C0437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Y56" authorId="0" shapeId="0" xr:uid="{421E7151-9CD1-4EA7-A733-6B2CAE4E795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X57" authorId="0" shapeId="0" xr:uid="{6CE4E57A-C280-4F27-BA77-692C39C089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Y57" authorId="0" shapeId="0" xr:uid="{2059305E-F1E5-4F73-82A2-C3D62075A8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X58" authorId="0" shapeId="0" xr:uid="{2DC5A58F-CF01-4028-B119-F39D43EDE8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Y58" authorId="0" shapeId="0" xr:uid="{BECEECE0-0B55-45B6-A718-A41DC6A5E1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X60" authorId="0" shapeId="0" xr:uid="{87EBB23C-C051-4755-BB7C-05A0DA6ECB1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Cunat</t>
        </r>
      </text>
    </comment>
    <comment ref="Y60" authorId="0" shapeId="0" xr:uid="{6C7B7F03-D889-4934-93B1-C48D9DF2BE1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X61" authorId="0" shapeId="0" xr:uid="{3A6A0344-288C-40D7-9092-0DA68AB74B5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Y61" authorId="0" shapeId="0" xr:uid="{E3143977-0834-4ACC-AFAC-B711AB53A86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X62" authorId="0" shapeId="0" xr:uid="{174766AB-7FEA-4FB8-9413-3EFC6C9AB8B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Y62" authorId="0" shapeId="0" xr:uid="{8E4C5818-479C-4DDA-B5DF-A2B384DC47A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X63" authorId="0" shapeId="0" xr:uid="{44C9356D-B9A0-4B48-8849-E06252BDCEC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Y63" authorId="0" shapeId="0" xr:uid="{2AAD8FCF-DBB1-417B-A97A-2A4EEF21F3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X64" authorId="0" shapeId="0" xr:uid="{7FC34BAD-B97A-400F-9D6B-E510C98B793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Y64" authorId="0" shapeId="0" xr:uid="{1B6C05AE-C82C-4CAE-AAC9-1511AF65949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X65" authorId="0" shapeId="0" xr:uid="{97BFDB48-4C2F-4A14-AAE4-D00635035BC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Y65" authorId="0" shapeId="0" xr:uid="{16864E6E-F2FF-483B-B49D-3E910C410CE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X66" authorId="0" shapeId="0" xr:uid="{151C3326-10F9-49B5-A9FA-D30CFF6DCC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Y66" authorId="0" shapeId="0" xr:uid="{54049444-1CC2-4899-926F-02F39F8A58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X67" authorId="0" shapeId="0" xr:uid="{C68A3835-3EB3-4B37-A6A6-174650E2B3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Y67" authorId="0" shapeId="0" xr:uid="{EFB1376F-4D5C-4F47-B475-F51470CE29E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X69" authorId="0" shapeId="0" xr:uid="{E73DCACA-8299-4037-A23C-BB69D02C5B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Y69" authorId="0" shapeId="0" xr:uid="{1F19D0EA-5FC1-4CB7-8AA2-06D3720E05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X70" authorId="0" shapeId="0" xr:uid="{9E6CA1C5-C28E-4A84-A17F-9D1E8A5C390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Y70" authorId="0" shapeId="0" xr:uid="{F6304BE5-5DA3-47F3-B2BD-ED215D63853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X71" authorId="0" shapeId="0" xr:uid="{51D6B255-30C1-46B3-BF04-A343E21BFDE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Y71" authorId="0" shapeId="0" xr:uid="{0F5309C1-6B97-4D16-9B05-70B5E44FE82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X72" authorId="0" shapeId="0" xr:uid="{52E9DC06-4CD9-4F64-B17B-27A9B16BA5B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Y72" authorId="0" shapeId="0" xr:uid="{6E50CF48-1947-4DAA-961D-FE2F2764A42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X73" authorId="0" shapeId="0" xr:uid="{DCF09923-8EF1-463D-93CA-2D1A24E9C4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Y73" authorId="0" shapeId="0" xr:uid="{5435AEF2-4C3F-4F3D-B327-184474071EF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X74" authorId="0" shapeId="0" xr:uid="{DF979AAA-5C68-4064-BEA7-D3C0A78DFEE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Y74" authorId="0" shapeId="0" xr:uid="{6A6006E5-CC0A-4A0E-98B9-AA31004572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X75" authorId="0" shapeId="0" xr:uid="{C9880FBF-7C52-4ADA-B5C3-BE154F6C918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Y75" authorId="0" shapeId="0" xr:uid="{A1C2B0AF-8A0D-4DE7-A3FF-67FD14A6F5C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X77" authorId="0" shapeId="0" xr:uid="{71030154-4CBF-4736-A5C4-9E4456CA0E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Y77" authorId="0" shapeId="0" xr:uid="{BBCB6815-2CB2-41E2-97F2-4FB7579228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Cunat</t>
        </r>
      </text>
    </comment>
    <comment ref="X78" authorId="0" shapeId="0" xr:uid="{5379C02C-0A9E-41A1-8131-CB6968F60FB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Y78" authorId="0" shapeId="0" xr:uid="{F35EECD2-3790-4364-AEAB-4AB0EC462BD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X79" authorId="0" shapeId="0" xr:uid="{613729A3-A6AA-4BCD-96BF-BAEF7C8F59F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Y79" authorId="0" shapeId="0" xr:uid="{1E22607F-F20E-4A06-B6CA-630C33AE1A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X80" authorId="0" shapeId="0" xr:uid="{D54FE346-0159-402F-AF21-1B5C230E356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Y80" authorId="0" shapeId="0" xr:uid="{484A04E2-C16F-4F2A-B247-A39345140B7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X81" authorId="0" shapeId="0" xr:uid="{E603DFA6-8F4E-499F-89C4-F49E4560AA8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Y81" authorId="0" shapeId="0" xr:uid="{E8F58A02-40FF-4294-936C-FF70F2031E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</t>
        </r>
      </text>
    </comment>
    <comment ref="X82" authorId="0" shapeId="0" xr:uid="{198E9883-554E-464B-BEB3-452FFA3F9E9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Y82" authorId="0" shapeId="0" xr:uid="{1F2FC6CD-2C87-44D2-B3F3-844560A168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X83" authorId="0" shapeId="0" xr:uid="{3C493A9D-F13A-4EAF-B909-0FB49988355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Y83" authorId="0" shapeId="0" xr:uid="{B277F401-42D6-45D3-9116-9E18A23E65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X84" authorId="0" shapeId="0" xr:uid="{8D497356-B7FA-4414-9399-92242023F83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Y84" authorId="0" shapeId="0" xr:uid="{0F180259-401B-4D50-A2CC-C89AF50517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</commentList>
</comments>
</file>

<file path=xl/sharedStrings.xml><?xml version="1.0" encoding="utf-8"?>
<sst xmlns="http://schemas.openxmlformats.org/spreadsheetml/2006/main" count="44566" uniqueCount="860">
  <si>
    <t>Dakika</t>
  </si>
  <si>
    <t>Takım</t>
  </si>
  <si>
    <t>Oyuncu Ad</t>
  </si>
  <si>
    <t>Pozisyon Gelişimi</t>
  </si>
  <si>
    <t>xG Oranı</t>
  </si>
  <si>
    <t>Sonuç</t>
  </si>
  <si>
    <t>Skor</t>
  </si>
  <si>
    <t>Penaltı</t>
  </si>
  <si>
    <t>Gol</t>
  </si>
  <si>
    <t>0-1</t>
  </si>
  <si>
    <t>Asist</t>
  </si>
  <si>
    <t>0-2</t>
  </si>
  <si>
    <t>45+5</t>
  </si>
  <si>
    <t>Kaçırdı</t>
  </si>
  <si>
    <t>0-3</t>
  </si>
  <si>
    <t>Frikik</t>
  </si>
  <si>
    <t>Soldan Kale Direğine Yakın</t>
  </si>
  <si>
    <t>Direkten Döndü</t>
  </si>
  <si>
    <t>Kontra</t>
  </si>
  <si>
    <t>1-0</t>
  </si>
  <si>
    <t>Korner</t>
  </si>
  <si>
    <t>Sanchez</t>
  </si>
  <si>
    <t>Sağdan Kale Direğine Yakın</t>
  </si>
  <si>
    <t>Kendi Kalesine Gol</t>
  </si>
  <si>
    <t>2-0</t>
  </si>
  <si>
    <t>Victor</t>
  </si>
  <si>
    <t>Mauro</t>
  </si>
  <si>
    <t>3-0</t>
  </si>
  <si>
    <t>0-0</t>
  </si>
  <si>
    <t>Taç Atışı</t>
  </si>
  <si>
    <t>Miguel</t>
  </si>
  <si>
    <t>90+3</t>
  </si>
  <si>
    <t>4-0</t>
  </si>
  <si>
    <t>Duran Top</t>
  </si>
  <si>
    <t>2-1</t>
  </si>
  <si>
    <t>90+2</t>
  </si>
  <si>
    <t>90+4</t>
  </si>
  <si>
    <t>Tarih</t>
  </si>
  <si>
    <t>Hafta</t>
  </si>
  <si>
    <t>Şut Bölgesi</t>
  </si>
  <si>
    <t>Şut Tipi</t>
  </si>
  <si>
    <t>İç</t>
  </si>
  <si>
    <t>Sağ Ayak</t>
  </si>
  <si>
    <t>Sol Ayak</t>
  </si>
  <si>
    <t>Dış</t>
  </si>
  <si>
    <t>Kafa</t>
  </si>
  <si>
    <t>Carlos</t>
  </si>
  <si>
    <t>Altı Pas</t>
  </si>
  <si>
    <t>Kaleci Kurtardı</t>
  </si>
  <si>
    <t>Pape</t>
  </si>
  <si>
    <t>Gueye</t>
  </si>
  <si>
    <t>1-1</t>
  </si>
  <si>
    <t>Bloklandı</t>
  </si>
  <si>
    <t>-</t>
  </si>
  <si>
    <t>Junior</t>
  </si>
  <si>
    <t>Üstten Kale Direğine Yakın</t>
  </si>
  <si>
    <t>Arda</t>
  </si>
  <si>
    <t>90+6</t>
  </si>
  <si>
    <t>1-3</t>
  </si>
  <si>
    <t>Ivan</t>
  </si>
  <si>
    <t>Leo</t>
  </si>
  <si>
    <t>Rafa</t>
  </si>
  <si>
    <t>Felipe</t>
  </si>
  <si>
    <t>45+4</t>
  </si>
  <si>
    <t>xGOT Oranı</t>
  </si>
  <si>
    <t>Juan</t>
  </si>
  <si>
    <t>2-3</t>
  </si>
  <si>
    <t>1-2</t>
  </si>
  <si>
    <t>45+1</t>
  </si>
  <si>
    <t>Girona</t>
  </si>
  <si>
    <t>Rayo Vallecano</t>
  </si>
  <si>
    <t>Girona 43. dakikada kaleci Gazzaniga'nın son adama faul yapmasıyla 10 kişi kaldı.</t>
  </si>
  <si>
    <t xml:space="preserve">Jorge </t>
  </si>
  <si>
    <t>de Frutos</t>
  </si>
  <si>
    <t>Alvaro</t>
  </si>
  <si>
    <t>Garcia</t>
  </si>
  <si>
    <t>Isi</t>
  </si>
  <si>
    <t>Palazon</t>
  </si>
  <si>
    <t>Pathe Ismael</t>
  </si>
  <si>
    <t>Cisse</t>
  </si>
  <si>
    <t>Josep</t>
  </si>
  <si>
    <t>Chavarria</t>
  </si>
  <si>
    <t>90+8</t>
  </si>
  <si>
    <t>Florian</t>
  </si>
  <si>
    <t>Lejeune</t>
  </si>
  <si>
    <t>Yangel</t>
  </si>
  <si>
    <t>Herrera</t>
  </si>
  <si>
    <t>Joel</t>
  </si>
  <si>
    <t>Roca</t>
  </si>
  <si>
    <t>Ladislav</t>
  </si>
  <si>
    <t>Krejci</t>
  </si>
  <si>
    <t>Villarreal</t>
  </si>
  <si>
    <t>Real Oviedo</t>
  </si>
  <si>
    <t>Real Oviedo 27. dakikada Reina'nın 2. sarı karttan kırmızı kart görmesiyle 10 kişi kaldı.</t>
  </si>
  <si>
    <t>Santi</t>
  </si>
  <si>
    <t>Comesana</t>
  </si>
  <si>
    <t>Nicolas</t>
  </si>
  <si>
    <t>Pepe</t>
  </si>
  <si>
    <t>Gerard</t>
  </si>
  <si>
    <t>Moreno</t>
  </si>
  <si>
    <t>Sergi</t>
  </si>
  <si>
    <t>Cardona</t>
  </si>
  <si>
    <t>Yeremy</t>
  </si>
  <si>
    <t>Pino</t>
  </si>
  <si>
    <t>Etta</t>
  </si>
  <si>
    <t>Eyong</t>
  </si>
  <si>
    <t>Tajon</t>
  </si>
  <si>
    <t>Buchanan</t>
  </si>
  <si>
    <t>Salomon</t>
  </si>
  <si>
    <t>Rondon</t>
  </si>
  <si>
    <t>Ilyas</t>
  </si>
  <si>
    <t>Chaira</t>
  </si>
  <si>
    <t>Mallorca</t>
  </si>
  <si>
    <t>Barcelona</t>
  </si>
  <si>
    <t>Vedat</t>
  </si>
  <si>
    <t>Muriqi</t>
  </si>
  <si>
    <t>Mallorca 33. dakikada Morlanes, 39. dakikada Muriqi'nin kırmızı kart görmesiyle 9 kişi kaldı.</t>
  </si>
  <si>
    <t>Raphinha</t>
  </si>
  <si>
    <t>Ferran</t>
  </si>
  <si>
    <t>Torres</t>
  </si>
  <si>
    <t>Lamine</t>
  </si>
  <si>
    <t>Yamal</t>
  </si>
  <si>
    <t>45+2</t>
  </si>
  <si>
    <t>45+6</t>
  </si>
  <si>
    <t>Dani</t>
  </si>
  <si>
    <t>Olmo</t>
  </si>
  <si>
    <t>Pedri</t>
  </si>
  <si>
    <t>Antonio</t>
  </si>
  <si>
    <t>Alaves</t>
  </si>
  <si>
    <t>Levante</t>
  </si>
  <si>
    <t>Toni</t>
  </si>
  <si>
    <t>Martinez</t>
  </si>
  <si>
    <t>Vicente</t>
  </si>
  <si>
    <t>Facundo</t>
  </si>
  <si>
    <t>Garces</t>
  </si>
  <si>
    <t>Jon</t>
  </si>
  <si>
    <t>Guridi</t>
  </si>
  <si>
    <t>Mariano</t>
  </si>
  <si>
    <t>Diaz</t>
  </si>
  <si>
    <t>Nahuel</t>
  </si>
  <si>
    <t>Tenaglia</t>
  </si>
  <si>
    <t>Roger</t>
  </si>
  <si>
    <t>Brugue</t>
  </si>
  <si>
    <t>Jeremy</t>
  </si>
  <si>
    <t>Toljan</t>
  </si>
  <si>
    <t>Valencia</t>
  </si>
  <si>
    <t>Real Sociedad</t>
  </si>
  <si>
    <t>Hugo</t>
  </si>
  <si>
    <t>Duro</t>
  </si>
  <si>
    <t>Diego</t>
  </si>
  <si>
    <t>Lopez</t>
  </si>
  <si>
    <t>Jose</t>
  </si>
  <si>
    <t>Copete</t>
  </si>
  <si>
    <t>Brais</t>
  </si>
  <si>
    <t>Mendez</t>
  </si>
  <si>
    <t>Takefusa</t>
  </si>
  <si>
    <t>Kubo</t>
  </si>
  <si>
    <t>Orri Steinn</t>
  </si>
  <si>
    <t>Oskarsson</t>
  </si>
  <si>
    <t>Mikel</t>
  </si>
  <si>
    <t>Oyarzabal</t>
  </si>
  <si>
    <t>Getafe</t>
  </si>
  <si>
    <t>Iago</t>
  </si>
  <si>
    <t>Aspas</t>
  </si>
  <si>
    <t>Bryan</t>
  </si>
  <si>
    <t>Zaragoza</t>
  </si>
  <si>
    <t>Uche</t>
  </si>
  <si>
    <t>Christantus</t>
  </si>
  <si>
    <t>Adrian</t>
  </si>
  <si>
    <t>Liso</t>
  </si>
  <si>
    <t>Athletic</t>
  </si>
  <si>
    <t>Sevilla</t>
  </si>
  <si>
    <t>Maroan</t>
  </si>
  <si>
    <t>Sannadi</t>
  </si>
  <si>
    <t>Nico</t>
  </si>
  <si>
    <t>Williams</t>
  </si>
  <si>
    <t>Alex</t>
  </si>
  <si>
    <t>Berenguer</t>
  </si>
  <si>
    <t>Robert</t>
  </si>
  <si>
    <t>Navarro</t>
  </si>
  <si>
    <t>3-2</t>
  </si>
  <si>
    <t>Akor</t>
  </si>
  <si>
    <t>Adams</t>
  </si>
  <si>
    <t>Nemanja</t>
  </si>
  <si>
    <t>Gudelj</t>
  </si>
  <si>
    <t>Dodi</t>
  </si>
  <si>
    <t>Lukebakio</t>
  </si>
  <si>
    <t>Lucien</t>
  </si>
  <si>
    <t>Agoume</t>
  </si>
  <si>
    <t>2-2</t>
  </si>
  <si>
    <t>Isaac</t>
  </si>
  <si>
    <t>Romero</t>
  </si>
  <si>
    <t>Espanyol</t>
  </si>
  <si>
    <t>Atletico Madrid</t>
  </si>
  <si>
    <t>Leandro</t>
  </si>
  <si>
    <t>Cabrera</t>
  </si>
  <si>
    <t>Kike</t>
  </si>
  <si>
    <t>Rubio</t>
  </si>
  <si>
    <t>Pere</t>
  </si>
  <si>
    <t>Milla</t>
  </si>
  <si>
    <t>Julian</t>
  </si>
  <si>
    <t>Alvarez</t>
  </si>
  <si>
    <t>Thiago</t>
  </si>
  <si>
    <t>Almada</t>
  </si>
  <si>
    <t>Giuliano</t>
  </si>
  <si>
    <t>Simeone</t>
  </si>
  <si>
    <t>Antoine</t>
  </si>
  <si>
    <t>Griezmann</t>
  </si>
  <si>
    <t>Elche</t>
  </si>
  <si>
    <t>Real Betis</t>
  </si>
  <si>
    <t>Petrot</t>
  </si>
  <si>
    <t>Rodriguez</t>
  </si>
  <si>
    <t>German</t>
  </si>
  <si>
    <t>Valera</t>
  </si>
  <si>
    <t>Aitor</t>
  </si>
  <si>
    <t>Ruibal</t>
  </si>
  <si>
    <t>Hector</t>
  </si>
  <si>
    <t>Bellerin</t>
  </si>
  <si>
    <t>Rodrigo</t>
  </si>
  <si>
    <t>Riquelme</t>
  </si>
  <si>
    <t>Cucho</t>
  </si>
  <si>
    <t>Hernandez</t>
  </si>
  <si>
    <t>Giovani</t>
  </si>
  <si>
    <t>Lo Celso</t>
  </si>
  <si>
    <t>Chimy</t>
  </si>
  <si>
    <t>Avila</t>
  </si>
  <si>
    <t>Real Madrid</t>
  </si>
  <si>
    <t>Osasuna</t>
  </si>
  <si>
    <t>Carreras</t>
  </si>
  <si>
    <t>Dean</t>
  </si>
  <si>
    <t>Huijsen</t>
  </si>
  <si>
    <t>Kylian</t>
  </si>
  <si>
    <t>Mbappe</t>
  </si>
  <si>
    <t>Aurelien</t>
  </si>
  <si>
    <t>Tchouameni</t>
  </si>
  <si>
    <t>Güler</t>
  </si>
  <si>
    <t>Franco</t>
  </si>
  <si>
    <t>Mastantuono</t>
  </si>
  <si>
    <t>Ante</t>
  </si>
  <si>
    <t>Budimir</t>
  </si>
  <si>
    <t>Firpo</t>
  </si>
  <si>
    <t>Pablo</t>
  </si>
  <si>
    <t>Parada</t>
  </si>
  <si>
    <t>Mateo</t>
  </si>
  <si>
    <t>Joseph</t>
  </si>
  <si>
    <t>Torre</t>
  </si>
  <si>
    <t>Raillo</t>
  </si>
  <si>
    <t>Mateu</t>
  </si>
  <si>
    <t>Morey</t>
  </si>
  <si>
    <t>Ilaix</t>
  </si>
  <si>
    <t>Moriba</t>
  </si>
  <si>
    <t>Javier</t>
  </si>
  <si>
    <t>Rueda</t>
  </si>
  <si>
    <t>Williot</t>
  </si>
  <si>
    <t>Swedberg</t>
  </si>
  <si>
    <t>Fran</t>
  </si>
  <si>
    <t>Beltran</t>
  </si>
  <si>
    <t>Alexander</t>
  </si>
  <si>
    <t>Sorloth</t>
  </si>
  <si>
    <t>Marcos</t>
  </si>
  <si>
    <t>Llorente</t>
  </si>
  <si>
    <t>Mir</t>
  </si>
  <si>
    <t>Chust</t>
  </si>
  <si>
    <t>de la Fuente</t>
  </si>
  <si>
    <t>Jose Luis</t>
  </si>
  <si>
    <t>Morales</t>
  </si>
  <si>
    <t>45+7</t>
  </si>
  <si>
    <t>Eric</t>
  </si>
  <si>
    <t>90+1</t>
  </si>
  <si>
    <t>Unai</t>
  </si>
  <si>
    <t>Elgezabal</t>
  </si>
  <si>
    <t>Arnaut</t>
  </si>
  <si>
    <t>Danjuma</t>
  </si>
  <si>
    <t>Aramburu</t>
  </si>
  <si>
    <t>Ander</t>
  </si>
  <si>
    <t>Barrenetxea</t>
  </si>
  <si>
    <t>Edu</t>
  </si>
  <si>
    <t>Exposito</t>
  </si>
  <si>
    <t>Javi</t>
  </si>
  <si>
    <t>Puado</t>
  </si>
  <si>
    <t>Tyrhys</t>
  </si>
  <si>
    <t>Dolan</t>
  </si>
  <si>
    <t>Fernando</t>
  </si>
  <si>
    <t>Calero</t>
  </si>
  <si>
    <t>Marin</t>
  </si>
  <si>
    <t>5-0</t>
  </si>
  <si>
    <t>Rodrygo</t>
  </si>
  <si>
    <t>Federico</t>
  </si>
  <si>
    <t>Valverde</t>
  </si>
  <si>
    <t>Vinicius</t>
  </si>
  <si>
    <t>Kwasi</t>
  </si>
  <si>
    <t>Sibo</t>
  </si>
  <si>
    <t>Haissem</t>
  </si>
  <si>
    <t>Hassan</t>
  </si>
  <si>
    <t>Vinas</t>
  </si>
  <si>
    <t>Inaki</t>
  </si>
  <si>
    <t>Oihan</t>
  </si>
  <si>
    <t>Sancet</t>
  </si>
  <si>
    <t>Sergio</t>
  </si>
  <si>
    <t>Camello</t>
  </si>
  <si>
    <t>Juanlu</t>
  </si>
  <si>
    <t>Iglesias</t>
  </si>
  <si>
    <t>Arambarri</t>
  </si>
  <si>
    <t>Aleix</t>
  </si>
  <si>
    <t>Febas</t>
  </si>
  <si>
    <t>Mendoza</t>
  </si>
  <si>
    <t>Jesus</t>
  </si>
  <si>
    <t>Vazquez</t>
  </si>
  <si>
    <t>Baptiste</t>
  </si>
  <si>
    <t>Santamaria</t>
  </si>
  <si>
    <t>Mouctar</t>
  </si>
  <si>
    <t>Diakhaby</t>
  </si>
  <si>
    <t>90+7</t>
  </si>
  <si>
    <t>Borja</t>
  </si>
  <si>
    <t>Mayoral</t>
  </si>
  <si>
    <t>Luis</t>
  </si>
  <si>
    <t>David</t>
  </si>
  <si>
    <t>Hancko</t>
  </si>
  <si>
    <t>Giacomo</t>
  </si>
  <si>
    <t>Raspadori</t>
  </si>
  <si>
    <t>Leander</t>
  </si>
  <si>
    <t>Dendoncker</t>
  </si>
  <si>
    <t>Yaser</t>
  </si>
  <si>
    <t>Asprilla</t>
  </si>
  <si>
    <t>Portu</t>
  </si>
  <si>
    <t>Rincon</t>
  </si>
  <si>
    <t>Alfon</t>
  </si>
  <si>
    <t>Gonzalez</t>
  </si>
  <si>
    <t>Ruben</t>
  </si>
  <si>
    <t>Vargas</t>
  </si>
  <si>
    <t>Trent</t>
  </si>
  <si>
    <t>Alexander-Arnold</t>
  </si>
  <si>
    <t>Alberto</t>
  </si>
  <si>
    <t>Moleiro</t>
  </si>
  <si>
    <t>Foyth</t>
  </si>
  <si>
    <t>Yuri</t>
  </si>
  <si>
    <t>Berchiche</t>
  </si>
  <si>
    <t>Marc</t>
  </si>
  <si>
    <t>Bartra</t>
  </si>
  <si>
    <t>Paredes</t>
  </si>
  <si>
    <t>Cedric</t>
  </si>
  <si>
    <t>Bakambu</t>
  </si>
  <si>
    <t>Terrats</t>
  </si>
  <si>
    <t>Ramon</t>
  </si>
  <si>
    <t>Aimar</t>
  </si>
  <si>
    <t>Oroz</t>
  </si>
  <si>
    <t>Moncayolo</t>
  </si>
  <si>
    <t>Alejandro</t>
  </si>
  <si>
    <t>Catena</t>
  </si>
  <si>
    <t>Andrei</t>
  </si>
  <si>
    <t>Ratiu</t>
  </si>
  <si>
    <t>Luiz</t>
  </si>
  <si>
    <t>Perez</t>
  </si>
  <si>
    <t>Büyük Şans</t>
  </si>
  <si>
    <t>Uzak Mesafe</t>
  </si>
  <si>
    <t xml:space="preserve">Cedric </t>
  </si>
  <si>
    <t>Valencia'da Luis Gaya 22. dakikada kırmızı kart gördü. (Son adama faul.)</t>
  </si>
  <si>
    <t>Jutgla</t>
  </si>
  <si>
    <t>,</t>
  </si>
  <si>
    <t>Marcao</t>
  </si>
  <si>
    <t>Peque</t>
  </si>
  <si>
    <t>Fernandez</t>
  </si>
  <si>
    <t>Andre</t>
  </si>
  <si>
    <t>Silva</t>
  </si>
  <si>
    <t>Mario</t>
  </si>
  <si>
    <t>Martin</t>
  </si>
  <si>
    <t>45+8</t>
  </si>
  <si>
    <t>45+9</t>
  </si>
  <si>
    <t>Fores</t>
  </si>
  <si>
    <t>Real Oviedo'da Federico Vinas 80. dakikada kırmızı kart gördü.</t>
  </si>
  <si>
    <t>Reina</t>
  </si>
  <si>
    <t>Real Madrid'de Dean Huijsen 32. dakikada kırmızı kart gördü. (Son adama faul.)</t>
  </si>
  <si>
    <t>Eder</t>
  </si>
  <si>
    <t>Militao</t>
  </si>
  <si>
    <t>Daniel</t>
  </si>
  <si>
    <t>Carvajal</t>
  </si>
  <si>
    <t>Soler</t>
  </si>
  <si>
    <t>Duje</t>
  </si>
  <si>
    <t>Caleta-Car</t>
  </si>
  <si>
    <t>Gorka</t>
  </si>
  <si>
    <t>Guruzeta</t>
  </si>
  <si>
    <t>Jauregizar</t>
  </si>
  <si>
    <t>Barrios</t>
  </si>
  <si>
    <t>Pubill</t>
  </si>
  <si>
    <t>Oscar</t>
  </si>
  <si>
    <t>Mingueza</t>
  </si>
  <si>
    <t>Sotelo</t>
  </si>
  <si>
    <t>Carl</t>
  </si>
  <si>
    <t>Starfelt</t>
  </si>
  <si>
    <t>Vladyslav</t>
  </si>
  <si>
    <t>Vanat</t>
  </si>
  <si>
    <t>Donny</t>
  </si>
  <si>
    <t>van de Beek</t>
  </si>
  <si>
    <t>Nelson</t>
  </si>
  <si>
    <t>Deossa</t>
  </si>
  <si>
    <t>Antony</t>
  </si>
  <si>
    <t>Fornals</t>
  </si>
  <si>
    <t>Munoz</t>
  </si>
  <si>
    <t>Raul Garcia</t>
  </si>
  <si>
    <t>de Haro</t>
  </si>
  <si>
    <t>Abel</t>
  </si>
  <si>
    <t>Bretones</t>
  </si>
  <si>
    <t>Iker</t>
  </si>
  <si>
    <t>Benito</t>
  </si>
  <si>
    <t>Ciss</t>
  </si>
  <si>
    <t>Alemao</t>
  </si>
  <si>
    <t>Fermin</t>
  </si>
  <si>
    <t>Lewandowski</t>
  </si>
  <si>
    <t>6-0</t>
  </si>
  <si>
    <t>Rioja</t>
  </si>
  <si>
    <t>Roberto</t>
  </si>
  <si>
    <t>Charles</t>
  </si>
  <si>
    <t>Pickel</t>
  </si>
  <si>
    <t>Johan</t>
  </si>
  <si>
    <t>Mojica</t>
  </si>
  <si>
    <t>90+5</t>
  </si>
  <si>
    <t>Abdon</t>
  </si>
  <si>
    <t>Prats</t>
  </si>
  <si>
    <t>Valjent</t>
  </si>
  <si>
    <t>Luka</t>
  </si>
  <si>
    <t>Ilic</t>
  </si>
  <si>
    <t>Valentin</t>
  </si>
  <si>
    <t>Gomez</t>
  </si>
  <si>
    <t>Remiro</t>
  </si>
  <si>
    <t>Abdessamad</t>
  </si>
  <si>
    <t>Ezzalzouli</t>
  </si>
  <si>
    <t>Natan</t>
  </si>
  <si>
    <t>3-1</t>
  </si>
  <si>
    <t>45+3</t>
  </si>
  <si>
    <t>Gonçalo</t>
  </si>
  <si>
    <t>Guedes</t>
  </si>
  <si>
    <t>Puanı</t>
  </si>
  <si>
    <t>Aaron</t>
  </si>
  <si>
    <t>Matias</t>
  </si>
  <si>
    <t>Goduine</t>
  </si>
  <si>
    <t>Koyalipou</t>
  </si>
  <si>
    <t>0-4</t>
  </si>
  <si>
    <t>Jhon</t>
  </si>
  <si>
    <t>Solis</t>
  </si>
  <si>
    <t>Girona'da 30 dakikada Axel Witsel (İkinci Sarı Karttan), 46. dakikada Vitor Reis (Sert Faul) kırmızı kart gördü.</t>
  </si>
  <si>
    <t>Alexis</t>
  </si>
  <si>
    <t>Jose Angel</t>
  </si>
  <si>
    <t>Carmona</t>
  </si>
  <si>
    <t>Georges</t>
  </si>
  <si>
    <t>Mikautadze</t>
  </si>
  <si>
    <t>Ilias</t>
  </si>
  <si>
    <t>Akhomach</t>
  </si>
  <si>
    <t>Pau</t>
  </si>
  <si>
    <t>Tani</t>
  </si>
  <si>
    <t>Oluwaseyi</t>
  </si>
  <si>
    <t>Cruz</t>
  </si>
  <si>
    <t>Osasuna'da 40. dakikada Valentin Rosier kırmızı kart gördü. (İkinci Sarı Karttan)</t>
  </si>
  <si>
    <t>Guerra</t>
  </si>
  <si>
    <t>Largie</t>
  </si>
  <si>
    <t>Ramazani</t>
  </si>
  <si>
    <t>Athletic'te 61. dakikada Daniel Vivian kırmızı kart gördü. (Son Adama Faul)</t>
  </si>
  <si>
    <t>Celta</t>
  </si>
  <si>
    <t>Pedro</t>
  </si>
  <si>
    <t>Jorge</t>
  </si>
  <si>
    <t>Conor</t>
  </si>
  <si>
    <t>Gallagher</t>
  </si>
  <si>
    <t>Takuma</t>
  </si>
  <si>
    <t>Asano</t>
  </si>
  <si>
    <t>Atletico Madrid'de 72. dakikada Alexander Sorloth kırmızı kart gördü. (Sert Faul)</t>
  </si>
  <si>
    <t>Roman</t>
  </si>
  <si>
    <t>Josan</t>
  </si>
  <si>
    <t>Martim</t>
  </si>
  <si>
    <t>Neto</t>
  </si>
  <si>
    <t>Marcus</t>
  </si>
  <si>
    <t>Rashford</t>
  </si>
  <si>
    <t>Davinchi</t>
  </si>
  <si>
    <t>Areso</t>
  </si>
  <si>
    <t>Escandell</t>
  </si>
  <si>
    <t>Orjan</t>
  </si>
  <si>
    <t>Nyland</t>
  </si>
  <si>
    <t>Joan</t>
  </si>
  <si>
    <t>Sivera</t>
  </si>
  <si>
    <t>Koke</t>
  </si>
  <si>
    <t>Paulo</t>
  </si>
  <si>
    <t>Gazzaniga</t>
  </si>
  <si>
    <t>Azzedine</t>
  </si>
  <si>
    <t>Ounahi</t>
  </si>
  <si>
    <t>Julen</t>
  </si>
  <si>
    <t>Agirrezabala</t>
  </si>
  <si>
    <t>Ceballos</t>
  </si>
  <si>
    <t>1-4</t>
  </si>
  <si>
    <t>Jude</t>
  </si>
  <si>
    <t>Bellingham</t>
  </si>
  <si>
    <t>Salas</t>
  </si>
  <si>
    <t>Djibril</t>
  </si>
  <si>
    <t>Sow</t>
  </si>
  <si>
    <t>Batista</t>
  </si>
  <si>
    <t>Mendy</t>
  </si>
  <si>
    <t>Santiago</t>
  </si>
  <si>
    <t>Mourino</t>
  </si>
  <si>
    <t>Manor</t>
  </si>
  <si>
    <t>Solomon</t>
  </si>
  <si>
    <t>Abderrahman</t>
  </si>
  <si>
    <t>Rebbach</t>
  </si>
  <si>
    <t>Guevara</t>
  </si>
  <si>
    <t>Ronald</t>
  </si>
  <si>
    <t>Araujo</t>
  </si>
  <si>
    <t>Axel</t>
  </si>
  <si>
    <t>Witsel</t>
  </si>
  <si>
    <t>Lucas</t>
  </si>
  <si>
    <t>Torro</t>
  </si>
  <si>
    <t>Fort</t>
  </si>
  <si>
    <t>Grady</t>
  </si>
  <si>
    <t>Diangana</t>
  </si>
  <si>
    <t>Adria</t>
  </si>
  <si>
    <t>Pedrosa</t>
  </si>
  <si>
    <t>Carmo</t>
  </si>
  <si>
    <t>Ahijado</t>
  </si>
  <si>
    <t>Robin</t>
  </si>
  <si>
    <t>La Normand</t>
  </si>
  <si>
    <t>4-2</t>
  </si>
  <si>
    <t>5-2</t>
  </si>
  <si>
    <t>Maffeo</t>
  </si>
  <si>
    <t>Carles</t>
  </si>
  <si>
    <t>Alena</t>
  </si>
  <si>
    <t>Boye</t>
  </si>
  <si>
    <t>Vivian</t>
  </si>
  <si>
    <t>Alejandro Rego</t>
  </si>
  <si>
    <t>Mora</t>
  </si>
  <si>
    <t>Odysseas</t>
  </si>
  <si>
    <t>Vlachodimos</t>
  </si>
  <si>
    <t>Rayo Vallecano'da 90+7. dakikada Sergio Camello kırmızı kart gördü. (Tartışma)</t>
  </si>
  <si>
    <t>John</t>
  </si>
  <si>
    <t>Nwankwo</t>
  </si>
  <si>
    <t>Roony</t>
  </si>
  <si>
    <t>Bardghji</t>
  </si>
  <si>
    <t>Jules</t>
  </si>
  <si>
    <t>Kounde</t>
  </si>
  <si>
    <t>Odriozola</t>
  </si>
  <si>
    <t>Girona'da43. dakikada Paulo Gazzaniga kırmızı kart gördü. (Son Adama Faul)</t>
  </si>
  <si>
    <t>Real Oviedo'da 27. dakikada Alberto Reina kırmızı kart gördü. (İkinci Sarı Karttan)</t>
  </si>
  <si>
    <t>Osasuna'da 90+4. dakikada Abel Bretones kırmızı kart gördü. (Şiddet İçeren Davranış)</t>
  </si>
  <si>
    <t>Real Oviedo'da 80. dakikada Federico Vinas kırmızı kart gördü. (Şiddet İçeren Davranış)</t>
  </si>
  <si>
    <t>Real Madrid'de 32. dakikada Dean Huijsen kırmızı kart gördü. (Son Adama Faul)</t>
  </si>
  <si>
    <t>Girona'da 30. dakikada Axel Witsel (İkinci Sarı Karttan), 46. dakikada Vitor Reis (Sert Faul) kırmızı kart gördü.</t>
  </si>
  <si>
    <t>Akan Oyun</t>
  </si>
  <si>
    <t>Diğer Vücut Bölgeleri</t>
  </si>
  <si>
    <t>Colombatto</t>
  </si>
  <si>
    <t>Real Oviedo'da 82. dakikada Luka Ilic kırmızı kart gördü. (İkinci Sarı Karttan)</t>
  </si>
  <si>
    <t>Mallorca 33. dakikada Manu Morlanes (Sert Faul), 39. dakikada Vedat Muriqi (Sert Faul) kırmızı kart gördü.</t>
  </si>
  <si>
    <t>Abdelkabir</t>
  </si>
  <si>
    <t>Abqar</t>
  </si>
  <si>
    <t>Domingos</t>
  </si>
  <si>
    <t>Duarte</t>
  </si>
  <si>
    <t>Josip</t>
  </si>
  <si>
    <t>Brekalo</t>
  </si>
  <si>
    <t>Oriol</t>
  </si>
  <si>
    <t>Rey</t>
  </si>
  <si>
    <t>Arnau</t>
  </si>
  <si>
    <t>Pepelu</t>
  </si>
  <si>
    <t>Cesar</t>
  </si>
  <si>
    <t>Tarrega</t>
  </si>
  <si>
    <t>Girona'da 80. dakikada Ivan Martin kırmızı kart gördü. (İkinci Sarı Karttan)</t>
  </si>
  <si>
    <t>Samu</t>
  </si>
  <si>
    <t>Costa</t>
  </si>
  <si>
    <t>Serrano</t>
  </si>
  <si>
    <t>Rego</t>
  </si>
  <si>
    <t>Mallorca'da Antonio Sanchez 90+2. dakikada kırmızı kart gördü. (İkinci Sarı Karttan)</t>
  </si>
  <si>
    <t>Villarreal'de 77. dakikada Santiago Mourino kırmızı kart gördü. (İkinci Sarı Karttan)</t>
  </si>
  <si>
    <t>Elche'de 79. dakikada David Affengruber kırmızı kart gördü. (Son Adama Faul)</t>
  </si>
  <si>
    <t>Jonny</t>
  </si>
  <si>
    <t>Otto</t>
  </si>
  <si>
    <t>Ibanez</t>
  </si>
  <si>
    <t>Blanco</t>
  </si>
  <si>
    <t>Youssef Enriquez</t>
  </si>
  <si>
    <t>Lekhedim</t>
  </si>
  <si>
    <t>4-1</t>
  </si>
  <si>
    <t>Pol</t>
  </si>
  <si>
    <t>Lozano</t>
  </si>
  <si>
    <t>90+13</t>
  </si>
  <si>
    <t>Alfonso</t>
  </si>
  <si>
    <t>Espino</t>
  </si>
  <si>
    <t>Susic</t>
  </si>
  <si>
    <t>Randy</t>
  </si>
  <si>
    <t>Nteka</t>
  </si>
  <si>
    <t>Jan</t>
  </si>
  <si>
    <t>Oblak</t>
  </si>
  <si>
    <t>Atletico Madrid'de 40. dakikada Clement Lenglet kırmızı kart gördü. (İkinci Sarı Karttan)</t>
  </si>
  <si>
    <t>Duran</t>
  </si>
  <si>
    <t xml:space="preserve">Robin </t>
  </si>
  <si>
    <t>Le Normand</t>
  </si>
  <si>
    <t>Takım/Dakika/Olay Notları</t>
  </si>
  <si>
    <t>EV Topa Sahip Olma</t>
  </si>
  <si>
    <t>DEP Topa Sahip Olma</t>
  </si>
  <si>
    <t>EV xG</t>
  </si>
  <si>
    <t>DEP xG</t>
  </si>
  <si>
    <t>EV xG (Penaltısız)</t>
  </si>
  <si>
    <t>DEP xG (Penaltısız)</t>
  </si>
  <si>
    <t>EV Büyük Şans</t>
  </si>
  <si>
    <t>DEP Büyük Şans</t>
  </si>
  <si>
    <t>EV Toplam Şut</t>
  </si>
  <si>
    <t>DEP Toplam Şut</t>
  </si>
  <si>
    <t>EV Kaleci Kurtarışı</t>
  </si>
  <si>
    <t>DEP Kaleci Kurtarışı</t>
  </si>
  <si>
    <t>EV Kritik Kaleci Kurtarışı</t>
  </si>
  <si>
    <t>DEP Kritik Kaleci Kurtarışı</t>
  </si>
  <si>
    <t>EV Kaleci Performans</t>
  </si>
  <si>
    <t>DEP Kaleci Performans</t>
  </si>
  <si>
    <t>EV Korner</t>
  </si>
  <si>
    <t>DEP Korner</t>
  </si>
  <si>
    <t>EV Faul</t>
  </si>
  <si>
    <t>DEP Faul</t>
  </si>
  <si>
    <t>EV Pas</t>
  </si>
  <si>
    <t>DEP Pas</t>
  </si>
  <si>
    <t>EV Top Kapma</t>
  </si>
  <si>
    <t>DEP Top Kapma</t>
  </si>
  <si>
    <t>EV Serbest Vuruşu</t>
  </si>
  <si>
    <t>DEP Serbest Vuruş</t>
  </si>
  <si>
    <t>EV Sarı Kart</t>
  </si>
  <si>
    <t>DEP Sarı Kart</t>
  </si>
  <si>
    <t xml:space="preserve">EV Kırmızı Kart </t>
  </si>
  <si>
    <t>DEP Kırmızı Kart</t>
  </si>
  <si>
    <t>EV Penaltı xG</t>
  </si>
  <si>
    <t>DEP Penaltı xG</t>
  </si>
  <si>
    <t>EV İsabetli Şut</t>
  </si>
  <si>
    <t>EV Direkten Dönen</t>
  </si>
  <si>
    <t>EV İsabetsiz Şut</t>
  </si>
  <si>
    <t>EV Engellenen Şutu</t>
  </si>
  <si>
    <t>EV Ceza Sahası İçinden Şut</t>
  </si>
  <si>
    <t>EV Ceza Sahası Dışından Şut</t>
  </si>
  <si>
    <t>DEP İsabetli Şut</t>
  </si>
  <si>
    <t>DEP Direkten Dönen</t>
  </si>
  <si>
    <t>DEP İsabetsiz Şut</t>
  </si>
  <si>
    <t>DEP Engellenen Şutu</t>
  </si>
  <si>
    <t>DEP Ceza Sahası İçinden Şut</t>
  </si>
  <si>
    <t>DEP Ceza Sahası Dışından Şut</t>
  </si>
  <si>
    <t>EV Şuta Sebep Olan Hata (Ev Sahibi Takımının Gol Yemesine Dönük Negatif Unsur)</t>
  </si>
  <si>
    <t>EV Gole Sebep Olan Hata (Ev Sahibi Takımının Gol Yemesine Dönük Negatif Unsur)</t>
  </si>
  <si>
    <t>DEP Şuta Sebep Olan Hata (Deplasman Takımının Gol Yemesine Dönük Negatif Unsur)</t>
  </si>
  <si>
    <t>DEP Gole Sebep Olan Hata (Deplasman Takımının Gol Yemesine Dönük Negatif Unsur)</t>
  </si>
  <si>
    <t>EV</t>
  </si>
  <si>
    <t>EV Skor</t>
  </si>
  <si>
    <t>DEP Skor</t>
  </si>
  <si>
    <t>DEP</t>
  </si>
  <si>
    <t>EV İsabetli Şut Yüzdesi</t>
  </si>
  <si>
    <t>EV Ceza Sahası İçinden Şut Yüzdesi</t>
  </si>
  <si>
    <t>DEP İsabetli Şut Yüzdesi</t>
  </si>
  <si>
    <t>DEP Ceza Sahası İçinden Şut Yüzdesi</t>
  </si>
  <si>
    <t>Maçın Adamı Adı</t>
  </si>
  <si>
    <t>Maçın Adamı Soyadı</t>
  </si>
  <si>
    <t>Oyuncu Soyadı</t>
  </si>
  <si>
    <t>Asist Yapan Oyuncu Adı</t>
  </si>
  <si>
    <t>Asist Yapan Oyuncu Soyadı</t>
  </si>
  <si>
    <t>Ismael</t>
  </si>
  <si>
    <t>Viktor</t>
  </si>
  <si>
    <t>Tsygankov</t>
  </si>
  <si>
    <t>Gavi</t>
  </si>
  <si>
    <t>Raba</t>
  </si>
  <si>
    <t>Bekhoucha</t>
  </si>
  <si>
    <t>Omar</t>
  </si>
  <si>
    <t>El Hilali</t>
  </si>
  <si>
    <t>Rosier</t>
  </si>
  <si>
    <t>Brahim</t>
  </si>
  <si>
    <t>Bigas</t>
  </si>
  <si>
    <t>Altimira</t>
  </si>
  <si>
    <t>Abde</t>
  </si>
  <si>
    <t>Moncayola</t>
  </si>
  <si>
    <t>Casado</t>
  </si>
  <si>
    <t>Bernal</t>
  </si>
  <si>
    <t>Darder</t>
  </si>
  <si>
    <t>Lo Colso</t>
  </si>
  <si>
    <t>Virgili</t>
  </si>
  <si>
    <t>Filip</t>
  </si>
  <si>
    <t>Ugrinic</t>
  </si>
  <si>
    <t>Gil</t>
  </si>
  <si>
    <t>Frankie</t>
  </si>
  <si>
    <t>de Jong</t>
  </si>
  <si>
    <t>Abdel</t>
  </si>
  <si>
    <t>Baena</t>
  </si>
  <si>
    <t>Domenech</t>
  </si>
  <si>
    <t>Manu</t>
  </si>
  <si>
    <t>Chidera</t>
  </si>
  <si>
    <t>Ejuke</t>
  </si>
  <si>
    <t>Clemens</t>
  </si>
  <si>
    <t>Riedel</t>
  </si>
  <si>
    <t>Ricardo</t>
  </si>
  <si>
    <t>Oyuncu Pozisyonu</t>
  </si>
  <si>
    <t>EV Taktik</t>
  </si>
  <si>
    <t>DEP Taktik</t>
  </si>
  <si>
    <t>Santrafor</t>
  </si>
  <si>
    <t>Sol Forvet</t>
  </si>
  <si>
    <t>Sağ Forvet</t>
  </si>
  <si>
    <t>Ön Libero</t>
  </si>
  <si>
    <t>Sol Bek</t>
  </si>
  <si>
    <t>Sağ Bek</t>
  </si>
  <si>
    <t>Orta Saha Sağ</t>
  </si>
  <si>
    <t>Orta Saha Sol</t>
  </si>
  <si>
    <t>4-3-3</t>
  </si>
  <si>
    <t>4-2-3-1</t>
  </si>
  <si>
    <t>4-4-2</t>
  </si>
  <si>
    <t>Orta Saha</t>
  </si>
  <si>
    <t>Yedek</t>
  </si>
  <si>
    <t>4-1-4-1</t>
  </si>
  <si>
    <t>5-4-1</t>
  </si>
  <si>
    <t>Ofansif Orta Saha</t>
  </si>
  <si>
    <t>3-4-3</t>
  </si>
  <si>
    <t>5-3-2</t>
  </si>
  <si>
    <t>3-4-2-1</t>
  </si>
  <si>
    <t>3-4-1-2</t>
  </si>
  <si>
    <t>4-4-1-1</t>
  </si>
  <si>
    <t>3-1-4-2</t>
  </si>
  <si>
    <t>3-5-2</t>
  </si>
  <si>
    <t>Kaleci</t>
  </si>
  <si>
    <t>4-5-1</t>
  </si>
  <si>
    <t>Orta saha Sol</t>
  </si>
  <si>
    <t>Celta Vigo</t>
  </si>
  <si>
    <t>Oyuncu Maç Puanı</t>
  </si>
  <si>
    <t>Sol Stoper</t>
  </si>
  <si>
    <t>Sağ Stoper</t>
  </si>
  <si>
    <t>Augusto</t>
  </si>
  <si>
    <t>Batalla</t>
  </si>
  <si>
    <t>Cunat</t>
  </si>
  <si>
    <t>Sol Santrafor</t>
  </si>
  <si>
    <t>Sağ Santrafor</t>
  </si>
  <si>
    <t>Ionut</t>
  </si>
  <si>
    <t>Radu</t>
  </si>
  <si>
    <t>Soria</t>
  </si>
  <si>
    <t>Simon</t>
  </si>
  <si>
    <t>Marko</t>
  </si>
  <si>
    <t>Dmitrovic</t>
  </si>
  <si>
    <t>Dituro</t>
  </si>
  <si>
    <t>Thibaut</t>
  </si>
  <si>
    <t>Courtois</t>
  </si>
  <si>
    <t>Merkez Stoper</t>
  </si>
  <si>
    <t>Krapyvtsov</t>
  </si>
  <si>
    <t>Valles</t>
  </si>
  <si>
    <t>Mathew</t>
  </si>
  <si>
    <t>Ryan</t>
  </si>
  <si>
    <t xml:space="preserve">Sergio </t>
  </si>
  <si>
    <t>Espanyol'da 45.3. dakikada Pere Milla kırmızı kart gördü. (İtiraz.)</t>
  </si>
  <si>
    <t>Pena</t>
  </si>
  <si>
    <t>Barceloa</t>
  </si>
  <si>
    <t>Tenas</t>
  </si>
  <si>
    <t>Wojciech</t>
  </si>
  <si>
    <t>Szcesny</t>
  </si>
  <si>
    <t>Szczesny</t>
  </si>
  <si>
    <t>Ara</t>
  </si>
  <si>
    <t>Nacho</t>
  </si>
  <si>
    <t>Vidal</t>
  </si>
  <si>
    <t>Çizgiden Çıkarıldı</t>
  </si>
  <si>
    <t>Frenkie</t>
  </si>
  <si>
    <t>Cubarsi</t>
  </si>
  <si>
    <t>Jose Maria</t>
  </si>
  <si>
    <t>Gimenez</t>
  </si>
  <si>
    <t>Jones</t>
  </si>
  <si>
    <t>El-Abdellaoui</t>
  </si>
  <si>
    <t>Karrikaburu</t>
  </si>
  <si>
    <t>Gorrotxategi</t>
  </si>
  <si>
    <t>Celta'da 45+1. dakikada Carl Starfelt kırmızı kart gördü. (Tartışma. İkinci Sarı Karttan)</t>
  </si>
  <si>
    <t>Raul</t>
  </si>
  <si>
    <t>Asencio</t>
  </si>
  <si>
    <t>Abu</t>
  </si>
  <si>
    <t>Kamara</t>
  </si>
  <si>
    <t>Getafe'de 77. dakikada Allan Nyom (Şiddet İçeren Davranış), 84. dakkikada Alex Sancris (Faul, İkinci Sarı Karttan) kırmızı kart gördü.</t>
  </si>
  <si>
    <t>Pep</t>
  </si>
  <si>
    <t>Mallorca'da 33. dakikada Manu Morlanes (Sert Faul), 39. dakikada Vedat Muriqi (Sert Faul) kırmızı kart gördü.</t>
  </si>
  <si>
    <t>Valencia'da 22. dakikada Luis Gaya kırmızı kart gördü. (Son adama faul.)</t>
  </si>
  <si>
    <t>Oyuncu Adı</t>
  </si>
  <si>
    <t>Pozisyon</t>
  </si>
  <si>
    <t>Sakatlık</t>
  </si>
  <si>
    <t>İlk 11</t>
  </si>
  <si>
    <t>Puan</t>
  </si>
  <si>
    <t>Stoper</t>
  </si>
  <si>
    <t>Uyluk Sakatlığı</t>
  </si>
  <si>
    <t>Çapraz Bağ Yırtığı</t>
  </si>
  <si>
    <t>Aşil Tendonu Yırtığı</t>
  </si>
  <si>
    <t>Kas Yaralanması</t>
  </si>
  <si>
    <t>Orri</t>
  </si>
  <si>
    <t>Uyluk Problemi</t>
  </si>
  <si>
    <t>Tanguy</t>
  </si>
  <si>
    <t>Nianzou</t>
  </si>
  <si>
    <t>Burkulma</t>
  </si>
  <si>
    <t>Lemos</t>
  </si>
  <si>
    <t>Benat</t>
  </si>
  <si>
    <t>Prados</t>
  </si>
  <si>
    <t>Durum</t>
  </si>
  <si>
    <t>Sakat</t>
  </si>
  <si>
    <t>Takefuso</t>
  </si>
  <si>
    <t>Şüpheli</t>
  </si>
  <si>
    <t>Bilinmiyor</t>
  </si>
  <si>
    <t>Azpilicueta</t>
  </si>
  <si>
    <t>Jordan</t>
  </si>
  <si>
    <t>Frances</t>
  </si>
  <si>
    <t>Cezalı</t>
  </si>
  <si>
    <t>Thomas</t>
  </si>
  <si>
    <t>Lemar</t>
  </si>
  <si>
    <t>Cazorla</t>
  </si>
  <si>
    <t>Yeray</t>
  </si>
  <si>
    <t>Eguliz</t>
  </si>
  <si>
    <t>Sağ Forvet/Santrafor</t>
  </si>
  <si>
    <t>Allan</t>
  </si>
  <si>
    <t>Nyom</t>
  </si>
  <si>
    <t>Sancris</t>
  </si>
  <si>
    <t>Dimitri</t>
  </si>
  <si>
    <t>Foulguier</t>
  </si>
  <si>
    <t>Ugrincic</t>
  </si>
  <si>
    <t>Logan</t>
  </si>
  <si>
    <t>Willy</t>
  </si>
  <si>
    <t>Kambwala</t>
  </si>
  <si>
    <t>Cabanes</t>
  </si>
  <si>
    <t>M</t>
  </si>
  <si>
    <t>C</t>
  </si>
  <si>
    <t>S</t>
  </si>
  <si>
    <t>N</t>
  </si>
  <si>
    <t>R</t>
  </si>
  <si>
    <t>A</t>
  </si>
  <si>
    <t>O</t>
  </si>
  <si>
    <t>Gabriel</t>
  </si>
  <si>
    <t>Suazo</t>
  </si>
  <si>
    <t>J</t>
  </si>
  <si>
    <t>Stuani</t>
  </si>
  <si>
    <t>F</t>
  </si>
  <si>
    <t>D</t>
  </si>
  <si>
    <t>3-3</t>
  </si>
  <si>
    <t>P</t>
  </si>
  <si>
    <t>Carreas</t>
  </si>
  <si>
    <t>T</t>
  </si>
  <si>
    <t>G</t>
  </si>
  <si>
    <t>I</t>
  </si>
  <si>
    <t>B</t>
  </si>
  <si>
    <t>U</t>
  </si>
  <si>
    <t>L</t>
  </si>
  <si>
    <t>Junio</t>
  </si>
  <si>
    <t>Morlanes</t>
  </si>
  <si>
    <t>V</t>
  </si>
  <si>
    <t>Llabres</t>
  </si>
  <si>
    <t>E</t>
  </si>
  <si>
    <t>J L</t>
  </si>
  <si>
    <t>K</t>
  </si>
  <si>
    <t>W</t>
  </si>
  <si>
    <t>Barcelona'da 90+10. dakikada Pedri kırmızı kart gördü. (Faul, İkinci Sarı Karttan)</t>
  </si>
  <si>
    <t>H</t>
  </si>
  <si>
    <t>Benavidez</t>
  </si>
  <si>
    <t>Mihailo</t>
  </si>
  <si>
    <t>Ristic</t>
  </si>
  <si>
    <t>Pacheco</t>
  </si>
  <si>
    <t>Igor</t>
  </si>
  <si>
    <t>Zubeldia</t>
  </si>
  <si>
    <t>da Costa</t>
  </si>
  <si>
    <t>Pedraza</t>
  </si>
  <si>
    <t>Parejo</t>
  </si>
  <si>
    <t>Trejo</t>
  </si>
  <si>
    <t>J M</t>
  </si>
  <si>
    <t>Andoni</t>
  </si>
  <si>
    <t>Gorosabel</t>
  </si>
  <si>
    <t>Levante'de 29. dakikada Unai Vencedor kırmızı kart gördü. (Sert Faul)</t>
  </si>
  <si>
    <t>Alonso</t>
  </si>
  <si>
    <t>Arriaga</t>
  </si>
  <si>
    <t>Carreira</t>
  </si>
  <si>
    <t>Suarez</t>
  </si>
  <si>
    <t>Calebe</t>
  </si>
  <si>
    <t>Alaves'te 90+1. dakikada Lucas Boye kırmızı kart gördü. (Faul, İkinci Sarı Karttan)</t>
  </si>
  <si>
    <t>Balde</t>
  </si>
  <si>
    <t>Nunez</t>
  </si>
  <si>
    <t>Bergström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</si>
</sst>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F]d\ mmmm\ yyyy;@"/>
    <numFmt numFmtId="165" formatCode="0.0"/>
    <numFmt numFmtId="166" formatCode="[$-41F]d\ mmmm\ yy;@"/>
  </numFmts>
  <fonts count="12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charset val="16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39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3" xfId="0" applyBorder="1"/>
    <xf numFmtId="2" fontId="0" fillId="0" borderId="3" xfId="0" applyNumberFormat="1" applyBorder="1"/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4" xfId="0" applyBorder="1"/>
    <xf numFmtId="2" fontId="0" fillId="0" borderId="4" xfId="0" applyNumberFormat="1" applyBorder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5" xfId="0" applyBorder="1"/>
    <xf numFmtId="2" fontId="0" fillId="0" borderId="5" xfId="0" applyNumberFormat="1" applyBorder="1"/>
    <xf numFmtId="2" fontId="0" fillId="0" borderId="5" xfId="0" applyNumberFormat="1" applyBorder="1" applyAlignment="1">
      <alignment horizontal="center"/>
    </xf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164" fontId="2" fillId="2" borderId="1" xfId="0" applyNumberFormat="1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4" xfId="0" applyNumberFormat="1" applyBorder="1"/>
    <xf numFmtId="164" fontId="0" fillId="0" borderId="3" xfId="0" applyNumberFormat="1" applyBorder="1"/>
    <xf numFmtId="2" fontId="0" fillId="3" borderId="1" xfId="0" applyNumberFormat="1" applyFill="1" applyBorder="1"/>
    <xf numFmtId="2" fontId="0" fillId="4" borderId="1" xfId="0" applyNumberFormat="1" applyFill="1" applyBorder="1"/>
    <xf numFmtId="0" fontId="1" fillId="2" borderId="6" xfId="0" applyFont="1" applyFill="1" applyBorder="1"/>
    <xf numFmtId="0" fontId="0" fillId="4" borderId="6" xfId="0" applyFill="1" applyBorder="1"/>
    <xf numFmtId="0" fontId="2" fillId="2" borderId="7" xfId="0" applyFont="1" applyFill="1" applyBorder="1"/>
    <xf numFmtId="0" fontId="0" fillId="0" borderId="7" xfId="0" applyBorder="1"/>
    <xf numFmtId="0" fontId="1" fillId="2" borderId="4" xfId="0" applyFont="1" applyFill="1" applyBorder="1"/>
    <xf numFmtId="0" fontId="1" fillId="5" borderId="4" xfId="0" applyFont="1" applyFill="1" applyBorder="1"/>
    <xf numFmtId="0" fontId="1" fillId="2" borderId="9" xfId="0" applyFont="1" applyFill="1" applyBorder="1"/>
    <xf numFmtId="0" fontId="0" fillId="3" borderId="10" xfId="0" applyFill="1" applyBorder="1"/>
    <xf numFmtId="0" fontId="0" fillId="4" borderId="11" xfId="0" applyFill="1" applyBorder="1"/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" fontId="1" fillId="2" borderId="8" xfId="0" applyNumberFormat="1" applyFont="1" applyFill="1" applyBorder="1"/>
    <xf numFmtId="2" fontId="1" fillId="2" borderId="4" xfId="0" applyNumberFormat="1" applyFont="1" applyFill="1" applyBorder="1"/>
    <xf numFmtId="49" fontId="1" fillId="2" borderId="9" xfId="0" applyNumberFormat="1" applyFont="1" applyFill="1" applyBorder="1"/>
    <xf numFmtId="2" fontId="0" fillId="0" borderId="10" xfId="0" applyNumberFormat="1" applyBorder="1"/>
    <xf numFmtId="2" fontId="0" fillId="0" borderId="15" xfId="0" applyNumberFormat="1" applyBorder="1"/>
    <xf numFmtId="2" fontId="0" fillId="0" borderId="8" xfId="0" applyNumberFormat="1" applyBorder="1"/>
    <xf numFmtId="2" fontId="0" fillId="0" borderId="17" xfId="0" applyNumberFormat="1" applyBorder="1"/>
    <xf numFmtId="0" fontId="1" fillId="2" borderId="8" xfId="0" applyFont="1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6" xfId="0" applyBorder="1"/>
    <xf numFmtId="0" fontId="0" fillId="0" borderId="9" xfId="0" applyBorder="1"/>
    <xf numFmtId="0" fontId="0" fillId="0" borderId="18" xfId="0" applyBorder="1"/>
    <xf numFmtId="0" fontId="0" fillId="6" borderId="1" xfId="0" applyFill="1" applyBorder="1"/>
    <xf numFmtId="0" fontId="4" fillId="6" borderId="1" xfId="0" applyFont="1" applyFill="1" applyBorder="1"/>
    <xf numFmtId="0" fontId="0" fillId="6" borderId="11" xfId="0" applyFill="1" applyBorder="1"/>
    <xf numFmtId="0" fontId="0" fillId="6" borderId="4" xfId="0" applyFill="1" applyBorder="1"/>
    <xf numFmtId="0" fontId="0" fillId="6" borderId="9" xfId="0" applyFill="1" applyBorder="1"/>
    <xf numFmtId="0" fontId="0" fillId="6" borderId="2" xfId="0" applyFill="1" applyBorder="1"/>
    <xf numFmtId="0" fontId="0" fillId="6" borderId="16" xfId="0" applyFill="1" applyBorder="1"/>
    <xf numFmtId="0" fontId="4" fillId="6" borderId="4" xfId="0" applyFont="1" applyFill="1" applyBorder="1"/>
    <xf numFmtId="0" fontId="4" fillId="6" borderId="2" xfId="0" applyFont="1" applyFill="1" applyBorder="1"/>
    <xf numFmtId="0" fontId="0" fillId="6" borderId="3" xfId="0" applyFill="1" applyBorder="1"/>
    <xf numFmtId="0" fontId="0" fillId="6" borderId="18" xfId="0" applyFill="1" applyBorder="1"/>
    <xf numFmtId="0" fontId="4" fillId="6" borderId="3" xfId="0" applyFont="1" applyFill="1" applyBorder="1"/>
    <xf numFmtId="0" fontId="4" fillId="4" borderId="1" xfId="0" applyFont="1" applyFill="1" applyBorder="1"/>
    <xf numFmtId="0" fontId="0" fillId="4" borderId="2" xfId="0" applyFill="1" applyBorder="1"/>
    <xf numFmtId="0" fontId="4" fillId="4" borderId="2" xfId="0" applyFont="1" applyFill="1" applyBorder="1"/>
    <xf numFmtId="0" fontId="0" fillId="4" borderId="16" xfId="0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3" xfId="0" applyFill="1" applyBorder="1"/>
    <xf numFmtId="0" fontId="0" fillId="4" borderId="18" xfId="0" applyFill="1" applyBorder="1"/>
    <xf numFmtId="2" fontId="1" fillId="5" borderId="1" xfId="0" applyNumberFormat="1" applyFont="1" applyFill="1" applyBorder="1"/>
    <xf numFmtId="2" fontId="1" fillId="7" borderId="1" xfId="0" applyNumberFormat="1" applyFont="1" applyFill="1" applyBorder="1"/>
    <xf numFmtId="9" fontId="0" fillId="3" borderId="7" xfId="1" applyFont="1" applyFill="1" applyBorder="1"/>
    <xf numFmtId="9" fontId="1" fillId="7" borderId="20" xfId="1" applyFont="1" applyFill="1" applyBorder="1"/>
    <xf numFmtId="0" fontId="1" fillId="7" borderId="8" xfId="0" applyFont="1" applyFill="1" applyBorder="1"/>
    <xf numFmtId="9" fontId="0" fillId="3" borderId="1" xfId="1" applyFont="1" applyFill="1" applyBorder="1"/>
    <xf numFmtId="0" fontId="1" fillId="7" borderId="4" xfId="0" applyFont="1" applyFill="1" applyBorder="1"/>
    <xf numFmtId="9" fontId="0" fillId="4" borderId="1" xfId="1" applyFont="1" applyFill="1" applyBorder="1"/>
    <xf numFmtId="0" fontId="1" fillId="7" borderId="1" xfId="0" applyFont="1" applyFill="1" applyBorder="1"/>
    <xf numFmtId="0" fontId="3" fillId="0" borderId="11" xfId="0" applyFont="1" applyBorder="1"/>
    <xf numFmtId="0" fontId="3" fillId="0" borderId="16" xfId="0" applyFont="1" applyBorder="1"/>
    <xf numFmtId="0" fontId="4" fillId="6" borderId="9" xfId="0" applyFont="1" applyFill="1" applyBorder="1"/>
    <xf numFmtId="0" fontId="4" fillId="6" borderId="11" xfId="0" applyFont="1" applyFill="1" applyBorder="1"/>
    <xf numFmtId="0" fontId="4" fillId="6" borderId="16" xfId="0" applyFont="1" applyFill="1" applyBorder="1"/>
    <xf numFmtId="0" fontId="4" fillId="6" borderId="18" xfId="0" applyFont="1" applyFill="1" applyBorder="1"/>
    <xf numFmtId="0" fontId="0" fillId="0" borderId="8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7" xfId="0" applyBorder="1" applyAlignment="1">
      <alignment horizontal="right"/>
    </xf>
    <xf numFmtId="164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/>
    <xf numFmtId="0" fontId="0" fillId="2" borderId="6" xfId="0" applyFill="1" applyBorder="1"/>
    <xf numFmtId="0" fontId="0" fillId="2" borderId="10" xfId="0" applyFill="1" applyBorder="1"/>
    <xf numFmtId="9" fontId="0" fillId="2" borderId="7" xfId="1" applyFont="1" applyFill="1" applyBorder="1"/>
    <xf numFmtId="0" fontId="0" fillId="2" borderId="11" xfId="0" applyFill="1" applyBorder="1"/>
    <xf numFmtId="9" fontId="0" fillId="2" borderId="1" xfId="1" applyFont="1" applyFill="1" applyBorder="1"/>
    <xf numFmtId="0" fontId="0" fillId="0" borderId="10" xfId="0" applyBorder="1"/>
    <xf numFmtId="0" fontId="0" fillId="0" borderId="15" xfId="0" applyBorder="1"/>
    <xf numFmtId="0" fontId="0" fillId="0" borderId="17" xfId="0" applyBorder="1"/>
    <xf numFmtId="0" fontId="3" fillId="0" borderId="10" xfId="0" applyFont="1" applyBorder="1"/>
    <xf numFmtId="49" fontId="0" fillId="0" borderId="6" xfId="0" applyNumberFormat="1" applyBorder="1"/>
    <xf numFmtId="49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0" fontId="1" fillId="2" borderId="21" xfId="0" applyFont="1" applyFill="1" applyBorder="1"/>
    <xf numFmtId="0" fontId="1" fillId="2" borderId="22" xfId="0" applyFont="1" applyFill="1" applyBorder="1"/>
    <xf numFmtId="0" fontId="0" fillId="0" borderId="8" xfId="0" applyBorder="1"/>
    <xf numFmtId="0" fontId="3" fillId="0" borderId="15" xfId="0" applyFont="1" applyBorder="1"/>
    <xf numFmtId="49" fontId="2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16" xfId="0" applyFill="1" applyBorder="1"/>
    <xf numFmtId="49" fontId="0" fillId="8" borderId="12" xfId="0" applyNumberFormat="1" applyFill="1" applyBorder="1"/>
    <xf numFmtId="0" fontId="0" fillId="8" borderId="1" xfId="0" applyFill="1" applyBorder="1"/>
    <xf numFmtId="0" fontId="0" fillId="8" borderId="11" xfId="0" applyFill="1" applyBorder="1"/>
    <xf numFmtId="2" fontId="0" fillId="8" borderId="10" xfId="0" applyNumberFormat="1" applyFill="1" applyBorder="1"/>
    <xf numFmtId="2" fontId="0" fillId="8" borderId="1" xfId="0" applyNumberFormat="1" applyFill="1" applyBorder="1"/>
    <xf numFmtId="49" fontId="0" fillId="8" borderId="6" xfId="0" applyNumberFormat="1" applyFill="1" applyBorder="1"/>
    <xf numFmtId="164" fontId="0" fillId="9" borderId="4" xfId="0" applyNumberFormat="1" applyFill="1" applyBorder="1"/>
    <xf numFmtId="0" fontId="0" fillId="9" borderId="4" xfId="0" applyFill="1" applyBorder="1"/>
    <xf numFmtId="49" fontId="0" fillId="9" borderId="4" xfId="0" applyNumberFormat="1" applyFill="1" applyBorder="1" applyAlignment="1">
      <alignment horizontal="left"/>
    </xf>
    <xf numFmtId="2" fontId="0" fillId="9" borderId="4" xfId="0" applyNumberFormat="1" applyFill="1" applyBorder="1"/>
    <xf numFmtId="0" fontId="0" fillId="9" borderId="4" xfId="0" applyFill="1" applyBorder="1" applyAlignment="1">
      <alignment horizontal="center"/>
    </xf>
    <xf numFmtId="2" fontId="0" fillId="9" borderId="4" xfId="0" applyNumberFormat="1" applyFill="1" applyBorder="1" applyAlignment="1">
      <alignment horizontal="center"/>
    </xf>
    <xf numFmtId="0" fontId="0" fillId="9" borderId="13" xfId="0" applyFill="1" applyBorder="1"/>
    <xf numFmtId="0" fontId="0" fillId="9" borderId="8" xfId="0" applyFill="1" applyBorder="1" applyAlignment="1">
      <alignment horizontal="right"/>
    </xf>
    <xf numFmtId="164" fontId="0" fillId="9" borderId="1" xfId="0" applyNumberFormat="1" applyFill="1" applyBorder="1"/>
    <xf numFmtId="0" fontId="0" fillId="9" borderId="1" xfId="0" applyFill="1" applyBorder="1"/>
    <xf numFmtId="49" fontId="0" fillId="9" borderId="1" xfId="0" applyNumberFormat="1" applyFill="1" applyBorder="1" applyAlignment="1">
      <alignment horizontal="left"/>
    </xf>
    <xf numFmtId="2" fontId="0" fillId="9" borderId="1" xfId="0" applyNumberFormat="1" applyFill="1" applyBorder="1"/>
    <xf numFmtId="0" fontId="0" fillId="9" borderId="1" xfId="0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0" fontId="0" fillId="9" borderId="6" xfId="0" applyFill="1" applyBorder="1"/>
    <xf numFmtId="0" fontId="0" fillId="9" borderId="10" xfId="0" applyFill="1" applyBorder="1" applyAlignment="1">
      <alignment horizontal="right"/>
    </xf>
    <xf numFmtId="164" fontId="0" fillId="9" borderId="2" xfId="0" applyNumberFormat="1" applyFill="1" applyBorder="1"/>
    <xf numFmtId="0" fontId="0" fillId="9" borderId="2" xfId="0" applyFill="1" applyBorder="1"/>
    <xf numFmtId="49" fontId="0" fillId="9" borderId="2" xfId="0" applyNumberFormat="1" applyFill="1" applyBorder="1" applyAlignment="1">
      <alignment horizontal="left"/>
    </xf>
    <xf numFmtId="2" fontId="0" fillId="9" borderId="2" xfId="0" applyNumberFormat="1" applyFill="1" applyBorder="1"/>
    <xf numFmtId="0" fontId="0" fillId="9" borderId="2" xfId="0" applyFill="1" applyBorder="1" applyAlignment="1">
      <alignment horizontal="center"/>
    </xf>
    <xf numFmtId="2" fontId="0" fillId="9" borderId="2" xfId="0" applyNumberFormat="1" applyFill="1" applyBorder="1" applyAlignment="1">
      <alignment horizontal="center"/>
    </xf>
    <xf numFmtId="0" fontId="0" fillId="9" borderId="12" xfId="0" applyFill="1" applyBorder="1"/>
    <xf numFmtId="0" fontId="0" fillId="9" borderId="15" xfId="0" applyFill="1" applyBorder="1" applyAlignment="1">
      <alignment horizontal="right"/>
    </xf>
    <xf numFmtId="164" fontId="0" fillId="9" borderId="3" xfId="0" applyNumberFormat="1" applyFill="1" applyBorder="1"/>
    <xf numFmtId="0" fontId="0" fillId="9" borderId="3" xfId="0" applyFill="1" applyBorder="1"/>
    <xf numFmtId="49" fontId="0" fillId="9" borderId="3" xfId="0" applyNumberFormat="1" applyFill="1" applyBorder="1" applyAlignment="1">
      <alignment horizontal="left"/>
    </xf>
    <xf numFmtId="2" fontId="0" fillId="9" borderId="3" xfId="0" applyNumberFormat="1" applyFill="1" applyBorder="1"/>
    <xf numFmtId="0" fontId="0" fillId="9" borderId="3" xfId="0" applyFill="1" applyBorder="1" applyAlignment="1">
      <alignment horizontal="center"/>
    </xf>
    <xf numFmtId="2" fontId="0" fillId="9" borderId="3" xfId="0" applyNumberFormat="1" applyFill="1" applyBorder="1" applyAlignment="1">
      <alignment horizontal="center"/>
    </xf>
    <xf numFmtId="0" fontId="0" fillId="9" borderId="14" xfId="0" applyFill="1" applyBorder="1"/>
    <xf numFmtId="0" fontId="0" fillId="9" borderId="17" xfId="0" applyFill="1" applyBorder="1" applyAlignment="1">
      <alignment horizontal="right"/>
    </xf>
    <xf numFmtId="2" fontId="0" fillId="9" borderId="8" xfId="0" applyNumberFormat="1" applyFill="1" applyBorder="1"/>
    <xf numFmtId="49" fontId="0" fillId="9" borderId="13" xfId="0" applyNumberFormat="1" applyFill="1" applyBorder="1"/>
    <xf numFmtId="0" fontId="0" fillId="9" borderId="17" xfId="0" applyFill="1" applyBorder="1"/>
    <xf numFmtId="0" fontId="0" fillId="9" borderId="18" xfId="0" applyFill="1" applyBorder="1"/>
    <xf numFmtId="2" fontId="0" fillId="9" borderId="10" xfId="0" applyNumberFormat="1" applyFill="1" applyBorder="1"/>
    <xf numFmtId="49" fontId="0" fillId="9" borderId="6" xfId="0" applyNumberFormat="1" applyFill="1" applyBorder="1"/>
    <xf numFmtId="0" fontId="0" fillId="9" borderId="10" xfId="0" applyFill="1" applyBorder="1"/>
    <xf numFmtId="0" fontId="0" fillId="9" borderId="11" xfId="0" applyFill="1" applyBorder="1"/>
    <xf numFmtId="2" fontId="0" fillId="9" borderId="15" xfId="0" applyNumberFormat="1" applyFill="1" applyBorder="1"/>
    <xf numFmtId="49" fontId="0" fillId="9" borderId="12" xfId="0" applyNumberFormat="1" applyFill="1" applyBorder="1"/>
    <xf numFmtId="0" fontId="0" fillId="9" borderId="15" xfId="0" applyFill="1" applyBorder="1"/>
    <xf numFmtId="0" fontId="0" fillId="9" borderId="16" xfId="0" applyFill="1" applyBorder="1"/>
    <xf numFmtId="2" fontId="0" fillId="9" borderId="17" xfId="0" applyNumberFormat="1" applyFill="1" applyBorder="1"/>
    <xf numFmtId="49" fontId="0" fillId="9" borderId="14" xfId="0" applyNumberFormat="1" applyFill="1" applyBorder="1"/>
    <xf numFmtId="164" fontId="0" fillId="9" borderId="5" xfId="0" applyNumberFormat="1" applyFill="1" applyBorder="1"/>
    <xf numFmtId="0" fontId="0" fillId="9" borderId="5" xfId="0" applyFill="1" applyBorder="1"/>
    <xf numFmtId="49" fontId="0" fillId="9" borderId="5" xfId="0" applyNumberFormat="1" applyFill="1" applyBorder="1" applyAlignment="1">
      <alignment horizontal="left"/>
    </xf>
    <xf numFmtId="2" fontId="0" fillId="9" borderId="5" xfId="0" applyNumberFormat="1" applyFill="1" applyBorder="1"/>
    <xf numFmtId="0" fontId="0" fillId="9" borderId="5" xfId="0" applyFill="1" applyBorder="1" applyAlignment="1">
      <alignment horizontal="center"/>
    </xf>
    <xf numFmtId="2" fontId="0" fillId="9" borderId="5" xfId="0" applyNumberFormat="1" applyFill="1" applyBorder="1" applyAlignment="1">
      <alignment horizontal="center"/>
    </xf>
    <xf numFmtId="0" fontId="4" fillId="9" borderId="8" xfId="0" applyFont="1" applyFill="1" applyBorder="1" applyAlignment="1">
      <alignment horizontal="right"/>
    </xf>
    <xf numFmtId="0" fontId="4" fillId="9" borderId="10" xfId="0" applyFont="1" applyFill="1" applyBorder="1" applyAlignment="1">
      <alignment horizontal="right"/>
    </xf>
    <xf numFmtId="0" fontId="4" fillId="9" borderId="15" xfId="0" applyFont="1" applyFill="1" applyBorder="1" applyAlignment="1">
      <alignment horizontal="right"/>
    </xf>
    <xf numFmtId="0" fontId="4" fillId="9" borderId="17" xfId="0" applyFont="1" applyFill="1" applyBorder="1" applyAlignment="1">
      <alignment horizontal="right"/>
    </xf>
    <xf numFmtId="164" fontId="8" fillId="2" borderId="5" xfId="0" applyNumberFormat="1" applyFont="1" applyFill="1" applyBorder="1"/>
    <xf numFmtId="0" fontId="8" fillId="2" borderId="5" xfId="0" applyFont="1" applyFill="1" applyBorder="1"/>
    <xf numFmtId="49" fontId="8" fillId="2" borderId="5" xfId="0" applyNumberFormat="1" applyFont="1" applyFill="1" applyBorder="1" applyAlignment="1">
      <alignment horizontal="left"/>
    </xf>
    <xf numFmtId="2" fontId="8" fillId="2" borderId="5" xfId="0" applyNumberFormat="1" applyFont="1" applyFill="1" applyBorder="1"/>
    <xf numFmtId="0" fontId="8" fillId="2" borderId="5" xfId="0" applyFont="1" applyFill="1" applyBorder="1" applyAlignment="1">
      <alignment horizontal="center"/>
    </xf>
    <xf numFmtId="2" fontId="8" fillId="2" borderId="5" xfId="0" applyNumberFormat="1" applyFont="1" applyFill="1" applyBorder="1" applyAlignment="1">
      <alignment horizontal="center"/>
    </xf>
    <xf numFmtId="0" fontId="9" fillId="2" borderId="12" xfId="0" applyFont="1" applyFill="1" applyBorder="1"/>
    <xf numFmtId="0" fontId="9" fillId="2" borderId="15" xfId="0" applyFont="1" applyFill="1" applyBorder="1" applyAlignment="1">
      <alignment horizontal="right"/>
    </xf>
    <xf numFmtId="0" fontId="9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9" fillId="2" borderId="16" xfId="0" applyFont="1" applyFill="1" applyBorder="1"/>
    <xf numFmtId="2" fontId="9" fillId="2" borderId="15" xfId="0" applyNumberFormat="1" applyFont="1" applyFill="1" applyBorder="1"/>
    <xf numFmtId="2" fontId="9" fillId="2" borderId="2" xfId="0" applyNumberFormat="1" applyFont="1" applyFill="1" applyBorder="1"/>
    <xf numFmtId="49" fontId="9" fillId="2" borderId="12" xfId="0" applyNumberFormat="1" applyFont="1" applyFill="1" applyBorder="1"/>
    <xf numFmtId="0" fontId="9" fillId="2" borderId="15" xfId="0" applyFont="1" applyFill="1" applyBorder="1"/>
    <xf numFmtId="164" fontId="8" fillId="2" borderId="2" xfId="0" applyNumberFormat="1" applyFont="1" applyFill="1" applyBorder="1"/>
    <xf numFmtId="0" fontId="8" fillId="2" borderId="2" xfId="0" applyFont="1" applyFill="1" applyBorder="1"/>
    <xf numFmtId="49" fontId="8" fillId="2" borderId="2" xfId="0" applyNumberFormat="1" applyFont="1" applyFill="1" applyBorder="1" applyAlignment="1">
      <alignment horizontal="left"/>
    </xf>
    <xf numFmtId="2" fontId="8" fillId="2" borderId="2" xfId="0" applyNumberFormat="1" applyFont="1" applyFill="1" applyBorder="1"/>
    <xf numFmtId="0" fontId="8" fillId="2" borderId="2" xfId="0" applyFont="1" applyFill="1" applyBorder="1" applyAlignment="1">
      <alignment horizontal="center"/>
    </xf>
    <xf numFmtId="2" fontId="8" fillId="2" borderId="2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164" fontId="8" fillId="2" borderId="1" xfId="0" applyNumberFormat="1" applyFont="1" applyFill="1" applyBorder="1"/>
    <xf numFmtId="0" fontId="8" fillId="2" borderId="1" xfId="0" applyFont="1" applyFill="1" applyBorder="1"/>
    <xf numFmtId="49" fontId="8" fillId="2" borderId="1" xfId="0" applyNumberFormat="1" applyFont="1" applyFill="1" applyBorder="1" applyAlignment="1">
      <alignment horizontal="left"/>
    </xf>
    <xf numFmtId="2" fontId="8" fillId="2" borderId="1" xfId="0" applyNumberFormat="1" applyFont="1" applyFill="1" applyBorder="1"/>
    <xf numFmtId="0" fontId="8" fillId="2" borderId="1" xfId="0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/>
    </xf>
    <xf numFmtId="0" fontId="8" fillId="2" borderId="12" xfId="0" applyFont="1" applyFill="1" applyBorder="1"/>
    <xf numFmtId="164" fontId="0" fillId="5" borderId="1" xfId="0" applyNumberFormat="1" applyFill="1" applyBorder="1"/>
    <xf numFmtId="0" fontId="0" fillId="5" borderId="1" xfId="0" applyFill="1" applyBorder="1"/>
    <xf numFmtId="49" fontId="0" fillId="5" borderId="1" xfId="0" applyNumberFormat="1" applyFill="1" applyBorder="1" applyAlignment="1">
      <alignment horizontal="left"/>
    </xf>
    <xf numFmtId="2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5" borderId="6" xfId="0" applyFill="1" applyBorder="1"/>
    <xf numFmtId="0" fontId="0" fillId="5" borderId="10" xfId="0" applyFill="1" applyBorder="1" applyAlignment="1">
      <alignment horizontal="right"/>
    </xf>
    <xf numFmtId="0" fontId="0" fillId="5" borderId="11" xfId="0" applyFill="1" applyBorder="1"/>
    <xf numFmtId="2" fontId="0" fillId="5" borderId="10" xfId="0" applyNumberFormat="1" applyFill="1" applyBorder="1"/>
    <xf numFmtId="49" fontId="0" fillId="5" borderId="6" xfId="0" applyNumberFormat="1" applyFill="1" applyBorder="1"/>
    <xf numFmtId="0" fontId="0" fillId="5" borderId="10" xfId="0" applyFill="1" applyBorder="1"/>
    <xf numFmtId="164" fontId="8" fillId="5" borderId="2" xfId="0" applyNumberFormat="1" applyFont="1" applyFill="1" applyBorder="1"/>
    <xf numFmtId="0" fontId="8" fillId="5" borderId="2" xfId="0" applyFont="1" applyFill="1" applyBorder="1"/>
    <xf numFmtId="49" fontId="8" fillId="5" borderId="2" xfId="0" applyNumberFormat="1" applyFont="1" applyFill="1" applyBorder="1" applyAlignment="1">
      <alignment horizontal="left"/>
    </xf>
    <xf numFmtId="2" fontId="8" fillId="5" borderId="2" xfId="0" applyNumberFormat="1" applyFont="1" applyFill="1" applyBorder="1"/>
    <xf numFmtId="0" fontId="8" fillId="5" borderId="2" xfId="0" applyFont="1" applyFill="1" applyBorder="1" applyAlignment="1">
      <alignment horizontal="center"/>
    </xf>
    <xf numFmtId="2" fontId="8" fillId="5" borderId="2" xfId="0" applyNumberFormat="1" applyFont="1" applyFill="1" applyBorder="1" applyAlignment="1">
      <alignment horizontal="center"/>
    </xf>
    <xf numFmtId="0" fontId="8" fillId="5" borderId="12" xfId="0" applyFont="1" applyFill="1" applyBorder="1"/>
    <xf numFmtId="0" fontId="9" fillId="5" borderId="15" xfId="0" applyFont="1" applyFill="1" applyBorder="1" applyAlignment="1">
      <alignment horizontal="right"/>
    </xf>
    <xf numFmtId="0" fontId="9" fillId="5" borderId="2" xfId="0" applyFont="1" applyFill="1" applyBorder="1"/>
    <xf numFmtId="0" fontId="4" fillId="5" borderId="2" xfId="0" applyFont="1" applyFill="1" applyBorder="1" applyAlignment="1">
      <alignment horizontal="center"/>
    </xf>
    <xf numFmtId="0" fontId="9" fillId="5" borderId="16" xfId="0" applyFont="1" applyFill="1" applyBorder="1"/>
    <xf numFmtId="2" fontId="9" fillId="5" borderId="15" xfId="0" applyNumberFormat="1" applyFont="1" applyFill="1" applyBorder="1"/>
    <xf numFmtId="2" fontId="9" fillId="5" borderId="2" xfId="0" applyNumberFormat="1" applyFont="1" applyFill="1" applyBorder="1"/>
    <xf numFmtId="49" fontId="9" fillId="5" borderId="12" xfId="0" applyNumberFormat="1" applyFont="1" applyFill="1" applyBorder="1"/>
    <xf numFmtId="0" fontId="9" fillId="5" borderId="15" xfId="0" applyFont="1" applyFill="1" applyBorder="1"/>
    <xf numFmtId="0" fontId="0" fillId="5" borderId="3" xfId="0" applyFill="1" applyBorder="1"/>
    <xf numFmtId="49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/>
    <xf numFmtId="0" fontId="0" fillId="5" borderId="3" xfId="0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0" fontId="0" fillId="5" borderId="14" xfId="0" applyFill="1" applyBorder="1"/>
    <xf numFmtId="0" fontId="0" fillId="5" borderId="17" xfId="0" applyFill="1" applyBorder="1" applyAlignment="1">
      <alignment horizontal="right"/>
    </xf>
    <xf numFmtId="0" fontId="0" fillId="5" borderId="18" xfId="0" applyFill="1" applyBorder="1"/>
    <xf numFmtId="2" fontId="0" fillId="5" borderId="17" xfId="0" applyNumberFormat="1" applyFill="1" applyBorder="1"/>
    <xf numFmtId="49" fontId="0" fillId="5" borderId="14" xfId="0" applyNumberFormat="1" applyFill="1" applyBorder="1"/>
    <xf numFmtId="0" fontId="0" fillId="5" borderId="17" xfId="0" applyFill="1" applyBorder="1"/>
    <xf numFmtId="0" fontId="8" fillId="5" borderId="23" xfId="0" applyFont="1" applyFill="1" applyBorder="1"/>
    <xf numFmtId="49" fontId="8" fillId="5" borderId="23" xfId="0" applyNumberFormat="1" applyFont="1" applyFill="1" applyBorder="1" applyAlignment="1">
      <alignment horizontal="left"/>
    </xf>
    <xf numFmtId="2" fontId="8" fillId="5" borderId="23" xfId="0" applyNumberFormat="1" applyFont="1" applyFill="1" applyBorder="1"/>
    <xf numFmtId="0" fontId="8" fillId="5" borderId="23" xfId="0" applyFont="1" applyFill="1" applyBorder="1" applyAlignment="1">
      <alignment horizontal="center"/>
    </xf>
    <xf numFmtId="2" fontId="8" fillId="5" borderId="23" xfId="0" applyNumberFormat="1" applyFont="1" applyFill="1" applyBorder="1" applyAlignment="1">
      <alignment horizontal="center"/>
    </xf>
    <xf numFmtId="0" fontId="8" fillId="5" borderId="24" xfId="0" applyFont="1" applyFill="1" applyBorder="1"/>
    <xf numFmtId="0" fontId="9" fillId="5" borderId="25" xfId="0" applyFont="1" applyFill="1" applyBorder="1" applyAlignment="1">
      <alignment horizontal="right"/>
    </xf>
    <xf numFmtId="0" fontId="9" fillId="5" borderId="23" xfId="0" applyFont="1" applyFill="1" applyBorder="1"/>
    <xf numFmtId="0" fontId="4" fillId="5" borderId="23" xfId="0" applyFont="1" applyFill="1" applyBorder="1" applyAlignment="1">
      <alignment horizontal="center"/>
    </xf>
    <xf numFmtId="0" fontId="9" fillId="5" borderId="26" xfId="0" applyFont="1" applyFill="1" applyBorder="1"/>
    <xf numFmtId="2" fontId="9" fillId="5" borderId="25" xfId="0" applyNumberFormat="1" applyFont="1" applyFill="1" applyBorder="1"/>
    <xf numFmtId="2" fontId="9" fillId="5" borderId="23" xfId="0" applyNumberFormat="1" applyFont="1" applyFill="1" applyBorder="1"/>
    <xf numFmtId="49" fontId="9" fillId="5" borderId="24" xfId="0" applyNumberFormat="1" applyFont="1" applyFill="1" applyBorder="1"/>
    <xf numFmtId="0" fontId="9" fillId="5" borderId="25" xfId="0" applyFont="1" applyFill="1" applyBorder="1"/>
    <xf numFmtId="2" fontId="4" fillId="5" borderId="23" xfId="0" applyNumberFormat="1" applyFont="1" applyFill="1" applyBorder="1"/>
    <xf numFmtId="0" fontId="4" fillId="5" borderId="23" xfId="0" applyFont="1" applyFill="1" applyBorder="1"/>
    <xf numFmtId="49" fontId="4" fillId="5" borderId="23" xfId="0" applyNumberFormat="1" applyFont="1" applyFill="1" applyBorder="1" applyAlignment="1">
      <alignment horizontal="left"/>
    </xf>
    <xf numFmtId="2" fontId="4" fillId="5" borderId="23" xfId="0" applyNumberFormat="1" applyFont="1" applyFill="1" applyBorder="1" applyAlignment="1">
      <alignment horizontal="center"/>
    </xf>
    <xf numFmtId="0" fontId="4" fillId="5" borderId="24" xfId="0" applyFont="1" applyFill="1" applyBorder="1"/>
    <xf numFmtId="0" fontId="4" fillId="5" borderId="25" xfId="0" applyFont="1" applyFill="1" applyBorder="1" applyAlignment="1">
      <alignment horizontal="right"/>
    </xf>
    <xf numFmtId="0" fontId="4" fillId="5" borderId="26" xfId="0" applyFont="1" applyFill="1" applyBorder="1"/>
    <xf numFmtId="2" fontId="4" fillId="5" borderId="25" xfId="0" applyNumberFormat="1" applyFont="1" applyFill="1" applyBorder="1"/>
    <xf numFmtId="49" fontId="4" fillId="5" borderId="24" xfId="0" applyNumberFormat="1" applyFont="1" applyFill="1" applyBorder="1"/>
    <xf numFmtId="0" fontId="4" fillId="5" borderId="25" xfId="0" applyFont="1" applyFill="1" applyBorder="1"/>
    <xf numFmtId="0" fontId="4" fillId="5" borderId="17" xfId="0" applyFont="1" applyFill="1" applyBorder="1" applyAlignment="1">
      <alignment horizontal="right"/>
    </xf>
    <xf numFmtId="0" fontId="4" fillId="5" borderId="3" xfId="0" applyFont="1" applyFill="1" applyBorder="1"/>
    <xf numFmtId="0" fontId="4" fillId="5" borderId="3" xfId="0" applyFont="1" applyFill="1" applyBorder="1" applyAlignment="1">
      <alignment horizontal="center"/>
    </xf>
    <xf numFmtId="0" fontId="4" fillId="5" borderId="18" xfId="0" applyFont="1" applyFill="1" applyBorder="1"/>
    <xf numFmtId="49" fontId="4" fillId="5" borderId="3" xfId="0" applyNumberFormat="1" applyFont="1" applyFill="1" applyBorder="1" applyAlignment="1">
      <alignment horizontal="left"/>
    </xf>
    <xf numFmtId="2" fontId="4" fillId="5" borderId="3" xfId="0" applyNumberFormat="1" applyFont="1" applyFill="1" applyBorder="1"/>
    <xf numFmtId="2" fontId="4" fillId="5" borderId="3" xfId="0" applyNumberFormat="1" applyFont="1" applyFill="1" applyBorder="1" applyAlignment="1">
      <alignment horizontal="center"/>
    </xf>
    <xf numFmtId="0" fontId="4" fillId="5" borderId="14" xfId="0" applyFont="1" applyFill="1" applyBorder="1"/>
    <xf numFmtId="2" fontId="4" fillId="5" borderId="17" xfId="0" applyNumberFormat="1" applyFont="1" applyFill="1" applyBorder="1"/>
    <xf numFmtId="49" fontId="4" fillId="5" borderId="14" xfId="0" applyNumberFormat="1" applyFont="1" applyFill="1" applyBorder="1"/>
    <xf numFmtId="0" fontId="4" fillId="5" borderId="17" xfId="0" applyFont="1" applyFill="1" applyBorder="1"/>
    <xf numFmtId="2" fontId="4" fillId="5" borderId="2" xfId="0" applyNumberFormat="1" applyFont="1" applyFill="1" applyBorder="1"/>
    <xf numFmtId="0" fontId="8" fillId="2" borderId="6" xfId="0" applyFont="1" applyFill="1" applyBorder="1"/>
    <xf numFmtId="0" fontId="8" fillId="2" borderId="10" xfId="0" applyFont="1" applyFill="1" applyBorder="1"/>
    <xf numFmtId="9" fontId="8" fillId="2" borderId="1" xfId="1" applyFont="1" applyFill="1" applyBorder="1"/>
    <xf numFmtId="0" fontId="8" fillId="2" borderId="11" xfId="0" applyFont="1" applyFill="1" applyBorder="1"/>
    <xf numFmtId="165" fontId="1" fillId="7" borderId="8" xfId="0" applyNumberFormat="1" applyFont="1" applyFill="1" applyBorder="1"/>
    <xf numFmtId="165" fontId="0" fillId="3" borderId="10" xfId="0" applyNumberFormat="1" applyFill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165" fontId="8" fillId="2" borderId="10" xfId="0" applyNumberFormat="1" applyFont="1" applyFill="1" applyBorder="1"/>
    <xf numFmtId="165" fontId="8" fillId="2" borderId="1" xfId="0" applyNumberFormat="1" applyFont="1" applyFill="1" applyBorder="1"/>
    <xf numFmtId="165" fontId="0" fillId="2" borderId="10" xfId="0" applyNumberFormat="1" applyFill="1" applyBorder="1"/>
    <xf numFmtId="165" fontId="0" fillId="2" borderId="1" xfId="0" applyNumberFormat="1" applyFill="1" applyBorder="1"/>
    <xf numFmtId="166" fontId="2" fillId="2" borderId="1" xfId="0" applyNumberFormat="1" applyFont="1" applyFill="1" applyBorder="1"/>
    <xf numFmtId="166" fontId="0" fillId="9" borderId="4" xfId="0" applyNumberFormat="1" applyFill="1" applyBorder="1"/>
    <xf numFmtId="166" fontId="0" fillId="9" borderId="1" xfId="0" applyNumberFormat="1" applyFill="1" applyBorder="1"/>
    <xf numFmtId="166" fontId="0" fillId="9" borderId="2" xfId="0" applyNumberFormat="1" applyFill="1" applyBorder="1"/>
    <xf numFmtId="166" fontId="8" fillId="2" borderId="2" xfId="0" applyNumberFormat="1" applyFont="1" applyFill="1" applyBorder="1"/>
    <xf numFmtId="166" fontId="0" fillId="9" borderId="3" xfId="0" applyNumberFormat="1" applyFill="1" applyBorder="1"/>
    <xf numFmtId="166" fontId="0" fillId="0" borderId="4" xfId="0" applyNumberFormat="1" applyBorder="1"/>
    <xf numFmtId="166" fontId="0" fillId="0" borderId="1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166" fontId="0" fillId="5" borderId="1" xfId="0" applyNumberFormat="1" applyFill="1" applyBorder="1"/>
    <xf numFmtId="166" fontId="0" fillId="9" borderId="5" xfId="0" applyNumberFormat="1" applyFill="1" applyBorder="1"/>
    <xf numFmtId="166" fontId="8" fillId="2" borderId="5" xfId="0" applyNumberFormat="1" applyFont="1" applyFill="1" applyBorder="1"/>
    <xf numFmtId="166" fontId="0" fillId="5" borderId="3" xfId="0" applyNumberFormat="1" applyFill="1" applyBorder="1"/>
    <xf numFmtId="166" fontId="0" fillId="0" borderId="5" xfId="0" applyNumberFormat="1" applyBorder="1"/>
    <xf numFmtId="166" fontId="8" fillId="5" borderId="23" xfId="0" applyNumberFormat="1" applyFont="1" applyFill="1" applyBorder="1"/>
    <xf numFmtId="166" fontId="8" fillId="2" borderId="1" xfId="0" applyNumberFormat="1" applyFont="1" applyFill="1" applyBorder="1"/>
    <xf numFmtId="166" fontId="4" fillId="5" borderId="23" xfId="0" applyNumberFormat="1" applyFont="1" applyFill="1" applyBorder="1"/>
    <xf numFmtId="166" fontId="4" fillId="5" borderId="3" xfId="0" applyNumberFormat="1" applyFont="1" applyFill="1" applyBorder="1"/>
    <xf numFmtId="9" fontId="1" fillId="7" borderId="4" xfId="1" applyFont="1" applyFill="1" applyBorder="1"/>
    <xf numFmtId="0" fontId="1" fillId="2" borderId="20" xfId="0" applyFont="1" applyFill="1" applyBorder="1"/>
    <xf numFmtId="0" fontId="9" fillId="2" borderId="27" xfId="0" applyFont="1" applyFill="1" applyBorder="1"/>
    <xf numFmtId="0" fontId="1" fillId="2" borderId="29" xfId="0" applyFont="1" applyFill="1" applyBorder="1" applyAlignment="1">
      <alignment horizontal="right"/>
    </xf>
    <xf numFmtId="0" fontId="0" fillId="0" borderId="30" xfId="0" applyBorder="1" applyAlignment="1">
      <alignment horizontal="right"/>
    </xf>
    <xf numFmtId="0" fontId="0" fillId="0" borderId="31" xfId="0" applyBorder="1" applyAlignment="1">
      <alignment horizontal="right"/>
    </xf>
    <xf numFmtId="0" fontId="9" fillId="2" borderId="31" xfId="0" applyFont="1" applyFill="1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32" xfId="0" applyBorder="1" applyAlignment="1">
      <alignment horizontal="right"/>
    </xf>
    <xf numFmtId="2" fontId="1" fillId="2" borderId="20" xfId="0" applyNumberFormat="1" applyFont="1" applyFill="1" applyBorder="1"/>
    <xf numFmtId="2" fontId="0" fillId="0" borderId="7" xfId="0" applyNumberFormat="1" applyBorder="1"/>
    <xf numFmtId="2" fontId="0" fillId="0" borderId="27" xfId="0" applyNumberFormat="1" applyBorder="1"/>
    <xf numFmtId="1" fontId="9" fillId="2" borderId="27" xfId="0" applyNumberFormat="1" applyFont="1" applyFill="1" applyBorder="1"/>
    <xf numFmtId="2" fontId="0" fillId="0" borderId="20" xfId="0" applyNumberFormat="1" applyBorder="1"/>
    <xf numFmtId="2" fontId="0" fillId="0" borderId="28" xfId="0" applyNumberFormat="1" applyBorder="1"/>
    <xf numFmtId="2" fontId="1" fillId="2" borderId="9" xfId="0" applyNumberFormat="1" applyFont="1" applyFill="1" applyBorder="1"/>
    <xf numFmtId="2" fontId="0" fillId="0" borderId="11" xfId="0" applyNumberFormat="1" applyBorder="1"/>
    <xf numFmtId="2" fontId="0" fillId="0" borderId="16" xfId="0" applyNumberFormat="1" applyBorder="1"/>
    <xf numFmtId="2" fontId="9" fillId="2" borderId="16" xfId="0" applyNumberFormat="1" applyFont="1" applyFill="1" applyBorder="1"/>
    <xf numFmtId="2" fontId="0" fillId="0" borderId="9" xfId="0" applyNumberFormat="1" applyBorder="1"/>
    <xf numFmtId="2" fontId="0" fillId="0" borderId="18" xfId="0" applyNumberFormat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0" fillId="9" borderId="7" xfId="1" applyFont="1" applyFill="1" applyBorder="1"/>
    <xf numFmtId="9" fontId="0" fillId="9" borderId="1" xfId="1" applyFont="1" applyFill="1" applyBorder="1"/>
    <xf numFmtId="165" fontId="0" fillId="0" borderId="1" xfId="0" applyNumberFormat="1" applyBorder="1"/>
    <xf numFmtId="165" fontId="1" fillId="7" borderId="29" xfId="0" applyNumberFormat="1" applyFont="1" applyFill="1" applyBorder="1"/>
    <xf numFmtId="165" fontId="0" fillId="0" borderId="11" xfId="0" applyNumberFormat="1" applyBorder="1"/>
    <xf numFmtId="0" fontId="1" fillId="2" borderId="8" xfId="0" applyFont="1" applyFill="1" applyBorder="1"/>
    <xf numFmtId="2" fontId="1" fillId="7" borderId="4" xfId="0" applyNumberFormat="1" applyFont="1" applyFill="1" applyBorder="1"/>
    <xf numFmtId="2" fontId="1" fillId="5" borderId="4" xfId="0" applyNumberFormat="1" applyFont="1" applyFill="1" applyBorder="1"/>
    <xf numFmtId="9" fontId="0" fillId="0" borderId="1" xfId="1" applyFont="1" applyFill="1" applyBorder="1"/>
    <xf numFmtId="9" fontId="0" fillId="0" borderId="7" xfId="1" applyFont="1" applyFill="1" applyBorder="1"/>
    <xf numFmtId="165" fontId="0" fillId="0" borderId="10" xfId="0" applyNumberFormat="1" applyBorder="1"/>
    <xf numFmtId="0" fontId="3" fillId="0" borderId="3" xfId="0" applyFont="1" applyBorder="1" applyAlignment="1">
      <alignment horizontal="center"/>
    </xf>
    <xf numFmtId="0" fontId="0" fillId="3" borderId="17" xfId="0" applyFill="1" applyBorder="1"/>
    <xf numFmtId="2" fontId="0" fillId="3" borderId="3" xfId="0" applyNumberFormat="1" applyFill="1" applyBorder="1"/>
    <xf numFmtId="2" fontId="0" fillId="4" borderId="3" xfId="0" applyNumberFormat="1" applyFill="1" applyBorder="1"/>
    <xf numFmtId="0" fontId="0" fillId="3" borderId="3" xfId="0" applyFill="1" applyBorder="1"/>
    <xf numFmtId="9" fontId="0" fillId="9" borderId="28" xfId="1" applyFont="1" applyFill="1" applyBorder="1"/>
    <xf numFmtId="9" fontId="0" fillId="9" borderId="3" xfId="1" applyFont="1" applyFill="1" applyBorder="1"/>
    <xf numFmtId="9" fontId="0" fillId="0" borderId="3" xfId="1" applyFont="1" applyFill="1" applyBorder="1"/>
    <xf numFmtId="0" fontId="3" fillId="0" borderId="2" xfId="0" applyFont="1" applyBorder="1" applyAlignment="1">
      <alignment horizontal="center"/>
    </xf>
    <xf numFmtId="0" fontId="0" fillId="3" borderId="15" xfId="0" applyFill="1" applyBorder="1"/>
    <xf numFmtId="2" fontId="0" fillId="3" borderId="2" xfId="0" applyNumberFormat="1" applyFill="1" applyBorder="1"/>
    <xf numFmtId="2" fontId="0" fillId="4" borderId="2" xfId="0" applyNumberFormat="1" applyFill="1" applyBorder="1"/>
    <xf numFmtId="0" fontId="0" fillId="3" borderId="2" xfId="0" applyFill="1" applyBorder="1"/>
    <xf numFmtId="9" fontId="0" fillId="9" borderId="27" xfId="1" applyFont="1" applyFill="1" applyBorder="1"/>
    <xf numFmtId="9" fontId="0" fillId="9" borderId="2" xfId="1" applyFont="1" applyFill="1" applyBorder="1"/>
    <xf numFmtId="9" fontId="0" fillId="0" borderId="2" xfId="1" applyFont="1" applyFill="1" applyBorder="1"/>
    <xf numFmtId="165" fontId="2" fillId="7" borderId="8" xfId="0" applyNumberFormat="1" applyFont="1" applyFill="1" applyBorder="1"/>
    <xf numFmtId="165" fontId="2" fillId="7" borderId="29" xfId="0" applyNumberFormat="1" applyFont="1" applyFill="1" applyBorder="1"/>
    <xf numFmtId="165" fontId="4" fillId="9" borderId="10" xfId="0" applyNumberFormat="1" applyFont="1" applyFill="1" applyBorder="1"/>
    <xf numFmtId="165" fontId="4" fillId="9" borderId="1" xfId="0" applyNumberFormat="1" applyFont="1" applyFill="1" applyBorder="1"/>
    <xf numFmtId="165" fontId="4" fillId="0" borderId="1" xfId="0" applyNumberFormat="1" applyFont="1" applyBorder="1"/>
    <xf numFmtId="165" fontId="4" fillId="0" borderId="11" xfId="0" applyNumberFormat="1" applyFont="1" applyBorder="1"/>
    <xf numFmtId="165" fontId="4" fillId="2" borderId="10" xfId="0" applyNumberFormat="1" applyFont="1" applyFill="1" applyBorder="1"/>
    <xf numFmtId="165" fontId="4" fillId="2" borderId="1" xfId="0" applyNumberFormat="1" applyFont="1" applyFill="1" applyBorder="1"/>
    <xf numFmtId="165" fontId="4" fillId="2" borderId="11" xfId="0" applyNumberFormat="1" applyFont="1" applyFill="1" applyBorder="1"/>
    <xf numFmtId="166" fontId="9" fillId="2" borderId="1" xfId="0" applyNumberFormat="1" applyFont="1" applyFill="1" applyBorder="1"/>
    <xf numFmtId="0" fontId="9" fillId="2" borderId="1" xfId="0" applyFont="1" applyFill="1" applyBorder="1"/>
    <xf numFmtId="0" fontId="9" fillId="2" borderId="6" xfId="0" applyFont="1" applyFill="1" applyBorder="1"/>
    <xf numFmtId="0" fontId="9" fillId="2" borderId="10" xfId="0" applyFont="1" applyFill="1" applyBorder="1"/>
    <xf numFmtId="2" fontId="9" fillId="2" borderId="1" xfId="0" applyNumberFormat="1" applyFont="1" applyFill="1" applyBorder="1"/>
    <xf numFmtId="0" fontId="9" fillId="2" borderId="11" xfId="0" applyFont="1" applyFill="1" applyBorder="1"/>
    <xf numFmtId="9" fontId="9" fillId="2" borderId="7" xfId="1" applyFont="1" applyFill="1" applyBorder="1"/>
    <xf numFmtId="9" fontId="9" fillId="2" borderId="1" xfId="1" applyFont="1" applyFill="1" applyBorder="1"/>
    <xf numFmtId="165" fontId="9" fillId="2" borderId="10" xfId="0" applyNumberFormat="1" applyFont="1" applyFill="1" applyBorder="1"/>
    <xf numFmtId="165" fontId="9" fillId="2" borderId="1" xfId="0" applyNumberFormat="1" applyFont="1" applyFill="1" applyBorder="1"/>
    <xf numFmtId="165" fontId="9" fillId="2" borderId="11" xfId="0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/>
    <xf numFmtId="0" fontId="4" fillId="2" borderId="10" xfId="0" applyFont="1" applyFill="1" applyBorder="1"/>
    <xf numFmtId="9" fontId="4" fillId="2" borderId="7" xfId="1" applyFont="1" applyFill="1" applyBorder="1"/>
    <xf numFmtId="9" fontId="4" fillId="2" borderId="1" xfId="1" applyFont="1" applyFill="1" applyBorder="1"/>
    <xf numFmtId="165" fontId="4" fillId="9" borderId="17" xfId="0" applyNumberFormat="1" applyFont="1" applyFill="1" applyBorder="1"/>
    <xf numFmtId="165" fontId="4" fillId="9" borderId="3" xfId="0" applyNumberFormat="1" applyFont="1" applyFill="1" applyBorder="1"/>
    <xf numFmtId="165" fontId="4" fillId="0" borderId="3" xfId="0" applyNumberFormat="1" applyFont="1" applyBorder="1"/>
    <xf numFmtId="165" fontId="4" fillId="0" borderId="18" xfId="0" applyNumberFormat="1" applyFont="1" applyBorder="1"/>
    <xf numFmtId="165" fontId="4" fillId="9" borderId="15" xfId="0" applyNumberFormat="1" applyFont="1" applyFill="1" applyBorder="1"/>
    <xf numFmtId="165" fontId="4" fillId="9" borderId="2" xfId="0" applyNumberFormat="1" applyFont="1" applyFill="1" applyBorder="1"/>
    <xf numFmtId="165" fontId="4" fillId="0" borderId="2" xfId="0" applyNumberFormat="1" applyFont="1" applyBorder="1"/>
    <xf numFmtId="165" fontId="4" fillId="0" borderId="16" xfId="0" applyNumberFormat="1" applyFont="1" applyBorder="1"/>
    <xf numFmtId="0" fontId="3" fillId="10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11" fillId="2" borderId="10" xfId="0" applyNumberFormat="1" applyFont="1" applyFill="1" applyBorder="1"/>
    <xf numFmtId="165" fontId="11" fillId="2" borderId="1" xfId="0" applyNumberFormat="1" applyFont="1" applyFill="1" applyBorder="1"/>
    <xf numFmtId="165" fontId="11" fillId="2" borderId="11" xfId="0" applyNumberFormat="1" applyFont="1" applyFill="1" applyBorder="1"/>
    <xf numFmtId="0" fontId="11" fillId="2" borderId="1" xfId="0" applyFont="1" applyFill="1" applyBorder="1"/>
    <xf numFmtId="9" fontId="11" fillId="2" borderId="1" xfId="1" applyFont="1" applyFill="1" applyBorder="1"/>
    <xf numFmtId="0" fontId="11" fillId="2" borderId="10" xfId="0" applyFont="1" applyFill="1" applyBorder="1"/>
    <xf numFmtId="9" fontId="11" fillId="2" borderId="7" xfId="1" applyFont="1" applyFill="1" applyBorder="1"/>
    <xf numFmtId="2" fontId="11" fillId="2" borderId="1" xfId="0" applyNumberFormat="1" applyFont="1" applyFill="1" applyBorder="1"/>
    <xf numFmtId="0" fontId="3" fillId="6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49" fontId="0" fillId="5" borderId="6" xfId="0" applyNumberFormat="1" applyFill="1" applyBorder="1" applyAlignment="1">
      <alignment horizontal="left"/>
    </xf>
    <xf numFmtId="0" fontId="8" fillId="11" borderId="1" xfId="0" applyFont="1" applyFill="1" applyBorder="1"/>
    <xf numFmtId="0" fontId="0" fillId="5" borderId="19" xfId="0" applyFill="1" applyBorder="1"/>
    <xf numFmtId="0" fontId="0" fillId="5" borderId="12" xfId="0" applyFill="1" applyBorder="1"/>
    <xf numFmtId="0" fontId="2" fillId="2" borderId="0" xfId="0" applyFont="1" applyFill="1"/>
    <xf numFmtId="165" fontId="2" fillId="2" borderId="0" xfId="0" applyNumberFormat="1" applyFont="1" applyFill="1"/>
    <xf numFmtId="165" fontId="0" fillId="0" borderId="0" xfId="0" applyNumberFormat="1"/>
    <xf numFmtId="0" fontId="0" fillId="0" borderId="33" xfId="0" applyBorder="1"/>
    <xf numFmtId="165" fontId="0" fillId="0" borderId="33" xfId="0" applyNumberFormat="1" applyBorder="1"/>
    <xf numFmtId="0" fontId="0" fillId="0" borderId="34" xfId="0" applyBorder="1"/>
    <xf numFmtId="165" fontId="0" fillId="0" borderId="34" xfId="0" applyNumberFormat="1" applyBorder="1"/>
    <xf numFmtId="0" fontId="4" fillId="0" borderId="1" xfId="0" applyFont="1" applyBorder="1"/>
    <xf numFmtId="0" fontId="0" fillId="0" borderId="27" xfId="0" applyBorder="1"/>
    <xf numFmtId="0" fontId="4" fillId="0" borderId="2" xfId="0" applyFont="1" applyBorder="1"/>
    <xf numFmtId="0" fontId="0" fillId="0" borderId="20" xfId="0" applyBorder="1"/>
    <xf numFmtId="0" fontId="4" fillId="0" borderId="7" xfId="0" applyFont="1" applyBorder="1"/>
    <xf numFmtId="0" fontId="0" fillId="0" borderId="28" xfId="0" applyBorder="1"/>
    <xf numFmtId="0" fontId="4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8" fillId="2" borderId="35" xfId="0" applyFont="1" applyFill="1" applyBorder="1"/>
    <xf numFmtId="0" fontId="9" fillId="2" borderId="36" xfId="0" applyFont="1" applyFill="1" applyBorder="1" applyAlignment="1">
      <alignment horizontal="right"/>
    </xf>
    <xf numFmtId="0" fontId="9" fillId="2" borderId="37" xfId="0" applyFont="1" applyFill="1" applyBorder="1"/>
    <xf numFmtId="0" fontId="9" fillId="2" borderId="38" xfId="0" applyFont="1" applyFill="1" applyBorder="1"/>
    <xf numFmtId="0" fontId="9" fillId="2" borderId="39" xfId="0" applyFont="1" applyFill="1" applyBorder="1"/>
    <xf numFmtId="2" fontId="9" fillId="2" borderId="40" xfId="0" applyNumberFormat="1" applyFont="1" applyFill="1" applyBorder="1"/>
    <xf numFmtId="2" fontId="9" fillId="2" borderId="39" xfId="0" applyNumberFormat="1" applyFont="1" applyFill="1" applyBorder="1"/>
    <xf numFmtId="1" fontId="9" fillId="2" borderId="37" xfId="0" applyNumberFormat="1" applyFont="1" applyFill="1" applyBorder="1"/>
    <xf numFmtId="49" fontId="9" fillId="2" borderId="35" xfId="0" applyNumberFormat="1" applyFont="1" applyFill="1" applyBorder="1"/>
    <xf numFmtId="0" fontId="9" fillId="2" borderId="40" xfId="0" applyFont="1" applyFill="1" applyBorder="1"/>
    <xf numFmtId="49" fontId="9" fillId="2" borderId="1" xfId="0" applyNumberFormat="1" applyFont="1" applyFill="1" applyBorder="1" applyAlignment="1">
      <alignment horizontal="left"/>
    </xf>
    <xf numFmtId="2" fontId="9" fillId="2" borderId="1" xfId="0" applyNumberFormat="1" applyFont="1" applyFill="1" applyBorder="1" applyAlignment="1">
      <alignment horizontal="center"/>
    </xf>
    <xf numFmtId="0" fontId="0" fillId="12" borderId="30" xfId="0" applyFill="1" applyBorder="1" applyAlignment="1">
      <alignment horizontal="right"/>
    </xf>
    <xf numFmtId="0" fontId="0" fillId="12" borderId="7" xfId="0" applyFill="1" applyBorder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12" borderId="11" xfId="0" applyFill="1" applyBorder="1"/>
    <xf numFmtId="0" fontId="4" fillId="1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1" fillId="5" borderId="9" xfId="0" applyNumberFormat="1" applyFont="1" applyFill="1" applyBorder="1"/>
    <xf numFmtId="2" fontId="0" fillId="4" borderId="11" xfId="0" applyNumberFormat="1" applyFill="1" applyBorder="1"/>
    <xf numFmtId="1" fontId="1" fillId="2" borderId="4" xfId="0" applyNumberFormat="1" applyFont="1" applyFill="1" applyBorder="1"/>
    <xf numFmtId="1" fontId="1" fillId="2" borderId="9" xfId="0" applyNumberFormat="1" applyFont="1" applyFill="1" applyBorder="1"/>
    <xf numFmtId="1" fontId="0" fillId="3" borderId="1" xfId="0" applyNumberFormat="1" applyFill="1" applyBorder="1"/>
    <xf numFmtId="1" fontId="0" fillId="4" borderId="1" xfId="0" applyNumberFormat="1" applyFill="1" applyBorder="1"/>
    <xf numFmtId="1" fontId="0" fillId="4" borderId="11" xfId="0" applyNumberFormat="1" applyFill="1" applyBorder="1"/>
    <xf numFmtId="2" fontId="9" fillId="2" borderId="11" xfId="0" applyNumberFormat="1" applyFont="1" applyFill="1" applyBorder="1"/>
    <xf numFmtId="1" fontId="9" fillId="2" borderId="1" xfId="0" applyNumberFormat="1" applyFont="1" applyFill="1" applyBorder="1"/>
    <xf numFmtId="1" fontId="9" fillId="2" borderId="11" xfId="0" applyNumberFormat="1" applyFont="1" applyFill="1" applyBorder="1"/>
    <xf numFmtId="1" fontId="4" fillId="2" borderId="1" xfId="0" applyNumberFormat="1" applyFont="1" applyFill="1" applyBorder="1"/>
    <xf numFmtId="2" fontId="0" fillId="4" borderId="18" xfId="0" applyNumberFormat="1" applyFill="1" applyBorder="1"/>
    <xf numFmtId="1" fontId="0" fillId="3" borderId="3" xfId="0" applyNumberFormat="1" applyFill="1" applyBorder="1"/>
    <xf numFmtId="1" fontId="0" fillId="4" borderId="3" xfId="0" applyNumberFormat="1" applyFill="1" applyBorder="1"/>
    <xf numFmtId="1" fontId="0" fillId="4" borderId="18" xfId="0" applyNumberFormat="1" applyFill="1" applyBorder="1"/>
    <xf numFmtId="2" fontId="0" fillId="4" borderId="16" xfId="0" applyNumberFormat="1" applyFill="1" applyBorder="1"/>
    <xf numFmtId="1" fontId="0" fillId="3" borderId="2" xfId="0" applyNumberFormat="1" applyFill="1" applyBorder="1"/>
    <xf numFmtId="1" fontId="0" fillId="4" borderId="2" xfId="0" applyNumberFormat="1" applyFill="1" applyBorder="1"/>
    <xf numFmtId="1" fontId="0" fillId="4" borderId="16" xfId="0" applyNumberFormat="1" applyFill="1" applyBorder="1"/>
    <xf numFmtId="0" fontId="3" fillId="13" borderId="3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4" fillId="12" borderId="1" xfId="0" applyFont="1" applyFill="1" applyBorder="1"/>
    <xf numFmtId="0" fontId="0" fillId="12" borderId="29" xfId="0" applyFill="1" applyBorder="1" applyAlignment="1">
      <alignment horizontal="right"/>
    </xf>
    <xf numFmtId="0" fontId="0" fillId="12" borderId="20" xfId="0" applyFill="1" applyBorder="1"/>
    <xf numFmtId="0" fontId="0" fillId="12" borderId="4" xfId="0" applyFill="1" applyBorder="1"/>
    <xf numFmtId="0" fontId="0" fillId="12" borderId="9" xfId="0" applyFill="1" applyBorder="1"/>
    <xf numFmtId="0" fontId="0" fillId="12" borderId="31" xfId="0" applyFill="1" applyBorder="1" applyAlignment="1">
      <alignment horizontal="right"/>
    </xf>
    <xf numFmtId="0" fontId="0" fillId="12" borderId="27" xfId="0" applyFill="1" applyBorder="1"/>
    <xf numFmtId="0" fontId="0" fillId="12" borderId="2" xfId="0" applyFill="1" applyBorder="1"/>
    <xf numFmtId="0" fontId="0" fillId="12" borderId="16" xfId="0" applyFill="1" applyBorder="1"/>
    <xf numFmtId="0" fontId="4" fillId="12" borderId="29" xfId="0" applyFont="1" applyFill="1" applyBorder="1" applyAlignment="1">
      <alignment horizontal="right"/>
    </xf>
    <xf numFmtId="0" fontId="4" fillId="12" borderId="20" xfId="0" applyFont="1" applyFill="1" applyBorder="1"/>
    <xf numFmtId="0" fontId="4" fillId="12" borderId="4" xfId="0" applyFont="1" applyFill="1" applyBorder="1"/>
    <xf numFmtId="0" fontId="4" fillId="12" borderId="9" xfId="0" applyFont="1" applyFill="1" applyBorder="1"/>
    <xf numFmtId="0" fontId="4" fillId="12" borderId="30" xfId="0" applyFont="1" applyFill="1" applyBorder="1" applyAlignment="1">
      <alignment horizontal="right"/>
    </xf>
    <xf numFmtId="0" fontId="4" fillId="12" borderId="7" xfId="0" applyFont="1" applyFill="1" applyBorder="1"/>
    <xf numFmtId="0" fontId="4" fillId="12" borderId="11" xfId="0" applyFont="1" applyFill="1" applyBorder="1"/>
    <xf numFmtId="0" fontId="4" fillId="12" borderId="31" xfId="0" applyFont="1" applyFill="1" applyBorder="1" applyAlignment="1">
      <alignment horizontal="right"/>
    </xf>
    <xf numFmtId="0" fontId="4" fillId="12" borderId="27" xfId="0" applyFont="1" applyFill="1" applyBorder="1"/>
    <xf numFmtId="0" fontId="4" fillId="12" borderId="2" xfId="0" applyFont="1" applyFill="1" applyBorder="1"/>
    <xf numFmtId="0" fontId="4" fillId="12" borderId="16" xfId="0" applyFont="1" applyFill="1" applyBorder="1"/>
    <xf numFmtId="0" fontId="0" fillId="0" borderId="38" xfId="0" applyBorder="1"/>
    <xf numFmtId="0" fontId="0" fillId="12" borderId="36" xfId="0" applyFill="1" applyBorder="1" applyAlignment="1">
      <alignment horizontal="right"/>
    </xf>
    <xf numFmtId="0" fontId="0" fillId="12" borderId="37" xfId="0" applyFill="1" applyBorder="1"/>
    <xf numFmtId="0" fontId="0" fillId="12" borderId="38" xfId="0" applyFill="1" applyBorder="1"/>
    <xf numFmtId="0" fontId="0" fillId="12" borderId="39" xfId="0" applyFill="1" applyBorder="1"/>
    <xf numFmtId="2" fontId="0" fillId="0" borderId="40" xfId="0" applyNumberFormat="1" applyBorder="1"/>
    <xf numFmtId="2" fontId="0" fillId="0" borderId="39" xfId="0" applyNumberFormat="1" applyBorder="1"/>
    <xf numFmtId="2" fontId="0" fillId="0" borderId="37" xfId="0" applyNumberFormat="1" applyBorder="1"/>
    <xf numFmtId="49" fontId="0" fillId="0" borderId="35" xfId="0" applyNumberFormat="1" applyBorder="1"/>
    <xf numFmtId="0" fontId="0" fillId="0" borderId="40" xfId="0" applyBorder="1"/>
    <xf numFmtId="0" fontId="0" fillId="0" borderId="39" xfId="0" applyBorder="1"/>
    <xf numFmtId="0" fontId="8" fillId="2" borderId="19" xfId="0" applyFont="1" applyFill="1" applyBorder="1"/>
    <xf numFmtId="0" fontId="9" fillId="2" borderId="41" xfId="0" applyFont="1" applyFill="1" applyBorder="1" applyAlignment="1">
      <alignment horizontal="right"/>
    </xf>
    <xf numFmtId="0" fontId="9" fillId="2" borderId="42" xfId="0" applyFont="1" applyFill="1" applyBorder="1"/>
    <xf numFmtId="0" fontId="9" fillId="2" borderId="5" xfId="0" applyFont="1" applyFill="1" applyBorder="1"/>
    <xf numFmtId="0" fontId="0" fillId="12" borderId="3" xfId="0" applyFill="1" applyBorder="1" applyAlignment="1">
      <alignment horizontal="center"/>
    </xf>
    <xf numFmtId="0" fontId="9" fillId="2" borderId="43" xfId="0" applyFont="1" applyFill="1" applyBorder="1"/>
    <xf numFmtId="2" fontId="9" fillId="2" borderId="44" xfId="0" applyNumberFormat="1" applyFont="1" applyFill="1" applyBorder="1"/>
    <xf numFmtId="2" fontId="9" fillId="2" borderId="43" xfId="0" applyNumberFormat="1" applyFont="1" applyFill="1" applyBorder="1"/>
    <xf numFmtId="1" fontId="9" fillId="2" borderId="42" xfId="0" applyNumberFormat="1" applyFont="1" applyFill="1" applyBorder="1"/>
    <xf numFmtId="49" fontId="9" fillId="2" borderId="19" xfId="0" applyNumberFormat="1" applyFont="1" applyFill="1" applyBorder="1"/>
    <xf numFmtId="0" fontId="9" fillId="2" borderId="44" xfId="0" applyFont="1" applyFill="1" applyBorder="1"/>
    <xf numFmtId="49" fontId="0" fillId="0" borderId="1" xfId="0" applyNumberFormat="1" applyBorder="1"/>
    <xf numFmtId="0" fontId="0" fillId="12" borderId="38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49" fontId="0" fillId="0" borderId="9" xfId="0" applyNumberFormat="1" applyBorder="1"/>
    <xf numFmtId="49" fontId="0" fillId="0" borderId="11" xfId="0" applyNumberFormat="1" applyBorder="1"/>
    <xf numFmtId="49" fontId="9" fillId="2" borderId="43" xfId="0" applyNumberFormat="1" applyFont="1" applyFill="1" applyBorder="1"/>
    <xf numFmtId="0" fontId="0" fillId="12" borderId="2" xfId="0" applyFill="1" applyBorder="1" applyAlignment="1">
      <alignment horizontal="center"/>
    </xf>
    <xf numFmtId="49" fontId="9" fillId="2" borderId="16" xfId="0" applyNumberFormat="1" applyFont="1" applyFill="1" applyBorder="1"/>
    <xf numFmtId="0" fontId="0" fillId="12" borderId="32" xfId="0" applyFill="1" applyBorder="1" applyAlignment="1">
      <alignment horizontal="right"/>
    </xf>
    <xf numFmtId="0" fontId="0" fillId="12" borderId="28" xfId="0" applyFill="1" applyBorder="1"/>
    <xf numFmtId="0" fontId="0" fillId="12" borderId="3" xfId="0" applyFill="1" applyBorder="1"/>
    <xf numFmtId="0" fontId="0" fillId="12" borderId="18" xfId="0" applyFill="1" applyBorder="1"/>
    <xf numFmtId="0" fontId="4" fillId="12" borderId="3" xfId="0" applyFont="1" applyFill="1" applyBorder="1"/>
    <xf numFmtId="166" fontId="8" fillId="2" borderId="38" xfId="0" applyNumberFormat="1" applyFont="1" applyFill="1" applyBorder="1"/>
    <xf numFmtId="0" fontId="8" fillId="2" borderId="38" xfId="0" applyFont="1" applyFill="1" applyBorder="1"/>
    <xf numFmtId="49" fontId="8" fillId="2" borderId="38" xfId="0" applyNumberFormat="1" applyFont="1" applyFill="1" applyBorder="1" applyAlignment="1">
      <alignment horizontal="left"/>
    </xf>
    <xf numFmtId="2" fontId="8" fillId="2" borderId="38" xfId="0" applyNumberFormat="1" applyFont="1" applyFill="1" applyBorder="1"/>
    <xf numFmtId="0" fontId="2" fillId="2" borderId="38" xfId="0" applyFont="1" applyFill="1" applyBorder="1" applyAlignment="1">
      <alignment horizontal="center"/>
    </xf>
    <xf numFmtId="2" fontId="8" fillId="2" borderId="38" xfId="0" applyNumberFormat="1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9" fillId="2" borderId="46" xfId="0" applyFont="1" applyFill="1" applyBorder="1"/>
    <xf numFmtId="0" fontId="9" fillId="2" borderId="47" xfId="0" applyFont="1" applyFill="1" applyBorder="1"/>
    <xf numFmtId="0" fontId="9" fillId="2" borderId="45" xfId="0" applyFont="1" applyFill="1" applyBorder="1" applyAlignment="1">
      <alignment horizontal="right"/>
    </xf>
    <xf numFmtId="0" fontId="9" fillId="2" borderId="49" xfId="0" applyFont="1" applyFill="1" applyBorder="1"/>
    <xf numFmtId="1" fontId="9" fillId="2" borderId="48" xfId="0" applyNumberFormat="1" applyFont="1" applyFill="1" applyBorder="1"/>
    <xf numFmtId="49" fontId="9" fillId="2" borderId="50" xfId="0" applyNumberFormat="1" applyFont="1" applyFill="1" applyBorder="1"/>
    <xf numFmtId="2" fontId="9" fillId="2" borderId="42" xfId="0" applyNumberFormat="1" applyFont="1" applyFill="1" applyBorder="1"/>
    <xf numFmtId="2" fontId="9" fillId="2" borderId="27" xfId="0" applyNumberFormat="1" applyFont="1" applyFill="1" applyBorder="1"/>
    <xf numFmtId="49" fontId="0" fillId="0" borderId="4" xfId="0" applyNumberFormat="1" applyBorder="1"/>
    <xf numFmtId="1" fontId="9" fillId="2" borderId="44" xfId="0" applyNumberFormat="1" applyFont="1" applyFill="1" applyBorder="1"/>
    <xf numFmtId="1" fontId="9" fillId="2" borderId="15" xfId="0" applyNumberFormat="1" applyFont="1" applyFill="1" applyBorder="1"/>
    <xf numFmtId="0" fontId="9" fillId="2" borderId="51" xfId="0" applyFont="1" applyFill="1" applyBorder="1" applyAlignment="1">
      <alignment horizontal="right"/>
    </xf>
    <xf numFmtId="0" fontId="0" fillId="12" borderId="52" xfId="0" applyFill="1" applyBorder="1" applyAlignment="1">
      <alignment horizontal="right"/>
    </xf>
    <xf numFmtId="0" fontId="0" fillId="0" borderId="53" xfId="0" applyBorder="1" applyAlignment="1">
      <alignment horizontal="right"/>
    </xf>
    <xf numFmtId="0" fontId="0" fillId="12" borderId="53" xfId="0" applyFill="1" applyBorder="1" applyAlignment="1">
      <alignment horizontal="right"/>
    </xf>
    <xf numFmtId="0" fontId="9" fillId="2" borderId="54" xfId="0" applyFont="1" applyFill="1" applyBorder="1" applyAlignment="1">
      <alignment horizontal="right"/>
    </xf>
    <xf numFmtId="0" fontId="9" fillId="2" borderId="55" xfId="0" applyFont="1" applyFill="1" applyBorder="1" applyAlignment="1">
      <alignment horizontal="right"/>
    </xf>
    <xf numFmtId="0" fontId="9" fillId="2" borderId="56" xfId="0" applyFont="1" applyFill="1" applyBorder="1"/>
    <xf numFmtId="0" fontId="9" fillId="2" borderId="57" xfId="0" applyFont="1" applyFill="1" applyBorder="1"/>
    <xf numFmtId="0" fontId="0" fillId="0" borderId="57" xfId="0" applyBorder="1" applyAlignment="1">
      <alignment horizontal="center"/>
    </xf>
    <xf numFmtId="0" fontId="9" fillId="2" borderId="22" xfId="0" applyFont="1" applyFill="1" applyBorder="1"/>
    <xf numFmtId="2" fontId="9" fillId="2" borderId="21" xfId="0" applyNumberFormat="1" applyFont="1" applyFill="1" applyBorder="1"/>
    <xf numFmtId="2" fontId="9" fillId="2" borderId="22" xfId="0" applyNumberFormat="1" applyFont="1" applyFill="1" applyBorder="1"/>
    <xf numFmtId="0" fontId="9" fillId="2" borderId="21" xfId="0" applyFont="1" applyFill="1" applyBorder="1"/>
    <xf numFmtId="0" fontId="0" fillId="12" borderId="8" xfId="0" applyFill="1" applyBorder="1"/>
    <xf numFmtId="0" fontId="0" fillId="12" borderId="10" xfId="0" applyFill="1" applyBorder="1"/>
    <xf numFmtId="0" fontId="4" fillId="12" borderId="32" xfId="0" applyFont="1" applyFill="1" applyBorder="1" applyAlignment="1">
      <alignment horizontal="right"/>
    </xf>
    <xf numFmtId="0" fontId="4" fillId="12" borderId="28" xfId="0" applyFont="1" applyFill="1" applyBorder="1"/>
    <xf numFmtId="0" fontId="4" fillId="12" borderId="18" xfId="0" applyFont="1" applyFill="1" applyBorder="1"/>
    <xf numFmtId="0" fontId="0" fillId="5" borderId="13" xfId="0" applyFill="1" applyBorder="1"/>
    <xf numFmtId="0" fontId="0" fillId="5" borderId="2" xfId="0" applyFill="1" applyBorder="1"/>
    <xf numFmtId="1" fontId="11" fillId="2" borderId="1" xfId="0" applyNumberFormat="1" applyFont="1" applyFill="1" applyBorder="1"/>
    <xf numFmtId="1" fontId="11" fillId="2" borderId="11" xfId="0" applyNumberFormat="1" applyFont="1" applyFill="1" applyBorder="1"/>
    <xf numFmtId="0" fontId="3" fillId="14" borderId="3" xfId="0" applyFont="1" applyFill="1" applyBorder="1" applyAlignment="1">
      <alignment horizontal="center"/>
    </xf>
    <xf numFmtId="166" fontId="2" fillId="5" borderId="1" xfId="0" applyNumberFormat="1" applyFont="1" applyFill="1" applyBorder="1"/>
    <xf numFmtId="0" fontId="2" fillId="5" borderId="1" xfId="0" applyFont="1" applyFill="1" applyBorder="1"/>
    <xf numFmtId="49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left"/>
    </xf>
    <xf numFmtId="0" fontId="1" fillId="5" borderId="29" xfId="0" applyFont="1" applyFill="1" applyBorder="1" applyAlignment="1">
      <alignment horizontal="right"/>
    </xf>
    <xf numFmtId="0" fontId="1" fillId="5" borderId="20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9" xfId="0" applyFont="1" applyFill="1" applyBorder="1"/>
    <xf numFmtId="2" fontId="1" fillId="5" borderId="8" xfId="0" applyNumberFormat="1" applyFont="1" applyFill="1" applyBorder="1"/>
    <xf numFmtId="2" fontId="1" fillId="5" borderId="20" xfId="0" applyNumberFormat="1" applyFont="1" applyFill="1" applyBorder="1"/>
    <xf numFmtId="49" fontId="1" fillId="5" borderId="9" xfId="0" applyNumberFormat="1" applyFont="1" applyFill="1" applyBorder="1"/>
    <xf numFmtId="0" fontId="1" fillId="5" borderId="21" xfId="0" applyFont="1" applyFill="1" applyBorder="1"/>
    <xf numFmtId="0" fontId="1" fillId="5" borderId="22" xfId="0" applyFont="1" applyFill="1" applyBorder="1"/>
    <xf numFmtId="166" fontId="2" fillId="15" borderId="1" xfId="0" applyNumberFormat="1" applyFont="1" applyFill="1" applyBorder="1"/>
    <xf numFmtId="0" fontId="2" fillId="15" borderId="1" xfId="0" applyFont="1" applyFill="1" applyBorder="1"/>
    <xf numFmtId="0" fontId="1" fillId="15" borderId="1" xfId="0" applyFont="1" applyFill="1" applyBorder="1"/>
    <xf numFmtId="0" fontId="1" fillId="15" borderId="1" xfId="0" applyFont="1" applyFill="1" applyBorder="1" applyAlignment="1">
      <alignment horizontal="center"/>
    </xf>
    <xf numFmtId="0" fontId="1" fillId="15" borderId="6" xfId="0" applyFont="1" applyFill="1" applyBorder="1"/>
    <xf numFmtId="0" fontId="1" fillId="15" borderId="8" xfId="0" applyFont="1" applyFill="1" applyBorder="1"/>
    <xf numFmtId="0" fontId="1" fillId="15" borderId="4" xfId="0" applyFont="1" applyFill="1" applyBorder="1"/>
    <xf numFmtId="2" fontId="1" fillId="15" borderId="4" xfId="0" applyNumberFormat="1" applyFont="1" applyFill="1" applyBorder="1"/>
    <xf numFmtId="2" fontId="1" fillId="15" borderId="9" xfId="0" applyNumberFormat="1" applyFont="1" applyFill="1" applyBorder="1"/>
    <xf numFmtId="1" fontId="1" fillId="15" borderId="4" xfId="0" applyNumberFormat="1" applyFont="1" applyFill="1" applyBorder="1"/>
    <xf numFmtId="1" fontId="1" fillId="15" borderId="9" xfId="0" applyNumberFormat="1" applyFont="1" applyFill="1" applyBorder="1"/>
    <xf numFmtId="9" fontId="1" fillId="15" borderId="20" xfId="1" applyFont="1" applyFill="1" applyBorder="1"/>
    <xf numFmtId="9" fontId="1" fillId="15" borderId="4" xfId="1" applyFont="1" applyFill="1" applyBorder="1"/>
    <xf numFmtId="0" fontId="1" fillId="15" borderId="9" xfId="0" applyFont="1" applyFill="1" applyBorder="1"/>
    <xf numFmtId="165" fontId="2" fillId="15" borderId="8" xfId="0" applyNumberFormat="1" applyFont="1" applyFill="1" applyBorder="1"/>
    <xf numFmtId="165" fontId="2" fillId="15" borderId="29" xfId="0" applyNumberFormat="1" applyFont="1" applyFill="1" applyBorder="1"/>
    <xf numFmtId="0" fontId="3" fillId="14" borderId="2" xfId="0" applyFont="1" applyFill="1" applyBorder="1" applyAlignment="1">
      <alignment horizontal="center"/>
    </xf>
    <xf numFmtId="1" fontId="4" fillId="2" borderId="11" xfId="0" applyNumberFormat="1" applyFont="1" applyFill="1" applyBorder="1"/>
    <xf numFmtId="2" fontId="4" fillId="2" borderId="11" xfId="0" applyNumberFormat="1" applyFont="1" applyFill="1" applyBorder="1"/>
    <xf numFmtId="2" fontId="0" fillId="12" borderId="10" xfId="0" applyNumberFormat="1" applyFill="1" applyBorder="1"/>
    <xf numFmtId="2" fontId="0" fillId="12" borderId="11" xfId="0" applyNumberFormat="1" applyFill="1" applyBorder="1"/>
    <xf numFmtId="2" fontId="0" fillId="12" borderId="7" xfId="0" applyNumberFormat="1" applyFill="1" applyBorder="1"/>
  </cellXfs>
  <cellStyles count="2">
    <cellStyle name="Normal" xfId="0" builtinId="0"/>
    <cellStyle name="Yüzde" xfId="1" builtinId="5"/>
  </cellStyles>
  <dxfs count="1333">
    <dxf>
      <fill>
        <patternFill>
          <bgColor theme="3" tint="0.74996185186315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F48E8E"/>
        </patternFill>
      </fill>
    </dxf>
    <dxf>
      <fill>
        <patternFill>
          <bgColor rgb="FFF8E4AC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C006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C006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F48E8E"/>
        </patternFill>
      </fill>
    </dxf>
    <dxf>
      <fill>
        <patternFill>
          <bgColor rgb="FFF8E4AC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98AD-6651-4C4A-862D-0A9507C6CA25}">
  <sheetPr>
    <tabColor theme="9" tint="0.39997558519241921"/>
  </sheetPr>
  <dimension ref="A1:AD1489"/>
  <sheetViews>
    <sheetView tabSelected="1" workbookViewId="0">
      <pane ySplit="1" topLeftCell="A1462" activePane="bottomLeft" state="frozen"/>
      <selection pane="bottomLeft" activeCell="G1494" sqref="G1494"/>
    </sheetView>
  </sheetViews>
  <sheetFormatPr defaultRowHeight="15" x14ac:dyDescent="0.25"/>
  <cols>
    <col min="1" max="1" width="13.28515625" style="329" customWidth="1"/>
    <col min="2" max="2" width="3.7109375" style="5" customWidth="1"/>
    <col min="3" max="3" width="7.7109375" style="121" customWidth="1"/>
    <col min="4" max="4" width="14.5703125" style="5" customWidth="1"/>
    <col min="5" max="6" width="4.7109375" style="6" customWidth="1"/>
    <col min="7" max="8" width="3.28515625" style="362" customWidth="1"/>
    <col min="9" max="10" width="4.7109375" style="8" customWidth="1"/>
    <col min="11" max="11" width="7.7109375" style="121" customWidth="1"/>
    <col min="12" max="12" width="11.7109375" style="5" customWidth="1"/>
    <col min="13" max="13" width="7.7109375" style="44" customWidth="1"/>
    <col min="14" max="14" width="5.7109375" style="345" customWidth="1"/>
    <col min="15" max="15" width="15.140625" style="38" customWidth="1"/>
    <col min="16" max="16" width="12" style="5" customWidth="1"/>
    <col min="17" max="17" width="11.85546875" style="5" customWidth="1"/>
    <col min="18" max="18" width="14.7109375" style="5" customWidth="1"/>
    <col min="19" max="19" width="4.7109375" style="7" customWidth="1"/>
    <col min="20" max="20" width="11.7109375" style="5" customWidth="1"/>
    <col min="21" max="21" width="10.7109375" style="5" customWidth="1"/>
    <col min="22" max="22" width="10.7109375" style="57" customWidth="1"/>
    <col min="23" max="23" width="4.7109375" style="51" customWidth="1"/>
    <col min="24" max="24" width="4.7109375" style="357" customWidth="1"/>
    <col min="25" max="25" width="10.7109375" style="351" customWidth="1"/>
    <col min="26" max="26" width="25.7109375" style="5" customWidth="1"/>
    <col min="27" max="27" width="4.7109375" style="112" customWidth="1"/>
    <col min="28" max="28" width="11.7109375" style="108" customWidth="1"/>
    <col min="29" max="29" width="11.7109375" style="57" customWidth="1"/>
    <col min="30" max="30" width="9.140625" style="38"/>
    <col min="31" max="16384" width="9.140625" style="5"/>
  </cols>
  <sheetData>
    <row r="1" spans="1:30" ht="15.75" thickBot="1" x14ac:dyDescent="0.3">
      <c r="A1" s="322" t="s">
        <v>37</v>
      </c>
      <c r="B1" s="24" t="s">
        <v>38</v>
      </c>
      <c r="C1" s="120" t="s">
        <v>682</v>
      </c>
      <c r="D1" s="1" t="s">
        <v>635</v>
      </c>
      <c r="E1" s="2" t="s">
        <v>589</v>
      </c>
      <c r="F1" s="2"/>
      <c r="G1" s="363" t="s">
        <v>636</v>
      </c>
      <c r="H1" s="363" t="s">
        <v>637</v>
      </c>
      <c r="I1" s="4" t="s">
        <v>590</v>
      </c>
      <c r="J1" s="4"/>
      <c r="K1" s="126" t="s">
        <v>683</v>
      </c>
      <c r="L1" s="1" t="s">
        <v>638</v>
      </c>
      <c r="M1" s="1" t="s">
        <v>586</v>
      </c>
      <c r="N1" s="344" t="s">
        <v>0</v>
      </c>
      <c r="O1" s="342" t="s">
        <v>1</v>
      </c>
      <c r="P1" s="39" t="s">
        <v>2</v>
      </c>
      <c r="Q1" s="39" t="s">
        <v>645</v>
      </c>
      <c r="R1" s="39" t="s">
        <v>681</v>
      </c>
      <c r="S1" s="3" t="s">
        <v>711</v>
      </c>
      <c r="T1" s="39" t="s">
        <v>39</v>
      </c>
      <c r="U1" s="39" t="s">
        <v>40</v>
      </c>
      <c r="V1" s="41" t="s">
        <v>3</v>
      </c>
      <c r="W1" s="48" t="s">
        <v>4</v>
      </c>
      <c r="X1" s="356" t="s">
        <v>64</v>
      </c>
      <c r="Y1" s="350" t="s">
        <v>353</v>
      </c>
      <c r="Z1" s="39" t="s">
        <v>5</v>
      </c>
      <c r="AA1" s="50" t="s">
        <v>6</v>
      </c>
      <c r="AB1" s="116" t="s">
        <v>646</v>
      </c>
      <c r="AC1" s="117" t="s">
        <v>647</v>
      </c>
      <c r="AD1" s="5"/>
    </row>
    <row r="2" spans="1:30" x14ac:dyDescent="0.25">
      <c r="A2" s="329">
        <v>45884</v>
      </c>
      <c r="B2" s="5">
        <v>1</v>
      </c>
      <c r="C2" s="121" t="s">
        <v>692</v>
      </c>
      <c r="D2" s="5" t="s">
        <v>69</v>
      </c>
      <c r="E2" s="6">
        <v>0.56000000000000005</v>
      </c>
      <c r="G2" s="362">
        <v>1</v>
      </c>
      <c r="H2" s="362">
        <v>3</v>
      </c>
      <c r="I2" s="8">
        <v>3.43</v>
      </c>
      <c r="K2" s="121" t="s">
        <v>693</v>
      </c>
      <c r="L2" s="5" t="s">
        <v>70</v>
      </c>
      <c r="M2" s="242" t="s">
        <v>71</v>
      </c>
      <c r="N2" s="345">
        <v>17</v>
      </c>
      <c r="O2" s="38" t="s">
        <v>70</v>
      </c>
      <c r="P2" s="5" t="s">
        <v>72</v>
      </c>
      <c r="Q2" s="5" t="s">
        <v>73</v>
      </c>
      <c r="R2" s="5" t="s">
        <v>684</v>
      </c>
      <c r="S2" s="479">
        <v>83</v>
      </c>
      <c r="T2" s="5" t="s">
        <v>41</v>
      </c>
      <c r="U2" s="5" t="s">
        <v>43</v>
      </c>
      <c r="V2" s="57" t="s">
        <v>10</v>
      </c>
      <c r="W2" s="51">
        <v>0.15</v>
      </c>
      <c r="X2" s="357" t="s">
        <v>53</v>
      </c>
      <c r="Z2" s="5" t="s">
        <v>13</v>
      </c>
      <c r="AA2" s="112" t="s">
        <v>28</v>
      </c>
      <c r="AB2" s="118"/>
      <c r="AC2" s="59"/>
    </row>
    <row r="3" spans="1:30" x14ac:dyDescent="0.25">
      <c r="A3" s="329">
        <v>45884</v>
      </c>
      <c r="B3" s="5">
        <v>1</v>
      </c>
      <c r="D3" s="5" t="s">
        <v>69</v>
      </c>
      <c r="E3" s="6">
        <v>0.56000000000000005</v>
      </c>
      <c r="G3" s="362">
        <v>1</v>
      </c>
      <c r="H3" s="362">
        <v>3</v>
      </c>
      <c r="I3" s="8">
        <v>3.43</v>
      </c>
      <c r="L3" s="5" t="s">
        <v>70</v>
      </c>
      <c r="M3" s="242" t="s">
        <v>71</v>
      </c>
      <c r="N3" s="345">
        <v>18</v>
      </c>
      <c r="O3" s="38" t="s">
        <v>70</v>
      </c>
      <c r="P3" s="453" t="s">
        <v>72</v>
      </c>
      <c r="Q3" s="453" t="s">
        <v>73</v>
      </c>
      <c r="R3" s="453" t="s">
        <v>684</v>
      </c>
      <c r="S3" s="7">
        <v>83</v>
      </c>
      <c r="T3" s="5" t="s">
        <v>47</v>
      </c>
      <c r="U3" s="5" t="s">
        <v>42</v>
      </c>
      <c r="V3" s="57" t="s">
        <v>540</v>
      </c>
      <c r="W3" s="51">
        <v>0.48</v>
      </c>
      <c r="X3" s="357">
        <v>0.73</v>
      </c>
      <c r="Y3" s="351" t="s">
        <v>353</v>
      </c>
      <c r="Z3" s="5" t="s">
        <v>8</v>
      </c>
      <c r="AA3" s="112" t="s">
        <v>9</v>
      </c>
    </row>
    <row r="4" spans="1:30" x14ac:dyDescent="0.25">
      <c r="A4" s="329">
        <v>45884</v>
      </c>
      <c r="B4" s="5">
        <v>1</v>
      </c>
      <c r="D4" s="5" t="s">
        <v>69</v>
      </c>
      <c r="E4" s="6">
        <v>0.56000000000000005</v>
      </c>
      <c r="G4" s="362">
        <v>1</v>
      </c>
      <c r="H4" s="362">
        <v>3</v>
      </c>
      <c r="I4" s="8">
        <v>3.43</v>
      </c>
      <c r="L4" s="5" t="s">
        <v>70</v>
      </c>
      <c r="M4" s="242" t="s">
        <v>71</v>
      </c>
      <c r="N4" s="345">
        <v>20</v>
      </c>
      <c r="O4" s="38" t="s">
        <v>70</v>
      </c>
      <c r="P4" s="453" t="s">
        <v>74</v>
      </c>
      <c r="Q4" s="453" t="s">
        <v>75</v>
      </c>
      <c r="R4" s="453" t="s">
        <v>685</v>
      </c>
      <c r="S4" s="7">
        <v>75</v>
      </c>
      <c r="T4" s="5" t="s">
        <v>47</v>
      </c>
      <c r="U4" s="5" t="s">
        <v>43</v>
      </c>
      <c r="V4" s="57" t="s">
        <v>10</v>
      </c>
      <c r="W4" s="51">
        <v>0.95</v>
      </c>
      <c r="X4" s="357">
        <v>0.99</v>
      </c>
      <c r="Y4" s="351" t="s">
        <v>353</v>
      </c>
      <c r="Z4" s="5" t="s">
        <v>8</v>
      </c>
      <c r="AA4" s="112" t="s">
        <v>11</v>
      </c>
      <c r="AB4" s="108" t="s">
        <v>458</v>
      </c>
      <c r="AC4" s="57" t="s">
        <v>73</v>
      </c>
    </row>
    <row r="5" spans="1:30" x14ac:dyDescent="0.25">
      <c r="A5" s="329">
        <v>45884</v>
      </c>
      <c r="B5" s="5">
        <v>1</v>
      </c>
      <c r="D5" s="5" t="s">
        <v>69</v>
      </c>
      <c r="E5" s="6">
        <v>0.56000000000000005</v>
      </c>
      <c r="G5" s="362">
        <v>1</v>
      </c>
      <c r="H5" s="362">
        <v>3</v>
      </c>
      <c r="I5" s="8">
        <v>3.43</v>
      </c>
      <c r="L5" s="5" t="s">
        <v>70</v>
      </c>
      <c r="M5" s="242" t="s">
        <v>71</v>
      </c>
      <c r="N5" s="476">
        <v>24</v>
      </c>
      <c r="O5" s="477" t="s">
        <v>69</v>
      </c>
      <c r="P5" s="506" t="s">
        <v>85</v>
      </c>
      <c r="Q5" s="506" t="s">
        <v>86</v>
      </c>
      <c r="R5" s="506" t="s">
        <v>690</v>
      </c>
      <c r="S5" s="479">
        <v>63</v>
      </c>
      <c r="T5" s="478" t="s">
        <v>354</v>
      </c>
      <c r="U5" s="478" t="s">
        <v>42</v>
      </c>
      <c r="V5" s="480" t="s">
        <v>10</v>
      </c>
      <c r="W5" s="51">
        <v>0.03</v>
      </c>
      <c r="X5" s="357" t="s">
        <v>53</v>
      </c>
      <c r="Z5" s="5" t="s">
        <v>16</v>
      </c>
      <c r="AA5" s="112" t="s">
        <v>14</v>
      </c>
    </row>
    <row r="6" spans="1:30" x14ac:dyDescent="0.25">
      <c r="A6" s="329">
        <v>45884</v>
      </c>
      <c r="B6" s="5">
        <v>1</v>
      </c>
      <c r="D6" s="5" t="s">
        <v>69</v>
      </c>
      <c r="E6" s="6">
        <v>0.56000000000000005</v>
      </c>
      <c r="G6" s="362">
        <v>1</v>
      </c>
      <c r="H6" s="362">
        <v>3</v>
      </c>
      <c r="I6" s="8">
        <v>3.43</v>
      </c>
      <c r="L6" s="5" t="s">
        <v>70</v>
      </c>
      <c r="M6" s="242" t="s">
        <v>71</v>
      </c>
      <c r="N6" s="345">
        <v>45</v>
      </c>
      <c r="O6" s="38" t="s">
        <v>70</v>
      </c>
      <c r="P6" s="453" t="s">
        <v>76</v>
      </c>
      <c r="Q6" s="453" t="s">
        <v>77</v>
      </c>
      <c r="R6" s="453" t="s">
        <v>686</v>
      </c>
      <c r="S6" s="479">
        <v>82</v>
      </c>
      <c r="T6" s="5" t="s">
        <v>41</v>
      </c>
      <c r="U6" s="5" t="s">
        <v>43</v>
      </c>
      <c r="V6" s="57" t="s">
        <v>7</v>
      </c>
      <c r="W6" s="51">
        <v>0.79</v>
      </c>
      <c r="X6" s="357">
        <v>0.81</v>
      </c>
      <c r="Y6" s="351" t="s">
        <v>353</v>
      </c>
      <c r="Z6" s="5" t="s">
        <v>8</v>
      </c>
      <c r="AA6" s="112" t="s">
        <v>14</v>
      </c>
    </row>
    <row r="7" spans="1:30" x14ac:dyDescent="0.25">
      <c r="A7" s="329">
        <v>45884</v>
      </c>
      <c r="B7" s="5">
        <v>1</v>
      </c>
      <c r="D7" s="5" t="s">
        <v>69</v>
      </c>
      <c r="E7" s="6">
        <v>0.56000000000000005</v>
      </c>
      <c r="G7" s="362">
        <v>1</v>
      </c>
      <c r="H7" s="362">
        <v>3</v>
      </c>
      <c r="I7" s="8">
        <v>3.43</v>
      </c>
      <c r="L7" s="5" t="s">
        <v>70</v>
      </c>
      <c r="M7" s="242" t="s">
        <v>71</v>
      </c>
      <c r="N7" s="345" t="s">
        <v>63</v>
      </c>
      <c r="O7" s="38" t="s">
        <v>70</v>
      </c>
      <c r="P7" s="453" t="s">
        <v>78</v>
      </c>
      <c r="Q7" s="453" t="s">
        <v>404</v>
      </c>
      <c r="R7" s="453" t="s">
        <v>687</v>
      </c>
      <c r="S7" s="7">
        <v>74</v>
      </c>
      <c r="T7" s="5" t="s">
        <v>41</v>
      </c>
      <c r="U7" s="5" t="s">
        <v>42</v>
      </c>
      <c r="V7" s="57" t="s">
        <v>10</v>
      </c>
      <c r="W7" s="51">
        <v>0.53</v>
      </c>
      <c r="X7" s="357">
        <v>0.67</v>
      </c>
      <c r="Y7" s="351" t="s">
        <v>353</v>
      </c>
      <c r="Z7" s="5" t="s">
        <v>48</v>
      </c>
      <c r="AA7" s="112" t="s">
        <v>14</v>
      </c>
    </row>
    <row r="8" spans="1:30" x14ac:dyDescent="0.25">
      <c r="A8" s="329">
        <v>45884</v>
      </c>
      <c r="B8" s="5">
        <v>1</v>
      </c>
      <c r="D8" s="5" t="s">
        <v>69</v>
      </c>
      <c r="E8" s="6">
        <v>0.56000000000000005</v>
      </c>
      <c r="G8" s="362">
        <v>1</v>
      </c>
      <c r="H8" s="362">
        <v>3</v>
      </c>
      <c r="I8" s="8">
        <v>3.43</v>
      </c>
      <c r="L8" s="5" t="s">
        <v>70</v>
      </c>
      <c r="M8" s="242" t="s">
        <v>71</v>
      </c>
      <c r="N8" s="345">
        <v>56</v>
      </c>
      <c r="O8" s="38" t="s">
        <v>70</v>
      </c>
      <c r="P8" s="453" t="s">
        <v>80</v>
      </c>
      <c r="Q8" s="453" t="s">
        <v>81</v>
      </c>
      <c r="R8" s="453" t="s">
        <v>688</v>
      </c>
      <c r="S8" s="7">
        <v>69</v>
      </c>
      <c r="T8" s="5" t="s">
        <v>354</v>
      </c>
      <c r="U8" s="5" t="s">
        <v>43</v>
      </c>
      <c r="V8" s="57" t="s">
        <v>10</v>
      </c>
      <c r="W8" s="51">
        <v>0.03</v>
      </c>
      <c r="X8" s="357" t="s">
        <v>53</v>
      </c>
      <c r="Z8" s="5" t="s">
        <v>55</v>
      </c>
      <c r="AA8" s="112" t="s">
        <v>14</v>
      </c>
    </row>
    <row r="9" spans="1:30" x14ac:dyDescent="0.25">
      <c r="A9" s="329">
        <v>45884</v>
      </c>
      <c r="B9" s="5">
        <v>1</v>
      </c>
      <c r="D9" s="5" t="s">
        <v>69</v>
      </c>
      <c r="E9" s="6">
        <v>0.56000000000000005</v>
      </c>
      <c r="G9" s="362">
        <v>1</v>
      </c>
      <c r="H9" s="362">
        <v>3</v>
      </c>
      <c r="I9" s="8">
        <v>3.43</v>
      </c>
      <c r="L9" s="5" t="s">
        <v>70</v>
      </c>
      <c r="M9" s="242" t="s">
        <v>71</v>
      </c>
      <c r="N9" s="476">
        <v>57</v>
      </c>
      <c r="O9" s="477" t="s">
        <v>69</v>
      </c>
      <c r="P9" s="506" t="s">
        <v>87</v>
      </c>
      <c r="Q9" s="506" t="s">
        <v>88</v>
      </c>
      <c r="R9" s="506" t="s">
        <v>691</v>
      </c>
      <c r="S9" s="479">
        <v>77</v>
      </c>
      <c r="T9" s="478" t="s">
        <v>41</v>
      </c>
      <c r="U9" s="478" t="s">
        <v>42</v>
      </c>
      <c r="V9" s="480" t="s">
        <v>18</v>
      </c>
      <c r="W9" s="51">
        <v>0.25</v>
      </c>
      <c r="X9" s="357">
        <v>0.68</v>
      </c>
      <c r="Y9" s="351" t="s">
        <v>353</v>
      </c>
      <c r="Z9" s="5" t="s">
        <v>8</v>
      </c>
      <c r="AA9" s="112" t="s">
        <v>58</v>
      </c>
      <c r="AB9" s="108" t="s">
        <v>649</v>
      </c>
      <c r="AC9" s="57" t="s">
        <v>650</v>
      </c>
    </row>
    <row r="10" spans="1:30" x14ac:dyDescent="0.25">
      <c r="A10" s="329">
        <v>45884</v>
      </c>
      <c r="B10" s="5">
        <v>1</v>
      </c>
      <c r="D10" s="5" t="s">
        <v>69</v>
      </c>
      <c r="E10" s="6">
        <v>0.56000000000000005</v>
      </c>
      <c r="G10" s="362">
        <v>1</v>
      </c>
      <c r="H10" s="362">
        <v>3</v>
      </c>
      <c r="I10" s="8">
        <v>3.43</v>
      </c>
      <c r="L10" s="5" t="s">
        <v>70</v>
      </c>
      <c r="M10" s="242" t="s">
        <v>71</v>
      </c>
      <c r="N10" s="476">
        <v>73</v>
      </c>
      <c r="O10" s="477" t="s">
        <v>69</v>
      </c>
      <c r="P10" s="506" t="s">
        <v>89</v>
      </c>
      <c r="Q10" s="506" t="s">
        <v>90</v>
      </c>
      <c r="R10" s="506" t="s">
        <v>712</v>
      </c>
      <c r="S10" s="479">
        <v>59</v>
      </c>
      <c r="T10" s="478" t="s">
        <v>47</v>
      </c>
      <c r="U10" s="478" t="s">
        <v>45</v>
      </c>
      <c r="V10" s="480" t="s">
        <v>20</v>
      </c>
      <c r="W10" s="51">
        <v>0.12</v>
      </c>
      <c r="X10" s="357" t="s">
        <v>53</v>
      </c>
      <c r="Z10" s="5" t="s">
        <v>22</v>
      </c>
      <c r="AA10" s="112" t="s">
        <v>58</v>
      </c>
    </row>
    <row r="11" spans="1:30" x14ac:dyDescent="0.25">
      <c r="A11" s="329">
        <v>45884</v>
      </c>
      <c r="B11" s="5">
        <v>1</v>
      </c>
      <c r="D11" s="5" t="s">
        <v>69</v>
      </c>
      <c r="E11" s="6">
        <v>0.56000000000000005</v>
      </c>
      <c r="G11" s="362">
        <v>1</v>
      </c>
      <c r="H11" s="362">
        <v>3</v>
      </c>
      <c r="I11" s="8">
        <v>3.43</v>
      </c>
      <c r="L11" s="5" t="s">
        <v>70</v>
      </c>
      <c r="M11" s="242" t="s">
        <v>71</v>
      </c>
      <c r="N11" s="345" t="s">
        <v>82</v>
      </c>
      <c r="O11" s="38" t="s">
        <v>70</v>
      </c>
      <c r="P11" s="453" t="s">
        <v>83</v>
      </c>
      <c r="Q11" s="453" t="s">
        <v>84</v>
      </c>
      <c r="R11" s="453" t="s">
        <v>713</v>
      </c>
      <c r="S11" s="459">
        <v>64</v>
      </c>
      <c r="T11" s="5" t="s">
        <v>47</v>
      </c>
      <c r="U11" s="5" t="s">
        <v>43</v>
      </c>
      <c r="V11" s="57" t="s">
        <v>33</v>
      </c>
      <c r="W11" s="51">
        <v>0.11</v>
      </c>
      <c r="X11" s="357" t="s">
        <v>53</v>
      </c>
      <c r="Z11" s="5" t="s">
        <v>13</v>
      </c>
      <c r="AA11" s="112" t="s">
        <v>14</v>
      </c>
    </row>
    <row r="12" spans="1:30" ht="15.75" thickBot="1" x14ac:dyDescent="0.3">
      <c r="A12" s="330">
        <v>45884</v>
      </c>
      <c r="B12" s="9">
        <v>1</v>
      </c>
      <c r="C12" s="122"/>
      <c r="D12" s="9" t="s">
        <v>69</v>
      </c>
      <c r="E12" s="10">
        <v>0.56000000000000005</v>
      </c>
      <c r="F12" s="10"/>
      <c r="G12" s="383">
        <v>1</v>
      </c>
      <c r="H12" s="383">
        <v>3</v>
      </c>
      <c r="I12" s="12">
        <v>3.43</v>
      </c>
      <c r="J12" s="12"/>
      <c r="K12" s="122"/>
      <c r="L12" s="9" t="s">
        <v>70</v>
      </c>
      <c r="M12" s="445" t="s">
        <v>71</v>
      </c>
      <c r="N12" s="346" t="s">
        <v>82</v>
      </c>
      <c r="O12" s="454" t="s">
        <v>70</v>
      </c>
      <c r="P12" s="455" t="s">
        <v>78</v>
      </c>
      <c r="Q12" s="455" t="s">
        <v>404</v>
      </c>
      <c r="R12" s="455" t="s">
        <v>687</v>
      </c>
      <c r="S12" s="459">
        <v>74</v>
      </c>
      <c r="T12" s="9" t="s">
        <v>41</v>
      </c>
      <c r="U12" s="9" t="s">
        <v>42</v>
      </c>
      <c r="V12" s="58" t="s">
        <v>33</v>
      </c>
      <c r="W12" s="52">
        <v>0.17</v>
      </c>
      <c r="X12" s="358" t="s">
        <v>53</v>
      </c>
      <c r="Y12" s="352"/>
      <c r="Z12" s="9" t="s">
        <v>744</v>
      </c>
      <c r="AA12" s="113" t="s">
        <v>14</v>
      </c>
      <c r="AB12" s="109" t="s">
        <v>87</v>
      </c>
      <c r="AC12" s="58" t="s">
        <v>88</v>
      </c>
    </row>
    <row r="13" spans="1:30" ht="15.75" thickBot="1" x14ac:dyDescent="0.3">
      <c r="A13" s="326">
        <v>45884</v>
      </c>
      <c r="B13" s="207">
        <v>1</v>
      </c>
      <c r="C13" s="208"/>
      <c r="D13" s="207" t="s">
        <v>69</v>
      </c>
      <c r="E13" s="209">
        <v>0.56000000000000005</v>
      </c>
      <c r="F13" s="209"/>
      <c r="G13" s="460">
        <v>1</v>
      </c>
      <c r="H13" s="460">
        <v>3</v>
      </c>
      <c r="I13" s="211">
        <v>3.43</v>
      </c>
      <c r="J13" s="211"/>
      <c r="K13" s="208"/>
      <c r="L13" s="207" t="s">
        <v>70</v>
      </c>
      <c r="M13" s="197"/>
      <c r="N13" s="347"/>
      <c r="O13" s="343" t="s">
        <v>69</v>
      </c>
      <c r="P13" s="199" t="s">
        <v>478</v>
      </c>
      <c r="Q13" s="199" t="s">
        <v>479</v>
      </c>
      <c r="R13" s="199" t="s">
        <v>707</v>
      </c>
      <c r="S13" s="479">
        <v>32</v>
      </c>
      <c r="T13" s="199"/>
      <c r="U13" s="199"/>
      <c r="V13" s="201"/>
      <c r="W13" s="202"/>
      <c r="X13" s="359"/>
      <c r="Y13" s="353">
        <f>H13</f>
        <v>3</v>
      </c>
      <c r="Z13" s="199"/>
      <c r="AA13" s="204"/>
      <c r="AB13" s="205"/>
      <c r="AC13" s="201"/>
    </row>
    <row r="14" spans="1:30" ht="15.75" thickBot="1" x14ac:dyDescent="0.3">
      <c r="A14" s="326">
        <v>45884</v>
      </c>
      <c r="B14" s="207">
        <v>1</v>
      </c>
      <c r="C14" s="208"/>
      <c r="D14" s="207" t="s">
        <v>69</v>
      </c>
      <c r="E14" s="209">
        <v>0.56000000000000005</v>
      </c>
      <c r="F14" s="209"/>
      <c r="G14" s="460">
        <v>1</v>
      </c>
      <c r="H14" s="460">
        <v>3</v>
      </c>
      <c r="I14" s="211">
        <v>3.43</v>
      </c>
      <c r="J14" s="211"/>
      <c r="K14" s="208"/>
      <c r="L14" s="207" t="s">
        <v>70</v>
      </c>
      <c r="M14" s="197"/>
      <c r="N14" s="347"/>
      <c r="O14" s="343" t="s">
        <v>70</v>
      </c>
      <c r="P14" s="199" t="s">
        <v>714</v>
      </c>
      <c r="Q14" s="199" t="s">
        <v>715</v>
      </c>
      <c r="R14" s="199" t="s">
        <v>707</v>
      </c>
      <c r="S14" s="479">
        <v>61</v>
      </c>
      <c r="T14" s="199"/>
      <c r="U14" s="199"/>
      <c r="V14" s="201"/>
      <c r="W14" s="202"/>
      <c r="X14" s="359"/>
      <c r="Y14" s="353">
        <f>G13</f>
        <v>1</v>
      </c>
      <c r="Z14" s="199"/>
      <c r="AA14" s="204"/>
      <c r="AB14" s="205"/>
      <c r="AC14" s="201"/>
    </row>
    <row r="15" spans="1:30" x14ac:dyDescent="0.25">
      <c r="A15" s="328">
        <v>45884</v>
      </c>
      <c r="B15" s="17">
        <v>1</v>
      </c>
      <c r="C15" s="123" t="s">
        <v>694</v>
      </c>
      <c r="D15" s="17" t="s">
        <v>91</v>
      </c>
      <c r="E15" s="18">
        <v>2.44</v>
      </c>
      <c r="F15" s="18"/>
      <c r="G15" s="461">
        <v>2</v>
      </c>
      <c r="H15" s="461">
        <v>0</v>
      </c>
      <c r="I15" s="20">
        <v>0.93</v>
      </c>
      <c r="J15" s="20"/>
      <c r="K15" s="123" t="s">
        <v>693</v>
      </c>
      <c r="L15" s="17" t="s">
        <v>92</v>
      </c>
      <c r="M15" s="597" t="s">
        <v>93</v>
      </c>
      <c r="N15" s="507">
        <v>3</v>
      </c>
      <c r="O15" s="508" t="s">
        <v>91</v>
      </c>
      <c r="P15" s="509" t="s">
        <v>94</v>
      </c>
      <c r="Q15" s="509" t="s">
        <v>95</v>
      </c>
      <c r="R15" s="509" t="s">
        <v>695</v>
      </c>
      <c r="S15" s="479">
        <v>65</v>
      </c>
      <c r="T15" s="509" t="s">
        <v>41</v>
      </c>
      <c r="U15" s="509" t="s">
        <v>42</v>
      </c>
      <c r="V15" s="510" t="s">
        <v>10</v>
      </c>
      <c r="W15" s="53">
        <v>0.35</v>
      </c>
      <c r="X15" s="360" t="s">
        <v>53</v>
      </c>
      <c r="Y15" s="354" t="s">
        <v>353</v>
      </c>
      <c r="Z15" s="17" t="s">
        <v>13</v>
      </c>
      <c r="AA15" s="114" t="s">
        <v>28</v>
      </c>
      <c r="AB15" s="110"/>
      <c r="AC15" s="60"/>
    </row>
    <row r="16" spans="1:30" x14ac:dyDescent="0.25">
      <c r="A16" s="329">
        <v>45884</v>
      </c>
      <c r="B16" s="5">
        <v>1</v>
      </c>
      <c r="D16" s="5" t="s">
        <v>91</v>
      </c>
      <c r="E16" s="6">
        <v>2.44</v>
      </c>
      <c r="G16" s="362">
        <v>2</v>
      </c>
      <c r="H16" s="362">
        <v>0</v>
      </c>
      <c r="I16" s="8">
        <v>0.93</v>
      </c>
      <c r="L16" s="5" t="s">
        <v>92</v>
      </c>
      <c r="M16" s="242" t="s">
        <v>93</v>
      </c>
      <c r="N16" s="476">
        <v>10</v>
      </c>
      <c r="O16" s="477" t="s">
        <v>91</v>
      </c>
      <c r="P16" s="478" t="s">
        <v>96</v>
      </c>
      <c r="Q16" s="478" t="s">
        <v>97</v>
      </c>
      <c r="R16" s="478" t="s">
        <v>686</v>
      </c>
      <c r="S16" s="479">
        <v>87</v>
      </c>
      <c r="T16" s="478" t="s">
        <v>41</v>
      </c>
      <c r="U16" s="478" t="s">
        <v>43</v>
      </c>
      <c r="V16" s="480" t="s">
        <v>29</v>
      </c>
      <c r="W16" s="51">
        <v>0.02</v>
      </c>
      <c r="X16" s="357">
        <v>0.12</v>
      </c>
      <c r="Z16" s="5" t="s">
        <v>48</v>
      </c>
      <c r="AA16" s="112" t="s">
        <v>28</v>
      </c>
    </row>
    <row r="17" spans="1:29" x14ac:dyDescent="0.25">
      <c r="A17" s="329">
        <v>45884</v>
      </c>
      <c r="B17" s="5">
        <v>1</v>
      </c>
      <c r="D17" s="5" t="s">
        <v>91</v>
      </c>
      <c r="E17" s="6">
        <v>2.44</v>
      </c>
      <c r="G17" s="362">
        <v>2</v>
      </c>
      <c r="H17" s="362">
        <v>0</v>
      </c>
      <c r="I17" s="8">
        <v>0.93</v>
      </c>
      <c r="L17" s="5" t="s">
        <v>92</v>
      </c>
      <c r="M17" s="242" t="s">
        <v>93</v>
      </c>
      <c r="N17" s="476">
        <v>11</v>
      </c>
      <c r="O17" s="477" t="s">
        <v>91</v>
      </c>
      <c r="P17" s="478" t="s">
        <v>98</v>
      </c>
      <c r="Q17" s="478" t="s">
        <v>99</v>
      </c>
      <c r="R17" s="478" t="s">
        <v>684</v>
      </c>
      <c r="S17" s="479">
        <v>76</v>
      </c>
      <c r="T17" s="478" t="s">
        <v>44</v>
      </c>
      <c r="U17" s="478" t="s">
        <v>42</v>
      </c>
      <c r="V17" s="480" t="s">
        <v>10</v>
      </c>
      <c r="W17" s="51">
        <v>0.08</v>
      </c>
      <c r="X17" s="357">
        <v>0.26</v>
      </c>
      <c r="Z17" s="5" t="s">
        <v>48</v>
      </c>
      <c r="AA17" s="112" t="s">
        <v>28</v>
      </c>
    </row>
    <row r="18" spans="1:29" x14ac:dyDescent="0.25">
      <c r="A18" s="329">
        <v>45884</v>
      </c>
      <c r="B18" s="5">
        <v>1</v>
      </c>
      <c r="D18" s="5" t="s">
        <v>91</v>
      </c>
      <c r="E18" s="6">
        <v>2.44</v>
      </c>
      <c r="G18" s="362">
        <v>2</v>
      </c>
      <c r="H18" s="362">
        <v>0</v>
      </c>
      <c r="I18" s="8">
        <v>0.93</v>
      </c>
      <c r="L18" s="5" t="s">
        <v>92</v>
      </c>
      <c r="M18" s="242" t="s">
        <v>93</v>
      </c>
      <c r="N18" s="345">
        <v>14</v>
      </c>
      <c r="O18" s="38" t="s">
        <v>92</v>
      </c>
      <c r="P18" s="5" t="s">
        <v>108</v>
      </c>
      <c r="Q18" s="5" t="s">
        <v>109</v>
      </c>
      <c r="R18" s="5" t="s">
        <v>684</v>
      </c>
      <c r="S18" s="7">
        <v>57</v>
      </c>
      <c r="T18" s="5" t="s">
        <v>41</v>
      </c>
      <c r="U18" s="5" t="s">
        <v>42</v>
      </c>
      <c r="V18" s="57" t="s">
        <v>7</v>
      </c>
      <c r="W18" s="51">
        <v>0.79</v>
      </c>
      <c r="X18" s="357">
        <v>0.79</v>
      </c>
      <c r="Y18" s="351" t="s">
        <v>353</v>
      </c>
      <c r="Z18" s="5" t="s">
        <v>48</v>
      </c>
      <c r="AA18" s="112" t="s">
        <v>28</v>
      </c>
    </row>
    <row r="19" spans="1:29" x14ac:dyDescent="0.25">
      <c r="A19" s="329">
        <v>45884</v>
      </c>
      <c r="B19" s="5">
        <v>1</v>
      </c>
      <c r="D19" s="5" t="s">
        <v>91</v>
      </c>
      <c r="E19" s="6">
        <v>2.44</v>
      </c>
      <c r="G19" s="362">
        <v>2</v>
      </c>
      <c r="H19" s="362">
        <v>0</v>
      </c>
      <c r="I19" s="8">
        <v>0.93</v>
      </c>
      <c r="L19" s="5" t="s">
        <v>92</v>
      </c>
      <c r="M19" s="242" t="s">
        <v>93</v>
      </c>
      <c r="N19" s="345">
        <v>19</v>
      </c>
      <c r="O19" s="38" t="s">
        <v>92</v>
      </c>
      <c r="P19" s="5" t="s">
        <v>108</v>
      </c>
      <c r="Q19" s="5" t="s">
        <v>109</v>
      </c>
      <c r="R19" s="5" t="s">
        <v>684</v>
      </c>
      <c r="S19" s="7">
        <v>57</v>
      </c>
      <c r="T19" s="5" t="s">
        <v>47</v>
      </c>
      <c r="U19" s="5" t="s">
        <v>45</v>
      </c>
      <c r="V19" s="57" t="s">
        <v>20</v>
      </c>
      <c r="W19" s="51">
        <v>0.06</v>
      </c>
      <c r="X19" s="357" t="s">
        <v>53</v>
      </c>
      <c r="Z19" s="5" t="s">
        <v>55</v>
      </c>
      <c r="AA19" s="112" t="s">
        <v>28</v>
      </c>
    </row>
    <row r="20" spans="1:29" x14ac:dyDescent="0.25">
      <c r="A20" s="329">
        <v>45884</v>
      </c>
      <c r="B20" s="5">
        <v>1</v>
      </c>
      <c r="D20" s="5" t="s">
        <v>91</v>
      </c>
      <c r="E20" s="6">
        <v>2.44</v>
      </c>
      <c r="G20" s="362">
        <v>2</v>
      </c>
      <c r="H20" s="362">
        <v>0</v>
      </c>
      <c r="I20" s="8">
        <v>0.93</v>
      </c>
      <c r="L20" s="5" t="s">
        <v>92</v>
      </c>
      <c r="M20" s="242" t="s">
        <v>93</v>
      </c>
      <c r="N20" s="476">
        <v>20</v>
      </c>
      <c r="O20" s="477" t="s">
        <v>91</v>
      </c>
      <c r="P20" s="478" t="s">
        <v>100</v>
      </c>
      <c r="Q20" s="478" t="s">
        <v>101</v>
      </c>
      <c r="R20" s="478" t="s">
        <v>688</v>
      </c>
      <c r="S20" s="481">
        <v>74</v>
      </c>
      <c r="T20" s="478" t="s">
        <v>41</v>
      </c>
      <c r="U20" s="478" t="s">
        <v>43</v>
      </c>
      <c r="V20" s="480" t="s">
        <v>10</v>
      </c>
      <c r="W20" s="51">
        <v>0.02</v>
      </c>
      <c r="X20" s="357" t="s">
        <v>53</v>
      </c>
      <c r="Z20" s="5" t="s">
        <v>22</v>
      </c>
      <c r="AA20" s="112" t="s">
        <v>28</v>
      </c>
    </row>
    <row r="21" spans="1:29" x14ac:dyDescent="0.25">
      <c r="A21" s="329">
        <v>45884</v>
      </c>
      <c r="B21" s="5">
        <v>1</v>
      </c>
      <c r="D21" s="5" t="s">
        <v>91</v>
      </c>
      <c r="E21" s="6">
        <v>2.44</v>
      </c>
      <c r="G21" s="362">
        <v>2</v>
      </c>
      <c r="H21" s="362">
        <v>0</v>
      </c>
      <c r="I21" s="8">
        <v>0.93</v>
      </c>
      <c r="L21" s="5" t="s">
        <v>92</v>
      </c>
      <c r="M21" s="242" t="s">
        <v>93</v>
      </c>
      <c r="N21" s="476">
        <v>22</v>
      </c>
      <c r="O21" s="477" t="s">
        <v>91</v>
      </c>
      <c r="P21" s="478" t="s">
        <v>96</v>
      </c>
      <c r="Q21" s="478" t="s">
        <v>97</v>
      </c>
      <c r="R21" s="478" t="s">
        <v>686</v>
      </c>
      <c r="S21" s="481">
        <v>87</v>
      </c>
      <c r="T21" s="478" t="s">
        <v>41</v>
      </c>
      <c r="U21" s="478" t="s">
        <v>43</v>
      </c>
      <c r="V21" s="480" t="s">
        <v>18</v>
      </c>
      <c r="W21" s="51">
        <v>0.45</v>
      </c>
      <c r="X21" s="357">
        <v>0.31</v>
      </c>
      <c r="Y21" s="351" t="s">
        <v>353</v>
      </c>
      <c r="Z21" s="5" t="s">
        <v>48</v>
      </c>
      <c r="AA21" s="112" t="s">
        <v>28</v>
      </c>
    </row>
    <row r="22" spans="1:29" x14ac:dyDescent="0.25">
      <c r="A22" s="329">
        <v>45884</v>
      </c>
      <c r="B22" s="5">
        <v>1</v>
      </c>
      <c r="D22" s="5" t="s">
        <v>91</v>
      </c>
      <c r="E22" s="6">
        <v>2.44</v>
      </c>
      <c r="G22" s="362">
        <v>2</v>
      </c>
      <c r="H22" s="362">
        <v>0</v>
      </c>
      <c r="I22" s="8">
        <v>0.93</v>
      </c>
      <c r="L22" s="5" t="s">
        <v>92</v>
      </c>
      <c r="M22" s="242" t="s">
        <v>93</v>
      </c>
      <c r="N22" s="345">
        <v>25</v>
      </c>
      <c r="O22" s="38" t="s">
        <v>92</v>
      </c>
      <c r="P22" s="5" t="s">
        <v>110</v>
      </c>
      <c r="Q22" s="5" t="s">
        <v>111</v>
      </c>
      <c r="R22" s="5" t="s">
        <v>685</v>
      </c>
      <c r="S22" s="479">
        <v>72</v>
      </c>
      <c r="T22" s="5" t="s">
        <v>354</v>
      </c>
      <c r="U22" s="5" t="s">
        <v>43</v>
      </c>
      <c r="V22" s="57" t="s">
        <v>10</v>
      </c>
      <c r="W22" s="51">
        <v>0.01</v>
      </c>
      <c r="X22" s="357">
        <v>0.12</v>
      </c>
      <c r="Z22" s="5" t="s">
        <v>48</v>
      </c>
      <c r="AA22" s="112" t="s">
        <v>28</v>
      </c>
    </row>
    <row r="23" spans="1:29" x14ac:dyDescent="0.25">
      <c r="A23" s="329">
        <v>45884</v>
      </c>
      <c r="B23" s="5">
        <v>1</v>
      </c>
      <c r="D23" s="5" t="s">
        <v>91</v>
      </c>
      <c r="E23" s="6">
        <v>2.44</v>
      </c>
      <c r="G23" s="362">
        <v>2</v>
      </c>
      <c r="H23" s="362">
        <v>0</v>
      </c>
      <c r="I23" s="8">
        <v>0.93</v>
      </c>
      <c r="L23" s="5" t="s">
        <v>92</v>
      </c>
      <c r="M23" s="242" t="s">
        <v>93</v>
      </c>
      <c r="N23" s="476">
        <v>28</v>
      </c>
      <c r="O23" s="477" t="s">
        <v>91</v>
      </c>
      <c r="P23" s="478" t="s">
        <v>102</v>
      </c>
      <c r="Q23" s="478" t="s">
        <v>103</v>
      </c>
      <c r="R23" s="478" t="s">
        <v>685</v>
      </c>
      <c r="S23" s="479">
        <v>74</v>
      </c>
      <c r="T23" s="478" t="s">
        <v>41</v>
      </c>
      <c r="U23" s="478" t="s">
        <v>42</v>
      </c>
      <c r="V23" s="480" t="s">
        <v>33</v>
      </c>
      <c r="W23" s="51">
        <v>0.11</v>
      </c>
      <c r="X23" s="357" t="s">
        <v>53</v>
      </c>
      <c r="Z23" s="5" t="s">
        <v>13</v>
      </c>
      <c r="AA23" s="112" t="s">
        <v>28</v>
      </c>
    </row>
    <row r="24" spans="1:29" x14ac:dyDescent="0.25">
      <c r="A24" s="329">
        <v>45884</v>
      </c>
      <c r="B24" s="5">
        <v>1</v>
      </c>
      <c r="D24" s="5" t="s">
        <v>91</v>
      </c>
      <c r="E24" s="6">
        <v>2.44</v>
      </c>
      <c r="G24" s="362">
        <v>2</v>
      </c>
      <c r="H24" s="362">
        <v>0</v>
      </c>
      <c r="I24" s="8">
        <v>0.93</v>
      </c>
      <c r="L24" s="5" t="s">
        <v>92</v>
      </c>
      <c r="M24" s="242" t="s">
        <v>93</v>
      </c>
      <c r="N24" s="476">
        <v>28</v>
      </c>
      <c r="O24" s="477" t="s">
        <v>91</v>
      </c>
      <c r="P24" s="478" t="s">
        <v>49</v>
      </c>
      <c r="Q24" s="478" t="s">
        <v>50</v>
      </c>
      <c r="R24" s="478" t="s">
        <v>695</v>
      </c>
      <c r="S24" s="479">
        <v>85</v>
      </c>
      <c r="T24" s="478" t="s">
        <v>47</v>
      </c>
      <c r="U24" s="478" t="s">
        <v>43</v>
      </c>
      <c r="V24" s="480" t="s">
        <v>33</v>
      </c>
      <c r="W24" s="51">
        <v>0.17</v>
      </c>
      <c r="X24" s="357">
        <v>0.21</v>
      </c>
      <c r="Z24" s="5" t="s">
        <v>48</v>
      </c>
      <c r="AA24" s="112" t="s">
        <v>28</v>
      </c>
    </row>
    <row r="25" spans="1:29" x14ac:dyDescent="0.25">
      <c r="A25" s="329">
        <v>45884</v>
      </c>
      <c r="B25" s="5">
        <v>1</v>
      </c>
      <c r="D25" s="5" t="s">
        <v>91</v>
      </c>
      <c r="E25" s="6">
        <v>2.44</v>
      </c>
      <c r="G25" s="362">
        <v>2</v>
      </c>
      <c r="H25" s="362">
        <v>0</v>
      </c>
      <c r="I25" s="8">
        <v>0.93</v>
      </c>
      <c r="L25" s="5" t="s">
        <v>92</v>
      </c>
      <c r="M25" s="242" t="s">
        <v>93</v>
      </c>
      <c r="N25" s="476">
        <v>29</v>
      </c>
      <c r="O25" s="477" t="s">
        <v>91</v>
      </c>
      <c r="P25" s="478" t="s">
        <v>104</v>
      </c>
      <c r="Q25" s="478" t="s">
        <v>105</v>
      </c>
      <c r="R25" s="478" t="s">
        <v>684</v>
      </c>
      <c r="S25" s="479">
        <v>73</v>
      </c>
      <c r="T25" s="478" t="s">
        <v>41</v>
      </c>
      <c r="U25" s="478" t="s">
        <v>45</v>
      </c>
      <c r="V25" s="480" t="s">
        <v>20</v>
      </c>
      <c r="W25" s="51">
        <v>0.12</v>
      </c>
      <c r="X25" s="357">
        <v>0.81</v>
      </c>
      <c r="Z25" s="5" t="s">
        <v>8</v>
      </c>
      <c r="AA25" s="112" t="s">
        <v>19</v>
      </c>
    </row>
    <row r="26" spans="1:29" x14ac:dyDescent="0.25">
      <c r="A26" s="329">
        <v>45884</v>
      </c>
      <c r="B26" s="5">
        <v>1</v>
      </c>
      <c r="D26" s="5" t="s">
        <v>91</v>
      </c>
      <c r="E26" s="6">
        <v>2.44</v>
      </c>
      <c r="G26" s="362">
        <v>2</v>
      </c>
      <c r="H26" s="362">
        <v>0</v>
      </c>
      <c r="I26" s="8">
        <v>0.93</v>
      </c>
      <c r="L26" s="5" t="s">
        <v>92</v>
      </c>
      <c r="M26" s="242" t="s">
        <v>93</v>
      </c>
      <c r="N26" s="476">
        <v>35</v>
      </c>
      <c r="O26" s="477" t="s">
        <v>91</v>
      </c>
      <c r="P26" s="478" t="s">
        <v>104</v>
      </c>
      <c r="Q26" s="478" t="s">
        <v>105</v>
      </c>
      <c r="R26" s="478" t="s">
        <v>684</v>
      </c>
      <c r="S26" s="479">
        <v>73</v>
      </c>
      <c r="T26" s="478" t="s">
        <v>47</v>
      </c>
      <c r="U26" s="478" t="s">
        <v>42</v>
      </c>
      <c r="V26" s="480" t="s">
        <v>20</v>
      </c>
      <c r="W26" s="51">
        <v>0.25</v>
      </c>
      <c r="X26" s="357" t="s">
        <v>53</v>
      </c>
      <c r="Y26" s="351" t="s">
        <v>353</v>
      </c>
      <c r="Z26" s="5" t="s">
        <v>13</v>
      </c>
      <c r="AA26" s="112" t="s">
        <v>19</v>
      </c>
    </row>
    <row r="27" spans="1:29" x14ac:dyDescent="0.25">
      <c r="A27" s="329">
        <v>45884</v>
      </c>
      <c r="B27" s="5">
        <v>1</v>
      </c>
      <c r="D27" s="5" t="s">
        <v>91</v>
      </c>
      <c r="E27" s="6">
        <v>2.44</v>
      </c>
      <c r="G27" s="362">
        <v>2</v>
      </c>
      <c r="H27" s="362">
        <v>0</v>
      </c>
      <c r="I27" s="8">
        <v>0.93</v>
      </c>
      <c r="L27" s="5" t="s">
        <v>92</v>
      </c>
      <c r="M27" s="242" t="s">
        <v>93</v>
      </c>
      <c r="N27" s="476">
        <v>36</v>
      </c>
      <c r="O27" s="477" t="s">
        <v>91</v>
      </c>
      <c r="P27" s="478" t="s">
        <v>49</v>
      </c>
      <c r="Q27" s="478" t="s">
        <v>50</v>
      </c>
      <c r="R27" s="478" t="s">
        <v>695</v>
      </c>
      <c r="S27" s="479">
        <v>85</v>
      </c>
      <c r="T27" s="478" t="s">
        <v>354</v>
      </c>
      <c r="U27" s="478" t="s">
        <v>43</v>
      </c>
      <c r="V27" s="480" t="s">
        <v>10</v>
      </c>
      <c r="W27" s="51">
        <v>0.05</v>
      </c>
      <c r="X27" s="357">
        <v>0.08</v>
      </c>
      <c r="Z27" s="5" t="s">
        <v>8</v>
      </c>
      <c r="AA27" s="112" t="s">
        <v>24</v>
      </c>
      <c r="AB27" s="108" t="s">
        <v>96</v>
      </c>
      <c r="AC27" s="57" t="s">
        <v>97</v>
      </c>
    </row>
    <row r="28" spans="1:29" x14ac:dyDescent="0.25">
      <c r="A28" s="329">
        <v>45884</v>
      </c>
      <c r="B28" s="5">
        <v>1</v>
      </c>
      <c r="D28" s="5" t="s">
        <v>91</v>
      </c>
      <c r="E28" s="6">
        <v>2.44</v>
      </c>
      <c r="G28" s="362">
        <v>2</v>
      </c>
      <c r="H28" s="362">
        <v>0</v>
      </c>
      <c r="I28" s="8">
        <v>0.93</v>
      </c>
      <c r="L28" s="5" t="s">
        <v>92</v>
      </c>
      <c r="M28" s="242" t="s">
        <v>93</v>
      </c>
      <c r="N28" s="476">
        <v>41</v>
      </c>
      <c r="O28" s="477" t="s">
        <v>91</v>
      </c>
      <c r="P28" s="478" t="s">
        <v>96</v>
      </c>
      <c r="Q28" s="478" t="s">
        <v>97</v>
      </c>
      <c r="R28" s="478" t="s">
        <v>686</v>
      </c>
      <c r="S28" s="479">
        <v>87</v>
      </c>
      <c r="T28" s="478" t="s">
        <v>41</v>
      </c>
      <c r="U28" s="478" t="s">
        <v>43</v>
      </c>
      <c r="V28" s="480" t="s">
        <v>10</v>
      </c>
      <c r="W28" s="51">
        <v>0.02</v>
      </c>
      <c r="X28" s="357">
        <v>0.23</v>
      </c>
      <c r="Z28" s="5" t="s">
        <v>48</v>
      </c>
      <c r="AA28" s="112" t="s">
        <v>24</v>
      </c>
    </row>
    <row r="29" spans="1:29" x14ac:dyDescent="0.25">
      <c r="A29" s="329">
        <v>45884</v>
      </c>
      <c r="B29" s="5">
        <v>1</v>
      </c>
      <c r="D29" s="5" t="s">
        <v>91</v>
      </c>
      <c r="E29" s="6">
        <v>2.44</v>
      </c>
      <c r="G29" s="362">
        <v>2</v>
      </c>
      <c r="H29" s="362">
        <v>0</v>
      </c>
      <c r="I29" s="8">
        <v>0.93</v>
      </c>
      <c r="L29" s="5" t="s">
        <v>92</v>
      </c>
      <c r="M29" s="242" t="s">
        <v>93</v>
      </c>
      <c r="N29" s="476">
        <v>45</v>
      </c>
      <c r="O29" s="477" t="s">
        <v>91</v>
      </c>
      <c r="P29" s="478" t="s">
        <v>98</v>
      </c>
      <c r="Q29" s="478" t="s">
        <v>99</v>
      </c>
      <c r="R29" s="478" t="s">
        <v>684</v>
      </c>
      <c r="S29" s="479">
        <v>76</v>
      </c>
      <c r="T29" s="478" t="s">
        <v>41</v>
      </c>
      <c r="U29" s="478" t="s">
        <v>43</v>
      </c>
      <c r="V29" s="480" t="s">
        <v>10</v>
      </c>
      <c r="W29" s="51">
        <v>0.13</v>
      </c>
      <c r="X29" s="357">
        <v>0.09</v>
      </c>
      <c r="Z29" s="5" t="s">
        <v>48</v>
      </c>
      <c r="AA29" s="112" t="s">
        <v>24</v>
      </c>
    </row>
    <row r="30" spans="1:29" x14ac:dyDescent="0.25">
      <c r="A30" s="329">
        <v>45884</v>
      </c>
      <c r="B30" s="5">
        <v>1</v>
      </c>
      <c r="D30" s="5" t="s">
        <v>91</v>
      </c>
      <c r="E30" s="6">
        <v>2.44</v>
      </c>
      <c r="G30" s="362">
        <v>2</v>
      </c>
      <c r="H30" s="362">
        <v>0</v>
      </c>
      <c r="I30" s="8">
        <v>0.93</v>
      </c>
      <c r="L30" s="5" t="s">
        <v>92</v>
      </c>
      <c r="M30" s="242" t="s">
        <v>93</v>
      </c>
      <c r="N30" s="345">
        <v>54</v>
      </c>
      <c r="O30" s="38" t="s">
        <v>92</v>
      </c>
      <c r="P30" s="5" t="s">
        <v>110</v>
      </c>
      <c r="Q30" s="5" t="s">
        <v>111</v>
      </c>
      <c r="R30" s="5" t="s">
        <v>685</v>
      </c>
      <c r="S30" s="7">
        <v>72</v>
      </c>
      <c r="T30" s="5" t="s">
        <v>354</v>
      </c>
      <c r="U30" s="5" t="s">
        <v>42</v>
      </c>
      <c r="V30" s="57" t="s">
        <v>540</v>
      </c>
      <c r="W30" s="51">
        <v>0.03</v>
      </c>
      <c r="X30" s="357">
        <v>0.14000000000000001</v>
      </c>
      <c r="Z30" s="5" t="s">
        <v>48</v>
      </c>
      <c r="AA30" s="112" t="s">
        <v>24</v>
      </c>
    </row>
    <row r="31" spans="1:29" ht="15.75" thickBot="1" x14ac:dyDescent="0.3">
      <c r="A31" s="330">
        <v>45884</v>
      </c>
      <c r="B31" s="9">
        <v>1</v>
      </c>
      <c r="C31" s="122"/>
      <c r="D31" s="9" t="s">
        <v>91</v>
      </c>
      <c r="E31" s="10">
        <v>2.44</v>
      </c>
      <c r="F31" s="10"/>
      <c r="G31" s="383">
        <v>2</v>
      </c>
      <c r="H31" s="383">
        <v>0</v>
      </c>
      <c r="I31" s="12">
        <v>0.93</v>
      </c>
      <c r="J31" s="12"/>
      <c r="K31" s="122"/>
      <c r="L31" s="9" t="s">
        <v>92</v>
      </c>
      <c r="M31" s="445" t="s">
        <v>93</v>
      </c>
      <c r="N31" s="511">
        <v>59</v>
      </c>
      <c r="O31" s="512" t="s">
        <v>91</v>
      </c>
      <c r="P31" s="513" t="s">
        <v>106</v>
      </c>
      <c r="Q31" s="513" t="s">
        <v>107</v>
      </c>
      <c r="R31" s="513" t="s">
        <v>696</v>
      </c>
      <c r="S31" s="479">
        <v>64</v>
      </c>
      <c r="T31" s="513" t="s">
        <v>41</v>
      </c>
      <c r="U31" s="513" t="s">
        <v>42</v>
      </c>
      <c r="V31" s="514" t="s">
        <v>10</v>
      </c>
      <c r="W31" s="52">
        <v>0.2</v>
      </c>
      <c r="X31" s="358" t="s">
        <v>53</v>
      </c>
      <c r="Y31" s="352"/>
      <c r="Z31" s="9" t="s">
        <v>55</v>
      </c>
      <c r="AA31" s="113" t="s">
        <v>24</v>
      </c>
      <c r="AB31" s="109"/>
      <c r="AC31" s="58"/>
    </row>
    <row r="32" spans="1:29" ht="15.75" thickBot="1" x14ac:dyDescent="0.3">
      <c r="A32" s="326">
        <v>45884</v>
      </c>
      <c r="B32" s="207">
        <v>1</v>
      </c>
      <c r="C32" s="208"/>
      <c r="D32" s="207" t="s">
        <v>91</v>
      </c>
      <c r="E32" s="209">
        <v>2.44</v>
      </c>
      <c r="F32" s="209"/>
      <c r="G32" s="460">
        <v>2</v>
      </c>
      <c r="H32" s="460">
        <v>0</v>
      </c>
      <c r="I32" s="211">
        <v>0.93</v>
      </c>
      <c r="J32" s="211"/>
      <c r="K32" s="208"/>
      <c r="L32" s="207" t="s">
        <v>92</v>
      </c>
      <c r="M32" s="197"/>
      <c r="N32" s="347"/>
      <c r="O32" s="343" t="s">
        <v>91</v>
      </c>
      <c r="P32" s="199" t="s">
        <v>351</v>
      </c>
      <c r="Q32" s="199" t="s">
        <v>54</v>
      </c>
      <c r="R32" s="199" t="s">
        <v>707</v>
      </c>
      <c r="S32" s="479">
        <v>76</v>
      </c>
      <c r="T32" s="199"/>
      <c r="U32" s="199"/>
      <c r="V32" s="201"/>
      <c r="W32" s="202"/>
      <c r="X32" s="359"/>
      <c r="Y32" s="353">
        <f>H32</f>
        <v>0</v>
      </c>
      <c r="Z32" s="199"/>
      <c r="AA32" s="204"/>
      <c r="AB32" s="205"/>
      <c r="AC32" s="201"/>
    </row>
    <row r="33" spans="1:29" ht="15.75" thickBot="1" x14ac:dyDescent="0.3">
      <c r="A33" s="326">
        <v>45884</v>
      </c>
      <c r="B33" s="207">
        <v>1</v>
      </c>
      <c r="C33" s="208"/>
      <c r="D33" s="207" t="s">
        <v>91</v>
      </c>
      <c r="E33" s="209">
        <v>2.44</v>
      </c>
      <c r="F33" s="209"/>
      <c r="G33" s="460">
        <v>2</v>
      </c>
      <c r="H33" s="460">
        <v>0</v>
      </c>
      <c r="I33" s="211">
        <v>0.93</v>
      </c>
      <c r="J33" s="211"/>
      <c r="K33" s="208"/>
      <c r="L33" s="207" t="s">
        <v>92</v>
      </c>
      <c r="M33" s="197"/>
      <c r="N33" s="347"/>
      <c r="O33" s="343" t="s">
        <v>92</v>
      </c>
      <c r="P33" s="199" t="s">
        <v>432</v>
      </c>
      <c r="Q33" s="199" t="s">
        <v>472</v>
      </c>
      <c r="R33" s="199" t="s">
        <v>707</v>
      </c>
      <c r="S33" s="479">
        <v>80</v>
      </c>
      <c r="T33" s="199"/>
      <c r="U33" s="199"/>
      <c r="V33" s="201"/>
      <c r="W33" s="202"/>
      <c r="X33" s="359"/>
      <c r="Y33" s="353">
        <f>G32</f>
        <v>2</v>
      </c>
      <c r="Z33" s="199"/>
      <c r="AA33" s="204"/>
      <c r="AB33" s="205"/>
      <c r="AC33" s="201"/>
    </row>
    <row r="34" spans="1:29" x14ac:dyDescent="0.25">
      <c r="A34" s="328">
        <v>45885</v>
      </c>
      <c r="B34" s="17">
        <v>1</v>
      </c>
      <c r="C34" s="123" t="s">
        <v>693</v>
      </c>
      <c r="D34" s="17" t="s">
        <v>112</v>
      </c>
      <c r="E34" s="18">
        <v>0.21</v>
      </c>
      <c r="F34" s="18"/>
      <c r="G34" s="461">
        <v>0</v>
      </c>
      <c r="H34" s="461">
        <v>3</v>
      </c>
      <c r="I34" s="20">
        <v>2.13</v>
      </c>
      <c r="J34" s="20"/>
      <c r="K34" s="123" t="s">
        <v>693</v>
      </c>
      <c r="L34" s="17" t="s">
        <v>113</v>
      </c>
      <c r="M34" s="597" t="s">
        <v>116</v>
      </c>
      <c r="N34" s="348">
        <v>7</v>
      </c>
      <c r="O34" s="456" t="s">
        <v>113</v>
      </c>
      <c r="P34" s="17" t="s">
        <v>53</v>
      </c>
      <c r="Q34" s="17" t="s">
        <v>117</v>
      </c>
      <c r="R34" s="17" t="s">
        <v>685</v>
      </c>
      <c r="S34" s="459">
        <v>77</v>
      </c>
      <c r="T34" s="17" t="s">
        <v>47</v>
      </c>
      <c r="U34" s="17" t="s">
        <v>45</v>
      </c>
      <c r="V34" s="59" t="s">
        <v>10</v>
      </c>
      <c r="W34" s="53">
        <v>0.4</v>
      </c>
      <c r="X34" s="360">
        <v>0.88</v>
      </c>
      <c r="Y34" s="354" t="s">
        <v>353</v>
      </c>
      <c r="Z34" s="17" t="s">
        <v>8</v>
      </c>
      <c r="AA34" s="114" t="s">
        <v>9</v>
      </c>
      <c r="AB34" s="110" t="s">
        <v>120</v>
      </c>
      <c r="AC34" s="60" t="s">
        <v>121</v>
      </c>
    </row>
    <row r="35" spans="1:29" x14ac:dyDescent="0.25">
      <c r="A35" s="329">
        <v>45885</v>
      </c>
      <c r="B35" s="5">
        <v>1</v>
      </c>
      <c r="D35" s="5" t="s">
        <v>112</v>
      </c>
      <c r="E35" s="6">
        <v>0.21</v>
      </c>
      <c r="G35" s="362">
        <v>0</v>
      </c>
      <c r="H35" s="362">
        <v>3</v>
      </c>
      <c r="I35" s="8">
        <v>2.13</v>
      </c>
      <c r="L35" s="5" t="s">
        <v>113</v>
      </c>
      <c r="M35" s="242" t="s">
        <v>116</v>
      </c>
      <c r="N35" s="476">
        <v>21</v>
      </c>
      <c r="O35" s="477" t="s">
        <v>112</v>
      </c>
      <c r="P35" s="478" t="s">
        <v>114</v>
      </c>
      <c r="Q35" s="478" t="s">
        <v>115</v>
      </c>
      <c r="R35" s="478" t="s">
        <v>684</v>
      </c>
      <c r="S35" s="481">
        <v>49</v>
      </c>
      <c r="T35" s="478" t="s">
        <v>41</v>
      </c>
      <c r="U35" s="478" t="s">
        <v>43</v>
      </c>
      <c r="V35" s="480" t="s">
        <v>10</v>
      </c>
      <c r="W35" s="51">
        <v>0.15</v>
      </c>
      <c r="X35" s="357">
        <v>0.22</v>
      </c>
      <c r="Y35" s="351" t="s">
        <v>353</v>
      </c>
      <c r="Z35" s="5" t="s">
        <v>48</v>
      </c>
      <c r="AA35" s="112" t="s">
        <v>9</v>
      </c>
    </row>
    <row r="36" spans="1:29" x14ac:dyDescent="0.25">
      <c r="A36" s="329">
        <v>45885</v>
      </c>
      <c r="B36" s="5">
        <v>1</v>
      </c>
      <c r="D36" s="5" t="s">
        <v>112</v>
      </c>
      <c r="E36" s="6">
        <v>0.21</v>
      </c>
      <c r="G36" s="362">
        <v>0</v>
      </c>
      <c r="H36" s="362">
        <v>3</v>
      </c>
      <c r="I36" s="8">
        <v>2.13</v>
      </c>
      <c r="L36" s="5" t="s">
        <v>113</v>
      </c>
      <c r="M36" s="242" t="s">
        <v>116</v>
      </c>
      <c r="N36" s="345">
        <v>23</v>
      </c>
      <c r="O36" s="38" t="s">
        <v>113</v>
      </c>
      <c r="P36" s="5" t="s">
        <v>118</v>
      </c>
      <c r="Q36" s="5" t="s">
        <v>119</v>
      </c>
      <c r="R36" s="5" t="s">
        <v>684</v>
      </c>
      <c r="S36" s="479">
        <v>76</v>
      </c>
      <c r="T36" s="5" t="s">
        <v>44</v>
      </c>
      <c r="U36" s="5" t="s">
        <v>42</v>
      </c>
      <c r="V36" s="57" t="s">
        <v>540</v>
      </c>
      <c r="W36" s="51">
        <v>0.1</v>
      </c>
      <c r="X36" s="357">
        <v>0.13</v>
      </c>
      <c r="Z36" s="5" t="s">
        <v>8</v>
      </c>
      <c r="AA36" s="112" t="s">
        <v>11</v>
      </c>
    </row>
    <row r="37" spans="1:29" x14ac:dyDescent="0.25">
      <c r="A37" s="329">
        <v>45885</v>
      </c>
      <c r="B37" s="5">
        <v>1</v>
      </c>
      <c r="D37" s="5" t="s">
        <v>112</v>
      </c>
      <c r="E37" s="6">
        <v>0.21</v>
      </c>
      <c r="G37" s="362">
        <v>0</v>
      </c>
      <c r="H37" s="362">
        <v>3</v>
      </c>
      <c r="I37" s="8">
        <v>2.13</v>
      </c>
      <c r="L37" s="5" t="s">
        <v>113</v>
      </c>
      <c r="M37" s="242" t="s">
        <v>116</v>
      </c>
      <c r="N37" s="345">
        <v>35</v>
      </c>
      <c r="O37" s="38" t="s">
        <v>113</v>
      </c>
      <c r="P37" s="5" t="s">
        <v>120</v>
      </c>
      <c r="Q37" s="5" t="s">
        <v>121</v>
      </c>
      <c r="R37" s="5" t="s">
        <v>686</v>
      </c>
      <c r="S37" s="7">
        <v>98</v>
      </c>
      <c r="T37" s="5" t="s">
        <v>354</v>
      </c>
      <c r="U37" s="5" t="s">
        <v>43</v>
      </c>
      <c r="V37" s="57" t="s">
        <v>15</v>
      </c>
      <c r="W37" s="51">
        <v>0.05</v>
      </c>
      <c r="X37" s="357" t="s">
        <v>53</v>
      </c>
      <c r="Z37" s="5" t="s">
        <v>22</v>
      </c>
      <c r="AA37" s="112" t="s">
        <v>11</v>
      </c>
    </row>
    <row r="38" spans="1:29" x14ac:dyDescent="0.25">
      <c r="A38" s="329">
        <v>45885</v>
      </c>
      <c r="B38" s="5">
        <v>1</v>
      </c>
      <c r="D38" s="5" t="s">
        <v>112</v>
      </c>
      <c r="E38" s="6">
        <v>0.21</v>
      </c>
      <c r="G38" s="362">
        <v>0</v>
      </c>
      <c r="H38" s="362">
        <v>3</v>
      </c>
      <c r="I38" s="8">
        <v>2.13</v>
      </c>
      <c r="L38" s="5" t="s">
        <v>113</v>
      </c>
      <c r="M38" s="242" t="s">
        <v>116</v>
      </c>
      <c r="N38" s="345" t="s">
        <v>122</v>
      </c>
      <c r="O38" s="38" t="s">
        <v>113</v>
      </c>
      <c r="P38" s="5" t="s">
        <v>120</v>
      </c>
      <c r="Q38" s="5" t="s">
        <v>121</v>
      </c>
      <c r="R38" s="5" t="s">
        <v>686</v>
      </c>
      <c r="S38" s="479">
        <v>98</v>
      </c>
      <c r="T38" s="5" t="s">
        <v>354</v>
      </c>
      <c r="U38" s="5" t="s">
        <v>43</v>
      </c>
      <c r="V38" s="57" t="s">
        <v>10</v>
      </c>
      <c r="W38" s="51">
        <v>0.03</v>
      </c>
      <c r="X38" s="357" t="s">
        <v>53</v>
      </c>
      <c r="Z38" s="5" t="s">
        <v>22</v>
      </c>
      <c r="AA38" s="112" t="s">
        <v>11</v>
      </c>
    </row>
    <row r="39" spans="1:29" x14ac:dyDescent="0.25">
      <c r="A39" s="329">
        <v>45885</v>
      </c>
      <c r="B39" s="5">
        <v>1</v>
      </c>
      <c r="D39" s="5" t="s">
        <v>112</v>
      </c>
      <c r="E39" s="6">
        <v>0.21</v>
      </c>
      <c r="G39" s="362">
        <v>0</v>
      </c>
      <c r="H39" s="362">
        <v>3</v>
      </c>
      <c r="I39" s="8">
        <v>2.13</v>
      </c>
      <c r="L39" s="5" t="s">
        <v>113</v>
      </c>
      <c r="M39" s="242" t="s">
        <v>116</v>
      </c>
      <c r="N39" s="476" t="s">
        <v>12</v>
      </c>
      <c r="O39" s="477" t="s">
        <v>112</v>
      </c>
      <c r="P39" s="478" t="s">
        <v>127</v>
      </c>
      <c r="Q39" s="478" t="s">
        <v>21</v>
      </c>
      <c r="R39" s="478" t="s">
        <v>687</v>
      </c>
      <c r="S39" s="479">
        <v>61</v>
      </c>
      <c r="T39" s="478" t="s">
        <v>41</v>
      </c>
      <c r="U39" s="478" t="s">
        <v>45</v>
      </c>
      <c r="V39" s="480" t="s">
        <v>20</v>
      </c>
      <c r="W39" s="51">
        <v>0.03</v>
      </c>
      <c r="X39" s="357" t="s">
        <v>53</v>
      </c>
      <c r="Z39" s="5" t="s">
        <v>55</v>
      </c>
      <c r="AA39" s="112" t="s">
        <v>11</v>
      </c>
    </row>
    <row r="40" spans="1:29" x14ac:dyDescent="0.25">
      <c r="A40" s="329">
        <v>45885</v>
      </c>
      <c r="B40" s="5">
        <v>1</v>
      </c>
      <c r="D40" s="5" t="s">
        <v>112</v>
      </c>
      <c r="E40" s="6">
        <v>0.21</v>
      </c>
      <c r="G40" s="362">
        <v>0</v>
      </c>
      <c r="H40" s="362">
        <v>3</v>
      </c>
      <c r="I40" s="8">
        <v>2.13</v>
      </c>
      <c r="L40" s="5" t="s">
        <v>113</v>
      </c>
      <c r="M40" s="242" t="s">
        <v>116</v>
      </c>
      <c r="N40" s="345" t="s">
        <v>123</v>
      </c>
      <c r="O40" s="38" t="s">
        <v>113</v>
      </c>
      <c r="P40" s="5" t="s">
        <v>120</v>
      </c>
      <c r="Q40" s="5" t="s">
        <v>121</v>
      </c>
      <c r="R40" s="5" t="s">
        <v>686</v>
      </c>
      <c r="S40" s="7">
        <v>98</v>
      </c>
      <c r="T40" s="5" t="s">
        <v>354</v>
      </c>
      <c r="U40" s="5" t="s">
        <v>43</v>
      </c>
      <c r="V40" s="57" t="s">
        <v>540</v>
      </c>
      <c r="W40" s="51">
        <v>0.08</v>
      </c>
      <c r="X40" s="357" t="s">
        <v>53</v>
      </c>
      <c r="Z40" s="5" t="s">
        <v>16</v>
      </c>
      <c r="AA40" s="112" t="s">
        <v>11</v>
      </c>
    </row>
    <row r="41" spans="1:29" x14ac:dyDescent="0.25">
      <c r="A41" s="329">
        <v>45885</v>
      </c>
      <c r="B41" s="5">
        <v>1</v>
      </c>
      <c r="D41" s="5" t="s">
        <v>112</v>
      </c>
      <c r="E41" s="6">
        <v>0.21</v>
      </c>
      <c r="G41" s="362">
        <v>0</v>
      </c>
      <c r="H41" s="362">
        <v>3</v>
      </c>
      <c r="I41" s="8">
        <v>2.13</v>
      </c>
      <c r="L41" s="5" t="s">
        <v>113</v>
      </c>
      <c r="M41" s="242" t="s">
        <v>116</v>
      </c>
      <c r="N41" s="345">
        <v>50</v>
      </c>
      <c r="O41" s="38" t="s">
        <v>113</v>
      </c>
      <c r="P41" s="5" t="s">
        <v>118</v>
      </c>
      <c r="Q41" s="5" t="s">
        <v>119</v>
      </c>
      <c r="R41" s="5" t="s">
        <v>684</v>
      </c>
      <c r="S41" s="7">
        <v>76</v>
      </c>
      <c r="T41" s="5" t="s">
        <v>41</v>
      </c>
      <c r="U41" s="5" t="s">
        <v>42</v>
      </c>
      <c r="V41" s="57" t="s">
        <v>10</v>
      </c>
      <c r="W41" s="51">
        <v>0.33</v>
      </c>
      <c r="X41" s="357" t="s">
        <v>53</v>
      </c>
      <c r="Z41" s="5" t="s">
        <v>52</v>
      </c>
      <c r="AA41" s="112" t="s">
        <v>11</v>
      </c>
    </row>
    <row r="42" spans="1:29" x14ac:dyDescent="0.25">
      <c r="A42" s="329">
        <v>45885</v>
      </c>
      <c r="B42" s="5">
        <v>1</v>
      </c>
      <c r="D42" s="5" t="s">
        <v>112</v>
      </c>
      <c r="E42" s="6">
        <v>0.21</v>
      </c>
      <c r="G42" s="362">
        <v>0</v>
      </c>
      <c r="H42" s="362">
        <v>3</v>
      </c>
      <c r="I42" s="8">
        <v>2.13</v>
      </c>
      <c r="L42" s="5" t="s">
        <v>113</v>
      </c>
      <c r="M42" s="242" t="s">
        <v>116</v>
      </c>
      <c r="N42" s="345">
        <v>58</v>
      </c>
      <c r="O42" s="38" t="s">
        <v>113</v>
      </c>
      <c r="P42" s="5" t="s">
        <v>124</v>
      </c>
      <c r="Q42" s="5" t="s">
        <v>125</v>
      </c>
      <c r="R42" s="5" t="s">
        <v>696</v>
      </c>
      <c r="S42" s="7">
        <v>69</v>
      </c>
      <c r="T42" s="5" t="s">
        <v>41</v>
      </c>
      <c r="U42" s="5" t="s">
        <v>45</v>
      </c>
      <c r="V42" s="57" t="s">
        <v>540</v>
      </c>
      <c r="W42" s="51">
        <v>7.0000000000000007E-2</v>
      </c>
      <c r="X42" s="357">
        <v>0.64</v>
      </c>
      <c r="Z42" s="5" t="s">
        <v>48</v>
      </c>
      <c r="AA42" s="112" t="s">
        <v>11</v>
      </c>
    </row>
    <row r="43" spans="1:29" x14ac:dyDescent="0.25">
      <c r="A43" s="329">
        <v>45885</v>
      </c>
      <c r="B43" s="5">
        <v>1</v>
      </c>
      <c r="D43" s="5" t="s">
        <v>112</v>
      </c>
      <c r="E43" s="6">
        <v>0.21</v>
      </c>
      <c r="G43" s="362">
        <v>0</v>
      </c>
      <c r="H43" s="362">
        <v>3</v>
      </c>
      <c r="I43" s="8">
        <v>2.13</v>
      </c>
      <c r="L43" s="5" t="s">
        <v>113</v>
      </c>
      <c r="M43" s="242" t="s">
        <v>116</v>
      </c>
      <c r="N43" s="345">
        <v>58</v>
      </c>
      <c r="O43" s="38" t="s">
        <v>113</v>
      </c>
      <c r="P43" s="5" t="s">
        <v>53</v>
      </c>
      <c r="Q43" s="5" t="s">
        <v>126</v>
      </c>
      <c r="R43" s="5" t="s">
        <v>687</v>
      </c>
      <c r="S43" s="7">
        <v>77</v>
      </c>
      <c r="T43" s="5" t="s">
        <v>41</v>
      </c>
      <c r="U43" s="5" t="s">
        <v>42</v>
      </c>
      <c r="V43" s="57" t="s">
        <v>10</v>
      </c>
      <c r="W43" s="51">
        <v>0.11</v>
      </c>
      <c r="X43" s="357" t="s">
        <v>53</v>
      </c>
      <c r="Z43" s="5" t="s">
        <v>13</v>
      </c>
      <c r="AA43" s="112" t="s">
        <v>11</v>
      </c>
    </row>
    <row r="44" spans="1:29" x14ac:dyDescent="0.25">
      <c r="A44" s="329">
        <v>45885</v>
      </c>
      <c r="B44" s="5">
        <v>1</v>
      </c>
      <c r="D44" s="5" t="s">
        <v>112</v>
      </c>
      <c r="E44" s="6">
        <v>0.21</v>
      </c>
      <c r="G44" s="362">
        <v>0</v>
      </c>
      <c r="H44" s="362">
        <v>3</v>
      </c>
      <c r="I44" s="8">
        <v>2.13</v>
      </c>
      <c r="L44" s="5" t="s">
        <v>113</v>
      </c>
      <c r="M44" s="242" t="s">
        <v>116</v>
      </c>
      <c r="N44" s="345">
        <v>58</v>
      </c>
      <c r="O44" s="38" t="s">
        <v>113</v>
      </c>
      <c r="P44" s="5" t="s">
        <v>124</v>
      </c>
      <c r="Q44" s="5" t="s">
        <v>125</v>
      </c>
      <c r="R44" s="5" t="s">
        <v>696</v>
      </c>
      <c r="S44" s="7">
        <v>69</v>
      </c>
      <c r="T44" s="5" t="s">
        <v>41</v>
      </c>
      <c r="U44" s="5" t="s">
        <v>43</v>
      </c>
      <c r="V44" s="57" t="s">
        <v>10</v>
      </c>
      <c r="W44" s="51">
        <v>0.12</v>
      </c>
      <c r="X44" s="357" t="s">
        <v>53</v>
      </c>
      <c r="Z44" s="5" t="s">
        <v>52</v>
      </c>
      <c r="AA44" s="112" t="s">
        <v>11</v>
      </c>
    </row>
    <row r="45" spans="1:29" x14ac:dyDescent="0.25">
      <c r="A45" s="329">
        <v>45885</v>
      </c>
      <c r="B45" s="5">
        <v>1</v>
      </c>
      <c r="D45" s="5" t="s">
        <v>112</v>
      </c>
      <c r="E45" s="6">
        <v>0.21</v>
      </c>
      <c r="G45" s="362">
        <v>0</v>
      </c>
      <c r="H45" s="362">
        <v>3</v>
      </c>
      <c r="I45" s="8">
        <v>2.13</v>
      </c>
      <c r="L45" s="5" t="s">
        <v>113</v>
      </c>
      <c r="M45" s="242" t="s">
        <v>116</v>
      </c>
      <c r="N45" s="345">
        <v>59</v>
      </c>
      <c r="O45" s="38" t="s">
        <v>113</v>
      </c>
      <c r="P45" s="5" t="s">
        <v>53</v>
      </c>
      <c r="Q45" s="5" t="s">
        <v>117</v>
      </c>
      <c r="R45" s="5" t="s">
        <v>685</v>
      </c>
      <c r="S45" s="7">
        <v>77</v>
      </c>
      <c r="T45" s="5" t="s">
        <v>41</v>
      </c>
      <c r="U45" s="5" t="s">
        <v>43</v>
      </c>
      <c r="V45" s="57" t="s">
        <v>10</v>
      </c>
      <c r="W45" s="51">
        <v>0.1</v>
      </c>
      <c r="X45" s="357" t="s">
        <v>53</v>
      </c>
      <c r="Z45" s="5" t="s">
        <v>17</v>
      </c>
      <c r="AA45" s="112" t="s">
        <v>11</v>
      </c>
    </row>
    <row r="46" spans="1:29" x14ac:dyDescent="0.25">
      <c r="A46" s="329">
        <v>45885</v>
      </c>
      <c r="B46" s="5">
        <v>1</v>
      </c>
      <c r="D46" s="5" t="s">
        <v>112</v>
      </c>
      <c r="E46" s="6">
        <v>0.21</v>
      </c>
      <c r="G46" s="362">
        <v>0</v>
      </c>
      <c r="H46" s="362">
        <v>3</v>
      </c>
      <c r="I46" s="8">
        <v>2.13</v>
      </c>
      <c r="L46" s="5" t="s">
        <v>113</v>
      </c>
      <c r="M46" s="242" t="s">
        <v>116</v>
      </c>
      <c r="N46" s="345">
        <v>69</v>
      </c>
      <c r="O46" s="38" t="s">
        <v>113</v>
      </c>
      <c r="P46" s="5" t="s">
        <v>124</v>
      </c>
      <c r="Q46" s="5" t="s">
        <v>125</v>
      </c>
      <c r="R46" s="5" t="s">
        <v>696</v>
      </c>
      <c r="S46" s="7">
        <v>69</v>
      </c>
      <c r="T46" s="5" t="s">
        <v>41</v>
      </c>
      <c r="U46" s="5" t="s">
        <v>42</v>
      </c>
      <c r="V46" s="57" t="s">
        <v>10</v>
      </c>
      <c r="W46" s="51">
        <v>0.1</v>
      </c>
      <c r="X46" s="357" t="s">
        <v>53</v>
      </c>
      <c r="Z46" s="5" t="s">
        <v>17</v>
      </c>
      <c r="AA46" s="112" t="s">
        <v>11</v>
      </c>
    </row>
    <row r="47" spans="1:29" x14ac:dyDescent="0.25">
      <c r="A47" s="329">
        <v>45885</v>
      </c>
      <c r="B47" s="5">
        <v>1</v>
      </c>
      <c r="D47" s="5" t="s">
        <v>112</v>
      </c>
      <c r="E47" s="6">
        <v>0.21</v>
      </c>
      <c r="G47" s="362">
        <v>0</v>
      </c>
      <c r="H47" s="362">
        <v>3</v>
      </c>
      <c r="I47" s="8">
        <v>2.13</v>
      </c>
      <c r="L47" s="5" t="s">
        <v>113</v>
      </c>
      <c r="M47" s="242" t="s">
        <v>116</v>
      </c>
      <c r="N47" s="345">
        <v>71</v>
      </c>
      <c r="O47" s="38" t="s">
        <v>113</v>
      </c>
      <c r="P47" s="5" t="s">
        <v>53</v>
      </c>
      <c r="Q47" s="5" t="s">
        <v>117</v>
      </c>
      <c r="R47" s="5" t="s">
        <v>685</v>
      </c>
      <c r="S47" s="479">
        <v>77</v>
      </c>
      <c r="T47" s="5" t="s">
        <v>41</v>
      </c>
      <c r="U47" s="5" t="s">
        <v>43</v>
      </c>
      <c r="V47" s="57" t="s">
        <v>10</v>
      </c>
      <c r="W47" s="51">
        <v>0.06</v>
      </c>
      <c r="X47" s="357" t="s">
        <v>53</v>
      </c>
      <c r="Z47" s="5" t="s">
        <v>16</v>
      </c>
      <c r="AA47" s="112" t="s">
        <v>11</v>
      </c>
    </row>
    <row r="48" spans="1:29" x14ac:dyDescent="0.25">
      <c r="A48" s="329">
        <v>45885</v>
      </c>
      <c r="B48" s="5">
        <v>1</v>
      </c>
      <c r="D48" s="5" t="s">
        <v>112</v>
      </c>
      <c r="E48" s="6">
        <v>0.21</v>
      </c>
      <c r="G48" s="362">
        <v>0</v>
      </c>
      <c r="H48" s="362">
        <v>3</v>
      </c>
      <c r="I48" s="8">
        <v>2.13</v>
      </c>
      <c r="L48" s="5" t="s">
        <v>113</v>
      </c>
      <c r="M48" s="242" t="s">
        <v>116</v>
      </c>
      <c r="N48" s="345">
        <v>88</v>
      </c>
      <c r="O48" s="38" t="s">
        <v>113</v>
      </c>
      <c r="P48" s="5" t="s">
        <v>120</v>
      </c>
      <c r="Q48" s="5" t="s">
        <v>121</v>
      </c>
      <c r="R48" s="5" t="s">
        <v>686</v>
      </c>
      <c r="S48" s="479">
        <v>98</v>
      </c>
      <c r="T48" s="5" t="s">
        <v>354</v>
      </c>
      <c r="U48" s="5" t="s">
        <v>43</v>
      </c>
      <c r="V48" s="57" t="s">
        <v>10</v>
      </c>
      <c r="W48" s="51">
        <v>0.05</v>
      </c>
      <c r="X48" s="357">
        <v>0.25</v>
      </c>
      <c r="Z48" s="5" t="s">
        <v>48</v>
      </c>
      <c r="AA48" s="112" t="s">
        <v>11</v>
      </c>
    </row>
    <row r="49" spans="1:29" ht="15.75" thickBot="1" x14ac:dyDescent="0.3">
      <c r="A49" s="330">
        <v>45885</v>
      </c>
      <c r="B49" s="9">
        <v>1</v>
      </c>
      <c r="C49" s="122"/>
      <c r="D49" s="9" t="s">
        <v>112</v>
      </c>
      <c r="E49" s="10">
        <v>0.21</v>
      </c>
      <c r="F49" s="10"/>
      <c r="G49" s="383">
        <v>0</v>
      </c>
      <c r="H49" s="383">
        <v>3</v>
      </c>
      <c r="I49" s="12">
        <v>2.13</v>
      </c>
      <c r="J49" s="12"/>
      <c r="K49" s="122"/>
      <c r="L49" s="9" t="s">
        <v>113</v>
      </c>
      <c r="M49" s="445" t="s">
        <v>116</v>
      </c>
      <c r="N49" s="346" t="s">
        <v>36</v>
      </c>
      <c r="O49" s="454" t="s">
        <v>113</v>
      </c>
      <c r="P49" s="9" t="s">
        <v>120</v>
      </c>
      <c r="Q49" s="9" t="s">
        <v>121</v>
      </c>
      <c r="R49" s="9" t="s">
        <v>686</v>
      </c>
      <c r="S49" s="481">
        <v>98</v>
      </c>
      <c r="T49" s="9" t="s">
        <v>44</v>
      </c>
      <c r="U49" s="9" t="s">
        <v>43</v>
      </c>
      <c r="V49" s="58" t="s">
        <v>10</v>
      </c>
      <c r="W49" s="52">
        <v>0.13</v>
      </c>
      <c r="X49" s="358">
        <v>0.4</v>
      </c>
      <c r="Y49" s="352"/>
      <c r="Z49" s="9" t="s">
        <v>8</v>
      </c>
      <c r="AA49" s="113" t="s">
        <v>14</v>
      </c>
      <c r="AB49" s="109" t="s">
        <v>53</v>
      </c>
      <c r="AC49" s="58" t="s">
        <v>651</v>
      </c>
    </row>
    <row r="50" spans="1:29" ht="15.75" thickBot="1" x14ac:dyDescent="0.3">
      <c r="A50" s="326">
        <v>45885</v>
      </c>
      <c r="B50" s="207">
        <v>1</v>
      </c>
      <c r="C50" s="208"/>
      <c r="D50" s="207" t="s">
        <v>112</v>
      </c>
      <c r="E50" s="209">
        <v>0.21</v>
      </c>
      <c r="F50" s="209"/>
      <c r="G50" s="460">
        <v>0</v>
      </c>
      <c r="H50" s="460">
        <v>3</v>
      </c>
      <c r="I50" s="211">
        <v>2.13</v>
      </c>
      <c r="J50" s="211"/>
      <c r="K50" s="208"/>
      <c r="L50" s="207" t="s">
        <v>113</v>
      </c>
      <c r="M50" s="197"/>
      <c r="N50" s="347"/>
      <c r="O50" s="343" t="s">
        <v>112</v>
      </c>
      <c r="P50" s="199" t="s">
        <v>60</v>
      </c>
      <c r="Q50" s="199" t="s">
        <v>464</v>
      </c>
      <c r="R50" s="199" t="s">
        <v>707</v>
      </c>
      <c r="S50" s="481">
        <v>63</v>
      </c>
      <c r="T50" s="199"/>
      <c r="U50" s="199"/>
      <c r="V50" s="201"/>
      <c r="W50" s="202"/>
      <c r="X50" s="359"/>
      <c r="Y50" s="353">
        <f>H50</f>
        <v>3</v>
      </c>
      <c r="Z50" s="199"/>
      <c r="AA50" s="204"/>
      <c r="AB50" s="205"/>
      <c r="AC50" s="201"/>
    </row>
    <row r="51" spans="1:29" ht="15.75" thickBot="1" x14ac:dyDescent="0.3">
      <c r="A51" s="326">
        <v>45885</v>
      </c>
      <c r="B51" s="207">
        <v>1</v>
      </c>
      <c r="C51" s="208"/>
      <c r="D51" s="207" t="s">
        <v>112</v>
      </c>
      <c r="E51" s="209">
        <v>0.21</v>
      </c>
      <c r="F51" s="209"/>
      <c r="G51" s="460">
        <v>0</v>
      </c>
      <c r="H51" s="460">
        <v>3</v>
      </c>
      <c r="I51" s="211">
        <v>2.13</v>
      </c>
      <c r="J51" s="211"/>
      <c r="K51" s="208"/>
      <c r="L51" s="207" t="s">
        <v>113</v>
      </c>
      <c r="M51" s="197"/>
      <c r="N51" s="347"/>
      <c r="O51" s="343" t="s">
        <v>113</v>
      </c>
      <c r="P51" s="199" t="s">
        <v>475</v>
      </c>
      <c r="Q51" s="199" t="s">
        <v>75</v>
      </c>
      <c r="R51" s="199" t="s">
        <v>707</v>
      </c>
      <c r="S51" s="7">
        <v>72</v>
      </c>
      <c r="T51" s="199"/>
      <c r="U51" s="199"/>
      <c r="V51" s="201"/>
      <c r="W51" s="202"/>
      <c r="X51" s="359"/>
      <c r="Y51" s="353">
        <f>G50</f>
        <v>0</v>
      </c>
      <c r="Z51" s="199"/>
      <c r="AA51" s="204"/>
      <c r="AB51" s="205"/>
      <c r="AC51" s="201"/>
    </row>
    <row r="52" spans="1:29" x14ac:dyDescent="0.25">
      <c r="A52" s="328">
        <v>45885</v>
      </c>
      <c r="B52" s="17">
        <v>1</v>
      </c>
      <c r="C52" s="123" t="s">
        <v>697</v>
      </c>
      <c r="D52" s="17" t="s">
        <v>128</v>
      </c>
      <c r="E52" s="18">
        <v>1.29</v>
      </c>
      <c r="F52" s="18"/>
      <c r="G52" s="461">
        <v>2</v>
      </c>
      <c r="H52" s="461">
        <v>1</v>
      </c>
      <c r="I52" s="20">
        <v>0.87</v>
      </c>
      <c r="J52" s="20"/>
      <c r="K52" s="123" t="s">
        <v>698</v>
      </c>
      <c r="L52" s="17" t="s">
        <v>129</v>
      </c>
      <c r="M52" s="46"/>
      <c r="N52" s="515">
        <v>26</v>
      </c>
      <c r="O52" s="516" t="s">
        <v>128</v>
      </c>
      <c r="P52" s="517" t="s">
        <v>130</v>
      </c>
      <c r="Q52" s="517" t="s">
        <v>131</v>
      </c>
      <c r="R52" s="517" t="s">
        <v>684</v>
      </c>
      <c r="S52" s="479">
        <v>79</v>
      </c>
      <c r="T52" s="517" t="s">
        <v>41</v>
      </c>
      <c r="U52" s="517" t="s">
        <v>45</v>
      </c>
      <c r="V52" s="518" t="s">
        <v>33</v>
      </c>
      <c r="W52" s="53">
        <v>0.11</v>
      </c>
      <c r="X52" s="360" t="s">
        <v>53</v>
      </c>
      <c r="Y52" s="354"/>
      <c r="Z52" s="17" t="s">
        <v>13</v>
      </c>
      <c r="AA52" s="114" t="s">
        <v>28</v>
      </c>
      <c r="AB52" s="110"/>
      <c r="AC52" s="60"/>
    </row>
    <row r="53" spans="1:29" x14ac:dyDescent="0.25">
      <c r="A53" s="331">
        <v>45885</v>
      </c>
      <c r="B53" s="13">
        <v>1</v>
      </c>
      <c r="C53" s="124"/>
      <c r="D53" s="13" t="s">
        <v>128</v>
      </c>
      <c r="E53" s="14">
        <v>1.29</v>
      </c>
      <c r="F53" s="14"/>
      <c r="G53" s="375">
        <v>2</v>
      </c>
      <c r="H53" s="375">
        <v>1</v>
      </c>
      <c r="I53" s="16">
        <v>0.87</v>
      </c>
      <c r="J53" s="16"/>
      <c r="K53" s="124"/>
      <c r="L53" s="13" t="s">
        <v>129</v>
      </c>
      <c r="N53" s="519">
        <v>36</v>
      </c>
      <c r="O53" s="520" t="s">
        <v>128</v>
      </c>
      <c r="P53" s="506" t="s">
        <v>130</v>
      </c>
      <c r="Q53" s="506" t="s">
        <v>131</v>
      </c>
      <c r="R53" s="506" t="s">
        <v>684</v>
      </c>
      <c r="S53" s="479">
        <v>79</v>
      </c>
      <c r="T53" s="506" t="s">
        <v>47</v>
      </c>
      <c r="U53" s="506" t="s">
        <v>45</v>
      </c>
      <c r="V53" s="521" t="s">
        <v>20</v>
      </c>
      <c r="W53" s="51">
        <v>0.25</v>
      </c>
      <c r="X53" s="357">
        <v>0.91</v>
      </c>
      <c r="Y53" s="351" t="s">
        <v>353</v>
      </c>
      <c r="Z53" s="5" t="s">
        <v>8</v>
      </c>
      <c r="AA53" s="112" t="s">
        <v>19</v>
      </c>
      <c r="AB53" s="108" t="s">
        <v>518</v>
      </c>
      <c r="AC53" s="57" t="s">
        <v>519</v>
      </c>
    </row>
    <row r="54" spans="1:29" x14ac:dyDescent="0.25">
      <c r="A54" s="331">
        <v>45885</v>
      </c>
      <c r="B54" s="13">
        <v>1</v>
      </c>
      <c r="C54" s="124"/>
      <c r="D54" s="13" t="s">
        <v>128</v>
      </c>
      <c r="E54" s="14">
        <v>1.29</v>
      </c>
      <c r="F54" s="14"/>
      <c r="G54" s="375">
        <v>2</v>
      </c>
      <c r="H54" s="375">
        <v>1</v>
      </c>
      <c r="I54" s="16">
        <v>0.87</v>
      </c>
      <c r="J54" s="16"/>
      <c r="K54" s="124"/>
      <c r="L54" s="13" t="s">
        <v>129</v>
      </c>
      <c r="N54" s="519">
        <v>43</v>
      </c>
      <c r="O54" s="520" t="s">
        <v>128</v>
      </c>
      <c r="P54" s="506" t="s">
        <v>46</v>
      </c>
      <c r="Q54" s="506" t="s">
        <v>132</v>
      </c>
      <c r="R54" s="506" t="s">
        <v>686</v>
      </c>
      <c r="S54" s="479">
        <v>66</v>
      </c>
      <c r="T54" s="506" t="s">
        <v>41</v>
      </c>
      <c r="U54" s="506" t="s">
        <v>43</v>
      </c>
      <c r="V54" s="521" t="s">
        <v>10</v>
      </c>
      <c r="W54" s="51">
        <v>7.0000000000000007E-2</v>
      </c>
      <c r="X54" s="357" t="s">
        <v>53</v>
      </c>
      <c r="Z54" s="5" t="s">
        <v>16</v>
      </c>
      <c r="AA54" s="112" t="s">
        <v>19</v>
      </c>
    </row>
    <row r="55" spans="1:29" x14ac:dyDescent="0.25">
      <c r="A55" s="331">
        <v>45885</v>
      </c>
      <c r="B55" s="13">
        <v>1</v>
      </c>
      <c r="C55" s="124"/>
      <c r="D55" s="13" t="s">
        <v>128</v>
      </c>
      <c r="E55" s="14">
        <v>1.29</v>
      </c>
      <c r="F55" s="14"/>
      <c r="G55" s="375">
        <v>2</v>
      </c>
      <c r="H55" s="375">
        <v>1</v>
      </c>
      <c r="I55" s="16">
        <v>0.87</v>
      </c>
      <c r="J55" s="16"/>
      <c r="K55" s="124"/>
      <c r="L55" s="13" t="s">
        <v>129</v>
      </c>
      <c r="N55" s="519">
        <v>50</v>
      </c>
      <c r="O55" s="520" t="s">
        <v>128</v>
      </c>
      <c r="P55" s="506" t="s">
        <v>133</v>
      </c>
      <c r="Q55" s="506" t="s">
        <v>134</v>
      </c>
      <c r="R55" s="506" t="s">
        <v>713</v>
      </c>
      <c r="S55" s="479">
        <v>67</v>
      </c>
      <c r="T55" s="506" t="s">
        <v>41</v>
      </c>
      <c r="U55" s="506" t="s">
        <v>45</v>
      </c>
      <c r="V55" s="521" t="s">
        <v>20</v>
      </c>
      <c r="W55" s="51">
        <v>0.01</v>
      </c>
      <c r="X55" s="357" t="s">
        <v>53</v>
      </c>
      <c r="Z55" s="5" t="s">
        <v>16</v>
      </c>
      <c r="AA55" s="112" t="s">
        <v>19</v>
      </c>
    </row>
    <row r="56" spans="1:29" x14ac:dyDescent="0.25">
      <c r="A56" s="331">
        <v>45885</v>
      </c>
      <c r="B56" s="13">
        <v>1</v>
      </c>
      <c r="C56" s="124"/>
      <c r="D56" s="13" t="s">
        <v>128</v>
      </c>
      <c r="E56" s="14">
        <v>1.29</v>
      </c>
      <c r="F56" s="14"/>
      <c r="G56" s="375">
        <v>2</v>
      </c>
      <c r="H56" s="375">
        <v>1</v>
      </c>
      <c r="I56" s="16">
        <v>0.87</v>
      </c>
      <c r="J56" s="16"/>
      <c r="K56" s="124"/>
      <c r="L56" s="13" t="s">
        <v>129</v>
      </c>
      <c r="N56" s="345">
        <v>68</v>
      </c>
      <c r="O56" s="457" t="s">
        <v>129</v>
      </c>
      <c r="P56" s="453" t="s">
        <v>141</v>
      </c>
      <c r="Q56" s="453" t="s">
        <v>142</v>
      </c>
      <c r="R56" s="453" t="s">
        <v>685</v>
      </c>
      <c r="S56" s="7">
        <v>64</v>
      </c>
      <c r="T56" s="5" t="s">
        <v>41</v>
      </c>
      <c r="U56" s="5" t="s">
        <v>43</v>
      </c>
      <c r="V56" s="57" t="s">
        <v>540</v>
      </c>
      <c r="W56" s="51">
        <v>0.06</v>
      </c>
      <c r="X56" s="357">
        <v>0.35399999999999998</v>
      </c>
      <c r="Z56" s="5" t="s">
        <v>48</v>
      </c>
      <c r="AA56" s="112" t="s">
        <v>19</v>
      </c>
    </row>
    <row r="57" spans="1:29" x14ac:dyDescent="0.25">
      <c r="A57" s="331">
        <v>45885</v>
      </c>
      <c r="B57" s="13">
        <v>1</v>
      </c>
      <c r="C57" s="124"/>
      <c r="D57" s="13" t="s">
        <v>128</v>
      </c>
      <c r="E57" s="14">
        <v>1.29</v>
      </c>
      <c r="F57" s="14"/>
      <c r="G57" s="375">
        <v>2</v>
      </c>
      <c r="H57" s="375">
        <v>1</v>
      </c>
      <c r="I57" s="16">
        <v>0.87</v>
      </c>
      <c r="J57" s="16"/>
      <c r="K57" s="124"/>
      <c r="L57" s="13" t="s">
        <v>129</v>
      </c>
      <c r="N57" s="345">
        <v>68</v>
      </c>
      <c r="O57" s="457" t="s">
        <v>129</v>
      </c>
      <c r="P57" s="453" t="s">
        <v>143</v>
      </c>
      <c r="Q57" s="453" t="s">
        <v>144</v>
      </c>
      <c r="R57" s="453" t="s">
        <v>689</v>
      </c>
      <c r="S57" s="479">
        <v>66</v>
      </c>
      <c r="T57" s="5" t="s">
        <v>47</v>
      </c>
      <c r="U57" s="5" t="s">
        <v>42</v>
      </c>
      <c r="V57" s="57" t="s">
        <v>540</v>
      </c>
      <c r="W57" s="51">
        <v>0.7</v>
      </c>
      <c r="X57" s="357">
        <v>0.96</v>
      </c>
      <c r="Y57" s="351" t="s">
        <v>353</v>
      </c>
      <c r="Z57" s="5" t="s">
        <v>8</v>
      </c>
      <c r="AA57" s="112" t="s">
        <v>51</v>
      </c>
    </row>
    <row r="58" spans="1:29" x14ac:dyDescent="0.25">
      <c r="A58" s="331">
        <v>45885</v>
      </c>
      <c r="B58" s="13">
        <v>1</v>
      </c>
      <c r="C58" s="124"/>
      <c r="D58" s="13" t="s">
        <v>128</v>
      </c>
      <c r="E58" s="14">
        <v>1.29</v>
      </c>
      <c r="F58" s="14"/>
      <c r="G58" s="375">
        <v>2</v>
      </c>
      <c r="H58" s="375">
        <v>1</v>
      </c>
      <c r="I58" s="16">
        <v>0.87</v>
      </c>
      <c r="J58" s="16"/>
      <c r="K58" s="124"/>
      <c r="L58" s="13" t="s">
        <v>129</v>
      </c>
      <c r="N58" s="519">
        <v>70</v>
      </c>
      <c r="O58" s="520" t="s">
        <v>128</v>
      </c>
      <c r="P58" s="506" t="s">
        <v>130</v>
      </c>
      <c r="Q58" s="506" t="s">
        <v>131</v>
      </c>
      <c r="R58" s="506" t="s">
        <v>684</v>
      </c>
      <c r="S58" s="479">
        <v>79</v>
      </c>
      <c r="T58" s="506" t="s">
        <v>41</v>
      </c>
      <c r="U58" s="506" t="s">
        <v>42</v>
      </c>
      <c r="V58" s="521" t="s">
        <v>18</v>
      </c>
      <c r="W58" s="51">
        <v>0.15</v>
      </c>
      <c r="X58" s="357" t="s">
        <v>53</v>
      </c>
      <c r="Z58" s="5" t="s">
        <v>52</v>
      </c>
      <c r="AA58" s="112" t="s">
        <v>51</v>
      </c>
    </row>
    <row r="59" spans="1:29" x14ac:dyDescent="0.25">
      <c r="A59" s="331">
        <v>45885</v>
      </c>
      <c r="B59" s="13">
        <v>1</v>
      </c>
      <c r="C59" s="124"/>
      <c r="D59" s="13" t="s">
        <v>128</v>
      </c>
      <c r="E59" s="14">
        <v>1.29</v>
      </c>
      <c r="F59" s="14"/>
      <c r="G59" s="375">
        <v>2</v>
      </c>
      <c r="H59" s="375">
        <v>1</v>
      </c>
      <c r="I59" s="16">
        <v>0.87</v>
      </c>
      <c r="J59" s="16"/>
      <c r="K59" s="124"/>
      <c r="L59" s="13" t="s">
        <v>129</v>
      </c>
      <c r="N59" s="519">
        <v>71</v>
      </c>
      <c r="O59" s="520" t="s">
        <v>128</v>
      </c>
      <c r="P59" s="506" t="s">
        <v>135</v>
      </c>
      <c r="Q59" s="506" t="s">
        <v>136</v>
      </c>
      <c r="R59" s="506" t="s">
        <v>695</v>
      </c>
      <c r="S59" s="479">
        <v>62</v>
      </c>
      <c r="T59" s="506" t="s">
        <v>41</v>
      </c>
      <c r="U59" s="506" t="s">
        <v>43</v>
      </c>
      <c r="V59" s="521" t="s">
        <v>18</v>
      </c>
      <c r="W59" s="51">
        <v>0.17</v>
      </c>
      <c r="X59" s="357" t="s">
        <v>53</v>
      </c>
      <c r="Z59" s="5" t="s">
        <v>52</v>
      </c>
      <c r="AA59" s="112" t="s">
        <v>51</v>
      </c>
    </row>
    <row r="60" spans="1:29" x14ac:dyDescent="0.25">
      <c r="A60" s="331">
        <v>45885</v>
      </c>
      <c r="B60" s="13">
        <v>1</v>
      </c>
      <c r="C60" s="124"/>
      <c r="D60" s="13" t="s">
        <v>128</v>
      </c>
      <c r="E60" s="14">
        <v>1.29</v>
      </c>
      <c r="F60" s="14"/>
      <c r="G60" s="375">
        <v>2</v>
      </c>
      <c r="H60" s="375">
        <v>1</v>
      </c>
      <c r="I60" s="16">
        <v>0.87</v>
      </c>
      <c r="J60" s="16"/>
      <c r="K60" s="124"/>
      <c r="L60" s="13" t="s">
        <v>129</v>
      </c>
      <c r="N60" s="519">
        <v>81</v>
      </c>
      <c r="O60" s="520" t="s">
        <v>128</v>
      </c>
      <c r="P60" s="506" t="s">
        <v>137</v>
      </c>
      <c r="Q60" s="506" t="s">
        <v>138</v>
      </c>
      <c r="R60" s="506" t="s">
        <v>696</v>
      </c>
      <c r="S60" s="479">
        <v>63</v>
      </c>
      <c r="T60" s="506" t="s">
        <v>41</v>
      </c>
      <c r="U60" s="506" t="s">
        <v>42</v>
      </c>
      <c r="V60" s="521" t="s">
        <v>10</v>
      </c>
      <c r="W60" s="51">
        <v>0.08</v>
      </c>
      <c r="X60" s="357">
        <v>0.32</v>
      </c>
      <c r="Z60" s="5" t="s">
        <v>48</v>
      </c>
      <c r="AA60" s="112" t="s">
        <v>51</v>
      </c>
    </row>
    <row r="61" spans="1:29" ht="15.75" thickBot="1" x14ac:dyDescent="0.3">
      <c r="A61" s="336">
        <v>45885</v>
      </c>
      <c r="B61" s="21">
        <v>1</v>
      </c>
      <c r="C61" s="125"/>
      <c r="D61" s="21" t="s">
        <v>128</v>
      </c>
      <c r="E61" s="22">
        <v>1.29</v>
      </c>
      <c r="F61" s="22"/>
      <c r="G61" s="462">
        <v>2</v>
      </c>
      <c r="H61" s="462">
        <v>1</v>
      </c>
      <c r="I61" s="23">
        <v>0.87</v>
      </c>
      <c r="J61" s="23"/>
      <c r="K61" s="125"/>
      <c r="L61" s="21" t="s">
        <v>129</v>
      </c>
      <c r="M61" s="45"/>
      <c r="N61" s="522" t="s">
        <v>35</v>
      </c>
      <c r="O61" s="523" t="s">
        <v>128</v>
      </c>
      <c r="P61" s="524" t="s">
        <v>139</v>
      </c>
      <c r="Q61" s="524" t="s">
        <v>140</v>
      </c>
      <c r="R61" s="524" t="s">
        <v>712</v>
      </c>
      <c r="S61" s="479">
        <v>76</v>
      </c>
      <c r="T61" s="524" t="s">
        <v>47</v>
      </c>
      <c r="U61" s="524" t="s">
        <v>43</v>
      </c>
      <c r="V61" s="525" t="s">
        <v>33</v>
      </c>
      <c r="W61" s="52">
        <v>0.23</v>
      </c>
      <c r="X61" s="358">
        <v>0.93</v>
      </c>
      <c r="Y61" s="352" t="s">
        <v>353</v>
      </c>
      <c r="Z61" s="9" t="s">
        <v>8</v>
      </c>
      <c r="AA61" s="113" t="s">
        <v>34</v>
      </c>
      <c r="AB61" s="109"/>
      <c r="AC61" s="58"/>
    </row>
    <row r="62" spans="1:29" ht="15.75" thickBot="1" x14ac:dyDescent="0.3">
      <c r="A62" s="334">
        <v>45885</v>
      </c>
      <c r="B62" s="192">
        <v>1</v>
      </c>
      <c r="C62" s="193"/>
      <c r="D62" s="192" t="s">
        <v>128</v>
      </c>
      <c r="E62" s="194">
        <v>1.29</v>
      </c>
      <c r="F62" s="194"/>
      <c r="G62" s="463">
        <v>2</v>
      </c>
      <c r="H62" s="463">
        <v>1</v>
      </c>
      <c r="I62" s="196">
        <v>0.87</v>
      </c>
      <c r="J62" s="196"/>
      <c r="K62" s="193"/>
      <c r="L62" s="192" t="s">
        <v>129</v>
      </c>
      <c r="M62" s="197"/>
      <c r="N62" s="347"/>
      <c r="O62" s="343" t="s">
        <v>128</v>
      </c>
      <c r="P62" s="199" t="s">
        <v>127</v>
      </c>
      <c r="Q62" s="199" t="s">
        <v>476</v>
      </c>
      <c r="R62" s="199" t="s">
        <v>707</v>
      </c>
      <c r="S62" s="479">
        <v>65</v>
      </c>
      <c r="T62" s="199"/>
      <c r="U62" s="199"/>
      <c r="V62" s="201"/>
      <c r="W62" s="202"/>
      <c r="X62" s="359"/>
      <c r="Y62" s="353">
        <f>H62</f>
        <v>1</v>
      </c>
      <c r="Z62" s="199"/>
      <c r="AA62" s="204"/>
      <c r="AB62" s="205"/>
      <c r="AC62" s="201"/>
    </row>
    <row r="63" spans="1:29" ht="15.75" thickBot="1" x14ac:dyDescent="0.3">
      <c r="A63" s="334">
        <v>45885</v>
      </c>
      <c r="B63" s="192">
        <v>1</v>
      </c>
      <c r="C63" s="193"/>
      <c r="D63" s="192" t="s">
        <v>128</v>
      </c>
      <c r="E63" s="194">
        <v>1.29</v>
      </c>
      <c r="F63" s="194"/>
      <c r="G63" s="463">
        <v>2</v>
      </c>
      <c r="H63" s="463">
        <v>1</v>
      </c>
      <c r="I63" s="196">
        <v>0.87</v>
      </c>
      <c r="J63" s="196"/>
      <c r="K63" s="193"/>
      <c r="L63" s="192" t="s">
        <v>129</v>
      </c>
      <c r="M63" s="197"/>
      <c r="N63" s="347"/>
      <c r="O63" s="343" t="s">
        <v>129</v>
      </c>
      <c r="P63" s="199" t="s">
        <v>241</v>
      </c>
      <c r="Q63" s="199" t="s">
        <v>716</v>
      </c>
      <c r="R63" s="199" t="s">
        <v>707</v>
      </c>
      <c r="S63" s="7">
        <v>67</v>
      </c>
      <c r="T63" s="199"/>
      <c r="U63" s="199"/>
      <c r="V63" s="201"/>
      <c r="W63" s="202"/>
      <c r="X63" s="359"/>
      <c r="Y63" s="353">
        <f>G62</f>
        <v>2</v>
      </c>
      <c r="Z63" s="199"/>
      <c r="AA63" s="204"/>
      <c r="AB63" s="205"/>
      <c r="AC63" s="201"/>
    </row>
    <row r="64" spans="1:29" x14ac:dyDescent="0.25">
      <c r="A64" s="328">
        <v>45885</v>
      </c>
      <c r="B64" s="17">
        <v>1</v>
      </c>
      <c r="C64" s="123" t="s">
        <v>694</v>
      </c>
      <c r="D64" s="17" t="s">
        <v>145</v>
      </c>
      <c r="E64" s="18">
        <v>2.04</v>
      </c>
      <c r="F64" s="18"/>
      <c r="G64" s="461">
        <v>1</v>
      </c>
      <c r="H64" s="461">
        <v>1</v>
      </c>
      <c r="I64" s="20">
        <v>0.81</v>
      </c>
      <c r="J64" s="20"/>
      <c r="K64" s="123" t="s">
        <v>693</v>
      </c>
      <c r="L64" s="17" t="s">
        <v>146</v>
      </c>
      <c r="M64" s="46"/>
      <c r="N64" s="348">
        <v>12</v>
      </c>
      <c r="O64" s="456" t="s">
        <v>146</v>
      </c>
      <c r="P64" s="17" t="s">
        <v>153</v>
      </c>
      <c r="Q64" s="17" t="s">
        <v>154</v>
      </c>
      <c r="R64" s="17" t="s">
        <v>699</v>
      </c>
      <c r="S64" s="479">
        <v>66</v>
      </c>
      <c r="T64" s="17" t="s">
        <v>354</v>
      </c>
      <c r="U64" s="17" t="s">
        <v>43</v>
      </c>
      <c r="V64" s="59" t="s">
        <v>10</v>
      </c>
      <c r="W64" s="53">
        <v>0.03</v>
      </c>
      <c r="X64" s="360">
        <v>0.31</v>
      </c>
      <c r="Y64" s="354"/>
      <c r="Z64" s="17" t="s">
        <v>48</v>
      </c>
      <c r="AA64" s="114" t="s">
        <v>28</v>
      </c>
      <c r="AB64" s="110"/>
      <c r="AC64" s="60"/>
    </row>
    <row r="65" spans="1:29" x14ac:dyDescent="0.25">
      <c r="A65" s="329">
        <v>45885</v>
      </c>
      <c r="B65" s="5">
        <v>1</v>
      </c>
      <c r="D65" s="5" t="s">
        <v>145</v>
      </c>
      <c r="E65" s="6">
        <v>2.04</v>
      </c>
      <c r="G65" s="362">
        <v>1</v>
      </c>
      <c r="H65" s="362">
        <v>1</v>
      </c>
      <c r="I65" s="8">
        <v>0.81</v>
      </c>
      <c r="L65" s="5" t="s">
        <v>146</v>
      </c>
      <c r="N65" s="476">
        <v>19</v>
      </c>
      <c r="O65" s="477" t="s">
        <v>145</v>
      </c>
      <c r="P65" s="478" t="s">
        <v>147</v>
      </c>
      <c r="Q65" s="478" t="s">
        <v>148</v>
      </c>
      <c r="R65" s="478" t="s">
        <v>717</v>
      </c>
      <c r="S65" s="479">
        <v>65</v>
      </c>
      <c r="T65" s="478" t="s">
        <v>41</v>
      </c>
      <c r="U65" s="478" t="s">
        <v>43</v>
      </c>
      <c r="V65" s="480" t="s">
        <v>10</v>
      </c>
      <c r="W65" s="51">
        <v>0.14000000000000001</v>
      </c>
      <c r="X65" s="357" t="s">
        <v>53</v>
      </c>
      <c r="Z65" s="5" t="s">
        <v>13</v>
      </c>
      <c r="AA65" s="112" t="s">
        <v>28</v>
      </c>
    </row>
    <row r="66" spans="1:29" x14ac:dyDescent="0.25">
      <c r="A66" s="329">
        <v>45885</v>
      </c>
      <c r="B66" s="5">
        <v>1</v>
      </c>
      <c r="D66" s="5" t="s">
        <v>145</v>
      </c>
      <c r="E66" s="6">
        <v>2.04</v>
      </c>
      <c r="G66" s="362">
        <v>1</v>
      </c>
      <c r="H66" s="362">
        <v>1</v>
      </c>
      <c r="I66" s="8">
        <v>0.81</v>
      </c>
      <c r="L66" s="5" t="s">
        <v>146</v>
      </c>
      <c r="N66" s="345">
        <v>50</v>
      </c>
      <c r="O66" s="38" t="s">
        <v>146</v>
      </c>
      <c r="P66" s="5" t="s">
        <v>155</v>
      </c>
      <c r="Q66" s="5" t="s">
        <v>156</v>
      </c>
      <c r="R66" s="5" t="s">
        <v>686</v>
      </c>
      <c r="S66" s="479">
        <v>71</v>
      </c>
      <c r="T66" s="5" t="s">
        <v>354</v>
      </c>
      <c r="U66" s="5" t="s">
        <v>43</v>
      </c>
      <c r="V66" s="57" t="s">
        <v>15</v>
      </c>
      <c r="W66" s="51">
        <v>0.14000000000000001</v>
      </c>
      <c r="X66" s="357" t="s">
        <v>53</v>
      </c>
      <c r="Z66" s="5" t="s">
        <v>13</v>
      </c>
      <c r="AA66" s="112" t="s">
        <v>28</v>
      </c>
    </row>
    <row r="67" spans="1:29" x14ac:dyDescent="0.25">
      <c r="A67" s="329">
        <v>45885</v>
      </c>
      <c r="B67" s="5">
        <v>1</v>
      </c>
      <c r="D67" s="5" t="s">
        <v>145</v>
      </c>
      <c r="E67" s="6">
        <v>2.04</v>
      </c>
      <c r="G67" s="362">
        <v>1</v>
      </c>
      <c r="H67" s="362">
        <v>1</v>
      </c>
      <c r="I67" s="8">
        <v>0.81</v>
      </c>
      <c r="L67" s="5" t="s">
        <v>146</v>
      </c>
      <c r="N67" s="476">
        <v>57</v>
      </c>
      <c r="O67" s="477" t="s">
        <v>145</v>
      </c>
      <c r="P67" s="478" t="s">
        <v>149</v>
      </c>
      <c r="Q67" s="478" t="s">
        <v>150</v>
      </c>
      <c r="R67" s="478" t="s">
        <v>685</v>
      </c>
      <c r="S67" s="479">
        <v>67</v>
      </c>
      <c r="T67" s="478" t="s">
        <v>41</v>
      </c>
      <c r="U67" s="478" t="s">
        <v>42</v>
      </c>
      <c r="V67" s="480" t="s">
        <v>10</v>
      </c>
      <c r="W67" s="51">
        <v>0.38</v>
      </c>
      <c r="X67" s="357">
        <v>0.49</v>
      </c>
      <c r="Y67" s="351" t="s">
        <v>353</v>
      </c>
      <c r="Z67" s="5" t="s">
        <v>8</v>
      </c>
      <c r="AA67" s="112" t="s">
        <v>19</v>
      </c>
      <c r="AB67" s="108" t="s">
        <v>124</v>
      </c>
      <c r="AC67" s="57" t="s">
        <v>652</v>
      </c>
    </row>
    <row r="68" spans="1:29" x14ac:dyDescent="0.25">
      <c r="A68" s="329">
        <v>45885</v>
      </c>
      <c r="B68" s="5">
        <v>1</v>
      </c>
      <c r="D68" s="5" t="s">
        <v>145</v>
      </c>
      <c r="E68" s="6">
        <v>2.04</v>
      </c>
      <c r="G68" s="362">
        <v>1</v>
      </c>
      <c r="H68" s="362">
        <v>1</v>
      </c>
      <c r="I68" s="8">
        <v>0.81</v>
      </c>
      <c r="L68" s="5" t="s">
        <v>146</v>
      </c>
      <c r="N68" s="345">
        <v>60</v>
      </c>
      <c r="O68" s="38" t="s">
        <v>146</v>
      </c>
      <c r="P68" s="5" t="s">
        <v>155</v>
      </c>
      <c r="Q68" s="5" t="s">
        <v>156</v>
      </c>
      <c r="R68" s="5" t="s">
        <v>686</v>
      </c>
      <c r="S68" s="7">
        <v>71</v>
      </c>
      <c r="T68" s="5" t="s">
        <v>44</v>
      </c>
      <c r="U68" s="5" t="s">
        <v>43</v>
      </c>
      <c r="V68" s="57" t="s">
        <v>10</v>
      </c>
      <c r="W68" s="51">
        <v>0.04</v>
      </c>
      <c r="X68" s="357">
        <v>0.13</v>
      </c>
      <c r="Z68" s="5" t="s">
        <v>8</v>
      </c>
      <c r="AA68" s="112" t="s">
        <v>51</v>
      </c>
      <c r="AB68" s="108" t="s">
        <v>153</v>
      </c>
      <c r="AC68" s="57" t="s">
        <v>154</v>
      </c>
    </row>
    <row r="69" spans="1:29" x14ac:dyDescent="0.25">
      <c r="A69" s="329">
        <v>45885</v>
      </c>
      <c r="B69" s="5">
        <v>1</v>
      </c>
      <c r="D69" s="5" t="s">
        <v>145</v>
      </c>
      <c r="E69" s="6">
        <v>2.04</v>
      </c>
      <c r="G69" s="362">
        <v>1</v>
      </c>
      <c r="H69" s="362">
        <v>1</v>
      </c>
      <c r="I69" s="8">
        <v>0.81</v>
      </c>
      <c r="L69" s="5" t="s">
        <v>146</v>
      </c>
      <c r="N69" s="476">
        <v>64</v>
      </c>
      <c r="O69" s="477" t="s">
        <v>145</v>
      </c>
      <c r="P69" s="478" t="s">
        <v>149</v>
      </c>
      <c r="Q69" s="478" t="s">
        <v>150</v>
      </c>
      <c r="R69" s="478" t="s">
        <v>685</v>
      </c>
      <c r="S69" s="481">
        <v>67</v>
      </c>
      <c r="T69" s="478" t="s">
        <v>41</v>
      </c>
      <c r="U69" s="478" t="s">
        <v>42</v>
      </c>
      <c r="V69" s="480" t="s">
        <v>10</v>
      </c>
      <c r="W69" s="51">
        <v>0.16</v>
      </c>
      <c r="X69" s="357" t="s">
        <v>53</v>
      </c>
      <c r="Z69" s="5" t="s">
        <v>52</v>
      </c>
      <c r="AA69" s="112" t="s">
        <v>51</v>
      </c>
    </row>
    <row r="70" spans="1:29" x14ac:dyDescent="0.25">
      <c r="A70" s="329">
        <v>45885</v>
      </c>
      <c r="B70" s="5">
        <v>1</v>
      </c>
      <c r="D70" s="5" t="s">
        <v>145</v>
      </c>
      <c r="E70" s="6">
        <v>2.04</v>
      </c>
      <c r="G70" s="362">
        <v>1</v>
      </c>
      <c r="H70" s="362">
        <v>1</v>
      </c>
      <c r="I70" s="8">
        <v>0.81</v>
      </c>
      <c r="L70" s="5" t="s">
        <v>146</v>
      </c>
      <c r="N70" s="345">
        <v>69</v>
      </c>
      <c r="O70" s="38" t="s">
        <v>146</v>
      </c>
      <c r="P70" s="5" t="s">
        <v>157</v>
      </c>
      <c r="Q70" s="5" t="s">
        <v>158</v>
      </c>
      <c r="R70" s="5" t="s">
        <v>696</v>
      </c>
      <c r="S70" s="481">
        <v>60</v>
      </c>
      <c r="T70" s="5" t="s">
        <v>41</v>
      </c>
      <c r="U70" s="5" t="s">
        <v>42</v>
      </c>
      <c r="V70" s="57" t="s">
        <v>18</v>
      </c>
      <c r="W70" s="51">
        <v>0.21</v>
      </c>
      <c r="X70" s="357" t="s">
        <v>53</v>
      </c>
      <c r="Y70" s="351" t="s">
        <v>353</v>
      </c>
      <c r="Z70" s="5" t="s">
        <v>13</v>
      </c>
      <c r="AA70" s="112" t="s">
        <v>51</v>
      </c>
    </row>
    <row r="71" spans="1:29" x14ac:dyDescent="0.25">
      <c r="A71" s="329">
        <v>45885</v>
      </c>
      <c r="B71" s="5">
        <v>1</v>
      </c>
      <c r="D71" s="5" t="s">
        <v>145</v>
      </c>
      <c r="E71" s="6">
        <v>2.04</v>
      </c>
      <c r="G71" s="362">
        <v>1</v>
      </c>
      <c r="H71" s="362">
        <v>1</v>
      </c>
      <c r="I71" s="8">
        <v>0.81</v>
      </c>
      <c r="L71" s="5" t="s">
        <v>146</v>
      </c>
      <c r="N71" s="476">
        <v>72</v>
      </c>
      <c r="O71" s="477" t="s">
        <v>145</v>
      </c>
      <c r="P71" s="478" t="s">
        <v>151</v>
      </c>
      <c r="Q71" s="478" t="s">
        <v>152</v>
      </c>
      <c r="R71" s="478" t="s">
        <v>712</v>
      </c>
      <c r="S71" s="479">
        <v>63</v>
      </c>
      <c r="T71" s="478" t="s">
        <v>47</v>
      </c>
      <c r="U71" s="478" t="s">
        <v>43</v>
      </c>
      <c r="V71" s="480" t="s">
        <v>20</v>
      </c>
      <c r="W71" s="51">
        <v>0.8</v>
      </c>
      <c r="X71" s="357" t="s">
        <v>53</v>
      </c>
      <c r="Y71" s="351" t="s">
        <v>353</v>
      </c>
      <c r="Z71" s="5" t="s">
        <v>13</v>
      </c>
      <c r="AA71" s="112" t="s">
        <v>51</v>
      </c>
    </row>
    <row r="72" spans="1:29" ht="15.75" thickBot="1" x14ac:dyDescent="0.3">
      <c r="A72" s="330">
        <v>45885</v>
      </c>
      <c r="B72" s="9">
        <v>1</v>
      </c>
      <c r="C72" s="122"/>
      <c r="D72" s="9" t="s">
        <v>145</v>
      </c>
      <c r="E72" s="10">
        <v>2.04</v>
      </c>
      <c r="F72" s="10"/>
      <c r="G72" s="383">
        <v>1</v>
      </c>
      <c r="H72" s="383">
        <v>1</v>
      </c>
      <c r="I72" s="12">
        <v>0.81</v>
      </c>
      <c r="J72" s="12"/>
      <c r="K72" s="122"/>
      <c r="L72" s="9" t="s">
        <v>146</v>
      </c>
      <c r="M72" s="45"/>
      <c r="N72" s="346">
        <v>86</v>
      </c>
      <c r="O72" s="454" t="s">
        <v>146</v>
      </c>
      <c r="P72" s="9" t="s">
        <v>159</v>
      </c>
      <c r="Q72" s="9" t="s">
        <v>160</v>
      </c>
      <c r="R72" s="9" t="s">
        <v>684</v>
      </c>
      <c r="S72" s="7">
        <v>65</v>
      </c>
      <c r="T72" s="9" t="s">
        <v>41</v>
      </c>
      <c r="U72" s="9" t="s">
        <v>42</v>
      </c>
      <c r="V72" s="58" t="s">
        <v>540</v>
      </c>
      <c r="W72" s="52">
        <v>0.04</v>
      </c>
      <c r="X72" s="358">
        <v>0.13</v>
      </c>
      <c r="Y72" s="352"/>
      <c r="Z72" s="9" t="s">
        <v>48</v>
      </c>
      <c r="AA72" s="113" t="s">
        <v>51</v>
      </c>
      <c r="AB72" s="109"/>
      <c r="AC72" s="58"/>
    </row>
    <row r="73" spans="1:29" ht="15.75" thickBot="1" x14ac:dyDescent="0.3">
      <c r="A73" s="326">
        <v>45885</v>
      </c>
      <c r="B73" s="207">
        <v>1</v>
      </c>
      <c r="C73" s="208"/>
      <c r="D73" s="207" t="s">
        <v>145</v>
      </c>
      <c r="E73" s="209">
        <v>2.04</v>
      </c>
      <c r="F73" s="209"/>
      <c r="G73" s="460">
        <v>1</v>
      </c>
      <c r="H73" s="460">
        <v>1</v>
      </c>
      <c r="I73" s="211">
        <v>0.81</v>
      </c>
      <c r="J73" s="211"/>
      <c r="K73" s="208"/>
      <c r="L73" s="207" t="s">
        <v>146</v>
      </c>
      <c r="M73" s="197"/>
      <c r="N73" s="347"/>
      <c r="O73" s="343" t="s">
        <v>145</v>
      </c>
      <c r="P73" s="199" t="s">
        <v>482</v>
      </c>
      <c r="Q73" s="199" t="s">
        <v>483</v>
      </c>
      <c r="R73" s="199" t="s">
        <v>707</v>
      </c>
      <c r="S73" s="479">
        <v>64</v>
      </c>
      <c r="T73" s="199"/>
      <c r="U73" s="199"/>
      <c r="V73" s="201"/>
      <c r="W73" s="202"/>
      <c r="X73" s="359"/>
      <c r="Y73" s="353">
        <f>H73</f>
        <v>1</v>
      </c>
      <c r="Z73" s="199"/>
      <c r="AA73" s="204"/>
      <c r="AB73" s="205"/>
      <c r="AC73" s="201"/>
    </row>
    <row r="74" spans="1:29" ht="15.75" thickBot="1" x14ac:dyDescent="0.3">
      <c r="A74" s="326">
        <v>45885</v>
      </c>
      <c r="B74" s="207">
        <v>1</v>
      </c>
      <c r="C74" s="208"/>
      <c r="D74" s="207" t="s">
        <v>145</v>
      </c>
      <c r="E74" s="209">
        <v>2.04</v>
      </c>
      <c r="F74" s="209"/>
      <c r="G74" s="460">
        <v>1</v>
      </c>
      <c r="H74" s="460">
        <v>1</v>
      </c>
      <c r="I74" s="211">
        <v>0.81</v>
      </c>
      <c r="J74" s="211"/>
      <c r="K74" s="208"/>
      <c r="L74" s="207" t="s">
        <v>146</v>
      </c>
      <c r="M74" s="197"/>
      <c r="N74" s="347"/>
      <c r="O74" s="343" t="s">
        <v>146</v>
      </c>
      <c r="P74" s="199" t="s">
        <v>176</v>
      </c>
      <c r="Q74" s="199" t="s">
        <v>423</v>
      </c>
      <c r="R74" s="199" t="s">
        <v>707</v>
      </c>
      <c r="S74" s="479">
        <v>64</v>
      </c>
      <c r="T74" s="199"/>
      <c r="U74" s="199"/>
      <c r="V74" s="201"/>
      <c r="W74" s="202"/>
      <c r="X74" s="359"/>
      <c r="Y74" s="353">
        <f>G73</f>
        <v>1</v>
      </c>
      <c r="Z74" s="199"/>
      <c r="AA74" s="204"/>
      <c r="AB74" s="205"/>
      <c r="AC74" s="201"/>
    </row>
    <row r="75" spans="1:29" x14ac:dyDescent="0.25">
      <c r="A75" s="328">
        <v>45886</v>
      </c>
      <c r="B75" s="17">
        <v>1</v>
      </c>
      <c r="C75" s="123" t="s">
        <v>700</v>
      </c>
      <c r="D75" s="17" t="s">
        <v>456</v>
      </c>
      <c r="E75" s="18">
        <v>0.73</v>
      </c>
      <c r="F75" s="18"/>
      <c r="G75" s="461">
        <v>0</v>
      </c>
      <c r="H75" s="461">
        <v>2</v>
      </c>
      <c r="I75" s="20">
        <v>1.43</v>
      </c>
      <c r="J75" s="20"/>
      <c r="K75" s="123" t="s">
        <v>701</v>
      </c>
      <c r="L75" s="17" t="s">
        <v>161</v>
      </c>
      <c r="M75" s="46"/>
      <c r="N75" s="507">
        <v>21</v>
      </c>
      <c r="O75" s="508" t="s">
        <v>456</v>
      </c>
      <c r="P75" s="509" t="s">
        <v>162</v>
      </c>
      <c r="Q75" s="509" t="s">
        <v>163</v>
      </c>
      <c r="R75" s="509" t="s">
        <v>686</v>
      </c>
      <c r="S75" s="479">
        <v>63</v>
      </c>
      <c r="T75" s="509" t="s">
        <v>47</v>
      </c>
      <c r="U75" s="509" t="s">
        <v>43</v>
      </c>
      <c r="V75" s="510" t="s">
        <v>10</v>
      </c>
      <c r="W75" s="53">
        <v>0.37</v>
      </c>
      <c r="X75" s="360">
        <v>0.34</v>
      </c>
      <c r="Y75" s="354" t="s">
        <v>353</v>
      </c>
      <c r="Z75" s="17" t="s">
        <v>48</v>
      </c>
      <c r="AA75" s="114" t="s">
        <v>28</v>
      </c>
      <c r="AB75" s="110"/>
      <c r="AC75" s="60"/>
    </row>
    <row r="76" spans="1:29" x14ac:dyDescent="0.25">
      <c r="A76" s="329">
        <v>45886</v>
      </c>
      <c r="B76" s="5">
        <v>1</v>
      </c>
      <c r="D76" s="5" t="s">
        <v>456</v>
      </c>
      <c r="E76" s="6">
        <v>0.73</v>
      </c>
      <c r="G76" s="362">
        <v>0</v>
      </c>
      <c r="H76" s="362">
        <v>2</v>
      </c>
      <c r="I76" s="8">
        <v>1.43</v>
      </c>
      <c r="L76" s="5" t="s">
        <v>161</v>
      </c>
      <c r="N76" s="345">
        <v>39</v>
      </c>
      <c r="O76" s="38" t="s">
        <v>161</v>
      </c>
      <c r="P76" s="5" t="s">
        <v>167</v>
      </c>
      <c r="Q76" s="5" t="s">
        <v>166</v>
      </c>
      <c r="R76" s="5" t="s">
        <v>717</v>
      </c>
      <c r="S76" s="479">
        <v>85</v>
      </c>
      <c r="T76" s="5" t="s">
        <v>41</v>
      </c>
      <c r="U76" s="5" t="s">
        <v>42</v>
      </c>
      <c r="V76" s="57" t="s">
        <v>29</v>
      </c>
      <c r="W76" s="51">
        <v>0.06</v>
      </c>
      <c r="X76" s="357" t="s">
        <v>53</v>
      </c>
      <c r="Z76" s="5" t="s">
        <v>22</v>
      </c>
      <c r="AA76" s="112" t="s">
        <v>28</v>
      </c>
    </row>
    <row r="77" spans="1:29" x14ac:dyDescent="0.25">
      <c r="A77" s="329">
        <v>45886</v>
      </c>
      <c r="B77" s="5">
        <v>1</v>
      </c>
      <c r="D77" s="5" t="s">
        <v>456</v>
      </c>
      <c r="E77" s="6">
        <v>0.73</v>
      </c>
      <c r="G77" s="362">
        <v>0</v>
      </c>
      <c r="H77" s="362">
        <v>2</v>
      </c>
      <c r="I77" s="8">
        <v>1.43</v>
      </c>
      <c r="L77" s="5" t="s">
        <v>161</v>
      </c>
      <c r="N77" s="345">
        <v>47</v>
      </c>
      <c r="O77" s="38" t="s">
        <v>161</v>
      </c>
      <c r="P77" s="5" t="s">
        <v>168</v>
      </c>
      <c r="Q77" s="5" t="s">
        <v>169</v>
      </c>
      <c r="R77" s="5" t="s">
        <v>718</v>
      </c>
      <c r="S77" s="479">
        <v>75</v>
      </c>
      <c r="T77" s="5" t="s">
        <v>41</v>
      </c>
      <c r="U77" s="5" t="s">
        <v>43</v>
      </c>
      <c r="V77" s="57" t="s">
        <v>10</v>
      </c>
      <c r="W77" s="51">
        <v>0.24</v>
      </c>
      <c r="X77" s="357">
        <v>0.69</v>
      </c>
      <c r="Y77" s="351" t="s">
        <v>353</v>
      </c>
      <c r="Z77" s="5" t="s">
        <v>8</v>
      </c>
      <c r="AA77" s="112" t="s">
        <v>9</v>
      </c>
      <c r="AB77" s="108" t="s">
        <v>167</v>
      </c>
      <c r="AC77" s="57" t="s">
        <v>166</v>
      </c>
    </row>
    <row r="78" spans="1:29" x14ac:dyDescent="0.25">
      <c r="A78" s="329">
        <v>45886</v>
      </c>
      <c r="B78" s="5">
        <v>1</v>
      </c>
      <c r="D78" s="5" t="s">
        <v>456</v>
      </c>
      <c r="E78" s="6">
        <v>0.73</v>
      </c>
      <c r="G78" s="362">
        <v>0</v>
      </c>
      <c r="H78" s="362">
        <v>2</v>
      </c>
      <c r="I78" s="8">
        <v>1.43</v>
      </c>
      <c r="L78" s="5" t="s">
        <v>161</v>
      </c>
      <c r="N78" s="476">
        <v>69</v>
      </c>
      <c r="O78" s="477" t="s">
        <v>456</v>
      </c>
      <c r="P78" s="478" t="s">
        <v>164</v>
      </c>
      <c r="Q78" s="478" t="s">
        <v>165</v>
      </c>
      <c r="R78" s="478" t="s">
        <v>696</v>
      </c>
      <c r="S78" s="481">
        <v>62</v>
      </c>
      <c r="T78" s="478" t="s">
        <v>41</v>
      </c>
      <c r="U78" s="478" t="s">
        <v>42</v>
      </c>
      <c r="V78" s="480" t="s">
        <v>18</v>
      </c>
      <c r="W78" s="51">
        <v>0.11</v>
      </c>
      <c r="X78" s="357" t="s">
        <v>53</v>
      </c>
      <c r="Z78" s="5" t="s">
        <v>13</v>
      </c>
      <c r="AA78" s="112" t="s">
        <v>9</v>
      </c>
    </row>
    <row r="79" spans="1:29" ht="15.75" thickBot="1" x14ac:dyDescent="0.3">
      <c r="A79" s="330">
        <v>45886</v>
      </c>
      <c r="B79" s="9">
        <v>1</v>
      </c>
      <c r="C79" s="122"/>
      <c r="D79" s="9" t="s">
        <v>456</v>
      </c>
      <c r="E79" s="10">
        <v>0.73</v>
      </c>
      <c r="F79" s="10"/>
      <c r="G79" s="383">
        <v>0</v>
      </c>
      <c r="H79" s="383">
        <v>2</v>
      </c>
      <c r="I79" s="12">
        <v>1.43</v>
      </c>
      <c r="J79" s="12"/>
      <c r="K79" s="122"/>
      <c r="L79" s="9" t="s">
        <v>161</v>
      </c>
      <c r="M79" s="45"/>
      <c r="N79" s="346">
        <v>72</v>
      </c>
      <c r="O79" s="454" t="s">
        <v>161</v>
      </c>
      <c r="P79" s="9" t="s">
        <v>167</v>
      </c>
      <c r="Q79" s="9" t="s">
        <v>166</v>
      </c>
      <c r="R79" s="9" t="s">
        <v>717</v>
      </c>
      <c r="S79" s="459">
        <v>85</v>
      </c>
      <c r="T79" s="9" t="s">
        <v>41</v>
      </c>
      <c r="U79" s="9" t="s">
        <v>43</v>
      </c>
      <c r="V79" s="58" t="s">
        <v>10</v>
      </c>
      <c r="W79" s="52">
        <v>0.95</v>
      </c>
      <c r="X79" s="358">
        <v>0.99</v>
      </c>
      <c r="Y79" s="352" t="s">
        <v>353</v>
      </c>
      <c r="Z79" s="9" t="s">
        <v>8</v>
      </c>
      <c r="AA79" s="113" t="s">
        <v>11</v>
      </c>
      <c r="AB79" s="109" t="s">
        <v>648</v>
      </c>
      <c r="AC79" s="58" t="s">
        <v>653</v>
      </c>
    </row>
    <row r="80" spans="1:29" ht="15.75" thickBot="1" x14ac:dyDescent="0.3">
      <c r="A80" s="326">
        <v>45886</v>
      </c>
      <c r="B80" s="207">
        <v>1</v>
      </c>
      <c r="C80" s="208"/>
      <c r="D80" s="207" t="s">
        <v>456</v>
      </c>
      <c r="E80" s="209">
        <v>0.73</v>
      </c>
      <c r="F80" s="209"/>
      <c r="G80" s="460">
        <v>0</v>
      </c>
      <c r="H80" s="460">
        <v>2</v>
      </c>
      <c r="I80" s="211">
        <v>1.43</v>
      </c>
      <c r="J80" s="211"/>
      <c r="K80" s="208"/>
      <c r="L80" s="207" t="s">
        <v>161</v>
      </c>
      <c r="M80" s="197"/>
      <c r="N80" s="347"/>
      <c r="O80" s="343" t="s">
        <v>456</v>
      </c>
      <c r="P80" s="199" t="s">
        <v>719</v>
      </c>
      <c r="Q80" s="199" t="s">
        <v>720</v>
      </c>
      <c r="R80" s="199" t="s">
        <v>707</v>
      </c>
      <c r="S80" s="7">
        <v>58</v>
      </c>
      <c r="T80" s="199"/>
      <c r="U80" s="199"/>
      <c r="V80" s="201"/>
      <c r="W80" s="202"/>
      <c r="X80" s="359"/>
      <c r="Y80" s="353">
        <f>H80</f>
        <v>2</v>
      </c>
      <c r="Z80" s="199"/>
      <c r="AA80" s="204"/>
      <c r="AB80" s="205"/>
      <c r="AC80" s="201"/>
    </row>
    <row r="81" spans="1:29" ht="15.75" thickBot="1" x14ac:dyDescent="0.3">
      <c r="A81" s="326">
        <v>45886</v>
      </c>
      <c r="B81" s="207">
        <v>1</v>
      </c>
      <c r="C81" s="208"/>
      <c r="D81" s="207" t="s">
        <v>456</v>
      </c>
      <c r="E81" s="209">
        <v>0.73</v>
      </c>
      <c r="F81" s="209"/>
      <c r="G81" s="460">
        <v>0</v>
      </c>
      <c r="H81" s="460">
        <v>2</v>
      </c>
      <c r="I81" s="211">
        <v>1.43</v>
      </c>
      <c r="J81" s="211"/>
      <c r="K81" s="208"/>
      <c r="L81" s="207" t="s">
        <v>161</v>
      </c>
      <c r="M81" s="197"/>
      <c r="N81" s="347"/>
      <c r="O81" s="343" t="s">
        <v>161</v>
      </c>
      <c r="P81" s="199" t="s">
        <v>316</v>
      </c>
      <c r="Q81" s="199" t="s">
        <v>721</v>
      </c>
      <c r="R81" s="199" t="s">
        <v>707</v>
      </c>
      <c r="S81" s="7">
        <v>77</v>
      </c>
      <c r="T81" s="199"/>
      <c r="U81" s="199"/>
      <c r="V81" s="201"/>
      <c r="W81" s="202"/>
      <c r="X81" s="359"/>
      <c r="Y81" s="353">
        <f>G80</f>
        <v>0</v>
      </c>
      <c r="Z81" s="199"/>
      <c r="AA81" s="204"/>
      <c r="AB81" s="205"/>
      <c r="AC81" s="201"/>
    </row>
    <row r="82" spans="1:29" x14ac:dyDescent="0.25">
      <c r="A82" s="328">
        <v>45886</v>
      </c>
      <c r="B82" s="17">
        <v>1</v>
      </c>
      <c r="C82" s="123" t="s">
        <v>693</v>
      </c>
      <c r="D82" s="17" t="s">
        <v>170</v>
      </c>
      <c r="E82" s="18">
        <v>2.89</v>
      </c>
      <c r="F82" s="18"/>
      <c r="G82" s="461">
        <v>3</v>
      </c>
      <c r="H82" s="461">
        <v>2</v>
      </c>
      <c r="I82" s="20">
        <v>1.01</v>
      </c>
      <c r="J82" s="20"/>
      <c r="K82" s="123" t="s">
        <v>697</v>
      </c>
      <c r="L82" s="17" t="s">
        <v>171</v>
      </c>
      <c r="M82" s="46"/>
      <c r="N82" s="507">
        <v>2</v>
      </c>
      <c r="O82" s="508" t="s">
        <v>170</v>
      </c>
      <c r="P82" s="509" t="s">
        <v>172</v>
      </c>
      <c r="Q82" s="509" t="s">
        <v>173</v>
      </c>
      <c r="R82" s="509" t="s">
        <v>684</v>
      </c>
      <c r="S82" s="479">
        <v>71</v>
      </c>
      <c r="T82" s="509" t="s">
        <v>41</v>
      </c>
      <c r="U82" s="509" t="s">
        <v>43</v>
      </c>
      <c r="V82" s="510" t="s">
        <v>10</v>
      </c>
      <c r="W82" s="53">
        <v>0.12</v>
      </c>
      <c r="X82" s="360" t="s">
        <v>53</v>
      </c>
      <c r="Y82" s="354"/>
      <c r="Z82" s="17" t="s">
        <v>13</v>
      </c>
      <c r="AA82" s="114" t="s">
        <v>28</v>
      </c>
      <c r="AB82" s="110"/>
      <c r="AC82" s="60"/>
    </row>
    <row r="83" spans="1:29" x14ac:dyDescent="0.25">
      <c r="A83" s="329">
        <v>45886</v>
      </c>
      <c r="B83" s="5">
        <v>1</v>
      </c>
      <c r="D83" s="5" t="s">
        <v>170</v>
      </c>
      <c r="E83" s="6">
        <v>2.89</v>
      </c>
      <c r="G83" s="362">
        <v>3</v>
      </c>
      <c r="H83" s="362">
        <v>2</v>
      </c>
      <c r="I83" s="8">
        <v>1.01</v>
      </c>
      <c r="L83" s="5" t="s">
        <v>171</v>
      </c>
      <c r="N83" s="345">
        <v>5</v>
      </c>
      <c r="O83" s="38" t="s">
        <v>171</v>
      </c>
      <c r="P83" s="5" t="s">
        <v>181</v>
      </c>
      <c r="Q83" s="5" t="s">
        <v>182</v>
      </c>
      <c r="R83" s="5" t="s">
        <v>684</v>
      </c>
      <c r="S83" s="7">
        <v>70</v>
      </c>
      <c r="T83" s="5" t="s">
        <v>41</v>
      </c>
      <c r="U83" s="5" t="s">
        <v>43</v>
      </c>
      <c r="V83" s="57" t="s">
        <v>18</v>
      </c>
      <c r="W83" s="51">
        <v>0.08</v>
      </c>
      <c r="X83" s="357">
        <v>0.18</v>
      </c>
      <c r="Z83" s="5" t="s">
        <v>48</v>
      </c>
      <c r="AA83" s="112" t="s">
        <v>28</v>
      </c>
    </row>
    <row r="84" spans="1:29" x14ac:dyDescent="0.25">
      <c r="A84" s="329">
        <v>45886</v>
      </c>
      <c r="B84" s="5">
        <v>1</v>
      </c>
      <c r="D84" s="5" t="s">
        <v>170</v>
      </c>
      <c r="E84" s="6">
        <v>2.89</v>
      </c>
      <c r="G84" s="362">
        <v>3</v>
      </c>
      <c r="H84" s="362">
        <v>2</v>
      </c>
      <c r="I84" s="8">
        <v>1.01</v>
      </c>
      <c r="L84" s="5" t="s">
        <v>171</v>
      </c>
      <c r="N84" s="476">
        <v>36</v>
      </c>
      <c r="O84" s="477" t="s">
        <v>170</v>
      </c>
      <c r="P84" s="478" t="s">
        <v>174</v>
      </c>
      <c r="Q84" s="478" t="s">
        <v>175</v>
      </c>
      <c r="R84" s="478" t="s">
        <v>685</v>
      </c>
      <c r="S84" s="479">
        <v>95</v>
      </c>
      <c r="T84" s="478" t="s">
        <v>41</v>
      </c>
      <c r="U84" s="478" t="s">
        <v>42</v>
      </c>
      <c r="V84" s="480" t="s">
        <v>7</v>
      </c>
      <c r="W84" s="51">
        <v>0.79</v>
      </c>
      <c r="X84" s="357">
        <v>0.81</v>
      </c>
      <c r="Y84" s="351" t="s">
        <v>353</v>
      </c>
      <c r="Z84" s="5" t="s">
        <v>8</v>
      </c>
      <c r="AA84" s="112" t="s">
        <v>19</v>
      </c>
    </row>
    <row r="85" spans="1:29" x14ac:dyDescent="0.25">
      <c r="A85" s="329">
        <v>45886</v>
      </c>
      <c r="B85" s="5">
        <v>1</v>
      </c>
      <c r="D85" s="5" t="s">
        <v>170</v>
      </c>
      <c r="E85" s="6">
        <v>2.89</v>
      </c>
      <c r="G85" s="362">
        <v>3</v>
      </c>
      <c r="H85" s="362">
        <v>2</v>
      </c>
      <c r="I85" s="8">
        <v>1.01</v>
      </c>
      <c r="L85" s="5" t="s">
        <v>171</v>
      </c>
      <c r="N85" s="476">
        <v>43</v>
      </c>
      <c r="O85" s="477" t="s">
        <v>170</v>
      </c>
      <c r="P85" s="478" t="s">
        <v>172</v>
      </c>
      <c r="Q85" s="478" t="s">
        <v>173</v>
      </c>
      <c r="R85" s="478" t="s">
        <v>684</v>
      </c>
      <c r="S85" s="479">
        <v>71</v>
      </c>
      <c r="T85" s="478" t="s">
        <v>47</v>
      </c>
      <c r="U85" s="478" t="s">
        <v>42</v>
      </c>
      <c r="V85" s="480" t="s">
        <v>540</v>
      </c>
      <c r="W85" s="51">
        <v>0.74</v>
      </c>
      <c r="X85" s="357">
        <v>0.97</v>
      </c>
      <c r="Y85" s="351" t="s">
        <v>353</v>
      </c>
      <c r="Z85" s="5" t="s">
        <v>8</v>
      </c>
      <c r="AA85" s="112" t="s">
        <v>24</v>
      </c>
    </row>
    <row r="86" spans="1:29" x14ac:dyDescent="0.25">
      <c r="A86" s="329">
        <v>45886</v>
      </c>
      <c r="B86" s="5">
        <v>1</v>
      </c>
      <c r="D86" s="5" t="s">
        <v>170</v>
      </c>
      <c r="E86" s="6">
        <v>2.89</v>
      </c>
      <c r="G86" s="362">
        <v>3</v>
      </c>
      <c r="H86" s="362">
        <v>2</v>
      </c>
      <c r="I86" s="8">
        <v>1.01</v>
      </c>
      <c r="L86" s="5" t="s">
        <v>171</v>
      </c>
      <c r="N86" s="476">
        <v>50</v>
      </c>
      <c r="O86" s="477" t="s">
        <v>170</v>
      </c>
      <c r="P86" s="478" t="s">
        <v>176</v>
      </c>
      <c r="Q86" s="478" t="s">
        <v>177</v>
      </c>
      <c r="R86" s="478" t="s">
        <v>699</v>
      </c>
      <c r="S86" s="479">
        <v>68</v>
      </c>
      <c r="T86" s="478" t="s">
        <v>41</v>
      </c>
      <c r="U86" s="478" t="s">
        <v>43</v>
      </c>
      <c r="V86" s="480" t="s">
        <v>29</v>
      </c>
      <c r="W86" s="51">
        <v>0.11</v>
      </c>
      <c r="X86" s="357" t="s">
        <v>53</v>
      </c>
      <c r="Z86" s="5" t="s">
        <v>52</v>
      </c>
      <c r="AA86" s="112" t="s">
        <v>24</v>
      </c>
    </row>
    <row r="87" spans="1:29" x14ac:dyDescent="0.25">
      <c r="A87" s="329">
        <v>45886</v>
      </c>
      <c r="B87" s="5">
        <v>1</v>
      </c>
      <c r="D87" s="5" t="s">
        <v>170</v>
      </c>
      <c r="E87" s="6">
        <v>2.89</v>
      </c>
      <c r="G87" s="362">
        <v>3</v>
      </c>
      <c r="H87" s="362">
        <v>2</v>
      </c>
      <c r="I87" s="8">
        <v>1.01</v>
      </c>
      <c r="L87" s="5" t="s">
        <v>171</v>
      </c>
      <c r="N87" s="476">
        <v>51</v>
      </c>
      <c r="O87" s="477" t="s">
        <v>170</v>
      </c>
      <c r="P87" s="478" t="s">
        <v>174</v>
      </c>
      <c r="Q87" s="478" t="s">
        <v>175</v>
      </c>
      <c r="R87" s="478" t="s">
        <v>685</v>
      </c>
      <c r="S87" s="479">
        <v>95</v>
      </c>
      <c r="T87" s="478" t="s">
        <v>47</v>
      </c>
      <c r="U87" s="478" t="s">
        <v>43</v>
      </c>
      <c r="V87" s="480" t="s">
        <v>29</v>
      </c>
      <c r="W87" s="51">
        <v>0.51</v>
      </c>
      <c r="X87" s="357" t="s">
        <v>53</v>
      </c>
      <c r="Y87" s="351" t="s">
        <v>353</v>
      </c>
      <c r="Z87" s="5" t="s">
        <v>17</v>
      </c>
      <c r="AA87" s="112" t="s">
        <v>24</v>
      </c>
    </row>
    <row r="88" spans="1:29" x14ac:dyDescent="0.25">
      <c r="A88" s="329">
        <v>45886</v>
      </c>
      <c r="B88" s="5">
        <v>1</v>
      </c>
      <c r="D88" s="5" t="s">
        <v>170</v>
      </c>
      <c r="E88" s="6">
        <v>2.89</v>
      </c>
      <c r="G88" s="362">
        <v>3</v>
      </c>
      <c r="H88" s="362">
        <v>2</v>
      </c>
      <c r="I88" s="8">
        <v>1.01</v>
      </c>
      <c r="L88" s="5" t="s">
        <v>171</v>
      </c>
      <c r="N88" s="345">
        <v>56</v>
      </c>
      <c r="O88" s="38" t="s">
        <v>171</v>
      </c>
      <c r="P88" s="5" t="s">
        <v>183</v>
      </c>
      <c r="Q88" s="5" t="s">
        <v>184</v>
      </c>
      <c r="R88" s="5" t="s">
        <v>687</v>
      </c>
      <c r="S88" s="7">
        <v>69</v>
      </c>
      <c r="T88" s="5" t="s">
        <v>41</v>
      </c>
      <c r="U88" s="5" t="s">
        <v>42</v>
      </c>
      <c r="V88" s="57" t="s">
        <v>20</v>
      </c>
      <c r="W88" s="51">
        <v>0.08</v>
      </c>
      <c r="X88" s="357">
        <v>0.31</v>
      </c>
      <c r="Z88" s="5" t="s">
        <v>48</v>
      </c>
      <c r="AA88" s="112" t="s">
        <v>24</v>
      </c>
    </row>
    <row r="89" spans="1:29" x14ac:dyDescent="0.25">
      <c r="A89" s="329">
        <v>45886</v>
      </c>
      <c r="B89" s="5">
        <v>1</v>
      </c>
      <c r="D89" s="5" t="s">
        <v>170</v>
      </c>
      <c r="E89" s="6">
        <v>2.89</v>
      </c>
      <c r="G89" s="362">
        <v>3</v>
      </c>
      <c r="H89" s="362">
        <v>2</v>
      </c>
      <c r="I89" s="8">
        <v>1.01</v>
      </c>
      <c r="L89" s="5" t="s">
        <v>171</v>
      </c>
      <c r="N89" s="345">
        <v>60</v>
      </c>
      <c r="O89" s="38" t="s">
        <v>171</v>
      </c>
      <c r="P89" s="5" t="s">
        <v>185</v>
      </c>
      <c r="Q89" s="5" t="s">
        <v>186</v>
      </c>
      <c r="R89" s="5" t="s">
        <v>686</v>
      </c>
      <c r="S89" s="479">
        <v>70</v>
      </c>
      <c r="T89" s="5" t="s">
        <v>354</v>
      </c>
      <c r="U89" s="5" t="s">
        <v>43</v>
      </c>
      <c r="V89" s="57" t="s">
        <v>10</v>
      </c>
      <c r="W89" s="51">
        <v>0.03</v>
      </c>
      <c r="X89" s="357">
        <v>0.37</v>
      </c>
      <c r="Z89" s="5" t="s">
        <v>8</v>
      </c>
      <c r="AA89" s="112" t="s">
        <v>34</v>
      </c>
      <c r="AB89" s="108" t="s">
        <v>300</v>
      </c>
      <c r="AC89" s="57" t="s">
        <v>21</v>
      </c>
    </row>
    <row r="90" spans="1:29" x14ac:dyDescent="0.25">
      <c r="A90" s="329">
        <v>45886</v>
      </c>
      <c r="B90" s="5">
        <v>1</v>
      </c>
      <c r="D90" s="5" t="s">
        <v>170</v>
      </c>
      <c r="E90" s="6">
        <v>2.89</v>
      </c>
      <c r="G90" s="362">
        <v>3</v>
      </c>
      <c r="H90" s="362">
        <v>2</v>
      </c>
      <c r="I90" s="8">
        <v>1.01</v>
      </c>
      <c r="L90" s="5" t="s">
        <v>171</v>
      </c>
      <c r="N90" s="345">
        <v>66</v>
      </c>
      <c r="O90" s="38" t="s">
        <v>171</v>
      </c>
      <c r="P90" s="5" t="s">
        <v>181</v>
      </c>
      <c r="Q90" s="5" t="s">
        <v>182</v>
      </c>
      <c r="R90" s="5" t="s">
        <v>684</v>
      </c>
      <c r="S90" s="479">
        <v>70</v>
      </c>
      <c r="T90" s="5" t="s">
        <v>41</v>
      </c>
      <c r="U90" s="5" t="s">
        <v>43</v>
      </c>
      <c r="V90" s="57" t="s">
        <v>18</v>
      </c>
      <c r="W90" s="51">
        <v>0.36</v>
      </c>
      <c r="X90" s="357" t="s">
        <v>53</v>
      </c>
      <c r="Z90" s="5" t="s">
        <v>13</v>
      </c>
      <c r="AA90" s="112" t="s">
        <v>34</v>
      </c>
    </row>
    <row r="91" spans="1:29" x14ac:dyDescent="0.25">
      <c r="A91" s="329">
        <v>45886</v>
      </c>
      <c r="B91" s="5">
        <v>1</v>
      </c>
      <c r="D91" s="5" t="s">
        <v>170</v>
      </c>
      <c r="E91" s="6">
        <v>2.89</v>
      </c>
      <c r="G91" s="362">
        <v>3</v>
      </c>
      <c r="H91" s="362">
        <v>2</v>
      </c>
      <c r="I91" s="8">
        <v>1.01</v>
      </c>
      <c r="L91" s="5" t="s">
        <v>171</v>
      </c>
      <c r="N91" s="345">
        <v>72</v>
      </c>
      <c r="O91" s="38" t="s">
        <v>171</v>
      </c>
      <c r="P91" s="5" t="s">
        <v>187</v>
      </c>
      <c r="Q91" s="5" t="s">
        <v>188</v>
      </c>
      <c r="R91" s="5" t="s">
        <v>695</v>
      </c>
      <c r="S91" s="479">
        <v>75</v>
      </c>
      <c r="T91" s="5" t="s">
        <v>44</v>
      </c>
      <c r="U91" s="5" t="s">
        <v>43</v>
      </c>
      <c r="V91" s="57" t="s">
        <v>10</v>
      </c>
      <c r="W91" s="51">
        <v>0.09</v>
      </c>
      <c r="X91" s="357">
        <v>0.76</v>
      </c>
      <c r="Z91" s="5" t="s">
        <v>8</v>
      </c>
      <c r="AA91" s="112" t="s">
        <v>189</v>
      </c>
      <c r="AB91" s="108" t="s">
        <v>181</v>
      </c>
      <c r="AC91" s="57" t="s">
        <v>182</v>
      </c>
    </row>
    <row r="92" spans="1:29" x14ac:dyDescent="0.25">
      <c r="A92" s="329">
        <v>45886</v>
      </c>
      <c r="B92" s="5">
        <v>1</v>
      </c>
      <c r="D92" s="5" t="s">
        <v>170</v>
      </c>
      <c r="E92" s="6">
        <v>2.89</v>
      </c>
      <c r="G92" s="362">
        <v>3</v>
      </c>
      <c r="H92" s="362">
        <v>2</v>
      </c>
      <c r="I92" s="8">
        <v>1.01</v>
      </c>
      <c r="L92" s="5" t="s">
        <v>171</v>
      </c>
      <c r="N92" s="476">
        <v>81</v>
      </c>
      <c r="O92" s="477" t="s">
        <v>170</v>
      </c>
      <c r="P92" s="478" t="s">
        <v>178</v>
      </c>
      <c r="Q92" s="478" t="s">
        <v>179</v>
      </c>
      <c r="R92" s="478" t="s">
        <v>696</v>
      </c>
      <c r="S92" s="479">
        <v>70</v>
      </c>
      <c r="T92" s="478" t="s">
        <v>41</v>
      </c>
      <c r="U92" s="478" t="s">
        <v>42</v>
      </c>
      <c r="V92" s="480" t="s">
        <v>10</v>
      </c>
      <c r="W92" s="51">
        <v>0.23</v>
      </c>
      <c r="X92" s="357">
        <v>0.81</v>
      </c>
      <c r="Z92" s="5" t="s">
        <v>8</v>
      </c>
      <c r="AA92" s="112" t="s">
        <v>180</v>
      </c>
      <c r="AB92" s="108" t="s">
        <v>174</v>
      </c>
      <c r="AC92" s="57" t="s">
        <v>175</v>
      </c>
    </row>
    <row r="93" spans="1:29" ht="15.75" thickBot="1" x14ac:dyDescent="0.3">
      <c r="A93" s="330">
        <v>45886</v>
      </c>
      <c r="B93" s="9">
        <v>1</v>
      </c>
      <c r="C93" s="122"/>
      <c r="D93" s="9" t="s">
        <v>170</v>
      </c>
      <c r="E93" s="10">
        <v>2.89</v>
      </c>
      <c r="F93" s="10"/>
      <c r="G93" s="383">
        <v>3</v>
      </c>
      <c r="H93" s="383">
        <v>2</v>
      </c>
      <c r="I93" s="12">
        <v>1.01</v>
      </c>
      <c r="J93" s="12"/>
      <c r="K93" s="122"/>
      <c r="L93" s="9" t="s">
        <v>171</v>
      </c>
      <c r="M93" s="45"/>
      <c r="N93" s="346" t="s">
        <v>57</v>
      </c>
      <c r="O93" s="454" t="s">
        <v>171</v>
      </c>
      <c r="P93" s="9" t="s">
        <v>190</v>
      </c>
      <c r="Q93" s="9" t="s">
        <v>191</v>
      </c>
      <c r="R93" s="9" t="s">
        <v>696</v>
      </c>
      <c r="S93" s="7">
        <v>62</v>
      </c>
      <c r="T93" s="9" t="s">
        <v>41</v>
      </c>
      <c r="U93" s="9" t="s">
        <v>42</v>
      </c>
      <c r="V93" s="58" t="s">
        <v>10</v>
      </c>
      <c r="W93" s="52">
        <v>0.11</v>
      </c>
      <c r="X93" s="358" t="s">
        <v>53</v>
      </c>
      <c r="Y93" s="352"/>
      <c r="Z93" s="9" t="s">
        <v>52</v>
      </c>
      <c r="AA93" s="113" t="s">
        <v>180</v>
      </c>
      <c r="AB93" s="109"/>
      <c r="AC93" s="58"/>
    </row>
    <row r="94" spans="1:29" ht="15.75" thickBot="1" x14ac:dyDescent="0.3">
      <c r="A94" s="326">
        <v>45886</v>
      </c>
      <c r="B94" s="207">
        <v>1</v>
      </c>
      <c r="C94" s="208"/>
      <c r="D94" s="207" t="s">
        <v>170</v>
      </c>
      <c r="E94" s="209">
        <v>2.89</v>
      </c>
      <c r="F94" s="209"/>
      <c r="G94" s="460">
        <v>3</v>
      </c>
      <c r="H94" s="460">
        <v>2</v>
      </c>
      <c r="I94" s="211">
        <v>1.01</v>
      </c>
      <c r="J94" s="211"/>
      <c r="K94" s="208"/>
      <c r="L94" s="207" t="s">
        <v>171</v>
      </c>
      <c r="M94" s="197"/>
      <c r="N94" s="347"/>
      <c r="O94" s="343" t="s">
        <v>170</v>
      </c>
      <c r="P94" s="199" t="s">
        <v>269</v>
      </c>
      <c r="Q94" s="199" t="s">
        <v>722</v>
      </c>
      <c r="R94" s="199" t="s">
        <v>707</v>
      </c>
      <c r="S94" s="7">
        <v>66</v>
      </c>
      <c r="T94" s="199"/>
      <c r="U94" s="199"/>
      <c r="V94" s="201"/>
      <c r="W94" s="202"/>
      <c r="X94" s="359"/>
      <c r="Y94" s="353">
        <f>H94</f>
        <v>2</v>
      </c>
      <c r="Z94" s="199"/>
      <c r="AA94" s="204"/>
      <c r="AB94" s="205"/>
      <c r="AC94" s="201"/>
    </row>
    <row r="95" spans="1:29" ht="15.75" thickBot="1" x14ac:dyDescent="0.3">
      <c r="A95" s="326">
        <v>45886</v>
      </c>
      <c r="B95" s="207">
        <v>1</v>
      </c>
      <c r="C95" s="208"/>
      <c r="D95" s="207" t="s">
        <v>170</v>
      </c>
      <c r="E95" s="209">
        <v>2.89</v>
      </c>
      <c r="F95" s="209"/>
      <c r="G95" s="460">
        <v>3</v>
      </c>
      <c r="H95" s="460">
        <v>2</v>
      </c>
      <c r="I95" s="211">
        <v>1.01</v>
      </c>
      <c r="J95" s="211"/>
      <c r="K95" s="208"/>
      <c r="L95" s="207" t="s">
        <v>171</v>
      </c>
      <c r="M95" s="197"/>
      <c r="N95" s="347"/>
      <c r="O95" s="343" t="s">
        <v>171</v>
      </c>
      <c r="P95" s="199" t="s">
        <v>473</v>
      </c>
      <c r="Q95" s="199" t="s">
        <v>474</v>
      </c>
      <c r="R95" s="199" t="s">
        <v>707</v>
      </c>
      <c r="S95" s="7">
        <v>54</v>
      </c>
      <c r="T95" s="199"/>
      <c r="U95" s="199"/>
      <c r="V95" s="201"/>
      <c r="W95" s="202"/>
      <c r="X95" s="359"/>
      <c r="Y95" s="353">
        <f>G94</f>
        <v>3</v>
      </c>
      <c r="Z95" s="199"/>
      <c r="AA95" s="204"/>
      <c r="AB95" s="205"/>
      <c r="AC95" s="201"/>
    </row>
    <row r="96" spans="1:29" x14ac:dyDescent="0.25">
      <c r="A96" s="328">
        <v>45887</v>
      </c>
      <c r="B96" s="17">
        <v>1</v>
      </c>
      <c r="C96" s="123" t="s">
        <v>693</v>
      </c>
      <c r="D96" s="17" t="s">
        <v>192</v>
      </c>
      <c r="E96" s="18">
        <v>1.26</v>
      </c>
      <c r="F96" s="18"/>
      <c r="G96" s="461">
        <v>2</v>
      </c>
      <c r="H96" s="461">
        <v>1</v>
      </c>
      <c r="I96" s="20">
        <v>1.1000000000000001</v>
      </c>
      <c r="J96" s="20"/>
      <c r="K96" s="123" t="s">
        <v>693</v>
      </c>
      <c r="L96" s="17" t="s">
        <v>193</v>
      </c>
      <c r="M96" s="46"/>
      <c r="N96" s="507">
        <v>19</v>
      </c>
      <c r="O96" s="508" t="s">
        <v>192</v>
      </c>
      <c r="P96" s="509" t="s">
        <v>194</v>
      </c>
      <c r="Q96" s="509" t="s">
        <v>195</v>
      </c>
      <c r="R96" s="509" t="s">
        <v>712</v>
      </c>
      <c r="S96" s="481">
        <v>73</v>
      </c>
      <c r="T96" s="509" t="s">
        <v>41</v>
      </c>
      <c r="U96" s="509" t="s">
        <v>45</v>
      </c>
      <c r="V96" s="510" t="s">
        <v>33</v>
      </c>
      <c r="W96" s="53">
        <v>0.08</v>
      </c>
      <c r="X96" s="360">
        <v>0.28000000000000003</v>
      </c>
      <c r="Y96" s="354"/>
      <c r="Z96" s="17" t="s">
        <v>48</v>
      </c>
      <c r="AA96" s="114" t="s">
        <v>28</v>
      </c>
      <c r="AB96" s="110"/>
      <c r="AC96" s="60"/>
    </row>
    <row r="97" spans="1:29" x14ac:dyDescent="0.25">
      <c r="A97" s="329">
        <v>45887</v>
      </c>
      <c r="B97" s="5">
        <v>1</v>
      </c>
      <c r="D97" s="5" t="s">
        <v>192</v>
      </c>
      <c r="E97" s="6">
        <v>1.26</v>
      </c>
      <c r="G97" s="362">
        <v>2</v>
      </c>
      <c r="H97" s="362">
        <v>1</v>
      </c>
      <c r="I97" s="8">
        <v>1.1000000000000001</v>
      </c>
      <c r="L97" s="5" t="s">
        <v>193</v>
      </c>
      <c r="N97" s="345">
        <v>21</v>
      </c>
      <c r="O97" s="38" t="s">
        <v>193</v>
      </c>
      <c r="P97" s="5" t="s">
        <v>200</v>
      </c>
      <c r="Q97" s="5" t="s">
        <v>201</v>
      </c>
      <c r="R97" s="5" t="s">
        <v>684</v>
      </c>
      <c r="S97" s="459">
        <v>80</v>
      </c>
      <c r="T97" s="5" t="s">
        <v>354</v>
      </c>
      <c r="U97" s="5" t="s">
        <v>43</v>
      </c>
      <c r="V97" s="57" t="s">
        <v>10</v>
      </c>
      <c r="W97" s="51">
        <v>0.05</v>
      </c>
      <c r="X97" s="357">
        <v>0.22</v>
      </c>
      <c r="Z97" s="5" t="s">
        <v>48</v>
      </c>
      <c r="AA97" s="112" t="s">
        <v>28</v>
      </c>
    </row>
    <row r="98" spans="1:29" x14ac:dyDescent="0.25">
      <c r="A98" s="329">
        <v>45887</v>
      </c>
      <c r="B98" s="5">
        <v>1</v>
      </c>
      <c r="D98" s="5" t="s">
        <v>192</v>
      </c>
      <c r="E98" s="6">
        <v>1.26</v>
      </c>
      <c r="G98" s="362">
        <v>2</v>
      </c>
      <c r="H98" s="362">
        <v>1</v>
      </c>
      <c r="I98" s="8">
        <v>1.1000000000000001</v>
      </c>
      <c r="L98" s="5" t="s">
        <v>193</v>
      </c>
      <c r="N98" s="345">
        <v>29</v>
      </c>
      <c r="O98" s="38" t="s">
        <v>193</v>
      </c>
      <c r="P98" s="5" t="s">
        <v>200</v>
      </c>
      <c r="Q98" s="5" t="s">
        <v>201</v>
      </c>
      <c r="R98" s="5" t="s">
        <v>684</v>
      </c>
      <c r="S98" s="7">
        <v>80</v>
      </c>
      <c r="T98" s="5" t="s">
        <v>44</v>
      </c>
      <c r="U98" s="5" t="s">
        <v>42</v>
      </c>
      <c r="V98" s="57" t="s">
        <v>10</v>
      </c>
      <c r="W98" s="51">
        <v>0.1</v>
      </c>
      <c r="X98" s="357">
        <v>0.31</v>
      </c>
      <c r="Z98" s="5" t="s">
        <v>48</v>
      </c>
      <c r="AA98" s="112" t="s">
        <v>28</v>
      </c>
    </row>
    <row r="99" spans="1:29" x14ac:dyDescent="0.25">
      <c r="A99" s="329">
        <v>45887</v>
      </c>
      <c r="B99" s="5">
        <v>1</v>
      </c>
      <c r="D99" s="5" t="s">
        <v>192</v>
      </c>
      <c r="E99" s="6">
        <v>1.26</v>
      </c>
      <c r="G99" s="362">
        <v>2</v>
      </c>
      <c r="H99" s="362">
        <v>1</v>
      </c>
      <c r="I99" s="8">
        <v>1.1000000000000001</v>
      </c>
      <c r="L99" s="5" t="s">
        <v>193</v>
      </c>
      <c r="N99" s="345">
        <v>37</v>
      </c>
      <c r="O99" s="38" t="s">
        <v>193</v>
      </c>
      <c r="P99" s="5" t="s">
        <v>200</v>
      </c>
      <c r="Q99" s="5" t="s">
        <v>201</v>
      </c>
      <c r="R99" s="5" t="s">
        <v>684</v>
      </c>
      <c r="S99" s="7">
        <v>80</v>
      </c>
      <c r="T99" s="5" t="s">
        <v>354</v>
      </c>
      <c r="U99" s="5" t="s">
        <v>42</v>
      </c>
      <c r="V99" s="57" t="s">
        <v>15</v>
      </c>
      <c r="W99" s="51">
        <v>0.1</v>
      </c>
      <c r="X99" s="357">
        <v>0.7</v>
      </c>
      <c r="Z99" s="5" t="s">
        <v>8</v>
      </c>
      <c r="AA99" s="112" t="s">
        <v>9</v>
      </c>
    </row>
    <row r="100" spans="1:29" x14ac:dyDescent="0.25">
      <c r="A100" s="329">
        <v>45887</v>
      </c>
      <c r="B100" s="5">
        <v>1</v>
      </c>
      <c r="D100" s="5" t="s">
        <v>192</v>
      </c>
      <c r="E100" s="6">
        <v>1.26</v>
      </c>
      <c r="G100" s="362">
        <v>2</v>
      </c>
      <c r="H100" s="362">
        <v>1</v>
      </c>
      <c r="I100" s="8">
        <v>1.1000000000000001</v>
      </c>
      <c r="L100" s="5" t="s">
        <v>193</v>
      </c>
      <c r="N100" s="345">
        <v>41</v>
      </c>
      <c r="O100" s="38" t="s">
        <v>193</v>
      </c>
      <c r="P100" s="5" t="s">
        <v>202</v>
      </c>
      <c r="Q100" s="5" t="s">
        <v>203</v>
      </c>
      <c r="R100" s="5" t="s">
        <v>685</v>
      </c>
      <c r="S100" s="7">
        <v>69</v>
      </c>
      <c r="T100" s="5" t="s">
        <v>41</v>
      </c>
      <c r="U100" s="5" t="s">
        <v>42</v>
      </c>
      <c r="V100" s="57" t="s">
        <v>10</v>
      </c>
      <c r="W100" s="51">
        <v>0.02</v>
      </c>
      <c r="X100" s="357" t="s">
        <v>53</v>
      </c>
      <c r="Z100" s="5" t="s">
        <v>22</v>
      </c>
      <c r="AA100" s="112" t="s">
        <v>9</v>
      </c>
    </row>
    <row r="101" spans="1:29" x14ac:dyDescent="0.25">
      <c r="A101" s="329">
        <v>45887</v>
      </c>
      <c r="B101" s="5">
        <v>1</v>
      </c>
      <c r="D101" s="5" t="s">
        <v>192</v>
      </c>
      <c r="E101" s="6">
        <v>1.26</v>
      </c>
      <c r="G101" s="362">
        <v>2</v>
      </c>
      <c r="H101" s="362">
        <v>1</v>
      </c>
      <c r="I101" s="8">
        <v>1.1000000000000001</v>
      </c>
      <c r="L101" s="5" t="s">
        <v>193</v>
      </c>
      <c r="N101" s="476">
        <v>51</v>
      </c>
      <c r="O101" s="477" t="s">
        <v>192</v>
      </c>
      <c r="P101" s="478" t="s">
        <v>196</v>
      </c>
      <c r="Q101" s="478" t="s">
        <v>75</v>
      </c>
      <c r="R101" s="478" t="s">
        <v>696</v>
      </c>
      <c r="S101" s="479">
        <v>64</v>
      </c>
      <c r="T101" s="478" t="s">
        <v>41</v>
      </c>
      <c r="U101" s="478" t="s">
        <v>45</v>
      </c>
      <c r="V101" s="480" t="s">
        <v>10</v>
      </c>
      <c r="W101" s="51">
        <v>0.16</v>
      </c>
      <c r="X101" s="357" t="s">
        <v>53</v>
      </c>
      <c r="Z101" s="5" t="s">
        <v>13</v>
      </c>
      <c r="AA101" s="112" t="s">
        <v>9</v>
      </c>
    </row>
    <row r="102" spans="1:29" x14ac:dyDescent="0.25">
      <c r="A102" s="329">
        <v>45887</v>
      </c>
      <c r="B102" s="5">
        <v>1</v>
      </c>
      <c r="D102" s="5" t="s">
        <v>192</v>
      </c>
      <c r="E102" s="6">
        <v>1.26</v>
      </c>
      <c r="G102" s="362">
        <v>2</v>
      </c>
      <c r="H102" s="362">
        <v>1</v>
      </c>
      <c r="I102" s="8">
        <v>1.1000000000000001</v>
      </c>
      <c r="L102" s="5" t="s">
        <v>193</v>
      </c>
      <c r="N102" s="345">
        <v>57</v>
      </c>
      <c r="O102" s="38" t="s">
        <v>193</v>
      </c>
      <c r="P102" s="5" t="s">
        <v>200</v>
      </c>
      <c r="Q102" s="5" t="s">
        <v>201</v>
      </c>
      <c r="R102" s="5" t="s">
        <v>684</v>
      </c>
      <c r="S102" s="479">
        <v>80</v>
      </c>
      <c r="T102" s="5" t="s">
        <v>41</v>
      </c>
      <c r="U102" s="5" t="s">
        <v>42</v>
      </c>
      <c r="V102" s="57" t="s">
        <v>10</v>
      </c>
      <c r="W102" s="51">
        <v>0.34</v>
      </c>
      <c r="X102" s="357" t="s">
        <v>53</v>
      </c>
      <c r="Y102" s="351" t="s">
        <v>353</v>
      </c>
      <c r="Z102" s="5" t="s">
        <v>17</v>
      </c>
      <c r="AA102" s="112" t="s">
        <v>9</v>
      </c>
    </row>
    <row r="103" spans="1:29" x14ac:dyDescent="0.25">
      <c r="A103" s="329">
        <v>45887</v>
      </c>
      <c r="B103" s="5">
        <v>1</v>
      </c>
      <c r="D103" s="5" t="s">
        <v>192</v>
      </c>
      <c r="E103" s="6">
        <v>1.26</v>
      </c>
      <c r="G103" s="362">
        <v>2</v>
      </c>
      <c r="H103" s="362">
        <v>1</v>
      </c>
      <c r="I103" s="8">
        <v>1.1000000000000001</v>
      </c>
      <c r="L103" s="5" t="s">
        <v>193</v>
      </c>
      <c r="N103" s="345">
        <v>64</v>
      </c>
      <c r="O103" s="38" t="s">
        <v>193</v>
      </c>
      <c r="P103" s="5" t="s">
        <v>204</v>
      </c>
      <c r="Q103" s="5" t="s">
        <v>205</v>
      </c>
      <c r="R103" s="5" t="s">
        <v>686</v>
      </c>
      <c r="S103" s="7">
        <v>67</v>
      </c>
      <c r="T103" s="5" t="s">
        <v>41</v>
      </c>
      <c r="U103" s="5" t="s">
        <v>42</v>
      </c>
      <c r="V103" s="57" t="s">
        <v>10</v>
      </c>
      <c r="W103" s="51">
        <v>0.06</v>
      </c>
      <c r="X103" s="357" t="s">
        <v>53</v>
      </c>
      <c r="Z103" s="5" t="s">
        <v>22</v>
      </c>
      <c r="AA103" s="112" t="s">
        <v>9</v>
      </c>
    </row>
    <row r="104" spans="1:29" x14ac:dyDescent="0.25">
      <c r="A104" s="329">
        <v>45887</v>
      </c>
      <c r="B104" s="5">
        <v>1</v>
      </c>
      <c r="D104" s="5" t="s">
        <v>192</v>
      </c>
      <c r="E104" s="6">
        <v>1.26</v>
      </c>
      <c r="G104" s="362">
        <v>2</v>
      </c>
      <c r="H104" s="362">
        <v>1</v>
      </c>
      <c r="I104" s="8">
        <v>1.1000000000000001</v>
      </c>
      <c r="L104" s="5" t="s">
        <v>193</v>
      </c>
      <c r="N104" s="476">
        <v>73</v>
      </c>
      <c r="O104" s="477" t="s">
        <v>192</v>
      </c>
      <c r="P104" s="478" t="s">
        <v>30</v>
      </c>
      <c r="Q104" s="478" t="s">
        <v>197</v>
      </c>
      <c r="R104" s="478" t="s">
        <v>696</v>
      </c>
      <c r="S104" s="479">
        <v>71</v>
      </c>
      <c r="T104" s="478" t="s">
        <v>47</v>
      </c>
      <c r="U104" s="478" t="s">
        <v>42</v>
      </c>
      <c r="V104" s="480" t="s">
        <v>33</v>
      </c>
      <c r="W104" s="51">
        <v>0.65</v>
      </c>
      <c r="X104" s="357">
        <v>0.76</v>
      </c>
      <c r="Y104" s="351" t="s">
        <v>353</v>
      </c>
      <c r="Z104" s="5" t="s">
        <v>8</v>
      </c>
      <c r="AA104" s="112" t="s">
        <v>51</v>
      </c>
      <c r="AB104" s="108" t="s">
        <v>276</v>
      </c>
      <c r="AC104" s="57" t="s">
        <v>277</v>
      </c>
    </row>
    <row r="105" spans="1:29" x14ac:dyDescent="0.25">
      <c r="A105" s="329">
        <v>45887</v>
      </c>
      <c r="B105" s="5">
        <v>1</v>
      </c>
      <c r="D105" s="5" t="s">
        <v>192</v>
      </c>
      <c r="E105" s="6">
        <v>1.26</v>
      </c>
      <c r="G105" s="362">
        <v>2</v>
      </c>
      <c r="H105" s="362">
        <v>1</v>
      </c>
      <c r="I105" s="8">
        <v>1.1000000000000001</v>
      </c>
      <c r="L105" s="5" t="s">
        <v>193</v>
      </c>
      <c r="N105" s="476">
        <v>81</v>
      </c>
      <c r="O105" s="477" t="s">
        <v>192</v>
      </c>
      <c r="P105" s="478" t="s">
        <v>198</v>
      </c>
      <c r="Q105" s="478" t="s">
        <v>199</v>
      </c>
      <c r="R105" s="478" t="s">
        <v>696</v>
      </c>
      <c r="S105" s="479">
        <v>73</v>
      </c>
      <c r="T105" s="478" t="s">
        <v>47</v>
      </c>
      <c r="U105" s="478" t="s">
        <v>45</v>
      </c>
      <c r="V105" s="480" t="s">
        <v>33</v>
      </c>
      <c r="W105" s="51">
        <v>0.26</v>
      </c>
      <c r="X105" s="357" t="s">
        <v>53</v>
      </c>
      <c r="Y105" s="351" t="s">
        <v>353</v>
      </c>
      <c r="Z105" s="5" t="s">
        <v>13</v>
      </c>
      <c r="AA105" s="112" t="s">
        <v>51</v>
      </c>
    </row>
    <row r="106" spans="1:29" x14ac:dyDescent="0.25">
      <c r="A106" s="329">
        <v>45887</v>
      </c>
      <c r="B106" s="5">
        <v>1</v>
      </c>
      <c r="D106" s="5" t="s">
        <v>192</v>
      </c>
      <c r="E106" s="6">
        <v>1.26</v>
      </c>
      <c r="G106" s="362">
        <v>2</v>
      </c>
      <c r="H106" s="362">
        <v>1</v>
      </c>
      <c r="I106" s="8">
        <v>1.1000000000000001</v>
      </c>
      <c r="L106" s="5" t="s">
        <v>193</v>
      </c>
      <c r="N106" s="476">
        <v>84</v>
      </c>
      <c r="O106" s="477" t="s">
        <v>192</v>
      </c>
      <c r="P106" s="478" t="s">
        <v>198</v>
      </c>
      <c r="Q106" s="478" t="s">
        <v>199</v>
      </c>
      <c r="R106" s="478" t="s">
        <v>696</v>
      </c>
      <c r="S106" s="479">
        <v>73</v>
      </c>
      <c r="T106" s="478" t="s">
        <v>41</v>
      </c>
      <c r="U106" s="478" t="s">
        <v>45</v>
      </c>
      <c r="V106" s="480" t="s">
        <v>10</v>
      </c>
      <c r="W106" s="51">
        <v>0.02</v>
      </c>
      <c r="X106" s="357">
        <v>0.31</v>
      </c>
      <c r="Z106" s="5" t="s">
        <v>8</v>
      </c>
      <c r="AA106" s="112" t="s">
        <v>34</v>
      </c>
      <c r="AB106" s="108" t="s">
        <v>654</v>
      </c>
      <c r="AC106" s="57" t="s">
        <v>655</v>
      </c>
    </row>
    <row r="107" spans="1:29" ht="15.75" thickBot="1" x14ac:dyDescent="0.3">
      <c r="A107" s="330">
        <v>45887</v>
      </c>
      <c r="B107" s="9">
        <v>1</v>
      </c>
      <c r="C107" s="122"/>
      <c r="D107" s="9" t="s">
        <v>192</v>
      </c>
      <c r="E107" s="10">
        <v>1.26</v>
      </c>
      <c r="F107" s="10"/>
      <c r="G107" s="383">
        <v>2</v>
      </c>
      <c r="H107" s="383">
        <v>1</v>
      </c>
      <c r="I107" s="12">
        <v>1.1000000000000001</v>
      </c>
      <c r="J107" s="12"/>
      <c r="K107" s="122"/>
      <c r="L107" s="9" t="s">
        <v>193</v>
      </c>
      <c r="M107" s="45"/>
      <c r="N107" s="346" t="s">
        <v>57</v>
      </c>
      <c r="O107" s="454" t="s">
        <v>193</v>
      </c>
      <c r="P107" s="9" t="s">
        <v>206</v>
      </c>
      <c r="Q107" s="9" t="s">
        <v>207</v>
      </c>
      <c r="R107" s="9" t="s">
        <v>696</v>
      </c>
      <c r="S107" s="479">
        <v>58</v>
      </c>
      <c r="T107" s="9" t="s">
        <v>41</v>
      </c>
      <c r="U107" s="9" t="s">
        <v>43</v>
      </c>
      <c r="V107" s="58" t="s">
        <v>10</v>
      </c>
      <c r="W107" s="52">
        <v>0.1</v>
      </c>
      <c r="X107" s="358" t="s">
        <v>53</v>
      </c>
      <c r="Y107" s="352"/>
      <c r="Z107" s="9" t="s">
        <v>13</v>
      </c>
      <c r="AA107" s="113" t="s">
        <v>34</v>
      </c>
      <c r="AB107" s="109"/>
      <c r="AC107" s="58"/>
    </row>
    <row r="108" spans="1:29" ht="15.75" thickBot="1" x14ac:dyDescent="0.3">
      <c r="A108" s="326">
        <v>45887</v>
      </c>
      <c r="B108" s="207">
        <v>1</v>
      </c>
      <c r="C108" s="208"/>
      <c r="D108" s="207" t="s">
        <v>192</v>
      </c>
      <c r="E108" s="209">
        <v>1.26</v>
      </c>
      <c r="F108" s="209"/>
      <c r="G108" s="460">
        <v>2</v>
      </c>
      <c r="H108" s="460">
        <v>1</v>
      </c>
      <c r="I108" s="211">
        <v>1.1000000000000001</v>
      </c>
      <c r="J108" s="211"/>
      <c r="K108" s="208"/>
      <c r="L108" s="207" t="s">
        <v>193</v>
      </c>
      <c r="M108" s="197"/>
      <c r="N108" s="347"/>
      <c r="O108" s="343" t="s">
        <v>192</v>
      </c>
      <c r="P108" s="199" t="s">
        <v>723</v>
      </c>
      <c r="Q108" s="199" t="s">
        <v>724</v>
      </c>
      <c r="R108" s="199" t="s">
        <v>707</v>
      </c>
      <c r="S108" s="482">
        <v>64</v>
      </c>
      <c r="T108" s="199"/>
      <c r="U108" s="199"/>
      <c r="V108" s="201"/>
      <c r="W108" s="202"/>
      <c r="X108" s="359"/>
      <c r="Y108" s="353">
        <f>H108</f>
        <v>1</v>
      </c>
      <c r="Z108" s="199"/>
      <c r="AA108" s="204"/>
      <c r="AB108" s="205"/>
      <c r="AC108" s="201"/>
    </row>
    <row r="109" spans="1:29" ht="15.75" thickBot="1" x14ac:dyDescent="0.3">
      <c r="A109" s="326">
        <v>45887</v>
      </c>
      <c r="B109" s="207">
        <v>1</v>
      </c>
      <c r="C109" s="208"/>
      <c r="D109" s="207" t="s">
        <v>192</v>
      </c>
      <c r="E109" s="209">
        <v>1.26</v>
      </c>
      <c r="F109" s="209"/>
      <c r="G109" s="460">
        <v>2</v>
      </c>
      <c r="H109" s="460">
        <v>1</v>
      </c>
      <c r="I109" s="211">
        <v>1.1000000000000001</v>
      </c>
      <c r="J109" s="211"/>
      <c r="K109" s="208"/>
      <c r="L109" s="207" t="s">
        <v>193</v>
      </c>
      <c r="M109" s="197"/>
      <c r="N109" s="347"/>
      <c r="O109" s="343" t="s">
        <v>193</v>
      </c>
      <c r="P109" s="199" t="s">
        <v>580</v>
      </c>
      <c r="Q109" s="199" t="s">
        <v>581</v>
      </c>
      <c r="R109" s="199" t="s">
        <v>707</v>
      </c>
      <c r="S109" s="459">
        <v>60</v>
      </c>
      <c r="T109" s="199"/>
      <c r="U109" s="199"/>
      <c r="V109" s="201"/>
      <c r="W109" s="202"/>
      <c r="X109" s="359"/>
      <c r="Y109" s="353">
        <f>G108</f>
        <v>2</v>
      </c>
      <c r="Z109" s="199"/>
      <c r="AA109" s="204"/>
      <c r="AB109" s="205"/>
      <c r="AC109" s="201"/>
    </row>
    <row r="110" spans="1:29" x14ac:dyDescent="0.25">
      <c r="A110" s="328">
        <v>45887</v>
      </c>
      <c r="B110" s="17">
        <v>1</v>
      </c>
      <c r="C110" s="123" t="s">
        <v>692</v>
      </c>
      <c r="D110" s="17" t="s">
        <v>208</v>
      </c>
      <c r="E110" s="18">
        <v>0.64</v>
      </c>
      <c r="F110" s="18"/>
      <c r="G110" s="461">
        <v>1</v>
      </c>
      <c r="H110" s="461">
        <v>1</v>
      </c>
      <c r="I110" s="20">
        <v>1.86</v>
      </c>
      <c r="J110" s="20"/>
      <c r="K110" s="123" t="s">
        <v>693</v>
      </c>
      <c r="L110" s="17" t="s">
        <v>209</v>
      </c>
      <c r="M110" s="46"/>
      <c r="N110" s="348">
        <v>21</v>
      </c>
      <c r="O110" s="456" t="s">
        <v>209</v>
      </c>
      <c r="P110" s="17" t="s">
        <v>214</v>
      </c>
      <c r="Q110" s="17" t="s">
        <v>215</v>
      </c>
      <c r="R110" s="17" t="s">
        <v>686</v>
      </c>
      <c r="S110" s="7">
        <v>76</v>
      </c>
      <c r="T110" s="17" t="s">
        <v>41</v>
      </c>
      <c r="U110" s="17" t="s">
        <v>43</v>
      </c>
      <c r="V110" s="59" t="s">
        <v>10</v>
      </c>
      <c r="W110" s="53">
        <v>0.94</v>
      </c>
      <c r="X110" s="360">
        <v>0.99</v>
      </c>
      <c r="Y110" s="354" t="s">
        <v>353</v>
      </c>
      <c r="Z110" s="17" t="s">
        <v>8</v>
      </c>
      <c r="AA110" s="114" t="s">
        <v>9</v>
      </c>
      <c r="AB110" s="110" t="s">
        <v>218</v>
      </c>
      <c r="AC110" s="60" t="s">
        <v>219</v>
      </c>
    </row>
    <row r="111" spans="1:29" x14ac:dyDescent="0.25">
      <c r="A111" s="329">
        <v>45887</v>
      </c>
      <c r="B111" s="5">
        <v>1</v>
      </c>
      <c r="D111" s="5" t="s">
        <v>208</v>
      </c>
      <c r="E111" s="6">
        <v>0.64</v>
      </c>
      <c r="G111" s="362">
        <v>1</v>
      </c>
      <c r="H111" s="362">
        <v>1</v>
      </c>
      <c r="I111" s="8">
        <v>1.86</v>
      </c>
      <c r="L111" s="5" t="s">
        <v>209</v>
      </c>
      <c r="N111" s="476">
        <v>38</v>
      </c>
      <c r="O111" s="477" t="s">
        <v>208</v>
      </c>
      <c r="P111" s="478" t="s">
        <v>60</v>
      </c>
      <c r="Q111" s="478" t="s">
        <v>210</v>
      </c>
      <c r="R111" s="478" t="s">
        <v>688</v>
      </c>
      <c r="S111" s="479">
        <v>61</v>
      </c>
      <c r="T111" s="478" t="s">
        <v>41</v>
      </c>
      <c r="U111" s="478" t="s">
        <v>43</v>
      </c>
      <c r="V111" s="480" t="s">
        <v>10</v>
      </c>
      <c r="W111" s="51">
        <v>0.1</v>
      </c>
      <c r="X111" s="357" t="s">
        <v>53</v>
      </c>
      <c r="Z111" s="5" t="s">
        <v>13</v>
      </c>
      <c r="AA111" s="112" t="s">
        <v>9</v>
      </c>
    </row>
    <row r="112" spans="1:29" x14ac:dyDescent="0.25">
      <c r="A112" s="329">
        <v>45887</v>
      </c>
      <c r="B112" s="5">
        <v>1</v>
      </c>
      <c r="D112" s="5" t="s">
        <v>208</v>
      </c>
      <c r="E112" s="6">
        <v>0.64</v>
      </c>
      <c r="G112" s="362">
        <v>1</v>
      </c>
      <c r="H112" s="362">
        <v>1</v>
      </c>
      <c r="I112" s="8">
        <v>1.86</v>
      </c>
      <c r="L112" s="5" t="s">
        <v>209</v>
      </c>
      <c r="N112" s="345">
        <v>55</v>
      </c>
      <c r="O112" s="38" t="s">
        <v>209</v>
      </c>
      <c r="P112" s="5" t="s">
        <v>216</v>
      </c>
      <c r="Q112" s="5" t="s">
        <v>217</v>
      </c>
      <c r="R112" s="5" t="s">
        <v>689</v>
      </c>
      <c r="S112" s="7">
        <v>72</v>
      </c>
      <c r="T112" s="5" t="s">
        <v>41</v>
      </c>
      <c r="U112" s="5" t="s">
        <v>42</v>
      </c>
      <c r="V112" s="57" t="s">
        <v>540</v>
      </c>
      <c r="W112" s="51">
        <v>0.01</v>
      </c>
      <c r="X112" s="357">
        <v>0.13</v>
      </c>
      <c r="Z112" s="5" t="s">
        <v>48</v>
      </c>
      <c r="AA112" s="112" t="s">
        <v>9</v>
      </c>
    </row>
    <row r="113" spans="1:29" x14ac:dyDescent="0.25">
      <c r="A113" s="329">
        <v>45887</v>
      </c>
      <c r="B113" s="5">
        <v>1</v>
      </c>
      <c r="D113" s="5" t="s">
        <v>208</v>
      </c>
      <c r="E113" s="6">
        <v>0.64</v>
      </c>
      <c r="G113" s="362">
        <v>1</v>
      </c>
      <c r="H113" s="362">
        <v>1</v>
      </c>
      <c r="I113" s="8">
        <v>1.86</v>
      </c>
      <c r="L113" s="5" t="s">
        <v>209</v>
      </c>
      <c r="N113" s="345">
        <v>57</v>
      </c>
      <c r="O113" s="38" t="s">
        <v>209</v>
      </c>
      <c r="P113" s="5" t="s">
        <v>218</v>
      </c>
      <c r="Q113" s="5" t="s">
        <v>219</v>
      </c>
      <c r="R113" s="5" t="s">
        <v>685</v>
      </c>
      <c r="S113" s="7">
        <v>72</v>
      </c>
      <c r="T113" s="5" t="s">
        <v>44</v>
      </c>
      <c r="U113" s="5" t="s">
        <v>42</v>
      </c>
      <c r="V113" s="57" t="s">
        <v>18</v>
      </c>
      <c r="W113" s="51">
        <v>0.1</v>
      </c>
      <c r="X113" s="357" t="s">
        <v>53</v>
      </c>
      <c r="Z113" s="5" t="s">
        <v>52</v>
      </c>
      <c r="AA113" s="112" t="s">
        <v>9</v>
      </c>
    </row>
    <row r="114" spans="1:29" x14ac:dyDescent="0.25">
      <c r="A114" s="329">
        <v>45887</v>
      </c>
      <c r="B114" s="5">
        <v>1</v>
      </c>
      <c r="D114" s="5" t="s">
        <v>208</v>
      </c>
      <c r="E114" s="6">
        <v>0.64</v>
      </c>
      <c r="G114" s="362">
        <v>1</v>
      </c>
      <c r="H114" s="362">
        <v>1</v>
      </c>
      <c r="I114" s="8">
        <v>1.86</v>
      </c>
      <c r="L114" s="5" t="s">
        <v>209</v>
      </c>
      <c r="N114" s="345">
        <v>60</v>
      </c>
      <c r="O114" s="38" t="s">
        <v>209</v>
      </c>
      <c r="P114" s="5" t="s">
        <v>214</v>
      </c>
      <c r="Q114" s="5" t="s">
        <v>215</v>
      </c>
      <c r="R114" s="5" t="s">
        <v>686</v>
      </c>
      <c r="S114" s="7">
        <v>76</v>
      </c>
      <c r="T114" s="5" t="s">
        <v>354</v>
      </c>
      <c r="U114" s="5" t="s">
        <v>42</v>
      </c>
      <c r="V114" s="57" t="s">
        <v>540</v>
      </c>
      <c r="W114" s="51">
        <v>0.03</v>
      </c>
      <c r="X114" s="357" t="s">
        <v>53</v>
      </c>
      <c r="Z114" s="5" t="s">
        <v>55</v>
      </c>
      <c r="AA114" s="112" t="s">
        <v>9</v>
      </c>
    </row>
    <row r="115" spans="1:29" x14ac:dyDescent="0.25">
      <c r="A115" s="329">
        <v>45887</v>
      </c>
      <c r="B115" s="5">
        <v>1</v>
      </c>
      <c r="D115" s="5" t="s">
        <v>208</v>
      </c>
      <c r="E115" s="6">
        <v>0.64</v>
      </c>
      <c r="G115" s="362">
        <v>1</v>
      </c>
      <c r="H115" s="362">
        <v>1</v>
      </c>
      <c r="I115" s="8">
        <v>1.86</v>
      </c>
      <c r="L115" s="5" t="s">
        <v>209</v>
      </c>
      <c r="N115" s="476">
        <v>63</v>
      </c>
      <c r="O115" s="477" t="s">
        <v>208</v>
      </c>
      <c r="P115" s="478" t="s">
        <v>74</v>
      </c>
      <c r="Q115" s="478" t="s">
        <v>211</v>
      </c>
      <c r="R115" s="478" t="s">
        <v>684</v>
      </c>
      <c r="S115" s="479">
        <v>61</v>
      </c>
      <c r="T115" s="478" t="s">
        <v>47</v>
      </c>
      <c r="U115" s="478" t="s">
        <v>43</v>
      </c>
      <c r="V115" s="480" t="s">
        <v>10</v>
      </c>
      <c r="W115" s="51">
        <v>0.25</v>
      </c>
      <c r="X115" s="357" t="s">
        <v>53</v>
      </c>
      <c r="Y115" s="351" t="s">
        <v>353</v>
      </c>
      <c r="Z115" s="5" t="s">
        <v>55</v>
      </c>
      <c r="AA115" s="112" t="s">
        <v>9</v>
      </c>
    </row>
    <row r="116" spans="1:29" x14ac:dyDescent="0.25">
      <c r="A116" s="329">
        <v>45887</v>
      </c>
      <c r="B116" s="5">
        <v>1</v>
      </c>
      <c r="D116" s="5" t="s">
        <v>208</v>
      </c>
      <c r="E116" s="6">
        <v>0.64</v>
      </c>
      <c r="G116" s="362">
        <v>1</v>
      </c>
      <c r="H116" s="362">
        <v>1</v>
      </c>
      <c r="I116" s="8">
        <v>1.86</v>
      </c>
      <c r="L116" s="5" t="s">
        <v>209</v>
      </c>
      <c r="N116" s="345">
        <v>65</v>
      </c>
      <c r="O116" s="38" t="s">
        <v>209</v>
      </c>
      <c r="P116" s="5" t="s">
        <v>220</v>
      </c>
      <c r="Q116" s="5" t="s">
        <v>221</v>
      </c>
      <c r="R116" s="5" t="s">
        <v>684</v>
      </c>
      <c r="S116" s="481">
        <v>63</v>
      </c>
      <c r="T116" s="5" t="s">
        <v>41</v>
      </c>
      <c r="U116" s="5" t="s">
        <v>42</v>
      </c>
      <c r="V116" s="57" t="s">
        <v>10</v>
      </c>
      <c r="W116" s="51">
        <v>0.25</v>
      </c>
      <c r="X116" s="357" t="s">
        <v>53</v>
      </c>
      <c r="Y116" s="351" t="s">
        <v>353</v>
      </c>
      <c r="Z116" s="5" t="s">
        <v>22</v>
      </c>
      <c r="AA116" s="112" t="s">
        <v>9</v>
      </c>
    </row>
    <row r="117" spans="1:29" x14ac:dyDescent="0.25">
      <c r="A117" s="329">
        <v>45887</v>
      </c>
      <c r="B117" s="5">
        <v>1</v>
      </c>
      <c r="D117" s="5" t="s">
        <v>208</v>
      </c>
      <c r="E117" s="6">
        <v>0.64</v>
      </c>
      <c r="G117" s="362">
        <v>1</v>
      </c>
      <c r="H117" s="362">
        <v>1</v>
      </c>
      <c r="I117" s="8">
        <v>1.86</v>
      </c>
      <c r="L117" s="5" t="s">
        <v>209</v>
      </c>
      <c r="N117" s="345">
        <v>72</v>
      </c>
      <c r="O117" s="38" t="s">
        <v>209</v>
      </c>
      <c r="P117" s="5" t="s">
        <v>222</v>
      </c>
      <c r="Q117" s="5" t="s">
        <v>223</v>
      </c>
      <c r="R117" s="5" t="s">
        <v>699</v>
      </c>
      <c r="S117" s="481">
        <v>71</v>
      </c>
      <c r="T117" s="5" t="s">
        <v>354</v>
      </c>
      <c r="U117" s="5" t="s">
        <v>43</v>
      </c>
      <c r="V117" s="57" t="s">
        <v>10</v>
      </c>
      <c r="W117" s="51">
        <v>0.03</v>
      </c>
      <c r="X117" s="357">
        <v>0.34</v>
      </c>
      <c r="Z117" s="5" t="s">
        <v>48</v>
      </c>
      <c r="AA117" s="112" t="s">
        <v>9</v>
      </c>
    </row>
    <row r="118" spans="1:29" x14ac:dyDescent="0.25">
      <c r="A118" s="329">
        <v>45887</v>
      </c>
      <c r="B118" s="5">
        <v>1</v>
      </c>
      <c r="D118" s="5" t="s">
        <v>208</v>
      </c>
      <c r="E118" s="6">
        <v>0.64</v>
      </c>
      <c r="G118" s="362">
        <v>1</v>
      </c>
      <c r="H118" s="362">
        <v>1</v>
      </c>
      <c r="I118" s="8">
        <v>1.86</v>
      </c>
      <c r="L118" s="5" t="s">
        <v>209</v>
      </c>
      <c r="N118" s="345">
        <v>75</v>
      </c>
      <c r="O118" s="38" t="s">
        <v>209</v>
      </c>
      <c r="P118" s="5" t="s">
        <v>224</v>
      </c>
      <c r="Q118" s="5" t="s">
        <v>225</v>
      </c>
      <c r="R118" s="5" t="s">
        <v>696</v>
      </c>
      <c r="S118" s="479">
        <v>60</v>
      </c>
      <c r="T118" s="5" t="s">
        <v>41</v>
      </c>
      <c r="U118" s="5" t="s">
        <v>42</v>
      </c>
      <c r="V118" s="57" t="s">
        <v>18</v>
      </c>
      <c r="W118" s="51">
        <v>0.27</v>
      </c>
      <c r="X118" s="357" t="s">
        <v>53</v>
      </c>
      <c r="Z118" s="5" t="s">
        <v>52</v>
      </c>
      <c r="AA118" s="112" t="s">
        <v>9</v>
      </c>
    </row>
    <row r="119" spans="1:29" ht="15.75" thickBot="1" x14ac:dyDescent="0.3">
      <c r="A119" s="330">
        <v>45887</v>
      </c>
      <c r="B119" s="9">
        <v>1</v>
      </c>
      <c r="C119" s="122"/>
      <c r="D119" s="9" t="s">
        <v>208</v>
      </c>
      <c r="E119" s="10">
        <v>0.64</v>
      </c>
      <c r="F119" s="10"/>
      <c r="G119" s="383">
        <v>1</v>
      </c>
      <c r="H119" s="383">
        <v>1</v>
      </c>
      <c r="I119" s="12">
        <v>1.86</v>
      </c>
      <c r="J119" s="12"/>
      <c r="K119" s="122"/>
      <c r="L119" s="9" t="s">
        <v>209</v>
      </c>
      <c r="M119" s="45"/>
      <c r="N119" s="511">
        <v>81</v>
      </c>
      <c r="O119" s="512" t="s">
        <v>208</v>
      </c>
      <c r="P119" s="513" t="s">
        <v>212</v>
      </c>
      <c r="Q119" s="513" t="s">
        <v>213</v>
      </c>
      <c r="R119" s="513" t="s">
        <v>686</v>
      </c>
      <c r="S119" s="479">
        <v>70</v>
      </c>
      <c r="T119" s="513" t="s">
        <v>41</v>
      </c>
      <c r="U119" s="513" t="s">
        <v>42</v>
      </c>
      <c r="V119" s="514" t="s">
        <v>10</v>
      </c>
      <c r="W119" s="52">
        <v>0.2</v>
      </c>
      <c r="X119" s="358">
        <v>0.71</v>
      </c>
      <c r="Y119" s="352" t="s">
        <v>353</v>
      </c>
      <c r="Z119" s="9" t="s">
        <v>8</v>
      </c>
      <c r="AA119" s="113" t="s">
        <v>51</v>
      </c>
      <c r="AB119" s="109" t="s">
        <v>466</v>
      </c>
      <c r="AC119" s="58" t="s">
        <v>467</v>
      </c>
    </row>
    <row r="120" spans="1:29" ht="15.75" thickBot="1" x14ac:dyDescent="0.3">
      <c r="A120" s="326">
        <v>45887</v>
      </c>
      <c r="B120" s="207">
        <v>1</v>
      </c>
      <c r="C120" s="208"/>
      <c r="D120" s="207" t="s">
        <v>208</v>
      </c>
      <c r="E120" s="209">
        <v>0.64</v>
      </c>
      <c r="F120" s="209"/>
      <c r="G120" s="460">
        <v>1</v>
      </c>
      <c r="H120" s="460">
        <v>1</v>
      </c>
      <c r="I120" s="211">
        <v>1.86</v>
      </c>
      <c r="J120" s="211"/>
      <c r="K120" s="208"/>
      <c r="L120" s="207" t="s">
        <v>209</v>
      </c>
      <c r="M120" s="197"/>
      <c r="N120" s="347"/>
      <c r="O120" s="343" t="s">
        <v>208</v>
      </c>
      <c r="P120" s="199" t="s">
        <v>433</v>
      </c>
      <c r="Q120" s="199" t="s">
        <v>725</v>
      </c>
      <c r="R120" s="199" t="s">
        <v>707</v>
      </c>
      <c r="S120" s="479">
        <v>69</v>
      </c>
      <c r="T120" s="199"/>
      <c r="U120" s="199"/>
      <c r="V120" s="201"/>
      <c r="W120" s="202"/>
      <c r="X120" s="359"/>
      <c r="Y120" s="353">
        <f>H120</f>
        <v>1</v>
      </c>
      <c r="Z120" s="199"/>
      <c r="AA120" s="204"/>
      <c r="AB120" s="205"/>
      <c r="AC120" s="201"/>
    </row>
    <row r="121" spans="1:29" ht="15.75" thickBot="1" x14ac:dyDescent="0.3">
      <c r="A121" s="326">
        <v>45887</v>
      </c>
      <c r="B121" s="207">
        <v>1</v>
      </c>
      <c r="C121" s="208"/>
      <c r="D121" s="207" t="s">
        <v>208</v>
      </c>
      <c r="E121" s="209">
        <v>0.64</v>
      </c>
      <c r="F121" s="209"/>
      <c r="G121" s="460">
        <v>1</v>
      </c>
      <c r="H121" s="460">
        <v>1</v>
      </c>
      <c r="I121" s="211">
        <v>1.86</v>
      </c>
      <c r="J121" s="211"/>
      <c r="K121" s="208"/>
      <c r="L121" s="207" t="s">
        <v>209</v>
      </c>
      <c r="M121" s="197"/>
      <c r="N121" s="347"/>
      <c r="O121" s="343" t="s">
        <v>209</v>
      </c>
      <c r="P121" s="199" t="s">
        <v>447</v>
      </c>
      <c r="Q121" s="199" t="s">
        <v>150</v>
      </c>
      <c r="R121" s="199" t="s">
        <v>707</v>
      </c>
      <c r="S121" s="7">
        <v>59</v>
      </c>
      <c r="T121" s="199"/>
      <c r="U121" s="199"/>
      <c r="V121" s="201"/>
      <c r="W121" s="202"/>
      <c r="X121" s="359"/>
      <c r="Y121" s="353">
        <f>G120</f>
        <v>1</v>
      </c>
      <c r="Z121" s="199"/>
      <c r="AA121" s="204"/>
      <c r="AB121" s="205"/>
      <c r="AC121" s="201"/>
    </row>
    <row r="122" spans="1:29" x14ac:dyDescent="0.25">
      <c r="A122" s="328">
        <v>45888</v>
      </c>
      <c r="B122" s="17">
        <v>1</v>
      </c>
      <c r="C122" s="123" t="s">
        <v>692</v>
      </c>
      <c r="D122" s="17" t="s">
        <v>226</v>
      </c>
      <c r="E122" s="18">
        <v>1.64</v>
      </c>
      <c r="F122" s="18"/>
      <c r="G122" s="461">
        <v>1</v>
      </c>
      <c r="H122" s="461">
        <v>0</v>
      </c>
      <c r="I122" s="20">
        <v>0.36</v>
      </c>
      <c r="J122" s="20"/>
      <c r="K122" s="123" t="s">
        <v>702</v>
      </c>
      <c r="L122" s="17" t="s">
        <v>227</v>
      </c>
      <c r="M122" s="242" t="s">
        <v>536</v>
      </c>
      <c r="N122" s="507">
        <v>7</v>
      </c>
      <c r="O122" s="508" t="s">
        <v>226</v>
      </c>
      <c r="P122" s="509" t="s">
        <v>74</v>
      </c>
      <c r="Q122" s="509" t="s">
        <v>228</v>
      </c>
      <c r="R122" s="509" t="s">
        <v>688</v>
      </c>
      <c r="S122" s="479">
        <v>68</v>
      </c>
      <c r="T122" s="509" t="s">
        <v>354</v>
      </c>
      <c r="U122" s="509" t="s">
        <v>43</v>
      </c>
      <c r="V122" s="510" t="s">
        <v>10</v>
      </c>
      <c r="W122" s="53">
        <v>0.04</v>
      </c>
      <c r="X122" s="360" t="s">
        <v>53</v>
      </c>
      <c r="Y122" s="354"/>
      <c r="Z122" s="17" t="s">
        <v>22</v>
      </c>
      <c r="AA122" s="114" t="s">
        <v>28</v>
      </c>
      <c r="AB122" s="110"/>
      <c r="AC122" s="60"/>
    </row>
    <row r="123" spans="1:29" x14ac:dyDescent="0.25">
      <c r="A123" s="329">
        <v>45888</v>
      </c>
      <c r="B123" s="5">
        <v>1</v>
      </c>
      <c r="D123" s="5" t="s">
        <v>226</v>
      </c>
      <c r="E123" s="6">
        <v>1.64</v>
      </c>
      <c r="G123" s="362">
        <v>1</v>
      </c>
      <c r="H123" s="362">
        <v>0</v>
      </c>
      <c r="I123" s="8">
        <v>0.36</v>
      </c>
      <c r="L123" s="5" t="s">
        <v>227</v>
      </c>
      <c r="M123" s="242" t="s">
        <v>536</v>
      </c>
      <c r="N123" s="476">
        <v>18</v>
      </c>
      <c r="O123" s="477" t="s">
        <v>226</v>
      </c>
      <c r="P123" s="478" t="s">
        <v>229</v>
      </c>
      <c r="Q123" s="478" t="s">
        <v>230</v>
      </c>
      <c r="R123" s="478" t="s">
        <v>712</v>
      </c>
      <c r="S123" s="479">
        <v>78</v>
      </c>
      <c r="T123" s="478" t="s">
        <v>354</v>
      </c>
      <c r="U123" s="478" t="s">
        <v>42</v>
      </c>
      <c r="V123" s="480" t="s">
        <v>10</v>
      </c>
      <c r="W123" s="51">
        <v>0.02</v>
      </c>
      <c r="X123" s="357">
        <v>0.16</v>
      </c>
      <c r="Z123" s="5" t="s">
        <v>48</v>
      </c>
      <c r="AA123" s="112" t="s">
        <v>28</v>
      </c>
    </row>
    <row r="124" spans="1:29" x14ac:dyDescent="0.25">
      <c r="A124" s="329">
        <v>45888</v>
      </c>
      <c r="B124" s="5">
        <v>1</v>
      </c>
      <c r="D124" s="5" t="s">
        <v>226</v>
      </c>
      <c r="E124" s="6">
        <v>1.64</v>
      </c>
      <c r="G124" s="362">
        <v>1</v>
      </c>
      <c r="H124" s="362">
        <v>0</v>
      </c>
      <c r="I124" s="8">
        <v>0.36</v>
      </c>
      <c r="L124" s="5" t="s">
        <v>227</v>
      </c>
      <c r="M124" s="242" t="s">
        <v>536</v>
      </c>
      <c r="N124" s="476">
        <v>25</v>
      </c>
      <c r="O124" s="477" t="s">
        <v>226</v>
      </c>
      <c r="P124" s="478" t="s">
        <v>231</v>
      </c>
      <c r="Q124" s="478" t="s">
        <v>232</v>
      </c>
      <c r="R124" s="478" t="s">
        <v>684</v>
      </c>
      <c r="S124" s="479">
        <v>90</v>
      </c>
      <c r="T124" s="478" t="s">
        <v>41</v>
      </c>
      <c r="U124" s="478" t="s">
        <v>43</v>
      </c>
      <c r="V124" s="480" t="s">
        <v>10</v>
      </c>
      <c r="W124" s="51">
        <v>0.13</v>
      </c>
      <c r="X124" s="357">
        <v>0.11</v>
      </c>
      <c r="Z124" s="5" t="s">
        <v>48</v>
      </c>
      <c r="AA124" s="112" t="s">
        <v>28</v>
      </c>
    </row>
    <row r="125" spans="1:29" x14ac:dyDescent="0.25">
      <c r="A125" s="329">
        <v>45888</v>
      </c>
      <c r="B125" s="5">
        <v>1</v>
      </c>
      <c r="D125" s="5" t="s">
        <v>226</v>
      </c>
      <c r="E125" s="6">
        <v>1.64</v>
      </c>
      <c r="G125" s="362">
        <v>1</v>
      </c>
      <c r="H125" s="362">
        <v>0</v>
      </c>
      <c r="I125" s="8">
        <v>0.36</v>
      </c>
      <c r="L125" s="5" t="s">
        <v>227</v>
      </c>
      <c r="M125" s="242" t="s">
        <v>536</v>
      </c>
      <c r="N125" s="476">
        <v>34</v>
      </c>
      <c r="O125" s="477" t="s">
        <v>226</v>
      </c>
      <c r="P125" s="478" t="s">
        <v>231</v>
      </c>
      <c r="Q125" s="478" t="s">
        <v>232</v>
      </c>
      <c r="R125" s="478" t="s">
        <v>684</v>
      </c>
      <c r="S125" s="479">
        <v>90</v>
      </c>
      <c r="T125" s="478" t="s">
        <v>41</v>
      </c>
      <c r="U125" s="478" t="s">
        <v>42</v>
      </c>
      <c r="V125" s="480" t="s">
        <v>540</v>
      </c>
      <c r="W125" s="51">
        <v>0.03</v>
      </c>
      <c r="X125" s="357" t="s">
        <v>53</v>
      </c>
      <c r="Z125" s="5" t="s">
        <v>22</v>
      </c>
      <c r="AA125" s="112" t="s">
        <v>28</v>
      </c>
    </row>
    <row r="126" spans="1:29" x14ac:dyDescent="0.25">
      <c r="A126" s="329">
        <v>45888</v>
      </c>
      <c r="B126" s="5">
        <v>1</v>
      </c>
      <c r="D126" s="5" t="s">
        <v>226</v>
      </c>
      <c r="E126" s="6">
        <v>1.64</v>
      </c>
      <c r="G126" s="362">
        <v>1</v>
      </c>
      <c r="H126" s="362">
        <v>0</v>
      </c>
      <c r="I126" s="8">
        <v>0.36</v>
      </c>
      <c r="L126" s="5" t="s">
        <v>227</v>
      </c>
      <c r="M126" s="242" t="s">
        <v>536</v>
      </c>
      <c r="N126" s="476">
        <v>51</v>
      </c>
      <c r="O126" s="477" t="s">
        <v>226</v>
      </c>
      <c r="P126" s="478" t="s">
        <v>231</v>
      </c>
      <c r="Q126" s="478" t="s">
        <v>232</v>
      </c>
      <c r="R126" s="478" t="s">
        <v>684</v>
      </c>
      <c r="S126" s="479">
        <v>90</v>
      </c>
      <c r="T126" s="478" t="s">
        <v>41</v>
      </c>
      <c r="U126" s="478" t="s">
        <v>42</v>
      </c>
      <c r="V126" s="480" t="s">
        <v>7</v>
      </c>
      <c r="W126" s="51">
        <v>0.79</v>
      </c>
      <c r="X126" s="357">
        <v>0.84</v>
      </c>
      <c r="Y126" s="351" t="s">
        <v>353</v>
      </c>
      <c r="Z126" s="5" t="s">
        <v>8</v>
      </c>
      <c r="AA126" s="112" t="s">
        <v>19</v>
      </c>
    </row>
    <row r="127" spans="1:29" x14ac:dyDescent="0.25">
      <c r="A127" s="329">
        <v>45888</v>
      </c>
      <c r="B127" s="5">
        <v>1</v>
      </c>
      <c r="D127" s="5" t="s">
        <v>226</v>
      </c>
      <c r="E127" s="6">
        <v>1.64</v>
      </c>
      <c r="G127" s="362">
        <v>1</v>
      </c>
      <c r="H127" s="362">
        <v>0</v>
      </c>
      <c r="I127" s="8">
        <v>0.36</v>
      </c>
      <c r="L127" s="5" t="s">
        <v>227</v>
      </c>
      <c r="M127" s="242" t="s">
        <v>536</v>
      </c>
      <c r="N127" s="476">
        <v>57</v>
      </c>
      <c r="O127" s="477" t="s">
        <v>226</v>
      </c>
      <c r="P127" s="478" t="s">
        <v>233</v>
      </c>
      <c r="Q127" s="478" t="s">
        <v>234</v>
      </c>
      <c r="R127" s="478" t="s">
        <v>695</v>
      </c>
      <c r="S127" s="481">
        <v>68</v>
      </c>
      <c r="T127" s="478" t="s">
        <v>41</v>
      </c>
      <c r="U127" s="478" t="s">
        <v>42</v>
      </c>
      <c r="V127" s="480" t="s">
        <v>10</v>
      </c>
      <c r="W127" s="51">
        <v>0.14000000000000001</v>
      </c>
      <c r="X127" s="357" t="s">
        <v>53</v>
      </c>
      <c r="Z127" s="5" t="s">
        <v>13</v>
      </c>
      <c r="AA127" s="112" t="s">
        <v>19</v>
      </c>
    </row>
    <row r="128" spans="1:29" x14ac:dyDescent="0.25">
      <c r="A128" s="329">
        <v>45888</v>
      </c>
      <c r="B128" s="5">
        <v>1</v>
      </c>
      <c r="D128" s="5" t="s">
        <v>226</v>
      </c>
      <c r="E128" s="6">
        <v>1.64</v>
      </c>
      <c r="G128" s="362">
        <v>1</v>
      </c>
      <c r="H128" s="362">
        <v>0</v>
      </c>
      <c r="I128" s="8">
        <v>0.36</v>
      </c>
      <c r="L128" s="5" t="s">
        <v>227</v>
      </c>
      <c r="M128" s="242" t="s">
        <v>536</v>
      </c>
      <c r="N128" s="476">
        <v>63</v>
      </c>
      <c r="O128" s="477" t="s">
        <v>226</v>
      </c>
      <c r="P128" s="478" t="s">
        <v>56</v>
      </c>
      <c r="Q128" s="478" t="s">
        <v>235</v>
      </c>
      <c r="R128" s="478" t="s">
        <v>691</v>
      </c>
      <c r="S128" s="481">
        <v>74</v>
      </c>
      <c r="T128" s="478" t="s">
        <v>354</v>
      </c>
      <c r="U128" s="478" t="s">
        <v>43</v>
      </c>
      <c r="V128" s="480" t="s">
        <v>10</v>
      </c>
      <c r="W128" s="51">
        <v>0.03</v>
      </c>
      <c r="X128" s="357" t="s">
        <v>53</v>
      </c>
      <c r="Z128" s="5" t="s">
        <v>55</v>
      </c>
      <c r="AA128" s="112" t="s">
        <v>19</v>
      </c>
    </row>
    <row r="129" spans="1:29" x14ac:dyDescent="0.25">
      <c r="A129" s="329">
        <v>45888</v>
      </c>
      <c r="B129" s="5">
        <v>1</v>
      </c>
      <c r="D129" s="5" t="s">
        <v>226</v>
      </c>
      <c r="E129" s="6">
        <v>1.64</v>
      </c>
      <c r="G129" s="362">
        <v>1</v>
      </c>
      <c r="H129" s="362">
        <v>0</v>
      </c>
      <c r="I129" s="8">
        <v>0.36</v>
      </c>
      <c r="L129" s="5" t="s">
        <v>227</v>
      </c>
      <c r="M129" s="242" t="s">
        <v>536</v>
      </c>
      <c r="N129" s="476">
        <v>74</v>
      </c>
      <c r="O129" s="477" t="s">
        <v>226</v>
      </c>
      <c r="P129" s="478" t="s">
        <v>233</v>
      </c>
      <c r="Q129" s="478" t="s">
        <v>234</v>
      </c>
      <c r="R129" s="478" t="s">
        <v>695</v>
      </c>
      <c r="S129" s="479">
        <v>68</v>
      </c>
      <c r="T129" s="478" t="s">
        <v>41</v>
      </c>
      <c r="U129" s="478" t="s">
        <v>45</v>
      </c>
      <c r="V129" s="480" t="s">
        <v>20</v>
      </c>
      <c r="W129" s="51">
        <v>0.1</v>
      </c>
      <c r="X129" s="357" t="s">
        <v>53</v>
      </c>
      <c r="Z129" s="5" t="s">
        <v>16</v>
      </c>
      <c r="AA129" s="112" t="s">
        <v>19</v>
      </c>
    </row>
    <row r="130" spans="1:29" x14ac:dyDescent="0.25">
      <c r="A130" s="329">
        <v>45888</v>
      </c>
      <c r="B130" s="5">
        <v>1</v>
      </c>
      <c r="D130" s="5" t="s">
        <v>226</v>
      </c>
      <c r="E130" s="6">
        <v>1.64</v>
      </c>
      <c r="G130" s="362">
        <v>1</v>
      </c>
      <c r="H130" s="362">
        <v>0</v>
      </c>
      <c r="I130" s="8">
        <v>0.36</v>
      </c>
      <c r="L130" s="5" t="s">
        <v>227</v>
      </c>
      <c r="M130" s="242" t="s">
        <v>536</v>
      </c>
      <c r="N130" s="345">
        <v>85</v>
      </c>
      <c r="O130" s="38" t="s">
        <v>227</v>
      </c>
      <c r="P130" s="5" t="s">
        <v>238</v>
      </c>
      <c r="Q130" s="5" t="s">
        <v>239</v>
      </c>
      <c r="R130" s="5" t="s">
        <v>684</v>
      </c>
      <c r="S130" s="7">
        <v>63</v>
      </c>
      <c r="T130" s="5" t="s">
        <v>47</v>
      </c>
      <c r="U130" s="5" t="s">
        <v>45</v>
      </c>
      <c r="V130" s="57" t="s">
        <v>33</v>
      </c>
      <c r="W130" s="51">
        <v>0.3</v>
      </c>
      <c r="X130" s="357" t="s">
        <v>53</v>
      </c>
      <c r="Z130" s="5" t="s">
        <v>13</v>
      </c>
      <c r="AA130" s="112" t="s">
        <v>19</v>
      </c>
    </row>
    <row r="131" spans="1:29" ht="15.75" thickBot="1" x14ac:dyDescent="0.3">
      <c r="A131" s="330">
        <v>45888</v>
      </c>
      <c r="B131" s="9">
        <v>1</v>
      </c>
      <c r="C131" s="122"/>
      <c r="D131" s="9" t="s">
        <v>226</v>
      </c>
      <c r="E131" s="10">
        <v>1.64</v>
      </c>
      <c r="F131" s="10"/>
      <c r="G131" s="383">
        <v>1</v>
      </c>
      <c r="H131" s="383">
        <v>0</v>
      </c>
      <c r="I131" s="12">
        <v>0.36</v>
      </c>
      <c r="J131" s="12"/>
      <c r="K131" s="122"/>
      <c r="L131" s="9" t="s">
        <v>227</v>
      </c>
      <c r="M131" s="242" t="s">
        <v>536</v>
      </c>
      <c r="N131" s="511">
        <v>89</v>
      </c>
      <c r="O131" s="512" t="s">
        <v>226</v>
      </c>
      <c r="P131" s="513" t="s">
        <v>236</v>
      </c>
      <c r="Q131" s="513" t="s">
        <v>237</v>
      </c>
      <c r="R131" s="513" t="s">
        <v>696</v>
      </c>
      <c r="S131" s="479">
        <v>67</v>
      </c>
      <c r="T131" s="513" t="s">
        <v>41</v>
      </c>
      <c r="U131" s="513" t="s">
        <v>43</v>
      </c>
      <c r="V131" s="514" t="s">
        <v>10</v>
      </c>
      <c r="W131" s="52">
        <v>0.09</v>
      </c>
      <c r="X131" s="358">
        <v>0.16</v>
      </c>
      <c r="Y131" s="352"/>
      <c r="Z131" s="9" t="s">
        <v>48</v>
      </c>
      <c r="AA131" s="113" t="s">
        <v>19</v>
      </c>
      <c r="AB131" s="109"/>
      <c r="AC131" s="58"/>
    </row>
    <row r="132" spans="1:29" ht="15.75" thickBot="1" x14ac:dyDescent="0.3">
      <c r="A132" s="326">
        <v>45888</v>
      </c>
      <c r="B132" s="207">
        <v>1</v>
      </c>
      <c r="C132" s="208"/>
      <c r="D132" s="207" t="s">
        <v>226</v>
      </c>
      <c r="E132" s="209">
        <v>1.64</v>
      </c>
      <c r="F132" s="209"/>
      <c r="G132" s="460">
        <v>1</v>
      </c>
      <c r="H132" s="460">
        <v>0</v>
      </c>
      <c r="I132" s="211">
        <v>0.36</v>
      </c>
      <c r="J132" s="211"/>
      <c r="K132" s="208"/>
      <c r="L132" s="207" t="s">
        <v>227</v>
      </c>
      <c r="M132" s="197"/>
      <c r="N132" s="347"/>
      <c r="O132" s="343" t="s">
        <v>226</v>
      </c>
      <c r="P132" s="199" t="s">
        <v>726</v>
      </c>
      <c r="Q132" s="199" t="s">
        <v>727</v>
      </c>
      <c r="R132" s="199" t="s">
        <v>707</v>
      </c>
      <c r="S132" s="7">
        <v>66</v>
      </c>
      <c r="T132" s="199"/>
      <c r="U132" s="199"/>
      <c r="V132" s="201"/>
      <c r="W132" s="202"/>
      <c r="X132" s="359"/>
      <c r="Y132" s="353">
        <f>H132</f>
        <v>0</v>
      </c>
      <c r="Z132" s="199"/>
      <c r="AA132" s="204"/>
      <c r="AB132" s="205"/>
      <c r="AC132" s="201"/>
    </row>
    <row r="133" spans="1:29" ht="15.75" thickBot="1" x14ac:dyDescent="0.3">
      <c r="A133" s="326">
        <v>45888</v>
      </c>
      <c r="B133" s="207">
        <v>1</v>
      </c>
      <c r="C133" s="208"/>
      <c r="D133" s="207" t="s">
        <v>226</v>
      </c>
      <c r="E133" s="209">
        <v>1.64</v>
      </c>
      <c r="F133" s="209"/>
      <c r="G133" s="460">
        <v>1</v>
      </c>
      <c r="H133" s="460">
        <v>0</v>
      </c>
      <c r="I133" s="211">
        <v>0.36</v>
      </c>
      <c r="J133" s="211"/>
      <c r="K133" s="208"/>
      <c r="L133" s="207" t="s">
        <v>227</v>
      </c>
      <c r="M133" s="197"/>
      <c r="N133" s="347"/>
      <c r="O133" s="343" t="s">
        <v>227</v>
      </c>
      <c r="P133" s="199" t="s">
        <v>298</v>
      </c>
      <c r="Q133" s="199" t="s">
        <v>86</v>
      </c>
      <c r="R133" s="199" t="s">
        <v>707</v>
      </c>
      <c r="S133" s="7">
        <v>67</v>
      </c>
      <c r="T133" s="199"/>
      <c r="U133" s="199"/>
      <c r="V133" s="201"/>
      <c r="W133" s="202"/>
      <c r="X133" s="359"/>
      <c r="Y133" s="353">
        <f>G132</f>
        <v>1</v>
      </c>
      <c r="Z133" s="199"/>
      <c r="AA133" s="204"/>
      <c r="AB133" s="205"/>
      <c r="AC133" s="201"/>
    </row>
    <row r="134" spans="1:29" x14ac:dyDescent="0.25">
      <c r="A134" s="328">
        <v>45891</v>
      </c>
      <c r="B134" s="17">
        <v>2</v>
      </c>
      <c r="C134" s="123" t="s">
        <v>693</v>
      </c>
      <c r="D134" s="17" t="s">
        <v>209</v>
      </c>
      <c r="E134" s="18">
        <v>1.95</v>
      </c>
      <c r="F134" s="18"/>
      <c r="G134" s="461">
        <v>1</v>
      </c>
      <c r="H134" s="461">
        <v>0</v>
      </c>
      <c r="I134" s="20">
        <v>1.1200000000000001</v>
      </c>
      <c r="J134" s="20"/>
      <c r="K134" s="123" t="s">
        <v>694</v>
      </c>
      <c r="L134" s="17" t="s">
        <v>128</v>
      </c>
      <c r="M134" s="46"/>
      <c r="N134" s="348">
        <v>3</v>
      </c>
      <c r="O134" s="456" t="s">
        <v>128</v>
      </c>
      <c r="P134" s="17" t="s">
        <v>135</v>
      </c>
      <c r="Q134" s="17" t="s">
        <v>136</v>
      </c>
      <c r="R134" s="17" t="s">
        <v>718</v>
      </c>
      <c r="S134" s="479">
        <v>65</v>
      </c>
      <c r="T134" s="17" t="s">
        <v>41</v>
      </c>
      <c r="U134" s="17" t="s">
        <v>42</v>
      </c>
      <c r="V134" s="59" t="s">
        <v>10</v>
      </c>
      <c r="W134" s="53">
        <v>0.57999999999999996</v>
      </c>
      <c r="X134" s="360">
        <v>0.2</v>
      </c>
      <c r="Y134" s="354" t="s">
        <v>353</v>
      </c>
      <c r="Z134" s="17" t="s">
        <v>48</v>
      </c>
      <c r="AA134" s="114" t="s">
        <v>28</v>
      </c>
      <c r="AB134" s="110"/>
      <c r="AC134" s="60"/>
    </row>
    <row r="135" spans="1:29" x14ac:dyDescent="0.25">
      <c r="A135" s="329">
        <v>45891</v>
      </c>
      <c r="B135" s="5">
        <v>2</v>
      </c>
      <c r="D135" s="5" t="s">
        <v>209</v>
      </c>
      <c r="E135" s="6">
        <v>1.95</v>
      </c>
      <c r="G135" s="362">
        <v>1</v>
      </c>
      <c r="H135" s="362">
        <v>0</v>
      </c>
      <c r="I135" s="8">
        <v>1.1200000000000001</v>
      </c>
      <c r="L135" s="5" t="s">
        <v>128</v>
      </c>
      <c r="N135" s="476">
        <v>7</v>
      </c>
      <c r="O135" s="477" t="s">
        <v>209</v>
      </c>
      <c r="P135" s="478" t="s">
        <v>214</v>
      </c>
      <c r="Q135" s="478" t="s">
        <v>215</v>
      </c>
      <c r="R135" s="478" t="s">
        <v>686</v>
      </c>
      <c r="S135" s="479">
        <v>68</v>
      </c>
      <c r="T135" s="478" t="s">
        <v>41</v>
      </c>
      <c r="U135" s="478" t="s">
        <v>45</v>
      </c>
      <c r="V135" s="480" t="s">
        <v>10</v>
      </c>
      <c r="W135" s="51">
        <v>0.37</v>
      </c>
      <c r="X135" s="357" t="s">
        <v>53</v>
      </c>
      <c r="Y135" s="351" t="s">
        <v>353</v>
      </c>
      <c r="Z135" s="5" t="s">
        <v>13</v>
      </c>
      <c r="AA135" s="112" t="s">
        <v>28</v>
      </c>
    </row>
    <row r="136" spans="1:29" x14ac:dyDescent="0.25">
      <c r="A136" s="329">
        <v>45891</v>
      </c>
      <c r="B136" s="5">
        <v>2</v>
      </c>
      <c r="D136" s="5" t="s">
        <v>209</v>
      </c>
      <c r="E136" s="6">
        <v>1.95</v>
      </c>
      <c r="G136" s="362">
        <v>1</v>
      </c>
      <c r="H136" s="362">
        <v>0</v>
      </c>
      <c r="I136" s="8">
        <v>1.1200000000000001</v>
      </c>
      <c r="L136" s="5" t="s">
        <v>128</v>
      </c>
      <c r="N136" s="476">
        <v>10</v>
      </c>
      <c r="O136" s="477" t="s">
        <v>209</v>
      </c>
      <c r="P136" s="478" t="s">
        <v>214</v>
      </c>
      <c r="Q136" s="478" t="s">
        <v>215</v>
      </c>
      <c r="R136" s="478" t="s">
        <v>686</v>
      </c>
      <c r="S136" s="479">
        <v>68</v>
      </c>
      <c r="T136" s="478" t="s">
        <v>41</v>
      </c>
      <c r="U136" s="478" t="s">
        <v>42</v>
      </c>
      <c r="V136" s="480" t="s">
        <v>10</v>
      </c>
      <c r="W136" s="51">
        <v>0.05</v>
      </c>
      <c r="X136" s="357">
        <v>0.13</v>
      </c>
      <c r="Z136" s="5" t="s">
        <v>48</v>
      </c>
      <c r="AA136" s="112" t="s">
        <v>28</v>
      </c>
    </row>
    <row r="137" spans="1:29" x14ac:dyDescent="0.25">
      <c r="A137" s="329">
        <v>45891</v>
      </c>
      <c r="B137" s="5">
        <v>2</v>
      </c>
      <c r="D137" s="5" t="s">
        <v>209</v>
      </c>
      <c r="E137" s="6">
        <v>1.95</v>
      </c>
      <c r="G137" s="362">
        <v>1</v>
      </c>
      <c r="H137" s="362">
        <v>0</v>
      </c>
      <c r="I137" s="8">
        <v>1.1200000000000001</v>
      </c>
      <c r="L137" s="5" t="s">
        <v>128</v>
      </c>
      <c r="N137" s="476">
        <v>16</v>
      </c>
      <c r="O137" s="477" t="s">
        <v>209</v>
      </c>
      <c r="P137" s="478" t="s">
        <v>220</v>
      </c>
      <c r="Q137" s="478" t="s">
        <v>221</v>
      </c>
      <c r="R137" s="478" t="s">
        <v>684</v>
      </c>
      <c r="S137" s="481">
        <v>64</v>
      </c>
      <c r="T137" s="478" t="s">
        <v>41</v>
      </c>
      <c r="U137" s="478" t="s">
        <v>45</v>
      </c>
      <c r="V137" s="480" t="s">
        <v>10</v>
      </c>
      <c r="W137" s="51">
        <v>0.1</v>
      </c>
      <c r="X137" s="357" t="s">
        <v>53</v>
      </c>
      <c r="Z137" s="5" t="s">
        <v>52</v>
      </c>
      <c r="AA137" s="112" t="s">
        <v>28</v>
      </c>
    </row>
    <row r="138" spans="1:29" x14ac:dyDescent="0.25">
      <c r="A138" s="329">
        <v>45891</v>
      </c>
      <c r="B138" s="5">
        <v>2</v>
      </c>
      <c r="D138" s="5" t="s">
        <v>209</v>
      </c>
      <c r="E138" s="6">
        <v>1.95</v>
      </c>
      <c r="G138" s="362">
        <v>1</v>
      </c>
      <c r="H138" s="362">
        <v>0</v>
      </c>
      <c r="I138" s="8">
        <v>1.1200000000000001</v>
      </c>
      <c r="L138" s="5" t="s">
        <v>128</v>
      </c>
      <c r="N138" s="476">
        <v>16</v>
      </c>
      <c r="O138" s="477" t="s">
        <v>209</v>
      </c>
      <c r="P138" s="478" t="s">
        <v>222</v>
      </c>
      <c r="Q138" s="478" t="s">
        <v>223</v>
      </c>
      <c r="R138" s="478" t="s">
        <v>699</v>
      </c>
      <c r="S138" s="481">
        <v>79</v>
      </c>
      <c r="T138" s="478" t="s">
        <v>47</v>
      </c>
      <c r="U138" s="478" t="s">
        <v>42</v>
      </c>
      <c r="V138" s="480" t="s">
        <v>540</v>
      </c>
      <c r="W138" s="51">
        <v>0.57999999999999996</v>
      </c>
      <c r="X138" s="357">
        <v>0.88</v>
      </c>
      <c r="Y138" s="351" t="s">
        <v>353</v>
      </c>
      <c r="Z138" s="5" t="s">
        <v>8</v>
      </c>
      <c r="AA138" s="112" t="s">
        <v>19</v>
      </c>
    </row>
    <row r="139" spans="1:29" x14ac:dyDescent="0.25">
      <c r="A139" s="329">
        <v>45891</v>
      </c>
      <c r="B139" s="5">
        <v>2</v>
      </c>
      <c r="D139" s="5" t="s">
        <v>209</v>
      </c>
      <c r="E139" s="6">
        <v>1.95</v>
      </c>
      <c r="G139" s="362">
        <v>1</v>
      </c>
      <c r="H139" s="362">
        <v>0</v>
      </c>
      <c r="I139" s="8">
        <v>1.1200000000000001</v>
      </c>
      <c r="L139" s="5" t="s">
        <v>128</v>
      </c>
      <c r="N139" s="476">
        <v>35</v>
      </c>
      <c r="O139" s="477" t="s">
        <v>209</v>
      </c>
      <c r="P139" s="478" t="s">
        <v>220</v>
      </c>
      <c r="Q139" s="478" t="s">
        <v>221</v>
      </c>
      <c r="R139" s="478" t="s">
        <v>684</v>
      </c>
      <c r="S139" s="479">
        <v>64</v>
      </c>
      <c r="T139" s="478" t="s">
        <v>47</v>
      </c>
      <c r="U139" s="478" t="s">
        <v>45</v>
      </c>
      <c r="V139" s="480" t="s">
        <v>10</v>
      </c>
      <c r="W139" s="51">
        <v>0.06</v>
      </c>
      <c r="X139" s="357" t="s">
        <v>53</v>
      </c>
      <c r="Y139" s="351" t="s">
        <v>353</v>
      </c>
      <c r="Z139" s="5" t="s">
        <v>16</v>
      </c>
      <c r="AA139" s="112" t="s">
        <v>19</v>
      </c>
    </row>
    <row r="140" spans="1:29" x14ac:dyDescent="0.25">
      <c r="A140" s="329">
        <v>45891</v>
      </c>
      <c r="B140" s="5">
        <v>2</v>
      </c>
      <c r="D140" s="5" t="s">
        <v>209</v>
      </c>
      <c r="E140" s="6">
        <v>1.95</v>
      </c>
      <c r="G140" s="362">
        <v>1</v>
      </c>
      <c r="H140" s="362">
        <v>0</v>
      </c>
      <c r="I140" s="8">
        <v>1.1200000000000001</v>
      </c>
      <c r="L140" s="5" t="s">
        <v>128</v>
      </c>
      <c r="N140" s="345">
        <v>39</v>
      </c>
      <c r="O140" s="38" t="s">
        <v>128</v>
      </c>
      <c r="P140" s="5" t="s">
        <v>135</v>
      </c>
      <c r="Q140" s="5" t="s">
        <v>136</v>
      </c>
      <c r="R140" s="5" t="s">
        <v>718</v>
      </c>
      <c r="S140" s="479">
        <v>65</v>
      </c>
      <c r="T140" s="5" t="s">
        <v>41</v>
      </c>
      <c r="U140" s="5" t="s">
        <v>45</v>
      </c>
      <c r="V140" s="57" t="s">
        <v>10</v>
      </c>
      <c r="W140" s="51">
        <v>0.12</v>
      </c>
      <c r="X140" s="357">
        <v>0.04</v>
      </c>
      <c r="Y140" s="351" t="s">
        <v>353</v>
      </c>
      <c r="Z140" s="5" t="s">
        <v>48</v>
      </c>
      <c r="AA140" s="112" t="s">
        <v>19</v>
      </c>
    </row>
    <row r="141" spans="1:29" x14ac:dyDescent="0.25">
      <c r="A141" s="329">
        <v>45891</v>
      </c>
      <c r="B141" s="5">
        <v>2</v>
      </c>
      <c r="D141" s="5" t="s">
        <v>209</v>
      </c>
      <c r="E141" s="6">
        <v>1.95</v>
      </c>
      <c r="G141" s="362">
        <v>1</v>
      </c>
      <c r="H141" s="362">
        <v>0</v>
      </c>
      <c r="I141" s="8">
        <v>1.1200000000000001</v>
      </c>
      <c r="L141" s="5" t="s">
        <v>128</v>
      </c>
      <c r="N141" s="476">
        <v>39</v>
      </c>
      <c r="O141" s="477" t="s">
        <v>209</v>
      </c>
      <c r="P141" s="478" t="s">
        <v>54</v>
      </c>
      <c r="Q141" s="478" t="s">
        <v>240</v>
      </c>
      <c r="R141" s="478" t="s">
        <v>688</v>
      </c>
      <c r="S141" s="479">
        <v>70</v>
      </c>
      <c r="T141" s="478" t="s">
        <v>47</v>
      </c>
      <c r="U141" s="478" t="s">
        <v>45</v>
      </c>
      <c r="V141" s="480" t="s">
        <v>20</v>
      </c>
      <c r="W141" s="51">
        <v>0.13</v>
      </c>
      <c r="X141" s="357" t="s">
        <v>53</v>
      </c>
      <c r="Z141" s="5" t="s">
        <v>16</v>
      </c>
      <c r="AA141" s="112" t="s">
        <v>19</v>
      </c>
    </row>
    <row r="142" spans="1:29" x14ac:dyDescent="0.25">
      <c r="A142" s="329">
        <v>45891</v>
      </c>
      <c r="B142" s="5">
        <v>2</v>
      </c>
      <c r="D142" s="5" t="s">
        <v>209</v>
      </c>
      <c r="E142" s="6">
        <v>1.95</v>
      </c>
      <c r="G142" s="362">
        <v>1</v>
      </c>
      <c r="H142" s="362">
        <v>0</v>
      </c>
      <c r="I142" s="8">
        <v>1.1200000000000001</v>
      </c>
      <c r="L142" s="5" t="s">
        <v>128</v>
      </c>
      <c r="N142" s="476">
        <v>61</v>
      </c>
      <c r="O142" s="477" t="s">
        <v>209</v>
      </c>
      <c r="P142" s="478" t="s">
        <v>216</v>
      </c>
      <c r="Q142" s="478" t="s">
        <v>217</v>
      </c>
      <c r="R142" s="478" t="s">
        <v>689</v>
      </c>
      <c r="S142" s="479">
        <v>70</v>
      </c>
      <c r="T142" s="478" t="s">
        <v>41</v>
      </c>
      <c r="U142" s="478" t="s">
        <v>42</v>
      </c>
      <c r="V142" s="480" t="s">
        <v>10</v>
      </c>
      <c r="W142" s="51">
        <v>0.11</v>
      </c>
      <c r="X142" s="357">
        <v>0.21</v>
      </c>
      <c r="Z142" s="5" t="s">
        <v>48</v>
      </c>
      <c r="AA142" s="112" t="s">
        <v>19</v>
      </c>
    </row>
    <row r="143" spans="1:29" x14ac:dyDescent="0.25">
      <c r="A143" s="329">
        <v>45891</v>
      </c>
      <c r="B143" s="5">
        <v>2</v>
      </c>
      <c r="D143" s="5" t="s">
        <v>209</v>
      </c>
      <c r="E143" s="6">
        <v>1.95</v>
      </c>
      <c r="G143" s="362">
        <v>1</v>
      </c>
      <c r="H143" s="362">
        <v>0</v>
      </c>
      <c r="I143" s="8">
        <v>1.1200000000000001</v>
      </c>
      <c r="L143" s="5" t="s">
        <v>128</v>
      </c>
      <c r="N143" s="345">
        <v>64</v>
      </c>
      <c r="O143" s="38" t="s">
        <v>128</v>
      </c>
      <c r="P143" s="5" t="s">
        <v>25</v>
      </c>
      <c r="Q143" s="5" t="s">
        <v>242</v>
      </c>
      <c r="R143" s="5" t="s">
        <v>688</v>
      </c>
      <c r="S143" s="479">
        <v>64</v>
      </c>
      <c r="T143" s="5" t="s">
        <v>47</v>
      </c>
      <c r="U143" s="5" t="s">
        <v>42</v>
      </c>
      <c r="V143" s="57" t="s">
        <v>33</v>
      </c>
      <c r="W143" s="51">
        <v>0.18</v>
      </c>
      <c r="X143" s="357" t="s">
        <v>53</v>
      </c>
      <c r="Y143" s="351" t="s">
        <v>353</v>
      </c>
      <c r="Z143" s="5" t="s">
        <v>13</v>
      </c>
      <c r="AA143" s="112" t="s">
        <v>19</v>
      </c>
    </row>
    <row r="144" spans="1:29" x14ac:dyDescent="0.25">
      <c r="A144" s="329">
        <v>45891</v>
      </c>
      <c r="B144" s="5">
        <v>2</v>
      </c>
      <c r="D144" s="5" t="s">
        <v>209</v>
      </c>
      <c r="E144" s="6">
        <v>1.95</v>
      </c>
      <c r="G144" s="362">
        <v>1</v>
      </c>
      <c r="H144" s="362">
        <v>0</v>
      </c>
      <c r="I144" s="8">
        <v>1.1200000000000001</v>
      </c>
      <c r="L144" s="5" t="s">
        <v>128</v>
      </c>
      <c r="N144" s="476">
        <v>67</v>
      </c>
      <c r="O144" s="477" t="s">
        <v>209</v>
      </c>
      <c r="P144" s="478" t="s">
        <v>241</v>
      </c>
      <c r="Q144" s="478" t="s">
        <v>75</v>
      </c>
      <c r="R144" s="478" t="s">
        <v>696</v>
      </c>
      <c r="S144" s="479">
        <v>65</v>
      </c>
      <c r="T144" s="478" t="s">
        <v>44</v>
      </c>
      <c r="U144" s="478" t="s">
        <v>43</v>
      </c>
      <c r="V144" s="480" t="s">
        <v>10</v>
      </c>
      <c r="W144" s="51">
        <v>0.11</v>
      </c>
      <c r="X144" s="357">
        <v>0.13</v>
      </c>
      <c r="Z144" s="5" t="s">
        <v>48</v>
      </c>
      <c r="AA144" s="112" t="s">
        <v>19</v>
      </c>
    </row>
    <row r="145" spans="1:29" x14ac:dyDescent="0.25">
      <c r="A145" s="329">
        <v>45891</v>
      </c>
      <c r="B145" s="5">
        <v>2</v>
      </c>
      <c r="D145" s="5" t="s">
        <v>209</v>
      </c>
      <c r="E145" s="6">
        <v>1.95</v>
      </c>
      <c r="G145" s="362">
        <v>1</v>
      </c>
      <c r="H145" s="362">
        <v>0</v>
      </c>
      <c r="I145" s="8">
        <v>1.1200000000000001</v>
      </c>
      <c r="L145" s="5" t="s">
        <v>128</v>
      </c>
      <c r="N145" s="476">
        <v>73</v>
      </c>
      <c r="O145" s="477" t="s">
        <v>209</v>
      </c>
      <c r="P145" s="478" t="s">
        <v>220</v>
      </c>
      <c r="Q145" s="478" t="s">
        <v>221</v>
      </c>
      <c r="R145" s="478" t="s">
        <v>684</v>
      </c>
      <c r="S145" s="479">
        <v>64</v>
      </c>
      <c r="T145" s="478" t="s">
        <v>41</v>
      </c>
      <c r="U145" s="478" t="s">
        <v>42</v>
      </c>
      <c r="V145" s="480" t="s">
        <v>540</v>
      </c>
      <c r="W145" s="51">
        <v>0.1</v>
      </c>
      <c r="X145" s="357" t="s">
        <v>53</v>
      </c>
      <c r="Z145" s="5" t="s">
        <v>13</v>
      </c>
      <c r="AA145" s="112" t="s">
        <v>19</v>
      </c>
    </row>
    <row r="146" spans="1:29" x14ac:dyDescent="0.25">
      <c r="A146" s="329">
        <v>45891</v>
      </c>
      <c r="B146" s="5">
        <v>2</v>
      </c>
      <c r="D146" s="5" t="s">
        <v>209</v>
      </c>
      <c r="E146" s="6">
        <v>1.95</v>
      </c>
      <c r="G146" s="362">
        <v>1</v>
      </c>
      <c r="H146" s="362">
        <v>0</v>
      </c>
      <c r="I146" s="8">
        <v>1.1200000000000001</v>
      </c>
      <c r="L146" s="5" t="s">
        <v>128</v>
      </c>
      <c r="N146" s="476" t="s">
        <v>35</v>
      </c>
      <c r="O146" s="477" t="s">
        <v>209</v>
      </c>
      <c r="P146" s="478" t="s">
        <v>241</v>
      </c>
      <c r="Q146" s="478" t="s">
        <v>75</v>
      </c>
      <c r="R146" s="478" t="s">
        <v>696</v>
      </c>
      <c r="S146" s="479">
        <v>65</v>
      </c>
      <c r="T146" s="478" t="s">
        <v>41</v>
      </c>
      <c r="U146" s="478" t="s">
        <v>42</v>
      </c>
      <c r="V146" s="480" t="s">
        <v>18</v>
      </c>
      <c r="W146" s="51">
        <v>0.14000000000000001</v>
      </c>
      <c r="X146" s="357" t="s">
        <v>53</v>
      </c>
      <c r="Z146" s="5" t="s">
        <v>13</v>
      </c>
      <c r="AA146" s="112" t="s">
        <v>19</v>
      </c>
    </row>
    <row r="147" spans="1:29" ht="15.75" thickBot="1" x14ac:dyDescent="0.3">
      <c r="A147" s="330">
        <v>45891</v>
      </c>
      <c r="B147" s="9">
        <v>2</v>
      </c>
      <c r="C147" s="122"/>
      <c r="D147" s="9" t="s">
        <v>209</v>
      </c>
      <c r="E147" s="10">
        <v>1.95</v>
      </c>
      <c r="F147" s="10"/>
      <c r="G147" s="383">
        <v>1</v>
      </c>
      <c r="H147" s="383">
        <v>0</v>
      </c>
      <c r="I147" s="12">
        <v>1.1200000000000001</v>
      </c>
      <c r="J147" s="12"/>
      <c r="K147" s="122"/>
      <c r="L147" s="9" t="s">
        <v>128</v>
      </c>
      <c r="M147" s="45"/>
      <c r="N147" s="511" t="s">
        <v>36</v>
      </c>
      <c r="O147" s="512" t="s">
        <v>209</v>
      </c>
      <c r="P147" s="513" t="s">
        <v>355</v>
      </c>
      <c r="Q147" s="513" t="s">
        <v>341</v>
      </c>
      <c r="R147" s="513" t="s">
        <v>696</v>
      </c>
      <c r="S147" s="479">
        <v>64</v>
      </c>
      <c r="T147" s="513" t="s">
        <v>354</v>
      </c>
      <c r="U147" s="513" t="s">
        <v>42</v>
      </c>
      <c r="V147" s="514" t="s">
        <v>10</v>
      </c>
      <c r="W147" s="52">
        <v>0.06</v>
      </c>
      <c r="X147" s="358" t="s">
        <v>53</v>
      </c>
      <c r="Y147" s="352"/>
      <c r="Z147" s="9" t="s">
        <v>17</v>
      </c>
      <c r="AA147" s="113" t="s">
        <v>19</v>
      </c>
      <c r="AB147" s="109"/>
      <c r="AC147" s="58"/>
    </row>
    <row r="148" spans="1:29" ht="15.75" thickBot="1" x14ac:dyDescent="0.3">
      <c r="A148" s="326">
        <v>45891</v>
      </c>
      <c r="B148" s="207">
        <v>2</v>
      </c>
      <c r="C148" s="208"/>
      <c r="D148" s="207" t="s">
        <v>209</v>
      </c>
      <c r="E148" s="209">
        <v>1.95</v>
      </c>
      <c r="F148" s="209"/>
      <c r="G148" s="460">
        <v>1</v>
      </c>
      <c r="H148" s="460">
        <v>0</v>
      </c>
      <c r="I148" s="211">
        <v>1.1200000000000001</v>
      </c>
      <c r="J148" s="211"/>
      <c r="K148" s="208"/>
      <c r="L148" s="207" t="s">
        <v>128</v>
      </c>
      <c r="M148" s="197"/>
      <c r="N148" s="347"/>
      <c r="O148" s="343" t="s">
        <v>209</v>
      </c>
      <c r="P148" s="199" t="s">
        <v>447</v>
      </c>
      <c r="Q148" s="199" t="s">
        <v>150</v>
      </c>
      <c r="R148" s="199" t="s">
        <v>707</v>
      </c>
      <c r="S148" s="479">
        <v>79</v>
      </c>
      <c r="T148" s="199"/>
      <c r="U148" s="199"/>
      <c r="V148" s="201"/>
      <c r="W148" s="202"/>
      <c r="X148" s="359"/>
      <c r="Y148" s="353">
        <f>H148</f>
        <v>0</v>
      </c>
      <c r="Z148" s="199"/>
      <c r="AA148" s="204"/>
      <c r="AB148" s="205"/>
      <c r="AC148" s="201"/>
    </row>
    <row r="149" spans="1:29" ht="15.75" thickBot="1" x14ac:dyDescent="0.3">
      <c r="A149" s="326">
        <v>45891</v>
      </c>
      <c r="B149" s="207">
        <v>2</v>
      </c>
      <c r="C149" s="208"/>
      <c r="D149" s="207" t="s">
        <v>209</v>
      </c>
      <c r="E149" s="209">
        <v>1.95</v>
      </c>
      <c r="F149" s="209"/>
      <c r="G149" s="460">
        <v>1</v>
      </c>
      <c r="H149" s="460">
        <v>0</v>
      </c>
      <c r="I149" s="211">
        <v>1.1200000000000001</v>
      </c>
      <c r="J149" s="211"/>
      <c r="K149" s="208"/>
      <c r="L149" s="207" t="s">
        <v>128</v>
      </c>
      <c r="M149" s="197"/>
      <c r="N149" s="347"/>
      <c r="O149" s="343" t="s">
        <v>128</v>
      </c>
      <c r="P149" s="199" t="s">
        <v>127</v>
      </c>
      <c r="Q149" s="199" t="s">
        <v>476</v>
      </c>
      <c r="R149" s="199" t="s">
        <v>707</v>
      </c>
      <c r="S149" s="479">
        <v>70</v>
      </c>
      <c r="T149" s="199"/>
      <c r="U149" s="199"/>
      <c r="V149" s="201"/>
      <c r="W149" s="202"/>
      <c r="X149" s="359"/>
      <c r="Y149" s="353">
        <f>G148</f>
        <v>1</v>
      </c>
      <c r="Z149" s="199"/>
      <c r="AA149" s="204"/>
      <c r="AB149" s="205"/>
      <c r="AC149" s="201"/>
    </row>
    <row r="150" spans="1:29" x14ac:dyDescent="0.25">
      <c r="A150" s="331">
        <v>45892</v>
      </c>
      <c r="B150" s="13">
        <v>2</v>
      </c>
      <c r="C150" s="124" t="s">
        <v>693</v>
      </c>
      <c r="D150" s="13" t="s">
        <v>112</v>
      </c>
      <c r="E150" s="14">
        <v>0.68</v>
      </c>
      <c r="F150" s="14"/>
      <c r="G150" s="375">
        <v>1</v>
      </c>
      <c r="H150" s="375">
        <v>1</v>
      </c>
      <c r="I150" s="16">
        <v>0.74</v>
      </c>
      <c r="J150" s="16"/>
      <c r="K150" s="124" t="s">
        <v>702</v>
      </c>
      <c r="L150" s="13" t="s">
        <v>456</v>
      </c>
      <c r="M150" s="47"/>
      <c r="N150" s="349">
        <v>16</v>
      </c>
      <c r="O150" s="458" t="s">
        <v>456</v>
      </c>
      <c r="P150" s="13" t="s">
        <v>249</v>
      </c>
      <c r="Q150" s="13" t="s">
        <v>250</v>
      </c>
      <c r="R150" s="13" t="s">
        <v>695</v>
      </c>
      <c r="S150" s="7">
        <v>71</v>
      </c>
      <c r="T150" s="13" t="s">
        <v>354</v>
      </c>
      <c r="U150" s="13" t="s">
        <v>42</v>
      </c>
      <c r="V150" s="60" t="s">
        <v>540</v>
      </c>
      <c r="W150" s="54">
        <v>0.02</v>
      </c>
      <c r="X150" s="361">
        <v>0.19</v>
      </c>
      <c r="Y150" s="355"/>
      <c r="Z150" s="13" t="s">
        <v>48</v>
      </c>
      <c r="AA150" s="115" t="s">
        <v>28</v>
      </c>
      <c r="AB150" s="110"/>
      <c r="AC150" s="60"/>
    </row>
    <row r="151" spans="1:29" x14ac:dyDescent="0.25">
      <c r="A151" s="329">
        <v>45892</v>
      </c>
      <c r="B151" s="5">
        <v>2</v>
      </c>
      <c r="D151" s="5" t="s">
        <v>112</v>
      </c>
      <c r="E151" s="6">
        <v>0.68</v>
      </c>
      <c r="G151" s="362">
        <v>1</v>
      </c>
      <c r="H151" s="362">
        <v>1</v>
      </c>
      <c r="I151" s="8">
        <v>0.74</v>
      </c>
      <c r="L151" s="5" t="s">
        <v>456</v>
      </c>
      <c r="N151" s="345">
        <v>38</v>
      </c>
      <c r="O151" s="38" t="s">
        <v>456</v>
      </c>
      <c r="P151" s="5" t="s">
        <v>251</v>
      </c>
      <c r="Q151" s="5" t="s">
        <v>252</v>
      </c>
      <c r="R151" s="5" t="s">
        <v>689</v>
      </c>
      <c r="S151" s="459">
        <v>71</v>
      </c>
      <c r="T151" s="5" t="s">
        <v>44</v>
      </c>
      <c r="U151" s="5" t="s">
        <v>42</v>
      </c>
      <c r="V151" s="57" t="s">
        <v>10</v>
      </c>
      <c r="W151" s="51">
        <v>0.28000000000000003</v>
      </c>
      <c r="X151" s="357">
        <v>0.16</v>
      </c>
      <c r="Y151" s="351" t="s">
        <v>353</v>
      </c>
      <c r="Z151" s="5" t="s">
        <v>8</v>
      </c>
      <c r="AA151" s="112" t="s">
        <v>9</v>
      </c>
      <c r="AB151" s="108" t="s">
        <v>147</v>
      </c>
      <c r="AC151" s="57" t="s">
        <v>386</v>
      </c>
    </row>
    <row r="152" spans="1:29" x14ac:dyDescent="0.25">
      <c r="A152" s="329">
        <v>45892</v>
      </c>
      <c r="B152" s="5">
        <v>2</v>
      </c>
      <c r="D152" s="5" t="s">
        <v>112</v>
      </c>
      <c r="E152" s="6">
        <v>0.68</v>
      </c>
      <c r="G152" s="362">
        <v>1</v>
      </c>
      <c r="H152" s="362">
        <v>1</v>
      </c>
      <c r="I152" s="8">
        <v>0.74</v>
      </c>
      <c r="L152" s="5" t="s">
        <v>456</v>
      </c>
      <c r="N152" s="476">
        <v>60</v>
      </c>
      <c r="O152" s="477" t="s">
        <v>112</v>
      </c>
      <c r="P152" s="478" t="s">
        <v>243</v>
      </c>
      <c r="Q152" s="478" t="s">
        <v>244</v>
      </c>
      <c r="R152" s="478" t="s">
        <v>684</v>
      </c>
      <c r="S152" s="481">
        <v>64</v>
      </c>
      <c r="T152" s="478" t="s">
        <v>41</v>
      </c>
      <c r="U152" s="478" t="s">
        <v>42</v>
      </c>
      <c r="V152" s="480" t="s">
        <v>10</v>
      </c>
      <c r="W152" s="51">
        <v>0.14000000000000001</v>
      </c>
      <c r="X152" s="357" t="s">
        <v>53</v>
      </c>
      <c r="Z152" s="5" t="s">
        <v>52</v>
      </c>
      <c r="AA152" s="112" t="s">
        <v>9</v>
      </c>
    </row>
    <row r="153" spans="1:29" x14ac:dyDescent="0.25">
      <c r="A153" s="329">
        <v>45892</v>
      </c>
      <c r="B153" s="5">
        <v>2</v>
      </c>
      <c r="D153" s="5" t="s">
        <v>112</v>
      </c>
      <c r="E153" s="6">
        <v>0.68</v>
      </c>
      <c r="G153" s="362">
        <v>1</v>
      </c>
      <c r="H153" s="362">
        <v>1</v>
      </c>
      <c r="I153" s="8">
        <v>0.74</v>
      </c>
      <c r="L153" s="5" t="s">
        <v>456</v>
      </c>
      <c r="N153" s="345">
        <v>66</v>
      </c>
      <c r="O153" s="38" t="s">
        <v>456</v>
      </c>
      <c r="P153" s="5" t="s">
        <v>249</v>
      </c>
      <c r="Q153" s="5" t="s">
        <v>250</v>
      </c>
      <c r="R153" s="5" t="s">
        <v>695</v>
      </c>
      <c r="S153" s="7">
        <v>71</v>
      </c>
      <c r="T153" s="5" t="s">
        <v>44</v>
      </c>
      <c r="U153" s="5" t="s">
        <v>42</v>
      </c>
      <c r="V153" s="57" t="s">
        <v>10</v>
      </c>
      <c r="W153" s="51">
        <v>0.1</v>
      </c>
      <c r="X153" s="357" t="s">
        <v>53</v>
      </c>
      <c r="Z153" s="5" t="s">
        <v>52</v>
      </c>
      <c r="AA153" s="112" t="s">
        <v>9</v>
      </c>
    </row>
    <row r="154" spans="1:29" x14ac:dyDescent="0.25">
      <c r="A154" s="329">
        <v>45892</v>
      </c>
      <c r="B154" s="5">
        <v>2</v>
      </c>
      <c r="D154" s="5" t="s">
        <v>112</v>
      </c>
      <c r="E154" s="6">
        <v>0.68</v>
      </c>
      <c r="G154" s="362">
        <v>1</v>
      </c>
      <c r="H154" s="362">
        <v>1</v>
      </c>
      <c r="I154" s="8">
        <v>0.74</v>
      </c>
      <c r="L154" s="5" t="s">
        <v>456</v>
      </c>
      <c r="N154" s="476">
        <v>69</v>
      </c>
      <c r="O154" s="477" t="s">
        <v>112</v>
      </c>
      <c r="P154" s="478" t="s">
        <v>241</v>
      </c>
      <c r="Q154" s="478" t="s">
        <v>245</v>
      </c>
      <c r="R154" s="478" t="s">
        <v>699</v>
      </c>
      <c r="S154" s="479">
        <v>63</v>
      </c>
      <c r="T154" s="478" t="s">
        <v>354</v>
      </c>
      <c r="U154" s="478" t="s">
        <v>42</v>
      </c>
      <c r="V154" s="480" t="s">
        <v>10</v>
      </c>
      <c r="W154" s="51">
        <v>0.02</v>
      </c>
      <c r="X154" s="357">
        <v>0.19</v>
      </c>
      <c r="Z154" s="5" t="s">
        <v>48</v>
      </c>
      <c r="AA154" s="112" t="s">
        <v>9</v>
      </c>
    </row>
    <row r="155" spans="1:29" x14ac:dyDescent="0.25">
      <c r="A155" s="329">
        <v>45892</v>
      </c>
      <c r="B155" s="5">
        <v>2</v>
      </c>
      <c r="D155" s="5" t="s">
        <v>112</v>
      </c>
      <c r="E155" s="6">
        <v>0.68</v>
      </c>
      <c r="G155" s="362">
        <v>1</v>
      </c>
      <c r="H155" s="362">
        <v>1</v>
      </c>
      <c r="I155" s="8">
        <v>0.74</v>
      </c>
      <c r="L155" s="5" t="s">
        <v>456</v>
      </c>
      <c r="N155" s="476">
        <v>70</v>
      </c>
      <c r="O155" s="477" t="s">
        <v>112</v>
      </c>
      <c r="P155" s="478" t="s">
        <v>127</v>
      </c>
      <c r="Q155" s="478" t="s">
        <v>246</v>
      </c>
      <c r="R155" s="478" t="s">
        <v>712</v>
      </c>
      <c r="S155" s="479">
        <v>63</v>
      </c>
      <c r="T155" s="478" t="s">
        <v>41</v>
      </c>
      <c r="U155" s="478" t="s">
        <v>45</v>
      </c>
      <c r="V155" s="480" t="s">
        <v>20</v>
      </c>
      <c r="W155" s="51">
        <v>0.08</v>
      </c>
      <c r="X155" s="357" t="s">
        <v>53</v>
      </c>
      <c r="Y155" s="351" t="s">
        <v>353</v>
      </c>
      <c r="Z155" s="5" t="s">
        <v>22</v>
      </c>
      <c r="AA155" s="112" t="s">
        <v>9</v>
      </c>
    </row>
    <row r="156" spans="1:29" x14ac:dyDescent="0.25">
      <c r="A156" s="329">
        <v>45892</v>
      </c>
      <c r="B156" s="5">
        <v>2</v>
      </c>
      <c r="D156" s="5" t="s">
        <v>112</v>
      </c>
      <c r="E156" s="6">
        <v>0.68</v>
      </c>
      <c r="G156" s="362">
        <v>1</v>
      </c>
      <c r="H156" s="362">
        <v>1</v>
      </c>
      <c r="I156" s="8">
        <v>0.74</v>
      </c>
      <c r="L156" s="5" t="s">
        <v>456</v>
      </c>
      <c r="N156" s="345">
        <v>81</v>
      </c>
      <c r="O156" s="38" t="s">
        <v>456</v>
      </c>
      <c r="P156" s="5" t="s">
        <v>253</v>
      </c>
      <c r="Q156" s="5" t="s">
        <v>254</v>
      </c>
      <c r="R156" s="5" t="s">
        <v>696</v>
      </c>
      <c r="S156" s="7">
        <v>62</v>
      </c>
      <c r="T156" s="5" t="s">
        <v>41</v>
      </c>
      <c r="U156" s="5" t="s">
        <v>43</v>
      </c>
      <c r="V156" s="57" t="s">
        <v>10</v>
      </c>
      <c r="W156" s="51">
        <v>0.19</v>
      </c>
      <c r="X156" s="357" t="s">
        <v>53</v>
      </c>
      <c r="Y156" s="351" t="s">
        <v>353</v>
      </c>
      <c r="Z156" s="5" t="s">
        <v>13</v>
      </c>
      <c r="AA156" s="112" t="s">
        <v>9</v>
      </c>
    </row>
    <row r="157" spans="1:29" x14ac:dyDescent="0.25">
      <c r="A157" s="329">
        <v>45892</v>
      </c>
      <c r="B157" s="5">
        <v>2</v>
      </c>
      <c r="D157" s="5" t="s">
        <v>112</v>
      </c>
      <c r="E157" s="6">
        <v>0.68</v>
      </c>
      <c r="G157" s="362">
        <v>1</v>
      </c>
      <c r="H157" s="362">
        <v>1</v>
      </c>
      <c r="I157" s="8">
        <v>0.74</v>
      </c>
      <c r="L157" s="5" t="s">
        <v>456</v>
      </c>
      <c r="N157" s="345">
        <v>87</v>
      </c>
      <c r="O157" s="38" t="s">
        <v>456</v>
      </c>
      <c r="P157" s="5" t="s">
        <v>255</v>
      </c>
      <c r="Q157" s="5" t="s">
        <v>256</v>
      </c>
      <c r="R157" s="5" t="s">
        <v>696</v>
      </c>
      <c r="S157" s="7">
        <v>60</v>
      </c>
      <c r="T157" s="5" t="s">
        <v>41</v>
      </c>
      <c r="U157" s="5" t="s">
        <v>42</v>
      </c>
      <c r="V157" s="57" t="s">
        <v>18</v>
      </c>
      <c r="W157" s="51">
        <v>0.08</v>
      </c>
      <c r="X157" s="357" t="s">
        <v>53</v>
      </c>
      <c r="Z157" s="5" t="s">
        <v>16</v>
      </c>
      <c r="AA157" s="112" t="s">
        <v>9</v>
      </c>
    </row>
    <row r="158" spans="1:29" ht="15.75" thickBot="1" x14ac:dyDescent="0.3">
      <c r="A158" s="330">
        <v>45892</v>
      </c>
      <c r="B158" s="9">
        <v>2</v>
      </c>
      <c r="C158" s="122"/>
      <c r="D158" s="9" t="s">
        <v>112</v>
      </c>
      <c r="E158" s="10">
        <v>0.68</v>
      </c>
      <c r="F158" s="10"/>
      <c r="G158" s="383">
        <v>1</v>
      </c>
      <c r="H158" s="383">
        <v>1</v>
      </c>
      <c r="I158" s="12">
        <v>0.74</v>
      </c>
      <c r="J158" s="12"/>
      <c r="K158" s="122"/>
      <c r="L158" s="9" t="s">
        <v>456</v>
      </c>
      <c r="M158" s="45"/>
      <c r="N158" s="511">
        <v>87</v>
      </c>
      <c r="O158" s="512" t="s">
        <v>112</v>
      </c>
      <c r="P158" s="513" t="s">
        <v>247</v>
      </c>
      <c r="Q158" s="513" t="s">
        <v>248</v>
      </c>
      <c r="R158" s="513" t="s">
        <v>689</v>
      </c>
      <c r="S158" s="479">
        <v>73</v>
      </c>
      <c r="T158" s="513" t="s">
        <v>41</v>
      </c>
      <c r="U158" s="513" t="s">
        <v>42</v>
      </c>
      <c r="V158" s="514" t="s">
        <v>540</v>
      </c>
      <c r="W158" s="52">
        <v>0.15</v>
      </c>
      <c r="X158" s="358">
        <v>0.7</v>
      </c>
      <c r="Y158" s="352"/>
      <c r="Z158" s="9" t="s">
        <v>8</v>
      </c>
      <c r="AA158" s="113" t="s">
        <v>51</v>
      </c>
      <c r="AB158" s="109"/>
      <c r="AC158" s="58"/>
    </row>
    <row r="159" spans="1:29" ht="15.75" thickBot="1" x14ac:dyDescent="0.3">
      <c r="A159" s="326">
        <v>45892</v>
      </c>
      <c r="B159" s="207">
        <v>2</v>
      </c>
      <c r="C159" s="208"/>
      <c r="D159" s="207" t="s">
        <v>112</v>
      </c>
      <c r="E159" s="209">
        <v>0.68</v>
      </c>
      <c r="F159" s="209"/>
      <c r="G159" s="460">
        <v>1</v>
      </c>
      <c r="H159" s="460">
        <v>1</v>
      </c>
      <c r="I159" s="211">
        <v>0.74</v>
      </c>
      <c r="J159" s="211"/>
      <c r="K159" s="208"/>
      <c r="L159" s="207" t="s">
        <v>456</v>
      </c>
      <c r="M159" s="197"/>
      <c r="N159" s="347"/>
      <c r="O159" s="343" t="s">
        <v>112</v>
      </c>
      <c r="P159" s="199" t="s">
        <v>60</v>
      </c>
      <c r="Q159" s="199" t="s">
        <v>464</v>
      </c>
      <c r="R159" s="199" t="s">
        <v>707</v>
      </c>
      <c r="S159" s="479">
        <v>61</v>
      </c>
      <c r="T159" s="199"/>
      <c r="U159" s="199"/>
      <c r="V159" s="201"/>
      <c r="W159" s="202"/>
      <c r="X159" s="359"/>
      <c r="Y159" s="353">
        <f>H159</f>
        <v>1</v>
      </c>
      <c r="Z159" s="199"/>
      <c r="AA159" s="204"/>
      <c r="AB159" s="205"/>
      <c r="AC159" s="201"/>
    </row>
    <row r="160" spans="1:29" ht="15.75" thickBot="1" x14ac:dyDescent="0.3">
      <c r="A160" s="326">
        <v>45892</v>
      </c>
      <c r="B160" s="207">
        <v>2</v>
      </c>
      <c r="C160" s="208"/>
      <c r="D160" s="207" t="s">
        <v>112</v>
      </c>
      <c r="E160" s="209">
        <v>0.68</v>
      </c>
      <c r="F160" s="209"/>
      <c r="G160" s="460">
        <v>1</v>
      </c>
      <c r="H160" s="460">
        <v>1</v>
      </c>
      <c r="I160" s="211">
        <v>0.74</v>
      </c>
      <c r="J160" s="211"/>
      <c r="K160" s="208"/>
      <c r="L160" s="207" t="s">
        <v>456</v>
      </c>
      <c r="M160" s="197"/>
      <c r="N160" s="347"/>
      <c r="O160" s="343" t="s">
        <v>456</v>
      </c>
      <c r="P160" s="199" t="s">
        <v>719</v>
      </c>
      <c r="Q160" s="199" t="s">
        <v>720</v>
      </c>
      <c r="R160" s="199" t="s">
        <v>707</v>
      </c>
      <c r="S160" s="481">
        <v>67</v>
      </c>
      <c r="T160" s="199"/>
      <c r="U160" s="199"/>
      <c r="V160" s="201"/>
      <c r="W160" s="202"/>
      <c r="X160" s="359"/>
      <c r="Y160" s="353">
        <f>G159</f>
        <v>1</v>
      </c>
      <c r="Z160" s="199"/>
      <c r="AA160" s="204"/>
      <c r="AB160" s="205"/>
      <c r="AC160" s="201"/>
    </row>
    <row r="161" spans="1:29" x14ac:dyDescent="0.25">
      <c r="A161" s="328">
        <v>45892</v>
      </c>
      <c r="B161" s="17">
        <v>2</v>
      </c>
      <c r="C161" s="123" t="s">
        <v>694</v>
      </c>
      <c r="D161" s="17" t="s">
        <v>193</v>
      </c>
      <c r="E161" s="18">
        <v>1.74</v>
      </c>
      <c r="F161" s="18"/>
      <c r="G161" s="461">
        <v>1</v>
      </c>
      <c r="H161" s="461">
        <v>1</v>
      </c>
      <c r="I161" s="20">
        <v>0.56999999999999995</v>
      </c>
      <c r="J161" s="20"/>
      <c r="K161" s="123" t="s">
        <v>703</v>
      </c>
      <c r="L161" s="17" t="s">
        <v>208</v>
      </c>
      <c r="M161" s="46"/>
      <c r="N161" s="507">
        <v>8</v>
      </c>
      <c r="O161" s="508" t="s">
        <v>193</v>
      </c>
      <c r="P161" s="509" t="s">
        <v>257</v>
      </c>
      <c r="Q161" s="509" t="s">
        <v>258</v>
      </c>
      <c r="R161" s="509" t="s">
        <v>718</v>
      </c>
      <c r="S161" s="481">
        <v>77</v>
      </c>
      <c r="T161" s="509" t="s">
        <v>41</v>
      </c>
      <c r="U161" s="509" t="s">
        <v>43</v>
      </c>
      <c r="V161" s="510" t="s">
        <v>10</v>
      </c>
      <c r="W161" s="53">
        <v>0.22</v>
      </c>
      <c r="X161" s="360">
        <v>0.3</v>
      </c>
      <c r="Y161" s="354" t="s">
        <v>353</v>
      </c>
      <c r="Z161" s="17" t="s">
        <v>8</v>
      </c>
      <c r="AA161" s="114" t="s">
        <v>19</v>
      </c>
      <c r="AB161" s="110" t="s">
        <v>316</v>
      </c>
      <c r="AC161" s="60" t="s">
        <v>317</v>
      </c>
    </row>
    <row r="162" spans="1:29" x14ac:dyDescent="0.25">
      <c r="A162" s="329">
        <v>45892</v>
      </c>
      <c r="B162" s="5">
        <v>2</v>
      </c>
      <c r="D162" s="5" t="s">
        <v>193</v>
      </c>
      <c r="E162" s="6">
        <v>1.74</v>
      </c>
      <c r="G162" s="362">
        <v>1</v>
      </c>
      <c r="H162" s="362">
        <v>1</v>
      </c>
      <c r="I162" s="8">
        <v>0.56999999999999995</v>
      </c>
      <c r="L162" s="5" t="s">
        <v>208</v>
      </c>
      <c r="N162" s="476">
        <v>14</v>
      </c>
      <c r="O162" s="477" t="s">
        <v>193</v>
      </c>
      <c r="P162" s="478" t="s">
        <v>257</v>
      </c>
      <c r="Q162" s="478" t="s">
        <v>258</v>
      </c>
      <c r="R162" s="478" t="s">
        <v>718</v>
      </c>
      <c r="S162" s="479">
        <v>77</v>
      </c>
      <c r="T162" s="478" t="s">
        <v>41</v>
      </c>
      <c r="U162" s="478" t="s">
        <v>42</v>
      </c>
      <c r="V162" s="480" t="s">
        <v>18</v>
      </c>
      <c r="W162" s="51">
        <v>0.41</v>
      </c>
      <c r="X162" s="357">
        <v>0.33</v>
      </c>
      <c r="Y162" s="351" t="s">
        <v>353</v>
      </c>
      <c r="Z162" s="5" t="s">
        <v>48</v>
      </c>
      <c r="AA162" s="112" t="s">
        <v>19</v>
      </c>
    </row>
    <row r="163" spans="1:29" x14ac:dyDescent="0.25">
      <c r="A163" s="329">
        <v>45892</v>
      </c>
      <c r="B163" s="5">
        <v>2</v>
      </c>
      <c r="D163" s="5" t="s">
        <v>193</v>
      </c>
      <c r="E163" s="6">
        <v>1.74</v>
      </c>
      <c r="G163" s="362">
        <v>1</v>
      </c>
      <c r="H163" s="362">
        <v>1</v>
      </c>
      <c r="I163" s="8">
        <v>0.56999999999999995</v>
      </c>
      <c r="L163" s="5" t="s">
        <v>208</v>
      </c>
      <c r="N163" s="345">
        <v>15</v>
      </c>
      <c r="O163" s="38" t="s">
        <v>208</v>
      </c>
      <c r="P163" s="5" t="s">
        <v>61</v>
      </c>
      <c r="Q163" s="5" t="s">
        <v>261</v>
      </c>
      <c r="R163" s="5" t="s">
        <v>717</v>
      </c>
      <c r="S163" s="7">
        <v>69</v>
      </c>
      <c r="T163" s="5" t="s">
        <v>41</v>
      </c>
      <c r="U163" s="5" t="s">
        <v>42</v>
      </c>
      <c r="V163" s="57" t="s">
        <v>18</v>
      </c>
      <c r="W163" s="51">
        <v>0.3</v>
      </c>
      <c r="X163" s="357">
        <v>0.39</v>
      </c>
      <c r="Y163" s="351" t="s">
        <v>353</v>
      </c>
      <c r="Z163" s="5" t="s">
        <v>8</v>
      </c>
      <c r="AA163" s="112" t="s">
        <v>51</v>
      </c>
      <c r="AB163" s="108" t="s">
        <v>74</v>
      </c>
      <c r="AC163" s="57" t="s">
        <v>211</v>
      </c>
    </row>
    <row r="164" spans="1:29" x14ac:dyDescent="0.25">
      <c r="A164" s="329">
        <v>45892</v>
      </c>
      <c r="B164" s="5">
        <v>2</v>
      </c>
      <c r="D164" s="5" t="s">
        <v>193</v>
      </c>
      <c r="E164" s="6">
        <v>1.74</v>
      </c>
      <c r="G164" s="362">
        <v>1</v>
      </c>
      <c r="H164" s="362">
        <v>1</v>
      </c>
      <c r="I164" s="8">
        <v>0.56999999999999995</v>
      </c>
      <c r="L164" s="5" t="s">
        <v>208</v>
      </c>
      <c r="N164" s="345">
        <v>49</v>
      </c>
      <c r="O164" s="38" t="s">
        <v>208</v>
      </c>
      <c r="P164" s="5" t="s">
        <v>25</v>
      </c>
      <c r="Q164" s="5" t="s">
        <v>262</v>
      </c>
      <c r="R164" s="5" t="s">
        <v>696</v>
      </c>
      <c r="S164" s="479">
        <v>63</v>
      </c>
      <c r="T164" s="5" t="s">
        <v>41</v>
      </c>
      <c r="U164" s="5" t="s">
        <v>45</v>
      </c>
      <c r="V164" s="57" t="s">
        <v>33</v>
      </c>
      <c r="W164" s="51">
        <v>0.15</v>
      </c>
      <c r="X164" s="357" t="s">
        <v>53</v>
      </c>
      <c r="Z164" s="5" t="s">
        <v>13</v>
      </c>
      <c r="AA164" s="112" t="s">
        <v>51</v>
      </c>
    </row>
    <row r="165" spans="1:29" x14ac:dyDescent="0.25">
      <c r="A165" s="329">
        <v>45892</v>
      </c>
      <c r="B165" s="5">
        <v>2</v>
      </c>
      <c r="D165" s="5" t="s">
        <v>193</v>
      </c>
      <c r="E165" s="6">
        <v>1.74</v>
      </c>
      <c r="G165" s="362">
        <v>1</v>
      </c>
      <c r="H165" s="362">
        <v>1</v>
      </c>
      <c r="I165" s="8">
        <v>0.56999999999999995</v>
      </c>
      <c r="L165" s="5" t="s">
        <v>208</v>
      </c>
      <c r="N165" s="476">
        <v>71</v>
      </c>
      <c r="O165" s="477" t="s">
        <v>193</v>
      </c>
      <c r="P165" s="478" t="s">
        <v>206</v>
      </c>
      <c r="Q165" s="478" t="s">
        <v>207</v>
      </c>
      <c r="R165" s="478" t="s">
        <v>696</v>
      </c>
      <c r="S165" s="479">
        <v>64</v>
      </c>
      <c r="T165" s="478" t="s">
        <v>44</v>
      </c>
      <c r="U165" s="478" t="s">
        <v>43</v>
      </c>
      <c r="V165" s="480" t="s">
        <v>10</v>
      </c>
      <c r="W165" s="51">
        <v>0.02</v>
      </c>
      <c r="X165" s="357">
        <v>0.22</v>
      </c>
      <c r="Z165" s="5" t="s">
        <v>48</v>
      </c>
      <c r="AA165" s="112" t="s">
        <v>51</v>
      </c>
    </row>
    <row r="166" spans="1:29" ht="15.75" thickBot="1" x14ac:dyDescent="0.3">
      <c r="A166" s="330">
        <v>45892</v>
      </c>
      <c r="B166" s="9">
        <v>2</v>
      </c>
      <c r="C166" s="122"/>
      <c r="D166" s="9" t="s">
        <v>193</v>
      </c>
      <c r="E166" s="10">
        <v>1.74</v>
      </c>
      <c r="F166" s="10"/>
      <c r="G166" s="383">
        <v>1</v>
      </c>
      <c r="H166" s="383">
        <v>1</v>
      </c>
      <c r="I166" s="12">
        <v>0.56999999999999995</v>
      </c>
      <c r="J166" s="12"/>
      <c r="K166" s="122"/>
      <c r="L166" s="9" t="s">
        <v>208</v>
      </c>
      <c r="M166" s="45"/>
      <c r="N166" s="511">
        <v>81</v>
      </c>
      <c r="O166" s="512" t="s">
        <v>193</v>
      </c>
      <c r="P166" s="513" t="s">
        <v>259</v>
      </c>
      <c r="Q166" s="513" t="s">
        <v>260</v>
      </c>
      <c r="R166" s="513" t="s">
        <v>689</v>
      </c>
      <c r="S166" s="479">
        <v>66</v>
      </c>
      <c r="T166" s="513" t="s">
        <v>41</v>
      </c>
      <c r="U166" s="513" t="s">
        <v>42</v>
      </c>
      <c r="V166" s="514" t="s">
        <v>540</v>
      </c>
      <c r="W166" s="52">
        <v>0.6</v>
      </c>
      <c r="X166" s="358" t="s">
        <v>53</v>
      </c>
      <c r="Y166" s="352" t="s">
        <v>353</v>
      </c>
      <c r="Z166" s="9" t="s">
        <v>16</v>
      </c>
      <c r="AA166" s="113" t="s">
        <v>51</v>
      </c>
      <c r="AB166" s="109"/>
      <c r="AC166" s="58"/>
    </row>
    <row r="167" spans="1:29" ht="15.75" thickBot="1" x14ac:dyDescent="0.3">
      <c r="A167" s="326">
        <v>45892</v>
      </c>
      <c r="B167" s="207">
        <v>2</v>
      </c>
      <c r="C167" s="208"/>
      <c r="D167" s="207" t="s">
        <v>193</v>
      </c>
      <c r="E167" s="209">
        <v>1.74</v>
      </c>
      <c r="F167" s="209"/>
      <c r="G167" s="460">
        <v>1</v>
      </c>
      <c r="H167" s="460">
        <v>1</v>
      </c>
      <c r="I167" s="211">
        <v>0.56999999999999995</v>
      </c>
      <c r="J167" s="211"/>
      <c r="K167" s="208"/>
      <c r="L167" s="207" t="s">
        <v>208</v>
      </c>
      <c r="M167" s="197"/>
      <c r="N167" s="347"/>
      <c r="O167" s="343" t="s">
        <v>193</v>
      </c>
      <c r="P167" s="199" t="s">
        <v>580</v>
      </c>
      <c r="Q167" s="199" t="s">
        <v>581</v>
      </c>
      <c r="R167" s="199" t="s">
        <v>707</v>
      </c>
      <c r="S167" s="7">
        <v>60</v>
      </c>
      <c r="T167" s="199"/>
      <c r="U167" s="199"/>
      <c r="V167" s="201"/>
      <c r="W167" s="202"/>
      <c r="X167" s="359"/>
      <c r="Y167" s="353">
        <f>H167</f>
        <v>1</v>
      </c>
      <c r="Z167" s="199"/>
      <c r="AA167" s="204"/>
      <c r="AB167" s="205"/>
      <c r="AC167" s="201"/>
    </row>
    <row r="168" spans="1:29" ht="15.75" thickBot="1" x14ac:dyDescent="0.3">
      <c r="A168" s="326">
        <v>45892</v>
      </c>
      <c r="B168" s="207">
        <v>2</v>
      </c>
      <c r="C168" s="208"/>
      <c r="D168" s="207" t="s">
        <v>193</v>
      </c>
      <c r="E168" s="209">
        <v>1.74</v>
      </c>
      <c r="F168" s="209"/>
      <c r="G168" s="460">
        <v>1</v>
      </c>
      <c r="H168" s="460">
        <v>1</v>
      </c>
      <c r="I168" s="211">
        <v>0.56999999999999995</v>
      </c>
      <c r="J168" s="211"/>
      <c r="K168" s="208"/>
      <c r="L168" s="207" t="s">
        <v>208</v>
      </c>
      <c r="M168" s="197"/>
      <c r="N168" s="347"/>
      <c r="O168" s="343" t="s">
        <v>208</v>
      </c>
      <c r="P168" s="199" t="s">
        <v>433</v>
      </c>
      <c r="Q168" s="199" t="s">
        <v>725</v>
      </c>
      <c r="R168" s="199" t="s">
        <v>707</v>
      </c>
      <c r="S168" s="479">
        <v>74</v>
      </c>
      <c r="T168" s="199"/>
      <c r="U168" s="199"/>
      <c r="V168" s="201"/>
      <c r="W168" s="202"/>
      <c r="X168" s="359"/>
      <c r="Y168" s="353">
        <f>G167</f>
        <v>1</v>
      </c>
      <c r="Z168" s="199"/>
      <c r="AA168" s="204"/>
      <c r="AB168" s="205"/>
      <c r="AC168" s="201"/>
    </row>
    <row r="169" spans="1:29" x14ac:dyDescent="0.25">
      <c r="A169" s="328">
        <v>45892</v>
      </c>
      <c r="B169" s="17">
        <v>2</v>
      </c>
      <c r="C169" s="123" t="s">
        <v>698</v>
      </c>
      <c r="D169" s="17" t="s">
        <v>129</v>
      </c>
      <c r="E169" s="18">
        <v>2.14</v>
      </c>
      <c r="F169" s="18"/>
      <c r="G169" s="461">
        <v>2</v>
      </c>
      <c r="H169" s="461">
        <v>3</v>
      </c>
      <c r="I169" s="20">
        <v>1.93</v>
      </c>
      <c r="J169" s="20"/>
      <c r="K169" s="123" t="s">
        <v>693</v>
      </c>
      <c r="L169" s="17" t="s">
        <v>113</v>
      </c>
      <c r="M169" s="46"/>
      <c r="N169" s="507">
        <v>15</v>
      </c>
      <c r="O169" s="508" t="s">
        <v>129</v>
      </c>
      <c r="P169" s="509" t="s">
        <v>59</v>
      </c>
      <c r="Q169" s="509" t="s">
        <v>191</v>
      </c>
      <c r="R169" s="509" t="s">
        <v>684</v>
      </c>
      <c r="S169" s="479">
        <v>78</v>
      </c>
      <c r="T169" s="509" t="s">
        <v>41</v>
      </c>
      <c r="U169" s="509" t="s">
        <v>42</v>
      </c>
      <c r="V169" s="510" t="s">
        <v>18</v>
      </c>
      <c r="W169" s="53">
        <v>0.22</v>
      </c>
      <c r="X169" s="360">
        <v>0.65</v>
      </c>
      <c r="Y169" s="354" t="s">
        <v>353</v>
      </c>
      <c r="Z169" s="17" t="s">
        <v>8</v>
      </c>
      <c r="AA169" s="114" t="s">
        <v>19</v>
      </c>
      <c r="AB169" s="110" t="s">
        <v>143</v>
      </c>
      <c r="AC169" s="60" t="s">
        <v>144</v>
      </c>
    </row>
    <row r="170" spans="1:29" x14ac:dyDescent="0.25">
      <c r="A170" s="329">
        <v>45892</v>
      </c>
      <c r="B170" s="5">
        <v>2</v>
      </c>
      <c r="D170" s="5" t="s">
        <v>129</v>
      </c>
      <c r="E170" s="6">
        <v>2.14</v>
      </c>
      <c r="G170" s="362">
        <v>2</v>
      </c>
      <c r="H170" s="362">
        <v>3</v>
      </c>
      <c r="I170" s="8">
        <v>1.93</v>
      </c>
      <c r="L170" s="5" t="s">
        <v>113</v>
      </c>
      <c r="N170" s="345">
        <v>28</v>
      </c>
      <c r="O170" s="38" t="s">
        <v>113</v>
      </c>
      <c r="P170" s="5" t="s">
        <v>118</v>
      </c>
      <c r="Q170" s="5" t="s">
        <v>119</v>
      </c>
      <c r="R170" s="5" t="s">
        <v>684</v>
      </c>
      <c r="S170" s="479">
        <v>78</v>
      </c>
      <c r="T170" s="5" t="s">
        <v>41</v>
      </c>
      <c r="U170" s="5" t="s">
        <v>43</v>
      </c>
      <c r="V170" s="57" t="s">
        <v>10</v>
      </c>
      <c r="W170" s="51">
        <v>0.08</v>
      </c>
      <c r="X170" s="357">
        <v>0.33</v>
      </c>
      <c r="Z170" s="5" t="s">
        <v>48</v>
      </c>
      <c r="AA170" s="112" t="s">
        <v>19</v>
      </c>
    </row>
    <row r="171" spans="1:29" x14ac:dyDescent="0.25">
      <c r="A171" s="329">
        <v>45892</v>
      </c>
      <c r="B171" s="5">
        <v>2</v>
      </c>
      <c r="D171" s="5" t="s">
        <v>129</v>
      </c>
      <c r="E171" s="6">
        <v>2.14</v>
      </c>
      <c r="G171" s="362">
        <v>2</v>
      </c>
      <c r="H171" s="362">
        <v>3</v>
      </c>
      <c r="I171" s="8">
        <v>1.93</v>
      </c>
      <c r="L171" s="5" t="s">
        <v>113</v>
      </c>
      <c r="N171" s="345">
        <v>37</v>
      </c>
      <c r="O171" s="38" t="s">
        <v>113</v>
      </c>
      <c r="P171" s="5" t="s">
        <v>118</v>
      </c>
      <c r="Q171" s="5" t="s">
        <v>119</v>
      </c>
      <c r="R171" s="5" t="s">
        <v>684</v>
      </c>
      <c r="S171" s="479">
        <v>78</v>
      </c>
      <c r="T171" s="5" t="s">
        <v>41</v>
      </c>
      <c r="U171" s="5" t="s">
        <v>42</v>
      </c>
      <c r="V171" s="57" t="s">
        <v>10</v>
      </c>
      <c r="W171" s="51">
        <v>0.22</v>
      </c>
      <c r="X171" s="357" t="s">
        <v>53</v>
      </c>
      <c r="Y171" s="351" t="s">
        <v>353</v>
      </c>
      <c r="Z171" s="5" t="s">
        <v>17</v>
      </c>
      <c r="AA171" s="112" t="s">
        <v>19</v>
      </c>
    </row>
    <row r="172" spans="1:29" x14ac:dyDescent="0.25">
      <c r="A172" s="329">
        <v>45892</v>
      </c>
      <c r="B172" s="5">
        <v>2</v>
      </c>
      <c r="D172" s="5" t="s">
        <v>129</v>
      </c>
      <c r="E172" s="6">
        <v>2.14</v>
      </c>
      <c r="G172" s="362">
        <v>2</v>
      </c>
      <c r="H172" s="362">
        <v>3</v>
      </c>
      <c r="I172" s="8">
        <v>1.93</v>
      </c>
      <c r="L172" s="5" t="s">
        <v>113</v>
      </c>
      <c r="N172" s="476">
        <v>42</v>
      </c>
      <c r="O172" s="477" t="s">
        <v>129</v>
      </c>
      <c r="P172" s="478" t="s">
        <v>168</v>
      </c>
      <c r="Q172" s="478" t="s">
        <v>263</v>
      </c>
      <c r="R172" s="478" t="s">
        <v>713</v>
      </c>
      <c r="S172" s="479">
        <v>71</v>
      </c>
      <c r="T172" s="478" t="s">
        <v>41</v>
      </c>
      <c r="U172" s="478" t="s">
        <v>45</v>
      </c>
      <c r="V172" s="480" t="s">
        <v>33</v>
      </c>
      <c r="W172" s="51">
        <v>0.05</v>
      </c>
      <c r="X172" s="357" t="s">
        <v>53</v>
      </c>
      <c r="Y172" s="351" t="s">
        <v>353</v>
      </c>
      <c r="Z172" s="5" t="s">
        <v>22</v>
      </c>
      <c r="AA172" s="112" t="s">
        <v>19</v>
      </c>
    </row>
    <row r="173" spans="1:29" x14ac:dyDescent="0.25">
      <c r="A173" s="329">
        <v>45892</v>
      </c>
      <c r="B173" s="5">
        <v>2</v>
      </c>
      <c r="D173" s="5" t="s">
        <v>129</v>
      </c>
      <c r="E173" s="6">
        <v>2.14</v>
      </c>
      <c r="G173" s="362">
        <v>2</v>
      </c>
      <c r="H173" s="362">
        <v>3</v>
      </c>
      <c r="I173" s="8">
        <v>1.93</v>
      </c>
      <c r="L173" s="5" t="s">
        <v>113</v>
      </c>
      <c r="N173" s="345">
        <v>45</v>
      </c>
      <c r="O173" s="38" t="s">
        <v>113</v>
      </c>
      <c r="P173" s="5" t="s">
        <v>53</v>
      </c>
      <c r="Q173" s="5" t="s">
        <v>117</v>
      </c>
      <c r="R173" s="5" t="s">
        <v>699</v>
      </c>
      <c r="S173" s="479">
        <v>79</v>
      </c>
      <c r="T173" s="5" t="s">
        <v>41</v>
      </c>
      <c r="U173" s="5" t="s">
        <v>45</v>
      </c>
      <c r="V173" s="57" t="s">
        <v>10</v>
      </c>
      <c r="W173" s="51">
        <v>0.06</v>
      </c>
      <c r="X173" s="357" t="s">
        <v>53</v>
      </c>
      <c r="Z173" s="5" t="s">
        <v>22</v>
      </c>
      <c r="AA173" s="112" t="s">
        <v>19</v>
      </c>
    </row>
    <row r="174" spans="1:29" x14ac:dyDescent="0.25">
      <c r="A174" s="329">
        <v>45892</v>
      </c>
      <c r="B174" s="5">
        <v>2</v>
      </c>
      <c r="D174" s="5" t="s">
        <v>129</v>
      </c>
      <c r="E174" s="6">
        <v>2.14</v>
      </c>
      <c r="G174" s="362">
        <v>2</v>
      </c>
      <c r="H174" s="362">
        <v>3</v>
      </c>
      <c r="I174" s="8">
        <v>1.93</v>
      </c>
      <c r="L174" s="5" t="s">
        <v>113</v>
      </c>
      <c r="N174" s="476" t="s">
        <v>63</v>
      </c>
      <c r="O174" s="477" t="s">
        <v>129</v>
      </c>
      <c r="P174" s="478" t="s">
        <v>141</v>
      </c>
      <c r="Q174" s="478" t="s">
        <v>142</v>
      </c>
      <c r="R174" s="478" t="s">
        <v>686</v>
      </c>
      <c r="S174" s="479">
        <v>64</v>
      </c>
      <c r="T174" s="478" t="s">
        <v>41</v>
      </c>
      <c r="U174" s="478" t="s">
        <v>43</v>
      </c>
      <c r="V174" s="480" t="s">
        <v>18</v>
      </c>
      <c r="W174" s="51">
        <v>0.14000000000000001</v>
      </c>
      <c r="X174" s="357" t="s">
        <v>53</v>
      </c>
      <c r="Z174" s="5" t="s">
        <v>52</v>
      </c>
      <c r="AA174" s="112" t="s">
        <v>19</v>
      </c>
    </row>
    <row r="175" spans="1:29" x14ac:dyDescent="0.25">
      <c r="A175" s="329">
        <v>45892</v>
      </c>
      <c r="B175" s="5">
        <v>2</v>
      </c>
      <c r="D175" s="5" t="s">
        <v>129</v>
      </c>
      <c r="E175" s="6">
        <v>2.14</v>
      </c>
      <c r="G175" s="362">
        <v>2</v>
      </c>
      <c r="H175" s="362">
        <v>3</v>
      </c>
      <c r="I175" s="8">
        <v>1.93</v>
      </c>
      <c r="L175" s="5" t="s">
        <v>113</v>
      </c>
      <c r="N175" s="476" t="s">
        <v>63</v>
      </c>
      <c r="O175" s="477" t="s">
        <v>129</v>
      </c>
      <c r="P175" s="478" t="s">
        <v>264</v>
      </c>
      <c r="Q175" s="478" t="s">
        <v>265</v>
      </c>
      <c r="R175" s="478" t="s">
        <v>685</v>
      </c>
      <c r="S175" s="479">
        <v>68</v>
      </c>
      <c r="T175" s="478" t="s">
        <v>41</v>
      </c>
      <c r="U175" s="478" t="s">
        <v>42</v>
      </c>
      <c r="V175" s="480" t="s">
        <v>18</v>
      </c>
      <c r="W175" s="51">
        <v>0.14000000000000001</v>
      </c>
      <c r="X175" s="357" t="s">
        <v>53</v>
      </c>
      <c r="Z175" s="5" t="s">
        <v>52</v>
      </c>
      <c r="AA175" s="112" t="s">
        <v>19</v>
      </c>
    </row>
    <row r="176" spans="1:29" x14ac:dyDescent="0.25">
      <c r="A176" s="329">
        <v>45892</v>
      </c>
      <c r="B176" s="5">
        <v>2</v>
      </c>
      <c r="D176" s="5" t="s">
        <v>129</v>
      </c>
      <c r="E176" s="6">
        <v>2.14</v>
      </c>
      <c r="G176" s="362">
        <v>2</v>
      </c>
      <c r="H176" s="362">
        <v>3</v>
      </c>
      <c r="I176" s="8">
        <v>1.93</v>
      </c>
      <c r="L176" s="5" t="s">
        <v>113</v>
      </c>
      <c r="N176" s="476" t="s">
        <v>266</v>
      </c>
      <c r="O176" s="477" t="s">
        <v>129</v>
      </c>
      <c r="P176" s="478" t="s">
        <v>264</v>
      </c>
      <c r="Q176" s="478" t="s">
        <v>265</v>
      </c>
      <c r="R176" s="478" t="s">
        <v>685</v>
      </c>
      <c r="S176" s="481">
        <v>68</v>
      </c>
      <c r="T176" s="478" t="s">
        <v>41</v>
      </c>
      <c r="U176" s="478" t="s">
        <v>42</v>
      </c>
      <c r="V176" s="480" t="s">
        <v>7</v>
      </c>
      <c r="W176" s="51">
        <v>0.79</v>
      </c>
      <c r="X176" s="357">
        <v>0.8</v>
      </c>
      <c r="Y176" s="351" t="s">
        <v>353</v>
      </c>
      <c r="Z176" s="5" t="s">
        <v>8</v>
      </c>
      <c r="AA176" s="112" t="s">
        <v>24</v>
      </c>
    </row>
    <row r="177" spans="1:29" x14ac:dyDescent="0.25">
      <c r="A177" s="329">
        <v>45892</v>
      </c>
      <c r="B177" s="5">
        <v>2</v>
      </c>
      <c r="D177" s="5" t="s">
        <v>129</v>
      </c>
      <c r="E177" s="6">
        <v>2.14</v>
      </c>
      <c r="G177" s="362">
        <v>2</v>
      </c>
      <c r="H177" s="362">
        <v>3</v>
      </c>
      <c r="I177" s="8">
        <v>1.93</v>
      </c>
      <c r="L177" s="5" t="s">
        <v>113</v>
      </c>
      <c r="N177" s="476">
        <v>47</v>
      </c>
      <c r="O177" s="477" t="s">
        <v>129</v>
      </c>
      <c r="P177" s="478" t="s">
        <v>141</v>
      </c>
      <c r="Q177" s="478" t="s">
        <v>142</v>
      </c>
      <c r="R177" s="478" t="s">
        <v>686</v>
      </c>
      <c r="S177" s="481">
        <v>64</v>
      </c>
      <c r="T177" s="478" t="s">
        <v>41</v>
      </c>
      <c r="U177" s="478" t="s">
        <v>42</v>
      </c>
      <c r="V177" s="480" t="s">
        <v>10</v>
      </c>
      <c r="W177" s="51">
        <v>0.11</v>
      </c>
      <c r="X177" s="357">
        <v>0.32</v>
      </c>
      <c r="Y177" s="351" t="s">
        <v>353</v>
      </c>
      <c r="Z177" s="5" t="s">
        <v>48</v>
      </c>
      <c r="AA177" s="112" t="s">
        <v>24</v>
      </c>
    </row>
    <row r="178" spans="1:29" x14ac:dyDescent="0.25">
      <c r="A178" s="329">
        <v>45892</v>
      </c>
      <c r="B178" s="5">
        <v>2</v>
      </c>
      <c r="D178" s="5" t="s">
        <v>129</v>
      </c>
      <c r="E178" s="6">
        <v>2.14</v>
      </c>
      <c r="G178" s="362">
        <v>2</v>
      </c>
      <c r="H178" s="362">
        <v>3</v>
      </c>
      <c r="I178" s="8">
        <v>1.93</v>
      </c>
      <c r="L178" s="5" t="s">
        <v>113</v>
      </c>
      <c r="N178" s="345">
        <v>49</v>
      </c>
      <c r="O178" s="38" t="s">
        <v>113</v>
      </c>
      <c r="P178" s="5" t="s">
        <v>53</v>
      </c>
      <c r="Q178" s="5" t="s">
        <v>126</v>
      </c>
      <c r="R178" s="5" t="s">
        <v>687</v>
      </c>
      <c r="S178" s="479">
        <v>80</v>
      </c>
      <c r="T178" s="5" t="s">
        <v>354</v>
      </c>
      <c r="U178" s="5" t="s">
        <v>42</v>
      </c>
      <c r="V178" s="57" t="s">
        <v>20</v>
      </c>
      <c r="W178" s="51">
        <v>0.02</v>
      </c>
      <c r="X178" s="357">
        <v>0.37</v>
      </c>
      <c r="Z178" s="5" t="s">
        <v>8</v>
      </c>
      <c r="AA178" s="112" t="s">
        <v>34</v>
      </c>
      <c r="AB178" s="108" t="s">
        <v>120</v>
      </c>
      <c r="AC178" s="57" t="s">
        <v>121</v>
      </c>
    </row>
    <row r="179" spans="1:29" x14ac:dyDescent="0.25">
      <c r="A179" s="329">
        <v>45892</v>
      </c>
      <c r="B179" s="5">
        <v>2</v>
      </c>
      <c r="D179" s="5" t="s">
        <v>129</v>
      </c>
      <c r="E179" s="6">
        <v>2.14</v>
      </c>
      <c r="G179" s="362">
        <v>2</v>
      </c>
      <c r="H179" s="362">
        <v>3</v>
      </c>
      <c r="I179" s="8">
        <v>1.93</v>
      </c>
      <c r="L179" s="5" t="s">
        <v>113</v>
      </c>
      <c r="N179" s="345">
        <v>52</v>
      </c>
      <c r="O179" s="38" t="s">
        <v>113</v>
      </c>
      <c r="P179" s="5" t="s">
        <v>118</v>
      </c>
      <c r="Q179" s="5" t="s">
        <v>119</v>
      </c>
      <c r="R179" s="5" t="s">
        <v>684</v>
      </c>
      <c r="S179" s="479">
        <v>78</v>
      </c>
      <c r="T179" s="5" t="s">
        <v>41</v>
      </c>
      <c r="U179" s="5" t="s">
        <v>42</v>
      </c>
      <c r="V179" s="57" t="s">
        <v>20</v>
      </c>
      <c r="W179" s="51">
        <v>0.23</v>
      </c>
      <c r="X179" s="357">
        <v>0.44</v>
      </c>
      <c r="Y179" s="351" t="s">
        <v>353</v>
      </c>
      <c r="Z179" s="5" t="s">
        <v>8</v>
      </c>
      <c r="AA179" s="112" t="s">
        <v>189</v>
      </c>
      <c r="AB179" s="108" t="s">
        <v>53</v>
      </c>
      <c r="AC179" s="57" t="s">
        <v>117</v>
      </c>
    </row>
    <row r="180" spans="1:29" x14ac:dyDescent="0.25">
      <c r="A180" s="329">
        <v>45892</v>
      </c>
      <c r="B180" s="5">
        <v>2</v>
      </c>
      <c r="D180" s="5" t="s">
        <v>129</v>
      </c>
      <c r="E180" s="6">
        <v>2.14</v>
      </c>
      <c r="G180" s="362">
        <v>2</v>
      </c>
      <c r="H180" s="362">
        <v>3</v>
      </c>
      <c r="I180" s="8">
        <v>1.93</v>
      </c>
      <c r="L180" s="5" t="s">
        <v>113</v>
      </c>
      <c r="N180" s="476">
        <v>53</v>
      </c>
      <c r="O180" s="477" t="s">
        <v>129</v>
      </c>
      <c r="P180" s="478" t="s">
        <v>264</v>
      </c>
      <c r="Q180" s="478" t="s">
        <v>265</v>
      </c>
      <c r="R180" s="478" t="s">
        <v>685</v>
      </c>
      <c r="S180" s="479">
        <v>68</v>
      </c>
      <c r="T180" s="478" t="s">
        <v>41</v>
      </c>
      <c r="U180" s="478" t="s">
        <v>43</v>
      </c>
      <c r="V180" s="480" t="s">
        <v>10</v>
      </c>
      <c r="W180" s="51">
        <v>0.16</v>
      </c>
      <c r="X180" s="357">
        <v>0.21</v>
      </c>
      <c r="Y180" s="351" t="s">
        <v>353</v>
      </c>
      <c r="Z180" s="5" t="s">
        <v>48</v>
      </c>
      <c r="AA180" s="112" t="s">
        <v>189</v>
      </c>
    </row>
    <row r="181" spans="1:29" x14ac:dyDescent="0.25">
      <c r="A181" s="329">
        <v>45892</v>
      </c>
      <c r="B181" s="5">
        <v>2</v>
      </c>
      <c r="D181" s="5" t="s">
        <v>129</v>
      </c>
      <c r="E181" s="6">
        <v>2.14</v>
      </c>
      <c r="G181" s="362">
        <v>2</v>
      </c>
      <c r="H181" s="362">
        <v>3</v>
      </c>
      <c r="I181" s="8">
        <v>1.93</v>
      </c>
      <c r="L181" s="5" t="s">
        <v>113</v>
      </c>
      <c r="N181" s="476">
        <v>53</v>
      </c>
      <c r="O181" s="477" t="s">
        <v>129</v>
      </c>
      <c r="P181" s="478" t="s">
        <v>141</v>
      </c>
      <c r="Q181" s="478" t="s">
        <v>142</v>
      </c>
      <c r="R181" s="478" t="s">
        <v>686</v>
      </c>
      <c r="S181" s="479">
        <v>64</v>
      </c>
      <c r="T181" s="478" t="s">
        <v>41</v>
      </c>
      <c r="U181" s="478" t="s">
        <v>42</v>
      </c>
      <c r="V181" s="480" t="s">
        <v>10</v>
      </c>
      <c r="W181" s="51">
        <v>0.53</v>
      </c>
      <c r="X181" s="357">
        <v>0.71</v>
      </c>
      <c r="Y181" s="351" t="s">
        <v>353</v>
      </c>
      <c r="Z181" s="5" t="s">
        <v>48</v>
      </c>
      <c r="AA181" s="112" t="s">
        <v>189</v>
      </c>
    </row>
    <row r="182" spans="1:29" x14ac:dyDescent="0.25">
      <c r="A182" s="329">
        <v>45892</v>
      </c>
      <c r="B182" s="5">
        <v>2</v>
      </c>
      <c r="D182" s="5" t="s">
        <v>129</v>
      </c>
      <c r="E182" s="6">
        <v>2.14</v>
      </c>
      <c r="G182" s="362">
        <v>2</v>
      </c>
      <c r="H182" s="362">
        <v>3</v>
      </c>
      <c r="I182" s="8">
        <v>1.93</v>
      </c>
      <c r="L182" s="5" t="s">
        <v>113</v>
      </c>
      <c r="N182" s="345">
        <v>57</v>
      </c>
      <c r="O182" s="38" t="s">
        <v>113</v>
      </c>
      <c r="P182" s="5" t="s">
        <v>267</v>
      </c>
      <c r="Q182" s="5" t="s">
        <v>75</v>
      </c>
      <c r="R182" s="5" t="s">
        <v>689</v>
      </c>
      <c r="S182" s="479">
        <v>68</v>
      </c>
      <c r="T182" s="5" t="s">
        <v>41</v>
      </c>
      <c r="U182" s="5" t="s">
        <v>45</v>
      </c>
      <c r="V182" s="57" t="s">
        <v>10</v>
      </c>
      <c r="W182" s="51">
        <v>0.12</v>
      </c>
      <c r="X182" s="357">
        <v>0.06</v>
      </c>
      <c r="Z182" s="5" t="s">
        <v>48</v>
      </c>
      <c r="AA182" s="112" t="s">
        <v>189</v>
      </c>
    </row>
    <row r="183" spans="1:29" x14ac:dyDescent="0.25">
      <c r="A183" s="329">
        <v>45892</v>
      </c>
      <c r="B183" s="5">
        <v>2</v>
      </c>
      <c r="D183" s="5" t="s">
        <v>129</v>
      </c>
      <c r="E183" s="6">
        <v>2.14</v>
      </c>
      <c r="G183" s="362">
        <v>2</v>
      </c>
      <c r="H183" s="362">
        <v>3</v>
      </c>
      <c r="I183" s="8">
        <v>1.93</v>
      </c>
      <c r="L183" s="5" t="s">
        <v>113</v>
      </c>
      <c r="N183" s="345">
        <v>70</v>
      </c>
      <c r="O183" s="38" t="s">
        <v>113</v>
      </c>
      <c r="P183" s="5" t="s">
        <v>118</v>
      </c>
      <c r="Q183" s="5" t="s">
        <v>119</v>
      </c>
      <c r="R183" s="5" t="s">
        <v>684</v>
      </c>
      <c r="S183" s="479">
        <v>78</v>
      </c>
      <c r="T183" s="5" t="s">
        <v>41</v>
      </c>
      <c r="U183" s="5" t="s">
        <v>45</v>
      </c>
      <c r="V183" s="57" t="s">
        <v>10</v>
      </c>
      <c r="W183" s="51">
        <v>0.22</v>
      </c>
      <c r="X183" s="357">
        <v>0.74</v>
      </c>
      <c r="Y183" s="351" t="s">
        <v>353</v>
      </c>
      <c r="Z183" s="5" t="s">
        <v>48</v>
      </c>
      <c r="AA183" s="112" t="s">
        <v>189</v>
      </c>
    </row>
    <row r="184" spans="1:29" x14ac:dyDescent="0.25">
      <c r="A184" s="329">
        <v>45892</v>
      </c>
      <c r="B184" s="5">
        <v>2</v>
      </c>
      <c r="D184" s="5" t="s">
        <v>129</v>
      </c>
      <c r="E184" s="6">
        <v>2.14</v>
      </c>
      <c r="G184" s="362">
        <v>2</v>
      </c>
      <c r="H184" s="362">
        <v>3</v>
      </c>
      <c r="I184" s="8">
        <v>1.93</v>
      </c>
      <c r="L184" s="5" t="s">
        <v>113</v>
      </c>
      <c r="N184" s="345">
        <v>72</v>
      </c>
      <c r="O184" s="38" t="s">
        <v>113</v>
      </c>
      <c r="P184" s="5" t="s">
        <v>118</v>
      </c>
      <c r="Q184" s="5" t="s">
        <v>119</v>
      </c>
      <c r="R184" s="5" t="s">
        <v>684</v>
      </c>
      <c r="S184" s="479">
        <v>78</v>
      </c>
      <c r="T184" s="5" t="s">
        <v>47</v>
      </c>
      <c r="U184" s="5" t="s">
        <v>45</v>
      </c>
      <c r="V184" s="57" t="s">
        <v>10</v>
      </c>
      <c r="W184" s="51">
        <v>0.18</v>
      </c>
      <c r="X184" s="357" t="s">
        <v>53</v>
      </c>
      <c r="Z184" s="5" t="s">
        <v>52</v>
      </c>
      <c r="AA184" s="112" t="s">
        <v>189</v>
      </c>
    </row>
    <row r="185" spans="1:29" x14ac:dyDescent="0.25">
      <c r="A185" s="329">
        <v>45892</v>
      </c>
      <c r="B185" s="5">
        <v>2</v>
      </c>
      <c r="D185" s="5" t="s">
        <v>129</v>
      </c>
      <c r="E185" s="6">
        <v>2.14</v>
      </c>
      <c r="G185" s="362">
        <v>2</v>
      </c>
      <c r="H185" s="362">
        <v>3</v>
      </c>
      <c r="I185" s="8">
        <v>1.93</v>
      </c>
      <c r="L185" s="5" t="s">
        <v>113</v>
      </c>
      <c r="N185" s="345">
        <v>72</v>
      </c>
      <c r="O185" s="38" t="s">
        <v>113</v>
      </c>
      <c r="P185" s="5" t="s">
        <v>124</v>
      </c>
      <c r="Q185" s="5" t="s">
        <v>125</v>
      </c>
      <c r="R185" s="5" t="s">
        <v>696</v>
      </c>
      <c r="S185" s="479">
        <v>68</v>
      </c>
      <c r="T185" s="5" t="s">
        <v>44</v>
      </c>
      <c r="U185" s="5" t="s">
        <v>42</v>
      </c>
      <c r="V185" s="57" t="s">
        <v>10</v>
      </c>
      <c r="W185" s="51">
        <v>0.06</v>
      </c>
      <c r="X185" s="357">
        <v>0.37</v>
      </c>
      <c r="Z185" s="5" t="s">
        <v>48</v>
      </c>
      <c r="AA185" s="112" t="s">
        <v>189</v>
      </c>
    </row>
    <row r="186" spans="1:29" ht="15.75" thickBot="1" x14ac:dyDescent="0.3">
      <c r="A186" s="330">
        <v>45892</v>
      </c>
      <c r="B186" s="9">
        <v>2</v>
      </c>
      <c r="C186" s="122"/>
      <c r="D186" s="9" t="s">
        <v>129</v>
      </c>
      <c r="E186" s="10">
        <v>2.14</v>
      </c>
      <c r="F186" s="10"/>
      <c r="G186" s="383">
        <v>2</v>
      </c>
      <c r="H186" s="383">
        <v>3</v>
      </c>
      <c r="I186" s="12">
        <v>1.93</v>
      </c>
      <c r="J186" s="12"/>
      <c r="K186" s="122"/>
      <c r="L186" s="9" t="s">
        <v>113</v>
      </c>
      <c r="M186" s="45"/>
      <c r="N186" s="511" t="s">
        <v>268</v>
      </c>
      <c r="O186" s="512" t="s">
        <v>129</v>
      </c>
      <c r="P186" s="513" t="s">
        <v>269</v>
      </c>
      <c r="Q186" s="513" t="s">
        <v>270</v>
      </c>
      <c r="R186" s="513" t="s">
        <v>728</v>
      </c>
      <c r="S186" s="481">
        <v>56</v>
      </c>
      <c r="T186" s="513" t="s">
        <v>47</v>
      </c>
      <c r="U186" s="513" t="s">
        <v>45</v>
      </c>
      <c r="V186" s="514" t="s">
        <v>540</v>
      </c>
      <c r="W186" s="52" t="s">
        <v>53</v>
      </c>
      <c r="X186" s="358" t="s">
        <v>53</v>
      </c>
      <c r="Y186" s="352"/>
      <c r="Z186" s="127" t="s">
        <v>23</v>
      </c>
      <c r="AA186" s="129" t="s">
        <v>66</v>
      </c>
      <c r="AB186" s="109"/>
      <c r="AC186" s="58"/>
    </row>
    <row r="187" spans="1:29" ht="15.75" thickBot="1" x14ac:dyDescent="0.3">
      <c r="A187" s="326">
        <v>45892</v>
      </c>
      <c r="B187" s="207">
        <v>2</v>
      </c>
      <c r="C187" s="208"/>
      <c r="D187" s="207" t="s">
        <v>129</v>
      </c>
      <c r="E187" s="209">
        <v>2.14</v>
      </c>
      <c r="F187" s="209"/>
      <c r="G187" s="460">
        <v>2</v>
      </c>
      <c r="H187" s="460">
        <v>3</v>
      </c>
      <c r="I187" s="211">
        <v>1.93</v>
      </c>
      <c r="J187" s="211"/>
      <c r="K187" s="208"/>
      <c r="L187" s="207" t="s">
        <v>113</v>
      </c>
      <c r="M187" s="197"/>
      <c r="N187" s="347"/>
      <c r="O187" s="343" t="s">
        <v>129</v>
      </c>
      <c r="P187" s="199" t="s">
        <v>241</v>
      </c>
      <c r="Q187" s="199" t="s">
        <v>716</v>
      </c>
      <c r="R187" s="199" t="s">
        <v>707</v>
      </c>
      <c r="S187" s="481">
        <v>71</v>
      </c>
      <c r="T187" s="199"/>
      <c r="U187" s="199"/>
      <c r="V187" s="201"/>
      <c r="W187" s="202"/>
      <c r="X187" s="359"/>
      <c r="Y187" s="353">
        <f>H187</f>
        <v>3</v>
      </c>
      <c r="Z187" s="199"/>
      <c r="AA187" s="204"/>
      <c r="AB187" s="205"/>
      <c r="AC187" s="201"/>
    </row>
    <row r="188" spans="1:29" ht="15.75" thickBot="1" x14ac:dyDescent="0.3">
      <c r="A188" s="326">
        <v>45892</v>
      </c>
      <c r="B188" s="207">
        <v>2</v>
      </c>
      <c r="C188" s="208"/>
      <c r="D188" s="207" t="s">
        <v>129</v>
      </c>
      <c r="E188" s="209">
        <v>2.14</v>
      </c>
      <c r="F188" s="209"/>
      <c r="G188" s="460">
        <v>2</v>
      </c>
      <c r="H188" s="460">
        <v>3</v>
      </c>
      <c r="I188" s="211">
        <v>1.93</v>
      </c>
      <c r="J188" s="211"/>
      <c r="K188" s="208"/>
      <c r="L188" s="207" t="s">
        <v>113</v>
      </c>
      <c r="M188" s="197"/>
      <c r="N188" s="347"/>
      <c r="O188" s="343" t="s">
        <v>113</v>
      </c>
      <c r="P188" s="199" t="s">
        <v>475</v>
      </c>
      <c r="Q188" s="199" t="s">
        <v>75</v>
      </c>
      <c r="R188" s="199" t="s">
        <v>707</v>
      </c>
      <c r="S188" s="479">
        <v>67</v>
      </c>
      <c r="T188" s="199"/>
      <c r="U188" s="199"/>
      <c r="V188" s="201"/>
      <c r="W188" s="202"/>
      <c r="X188" s="359"/>
      <c r="Y188" s="353">
        <f>G187</f>
        <v>2</v>
      </c>
      <c r="Z188" s="199"/>
      <c r="AA188" s="204"/>
      <c r="AB188" s="205"/>
      <c r="AC188" s="201"/>
    </row>
    <row r="189" spans="1:29" x14ac:dyDescent="0.25">
      <c r="A189" s="328">
        <v>45893</v>
      </c>
      <c r="B189" s="17">
        <v>2</v>
      </c>
      <c r="C189" s="123" t="s">
        <v>702</v>
      </c>
      <c r="D189" s="17" t="s">
        <v>227</v>
      </c>
      <c r="E189" s="18">
        <v>0.83</v>
      </c>
      <c r="F189" s="18"/>
      <c r="G189" s="461">
        <v>1</v>
      </c>
      <c r="H189" s="461">
        <v>0</v>
      </c>
      <c r="I189" s="20">
        <v>0.41</v>
      </c>
      <c r="J189" s="20"/>
      <c r="K189" s="123" t="s">
        <v>694</v>
      </c>
      <c r="L189" s="17" t="s">
        <v>145</v>
      </c>
      <c r="M189" s="597" t="s">
        <v>761</v>
      </c>
      <c r="N189" s="507">
        <v>9</v>
      </c>
      <c r="O189" s="508" t="s">
        <v>227</v>
      </c>
      <c r="P189" s="509" t="s">
        <v>238</v>
      </c>
      <c r="Q189" s="509" t="s">
        <v>239</v>
      </c>
      <c r="R189" s="509" t="s">
        <v>684</v>
      </c>
      <c r="S189" s="479">
        <v>75</v>
      </c>
      <c r="T189" s="509" t="s">
        <v>41</v>
      </c>
      <c r="U189" s="509" t="s">
        <v>45</v>
      </c>
      <c r="V189" s="510" t="s">
        <v>10</v>
      </c>
      <c r="W189" s="53">
        <v>0.23</v>
      </c>
      <c r="X189" s="360">
        <v>0.42</v>
      </c>
      <c r="Y189" s="354" t="s">
        <v>353</v>
      </c>
      <c r="Z189" s="17" t="s">
        <v>8</v>
      </c>
      <c r="AA189" s="114" t="s">
        <v>19</v>
      </c>
      <c r="AB189" s="110" t="s">
        <v>421</v>
      </c>
      <c r="AC189" s="60" t="s">
        <v>656</v>
      </c>
    </row>
    <row r="190" spans="1:29" x14ac:dyDescent="0.25">
      <c r="A190" s="329">
        <v>45893</v>
      </c>
      <c r="B190" s="5">
        <v>2</v>
      </c>
      <c r="D190" s="5" t="s">
        <v>227</v>
      </c>
      <c r="E190" s="6">
        <v>0.83</v>
      </c>
      <c r="G190" s="362">
        <v>1</v>
      </c>
      <c r="H190" s="362">
        <v>0</v>
      </c>
      <c r="I190" s="8">
        <v>0.41</v>
      </c>
      <c r="L190" s="5" t="s">
        <v>145</v>
      </c>
      <c r="M190" s="242" t="s">
        <v>356</v>
      </c>
      <c r="N190" s="476">
        <v>44</v>
      </c>
      <c r="O190" s="477" t="s">
        <v>227</v>
      </c>
      <c r="P190" s="478" t="s">
        <v>238</v>
      </c>
      <c r="Q190" s="478" t="s">
        <v>239</v>
      </c>
      <c r="R190" s="478" t="s">
        <v>684</v>
      </c>
      <c r="S190" s="479">
        <v>75</v>
      </c>
      <c r="T190" s="478" t="s">
        <v>41</v>
      </c>
      <c r="U190" s="478" t="s">
        <v>43</v>
      </c>
      <c r="V190" s="480" t="s">
        <v>10</v>
      </c>
      <c r="W190" s="51">
        <v>0.04</v>
      </c>
      <c r="X190" s="357">
        <v>0.14000000000000001</v>
      </c>
      <c r="Z190" s="5" t="s">
        <v>48</v>
      </c>
      <c r="AA190" s="112" t="s">
        <v>19</v>
      </c>
    </row>
    <row r="191" spans="1:29" ht="15.75" thickBot="1" x14ac:dyDescent="0.3">
      <c r="A191" s="330">
        <v>45893</v>
      </c>
      <c r="B191" s="9">
        <v>2</v>
      </c>
      <c r="C191" s="122"/>
      <c r="D191" s="9" t="s">
        <v>227</v>
      </c>
      <c r="E191" s="10">
        <v>0.83</v>
      </c>
      <c r="F191" s="10"/>
      <c r="G191" s="383">
        <v>1</v>
      </c>
      <c r="H191" s="383">
        <v>0</v>
      </c>
      <c r="I191" s="12">
        <v>0.41</v>
      </c>
      <c r="J191" s="12"/>
      <c r="K191" s="122"/>
      <c r="L191" s="9" t="s">
        <v>145</v>
      </c>
      <c r="M191" s="445" t="s">
        <v>356</v>
      </c>
      <c r="N191" s="346" t="s">
        <v>122</v>
      </c>
      <c r="O191" s="454" t="s">
        <v>145</v>
      </c>
      <c r="P191" s="9" t="s">
        <v>271</v>
      </c>
      <c r="Q191" s="9" t="s">
        <v>272</v>
      </c>
      <c r="R191" s="9" t="s">
        <v>718</v>
      </c>
      <c r="S191" s="7">
        <v>62</v>
      </c>
      <c r="T191" s="9" t="s">
        <v>41</v>
      </c>
      <c r="U191" s="9" t="s">
        <v>42</v>
      </c>
      <c r="V191" s="58" t="s">
        <v>10</v>
      </c>
      <c r="W191" s="52">
        <v>0.35</v>
      </c>
      <c r="X191" s="358" t="s">
        <v>53</v>
      </c>
      <c r="Y191" s="352" t="s">
        <v>353</v>
      </c>
      <c r="Z191" s="9" t="s">
        <v>13</v>
      </c>
      <c r="AA191" s="113" t="s">
        <v>19</v>
      </c>
      <c r="AB191" s="109"/>
      <c r="AC191" s="58"/>
    </row>
    <row r="192" spans="1:29" ht="15.75" thickBot="1" x14ac:dyDescent="0.3">
      <c r="A192" s="326">
        <v>45893</v>
      </c>
      <c r="B192" s="207">
        <v>2</v>
      </c>
      <c r="C192" s="208"/>
      <c r="D192" s="207" t="s">
        <v>227</v>
      </c>
      <c r="E192" s="209">
        <v>0.83</v>
      </c>
      <c r="F192" s="209"/>
      <c r="G192" s="460">
        <v>1</v>
      </c>
      <c r="H192" s="460">
        <v>0</v>
      </c>
      <c r="I192" s="211">
        <v>0.41</v>
      </c>
      <c r="J192" s="211"/>
      <c r="K192" s="208"/>
      <c r="L192" s="207" t="s">
        <v>145</v>
      </c>
      <c r="M192" s="197"/>
      <c r="N192" s="347"/>
      <c r="O192" s="343" t="s">
        <v>227</v>
      </c>
      <c r="P192" s="199" t="s">
        <v>298</v>
      </c>
      <c r="Q192" s="199" t="s">
        <v>86</v>
      </c>
      <c r="R192" s="199" t="s">
        <v>707</v>
      </c>
      <c r="S192" s="479">
        <v>69</v>
      </c>
      <c r="T192" s="199"/>
      <c r="U192" s="199"/>
      <c r="V192" s="201"/>
      <c r="W192" s="202"/>
      <c r="X192" s="359"/>
      <c r="Y192" s="353">
        <f>H192</f>
        <v>0</v>
      </c>
      <c r="Z192" s="199"/>
      <c r="AA192" s="204"/>
      <c r="AB192" s="205"/>
      <c r="AC192" s="201"/>
    </row>
    <row r="193" spans="1:29" ht="15.75" thickBot="1" x14ac:dyDescent="0.3">
      <c r="A193" s="326">
        <v>45893</v>
      </c>
      <c r="B193" s="207">
        <v>2</v>
      </c>
      <c r="C193" s="208"/>
      <c r="D193" s="207" t="s">
        <v>227</v>
      </c>
      <c r="E193" s="209">
        <v>0.83</v>
      </c>
      <c r="F193" s="209"/>
      <c r="G193" s="460">
        <v>1</v>
      </c>
      <c r="H193" s="460">
        <v>0</v>
      </c>
      <c r="I193" s="211">
        <v>0.41</v>
      </c>
      <c r="J193" s="211"/>
      <c r="K193" s="208"/>
      <c r="L193" s="207" t="s">
        <v>145</v>
      </c>
      <c r="M193" s="197"/>
      <c r="N193" s="347"/>
      <c r="O193" s="343" t="s">
        <v>145</v>
      </c>
      <c r="P193" s="199" t="s">
        <v>482</v>
      </c>
      <c r="Q193" s="199" t="s">
        <v>483</v>
      </c>
      <c r="R193" s="199" t="s">
        <v>707</v>
      </c>
      <c r="S193" s="479">
        <v>70</v>
      </c>
      <c r="T193" s="199"/>
      <c r="U193" s="199"/>
      <c r="V193" s="201"/>
      <c r="W193" s="202"/>
      <c r="X193" s="359"/>
      <c r="Y193" s="353">
        <f>G192</f>
        <v>1</v>
      </c>
      <c r="Z193" s="199"/>
      <c r="AA193" s="204"/>
      <c r="AB193" s="205"/>
      <c r="AC193" s="201"/>
    </row>
    <row r="194" spans="1:29" x14ac:dyDescent="0.25">
      <c r="A194" s="328">
        <v>45893</v>
      </c>
      <c r="B194" s="17">
        <v>2</v>
      </c>
      <c r="C194" s="123" t="s">
        <v>697</v>
      </c>
      <c r="D194" s="17" t="s">
        <v>146</v>
      </c>
      <c r="E194" s="18">
        <v>1.0900000000000001</v>
      </c>
      <c r="F194" s="18"/>
      <c r="G194" s="461">
        <v>2</v>
      </c>
      <c r="H194" s="461">
        <v>2</v>
      </c>
      <c r="I194" s="20">
        <v>1.81</v>
      </c>
      <c r="J194" s="20"/>
      <c r="K194" s="123" t="s">
        <v>693</v>
      </c>
      <c r="L194" s="17" t="s">
        <v>192</v>
      </c>
      <c r="M194" s="46"/>
      <c r="N194" s="507">
        <v>8</v>
      </c>
      <c r="O194" s="508" t="s">
        <v>146</v>
      </c>
      <c r="P194" s="509" t="s">
        <v>155</v>
      </c>
      <c r="Q194" s="509" t="s">
        <v>156</v>
      </c>
      <c r="R194" s="509" t="s">
        <v>686</v>
      </c>
      <c r="S194" s="479">
        <v>68</v>
      </c>
      <c r="T194" s="509" t="s">
        <v>41</v>
      </c>
      <c r="U194" s="509" t="s">
        <v>42</v>
      </c>
      <c r="V194" s="510" t="s">
        <v>10</v>
      </c>
      <c r="W194" s="53">
        <v>0.12</v>
      </c>
      <c r="X194" s="360">
        <v>0.11</v>
      </c>
      <c r="Y194" s="354"/>
      <c r="Z194" s="17" t="s">
        <v>48</v>
      </c>
      <c r="AA194" s="114" t="s">
        <v>28</v>
      </c>
      <c r="AB194" s="110"/>
      <c r="AC194" s="60"/>
    </row>
    <row r="195" spans="1:29" x14ac:dyDescent="0.25">
      <c r="A195" s="329">
        <v>45893</v>
      </c>
      <c r="B195" s="5">
        <v>2</v>
      </c>
      <c r="D195" s="5" t="s">
        <v>146</v>
      </c>
      <c r="E195" s="6">
        <v>1.0900000000000001</v>
      </c>
      <c r="G195" s="362">
        <v>2</v>
      </c>
      <c r="H195" s="362">
        <v>2</v>
      </c>
      <c r="I195" s="8">
        <v>1.81</v>
      </c>
      <c r="L195" s="5" t="s">
        <v>192</v>
      </c>
      <c r="N195" s="345">
        <v>10</v>
      </c>
      <c r="O195" s="38" t="s">
        <v>192</v>
      </c>
      <c r="P195" s="5" t="s">
        <v>198</v>
      </c>
      <c r="Q195" s="5" t="s">
        <v>199</v>
      </c>
      <c r="R195" s="5" t="s">
        <v>699</v>
      </c>
      <c r="S195" s="479">
        <v>74</v>
      </c>
      <c r="T195" s="5" t="s">
        <v>41</v>
      </c>
      <c r="U195" s="5" t="s">
        <v>45</v>
      </c>
      <c r="V195" s="57" t="s">
        <v>18</v>
      </c>
      <c r="W195" s="51">
        <v>0.28000000000000003</v>
      </c>
      <c r="X195" s="357">
        <v>0.74</v>
      </c>
      <c r="Y195" s="351" t="s">
        <v>353</v>
      </c>
      <c r="Z195" s="5" t="s">
        <v>8</v>
      </c>
      <c r="AA195" s="112" t="s">
        <v>9</v>
      </c>
      <c r="AB195" s="108" t="s">
        <v>410</v>
      </c>
      <c r="AC195" s="57" t="s">
        <v>361</v>
      </c>
    </row>
    <row r="196" spans="1:29" x14ac:dyDescent="0.25">
      <c r="A196" s="329">
        <v>45893</v>
      </c>
      <c r="B196" s="5">
        <v>2</v>
      </c>
      <c r="D196" s="5" t="s">
        <v>146</v>
      </c>
      <c r="E196" s="6">
        <v>1.0900000000000001</v>
      </c>
      <c r="G196" s="362">
        <v>2</v>
      </c>
      <c r="H196" s="362">
        <v>2</v>
      </c>
      <c r="I196" s="8">
        <v>1.81</v>
      </c>
      <c r="L196" s="5" t="s">
        <v>192</v>
      </c>
      <c r="N196" s="345">
        <v>29</v>
      </c>
      <c r="O196" s="38" t="s">
        <v>192</v>
      </c>
      <c r="P196" s="5" t="s">
        <v>276</v>
      </c>
      <c r="Q196" s="5" t="s">
        <v>277</v>
      </c>
      <c r="R196" s="5" t="s">
        <v>687</v>
      </c>
      <c r="S196" s="481">
        <v>67</v>
      </c>
      <c r="T196" s="5" t="s">
        <v>354</v>
      </c>
      <c r="U196" s="5" t="s">
        <v>43</v>
      </c>
      <c r="V196" s="57" t="s">
        <v>10</v>
      </c>
      <c r="W196" s="51">
        <v>0.04</v>
      </c>
      <c r="X196" s="357" t="s">
        <v>53</v>
      </c>
      <c r="Z196" s="5" t="s">
        <v>16</v>
      </c>
      <c r="AA196" s="112" t="s">
        <v>9</v>
      </c>
    </row>
    <row r="197" spans="1:29" x14ac:dyDescent="0.25">
      <c r="A197" s="329">
        <v>45893</v>
      </c>
      <c r="B197" s="5">
        <v>2</v>
      </c>
      <c r="D197" s="5" t="s">
        <v>146</v>
      </c>
      <c r="E197" s="6">
        <v>1.0900000000000001</v>
      </c>
      <c r="G197" s="362">
        <v>2</v>
      </c>
      <c r="H197" s="362">
        <v>2</v>
      </c>
      <c r="I197" s="8">
        <v>1.81</v>
      </c>
      <c r="L197" s="5" t="s">
        <v>192</v>
      </c>
      <c r="N197" s="476">
        <v>30</v>
      </c>
      <c r="O197" s="477" t="s">
        <v>146</v>
      </c>
      <c r="P197" s="478" t="s">
        <v>159</v>
      </c>
      <c r="Q197" s="478" t="s">
        <v>160</v>
      </c>
      <c r="R197" s="478" t="s">
        <v>684</v>
      </c>
      <c r="S197" s="481">
        <v>69</v>
      </c>
      <c r="T197" s="478" t="s">
        <v>41</v>
      </c>
      <c r="U197" s="478" t="s">
        <v>45</v>
      </c>
      <c r="V197" s="480" t="s">
        <v>10</v>
      </c>
      <c r="W197" s="51">
        <v>0.06</v>
      </c>
      <c r="X197" s="357" t="s">
        <v>53</v>
      </c>
      <c r="Y197" s="351" t="s">
        <v>353</v>
      </c>
      <c r="Z197" s="5" t="s">
        <v>22</v>
      </c>
      <c r="AA197" s="112" t="s">
        <v>9</v>
      </c>
    </row>
    <row r="198" spans="1:29" x14ac:dyDescent="0.25">
      <c r="A198" s="329">
        <v>45893</v>
      </c>
      <c r="B198" s="5">
        <v>2</v>
      </c>
      <c r="D198" s="5" t="s">
        <v>146</v>
      </c>
      <c r="E198" s="6">
        <v>1.0900000000000001</v>
      </c>
      <c r="G198" s="362">
        <v>2</v>
      </c>
      <c r="H198" s="362">
        <v>2</v>
      </c>
      <c r="I198" s="8">
        <v>1.81</v>
      </c>
      <c r="L198" s="5" t="s">
        <v>192</v>
      </c>
      <c r="N198" s="476">
        <v>39</v>
      </c>
      <c r="O198" s="477" t="s">
        <v>146</v>
      </c>
      <c r="P198" s="478" t="s">
        <v>135</v>
      </c>
      <c r="Q198" s="478" t="s">
        <v>273</v>
      </c>
      <c r="R198" s="478" t="s">
        <v>689</v>
      </c>
      <c r="S198" s="479">
        <v>70</v>
      </c>
      <c r="T198" s="478" t="s">
        <v>41</v>
      </c>
      <c r="U198" s="478" t="s">
        <v>45</v>
      </c>
      <c r="V198" s="480" t="s">
        <v>20</v>
      </c>
      <c r="W198" s="51">
        <v>0.02</v>
      </c>
      <c r="X198" s="357">
        <v>0.19</v>
      </c>
      <c r="Z198" s="5" t="s">
        <v>48</v>
      </c>
      <c r="AA198" s="112" t="s">
        <v>9</v>
      </c>
    </row>
    <row r="199" spans="1:29" x14ac:dyDescent="0.25">
      <c r="A199" s="329">
        <v>45893</v>
      </c>
      <c r="B199" s="5">
        <v>2</v>
      </c>
      <c r="D199" s="5" t="s">
        <v>146</v>
      </c>
      <c r="E199" s="6">
        <v>1.0900000000000001</v>
      </c>
      <c r="G199" s="362">
        <v>2</v>
      </c>
      <c r="H199" s="362">
        <v>2</v>
      </c>
      <c r="I199" s="8">
        <v>1.81</v>
      </c>
      <c r="L199" s="5" t="s">
        <v>192</v>
      </c>
      <c r="N199" s="345" t="s">
        <v>68</v>
      </c>
      <c r="O199" s="38" t="s">
        <v>192</v>
      </c>
      <c r="P199" s="5" t="s">
        <v>278</v>
      </c>
      <c r="Q199" s="5" t="s">
        <v>279</v>
      </c>
      <c r="R199" s="5" t="s">
        <v>685</v>
      </c>
      <c r="S199" s="479">
        <v>71</v>
      </c>
      <c r="T199" s="5" t="s">
        <v>41</v>
      </c>
      <c r="U199" s="5" t="s">
        <v>42</v>
      </c>
      <c r="V199" s="57" t="s">
        <v>7</v>
      </c>
      <c r="W199" s="51">
        <v>0.79</v>
      </c>
      <c r="X199" s="357">
        <v>0.93</v>
      </c>
      <c r="Y199" s="351" t="s">
        <v>353</v>
      </c>
      <c r="Z199" s="5" t="s">
        <v>8</v>
      </c>
      <c r="AA199" s="112" t="s">
        <v>11</v>
      </c>
    </row>
    <row r="200" spans="1:29" x14ac:dyDescent="0.25">
      <c r="A200" s="329">
        <v>45893</v>
      </c>
      <c r="B200" s="5">
        <v>2</v>
      </c>
      <c r="D200" s="5" t="s">
        <v>146</v>
      </c>
      <c r="E200" s="6">
        <v>1.0900000000000001</v>
      </c>
      <c r="G200" s="362">
        <v>2</v>
      </c>
      <c r="H200" s="362">
        <v>2</v>
      </c>
      <c r="I200" s="8">
        <v>1.81</v>
      </c>
      <c r="L200" s="5" t="s">
        <v>192</v>
      </c>
      <c r="N200" s="345">
        <v>60</v>
      </c>
      <c r="O200" s="38" t="s">
        <v>192</v>
      </c>
      <c r="P200" s="5" t="s">
        <v>280</v>
      </c>
      <c r="Q200" s="5" t="s">
        <v>281</v>
      </c>
      <c r="R200" s="5" t="s">
        <v>686</v>
      </c>
      <c r="S200" s="479">
        <v>69</v>
      </c>
      <c r="T200" s="5" t="s">
        <v>354</v>
      </c>
      <c r="U200" s="5" t="s">
        <v>42</v>
      </c>
      <c r="V200" s="57" t="s">
        <v>540</v>
      </c>
      <c r="W200" s="51">
        <v>0.03</v>
      </c>
      <c r="X200" s="357" t="s">
        <v>53</v>
      </c>
      <c r="Z200" s="5" t="s">
        <v>22</v>
      </c>
      <c r="AA200" s="112" t="s">
        <v>11</v>
      </c>
    </row>
    <row r="201" spans="1:29" x14ac:dyDescent="0.25">
      <c r="A201" s="329">
        <v>45893</v>
      </c>
      <c r="B201" s="5">
        <v>2</v>
      </c>
      <c r="D201" s="5" t="s">
        <v>146</v>
      </c>
      <c r="E201" s="6">
        <v>1.0900000000000001</v>
      </c>
      <c r="G201" s="362">
        <v>2</v>
      </c>
      <c r="H201" s="362">
        <v>2</v>
      </c>
      <c r="I201" s="8">
        <v>1.81</v>
      </c>
      <c r="L201" s="5" t="s">
        <v>192</v>
      </c>
      <c r="N201" s="476">
        <v>61</v>
      </c>
      <c r="O201" s="477" t="s">
        <v>146</v>
      </c>
      <c r="P201" s="478" t="s">
        <v>274</v>
      </c>
      <c r="Q201" s="478" t="s">
        <v>275</v>
      </c>
      <c r="R201" s="478" t="s">
        <v>685</v>
      </c>
      <c r="S201" s="479">
        <v>76</v>
      </c>
      <c r="T201" s="478" t="s">
        <v>41</v>
      </c>
      <c r="U201" s="478" t="s">
        <v>42</v>
      </c>
      <c r="V201" s="480" t="s">
        <v>18</v>
      </c>
      <c r="W201" s="51">
        <v>0.04</v>
      </c>
      <c r="X201" s="357">
        <v>0.43</v>
      </c>
      <c r="Z201" s="5" t="s">
        <v>8</v>
      </c>
      <c r="AA201" s="112" t="s">
        <v>67</v>
      </c>
    </row>
    <row r="202" spans="1:29" x14ac:dyDescent="0.25">
      <c r="A202" s="329">
        <v>45893</v>
      </c>
      <c r="B202" s="5">
        <v>2</v>
      </c>
      <c r="D202" s="5" t="s">
        <v>146</v>
      </c>
      <c r="E202" s="6">
        <v>1.0900000000000001</v>
      </c>
      <c r="G202" s="362">
        <v>2</v>
      </c>
      <c r="H202" s="362">
        <v>2</v>
      </c>
      <c r="I202" s="8">
        <v>1.81</v>
      </c>
      <c r="L202" s="5" t="s">
        <v>192</v>
      </c>
      <c r="N202" s="476">
        <v>69</v>
      </c>
      <c r="O202" s="477" t="s">
        <v>146</v>
      </c>
      <c r="P202" s="478" t="s">
        <v>157</v>
      </c>
      <c r="Q202" s="478" t="s">
        <v>158</v>
      </c>
      <c r="R202" s="478" t="s">
        <v>696</v>
      </c>
      <c r="S202" s="479">
        <v>73</v>
      </c>
      <c r="T202" s="478" t="s">
        <v>41</v>
      </c>
      <c r="U202" s="478" t="s">
        <v>42</v>
      </c>
      <c r="V202" s="480" t="s">
        <v>10</v>
      </c>
      <c r="W202" s="51">
        <v>0.21</v>
      </c>
      <c r="X202" s="357">
        <v>0.71</v>
      </c>
      <c r="Y202" s="351" t="s">
        <v>353</v>
      </c>
      <c r="Z202" s="5" t="s">
        <v>8</v>
      </c>
      <c r="AA202" s="112" t="s">
        <v>189</v>
      </c>
      <c r="AB202" s="108" t="s">
        <v>159</v>
      </c>
      <c r="AC202" s="57" t="s">
        <v>160</v>
      </c>
    </row>
    <row r="203" spans="1:29" x14ac:dyDescent="0.25">
      <c r="A203" s="329">
        <v>45893</v>
      </c>
      <c r="B203" s="5">
        <v>2</v>
      </c>
      <c r="D203" s="5" t="s">
        <v>146</v>
      </c>
      <c r="E203" s="6">
        <v>1.0900000000000001</v>
      </c>
      <c r="G203" s="362">
        <v>2</v>
      </c>
      <c r="H203" s="362">
        <v>2</v>
      </c>
      <c r="I203" s="8">
        <v>1.81</v>
      </c>
      <c r="L203" s="5" t="s">
        <v>192</v>
      </c>
      <c r="N203" s="345">
        <v>71</v>
      </c>
      <c r="O203" s="38" t="s">
        <v>192</v>
      </c>
      <c r="P203" s="5" t="s">
        <v>282</v>
      </c>
      <c r="Q203" s="5" t="s">
        <v>283</v>
      </c>
      <c r="R203" s="5" t="s">
        <v>696</v>
      </c>
      <c r="S203" s="7">
        <v>62</v>
      </c>
      <c r="T203" s="5" t="s">
        <v>41</v>
      </c>
      <c r="U203" s="5" t="s">
        <v>42</v>
      </c>
      <c r="V203" s="57" t="s">
        <v>10</v>
      </c>
      <c r="W203" s="51">
        <v>0.25</v>
      </c>
      <c r="X203" s="357" t="s">
        <v>53</v>
      </c>
      <c r="Z203" s="5" t="s">
        <v>13</v>
      </c>
      <c r="AA203" s="112" t="s">
        <v>189</v>
      </c>
    </row>
    <row r="204" spans="1:29" ht="15.75" thickBot="1" x14ac:dyDescent="0.3">
      <c r="A204" s="330">
        <v>45893</v>
      </c>
      <c r="B204" s="9">
        <v>2</v>
      </c>
      <c r="C204" s="122"/>
      <c r="D204" s="9" t="s">
        <v>146</v>
      </c>
      <c r="E204" s="10">
        <v>1.0900000000000001</v>
      </c>
      <c r="F204" s="10"/>
      <c r="G204" s="383">
        <v>2</v>
      </c>
      <c r="H204" s="383">
        <v>2</v>
      </c>
      <c r="I204" s="12">
        <v>1.81</v>
      </c>
      <c r="J204" s="12"/>
      <c r="K204" s="122"/>
      <c r="L204" s="9" t="s">
        <v>192</v>
      </c>
      <c r="M204" s="45"/>
      <c r="N204" s="511">
        <v>73</v>
      </c>
      <c r="O204" s="512" t="s">
        <v>146</v>
      </c>
      <c r="P204" s="513" t="s">
        <v>153</v>
      </c>
      <c r="Q204" s="513" t="s">
        <v>154</v>
      </c>
      <c r="R204" s="513" t="s">
        <v>696</v>
      </c>
      <c r="S204" s="479">
        <v>62</v>
      </c>
      <c r="T204" s="513" t="s">
        <v>41</v>
      </c>
      <c r="U204" s="513" t="s">
        <v>43</v>
      </c>
      <c r="V204" s="514" t="s">
        <v>10</v>
      </c>
      <c r="W204" s="52">
        <v>0.27</v>
      </c>
      <c r="X204" s="358">
        <v>0.56000000000000005</v>
      </c>
      <c r="Y204" s="352" t="s">
        <v>353</v>
      </c>
      <c r="Z204" s="9" t="s">
        <v>48</v>
      </c>
      <c r="AA204" s="113" t="s">
        <v>189</v>
      </c>
      <c r="AB204" s="109"/>
      <c r="AC204" s="58"/>
    </row>
    <row r="205" spans="1:29" ht="15.75" thickBot="1" x14ac:dyDescent="0.3">
      <c r="A205" s="326">
        <v>45893</v>
      </c>
      <c r="B205" s="207">
        <v>2</v>
      </c>
      <c r="C205" s="208"/>
      <c r="D205" s="207" t="s">
        <v>146</v>
      </c>
      <c r="E205" s="209">
        <v>1.0900000000000001</v>
      </c>
      <c r="F205" s="209"/>
      <c r="G205" s="460">
        <v>2</v>
      </c>
      <c r="H205" s="460">
        <v>2</v>
      </c>
      <c r="I205" s="211">
        <v>1.81</v>
      </c>
      <c r="J205" s="211"/>
      <c r="K205" s="208"/>
      <c r="L205" s="207" t="s">
        <v>192</v>
      </c>
      <c r="M205" s="197"/>
      <c r="N205" s="347"/>
      <c r="O205" s="343" t="s">
        <v>146</v>
      </c>
      <c r="P205" s="199" t="s">
        <v>257</v>
      </c>
      <c r="Q205" s="199" t="s">
        <v>423</v>
      </c>
      <c r="R205" s="199" t="s">
        <v>707</v>
      </c>
      <c r="S205" s="479">
        <v>59</v>
      </c>
      <c r="T205" s="199"/>
      <c r="U205" s="199"/>
      <c r="V205" s="201"/>
      <c r="W205" s="202"/>
      <c r="X205" s="359"/>
      <c r="Y205" s="353">
        <f>H205</f>
        <v>2</v>
      </c>
      <c r="Z205" s="199"/>
      <c r="AA205" s="204"/>
      <c r="AB205" s="205"/>
      <c r="AC205" s="201"/>
    </row>
    <row r="206" spans="1:29" ht="15.75" thickBot="1" x14ac:dyDescent="0.3">
      <c r="A206" s="326">
        <v>45893</v>
      </c>
      <c r="B206" s="207">
        <v>2</v>
      </c>
      <c r="C206" s="208"/>
      <c r="D206" s="207" t="s">
        <v>146</v>
      </c>
      <c r="E206" s="209">
        <v>1.0900000000000001</v>
      </c>
      <c r="F206" s="209"/>
      <c r="G206" s="460">
        <v>2</v>
      </c>
      <c r="H206" s="460">
        <v>2</v>
      </c>
      <c r="I206" s="211">
        <v>1.81</v>
      </c>
      <c r="J206" s="211"/>
      <c r="K206" s="208"/>
      <c r="L206" s="207" t="s">
        <v>192</v>
      </c>
      <c r="M206" s="197"/>
      <c r="N206" s="347"/>
      <c r="O206" s="343" t="s">
        <v>192</v>
      </c>
      <c r="P206" s="199" t="s">
        <v>723</v>
      </c>
      <c r="Q206" s="199" t="s">
        <v>724</v>
      </c>
      <c r="R206" s="199" t="s">
        <v>707</v>
      </c>
      <c r="S206" s="7">
        <v>73</v>
      </c>
      <c r="T206" s="199"/>
      <c r="U206" s="199"/>
      <c r="V206" s="201"/>
      <c r="W206" s="202"/>
      <c r="X206" s="359"/>
      <c r="Y206" s="353">
        <f>G205</f>
        <v>2</v>
      </c>
      <c r="Z206" s="199"/>
      <c r="AA206" s="204"/>
      <c r="AB206" s="205"/>
      <c r="AC206" s="201"/>
    </row>
    <row r="207" spans="1:29" x14ac:dyDescent="0.25">
      <c r="A207" s="328">
        <v>45893</v>
      </c>
      <c r="B207" s="17">
        <v>2</v>
      </c>
      <c r="C207" s="123" t="s">
        <v>694</v>
      </c>
      <c r="D207" s="17" t="s">
        <v>91</v>
      </c>
      <c r="E207" s="18">
        <v>2.2999999999999998</v>
      </c>
      <c r="F207" s="18"/>
      <c r="G207" s="461">
        <v>5</v>
      </c>
      <c r="H207" s="461">
        <v>0</v>
      </c>
      <c r="I207" s="20">
        <v>0.14000000000000001</v>
      </c>
      <c r="J207" s="20"/>
      <c r="K207" s="123" t="s">
        <v>704</v>
      </c>
      <c r="L207" s="17" t="s">
        <v>69</v>
      </c>
      <c r="M207" s="46"/>
      <c r="N207" s="507">
        <v>7</v>
      </c>
      <c r="O207" s="508" t="s">
        <v>91</v>
      </c>
      <c r="P207" s="509" t="s">
        <v>96</v>
      </c>
      <c r="Q207" s="509" t="s">
        <v>97</v>
      </c>
      <c r="R207" s="509" t="s">
        <v>718</v>
      </c>
      <c r="S207" s="479">
        <v>91</v>
      </c>
      <c r="T207" s="509" t="s">
        <v>41</v>
      </c>
      <c r="U207" s="509" t="s">
        <v>43</v>
      </c>
      <c r="V207" s="510" t="s">
        <v>540</v>
      </c>
      <c r="W207" s="53">
        <v>0.45</v>
      </c>
      <c r="X207" s="360">
        <v>0.52</v>
      </c>
      <c r="Y207" s="354" t="s">
        <v>353</v>
      </c>
      <c r="Z207" s="17" t="s">
        <v>8</v>
      </c>
      <c r="AA207" s="114" t="s">
        <v>19</v>
      </c>
      <c r="AB207" s="110"/>
      <c r="AC207" s="60"/>
    </row>
    <row r="208" spans="1:29" x14ac:dyDescent="0.25">
      <c r="A208" s="329">
        <v>45893</v>
      </c>
      <c r="B208" s="5">
        <v>2</v>
      </c>
      <c r="D208" s="5" t="s">
        <v>91</v>
      </c>
      <c r="E208" s="6">
        <v>2.2999999999999998</v>
      </c>
      <c r="G208" s="362">
        <v>5</v>
      </c>
      <c r="H208" s="362">
        <v>0</v>
      </c>
      <c r="I208" s="8">
        <v>0.14000000000000001</v>
      </c>
      <c r="L208" s="5" t="s">
        <v>69</v>
      </c>
      <c r="N208" s="476">
        <v>16</v>
      </c>
      <c r="O208" s="477" t="s">
        <v>91</v>
      </c>
      <c r="P208" s="478" t="s">
        <v>106</v>
      </c>
      <c r="Q208" s="478" t="s">
        <v>107</v>
      </c>
      <c r="R208" s="478" t="s">
        <v>686</v>
      </c>
      <c r="S208" s="479">
        <v>100</v>
      </c>
      <c r="T208" s="478" t="s">
        <v>41</v>
      </c>
      <c r="U208" s="478" t="s">
        <v>42</v>
      </c>
      <c r="V208" s="480" t="s">
        <v>10</v>
      </c>
      <c r="W208" s="51">
        <v>0.03</v>
      </c>
      <c r="X208" s="357">
        <v>0.18</v>
      </c>
      <c r="Z208" s="5" t="s">
        <v>8</v>
      </c>
      <c r="AA208" s="112" t="s">
        <v>24</v>
      </c>
      <c r="AB208" s="108" t="s">
        <v>493</v>
      </c>
      <c r="AC208" s="57" t="s">
        <v>494</v>
      </c>
    </row>
    <row r="209" spans="1:29" x14ac:dyDescent="0.25">
      <c r="A209" s="329">
        <v>45893</v>
      </c>
      <c r="B209" s="5">
        <v>2</v>
      </c>
      <c r="D209" s="5" t="s">
        <v>91</v>
      </c>
      <c r="E209" s="6">
        <v>2.2999999999999998</v>
      </c>
      <c r="G209" s="362">
        <v>5</v>
      </c>
      <c r="H209" s="362">
        <v>0</v>
      </c>
      <c r="I209" s="8">
        <v>0.14000000000000001</v>
      </c>
      <c r="L209" s="5" t="s">
        <v>69</v>
      </c>
      <c r="N209" s="476">
        <v>22</v>
      </c>
      <c r="O209" s="477" t="s">
        <v>91</v>
      </c>
      <c r="P209" s="478" t="s">
        <v>96</v>
      </c>
      <c r="Q209" s="478" t="s">
        <v>97</v>
      </c>
      <c r="R209" s="478" t="s">
        <v>718</v>
      </c>
      <c r="S209" s="479">
        <v>91</v>
      </c>
      <c r="T209" s="478" t="s">
        <v>41</v>
      </c>
      <c r="U209" s="478" t="s">
        <v>43</v>
      </c>
      <c r="V209" s="480" t="s">
        <v>18</v>
      </c>
      <c r="W209" s="51">
        <v>0.11</v>
      </c>
      <c r="X209" s="357" t="s">
        <v>53</v>
      </c>
      <c r="Z209" s="5" t="s">
        <v>52</v>
      </c>
      <c r="AA209" s="112" t="s">
        <v>24</v>
      </c>
    </row>
    <row r="210" spans="1:29" x14ac:dyDescent="0.25">
      <c r="A210" s="329">
        <v>45893</v>
      </c>
      <c r="B210" s="5">
        <v>2</v>
      </c>
      <c r="D210" s="5" t="s">
        <v>91</v>
      </c>
      <c r="E210" s="6">
        <v>2.2999999999999998</v>
      </c>
      <c r="G210" s="362">
        <v>5</v>
      </c>
      <c r="H210" s="362">
        <v>0</v>
      </c>
      <c r="I210" s="8">
        <v>0.14000000000000001</v>
      </c>
      <c r="L210" s="5" t="s">
        <v>69</v>
      </c>
      <c r="N210" s="476">
        <v>24</v>
      </c>
      <c r="O210" s="477" t="s">
        <v>91</v>
      </c>
      <c r="P210" s="478" t="s">
        <v>96</v>
      </c>
      <c r="Q210" s="478" t="s">
        <v>97</v>
      </c>
      <c r="R210" s="478" t="s">
        <v>718</v>
      </c>
      <c r="S210" s="479">
        <v>91</v>
      </c>
      <c r="T210" s="478" t="s">
        <v>41</v>
      </c>
      <c r="U210" s="478" t="s">
        <v>45</v>
      </c>
      <c r="V210" s="480" t="s">
        <v>10</v>
      </c>
      <c r="W210" s="51">
        <v>0.12</v>
      </c>
      <c r="X210" s="357" t="s">
        <v>53</v>
      </c>
      <c r="Z210" s="5" t="s">
        <v>52</v>
      </c>
      <c r="AA210" s="112" t="s">
        <v>24</v>
      </c>
    </row>
    <row r="211" spans="1:29" x14ac:dyDescent="0.25">
      <c r="A211" s="329">
        <v>45893</v>
      </c>
      <c r="B211" s="5">
        <v>2</v>
      </c>
      <c r="D211" s="5" t="s">
        <v>91</v>
      </c>
      <c r="E211" s="6">
        <v>2.2999999999999998</v>
      </c>
      <c r="G211" s="362">
        <v>5</v>
      </c>
      <c r="H211" s="362">
        <v>0</v>
      </c>
      <c r="I211" s="8">
        <v>0.14000000000000001</v>
      </c>
      <c r="L211" s="5" t="s">
        <v>69</v>
      </c>
      <c r="N211" s="476">
        <v>25</v>
      </c>
      <c r="O211" s="477" t="s">
        <v>91</v>
      </c>
      <c r="P211" s="478" t="s">
        <v>61</v>
      </c>
      <c r="Q211" s="478" t="s">
        <v>284</v>
      </c>
      <c r="R211" s="478" t="s">
        <v>712</v>
      </c>
      <c r="S211" s="481">
        <v>79</v>
      </c>
      <c r="T211" s="478" t="s">
        <v>47</v>
      </c>
      <c r="U211" s="478" t="s">
        <v>45</v>
      </c>
      <c r="V211" s="480" t="s">
        <v>20</v>
      </c>
      <c r="W211" s="51">
        <v>0.19</v>
      </c>
      <c r="X211" s="357">
        <v>0.55000000000000004</v>
      </c>
      <c r="Y211" s="351" t="s">
        <v>353</v>
      </c>
      <c r="Z211" s="5" t="s">
        <v>8</v>
      </c>
      <c r="AA211" s="112" t="s">
        <v>27</v>
      </c>
      <c r="AB211" s="108" t="s">
        <v>102</v>
      </c>
      <c r="AC211" s="57" t="s">
        <v>103</v>
      </c>
    </row>
    <row r="212" spans="1:29" x14ac:dyDescent="0.25">
      <c r="A212" s="329">
        <v>45893</v>
      </c>
      <c r="B212" s="5">
        <v>2</v>
      </c>
      <c r="D212" s="5" t="s">
        <v>91</v>
      </c>
      <c r="E212" s="6">
        <v>2.2999999999999998</v>
      </c>
      <c r="G212" s="362">
        <v>5</v>
      </c>
      <c r="H212" s="362">
        <v>0</v>
      </c>
      <c r="I212" s="8">
        <v>0.14000000000000001</v>
      </c>
      <c r="L212" s="5" t="s">
        <v>69</v>
      </c>
      <c r="N212" s="476">
        <v>28</v>
      </c>
      <c r="O212" s="477" t="s">
        <v>91</v>
      </c>
      <c r="P212" s="478" t="s">
        <v>106</v>
      </c>
      <c r="Q212" s="478" t="s">
        <v>107</v>
      </c>
      <c r="R212" s="478" t="s">
        <v>686</v>
      </c>
      <c r="S212" s="481">
        <v>100</v>
      </c>
      <c r="T212" s="478" t="s">
        <v>47</v>
      </c>
      <c r="U212" s="478" t="s">
        <v>42</v>
      </c>
      <c r="V212" s="480" t="s">
        <v>10</v>
      </c>
      <c r="W212" s="51">
        <v>0.33</v>
      </c>
      <c r="X212" s="357">
        <v>0.31</v>
      </c>
      <c r="Y212" s="351" t="s">
        <v>353</v>
      </c>
      <c r="Z212" s="5" t="s">
        <v>8</v>
      </c>
      <c r="AA212" s="112" t="s">
        <v>32</v>
      </c>
      <c r="AB212" s="108" t="s">
        <v>100</v>
      </c>
      <c r="AC212" s="57" t="s">
        <v>101</v>
      </c>
    </row>
    <row r="213" spans="1:29" x14ac:dyDescent="0.25">
      <c r="A213" s="329">
        <v>45893</v>
      </c>
      <c r="B213" s="5">
        <v>2</v>
      </c>
      <c r="D213" s="5" t="s">
        <v>91</v>
      </c>
      <c r="E213" s="6">
        <v>2.2999999999999998</v>
      </c>
      <c r="G213" s="362">
        <v>5</v>
      </c>
      <c r="H213" s="362">
        <v>0</v>
      </c>
      <c r="I213" s="8">
        <v>0.14000000000000001</v>
      </c>
      <c r="L213" s="5" t="s">
        <v>69</v>
      </c>
      <c r="N213" s="476">
        <v>33</v>
      </c>
      <c r="O213" s="477" t="s">
        <v>91</v>
      </c>
      <c r="P213" s="478" t="s">
        <v>104</v>
      </c>
      <c r="Q213" s="478" t="s">
        <v>105</v>
      </c>
      <c r="R213" s="478" t="s">
        <v>717</v>
      </c>
      <c r="S213" s="479">
        <v>81</v>
      </c>
      <c r="T213" s="478" t="s">
        <v>47</v>
      </c>
      <c r="U213" s="478" t="s">
        <v>43</v>
      </c>
      <c r="V213" s="480" t="s">
        <v>10</v>
      </c>
      <c r="W213" s="51">
        <v>0.31</v>
      </c>
      <c r="X213" s="357">
        <v>0.1</v>
      </c>
      <c r="Y213" s="351" t="s">
        <v>353</v>
      </c>
      <c r="Z213" s="5" t="s">
        <v>48</v>
      </c>
      <c r="AA213" s="112" t="s">
        <v>32</v>
      </c>
    </row>
    <row r="214" spans="1:29" x14ac:dyDescent="0.25">
      <c r="A214" s="329">
        <v>45893</v>
      </c>
      <c r="B214" s="5">
        <v>2</v>
      </c>
      <c r="D214" s="5" t="s">
        <v>91</v>
      </c>
      <c r="E214" s="6">
        <v>2.2999999999999998</v>
      </c>
      <c r="G214" s="362">
        <v>5</v>
      </c>
      <c r="H214" s="362">
        <v>0</v>
      </c>
      <c r="I214" s="8">
        <v>0.14000000000000001</v>
      </c>
      <c r="L214" s="5" t="s">
        <v>69</v>
      </c>
      <c r="N214" s="476" t="s">
        <v>63</v>
      </c>
      <c r="O214" s="477" t="s">
        <v>91</v>
      </c>
      <c r="P214" s="478" t="s">
        <v>104</v>
      </c>
      <c r="Q214" s="478" t="s">
        <v>105</v>
      </c>
      <c r="R214" s="478" t="s">
        <v>717</v>
      </c>
      <c r="S214" s="479">
        <v>81</v>
      </c>
      <c r="T214" s="478" t="s">
        <v>354</v>
      </c>
      <c r="U214" s="478" t="s">
        <v>42</v>
      </c>
      <c r="V214" s="480" t="s">
        <v>18</v>
      </c>
      <c r="W214" s="51">
        <v>0.03</v>
      </c>
      <c r="X214" s="357" t="s">
        <v>53</v>
      </c>
      <c r="Z214" s="5" t="s">
        <v>16</v>
      </c>
      <c r="AA214" s="112" t="s">
        <v>32</v>
      </c>
    </row>
    <row r="215" spans="1:29" ht="15.75" thickBot="1" x14ac:dyDescent="0.3">
      <c r="A215" s="330">
        <v>45893</v>
      </c>
      <c r="B215" s="9">
        <v>2</v>
      </c>
      <c r="C215" s="122"/>
      <c r="D215" s="9" t="s">
        <v>91</v>
      </c>
      <c r="E215" s="10">
        <v>2.2999999999999998</v>
      </c>
      <c r="F215" s="10"/>
      <c r="G215" s="383">
        <v>5</v>
      </c>
      <c r="H215" s="383">
        <v>0</v>
      </c>
      <c r="I215" s="12">
        <v>0.14000000000000001</v>
      </c>
      <c r="J215" s="12"/>
      <c r="K215" s="122"/>
      <c r="L215" s="9" t="s">
        <v>69</v>
      </c>
      <c r="M215" s="45"/>
      <c r="N215" s="511">
        <v>64</v>
      </c>
      <c r="O215" s="512" t="s">
        <v>91</v>
      </c>
      <c r="P215" s="513" t="s">
        <v>106</v>
      </c>
      <c r="Q215" s="513" t="s">
        <v>107</v>
      </c>
      <c r="R215" s="513" t="s">
        <v>686</v>
      </c>
      <c r="S215" s="479">
        <v>100</v>
      </c>
      <c r="T215" s="513" t="s">
        <v>44</v>
      </c>
      <c r="U215" s="513" t="s">
        <v>42</v>
      </c>
      <c r="V215" s="514" t="s">
        <v>18</v>
      </c>
      <c r="W215" s="52">
        <v>7.0000000000000007E-2</v>
      </c>
      <c r="X215" s="358">
        <v>0.22</v>
      </c>
      <c r="Y215" s="352"/>
      <c r="Z215" s="9" t="s">
        <v>8</v>
      </c>
      <c r="AA215" s="113" t="s">
        <v>285</v>
      </c>
      <c r="AB215" s="109" t="s">
        <v>104</v>
      </c>
      <c r="AC215" s="58" t="s">
        <v>105</v>
      </c>
    </row>
    <row r="216" spans="1:29" ht="15.75" thickBot="1" x14ac:dyDescent="0.3">
      <c r="A216" s="326">
        <v>45893</v>
      </c>
      <c r="B216" s="207">
        <v>2</v>
      </c>
      <c r="C216" s="208"/>
      <c r="D216" s="207" t="s">
        <v>91</v>
      </c>
      <c r="E216" s="209">
        <v>2.2999999999999998</v>
      </c>
      <c r="F216" s="209"/>
      <c r="G216" s="460">
        <v>5</v>
      </c>
      <c r="H216" s="460">
        <v>0</v>
      </c>
      <c r="I216" s="211">
        <v>0.14000000000000001</v>
      </c>
      <c r="J216" s="211"/>
      <c r="K216" s="208"/>
      <c r="L216" s="207" t="s">
        <v>69</v>
      </c>
      <c r="M216" s="197"/>
      <c r="N216" s="347"/>
      <c r="O216" s="343" t="s">
        <v>91</v>
      </c>
      <c r="P216" s="199" t="s">
        <v>315</v>
      </c>
      <c r="Q216" s="199" t="s">
        <v>54</v>
      </c>
      <c r="R216" s="199" t="s">
        <v>707</v>
      </c>
      <c r="S216" s="479">
        <v>72</v>
      </c>
      <c r="T216" s="199"/>
      <c r="U216" s="199"/>
      <c r="V216" s="201"/>
      <c r="W216" s="202"/>
      <c r="X216" s="359"/>
      <c r="Y216" s="353">
        <f>H216</f>
        <v>0</v>
      </c>
      <c r="Z216" s="199"/>
      <c r="AA216" s="204"/>
      <c r="AB216" s="205"/>
      <c r="AC216" s="201"/>
    </row>
    <row r="217" spans="1:29" ht="15.75" thickBot="1" x14ac:dyDescent="0.3">
      <c r="A217" s="326">
        <v>45893</v>
      </c>
      <c r="B217" s="207">
        <v>2</v>
      </c>
      <c r="C217" s="208"/>
      <c r="D217" s="207" t="s">
        <v>91</v>
      </c>
      <c r="E217" s="209">
        <v>2.2999999999999998</v>
      </c>
      <c r="F217" s="209"/>
      <c r="G217" s="460">
        <v>5</v>
      </c>
      <c r="H217" s="460">
        <v>0</v>
      </c>
      <c r="I217" s="211">
        <v>0.14000000000000001</v>
      </c>
      <c r="J217" s="211"/>
      <c r="K217" s="208"/>
      <c r="L217" s="207" t="s">
        <v>69</v>
      </c>
      <c r="M217" s="197"/>
      <c r="N217" s="347"/>
      <c r="O217" s="343" t="s">
        <v>69</v>
      </c>
      <c r="P217" s="199" t="s">
        <v>389</v>
      </c>
      <c r="Q217" s="199" t="s">
        <v>729</v>
      </c>
      <c r="R217" s="199" t="s">
        <v>707</v>
      </c>
      <c r="S217" s="7">
        <v>52</v>
      </c>
      <c r="T217" s="199"/>
      <c r="U217" s="199"/>
      <c r="V217" s="201"/>
      <c r="W217" s="202"/>
      <c r="X217" s="359"/>
      <c r="Y217" s="353">
        <f>G216</f>
        <v>5</v>
      </c>
      <c r="Z217" s="199"/>
      <c r="AA217" s="204"/>
      <c r="AB217" s="205"/>
      <c r="AC217" s="201"/>
    </row>
    <row r="218" spans="1:29" x14ac:dyDescent="0.25">
      <c r="A218" s="328">
        <v>45893</v>
      </c>
      <c r="B218" s="17">
        <v>2</v>
      </c>
      <c r="C218" s="123" t="s">
        <v>700</v>
      </c>
      <c r="D218" s="17" t="s">
        <v>92</v>
      </c>
      <c r="E218" s="18">
        <v>0.5</v>
      </c>
      <c r="F218" s="18"/>
      <c r="G218" s="461">
        <v>0</v>
      </c>
      <c r="H218" s="461">
        <v>3</v>
      </c>
      <c r="I218" s="20">
        <v>2.68</v>
      </c>
      <c r="J218" s="20"/>
      <c r="K218" s="123" t="s">
        <v>693</v>
      </c>
      <c r="L218" s="17" t="s">
        <v>226</v>
      </c>
      <c r="M218" s="46"/>
      <c r="N218" s="348">
        <v>3</v>
      </c>
      <c r="O218" s="456" t="s">
        <v>226</v>
      </c>
      <c r="P218" s="17" t="s">
        <v>53</v>
      </c>
      <c r="Q218" s="17" t="s">
        <v>286</v>
      </c>
      <c r="R218" s="17" t="s">
        <v>685</v>
      </c>
      <c r="S218" s="479">
        <v>67</v>
      </c>
      <c r="T218" s="17" t="s">
        <v>41</v>
      </c>
      <c r="U218" s="17" t="s">
        <v>42</v>
      </c>
      <c r="V218" s="59" t="s">
        <v>10</v>
      </c>
      <c r="W218" s="53">
        <v>0.04</v>
      </c>
      <c r="X218" s="360">
        <v>0.27</v>
      </c>
      <c r="Y218" s="354"/>
      <c r="Z218" s="17" t="s">
        <v>48</v>
      </c>
      <c r="AA218" s="114" t="s">
        <v>28</v>
      </c>
      <c r="AB218" s="110"/>
      <c r="AC218" s="60"/>
    </row>
    <row r="219" spans="1:29" x14ac:dyDescent="0.25">
      <c r="A219" s="329">
        <v>45893</v>
      </c>
      <c r="B219" s="5">
        <v>2</v>
      </c>
      <c r="D219" s="5" t="s">
        <v>92</v>
      </c>
      <c r="E219" s="6">
        <v>0.5</v>
      </c>
      <c r="G219" s="362">
        <v>0</v>
      </c>
      <c r="H219" s="362">
        <v>3</v>
      </c>
      <c r="I219" s="8">
        <v>2.68</v>
      </c>
      <c r="L219" s="5" t="s">
        <v>226</v>
      </c>
      <c r="N219" s="345">
        <v>32</v>
      </c>
      <c r="O219" s="38" t="s">
        <v>226</v>
      </c>
      <c r="P219" s="5" t="s">
        <v>56</v>
      </c>
      <c r="Q219" s="5" t="s">
        <v>235</v>
      </c>
      <c r="R219" s="5" t="s">
        <v>699</v>
      </c>
      <c r="S219" s="7">
        <v>82</v>
      </c>
      <c r="T219" s="5" t="s">
        <v>354</v>
      </c>
      <c r="U219" s="5" t="s">
        <v>43</v>
      </c>
      <c r="V219" s="57" t="s">
        <v>10</v>
      </c>
      <c r="W219" s="51">
        <v>0.03</v>
      </c>
      <c r="X219" s="357">
        <v>0.14000000000000001</v>
      </c>
      <c r="Z219" s="5" t="s">
        <v>48</v>
      </c>
      <c r="AA219" s="112" t="s">
        <v>28</v>
      </c>
    </row>
    <row r="220" spans="1:29" x14ac:dyDescent="0.25">
      <c r="A220" s="329">
        <v>45893</v>
      </c>
      <c r="B220" s="5">
        <v>2</v>
      </c>
      <c r="D220" s="5" t="s">
        <v>92</v>
      </c>
      <c r="E220" s="6">
        <v>0.5</v>
      </c>
      <c r="G220" s="362">
        <v>0</v>
      </c>
      <c r="H220" s="362">
        <v>3</v>
      </c>
      <c r="I220" s="8">
        <v>2.68</v>
      </c>
      <c r="L220" s="5" t="s">
        <v>226</v>
      </c>
      <c r="N220" s="345">
        <v>34</v>
      </c>
      <c r="O220" s="38" t="s">
        <v>226</v>
      </c>
      <c r="P220" s="5" t="s">
        <v>236</v>
      </c>
      <c r="Q220" s="5" t="s">
        <v>237</v>
      </c>
      <c r="R220" s="5" t="s">
        <v>686</v>
      </c>
      <c r="S220" s="7">
        <v>63</v>
      </c>
      <c r="T220" s="5" t="s">
        <v>47</v>
      </c>
      <c r="U220" s="5" t="s">
        <v>42</v>
      </c>
      <c r="V220" s="57" t="s">
        <v>20</v>
      </c>
      <c r="W220" s="51">
        <v>0.2</v>
      </c>
      <c r="X220" s="357" t="s">
        <v>53</v>
      </c>
      <c r="Y220" s="351" t="s">
        <v>353</v>
      </c>
      <c r="Z220" s="5" t="s">
        <v>22</v>
      </c>
      <c r="AA220" s="112" t="s">
        <v>28</v>
      </c>
    </row>
    <row r="221" spans="1:29" x14ac:dyDescent="0.25">
      <c r="A221" s="329">
        <v>45893</v>
      </c>
      <c r="B221" s="5">
        <v>2</v>
      </c>
      <c r="D221" s="5" t="s">
        <v>92</v>
      </c>
      <c r="E221" s="6">
        <v>0.5</v>
      </c>
      <c r="G221" s="362">
        <v>0</v>
      </c>
      <c r="H221" s="362">
        <v>3</v>
      </c>
      <c r="I221" s="8">
        <v>2.68</v>
      </c>
      <c r="L221" s="5" t="s">
        <v>226</v>
      </c>
      <c r="N221" s="345">
        <v>36</v>
      </c>
      <c r="O221" s="38" t="s">
        <v>226</v>
      </c>
      <c r="P221" s="5" t="s">
        <v>236</v>
      </c>
      <c r="Q221" s="5" t="s">
        <v>237</v>
      </c>
      <c r="R221" s="5" t="s">
        <v>686</v>
      </c>
      <c r="S221" s="479">
        <v>63</v>
      </c>
      <c r="T221" s="5" t="s">
        <v>41</v>
      </c>
      <c r="U221" s="5" t="s">
        <v>43</v>
      </c>
      <c r="V221" s="57" t="s">
        <v>540</v>
      </c>
      <c r="W221" s="51">
        <v>0.12</v>
      </c>
      <c r="X221" s="357" t="s">
        <v>53</v>
      </c>
      <c r="Z221" s="5" t="s">
        <v>52</v>
      </c>
      <c r="AA221" s="112" t="s">
        <v>28</v>
      </c>
    </row>
    <row r="222" spans="1:29" x14ac:dyDescent="0.25">
      <c r="A222" s="329">
        <v>45893</v>
      </c>
      <c r="B222" s="5">
        <v>2</v>
      </c>
      <c r="D222" s="5" t="s">
        <v>92</v>
      </c>
      <c r="E222" s="6">
        <v>0.5</v>
      </c>
      <c r="G222" s="362">
        <v>0</v>
      </c>
      <c r="H222" s="362">
        <v>3</v>
      </c>
      <c r="I222" s="8">
        <v>2.68</v>
      </c>
      <c r="L222" s="5" t="s">
        <v>226</v>
      </c>
      <c r="N222" s="345">
        <v>36</v>
      </c>
      <c r="O222" s="38" t="s">
        <v>226</v>
      </c>
      <c r="P222" s="5" t="s">
        <v>56</v>
      </c>
      <c r="Q222" s="5" t="s">
        <v>235</v>
      </c>
      <c r="R222" s="5" t="s">
        <v>699</v>
      </c>
      <c r="S222" s="7">
        <v>82</v>
      </c>
      <c r="T222" s="5" t="s">
        <v>41</v>
      </c>
      <c r="U222" s="5" t="s">
        <v>43</v>
      </c>
      <c r="V222" s="57" t="s">
        <v>540</v>
      </c>
      <c r="W222" s="51">
        <v>0.14000000000000001</v>
      </c>
      <c r="X222" s="357" t="s">
        <v>53</v>
      </c>
      <c r="Y222" s="351" t="s">
        <v>353</v>
      </c>
      <c r="Z222" s="5" t="s">
        <v>52</v>
      </c>
      <c r="AA222" s="112" t="s">
        <v>28</v>
      </c>
    </row>
    <row r="223" spans="1:29" x14ac:dyDescent="0.25">
      <c r="A223" s="329">
        <v>45893</v>
      </c>
      <c r="B223" s="5">
        <v>2</v>
      </c>
      <c r="D223" s="5" t="s">
        <v>92</v>
      </c>
      <c r="E223" s="6">
        <v>0.5</v>
      </c>
      <c r="G223" s="362">
        <v>0</v>
      </c>
      <c r="H223" s="362">
        <v>3</v>
      </c>
      <c r="I223" s="8">
        <v>2.68</v>
      </c>
      <c r="L223" s="5" t="s">
        <v>226</v>
      </c>
      <c r="N223" s="345">
        <v>37</v>
      </c>
      <c r="O223" s="38" t="s">
        <v>226</v>
      </c>
      <c r="P223" s="5" t="s">
        <v>231</v>
      </c>
      <c r="Q223" s="5" t="s">
        <v>232</v>
      </c>
      <c r="R223" s="5" t="s">
        <v>684</v>
      </c>
      <c r="S223" s="7">
        <v>91</v>
      </c>
      <c r="T223" s="5" t="s">
        <v>41</v>
      </c>
      <c r="U223" s="5" t="s">
        <v>42</v>
      </c>
      <c r="V223" s="57" t="s">
        <v>10</v>
      </c>
      <c r="W223" s="51">
        <v>0.37</v>
      </c>
      <c r="X223" s="357">
        <v>0.75</v>
      </c>
      <c r="Z223" s="5" t="s">
        <v>8</v>
      </c>
      <c r="AA223" s="112" t="s">
        <v>9</v>
      </c>
      <c r="AB223" s="108" t="s">
        <v>56</v>
      </c>
      <c r="AC223" s="57" t="s">
        <v>235</v>
      </c>
    </row>
    <row r="224" spans="1:29" x14ac:dyDescent="0.25">
      <c r="A224" s="329">
        <v>45893</v>
      </c>
      <c r="B224" s="5">
        <v>2</v>
      </c>
      <c r="D224" s="5" t="s">
        <v>92</v>
      </c>
      <c r="E224" s="6">
        <v>0.5</v>
      </c>
      <c r="G224" s="362">
        <v>0</v>
      </c>
      <c r="H224" s="362">
        <v>3</v>
      </c>
      <c r="I224" s="8">
        <v>2.68</v>
      </c>
      <c r="L224" s="5" t="s">
        <v>226</v>
      </c>
      <c r="N224" s="345">
        <v>66</v>
      </c>
      <c r="O224" s="38" t="s">
        <v>226</v>
      </c>
      <c r="P224" s="5" t="s">
        <v>287</v>
      </c>
      <c r="Q224" s="5" t="s">
        <v>288</v>
      </c>
      <c r="R224" s="5" t="s">
        <v>687</v>
      </c>
      <c r="S224" s="459">
        <v>76</v>
      </c>
      <c r="T224" s="5" t="s">
        <v>41</v>
      </c>
      <c r="U224" s="5" t="s">
        <v>43</v>
      </c>
      <c r="V224" s="57" t="s">
        <v>18</v>
      </c>
      <c r="W224" s="51">
        <v>0.56999999999999995</v>
      </c>
      <c r="X224" s="357">
        <v>0.45</v>
      </c>
      <c r="Y224" s="351" t="s">
        <v>353</v>
      </c>
      <c r="Z224" s="5" t="s">
        <v>48</v>
      </c>
      <c r="AA224" s="112" t="s">
        <v>9</v>
      </c>
    </row>
    <row r="225" spans="1:29" x14ac:dyDescent="0.25">
      <c r="A225" s="329">
        <v>45893</v>
      </c>
      <c r="B225" s="5">
        <v>2</v>
      </c>
      <c r="D225" s="5" t="s">
        <v>92</v>
      </c>
      <c r="E225" s="6">
        <v>0.5</v>
      </c>
      <c r="G225" s="362">
        <v>0</v>
      </c>
      <c r="H225" s="362">
        <v>3</v>
      </c>
      <c r="I225" s="8">
        <v>2.68</v>
      </c>
      <c r="L225" s="5" t="s">
        <v>226</v>
      </c>
      <c r="N225" s="476">
        <v>82</v>
      </c>
      <c r="O225" s="477" t="s">
        <v>92</v>
      </c>
      <c r="P225" s="478" t="s">
        <v>290</v>
      </c>
      <c r="Q225" s="478" t="s">
        <v>291</v>
      </c>
      <c r="R225" s="478" t="s">
        <v>695</v>
      </c>
      <c r="S225" s="481">
        <v>62</v>
      </c>
      <c r="T225" s="478" t="s">
        <v>44</v>
      </c>
      <c r="U225" s="478" t="s">
        <v>42</v>
      </c>
      <c r="V225" s="480" t="s">
        <v>10</v>
      </c>
      <c r="W225" s="51">
        <v>0.1</v>
      </c>
      <c r="X225" s="357" t="s">
        <v>53</v>
      </c>
      <c r="Z225" s="5" t="s">
        <v>17</v>
      </c>
      <c r="AA225" s="112" t="s">
        <v>11</v>
      </c>
    </row>
    <row r="226" spans="1:29" x14ac:dyDescent="0.25">
      <c r="A226" s="329">
        <v>45893</v>
      </c>
      <c r="B226" s="5">
        <v>2</v>
      </c>
      <c r="D226" s="5" t="s">
        <v>92</v>
      </c>
      <c r="E226" s="6">
        <v>0.5</v>
      </c>
      <c r="G226" s="362">
        <v>0</v>
      </c>
      <c r="H226" s="362">
        <v>3</v>
      </c>
      <c r="I226" s="8">
        <v>2.68</v>
      </c>
      <c r="L226" s="5" t="s">
        <v>226</v>
      </c>
      <c r="N226" s="345">
        <v>83</v>
      </c>
      <c r="O226" s="38" t="s">
        <v>226</v>
      </c>
      <c r="P226" s="5" t="s">
        <v>231</v>
      </c>
      <c r="Q226" s="5" t="s">
        <v>232</v>
      </c>
      <c r="R226" s="5" t="s">
        <v>684</v>
      </c>
      <c r="S226" s="479">
        <v>91</v>
      </c>
      <c r="T226" s="5" t="s">
        <v>41</v>
      </c>
      <c r="U226" s="5" t="s">
        <v>42</v>
      </c>
      <c r="V226" s="57" t="s">
        <v>10</v>
      </c>
      <c r="W226" s="51">
        <v>0.32</v>
      </c>
      <c r="X226" s="357">
        <v>0.34</v>
      </c>
      <c r="Y226" s="351" t="s">
        <v>353</v>
      </c>
      <c r="Z226" s="5" t="s">
        <v>8</v>
      </c>
      <c r="AA226" s="112" t="s">
        <v>11</v>
      </c>
      <c r="AB226" s="108" t="s">
        <v>289</v>
      </c>
      <c r="AC226" s="57" t="s">
        <v>54</v>
      </c>
    </row>
    <row r="227" spans="1:29" x14ac:dyDescent="0.25">
      <c r="A227" s="329">
        <v>45893</v>
      </c>
      <c r="B227" s="5">
        <v>2</v>
      </c>
      <c r="D227" s="5" t="s">
        <v>92</v>
      </c>
      <c r="E227" s="6">
        <v>0.5</v>
      </c>
      <c r="G227" s="362">
        <v>0</v>
      </c>
      <c r="H227" s="362">
        <v>3</v>
      </c>
      <c r="I227" s="8">
        <v>2.68</v>
      </c>
      <c r="L227" s="5" t="s">
        <v>226</v>
      </c>
      <c r="N227" s="345">
        <v>85</v>
      </c>
      <c r="O227" s="38" t="s">
        <v>226</v>
      </c>
      <c r="P227" s="5" t="s">
        <v>231</v>
      </c>
      <c r="Q227" s="5" t="s">
        <v>232</v>
      </c>
      <c r="R227" s="5" t="s">
        <v>684</v>
      </c>
      <c r="S227" s="479">
        <v>91</v>
      </c>
      <c r="T227" s="5" t="s">
        <v>44</v>
      </c>
      <c r="U227" s="5" t="s">
        <v>42</v>
      </c>
      <c r="V227" s="57" t="s">
        <v>540</v>
      </c>
      <c r="W227" s="51">
        <v>0.09</v>
      </c>
      <c r="X227" s="357">
        <v>0.22</v>
      </c>
      <c r="Z227" s="5" t="s">
        <v>48</v>
      </c>
      <c r="AA227" s="112" t="s">
        <v>11</v>
      </c>
    </row>
    <row r="228" spans="1:29" x14ac:dyDescent="0.25">
      <c r="A228" s="329">
        <v>45893</v>
      </c>
      <c r="B228" s="5">
        <v>2</v>
      </c>
      <c r="D228" s="5" t="s">
        <v>92</v>
      </c>
      <c r="E228" s="6">
        <v>0.5</v>
      </c>
      <c r="G228" s="362">
        <v>0</v>
      </c>
      <c r="H228" s="362">
        <v>3</v>
      </c>
      <c r="I228" s="8">
        <v>2.68</v>
      </c>
      <c r="L228" s="5" t="s">
        <v>226</v>
      </c>
      <c r="N228" s="476">
        <v>89</v>
      </c>
      <c r="O228" s="477" t="s">
        <v>92</v>
      </c>
      <c r="P228" s="478" t="s">
        <v>292</v>
      </c>
      <c r="Q228" s="478" t="s">
        <v>293</v>
      </c>
      <c r="R228" s="478" t="s">
        <v>696</v>
      </c>
      <c r="S228" s="479">
        <v>56</v>
      </c>
      <c r="T228" s="478" t="s">
        <v>41</v>
      </c>
      <c r="U228" s="478" t="s">
        <v>43</v>
      </c>
      <c r="V228" s="480" t="s">
        <v>10</v>
      </c>
      <c r="W228" s="51">
        <v>0.08</v>
      </c>
      <c r="X228" s="357">
        <v>0.24</v>
      </c>
      <c r="Z228" s="5" t="s">
        <v>48</v>
      </c>
      <c r="AA228" s="112" t="s">
        <v>11</v>
      </c>
    </row>
    <row r="229" spans="1:29" x14ac:dyDescent="0.25">
      <c r="A229" s="329">
        <v>45893</v>
      </c>
      <c r="B229" s="5">
        <v>2</v>
      </c>
      <c r="D229" s="5" t="s">
        <v>92</v>
      </c>
      <c r="E229" s="6">
        <v>0.5</v>
      </c>
      <c r="G229" s="362">
        <v>0</v>
      </c>
      <c r="H229" s="362">
        <v>3</v>
      </c>
      <c r="I229" s="8">
        <v>2.68</v>
      </c>
      <c r="L229" s="5" t="s">
        <v>226</v>
      </c>
      <c r="N229" s="476">
        <v>89</v>
      </c>
      <c r="O229" s="477" t="s">
        <v>92</v>
      </c>
      <c r="P229" s="478" t="s">
        <v>287</v>
      </c>
      <c r="Q229" s="478" t="s">
        <v>294</v>
      </c>
      <c r="R229" s="478" t="s">
        <v>696</v>
      </c>
      <c r="S229" s="479">
        <v>60</v>
      </c>
      <c r="T229" s="478" t="s">
        <v>41</v>
      </c>
      <c r="U229" s="478" t="s">
        <v>43</v>
      </c>
      <c r="V229" s="480" t="s">
        <v>540</v>
      </c>
      <c r="W229" s="51">
        <v>0.25</v>
      </c>
      <c r="X229" s="357" t="s">
        <v>53</v>
      </c>
      <c r="Z229" s="5" t="s">
        <v>13</v>
      </c>
      <c r="AA229" s="112" t="s">
        <v>11</v>
      </c>
    </row>
    <row r="230" spans="1:29" ht="15.75" thickBot="1" x14ac:dyDescent="0.3">
      <c r="A230" s="330">
        <v>45893</v>
      </c>
      <c r="B230" s="9">
        <v>2</v>
      </c>
      <c r="C230" s="122"/>
      <c r="D230" s="9" t="s">
        <v>92</v>
      </c>
      <c r="E230" s="10">
        <v>0.5</v>
      </c>
      <c r="F230" s="10"/>
      <c r="G230" s="383">
        <v>0</v>
      </c>
      <c r="H230" s="383">
        <v>3</v>
      </c>
      <c r="I230" s="12">
        <v>2.68</v>
      </c>
      <c r="J230" s="12"/>
      <c r="K230" s="122"/>
      <c r="L230" s="9" t="s">
        <v>226</v>
      </c>
      <c r="M230" s="45"/>
      <c r="N230" s="346" t="s">
        <v>31</v>
      </c>
      <c r="O230" s="454" t="s">
        <v>226</v>
      </c>
      <c r="P230" s="9" t="s">
        <v>289</v>
      </c>
      <c r="Q230" s="9" t="s">
        <v>54</v>
      </c>
      <c r="R230" s="9" t="s">
        <v>696</v>
      </c>
      <c r="S230" s="479">
        <v>79</v>
      </c>
      <c r="T230" s="9" t="s">
        <v>41</v>
      </c>
      <c r="U230" s="9" t="s">
        <v>42</v>
      </c>
      <c r="V230" s="58" t="s">
        <v>18</v>
      </c>
      <c r="W230" s="52">
        <v>0.22</v>
      </c>
      <c r="X230" s="358">
        <v>0.57999999999999996</v>
      </c>
      <c r="Y230" s="352"/>
      <c r="Z230" s="9" t="s">
        <v>8</v>
      </c>
      <c r="AA230" s="113" t="s">
        <v>14</v>
      </c>
      <c r="AB230" s="109" t="s">
        <v>657</v>
      </c>
      <c r="AC230" s="58" t="s">
        <v>138</v>
      </c>
    </row>
    <row r="231" spans="1:29" ht="15.75" thickBot="1" x14ac:dyDescent="0.3">
      <c r="A231" s="326">
        <v>45893</v>
      </c>
      <c r="B231" s="207">
        <v>2</v>
      </c>
      <c r="C231" s="208"/>
      <c r="D231" s="207" t="s">
        <v>92</v>
      </c>
      <c r="E231" s="209">
        <v>0.5</v>
      </c>
      <c r="F231" s="209"/>
      <c r="G231" s="460">
        <v>0</v>
      </c>
      <c r="H231" s="460">
        <v>3</v>
      </c>
      <c r="I231" s="211">
        <v>2.68</v>
      </c>
      <c r="J231" s="211"/>
      <c r="K231" s="208"/>
      <c r="L231" s="207" t="s">
        <v>226</v>
      </c>
      <c r="M231" s="197"/>
      <c r="N231" s="347"/>
      <c r="O231" s="343" t="s">
        <v>92</v>
      </c>
      <c r="P231" s="199" t="s">
        <v>432</v>
      </c>
      <c r="Q231" s="199" t="s">
        <v>472</v>
      </c>
      <c r="R231" s="199" t="s">
        <v>707</v>
      </c>
      <c r="S231" s="479">
        <v>76</v>
      </c>
      <c r="T231" s="199"/>
      <c r="U231" s="199"/>
      <c r="V231" s="201"/>
      <c r="W231" s="202"/>
      <c r="X231" s="359"/>
      <c r="Y231" s="353">
        <f>H231</f>
        <v>3</v>
      </c>
      <c r="Z231" s="199"/>
      <c r="AA231" s="204"/>
      <c r="AB231" s="205"/>
      <c r="AC231" s="201"/>
    </row>
    <row r="232" spans="1:29" ht="15.75" thickBot="1" x14ac:dyDescent="0.3">
      <c r="A232" s="326">
        <v>45893</v>
      </c>
      <c r="B232" s="207">
        <v>2</v>
      </c>
      <c r="C232" s="208"/>
      <c r="D232" s="207" t="s">
        <v>92</v>
      </c>
      <c r="E232" s="209">
        <v>0.5</v>
      </c>
      <c r="F232" s="209"/>
      <c r="G232" s="460">
        <v>0</v>
      </c>
      <c r="H232" s="460">
        <v>3</v>
      </c>
      <c r="I232" s="211">
        <v>2.68</v>
      </c>
      <c r="J232" s="211"/>
      <c r="K232" s="208"/>
      <c r="L232" s="207" t="s">
        <v>226</v>
      </c>
      <c r="M232" s="197"/>
      <c r="N232" s="347"/>
      <c r="O232" s="343" t="s">
        <v>226</v>
      </c>
      <c r="P232" s="199" t="s">
        <v>726</v>
      </c>
      <c r="Q232" s="199" t="s">
        <v>727</v>
      </c>
      <c r="R232" s="199" t="s">
        <v>707</v>
      </c>
      <c r="S232" s="479">
        <v>71</v>
      </c>
      <c r="T232" s="199"/>
      <c r="U232" s="199"/>
      <c r="V232" s="201"/>
      <c r="W232" s="202"/>
      <c r="X232" s="359"/>
      <c r="Y232" s="353">
        <f>G231</f>
        <v>0</v>
      </c>
      <c r="Z232" s="199"/>
      <c r="AA232" s="204"/>
      <c r="AB232" s="205"/>
      <c r="AC232" s="201"/>
    </row>
    <row r="233" spans="1:29" x14ac:dyDescent="0.25">
      <c r="A233" s="328">
        <v>45894</v>
      </c>
      <c r="B233" s="17">
        <v>2</v>
      </c>
      <c r="C233" s="123" t="s">
        <v>693</v>
      </c>
      <c r="D233" s="17" t="s">
        <v>170</v>
      </c>
      <c r="E233" s="18">
        <v>1.51</v>
      </c>
      <c r="F233" s="18"/>
      <c r="G233" s="461">
        <v>1</v>
      </c>
      <c r="H233" s="461">
        <v>0</v>
      </c>
      <c r="I233" s="20">
        <v>0.28999999999999998</v>
      </c>
      <c r="J233" s="20"/>
      <c r="K233" s="123" t="s">
        <v>704</v>
      </c>
      <c r="L233" s="17" t="s">
        <v>70</v>
      </c>
      <c r="M233" s="46"/>
      <c r="N233" s="348">
        <v>3</v>
      </c>
      <c r="O233" s="456" t="s">
        <v>70</v>
      </c>
      <c r="P233" s="17" t="s">
        <v>72</v>
      </c>
      <c r="Q233" s="17" t="s">
        <v>73</v>
      </c>
      <c r="R233" s="17" t="s">
        <v>684</v>
      </c>
      <c r="S233" s="7">
        <v>59</v>
      </c>
      <c r="T233" s="17" t="s">
        <v>47</v>
      </c>
      <c r="U233" s="17" t="s">
        <v>42</v>
      </c>
      <c r="V233" s="59" t="s">
        <v>540</v>
      </c>
      <c r="W233" s="53">
        <v>0.11</v>
      </c>
      <c r="X233" s="360">
        <v>0.17</v>
      </c>
      <c r="Y233" s="354" t="s">
        <v>353</v>
      </c>
      <c r="Z233" s="17" t="s">
        <v>48</v>
      </c>
      <c r="AA233" s="114" t="s">
        <v>28</v>
      </c>
      <c r="AB233" s="110"/>
      <c r="AC233" s="60"/>
    </row>
    <row r="234" spans="1:29" x14ac:dyDescent="0.25">
      <c r="A234" s="329">
        <v>45894</v>
      </c>
      <c r="B234" s="5">
        <v>2</v>
      </c>
      <c r="D234" s="5" t="s">
        <v>170</v>
      </c>
      <c r="E234" s="6">
        <v>1.51</v>
      </c>
      <c r="G234" s="362">
        <v>1</v>
      </c>
      <c r="H234" s="362">
        <v>0</v>
      </c>
      <c r="I234" s="8">
        <v>0.28999999999999998</v>
      </c>
      <c r="L234" s="5" t="s">
        <v>70</v>
      </c>
      <c r="N234" s="476">
        <v>27</v>
      </c>
      <c r="O234" s="477" t="s">
        <v>170</v>
      </c>
      <c r="P234" s="478" t="s">
        <v>174</v>
      </c>
      <c r="Q234" s="478" t="s">
        <v>175</v>
      </c>
      <c r="R234" s="478" t="s">
        <v>685</v>
      </c>
      <c r="S234" s="479">
        <v>76</v>
      </c>
      <c r="T234" s="478" t="s">
        <v>354</v>
      </c>
      <c r="U234" s="478" t="s">
        <v>42</v>
      </c>
      <c r="V234" s="480" t="s">
        <v>29</v>
      </c>
      <c r="W234" s="51">
        <v>0.03</v>
      </c>
      <c r="X234" s="357">
        <v>0.31</v>
      </c>
      <c r="Z234" s="5" t="s">
        <v>48</v>
      </c>
      <c r="AA234" s="112" t="s">
        <v>28</v>
      </c>
    </row>
    <row r="235" spans="1:29" x14ac:dyDescent="0.25">
      <c r="A235" s="329">
        <v>45894</v>
      </c>
      <c r="B235" s="5">
        <v>2</v>
      </c>
      <c r="D235" s="5" t="s">
        <v>170</v>
      </c>
      <c r="E235" s="6">
        <v>1.51</v>
      </c>
      <c r="G235" s="362">
        <v>1</v>
      </c>
      <c r="H235" s="362">
        <v>0</v>
      </c>
      <c r="I235" s="8">
        <v>0.28999999999999998</v>
      </c>
      <c r="L235" s="5" t="s">
        <v>70</v>
      </c>
      <c r="N235" s="476">
        <v>53</v>
      </c>
      <c r="O235" s="477" t="s">
        <v>170</v>
      </c>
      <c r="P235" s="478" t="s">
        <v>295</v>
      </c>
      <c r="Q235" s="478" t="s">
        <v>175</v>
      </c>
      <c r="R235" s="478" t="s">
        <v>686</v>
      </c>
      <c r="S235" s="479">
        <v>61</v>
      </c>
      <c r="T235" s="478" t="s">
        <v>41</v>
      </c>
      <c r="U235" s="478" t="s">
        <v>42</v>
      </c>
      <c r="V235" s="480" t="s">
        <v>10</v>
      </c>
      <c r="W235" s="51">
        <v>0.32</v>
      </c>
      <c r="X235" s="357" t="s">
        <v>53</v>
      </c>
      <c r="Y235" s="351" t="s">
        <v>353</v>
      </c>
      <c r="Z235" s="5" t="s">
        <v>13</v>
      </c>
      <c r="AA235" s="112" t="s">
        <v>28</v>
      </c>
    </row>
    <row r="236" spans="1:29" x14ac:dyDescent="0.25">
      <c r="A236" s="329">
        <v>45894</v>
      </c>
      <c r="B236" s="5">
        <v>2</v>
      </c>
      <c r="D236" s="5" t="s">
        <v>170</v>
      </c>
      <c r="E236" s="6">
        <v>1.51</v>
      </c>
      <c r="G236" s="362">
        <v>1</v>
      </c>
      <c r="H236" s="362">
        <v>0</v>
      </c>
      <c r="I236" s="8">
        <v>0.28999999999999998</v>
      </c>
      <c r="L236" s="5" t="s">
        <v>70</v>
      </c>
      <c r="N236" s="476">
        <v>58</v>
      </c>
      <c r="O236" s="477" t="s">
        <v>170</v>
      </c>
      <c r="P236" s="478" t="s">
        <v>174</v>
      </c>
      <c r="Q236" s="478" t="s">
        <v>175</v>
      </c>
      <c r="R236" s="478" t="s">
        <v>685</v>
      </c>
      <c r="S236" s="481">
        <v>76</v>
      </c>
      <c r="T236" s="478" t="s">
        <v>44</v>
      </c>
      <c r="U236" s="478" t="s">
        <v>42</v>
      </c>
      <c r="V236" s="480" t="s">
        <v>10</v>
      </c>
      <c r="W236" s="51">
        <v>0.04</v>
      </c>
      <c r="X236" s="357">
        <v>0.15</v>
      </c>
      <c r="Z236" s="5" t="s">
        <v>48</v>
      </c>
      <c r="AA236" s="112" t="s">
        <v>28</v>
      </c>
    </row>
    <row r="237" spans="1:29" x14ac:dyDescent="0.25">
      <c r="A237" s="329">
        <v>45894</v>
      </c>
      <c r="B237" s="5">
        <v>2</v>
      </c>
      <c r="D237" s="5" t="s">
        <v>170</v>
      </c>
      <c r="E237" s="6">
        <v>1.51</v>
      </c>
      <c r="G237" s="362">
        <v>1</v>
      </c>
      <c r="H237" s="362">
        <v>0</v>
      </c>
      <c r="I237" s="8">
        <v>0.28999999999999998</v>
      </c>
      <c r="L237" s="5" t="s">
        <v>70</v>
      </c>
      <c r="N237" s="476">
        <v>62</v>
      </c>
      <c r="O237" s="477" t="s">
        <v>170</v>
      </c>
      <c r="P237" s="478" t="s">
        <v>174</v>
      </c>
      <c r="Q237" s="478" t="s">
        <v>175</v>
      </c>
      <c r="R237" s="478" t="s">
        <v>685</v>
      </c>
      <c r="S237" s="481">
        <v>76</v>
      </c>
      <c r="T237" s="478" t="s">
        <v>41</v>
      </c>
      <c r="U237" s="478" t="s">
        <v>43</v>
      </c>
      <c r="V237" s="480" t="s">
        <v>10</v>
      </c>
      <c r="W237" s="51">
        <v>0.05</v>
      </c>
      <c r="X237" s="357" t="s">
        <v>53</v>
      </c>
      <c r="Z237" s="5" t="s">
        <v>55</v>
      </c>
      <c r="AA237" s="112" t="s">
        <v>28</v>
      </c>
    </row>
    <row r="238" spans="1:29" x14ac:dyDescent="0.25">
      <c r="A238" s="329">
        <v>45894</v>
      </c>
      <c r="B238" s="5">
        <v>2</v>
      </c>
      <c r="D238" s="5" t="s">
        <v>170</v>
      </c>
      <c r="E238" s="6">
        <v>1.51</v>
      </c>
      <c r="G238" s="362">
        <v>1</v>
      </c>
      <c r="H238" s="362">
        <v>0</v>
      </c>
      <c r="I238" s="8">
        <v>0.28999999999999998</v>
      </c>
      <c r="L238" s="5" t="s">
        <v>70</v>
      </c>
      <c r="N238" s="476">
        <v>66</v>
      </c>
      <c r="O238" s="477" t="s">
        <v>170</v>
      </c>
      <c r="P238" s="478" t="s">
        <v>296</v>
      </c>
      <c r="Q238" s="478" t="s">
        <v>297</v>
      </c>
      <c r="R238" s="478" t="s">
        <v>696</v>
      </c>
      <c r="S238" s="479">
        <v>72</v>
      </c>
      <c r="T238" s="478" t="s">
        <v>41</v>
      </c>
      <c r="U238" s="478" t="s">
        <v>42</v>
      </c>
      <c r="V238" s="480" t="s">
        <v>7</v>
      </c>
      <c r="W238" s="51">
        <v>0.79</v>
      </c>
      <c r="X238" s="357">
        <v>0.78</v>
      </c>
      <c r="Y238" s="351" t="s">
        <v>353</v>
      </c>
      <c r="Z238" s="5" t="s">
        <v>8</v>
      </c>
      <c r="AA238" s="112" t="s">
        <v>19</v>
      </c>
    </row>
    <row r="239" spans="1:29" x14ac:dyDescent="0.25">
      <c r="A239" s="329">
        <v>45894</v>
      </c>
      <c r="B239" s="5">
        <v>2</v>
      </c>
      <c r="D239" s="5" t="s">
        <v>170</v>
      </c>
      <c r="E239" s="6">
        <v>1.51</v>
      </c>
      <c r="G239" s="362">
        <v>1</v>
      </c>
      <c r="H239" s="362">
        <v>0</v>
      </c>
      <c r="I239" s="8">
        <v>0.28999999999999998</v>
      </c>
      <c r="L239" s="5" t="s">
        <v>70</v>
      </c>
      <c r="N239" s="345">
        <v>84</v>
      </c>
      <c r="O239" s="38" t="s">
        <v>70</v>
      </c>
      <c r="P239" s="5" t="s">
        <v>298</v>
      </c>
      <c r="Q239" s="5" t="s">
        <v>299</v>
      </c>
      <c r="R239" s="5" t="s">
        <v>696</v>
      </c>
      <c r="S239" s="479">
        <v>62</v>
      </c>
      <c r="T239" s="5" t="s">
        <v>41</v>
      </c>
      <c r="U239" s="5" t="s">
        <v>42</v>
      </c>
      <c r="V239" s="57" t="s">
        <v>10</v>
      </c>
      <c r="W239" s="51">
        <v>0.1</v>
      </c>
      <c r="X239" s="357" t="s">
        <v>53</v>
      </c>
      <c r="Z239" s="5" t="s">
        <v>52</v>
      </c>
      <c r="AA239" s="112" t="s">
        <v>19</v>
      </c>
    </row>
    <row r="240" spans="1:29" ht="15.75" thickBot="1" x14ac:dyDescent="0.3">
      <c r="A240" s="330">
        <v>45894</v>
      </c>
      <c r="B240" s="9">
        <v>2</v>
      </c>
      <c r="C240" s="122"/>
      <c r="D240" s="9" t="s">
        <v>170</v>
      </c>
      <c r="E240" s="10">
        <v>1.51</v>
      </c>
      <c r="F240" s="10"/>
      <c r="G240" s="383">
        <v>1</v>
      </c>
      <c r="H240" s="383">
        <v>0</v>
      </c>
      <c r="I240" s="12">
        <v>0.28999999999999998</v>
      </c>
      <c r="J240" s="12"/>
      <c r="K240" s="122"/>
      <c r="L240" s="9" t="s">
        <v>70</v>
      </c>
      <c r="M240" s="45"/>
      <c r="N240" s="346">
        <v>84</v>
      </c>
      <c r="O240" s="454" t="s">
        <v>70</v>
      </c>
      <c r="P240" s="9" t="s">
        <v>83</v>
      </c>
      <c r="Q240" s="9" t="s">
        <v>84</v>
      </c>
      <c r="R240" s="9" t="s">
        <v>713</v>
      </c>
      <c r="S240" s="479">
        <v>68</v>
      </c>
      <c r="T240" s="9" t="s">
        <v>354</v>
      </c>
      <c r="U240" s="9" t="s">
        <v>42</v>
      </c>
      <c r="V240" s="58" t="s">
        <v>10</v>
      </c>
      <c r="W240" s="52">
        <v>0.01</v>
      </c>
      <c r="X240" s="358" t="s">
        <v>53</v>
      </c>
      <c r="Y240" s="352"/>
      <c r="Z240" s="9" t="s">
        <v>16</v>
      </c>
      <c r="AA240" s="113" t="s">
        <v>19</v>
      </c>
      <c r="AB240" s="109"/>
      <c r="AC240" s="58"/>
    </row>
    <row r="241" spans="1:29" ht="15.75" thickBot="1" x14ac:dyDescent="0.3">
      <c r="A241" s="326">
        <v>45894</v>
      </c>
      <c r="B241" s="207">
        <v>2</v>
      </c>
      <c r="C241" s="208"/>
      <c r="D241" s="207" t="s">
        <v>170</v>
      </c>
      <c r="E241" s="209">
        <v>1.51</v>
      </c>
      <c r="F241" s="209"/>
      <c r="G241" s="460">
        <v>1</v>
      </c>
      <c r="H241" s="460">
        <v>0</v>
      </c>
      <c r="I241" s="211">
        <v>0.28999999999999998</v>
      </c>
      <c r="J241" s="211"/>
      <c r="K241" s="208"/>
      <c r="L241" s="207" t="s">
        <v>70</v>
      </c>
      <c r="M241" s="197"/>
      <c r="N241" s="347"/>
      <c r="O241" s="343" t="s">
        <v>170</v>
      </c>
      <c r="P241" s="199" t="s">
        <v>269</v>
      </c>
      <c r="Q241" s="199" t="s">
        <v>722</v>
      </c>
      <c r="R241" s="199" t="s">
        <v>707</v>
      </c>
      <c r="S241" s="479">
        <v>68</v>
      </c>
      <c r="T241" s="199"/>
      <c r="U241" s="199"/>
      <c r="V241" s="201"/>
      <c r="W241" s="202"/>
      <c r="X241" s="359"/>
      <c r="Y241" s="353">
        <f>H241</f>
        <v>0</v>
      </c>
      <c r="Z241" s="199"/>
      <c r="AA241" s="204"/>
      <c r="AB241" s="205"/>
      <c r="AC241" s="201"/>
    </row>
    <row r="242" spans="1:29" ht="15.75" thickBot="1" x14ac:dyDescent="0.3">
      <c r="A242" s="326">
        <v>45894</v>
      </c>
      <c r="B242" s="207">
        <v>2</v>
      </c>
      <c r="C242" s="208"/>
      <c r="D242" s="207" t="s">
        <v>170</v>
      </c>
      <c r="E242" s="209">
        <v>1.51</v>
      </c>
      <c r="F242" s="209"/>
      <c r="G242" s="460">
        <v>1</v>
      </c>
      <c r="H242" s="460">
        <v>0</v>
      </c>
      <c r="I242" s="211">
        <v>0.28999999999999998</v>
      </c>
      <c r="J242" s="211"/>
      <c r="K242" s="208"/>
      <c r="L242" s="207" t="s">
        <v>70</v>
      </c>
      <c r="M242" s="197"/>
      <c r="N242" s="347"/>
      <c r="O242" s="343" t="s">
        <v>70</v>
      </c>
      <c r="P242" s="199" t="s">
        <v>714</v>
      </c>
      <c r="Q242" s="199" t="s">
        <v>715</v>
      </c>
      <c r="R242" s="199" t="s">
        <v>707</v>
      </c>
      <c r="S242" s="7">
        <v>66</v>
      </c>
      <c r="T242" s="199"/>
      <c r="U242" s="199"/>
      <c r="V242" s="201"/>
      <c r="W242" s="202"/>
      <c r="X242" s="359"/>
      <c r="Y242" s="353">
        <f>G241</f>
        <v>1</v>
      </c>
      <c r="Z242" s="199"/>
      <c r="AA242" s="204"/>
      <c r="AB242" s="205"/>
      <c r="AC242" s="201"/>
    </row>
    <row r="243" spans="1:29" x14ac:dyDescent="0.25">
      <c r="A243" s="328">
        <v>45894</v>
      </c>
      <c r="B243" s="17">
        <v>2</v>
      </c>
      <c r="C243" s="123" t="s">
        <v>693</v>
      </c>
      <c r="D243" s="17" t="s">
        <v>171</v>
      </c>
      <c r="E243" s="18">
        <v>0.51</v>
      </c>
      <c r="F243" s="18"/>
      <c r="G243" s="461">
        <v>1</v>
      </c>
      <c r="H243" s="461">
        <v>2</v>
      </c>
      <c r="I243" s="20">
        <v>0.71</v>
      </c>
      <c r="J243" s="20"/>
      <c r="K243" s="123" t="s">
        <v>701</v>
      </c>
      <c r="L243" s="17" t="s">
        <v>161</v>
      </c>
      <c r="M243" s="46"/>
      <c r="N243" s="507">
        <v>10</v>
      </c>
      <c r="O243" s="508" t="s">
        <v>171</v>
      </c>
      <c r="P243" s="509" t="s">
        <v>300</v>
      </c>
      <c r="Q243" s="509" t="s">
        <v>21</v>
      </c>
      <c r="R243" s="509" t="s">
        <v>689</v>
      </c>
      <c r="S243" s="479">
        <v>66</v>
      </c>
      <c r="T243" s="509" t="s">
        <v>41</v>
      </c>
      <c r="U243" s="509" t="s">
        <v>43</v>
      </c>
      <c r="V243" s="510" t="s">
        <v>10</v>
      </c>
      <c r="W243" s="53">
        <v>0.03</v>
      </c>
      <c r="X243" s="360" t="s">
        <v>53</v>
      </c>
      <c r="Y243" s="354"/>
      <c r="Z243" s="17" t="s">
        <v>16</v>
      </c>
      <c r="AA243" s="114" t="s">
        <v>28</v>
      </c>
      <c r="AB243" s="110"/>
      <c r="AC243" s="60"/>
    </row>
    <row r="244" spans="1:29" x14ac:dyDescent="0.25">
      <c r="A244" s="329">
        <v>45894</v>
      </c>
      <c r="B244" s="5">
        <v>2</v>
      </c>
      <c r="D244" s="5" t="s">
        <v>171</v>
      </c>
      <c r="E244" s="6">
        <v>0.51</v>
      </c>
      <c r="G244" s="362">
        <v>1</v>
      </c>
      <c r="H244" s="362">
        <v>2</v>
      </c>
      <c r="I244" s="8">
        <v>0.71</v>
      </c>
      <c r="L244" s="5" t="s">
        <v>161</v>
      </c>
      <c r="N244" s="345">
        <v>15</v>
      </c>
      <c r="O244" s="38" t="s">
        <v>161</v>
      </c>
      <c r="P244" s="5" t="s">
        <v>168</v>
      </c>
      <c r="Q244" s="5" t="s">
        <v>169</v>
      </c>
      <c r="R244" s="5" t="s">
        <v>717</v>
      </c>
      <c r="S244" s="479">
        <v>85</v>
      </c>
      <c r="T244" s="5" t="s">
        <v>354</v>
      </c>
      <c r="U244" s="5" t="s">
        <v>42</v>
      </c>
      <c r="V244" s="57" t="s">
        <v>20</v>
      </c>
      <c r="W244" s="51">
        <v>0.03</v>
      </c>
      <c r="X244" s="357">
        <v>0.13</v>
      </c>
      <c r="Z244" s="5" t="s">
        <v>8</v>
      </c>
      <c r="AA244" s="112" t="s">
        <v>9</v>
      </c>
      <c r="AB244" s="108" t="s">
        <v>315</v>
      </c>
      <c r="AC244" s="57" t="s">
        <v>199</v>
      </c>
    </row>
    <row r="245" spans="1:29" x14ac:dyDescent="0.25">
      <c r="A245" s="329">
        <v>45894</v>
      </c>
      <c r="B245" s="5">
        <v>2</v>
      </c>
      <c r="D245" s="5" t="s">
        <v>171</v>
      </c>
      <c r="E245" s="6">
        <v>0.51</v>
      </c>
      <c r="G245" s="362">
        <v>1</v>
      </c>
      <c r="H245" s="362">
        <v>2</v>
      </c>
      <c r="I245" s="8">
        <v>0.71</v>
      </c>
      <c r="L245" s="5" t="s">
        <v>161</v>
      </c>
      <c r="N245" s="345">
        <v>30</v>
      </c>
      <c r="O245" s="38" t="s">
        <v>161</v>
      </c>
      <c r="P245" s="5" t="s">
        <v>65</v>
      </c>
      <c r="Q245" s="5" t="s">
        <v>301</v>
      </c>
      <c r="R245" s="5" t="s">
        <v>689</v>
      </c>
      <c r="S245" s="479">
        <v>63</v>
      </c>
      <c r="T245" s="5" t="s">
        <v>41</v>
      </c>
      <c r="U245" s="5" t="s">
        <v>43</v>
      </c>
      <c r="V245" s="57" t="s">
        <v>10</v>
      </c>
      <c r="W245" s="51">
        <v>0.05</v>
      </c>
      <c r="X245" s="357">
        <v>0.22</v>
      </c>
      <c r="Z245" s="5" t="s">
        <v>48</v>
      </c>
      <c r="AA245" s="112" t="s">
        <v>9</v>
      </c>
    </row>
    <row r="246" spans="1:29" x14ac:dyDescent="0.25">
      <c r="A246" s="329">
        <v>45894</v>
      </c>
      <c r="B246" s="5">
        <v>2</v>
      </c>
      <c r="D246" s="5" t="s">
        <v>171</v>
      </c>
      <c r="E246" s="6">
        <v>0.51</v>
      </c>
      <c r="G246" s="362">
        <v>1</v>
      </c>
      <c r="H246" s="362">
        <v>2</v>
      </c>
      <c r="I246" s="8">
        <v>0.71</v>
      </c>
      <c r="L246" s="5" t="s">
        <v>161</v>
      </c>
      <c r="N246" s="476">
        <v>39</v>
      </c>
      <c r="O246" s="477" t="s">
        <v>171</v>
      </c>
      <c r="P246" s="478" t="s">
        <v>181</v>
      </c>
      <c r="Q246" s="478" t="s">
        <v>182</v>
      </c>
      <c r="R246" s="478" t="s">
        <v>684</v>
      </c>
      <c r="S246" s="479">
        <v>61</v>
      </c>
      <c r="T246" s="478" t="s">
        <v>41</v>
      </c>
      <c r="U246" s="478" t="s">
        <v>45</v>
      </c>
      <c r="V246" s="480" t="s">
        <v>10</v>
      </c>
      <c r="W246" s="51">
        <v>0.11</v>
      </c>
      <c r="X246" s="357" t="s">
        <v>53</v>
      </c>
      <c r="Y246" s="351" t="s">
        <v>353</v>
      </c>
      <c r="Z246" s="5" t="s">
        <v>13</v>
      </c>
      <c r="AA246" s="112" t="s">
        <v>9</v>
      </c>
    </row>
    <row r="247" spans="1:29" x14ac:dyDescent="0.25">
      <c r="A247" s="329">
        <v>45894</v>
      </c>
      <c r="B247" s="5">
        <v>2</v>
      </c>
      <c r="D247" s="5" t="s">
        <v>171</v>
      </c>
      <c r="E247" s="6">
        <v>0.51</v>
      </c>
      <c r="G247" s="362">
        <v>1</v>
      </c>
      <c r="H247" s="362">
        <v>2</v>
      </c>
      <c r="I247" s="8">
        <v>0.71</v>
      </c>
      <c r="L247" s="5" t="s">
        <v>161</v>
      </c>
      <c r="N247" s="476">
        <v>45</v>
      </c>
      <c r="O247" s="477" t="s">
        <v>171</v>
      </c>
      <c r="P247" s="478" t="s">
        <v>65</v>
      </c>
      <c r="Q247" s="478" t="s">
        <v>301</v>
      </c>
      <c r="R247" s="478" t="s">
        <v>689</v>
      </c>
      <c r="S247" s="479">
        <v>63</v>
      </c>
      <c r="T247" s="478" t="s">
        <v>47</v>
      </c>
      <c r="U247" s="478" t="s">
        <v>541</v>
      </c>
      <c r="V247" s="480" t="s">
        <v>540</v>
      </c>
      <c r="W247" s="51" t="s">
        <v>53</v>
      </c>
      <c r="X247" s="357" t="s">
        <v>53</v>
      </c>
      <c r="Z247" s="130" t="s">
        <v>23</v>
      </c>
      <c r="AA247" s="134" t="s">
        <v>51</v>
      </c>
    </row>
    <row r="248" spans="1:29" x14ac:dyDescent="0.25">
      <c r="A248" s="329">
        <v>45894</v>
      </c>
      <c r="B248" s="5">
        <v>2</v>
      </c>
      <c r="D248" s="5" t="s">
        <v>171</v>
      </c>
      <c r="E248" s="6">
        <v>0.51</v>
      </c>
      <c r="G248" s="362">
        <v>1</v>
      </c>
      <c r="H248" s="362">
        <v>2</v>
      </c>
      <c r="I248" s="8">
        <v>0.71</v>
      </c>
      <c r="L248" s="5" t="s">
        <v>161</v>
      </c>
      <c r="N248" s="345" t="s">
        <v>123</v>
      </c>
      <c r="O248" s="38" t="s">
        <v>161</v>
      </c>
      <c r="P248" s="5" t="s">
        <v>26</v>
      </c>
      <c r="Q248" s="5" t="s">
        <v>302</v>
      </c>
      <c r="R248" s="5" t="s">
        <v>695</v>
      </c>
      <c r="S248" s="7">
        <v>64</v>
      </c>
      <c r="T248" s="5" t="s">
        <v>41</v>
      </c>
      <c r="U248" s="5" t="s">
        <v>42</v>
      </c>
      <c r="V248" s="57" t="s">
        <v>540</v>
      </c>
      <c r="W248" s="51">
        <v>0.17</v>
      </c>
      <c r="X248" s="357">
        <v>0.24</v>
      </c>
      <c r="Y248" s="351" t="s">
        <v>353</v>
      </c>
      <c r="Z248" s="5" t="s">
        <v>48</v>
      </c>
      <c r="AA248" s="112" t="s">
        <v>51</v>
      </c>
    </row>
    <row r="249" spans="1:29" x14ac:dyDescent="0.25">
      <c r="A249" s="329">
        <v>45894</v>
      </c>
      <c r="B249" s="5">
        <v>2</v>
      </c>
      <c r="D249" s="5" t="s">
        <v>171</v>
      </c>
      <c r="E249" s="6">
        <v>0.51</v>
      </c>
      <c r="G249" s="362">
        <v>1</v>
      </c>
      <c r="H249" s="362">
        <v>2</v>
      </c>
      <c r="I249" s="8">
        <v>0.71</v>
      </c>
      <c r="L249" s="5" t="s">
        <v>161</v>
      </c>
      <c r="N249" s="345" t="s">
        <v>123</v>
      </c>
      <c r="O249" s="38" t="s">
        <v>161</v>
      </c>
      <c r="P249" s="5" t="s">
        <v>167</v>
      </c>
      <c r="Q249" s="5" t="s">
        <v>166</v>
      </c>
      <c r="R249" s="5" t="s">
        <v>717</v>
      </c>
      <c r="S249" s="479">
        <v>66</v>
      </c>
      <c r="T249" s="5" t="s">
        <v>41</v>
      </c>
      <c r="U249" s="5" t="s">
        <v>42</v>
      </c>
      <c r="V249" s="57" t="s">
        <v>540</v>
      </c>
      <c r="W249" s="51">
        <v>0.23</v>
      </c>
      <c r="X249" s="357" t="s">
        <v>53</v>
      </c>
      <c r="Y249" s="351" t="s">
        <v>353</v>
      </c>
      <c r="Z249" s="5" t="s">
        <v>16</v>
      </c>
      <c r="AA249" s="112" t="s">
        <v>51</v>
      </c>
    </row>
    <row r="250" spans="1:29" x14ac:dyDescent="0.25">
      <c r="A250" s="329">
        <v>45894</v>
      </c>
      <c r="B250" s="5">
        <v>2</v>
      </c>
      <c r="D250" s="5" t="s">
        <v>171</v>
      </c>
      <c r="E250" s="6">
        <v>0.51</v>
      </c>
      <c r="G250" s="362">
        <v>1</v>
      </c>
      <c r="H250" s="362">
        <v>2</v>
      </c>
      <c r="I250" s="8">
        <v>0.71</v>
      </c>
      <c r="L250" s="5" t="s">
        <v>161</v>
      </c>
      <c r="N250" s="345">
        <v>51</v>
      </c>
      <c r="O250" s="38" t="s">
        <v>161</v>
      </c>
      <c r="P250" s="5" t="s">
        <v>168</v>
      </c>
      <c r="Q250" s="5" t="s">
        <v>169</v>
      </c>
      <c r="R250" s="5" t="s">
        <v>718</v>
      </c>
      <c r="S250" s="479">
        <v>85</v>
      </c>
      <c r="T250" s="5" t="s">
        <v>44</v>
      </c>
      <c r="U250" s="5" t="s">
        <v>43</v>
      </c>
      <c r="V250" s="57" t="s">
        <v>18</v>
      </c>
      <c r="W250" s="51">
        <v>0.18</v>
      </c>
      <c r="X250" s="357">
        <v>0.28000000000000003</v>
      </c>
      <c r="Y250" s="351" t="s">
        <v>353</v>
      </c>
      <c r="Z250" s="5" t="s">
        <v>8</v>
      </c>
      <c r="AA250" s="112" t="s">
        <v>67</v>
      </c>
      <c r="AB250" s="108" t="s">
        <v>315</v>
      </c>
      <c r="AC250" s="57" t="s">
        <v>199</v>
      </c>
    </row>
    <row r="251" spans="1:29" ht="15.75" thickBot="1" x14ac:dyDescent="0.3">
      <c r="A251" s="330">
        <v>45894</v>
      </c>
      <c r="B251" s="9">
        <v>2</v>
      </c>
      <c r="C251" s="122"/>
      <c r="D251" s="9" t="s">
        <v>171</v>
      </c>
      <c r="E251" s="10">
        <v>0.51</v>
      </c>
      <c r="F251" s="10"/>
      <c r="G251" s="383">
        <v>1</v>
      </c>
      <c r="H251" s="383">
        <v>2</v>
      </c>
      <c r="I251" s="12">
        <v>0.71</v>
      </c>
      <c r="J251" s="12"/>
      <c r="K251" s="122"/>
      <c r="L251" s="9" t="s">
        <v>161</v>
      </c>
      <c r="M251" s="45"/>
      <c r="N251" s="511">
        <v>71</v>
      </c>
      <c r="O251" s="512" t="s">
        <v>171</v>
      </c>
      <c r="P251" s="513" t="s">
        <v>190</v>
      </c>
      <c r="Q251" s="513" t="s">
        <v>191</v>
      </c>
      <c r="R251" s="513" t="s">
        <v>696</v>
      </c>
      <c r="S251" s="479">
        <v>63</v>
      </c>
      <c r="T251" s="513" t="s">
        <v>354</v>
      </c>
      <c r="U251" s="513" t="s">
        <v>42</v>
      </c>
      <c r="V251" s="514" t="s">
        <v>20</v>
      </c>
      <c r="W251" s="52">
        <v>0.04</v>
      </c>
      <c r="X251" s="358" t="s">
        <v>53</v>
      </c>
      <c r="Y251" s="352"/>
      <c r="Z251" s="9" t="s">
        <v>17</v>
      </c>
      <c r="AA251" s="113" t="s">
        <v>19</v>
      </c>
      <c r="AB251" s="109"/>
      <c r="AC251" s="58"/>
    </row>
    <row r="252" spans="1:29" ht="15.75" thickBot="1" x14ac:dyDescent="0.3">
      <c r="A252" s="326">
        <v>45894</v>
      </c>
      <c r="B252" s="207">
        <v>2</v>
      </c>
      <c r="C252" s="208"/>
      <c r="D252" s="207" t="s">
        <v>171</v>
      </c>
      <c r="E252" s="209">
        <v>0.51</v>
      </c>
      <c r="F252" s="209"/>
      <c r="G252" s="460">
        <v>1</v>
      </c>
      <c r="H252" s="460">
        <v>2</v>
      </c>
      <c r="I252" s="211">
        <v>0.71</v>
      </c>
      <c r="J252" s="211"/>
      <c r="K252" s="208"/>
      <c r="L252" s="207" t="s">
        <v>161</v>
      </c>
      <c r="M252" s="197"/>
      <c r="N252" s="347"/>
      <c r="O252" s="343" t="s">
        <v>171</v>
      </c>
      <c r="P252" s="199" t="s">
        <v>473</v>
      </c>
      <c r="Q252" s="199" t="s">
        <v>474</v>
      </c>
      <c r="R252" s="199" t="s">
        <v>707</v>
      </c>
      <c r="S252" s="479">
        <v>60</v>
      </c>
      <c r="T252" s="199"/>
      <c r="U252" s="199"/>
      <c r="V252" s="201"/>
      <c r="W252" s="202"/>
      <c r="X252" s="359"/>
      <c r="Y252" s="353">
        <f>H252</f>
        <v>2</v>
      </c>
      <c r="Z252" s="199"/>
      <c r="AA252" s="204"/>
      <c r="AB252" s="205"/>
      <c r="AC252" s="201"/>
    </row>
    <row r="253" spans="1:29" ht="15.75" thickBot="1" x14ac:dyDescent="0.3">
      <c r="A253" s="326">
        <v>45894</v>
      </c>
      <c r="B253" s="207">
        <v>2</v>
      </c>
      <c r="C253" s="208"/>
      <c r="D253" s="207" t="s">
        <v>171</v>
      </c>
      <c r="E253" s="209">
        <v>0.51</v>
      </c>
      <c r="F253" s="209"/>
      <c r="G253" s="460">
        <v>1</v>
      </c>
      <c r="H253" s="460">
        <v>2</v>
      </c>
      <c r="I253" s="211">
        <v>0.71</v>
      </c>
      <c r="J253" s="211"/>
      <c r="K253" s="208"/>
      <c r="L253" s="207" t="s">
        <v>161</v>
      </c>
      <c r="M253" s="197"/>
      <c r="N253" s="347"/>
      <c r="O253" s="343" t="s">
        <v>161</v>
      </c>
      <c r="P253" s="199" t="s">
        <v>316</v>
      </c>
      <c r="Q253" s="199" t="s">
        <v>721</v>
      </c>
      <c r="R253" s="199" t="s">
        <v>707</v>
      </c>
      <c r="S253" s="479">
        <v>65</v>
      </c>
      <c r="T253" s="199"/>
      <c r="U253" s="199"/>
      <c r="V253" s="201"/>
      <c r="W253" s="202"/>
      <c r="X253" s="359"/>
      <c r="Y253" s="353">
        <f>G252</f>
        <v>1</v>
      </c>
      <c r="Z253" s="199"/>
      <c r="AA253" s="204"/>
      <c r="AB253" s="205"/>
      <c r="AC253" s="201"/>
    </row>
    <row r="254" spans="1:29" x14ac:dyDescent="0.25">
      <c r="A254" s="331">
        <v>45896</v>
      </c>
      <c r="B254" s="13">
        <v>6</v>
      </c>
      <c r="C254" s="124" t="s">
        <v>702</v>
      </c>
      <c r="D254" s="13" t="s">
        <v>456</v>
      </c>
      <c r="E254" s="14">
        <v>0.83</v>
      </c>
      <c r="F254" s="14"/>
      <c r="G254" s="375">
        <v>1</v>
      </c>
      <c r="H254" s="375">
        <v>1</v>
      </c>
      <c r="I254" s="16">
        <v>0.33</v>
      </c>
      <c r="J254" s="16"/>
      <c r="K254" s="124" t="s">
        <v>693</v>
      </c>
      <c r="L254" s="13" t="s">
        <v>209</v>
      </c>
      <c r="M254" s="47"/>
      <c r="N254" s="349">
        <v>16</v>
      </c>
      <c r="O254" s="458" t="s">
        <v>209</v>
      </c>
      <c r="P254" s="13" t="s">
        <v>220</v>
      </c>
      <c r="Q254" s="13" t="s">
        <v>221</v>
      </c>
      <c r="R254" s="13" t="s">
        <v>684</v>
      </c>
      <c r="S254" s="479">
        <v>62</v>
      </c>
      <c r="T254" s="13" t="s">
        <v>354</v>
      </c>
      <c r="U254" s="13" t="s">
        <v>42</v>
      </c>
      <c r="V254" s="60" t="s">
        <v>10</v>
      </c>
      <c r="W254" s="54">
        <v>0.04</v>
      </c>
      <c r="X254" s="361" t="s">
        <v>53</v>
      </c>
      <c r="Y254" s="355"/>
      <c r="Z254" s="13" t="s">
        <v>22</v>
      </c>
      <c r="AA254" s="115" t="s">
        <v>28</v>
      </c>
      <c r="AB254" s="110"/>
      <c r="AC254" s="60"/>
    </row>
    <row r="255" spans="1:29" x14ac:dyDescent="0.25">
      <c r="A255" s="329">
        <v>45896</v>
      </c>
      <c r="B255" s="5">
        <v>6</v>
      </c>
      <c r="D255" s="5" t="s">
        <v>456</v>
      </c>
      <c r="E255" s="6">
        <v>0.83</v>
      </c>
      <c r="G255" s="362">
        <v>1</v>
      </c>
      <c r="H255" s="362">
        <v>1</v>
      </c>
      <c r="I255" s="8">
        <v>0.33</v>
      </c>
      <c r="L255" s="5" t="s">
        <v>209</v>
      </c>
      <c r="N255" s="476">
        <v>17</v>
      </c>
      <c r="O255" s="477" t="s">
        <v>456</v>
      </c>
      <c r="P255" s="478" t="s">
        <v>278</v>
      </c>
      <c r="Q255" s="478" t="s">
        <v>211</v>
      </c>
      <c r="R255" s="478" t="s">
        <v>713</v>
      </c>
      <c r="S255" s="479">
        <v>59</v>
      </c>
      <c r="T255" s="478" t="s">
        <v>41</v>
      </c>
      <c r="U255" s="478" t="s">
        <v>45</v>
      </c>
      <c r="V255" s="480" t="s">
        <v>20</v>
      </c>
      <c r="W255" s="51">
        <v>0.15</v>
      </c>
      <c r="X255" s="357" t="s">
        <v>53</v>
      </c>
      <c r="Y255" s="351" t="s">
        <v>353</v>
      </c>
      <c r="Z255" s="5" t="s">
        <v>13</v>
      </c>
      <c r="AA255" s="112" t="s">
        <v>28</v>
      </c>
    </row>
    <row r="256" spans="1:29" x14ac:dyDescent="0.25">
      <c r="A256" s="329">
        <v>45896</v>
      </c>
      <c r="B256" s="5">
        <v>6</v>
      </c>
      <c r="D256" s="5" t="s">
        <v>456</v>
      </c>
      <c r="E256" s="6">
        <v>0.83</v>
      </c>
      <c r="G256" s="362">
        <v>1</v>
      </c>
      <c r="H256" s="362">
        <v>1</v>
      </c>
      <c r="I256" s="8">
        <v>0.33</v>
      </c>
      <c r="L256" s="5" t="s">
        <v>209</v>
      </c>
      <c r="N256" s="345">
        <v>37</v>
      </c>
      <c r="O256" s="38" t="s">
        <v>209</v>
      </c>
      <c r="P256" s="5" t="s">
        <v>218</v>
      </c>
      <c r="Q256" s="5" t="s">
        <v>219</v>
      </c>
      <c r="R256" s="5" t="s">
        <v>685</v>
      </c>
      <c r="S256" s="481">
        <v>66</v>
      </c>
      <c r="T256" s="5" t="s">
        <v>41</v>
      </c>
      <c r="U256" s="5" t="s">
        <v>42</v>
      </c>
      <c r="V256" s="57" t="s">
        <v>10</v>
      </c>
      <c r="W256" s="51">
        <v>0.14000000000000001</v>
      </c>
      <c r="X256" s="357" t="s">
        <v>53</v>
      </c>
      <c r="Y256" s="351" t="s">
        <v>353</v>
      </c>
      <c r="Z256" s="5" t="s">
        <v>744</v>
      </c>
      <c r="AA256" s="112" t="s">
        <v>28</v>
      </c>
      <c r="AB256" s="108" t="s">
        <v>838</v>
      </c>
      <c r="AC256" s="57" t="s">
        <v>839</v>
      </c>
    </row>
    <row r="257" spans="1:29" x14ac:dyDescent="0.25">
      <c r="A257" s="329">
        <v>45896</v>
      </c>
      <c r="B257" s="5">
        <v>6</v>
      </c>
      <c r="D257" s="5" t="s">
        <v>456</v>
      </c>
      <c r="E257" s="6">
        <v>0.83</v>
      </c>
      <c r="G257" s="362">
        <v>1</v>
      </c>
      <c r="H257" s="362">
        <v>1</v>
      </c>
      <c r="I257" s="8">
        <v>0.33</v>
      </c>
      <c r="L257" s="5" t="s">
        <v>209</v>
      </c>
      <c r="N257" s="345">
        <v>45</v>
      </c>
      <c r="O257" s="38" t="s">
        <v>209</v>
      </c>
      <c r="P257" s="5" t="s">
        <v>337</v>
      </c>
      <c r="Q257" s="5" t="s">
        <v>338</v>
      </c>
      <c r="R257" s="5" t="s">
        <v>713</v>
      </c>
      <c r="S257" s="459">
        <v>79</v>
      </c>
      <c r="T257" s="5" t="s">
        <v>41</v>
      </c>
      <c r="U257" s="5" t="s">
        <v>45</v>
      </c>
      <c r="V257" s="57" t="s">
        <v>20</v>
      </c>
      <c r="W257" s="51">
        <v>7.0000000000000007E-2</v>
      </c>
      <c r="X257" s="357">
        <v>0.44</v>
      </c>
      <c r="Y257" s="351" t="s">
        <v>353</v>
      </c>
      <c r="Z257" s="5" t="s">
        <v>8</v>
      </c>
      <c r="AA257" s="112" t="s">
        <v>9</v>
      </c>
      <c r="AB257" s="108" t="s">
        <v>222</v>
      </c>
      <c r="AC257" s="57" t="s">
        <v>223</v>
      </c>
    </row>
    <row r="258" spans="1:29" x14ac:dyDescent="0.25">
      <c r="A258" s="329">
        <v>45896</v>
      </c>
      <c r="B258" s="5">
        <v>6</v>
      </c>
      <c r="D258" s="5" t="s">
        <v>456</v>
      </c>
      <c r="E258" s="6">
        <v>0.83</v>
      </c>
      <c r="G258" s="362">
        <v>1</v>
      </c>
      <c r="H258" s="362">
        <v>1</v>
      </c>
      <c r="I258" s="8">
        <v>0.33</v>
      </c>
      <c r="L258" s="5" t="s">
        <v>209</v>
      </c>
      <c r="N258" s="476">
        <v>47</v>
      </c>
      <c r="O258" s="477" t="s">
        <v>456</v>
      </c>
      <c r="P258" s="478" t="s">
        <v>147</v>
      </c>
      <c r="Q258" s="478" t="s">
        <v>201</v>
      </c>
      <c r="R258" s="478" t="s">
        <v>688</v>
      </c>
      <c r="S258" s="479">
        <v>76</v>
      </c>
      <c r="T258" s="478" t="s">
        <v>44</v>
      </c>
      <c r="U258" s="478" t="s">
        <v>43</v>
      </c>
      <c r="V258" s="480" t="s">
        <v>20</v>
      </c>
      <c r="W258" s="51">
        <v>0.05</v>
      </c>
      <c r="X258" s="357">
        <v>0.02</v>
      </c>
      <c r="Z258" s="5" t="s">
        <v>8</v>
      </c>
      <c r="AA258" s="112" t="s">
        <v>51</v>
      </c>
    </row>
    <row r="259" spans="1:29" x14ac:dyDescent="0.25">
      <c r="A259" s="329">
        <v>45896</v>
      </c>
      <c r="B259" s="5">
        <v>6</v>
      </c>
      <c r="D259" s="5" t="s">
        <v>456</v>
      </c>
      <c r="E259" s="6">
        <v>0.83</v>
      </c>
      <c r="G259" s="362">
        <v>1</v>
      </c>
      <c r="H259" s="362">
        <v>1</v>
      </c>
      <c r="I259" s="8">
        <v>0.33</v>
      </c>
      <c r="L259" s="5" t="s">
        <v>209</v>
      </c>
      <c r="N259" s="476">
        <v>84</v>
      </c>
      <c r="O259" s="477" t="s">
        <v>456</v>
      </c>
      <c r="P259" s="478" t="s">
        <v>118</v>
      </c>
      <c r="Q259" s="478" t="s">
        <v>357</v>
      </c>
      <c r="R259" s="478" t="s">
        <v>696</v>
      </c>
      <c r="S259" s="479">
        <v>63</v>
      </c>
      <c r="T259" s="478" t="s">
        <v>41</v>
      </c>
      <c r="U259" s="478" t="s">
        <v>45</v>
      </c>
      <c r="V259" s="480" t="s">
        <v>10</v>
      </c>
      <c r="W259" s="51">
        <v>0.14000000000000001</v>
      </c>
      <c r="X259" s="357">
        <v>0.35</v>
      </c>
      <c r="Y259" s="351" t="s">
        <v>353</v>
      </c>
      <c r="Z259" s="5" t="s">
        <v>48</v>
      </c>
      <c r="AA259" s="112" t="s">
        <v>51</v>
      </c>
    </row>
    <row r="260" spans="1:29" ht="15.75" thickBot="1" x14ac:dyDescent="0.3">
      <c r="A260" s="329">
        <v>45896</v>
      </c>
      <c r="B260" s="5">
        <v>6</v>
      </c>
      <c r="D260" s="5" t="s">
        <v>456</v>
      </c>
      <c r="E260" s="6">
        <v>0.83</v>
      </c>
      <c r="G260" s="362">
        <v>1</v>
      </c>
      <c r="H260" s="362">
        <v>1</v>
      </c>
      <c r="I260" s="8">
        <v>0.33</v>
      </c>
      <c r="L260" s="5" t="s">
        <v>209</v>
      </c>
      <c r="N260" s="476">
        <v>89</v>
      </c>
      <c r="O260" s="477" t="s">
        <v>456</v>
      </c>
      <c r="P260" s="478" t="s">
        <v>162</v>
      </c>
      <c r="Q260" s="478" t="s">
        <v>163</v>
      </c>
      <c r="R260" s="478" t="s">
        <v>696</v>
      </c>
      <c r="S260" s="479">
        <v>65</v>
      </c>
      <c r="T260" s="478" t="s">
        <v>44</v>
      </c>
      <c r="U260" s="478" t="s">
        <v>43</v>
      </c>
      <c r="V260" s="480" t="s">
        <v>29</v>
      </c>
      <c r="W260" s="51">
        <v>0.15</v>
      </c>
      <c r="X260" s="357" t="s">
        <v>53</v>
      </c>
      <c r="Z260" s="5" t="s">
        <v>13</v>
      </c>
      <c r="AA260" s="112" t="s">
        <v>51</v>
      </c>
      <c r="AB260" s="109"/>
      <c r="AC260" s="58"/>
    </row>
    <row r="261" spans="1:29" ht="15.75" thickBot="1" x14ac:dyDescent="0.3">
      <c r="A261" s="338">
        <v>45896</v>
      </c>
      <c r="B261" s="230">
        <v>6</v>
      </c>
      <c r="C261" s="231"/>
      <c r="D261" s="230" t="s">
        <v>456</v>
      </c>
      <c r="E261" s="232">
        <v>0.83</v>
      </c>
      <c r="F261" s="232"/>
      <c r="G261" s="363">
        <v>1</v>
      </c>
      <c r="H261" s="363">
        <v>1</v>
      </c>
      <c r="I261" s="234">
        <v>0.33</v>
      </c>
      <c r="J261" s="234"/>
      <c r="K261" s="231"/>
      <c r="L261" s="230" t="s">
        <v>209</v>
      </c>
      <c r="M261" s="197"/>
      <c r="N261" s="347"/>
      <c r="O261" s="343" t="s">
        <v>456</v>
      </c>
      <c r="P261" s="199" t="s">
        <v>719</v>
      </c>
      <c r="Q261" s="199" t="s">
        <v>720</v>
      </c>
      <c r="R261" s="199" t="s">
        <v>707</v>
      </c>
      <c r="S261" s="7">
        <v>60</v>
      </c>
      <c r="T261" s="199"/>
      <c r="U261" s="199"/>
      <c r="V261" s="201"/>
      <c r="W261" s="202"/>
      <c r="X261" s="359"/>
      <c r="Y261" s="353">
        <f>H261</f>
        <v>1</v>
      </c>
      <c r="Z261" s="199"/>
      <c r="AA261" s="204"/>
      <c r="AB261" s="205"/>
      <c r="AC261" s="201"/>
    </row>
    <row r="262" spans="1:29" ht="15.75" thickBot="1" x14ac:dyDescent="0.3">
      <c r="A262" s="338">
        <v>45896</v>
      </c>
      <c r="B262" s="230">
        <v>6</v>
      </c>
      <c r="C262" s="231"/>
      <c r="D262" s="230" t="s">
        <v>456</v>
      </c>
      <c r="E262" s="232">
        <v>0.83</v>
      </c>
      <c r="F262" s="232"/>
      <c r="G262" s="363">
        <v>1</v>
      </c>
      <c r="H262" s="363">
        <v>1</v>
      </c>
      <c r="I262" s="234">
        <v>0.33</v>
      </c>
      <c r="J262" s="234"/>
      <c r="K262" s="231"/>
      <c r="L262" s="230" t="s">
        <v>209</v>
      </c>
      <c r="M262" s="197"/>
      <c r="N262" s="347"/>
      <c r="O262" s="343" t="s">
        <v>209</v>
      </c>
      <c r="P262" s="199" t="s">
        <v>74</v>
      </c>
      <c r="Q262" s="199" t="s">
        <v>730</v>
      </c>
      <c r="R262" s="199" t="s">
        <v>707</v>
      </c>
      <c r="S262" s="7">
        <v>71</v>
      </c>
      <c r="T262" s="199"/>
      <c r="U262" s="199"/>
      <c r="V262" s="201"/>
      <c r="W262" s="202"/>
      <c r="X262" s="359"/>
      <c r="Y262" s="353">
        <f>G261</f>
        <v>1</v>
      </c>
      <c r="Z262" s="199"/>
      <c r="AA262" s="204"/>
      <c r="AB262" s="205"/>
      <c r="AC262" s="201"/>
    </row>
    <row r="263" spans="1:29" x14ac:dyDescent="0.25">
      <c r="A263" s="328">
        <v>45898</v>
      </c>
      <c r="B263" s="17">
        <v>3</v>
      </c>
      <c r="C263" s="123" t="s">
        <v>705</v>
      </c>
      <c r="D263" s="17" t="s">
        <v>208</v>
      </c>
      <c r="E263" s="18">
        <v>1.1200000000000001</v>
      </c>
      <c r="F263" s="18"/>
      <c r="G263" s="461">
        <v>2</v>
      </c>
      <c r="H263" s="461">
        <v>0</v>
      </c>
      <c r="I263" s="20">
        <v>0.71</v>
      </c>
      <c r="J263" s="20"/>
      <c r="K263" s="123" t="s">
        <v>698</v>
      </c>
      <c r="L263" s="17" t="s">
        <v>129</v>
      </c>
      <c r="M263" s="46"/>
      <c r="N263" s="507">
        <v>8</v>
      </c>
      <c r="O263" s="508" t="s">
        <v>208</v>
      </c>
      <c r="P263" s="509" t="s">
        <v>74</v>
      </c>
      <c r="Q263" s="509" t="s">
        <v>211</v>
      </c>
      <c r="R263" s="509" t="s">
        <v>718</v>
      </c>
      <c r="S263" s="479">
        <v>74</v>
      </c>
      <c r="T263" s="509" t="s">
        <v>41</v>
      </c>
      <c r="U263" s="509" t="s">
        <v>45</v>
      </c>
      <c r="V263" s="510" t="s">
        <v>20</v>
      </c>
      <c r="W263" s="53">
        <v>0.03</v>
      </c>
      <c r="X263" s="360">
        <v>0.11</v>
      </c>
      <c r="Y263" s="354"/>
      <c r="Z263" s="17" t="s">
        <v>48</v>
      </c>
      <c r="AA263" s="114" t="s">
        <v>28</v>
      </c>
      <c r="AB263" s="110"/>
      <c r="AC263" s="60"/>
    </row>
    <row r="264" spans="1:29" x14ac:dyDescent="0.25">
      <c r="A264" s="329">
        <v>45898</v>
      </c>
      <c r="B264" s="5">
        <v>3</v>
      </c>
      <c r="D264" s="5" t="s">
        <v>208</v>
      </c>
      <c r="E264" s="6">
        <v>1.1200000000000001</v>
      </c>
      <c r="G264" s="362">
        <v>2</v>
      </c>
      <c r="H264" s="362">
        <v>0</v>
      </c>
      <c r="I264" s="8">
        <v>0.71</v>
      </c>
      <c r="L264" s="5" t="s">
        <v>129</v>
      </c>
      <c r="N264" s="476">
        <v>10</v>
      </c>
      <c r="O264" s="477" t="s">
        <v>208</v>
      </c>
      <c r="P264" s="478" t="s">
        <v>74</v>
      </c>
      <c r="Q264" s="478" t="s">
        <v>211</v>
      </c>
      <c r="R264" s="478" t="s">
        <v>718</v>
      </c>
      <c r="S264" s="481">
        <v>74</v>
      </c>
      <c r="T264" s="478" t="s">
        <v>47</v>
      </c>
      <c r="U264" s="478" t="s">
        <v>45</v>
      </c>
      <c r="V264" s="480" t="s">
        <v>10</v>
      </c>
      <c r="W264" s="51">
        <v>0.12</v>
      </c>
      <c r="X264" s="357" t="s">
        <v>53</v>
      </c>
      <c r="Z264" s="5" t="s">
        <v>13</v>
      </c>
      <c r="AA264" s="112" t="s">
        <v>28</v>
      </c>
    </row>
    <row r="265" spans="1:29" x14ac:dyDescent="0.25">
      <c r="A265" s="329">
        <v>45898</v>
      </c>
      <c r="B265" s="5">
        <v>3</v>
      </c>
      <c r="D265" s="5" t="s">
        <v>208</v>
      </c>
      <c r="E265" s="6">
        <v>1.1200000000000001</v>
      </c>
      <c r="G265" s="362">
        <v>2</v>
      </c>
      <c r="H265" s="362">
        <v>0</v>
      </c>
      <c r="I265" s="8">
        <v>0.71</v>
      </c>
      <c r="L265" s="5" t="s">
        <v>129</v>
      </c>
      <c r="N265" s="476">
        <v>22</v>
      </c>
      <c r="O265" s="477" t="s">
        <v>208</v>
      </c>
      <c r="P265" s="506" t="s">
        <v>303</v>
      </c>
      <c r="Q265" s="506" t="s">
        <v>304</v>
      </c>
      <c r="R265" s="506" t="s">
        <v>695</v>
      </c>
      <c r="S265" s="481">
        <v>75</v>
      </c>
      <c r="T265" s="478" t="s">
        <v>41</v>
      </c>
      <c r="U265" s="478" t="s">
        <v>42</v>
      </c>
      <c r="V265" s="480" t="s">
        <v>18</v>
      </c>
      <c r="W265" s="51">
        <v>0.06</v>
      </c>
      <c r="X265" s="357" t="s">
        <v>53</v>
      </c>
      <c r="Z265" s="5" t="s">
        <v>16</v>
      </c>
      <c r="AA265" s="112" t="s">
        <v>28</v>
      </c>
    </row>
    <row r="266" spans="1:29" x14ac:dyDescent="0.25">
      <c r="A266" s="329">
        <v>45898</v>
      </c>
      <c r="B266" s="5">
        <v>3</v>
      </c>
      <c r="D266" s="5" t="s">
        <v>208</v>
      </c>
      <c r="E266" s="6">
        <v>1.1200000000000001</v>
      </c>
      <c r="G266" s="362">
        <v>2</v>
      </c>
      <c r="H266" s="362">
        <v>0</v>
      </c>
      <c r="I266" s="8">
        <v>0.71</v>
      </c>
      <c r="L266" s="5" t="s">
        <v>129</v>
      </c>
      <c r="N266" s="345">
        <v>27</v>
      </c>
      <c r="O266" s="38" t="s">
        <v>129</v>
      </c>
      <c r="P266" s="453" t="s">
        <v>59</v>
      </c>
      <c r="Q266" s="453" t="s">
        <v>191</v>
      </c>
      <c r="R266" s="453" t="s">
        <v>684</v>
      </c>
      <c r="S266" s="479">
        <v>62</v>
      </c>
      <c r="T266" s="5" t="s">
        <v>41</v>
      </c>
      <c r="U266" s="5" t="s">
        <v>43</v>
      </c>
      <c r="V266" s="57" t="s">
        <v>18</v>
      </c>
      <c r="W266" s="51">
        <v>0.33</v>
      </c>
      <c r="X266" s="357" t="s">
        <v>53</v>
      </c>
      <c r="Y266" s="351" t="s">
        <v>353</v>
      </c>
      <c r="Z266" s="5" t="s">
        <v>13</v>
      </c>
      <c r="AA266" s="112" t="s">
        <v>28</v>
      </c>
    </row>
    <row r="267" spans="1:29" x14ac:dyDescent="0.25">
      <c r="A267" s="329">
        <v>45898</v>
      </c>
      <c r="B267" s="5">
        <v>3</v>
      </c>
      <c r="D267" s="5" t="s">
        <v>208</v>
      </c>
      <c r="E267" s="6">
        <v>1.1200000000000001</v>
      </c>
      <c r="G267" s="362">
        <v>2</v>
      </c>
      <c r="H267" s="362">
        <v>0</v>
      </c>
      <c r="I267" s="8">
        <v>0.71</v>
      </c>
      <c r="L267" s="5" t="s">
        <v>129</v>
      </c>
      <c r="N267" s="345" t="s">
        <v>122</v>
      </c>
      <c r="O267" s="38" t="s">
        <v>129</v>
      </c>
      <c r="P267" s="453" t="s">
        <v>46</v>
      </c>
      <c r="Q267" s="453" t="s">
        <v>201</v>
      </c>
      <c r="R267" s="453" t="s">
        <v>686</v>
      </c>
      <c r="S267" s="7">
        <v>66</v>
      </c>
      <c r="T267" s="5" t="s">
        <v>41</v>
      </c>
      <c r="U267" s="5" t="s">
        <v>43</v>
      </c>
      <c r="V267" s="57" t="s">
        <v>10</v>
      </c>
      <c r="W267" s="51">
        <v>7.0000000000000007E-2</v>
      </c>
      <c r="X267" s="357" t="s">
        <v>53</v>
      </c>
      <c r="Z267" s="5" t="s">
        <v>17</v>
      </c>
      <c r="AA267" s="112" t="s">
        <v>28</v>
      </c>
    </row>
    <row r="268" spans="1:29" x14ac:dyDescent="0.25">
      <c r="A268" s="329">
        <v>45898</v>
      </c>
      <c r="B268" s="5">
        <v>3</v>
      </c>
      <c r="D268" s="5" t="s">
        <v>208</v>
      </c>
      <c r="E268" s="6">
        <v>1.1200000000000001</v>
      </c>
      <c r="G268" s="362">
        <v>2</v>
      </c>
      <c r="H268" s="362">
        <v>0</v>
      </c>
      <c r="I268" s="8">
        <v>0.71</v>
      </c>
      <c r="L268" s="5" t="s">
        <v>129</v>
      </c>
      <c r="N268" s="476">
        <v>46</v>
      </c>
      <c r="O268" s="477" t="s">
        <v>208</v>
      </c>
      <c r="P268" s="506" t="s">
        <v>61</v>
      </c>
      <c r="Q268" s="506" t="s">
        <v>261</v>
      </c>
      <c r="R268" s="506" t="s">
        <v>717</v>
      </c>
      <c r="S268" s="479">
        <v>76</v>
      </c>
      <c r="T268" s="478" t="s">
        <v>41</v>
      </c>
      <c r="U268" s="478" t="s">
        <v>43</v>
      </c>
      <c r="V268" s="480" t="s">
        <v>18</v>
      </c>
      <c r="W268" s="51">
        <v>0.18</v>
      </c>
      <c r="X268" s="357">
        <v>0.56000000000000005</v>
      </c>
      <c r="Y268" s="351" t="s">
        <v>353</v>
      </c>
      <c r="Z268" s="5" t="s">
        <v>8</v>
      </c>
      <c r="AA268" s="112" t="s">
        <v>19</v>
      </c>
      <c r="AB268" s="108" t="s">
        <v>74</v>
      </c>
      <c r="AC268" s="57" t="s">
        <v>211</v>
      </c>
    </row>
    <row r="269" spans="1:29" x14ac:dyDescent="0.25">
      <c r="A269" s="329">
        <v>45898</v>
      </c>
      <c r="B269" s="5">
        <v>3</v>
      </c>
      <c r="D269" s="5" t="s">
        <v>208</v>
      </c>
      <c r="E269" s="6">
        <v>1.1200000000000001</v>
      </c>
      <c r="G269" s="362">
        <v>2</v>
      </c>
      <c r="H269" s="362">
        <v>0</v>
      </c>
      <c r="I269" s="8">
        <v>0.71</v>
      </c>
      <c r="L269" s="5" t="s">
        <v>129</v>
      </c>
      <c r="N269" s="476">
        <v>51</v>
      </c>
      <c r="O269" s="477" t="s">
        <v>208</v>
      </c>
      <c r="P269" s="506" t="s">
        <v>218</v>
      </c>
      <c r="Q269" s="506" t="s">
        <v>305</v>
      </c>
      <c r="R269" s="506" t="s">
        <v>695</v>
      </c>
      <c r="S269" s="479">
        <v>81</v>
      </c>
      <c r="T269" s="478" t="s">
        <v>41</v>
      </c>
      <c r="U269" s="478" t="s">
        <v>42</v>
      </c>
      <c r="V269" s="480" t="s">
        <v>10</v>
      </c>
      <c r="W269" s="51">
        <v>0.13</v>
      </c>
      <c r="X269" s="357">
        <v>0.81</v>
      </c>
      <c r="Z269" s="5" t="s">
        <v>8</v>
      </c>
      <c r="AA269" s="112" t="s">
        <v>24</v>
      </c>
      <c r="AB269" s="108" t="s">
        <v>457</v>
      </c>
      <c r="AC269" s="57" t="s">
        <v>658</v>
      </c>
    </row>
    <row r="270" spans="1:29" x14ac:dyDescent="0.25">
      <c r="A270" s="329">
        <v>45898</v>
      </c>
      <c r="B270" s="5">
        <v>3</v>
      </c>
      <c r="D270" s="5" t="s">
        <v>208</v>
      </c>
      <c r="E270" s="6">
        <v>1.1200000000000001</v>
      </c>
      <c r="G270" s="362">
        <v>2</v>
      </c>
      <c r="H270" s="362">
        <v>0</v>
      </c>
      <c r="I270" s="8">
        <v>0.71</v>
      </c>
      <c r="L270" s="5" t="s">
        <v>129</v>
      </c>
      <c r="N270" s="345">
        <v>90</v>
      </c>
      <c r="O270" s="38" t="s">
        <v>129</v>
      </c>
      <c r="P270" s="453" t="s">
        <v>25</v>
      </c>
      <c r="Q270" s="453" t="s">
        <v>75</v>
      </c>
      <c r="R270" s="453" t="s">
        <v>696</v>
      </c>
      <c r="S270" s="7">
        <v>64</v>
      </c>
      <c r="T270" s="5" t="s">
        <v>41</v>
      </c>
      <c r="U270" s="5" t="s">
        <v>42</v>
      </c>
      <c r="V270" s="57" t="s">
        <v>10</v>
      </c>
      <c r="W270" s="51">
        <v>0.04</v>
      </c>
      <c r="X270" s="357">
        <v>0.23</v>
      </c>
      <c r="Z270" s="5" t="s">
        <v>48</v>
      </c>
      <c r="AA270" s="112" t="s">
        <v>24</v>
      </c>
    </row>
    <row r="271" spans="1:29" ht="15.75" thickBot="1" x14ac:dyDescent="0.3">
      <c r="A271" s="330">
        <v>45898</v>
      </c>
      <c r="B271" s="9">
        <v>3</v>
      </c>
      <c r="C271" s="122"/>
      <c r="D271" s="9" t="s">
        <v>208</v>
      </c>
      <c r="E271" s="10">
        <v>1.1200000000000001</v>
      </c>
      <c r="F271" s="10"/>
      <c r="G271" s="383">
        <v>2</v>
      </c>
      <c r="H271" s="383">
        <v>0</v>
      </c>
      <c r="I271" s="12">
        <v>0.71</v>
      </c>
      <c r="J271" s="12"/>
      <c r="K271" s="122"/>
      <c r="L271" s="9" t="s">
        <v>129</v>
      </c>
      <c r="M271" s="45"/>
      <c r="N271" s="511" t="s">
        <v>36</v>
      </c>
      <c r="O271" s="512" t="s">
        <v>208</v>
      </c>
      <c r="P271" s="524" t="s">
        <v>303</v>
      </c>
      <c r="Q271" s="524" t="s">
        <v>304</v>
      </c>
      <c r="R271" s="524" t="s">
        <v>695</v>
      </c>
      <c r="S271" s="479">
        <v>75</v>
      </c>
      <c r="T271" s="513" t="s">
        <v>41</v>
      </c>
      <c r="U271" s="513" t="s">
        <v>42</v>
      </c>
      <c r="V271" s="514" t="s">
        <v>18</v>
      </c>
      <c r="W271" s="52">
        <v>0.17</v>
      </c>
      <c r="X271" s="358">
        <v>0.08</v>
      </c>
      <c r="Y271" s="352"/>
      <c r="Z271" s="9" t="s">
        <v>48</v>
      </c>
      <c r="AA271" s="113" t="s">
        <v>24</v>
      </c>
      <c r="AB271" s="109"/>
      <c r="AC271" s="58"/>
    </row>
    <row r="272" spans="1:29" ht="15.75" thickBot="1" x14ac:dyDescent="0.3">
      <c r="A272" s="326">
        <v>45898</v>
      </c>
      <c r="B272" s="207">
        <v>3</v>
      </c>
      <c r="C272" s="208"/>
      <c r="D272" s="207" t="s">
        <v>208</v>
      </c>
      <c r="E272" s="209">
        <v>1.1200000000000001</v>
      </c>
      <c r="F272" s="209"/>
      <c r="G272" s="460">
        <v>2</v>
      </c>
      <c r="H272" s="460">
        <v>0</v>
      </c>
      <c r="I272" s="211">
        <v>0.71</v>
      </c>
      <c r="J272" s="211"/>
      <c r="K272" s="208"/>
      <c r="L272" s="207" t="s">
        <v>129</v>
      </c>
      <c r="M272" s="197"/>
      <c r="N272" s="347"/>
      <c r="O272" s="343" t="s">
        <v>208</v>
      </c>
      <c r="P272" s="199" t="s">
        <v>433</v>
      </c>
      <c r="Q272" s="199" t="s">
        <v>725</v>
      </c>
      <c r="R272" s="199" t="s">
        <v>707</v>
      </c>
      <c r="S272" s="7">
        <v>65</v>
      </c>
      <c r="T272" s="199"/>
      <c r="U272" s="199"/>
      <c r="V272" s="201"/>
      <c r="W272" s="202"/>
      <c r="X272" s="359"/>
      <c r="Y272" s="353">
        <f>H272</f>
        <v>0</v>
      </c>
      <c r="Z272" s="199"/>
      <c r="AA272" s="204"/>
      <c r="AB272" s="205"/>
      <c r="AC272" s="201"/>
    </row>
    <row r="273" spans="1:29" ht="15.75" thickBot="1" x14ac:dyDescent="0.3">
      <c r="A273" s="326">
        <v>45898</v>
      </c>
      <c r="B273" s="207">
        <v>3</v>
      </c>
      <c r="C273" s="208"/>
      <c r="D273" s="207" t="s">
        <v>208</v>
      </c>
      <c r="E273" s="209">
        <v>1.1200000000000001</v>
      </c>
      <c r="F273" s="209"/>
      <c r="G273" s="460">
        <v>2</v>
      </c>
      <c r="H273" s="460">
        <v>0</v>
      </c>
      <c r="I273" s="211">
        <v>0.71</v>
      </c>
      <c r="J273" s="211"/>
      <c r="K273" s="208"/>
      <c r="L273" s="207" t="s">
        <v>129</v>
      </c>
      <c r="M273" s="197"/>
      <c r="N273" s="347"/>
      <c r="O273" s="343" t="s">
        <v>129</v>
      </c>
      <c r="P273" s="199" t="s">
        <v>731</v>
      </c>
      <c r="Q273" s="199" t="s">
        <v>732</v>
      </c>
      <c r="R273" s="199" t="s">
        <v>707</v>
      </c>
      <c r="S273" s="7">
        <v>64</v>
      </c>
      <c r="T273" s="199"/>
      <c r="U273" s="199"/>
      <c r="V273" s="201"/>
      <c r="W273" s="202"/>
      <c r="X273" s="359"/>
      <c r="Y273" s="353">
        <f>G272</f>
        <v>2</v>
      </c>
      <c r="Z273" s="199"/>
      <c r="AA273" s="204"/>
      <c r="AB273" s="205"/>
      <c r="AC273" s="201"/>
    </row>
    <row r="274" spans="1:29" x14ac:dyDescent="0.25">
      <c r="A274" s="328">
        <v>45898</v>
      </c>
      <c r="B274" s="17">
        <v>3</v>
      </c>
      <c r="C274" s="123" t="s">
        <v>693</v>
      </c>
      <c r="D274" s="17" t="s">
        <v>145</v>
      </c>
      <c r="E274" s="18">
        <v>1.08</v>
      </c>
      <c r="F274" s="18"/>
      <c r="G274" s="461">
        <v>3</v>
      </c>
      <c r="H274" s="461">
        <v>0</v>
      </c>
      <c r="I274" s="20">
        <v>0.74</v>
      </c>
      <c r="J274" s="20"/>
      <c r="K274" s="123" t="s">
        <v>701</v>
      </c>
      <c r="L274" s="17" t="s">
        <v>161</v>
      </c>
      <c r="M274" s="46"/>
      <c r="N274" s="507">
        <v>7</v>
      </c>
      <c r="O274" s="508" t="s">
        <v>145</v>
      </c>
      <c r="P274" s="509" t="s">
        <v>306</v>
      </c>
      <c r="Q274" s="509" t="s">
        <v>307</v>
      </c>
      <c r="R274" s="509" t="s">
        <v>688</v>
      </c>
      <c r="S274" s="479">
        <v>73</v>
      </c>
      <c r="T274" s="509" t="s">
        <v>354</v>
      </c>
      <c r="U274" s="509" t="s">
        <v>43</v>
      </c>
      <c r="V274" s="510" t="s">
        <v>10</v>
      </c>
      <c r="W274" s="53">
        <v>0.02</v>
      </c>
      <c r="X274" s="360">
        <v>0.12</v>
      </c>
      <c r="Y274" s="354"/>
      <c r="Z274" s="17" t="s">
        <v>48</v>
      </c>
      <c r="AA274" s="114" t="s">
        <v>28</v>
      </c>
      <c r="AB274" s="110"/>
      <c r="AC274" s="60"/>
    </row>
    <row r="275" spans="1:29" x14ac:dyDescent="0.25">
      <c r="A275" s="329">
        <v>45898</v>
      </c>
      <c r="B275" s="5">
        <v>3</v>
      </c>
      <c r="D275" s="5" t="s">
        <v>145</v>
      </c>
      <c r="E275" s="6">
        <v>1.08</v>
      </c>
      <c r="G275" s="362">
        <v>3</v>
      </c>
      <c r="H275" s="362">
        <v>0</v>
      </c>
      <c r="I275" s="8">
        <v>0.74</v>
      </c>
      <c r="L275" s="5" t="s">
        <v>161</v>
      </c>
      <c r="N275" s="476">
        <v>8</v>
      </c>
      <c r="O275" s="477" t="s">
        <v>145</v>
      </c>
      <c r="P275" s="478" t="s">
        <v>308</v>
      </c>
      <c r="Q275" s="478" t="s">
        <v>309</v>
      </c>
      <c r="R275" s="478" t="s">
        <v>687</v>
      </c>
      <c r="S275" s="479">
        <v>75</v>
      </c>
      <c r="T275" s="478" t="s">
        <v>41</v>
      </c>
      <c r="U275" s="478" t="s">
        <v>45</v>
      </c>
      <c r="V275" s="480" t="s">
        <v>20</v>
      </c>
      <c r="W275" s="51">
        <v>0.1</v>
      </c>
      <c r="X275" s="357" t="s">
        <v>53</v>
      </c>
      <c r="Z275" s="5" t="s">
        <v>52</v>
      </c>
      <c r="AA275" s="112" t="s">
        <v>28</v>
      </c>
    </row>
    <row r="276" spans="1:29" x14ac:dyDescent="0.25">
      <c r="A276" s="329">
        <v>45898</v>
      </c>
      <c r="B276" s="5">
        <v>3</v>
      </c>
      <c r="D276" s="5" t="s">
        <v>145</v>
      </c>
      <c r="E276" s="6">
        <v>1.08</v>
      </c>
      <c r="G276" s="362">
        <v>3</v>
      </c>
      <c r="H276" s="362">
        <v>0</v>
      </c>
      <c r="I276" s="8">
        <v>0.74</v>
      </c>
      <c r="L276" s="5" t="s">
        <v>161</v>
      </c>
      <c r="N276" s="345">
        <v>18</v>
      </c>
      <c r="O276" s="38" t="s">
        <v>161</v>
      </c>
      <c r="P276" s="5" t="s">
        <v>26</v>
      </c>
      <c r="Q276" s="5" t="s">
        <v>302</v>
      </c>
      <c r="R276" s="5" t="s">
        <v>695</v>
      </c>
      <c r="S276" s="459">
        <v>60</v>
      </c>
      <c r="T276" s="5" t="s">
        <v>41</v>
      </c>
      <c r="U276" s="5" t="s">
        <v>42</v>
      </c>
      <c r="V276" s="57" t="s">
        <v>10</v>
      </c>
      <c r="W276" s="51">
        <v>0.11</v>
      </c>
      <c r="X276" s="357" t="s">
        <v>53</v>
      </c>
      <c r="Z276" s="5" t="s">
        <v>13</v>
      </c>
      <c r="AA276" s="112" t="s">
        <v>28</v>
      </c>
    </row>
    <row r="277" spans="1:29" x14ac:dyDescent="0.25">
      <c r="A277" s="329">
        <v>45898</v>
      </c>
      <c r="B277" s="5">
        <v>3</v>
      </c>
      <c r="D277" s="5" t="s">
        <v>145</v>
      </c>
      <c r="E277" s="6">
        <v>1.08</v>
      </c>
      <c r="G277" s="362">
        <v>3</v>
      </c>
      <c r="H277" s="362">
        <v>0</v>
      </c>
      <c r="I277" s="8">
        <v>0.74</v>
      </c>
      <c r="L277" s="5" t="s">
        <v>161</v>
      </c>
      <c r="N277" s="476">
        <v>30</v>
      </c>
      <c r="O277" s="477" t="s">
        <v>145</v>
      </c>
      <c r="P277" s="478" t="s">
        <v>310</v>
      </c>
      <c r="Q277" s="478" t="s">
        <v>311</v>
      </c>
      <c r="R277" s="478" t="s">
        <v>712</v>
      </c>
      <c r="S277" s="481">
        <v>80</v>
      </c>
      <c r="T277" s="478" t="s">
        <v>47</v>
      </c>
      <c r="U277" s="478" t="s">
        <v>45</v>
      </c>
      <c r="V277" s="480" t="s">
        <v>20</v>
      </c>
      <c r="W277" s="51">
        <v>0.31</v>
      </c>
      <c r="X277" s="357">
        <v>0.76</v>
      </c>
      <c r="Y277" s="351" t="s">
        <v>353</v>
      </c>
      <c r="Z277" s="5" t="s">
        <v>8</v>
      </c>
      <c r="AA277" s="112" t="s">
        <v>19</v>
      </c>
      <c r="AB277" s="108" t="s">
        <v>315</v>
      </c>
      <c r="AC277" s="57" t="s">
        <v>409</v>
      </c>
    </row>
    <row r="278" spans="1:29" x14ac:dyDescent="0.25">
      <c r="A278" s="329">
        <v>45898</v>
      </c>
      <c r="B278" s="5">
        <v>3</v>
      </c>
      <c r="D278" s="5" t="s">
        <v>145</v>
      </c>
      <c r="E278" s="6">
        <v>1.08</v>
      </c>
      <c r="G278" s="362">
        <v>3</v>
      </c>
      <c r="H278" s="362">
        <v>0</v>
      </c>
      <c r="I278" s="8">
        <v>0.74</v>
      </c>
      <c r="L278" s="5" t="s">
        <v>161</v>
      </c>
      <c r="N278" s="476">
        <v>54</v>
      </c>
      <c r="O278" s="477" t="s">
        <v>145</v>
      </c>
      <c r="P278" s="478" t="s">
        <v>271</v>
      </c>
      <c r="Q278" s="478" t="s">
        <v>272</v>
      </c>
      <c r="R278" s="478" t="s">
        <v>685</v>
      </c>
      <c r="S278" s="479">
        <v>73</v>
      </c>
      <c r="T278" s="478" t="s">
        <v>41</v>
      </c>
      <c r="U278" s="478" t="s">
        <v>42</v>
      </c>
      <c r="V278" s="480" t="s">
        <v>18</v>
      </c>
      <c r="W278" s="51">
        <v>7.0000000000000007E-2</v>
      </c>
      <c r="X278" s="357">
        <v>0.14000000000000001</v>
      </c>
      <c r="Z278" s="5" t="s">
        <v>8</v>
      </c>
      <c r="AA278" s="112" t="s">
        <v>24</v>
      </c>
      <c r="AB278" s="108" t="s">
        <v>278</v>
      </c>
      <c r="AC278" s="57" t="s">
        <v>452</v>
      </c>
    </row>
    <row r="279" spans="1:29" x14ac:dyDescent="0.25">
      <c r="A279" s="329">
        <v>45898</v>
      </c>
      <c r="B279" s="5">
        <v>3</v>
      </c>
      <c r="D279" s="5" t="s">
        <v>145</v>
      </c>
      <c r="E279" s="6">
        <v>1.08</v>
      </c>
      <c r="G279" s="362">
        <v>3</v>
      </c>
      <c r="H279" s="362">
        <v>0</v>
      </c>
      <c r="I279" s="8">
        <v>0.74</v>
      </c>
      <c r="L279" s="5" t="s">
        <v>161</v>
      </c>
      <c r="N279" s="476">
        <v>61</v>
      </c>
      <c r="O279" s="477" t="s">
        <v>145</v>
      </c>
      <c r="P279" s="478" t="s">
        <v>149</v>
      </c>
      <c r="Q279" s="478" t="s">
        <v>150</v>
      </c>
      <c r="R279" s="478" t="s">
        <v>699</v>
      </c>
      <c r="S279" s="479">
        <v>64</v>
      </c>
      <c r="T279" s="478" t="s">
        <v>41</v>
      </c>
      <c r="U279" s="478" t="s">
        <v>42</v>
      </c>
      <c r="V279" s="480" t="s">
        <v>18</v>
      </c>
      <c r="W279" s="51">
        <v>0.09</v>
      </c>
      <c r="X279" s="357" t="s">
        <v>53</v>
      </c>
      <c r="Y279" s="351" t="s">
        <v>353</v>
      </c>
      <c r="Z279" s="5" t="s">
        <v>13</v>
      </c>
      <c r="AA279" s="112" t="s">
        <v>24</v>
      </c>
    </row>
    <row r="280" spans="1:29" x14ac:dyDescent="0.25">
      <c r="A280" s="329">
        <v>45898</v>
      </c>
      <c r="B280" s="5">
        <v>3</v>
      </c>
      <c r="D280" s="5" t="s">
        <v>145</v>
      </c>
      <c r="E280" s="6">
        <v>1.08</v>
      </c>
      <c r="G280" s="362">
        <v>3</v>
      </c>
      <c r="H280" s="362">
        <v>0</v>
      </c>
      <c r="I280" s="8">
        <v>0.74</v>
      </c>
      <c r="L280" s="5" t="s">
        <v>161</v>
      </c>
      <c r="N280" s="345">
        <v>63</v>
      </c>
      <c r="O280" s="38" t="s">
        <v>161</v>
      </c>
      <c r="P280" s="5" t="s">
        <v>167</v>
      </c>
      <c r="Q280" s="5" t="s">
        <v>166</v>
      </c>
      <c r="R280" s="5" t="s">
        <v>717</v>
      </c>
      <c r="S280" s="7">
        <v>61</v>
      </c>
      <c r="T280" s="5" t="s">
        <v>41</v>
      </c>
      <c r="U280" s="5" t="s">
        <v>42</v>
      </c>
      <c r="V280" s="57" t="s">
        <v>540</v>
      </c>
      <c r="W280" s="51">
        <v>0.11</v>
      </c>
      <c r="X280" s="357" t="s">
        <v>53</v>
      </c>
      <c r="Z280" s="5" t="s">
        <v>16</v>
      </c>
      <c r="AA280" s="112" t="s">
        <v>24</v>
      </c>
    </row>
    <row r="281" spans="1:29" x14ac:dyDescent="0.25">
      <c r="A281" s="329">
        <v>45898</v>
      </c>
      <c r="B281" s="5">
        <v>3</v>
      </c>
      <c r="D281" s="5" t="s">
        <v>145</v>
      </c>
      <c r="E281" s="6">
        <v>1.08</v>
      </c>
      <c r="G281" s="362">
        <v>3</v>
      </c>
      <c r="H281" s="362">
        <v>0</v>
      </c>
      <c r="I281" s="8">
        <v>0.74</v>
      </c>
      <c r="L281" s="5" t="s">
        <v>161</v>
      </c>
      <c r="N281" s="345">
        <v>78</v>
      </c>
      <c r="O281" s="38" t="s">
        <v>161</v>
      </c>
      <c r="P281" s="5" t="s">
        <v>313</v>
      </c>
      <c r="Q281" s="5" t="s">
        <v>314</v>
      </c>
      <c r="R281" s="5" t="s">
        <v>696</v>
      </c>
      <c r="S281" s="7">
        <v>60</v>
      </c>
      <c r="T281" s="5" t="s">
        <v>47</v>
      </c>
      <c r="U281" s="5" t="s">
        <v>45</v>
      </c>
      <c r="V281" s="57" t="s">
        <v>20</v>
      </c>
      <c r="W281" s="51">
        <v>0.15</v>
      </c>
      <c r="X281" s="357">
        <v>0.35</v>
      </c>
      <c r="Z281" s="5" t="s">
        <v>48</v>
      </c>
      <c r="AA281" s="112" t="s">
        <v>24</v>
      </c>
    </row>
    <row r="282" spans="1:29" x14ac:dyDescent="0.25">
      <c r="A282" s="329">
        <v>45898</v>
      </c>
      <c r="B282" s="5">
        <v>3</v>
      </c>
      <c r="D282" s="5" t="s">
        <v>145</v>
      </c>
      <c r="E282" s="6">
        <v>1.08</v>
      </c>
      <c r="G282" s="362">
        <v>3</v>
      </c>
      <c r="H282" s="362">
        <v>0</v>
      </c>
      <c r="I282" s="8">
        <v>0.74</v>
      </c>
      <c r="L282" s="5" t="s">
        <v>161</v>
      </c>
      <c r="N282" s="345">
        <v>86</v>
      </c>
      <c r="O282" s="38" t="s">
        <v>161</v>
      </c>
      <c r="P282" s="5" t="s">
        <v>168</v>
      </c>
      <c r="Q282" s="5" t="s">
        <v>169</v>
      </c>
      <c r="R282" s="5" t="s">
        <v>718</v>
      </c>
      <c r="S282" s="479">
        <v>60</v>
      </c>
      <c r="T282" s="5" t="s">
        <v>41</v>
      </c>
      <c r="U282" s="5" t="s">
        <v>43</v>
      </c>
      <c r="V282" s="57" t="s">
        <v>10</v>
      </c>
      <c r="W282" s="51">
        <v>0.06</v>
      </c>
      <c r="X282" s="357" t="s">
        <v>53</v>
      </c>
      <c r="Z282" s="5" t="s">
        <v>17</v>
      </c>
      <c r="AA282" s="112" t="s">
        <v>24</v>
      </c>
    </row>
    <row r="283" spans="1:29" x14ac:dyDescent="0.25">
      <c r="A283" s="329">
        <v>45898</v>
      </c>
      <c r="B283" s="5">
        <v>3</v>
      </c>
      <c r="D283" s="5" t="s">
        <v>145</v>
      </c>
      <c r="E283" s="6">
        <v>1.08</v>
      </c>
      <c r="G283" s="362">
        <v>3</v>
      </c>
      <c r="H283" s="362">
        <v>0</v>
      </c>
      <c r="I283" s="8">
        <v>0.74</v>
      </c>
      <c r="L283" s="5" t="s">
        <v>161</v>
      </c>
      <c r="N283" s="345" t="s">
        <v>268</v>
      </c>
      <c r="O283" s="38" t="s">
        <v>161</v>
      </c>
      <c r="P283" s="5" t="s">
        <v>315</v>
      </c>
      <c r="Q283" s="5" t="s">
        <v>199</v>
      </c>
      <c r="R283" s="5" t="s">
        <v>695</v>
      </c>
      <c r="S283" s="479">
        <v>61</v>
      </c>
      <c r="T283" s="5" t="s">
        <v>354</v>
      </c>
      <c r="U283" s="5" t="s">
        <v>42</v>
      </c>
      <c r="V283" s="57" t="s">
        <v>33</v>
      </c>
      <c r="W283" s="51">
        <v>0.03</v>
      </c>
      <c r="X283" s="357" t="s">
        <v>53</v>
      </c>
      <c r="Z283" s="5" t="s">
        <v>22</v>
      </c>
      <c r="AA283" s="112" t="s">
        <v>24</v>
      </c>
    </row>
    <row r="284" spans="1:29" ht="15.75" thickBot="1" x14ac:dyDescent="0.3">
      <c r="A284" s="330">
        <v>45898</v>
      </c>
      <c r="B284" s="9">
        <v>3</v>
      </c>
      <c r="C284" s="122"/>
      <c r="D284" s="9" t="s">
        <v>145</v>
      </c>
      <c r="E284" s="10">
        <v>1.08</v>
      </c>
      <c r="F284" s="10"/>
      <c r="G284" s="383">
        <v>3</v>
      </c>
      <c r="H284" s="383">
        <v>0</v>
      </c>
      <c r="I284" s="12">
        <v>0.74</v>
      </c>
      <c r="J284" s="12"/>
      <c r="K284" s="122"/>
      <c r="L284" s="9" t="s">
        <v>161</v>
      </c>
      <c r="M284" s="45"/>
      <c r="N284" s="511" t="s">
        <v>312</v>
      </c>
      <c r="O284" s="512" t="s">
        <v>145</v>
      </c>
      <c r="P284" s="513" t="s">
        <v>147</v>
      </c>
      <c r="Q284" s="513" t="s">
        <v>148</v>
      </c>
      <c r="R284" s="513" t="s">
        <v>684</v>
      </c>
      <c r="S284" s="479">
        <v>78</v>
      </c>
      <c r="T284" s="513" t="s">
        <v>41</v>
      </c>
      <c r="U284" s="513" t="s">
        <v>42</v>
      </c>
      <c r="V284" s="514" t="s">
        <v>18</v>
      </c>
      <c r="W284" s="52">
        <v>0.48</v>
      </c>
      <c r="X284" s="358">
        <v>0.38</v>
      </c>
      <c r="Y284" s="352" t="s">
        <v>353</v>
      </c>
      <c r="Z284" s="9" t="s">
        <v>8</v>
      </c>
      <c r="AA284" s="113" t="s">
        <v>27</v>
      </c>
      <c r="AB284" s="109" t="s">
        <v>453</v>
      </c>
      <c r="AC284" s="58" t="s">
        <v>454</v>
      </c>
    </row>
    <row r="285" spans="1:29" ht="15.75" thickBot="1" x14ac:dyDescent="0.3">
      <c r="A285" s="326">
        <v>45898</v>
      </c>
      <c r="B285" s="207">
        <v>3</v>
      </c>
      <c r="C285" s="208"/>
      <c r="D285" s="207" t="s">
        <v>145</v>
      </c>
      <c r="E285" s="209">
        <v>1.08</v>
      </c>
      <c r="F285" s="209"/>
      <c r="G285" s="460">
        <v>3</v>
      </c>
      <c r="H285" s="460">
        <v>0</v>
      </c>
      <c r="I285" s="211">
        <v>0.74</v>
      </c>
      <c r="J285" s="211"/>
      <c r="K285" s="208"/>
      <c r="L285" s="207" t="s">
        <v>161</v>
      </c>
      <c r="M285" s="197"/>
      <c r="N285" s="347"/>
      <c r="O285" s="343" t="s">
        <v>145</v>
      </c>
      <c r="P285" s="199" t="s">
        <v>482</v>
      </c>
      <c r="Q285" s="199" t="s">
        <v>483</v>
      </c>
      <c r="R285" s="199" t="s">
        <v>707</v>
      </c>
      <c r="S285" s="7">
        <v>70</v>
      </c>
      <c r="T285" s="199"/>
      <c r="U285" s="199"/>
      <c r="V285" s="201"/>
      <c r="W285" s="202"/>
      <c r="X285" s="359"/>
      <c r="Y285" s="353">
        <f>H285</f>
        <v>0</v>
      </c>
      <c r="Z285" s="199"/>
      <c r="AA285" s="204"/>
      <c r="AB285" s="205"/>
      <c r="AC285" s="201"/>
    </row>
    <row r="286" spans="1:29" ht="15.75" thickBot="1" x14ac:dyDescent="0.3">
      <c r="A286" s="326">
        <v>45898</v>
      </c>
      <c r="B286" s="207">
        <v>3</v>
      </c>
      <c r="C286" s="208"/>
      <c r="D286" s="207" t="s">
        <v>145</v>
      </c>
      <c r="E286" s="209">
        <v>1.08</v>
      </c>
      <c r="F286" s="209"/>
      <c r="G286" s="460">
        <v>3</v>
      </c>
      <c r="H286" s="460">
        <v>0</v>
      </c>
      <c r="I286" s="211">
        <v>0.74</v>
      </c>
      <c r="J286" s="211"/>
      <c r="K286" s="208"/>
      <c r="L286" s="207" t="s">
        <v>161</v>
      </c>
      <c r="M286" s="197"/>
      <c r="N286" s="347"/>
      <c r="O286" s="343" t="s">
        <v>161</v>
      </c>
      <c r="P286" s="199" t="s">
        <v>316</v>
      </c>
      <c r="Q286" s="199" t="s">
        <v>721</v>
      </c>
      <c r="R286" s="199" t="s">
        <v>707</v>
      </c>
      <c r="S286" s="7">
        <v>56</v>
      </c>
      <c r="T286" s="199"/>
      <c r="U286" s="199"/>
      <c r="V286" s="201"/>
      <c r="W286" s="202"/>
      <c r="X286" s="359"/>
      <c r="Y286" s="353">
        <f>G285</f>
        <v>3</v>
      </c>
      <c r="Z286" s="199"/>
      <c r="AA286" s="204"/>
      <c r="AB286" s="205"/>
      <c r="AC286" s="201"/>
    </row>
    <row r="287" spans="1:29" x14ac:dyDescent="0.25">
      <c r="A287" s="328">
        <v>45899</v>
      </c>
      <c r="B287" s="17">
        <v>3</v>
      </c>
      <c r="C287" s="123" t="s">
        <v>694</v>
      </c>
      <c r="D287" s="17" t="s">
        <v>128</v>
      </c>
      <c r="E287" s="18">
        <v>0.91</v>
      </c>
      <c r="F287" s="18"/>
      <c r="G287" s="461">
        <v>1</v>
      </c>
      <c r="H287" s="461">
        <v>1</v>
      </c>
      <c r="I287" s="20">
        <v>1.06</v>
      </c>
      <c r="J287" s="20"/>
      <c r="K287" s="123" t="s">
        <v>694</v>
      </c>
      <c r="L287" s="17" t="s">
        <v>193</v>
      </c>
      <c r="M287" s="46"/>
      <c r="N287" s="348">
        <v>7</v>
      </c>
      <c r="O287" s="456" t="s">
        <v>193</v>
      </c>
      <c r="P287" s="17" t="s">
        <v>202</v>
      </c>
      <c r="Q287" s="17" t="s">
        <v>203</v>
      </c>
      <c r="R287" s="17" t="s">
        <v>685</v>
      </c>
      <c r="S287" s="7">
        <v>71</v>
      </c>
      <c r="T287" s="17" t="s">
        <v>41</v>
      </c>
      <c r="U287" s="17" t="s">
        <v>42</v>
      </c>
      <c r="V287" s="59" t="s">
        <v>18</v>
      </c>
      <c r="W287" s="53">
        <v>0.16</v>
      </c>
      <c r="X287" s="360">
        <v>0.16</v>
      </c>
      <c r="Y287" s="354"/>
      <c r="Z287" s="17" t="s">
        <v>48</v>
      </c>
      <c r="AA287" s="114" t="s">
        <v>28</v>
      </c>
      <c r="AB287" s="110"/>
      <c r="AC287" s="60"/>
    </row>
    <row r="288" spans="1:29" x14ac:dyDescent="0.25">
      <c r="A288" s="329">
        <v>45899</v>
      </c>
      <c r="B288" s="5">
        <v>3</v>
      </c>
      <c r="D288" s="5" t="s">
        <v>128</v>
      </c>
      <c r="E288" s="6">
        <v>0.91</v>
      </c>
      <c r="G288" s="362">
        <v>1</v>
      </c>
      <c r="H288" s="362">
        <v>1</v>
      </c>
      <c r="I288" s="8">
        <v>1.06</v>
      </c>
      <c r="L288" s="5" t="s">
        <v>193</v>
      </c>
      <c r="N288" s="345">
        <v>7</v>
      </c>
      <c r="O288" s="38" t="s">
        <v>193</v>
      </c>
      <c r="P288" s="5" t="s">
        <v>204</v>
      </c>
      <c r="Q288" s="5" t="s">
        <v>205</v>
      </c>
      <c r="R288" s="5" t="s">
        <v>686</v>
      </c>
      <c r="S288" s="7">
        <v>79</v>
      </c>
      <c r="T288" s="5" t="s">
        <v>41</v>
      </c>
      <c r="U288" s="5" t="s">
        <v>43</v>
      </c>
      <c r="V288" s="57" t="s">
        <v>18</v>
      </c>
      <c r="W288" s="51">
        <v>0.15</v>
      </c>
      <c r="X288" s="357">
        <v>0.42</v>
      </c>
      <c r="Z288" s="5" t="s">
        <v>8</v>
      </c>
      <c r="AA288" s="112" t="s">
        <v>9</v>
      </c>
    </row>
    <row r="289" spans="1:29" x14ac:dyDescent="0.25">
      <c r="A289" s="329">
        <v>45899</v>
      </c>
      <c r="B289" s="5">
        <v>3</v>
      </c>
      <c r="D289" s="5" t="s">
        <v>128</v>
      </c>
      <c r="E289" s="6">
        <v>0.91</v>
      </c>
      <c r="G289" s="362">
        <v>1</v>
      </c>
      <c r="H289" s="362">
        <v>1</v>
      </c>
      <c r="I289" s="8">
        <v>1.06</v>
      </c>
      <c r="L289" s="5" t="s">
        <v>193</v>
      </c>
      <c r="N289" s="519">
        <v>14</v>
      </c>
      <c r="O289" s="520" t="s">
        <v>128</v>
      </c>
      <c r="P289" s="506" t="s">
        <v>46</v>
      </c>
      <c r="Q289" s="506" t="s">
        <v>132</v>
      </c>
      <c r="R289" s="506" t="s">
        <v>686</v>
      </c>
      <c r="S289" s="479">
        <v>72</v>
      </c>
      <c r="T289" s="506" t="s">
        <v>41</v>
      </c>
      <c r="U289" s="506" t="s">
        <v>42</v>
      </c>
      <c r="V289" s="521" t="s">
        <v>7</v>
      </c>
      <c r="W289" s="51">
        <v>0.79</v>
      </c>
      <c r="X289" s="357">
        <v>0.74</v>
      </c>
      <c r="Y289" s="351" t="s">
        <v>353</v>
      </c>
      <c r="Z289" s="5" t="s">
        <v>8</v>
      </c>
      <c r="AA289" s="112" t="s">
        <v>51</v>
      </c>
    </row>
    <row r="290" spans="1:29" x14ac:dyDescent="0.25">
      <c r="A290" s="329">
        <v>45899</v>
      </c>
      <c r="B290" s="5">
        <v>3</v>
      </c>
      <c r="D290" s="5" t="s">
        <v>128</v>
      </c>
      <c r="E290" s="6">
        <v>0.91</v>
      </c>
      <c r="G290" s="362">
        <v>1</v>
      </c>
      <c r="H290" s="362">
        <v>1</v>
      </c>
      <c r="I290" s="8">
        <v>1.06</v>
      </c>
      <c r="L290" s="5" t="s">
        <v>193</v>
      </c>
      <c r="N290" s="345">
        <v>20</v>
      </c>
      <c r="O290" s="38" t="s">
        <v>193</v>
      </c>
      <c r="P290" s="5" t="s">
        <v>316</v>
      </c>
      <c r="Q290" s="5" t="s">
        <v>317</v>
      </c>
      <c r="R290" s="5" t="s">
        <v>688</v>
      </c>
      <c r="S290" s="481">
        <v>64</v>
      </c>
      <c r="T290" s="5" t="s">
        <v>41</v>
      </c>
      <c r="U290" s="5" t="s">
        <v>43</v>
      </c>
      <c r="V290" s="57" t="s">
        <v>10</v>
      </c>
      <c r="W290" s="51">
        <v>0.03</v>
      </c>
      <c r="X290" s="357" t="s">
        <v>53</v>
      </c>
      <c r="Z290" s="5" t="s">
        <v>16</v>
      </c>
      <c r="AA290" s="112" t="s">
        <v>51</v>
      </c>
    </row>
    <row r="291" spans="1:29" x14ac:dyDescent="0.25">
      <c r="A291" s="329">
        <v>45899</v>
      </c>
      <c r="B291" s="5">
        <v>3</v>
      </c>
      <c r="D291" s="5" t="s">
        <v>128</v>
      </c>
      <c r="E291" s="6">
        <v>0.91</v>
      </c>
      <c r="G291" s="362">
        <v>1</v>
      </c>
      <c r="H291" s="362">
        <v>1</v>
      </c>
      <c r="I291" s="8">
        <v>1.06</v>
      </c>
      <c r="L291" s="5" t="s">
        <v>193</v>
      </c>
      <c r="N291" s="345">
        <v>76</v>
      </c>
      <c r="O291" s="38" t="s">
        <v>193</v>
      </c>
      <c r="P291" s="5" t="s">
        <v>257</v>
      </c>
      <c r="Q291" s="5" t="s">
        <v>258</v>
      </c>
      <c r="R291" s="5" t="s">
        <v>718</v>
      </c>
      <c r="S291" s="459">
        <v>60</v>
      </c>
      <c r="T291" s="5" t="s">
        <v>41</v>
      </c>
      <c r="U291" s="5" t="s">
        <v>45</v>
      </c>
      <c r="V291" s="57" t="s">
        <v>10</v>
      </c>
      <c r="W291" s="51">
        <v>7.0000000000000007E-2</v>
      </c>
      <c r="X291" s="357">
        <v>0.24</v>
      </c>
      <c r="Z291" s="5" t="s">
        <v>48</v>
      </c>
      <c r="AA291" s="112" t="s">
        <v>51</v>
      </c>
    </row>
    <row r="292" spans="1:29" x14ac:dyDescent="0.25">
      <c r="A292" s="329">
        <v>45899</v>
      </c>
      <c r="B292" s="5">
        <v>3</v>
      </c>
      <c r="D292" s="5" t="s">
        <v>128</v>
      </c>
      <c r="E292" s="6">
        <v>0.91</v>
      </c>
      <c r="G292" s="362">
        <v>1</v>
      </c>
      <c r="H292" s="362">
        <v>1</v>
      </c>
      <c r="I292" s="8">
        <v>1.06</v>
      </c>
      <c r="L292" s="5" t="s">
        <v>193</v>
      </c>
      <c r="N292" s="345">
        <v>77</v>
      </c>
      <c r="O292" s="38" t="s">
        <v>193</v>
      </c>
      <c r="P292" s="5" t="s">
        <v>206</v>
      </c>
      <c r="Q292" s="5" t="s">
        <v>207</v>
      </c>
      <c r="R292" s="5" t="s">
        <v>696</v>
      </c>
      <c r="S292" s="479">
        <v>61</v>
      </c>
      <c r="T292" s="5" t="s">
        <v>47</v>
      </c>
      <c r="U292" s="5" t="s">
        <v>43</v>
      </c>
      <c r="V292" s="57" t="s">
        <v>20</v>
      </c>
      <c r="W292" s="51">
        <v>0.17</v>
      </c>
      <c r="X292" s="357" t="s">
        <v>53</v>
      </c>
      <c r="Y292" s="351" t="s">
        <v>353</v>
      </c>
      <c r="Z292" s="5" t="s">
        <v>17</v>
      </c>
      <c r="AA292" s="112" t="s">
        <v>51</v>
      </c>
    </row>
    <row r="293" spans="1:29" x14ac:dyDescent="0.25">
      <c r="A293" s="329">
        <v>45899</v>
      </c>
      <c r="B293" s="5">
        <v>3</v>
      </c>
      <c r="D293" s="5" t="s">
        <v>128</v>
      </c>
      <c r="E293" s="6">
        <v>0.91</v>
      </c>
      <c r="G293" s="362">
        <v>1</v>
      </c>
      <c r="H293" s="362">
        <v>1</v>
      </c>
      <c r="I293" s="8">
        <v>1.06</v>
      </c>
      <c r="L293" s="5" t="s">
        <v>193</v>
      </c>
      <c r="N293" s="345" t="s">
        <v>57</v>
      </c>
      <c r="O293" s="38" t="s">
        <v>193</v>
      </c>
      <c r="P293" s="5" t="s">
        <v>259</v>
      </c>
      <c r="Q293" s="5" t="s">
        <v>260</v>
      </c>
      <c r="R293" s="5" t="s">
        <v>689</v>
      </c>
      <c r="S293" s="7">
        <v>62</v>
      </c>
      <c r="T293" s="5" t="s">
        <v>41</v>
      </c>
      <c r="U293" s="5" t="s">
        <v>43</v>
      </c>
      <c r="V293" s="57" t="s">
        <v>10</v>
      </c>
      <c r="W293" s="51">
        <v>0.17</v>
      </c>
      <c r="X293" s="357">
        <v>0.61</v>
      </c>
      <c r="Z293" s="5" t="s">
        <v>48</v>
      </c>
      <c r="AA293" s="112" t="s">
        <v>51</v>
      </c>
    </row>
    <row r="294" spans="1:29" ht="15.75" thickBot="1" x14ac:dyDescent="0.3">
      <c r="A294" s="330">
        <v>45899</v>
      </c>
      <c r="B294" s="9">
        <v>3</v>
      </c>
      <c r="C294" s="122"/>
      <c r="D294" s="9" t="s">
        <v>128</v>
      </c>
      <c r="E294" s="10">
        <v>0.91</v>
      </c>
      <c r="F294" s="10"/>
      <c r="G294" s="383">
        <v>1</v>
      </c>
      <c r="H294" s="383">
        <v>1</v>
      </c>
      <c r="I294" s="12">
        <v>1.06</v>
      </c>
      <c r="J294" s="12"/>
      <c r="K294" s="122"/>
      <c r="L294" s="9" t="s">
        <v>193</v>
      </c>
      <c r="M294" s="45"/>
      <c r="N294" s="346" t="s">
        <v>82</v>
      </c>
      <c r="O294" s="454" t="s">
        <v>193</v>
      </c>
      <c r="P294" s="9" t="s">
        <v>318</v>
      </c>
      <c r="Q294" s="9" t="s">
        <v>319</v>
      </c>
      <c r="R294" s="9" t="s">
        <v>696</v>
      </c>
      <c r="S294" s="479">
        <v>61</v>
      </c>
      <c r="T294" s="9" t="s">
        <v>41</v>
      </c>
      <c r="U294" s="9" t="s">
        <v>42</v>
      </c>
      <c r="V294" s="58" t="s">
        <v>20</v>
      </c>
      <c r="W294" s="52">
        <v>0.05</v>
      </c>
      <c r="X294" s="358">
        <v>0.84</v>
      </c>
      <c r="Y294" s="352"/>
      <c r="Z294" s="9" t="s">
        <v>48</v>
      </c>
      <c r="AA294" s="113" t="s">
        <v>51</v>
      </c>
      <c r="AB294" s="109"/>
      <c r="AC294" s="58"/>
    </row>
    <row r="295" spans="1:29" ht="15.75" thickBot="1" x14ac:dyDescent="0.3">
      <c r="A295" s="326">
        <v>45899</v>
      </c>
      <c r="B295" s="207">
        <v>3</v>
      </c>
      <c r="C295" s="208"/>
      <c r="D295" s="207" t="s">
        <v>128</v>
      </c>
      <c r="E295" s="209">
        <v>0.91</v>
      </c>
      <c r="F295" s="209"/>
      <c r="G295" s="460">
        <v>1</v>
      </c>
      <c r="H295" s="460">
        <v>1</v>
      </c>
      <c r="I295" s="211">
        <v>1.06</v>
      </c>
      <c r="J295" s="211"/>
      <c r="K295" s="208"/>
      <c r="L295" s="207" t="s">
        <v>193</v>
      </c>
      <c r="M295" s="235"/>
      <c r="N295" s="347"/>
      <c r="O295" s="343" t="s">
        <v>128</v>
      </c>
      <c r="P295" s="199" t="s">
        <v>127</v>
      </c>
      <c r="Q295" s="199" t="s">
        <v>476</v>
      </c>
      <c r="R295" s="199" t="s">
        <v>707</v>
      </c>
      <c r="S295" s="7">
        <v>69</v>
      </c>
      <c r="T295" s="199"/>
      <c r="U295" s="199"/>
      <c r="V295" s="201"/>
      <c r="W295" s="202"/>
      <c r="X295" s="359"/>
      <c r="Y295" s="353">
        <f>H295</f>
        <v>1</v>
      </c>
      <c r="Z295" s="199"/>
      <c r="AA295" s="204"/>
      <c r="AB295" s="205"/>
      <c r="AC295" s="201"/>
    </row>
    <row r="296" spans="1:29" ht="15.75" thickBot="1" x14ac:dyDescent="0.3">
      <c r="A296" s="326">
        <v>45899</v>
      </c>
      <c r="B296" s="207">
        <v>3</v>
      </c>
      <c r="C296" s="208"/>
      <c r="D296" s="207" t="s">
        <v>128</v>
      </c>
      <c r="E296" s="209">
        <v>0.91</v>
      </c>
      <c r="F296" s="209"/>
      <c r="G296" s="460">
        <v>1</v>
      </c>
      <c r="H296" s="460">
        <v>1</v>
      </c>
      <c r="I296" s="211">
        <v>1.06</v>
      </c>
      <c r="J296" s="211"/>
      <c r="K296" s="208"/>
      <c r="L296" s="207" t="s">
        <v>193</v>
      </c>
      <c r="M296" s="235"/>
      <c r="N296" s="347"/>
      <c r="O296" s="343" t="s">
        <v>193</v>
      </c>
      <c r="P296" s="199" t="s">
        <v>580</v>
      </c>
      <c r="Q296" s="199" t="s">
        <v>581</v>
      </c>
      <c r="R296" s="199" t="s">
        <v>707</v>
      </c>
      <c r="S296" s="7">
        <v>62</v>
      </c>
      <c r="T296" s="199"/>
      <c r="U296" s="199"/>
      <c r="V296" s="201"/>
      <c r="W296" s="202"/>
      <c r="X296" s="359"/>
      <c r="Y296" s="353">
        <f>G295</f>
        <v>1</v>
      </c>
      <c r="Z296" s="199"/>
      <c r="AA296" s="204"/>
      <c r="AB296" s="205"/>
      <c r="AC296" s="201"/>
    </row>
    <row r="297" spans="1:29" x14ac:dyDescent="0.25">
      <c r="A297" s="328">
        <v>45899</v>
      </c>
      <c r="B297" s="17">
        <v>3</v>
      </c>
      <c r="C297" s="123" t="s">
        <v>693</v>
      </c>
      <c r="D297" s="17" t="s">
        <v>92</v>
      </c>
      <c r="E297" s="18">
        <v>0.5</v>
      </c>
      <c r="F297" s="18"/>
      <c r="G297" s="461">
        <v>1</v>
      </c>
      <c r="H297" s="461">
        <v>0</v>
      </c>
      <c r="I297" s="20">
        <v>1.07</v>
      </c>
      <c r="J297" s="20"/>
      <c r="K297" s="123" t="s">
        <v>694</v>
      </c>
      <c r="L297" s="17" t="s">
        <v>146</v>
      </c>
      <c r="M297" s="46"/>
      <c r="N297" s="348">
        <v>26</v>
      </c>
      <c r="O297" s="456" t="s">
        <v>146</v>
      </c>
      <c r="P297" s="17" t="s">
        <v>135</v>
      </c>
      <c r="Q297" s="17" t="s">
        <v>273</v>
      </c>
      <c r="R297" s="17" t="s">
        <v>689</v>
      </c>
      <c r="S297" s="479">
        <v>65</v>
      </c>
      <c r="T297" s="17" t="s">
        <v>41</v>
      </c>
      <c r="U297" s="17" t="s">
        <v>45</v>
      </c>
      <c r="V297" s="59" t="s">
        <v>20</v>
      </c>
      <c r="W297" s="53">
        <v>0.11</v>
      </c>
      <c r="X297" s="360" t="s">
        <v>53</v>
      </c>
      <c r="Y297" s="354"/>
      <c r="Z297" s="17" t="s">
        <v>52</v>
      </c>
      <c r="AA297" s="114" t="s">
        <v>28</v>
      </c>
      <c r="AB297" s="110"/>
      <c r="AC297" s="60"/>
    </row>
    <row r="298" spans="1:29" x14ac:dyDescent="0.25">
      <c r="A298" s="329">
        <v>45899</v>
      </c>
      <c r="B298" s="5">
        <v>3</v>
      </c>
      <c r="D298" s="5" t="s">
        <v>92</v>
      </c>
      <c r="E298" s="6">
        <v>0.5</v>
      </c>
      <c r="G298" s="362">
        <v>1</v>
      </c>
      <c r="H298" s="362">
        <v>0</v>
      </c>
      <c r="I298" s="8">
        <v>1.07</v>
      </c>
      <c r="L298" s="5" t="s">
        <v>146</v>
      </c>
      <c r="N298" s="345">
        <v>34</v>
      </c>
      <c r="O298" s="38" t="s">
        <v>146</v>
      </c>
      <c r="P298" s="5" t="s">
        <v>159</v>
      </c>
      <c r="Q298" s="5" t="s">
        <v>160</v>
      </c>
      <c r="R298" s="5" t="s">
        <v>717</v>
      </c>
      <c r="S298" s="479">
        <v>65</v>
      </c>
      <c r="T298" s="5" t="s">
        <v>41</v>
      </c>
      <c r="U298" s="5" t="s">
        <v>43</v>
      </c>
      <c r="V298" s="57" t="s">
        <v>10</v>
      </c>
      <c r="W298" s="51">
        <v>0.14000000000000001</v>
      </c>
      <c r="X298" s="357">
        <v>0.73</v>
      </c>
      <c r="Z298" s="5" t="s">
        <v>48</v>
      </c>
      <c r="AA298" s="112" t="s">
        <v>28</v>
      </c>
    </row>
    <row r="299" spans="1:29" x14ac:dyDescent="0.25">
      <c r="A299" s="329">
        <v>45899</v>
      </c>
      <c r="B299" s="5">
        <v>3</v>
      </c>
      <c r="D299" s="5" t="s">
        <v>92</v>
      </c>
      <c r="E299" s="6">
        <v>0.5</v>
      </c>
      <c r="G299" s="362">
        <v>1</v>
      </c>
      <c r="H299" s="362">
        <v>0</v>
      </c>
      <c r="I299" s="8">
        <v>1.07</v>
      </c>
      <c r="L299" s="5" t="s">
        <v>146</v>
      </c>
      <c r="N299" s="345">
        <v>35</v>
      </c>
      <c r="O299" s="38" t="s">
        <v>146</v>
      </c>
      <c r="P299" s="5" t="s">
        <v>159</v>
      </c>
      <c r="Q299" s="5" t="s">
        <v>160</v>
      </c>
      <c r="R299" s="5" t="s">
        <v>717</v>
      </c>
      <c r="S299" s="479">
        <v>65</v>
      </c>
      <c r="T299" s="5" t="s">
        <v>41</v>
      </c>
      <c r="U299" s="5" t="s">
        <v>45</v>
      </c>
      <c r="V299" s="57" t="s">
        <v>29</v>
      </c>
      <c r="W299" s="51">
        <v>0.1</v>
      </c>
      <c r="X299" s="357" t="s">
        <v>53</v>
      </c>
      <c r="Z299" s="5" t="s">
        <v>13</v>
      </c>
      <c r="AA299" s="112" t="s">
        <v>28</v>
      </c>
    </row>
    <row r="300" spans="1:29" x14ac:dyDescent="0.25">
      <c r="A300" s="329">
        <v>45899</v>
      </c>
      <c r="B300" s="5">
        <v>3</v>
      </c>
      <c r="D300" s="5" t="s">
        <v>92</v>
      </c>
      <c r="E300" s="6">
        <v>0.5</v>
      </c>
      <c r="G300" s="362">
        <v>1</v>
      </c>
      <c r="H300" s="362">
        <v>0</v>
      </c>
      <c r="I300" s="8">
        <v>1.07</v>
      </c>
      <c r="L300" s="5" t="s">
        <v>146</v>
      </c>
      <c r="N300" s="345">
        <v>36</v>
      </c>
      <c r="O300" s="38" t="s">
        <v>146</v>
      </c>
      <c r="P300" s="5" t="s">
        <v>155</v>
      </c>
      <c r="Q300" s="5" t="s">
        <v>156</v>
      </c>
      <c r="R300" s="5" t="s">
        <v>686</v>
      </c>
      <c r="S300" s="481">
        <v>67</v>
      </c>
      <c r="T300" s="5" t="s">
        <v>44</v>
      </c>
      <c r="U300" s="5" t="s">
        <v>42</v>
      </c>
      <c r="V300" s="57" t="s">
        <v>540</v>
      </c>
      <c r="W300" s="51">
        <v>7.0000000000000007E-2</v>
      </c>
      <c r="X300" s="357" t="s">
        <v>53</v>
      </c>
      <c r="Z300" s="5" t="s">
        <v>13</v>
      </c>
      <c r="AA300" s="112" t="s">
        <v>28</v>
      </c>
    </row>
    <row r="301" spans="1:29" x14ac:dyDescent="0.25">
      <c r="A301" s="329">
        <v>45899</v>
      </c>
      <c r="B301" s="5">
        <v>3</v>
      </c>
      <c r="D301" s="5" t="s">
        <v>92</v>
      </c>
      <c r="E301" s="6">
        <v>0.5</v>
      </c>
      <c r="G301" s="362">
        <v>1</v>
      </c>
      <c r="H301" s="362">
        <v>0</v>
      </c>
      <c r="I301" s="8">
        <v>1.07</v>
      </c>
      <c r="L301" s="5" t="s">
        <v>146</v>
      </c>
      <c r="N301" s="476">
        <v>40</v>
      </c>
      <c r="O301" s="477" t="s">
        <v>92</v>
      </c>
      <c r="P301" s="478" t="s">
        <v>320</v>
      </c>
      <c r="Q301" s="478" t="s">
        <v>321</v>
      </c>
      <c r="R301" s="478" t="s">
        <v>687</v>
      </c>
      <c r="S301" s="481">
        <v>81</v>
      </c>
      <c r="T301" s="478" t="s">
        <v>41</v>
      </c>
      <c r="U301" s="478" t="s">
        <v>43</v>
      </c>
      <c r="V301" s="480" t="s">
        <v>18</v>
      </c>
      <c r="W301" s="51">
        <v>0.22</v>
      </c>
      <c r="X301" s="357">
        <v>0.8</v>
      </c>
      <c r="Z301" s="5" t="s">
        <v>8</v>
      </c>
      <c r="AA301" s="112" t="s">
        <v>19</v>
      </c>
      <c r="AB301" s="108" t="s">
        <v>292</v>
      </c>
      <c r="AC301" s="57" t="s">
        <v>293</v>
      </c>
    </row>
    <row r="302" spans="1:29" x14ac:dyDescent="0.25">
      <c r="A302" s="329">
        <v>45899</v>
      </c>
      <c r="B302" s="5">
        <v>3</v>
      </c>
      <c r="D302" s="5" t="s">
        <v>92</v>
      </c>
      <c r="E302" s="6">
        <v>0.5</v>
      </c>
      <c r="G302" s="362">
        <v>1</v>
      </c>
      <c r="H302" s="362">
        <v>0</v>
      </c>
      <c r="I302" s="8">
        <v>1.07</v>
      </c>
      <c r="L302" s="5" t="s">
        <v>146</v>
      </c>
      <c r="N302" s="345">
        <v>55</v>
      </c>
      <c r="O302" s="38" t="s">
        <v>146</v>
      </c>
      <c r="P302" s="5" t="s">
        <v>157</v>
      </c>
      <c r="Q302" s="5" t="s">
        <v>158</v>
      </c>
      <c r="R302" s="5" t="s">
        <v>718</v>
      </c>
      <c r="S302" s="7">
        <v>64</v>
      </c>
      <c r="T302" s="5" t="s">
        <v>41</v>
      </c>
      <c r="U302" s="5" t="s">
        <v>42</v>
      </c>
      <c r="V302" s="57" t="s">
        <v>10</v>
      </c>
      <c r="W302" s="51">
        <v>0.05</v>
      </c>
      <c r="X302" s="357">
        <v>0.34</v>
      </c>
      <c r="Z302" s="5" t="s">
        <v>48</v>
      </c>
      <c r="AA302" s="112" t="s">
        <v>19</v>
      </c>
    </row>
    <row r="303" spans="1:29" x14ac:dyDescent="0.25">
      <c r="A303" s="329">
        <v>45899</v>
      </c>
      <c r="B303" s="5">
        <v>3</v>
      </c>
      <c r="D303" s="5" t="s">
        <v>92</v>
      </c>
      <c r="E303" s="6">
        <v>0.5</v>
      </c>
      <c r="G303" s="362">
        <v>1</v>
      </c>
      <c r="H303" s="362">
        <v>0</v>
      </c>
      <c r="I303" s="8">
        <v>1.07</v>
      </c>
      <c r="L303" s="5" t="s">
        <v>146</v>
      </c>
      <c r="N303" s="345">
        <v>55</v>
      </c>
      <c r="O303" s="38" t="s">
        <v>146</v>
      </c>
      <c r="P303" s="5" t="s">
        <v>159</v>
      </c>
      <c r="Q303" s="5" t="s">
        <v>160</v>
      </c>
      <c r="R303" s="5" t="s">
        <v>718</v>
      </c>
      <c r="S303" s="7">
        <v>65</v>
      </c>
      <c r="T303" s="5" t="s">
        <v>47</v>
      </c>
      <c r="U303" s="5" t="s">
        <v>42</v>
      </c>
      <c r="V303" s="57" t="s">
        <v>20</v>
      </c>
      <c r="W303" s="51">
        <v>0.21</v>
      </c>
      <c r="X303" s="357">
        <v>0.91</v>
      </c>
      <c r="Z303" s="5" t="s">
        <v>48</v>
      </c>
      <c r="AA303" s="112" t="s">
        <v>19</v>
      </c>
    </row>
    <row r="304" spans="1:29" ht="15.75" thickBot="1" x14ac:dyDescent="0.3">
      <c r="A304" s="330">
        <v>45899</v>
      </c>
      <c r="B304" s="9">
        <v>3</v>
      </c>
      <c r="C304" s="122"/>
      <c r="D304" s="9" t="s">
        <v>92</v>
      </c>
      <c r="E304" s="10">
        <v>0.5</v>
      </c>
      <c r="F304" s="10"/>
      <c r="G304" s="383">
        <v>1</v>
      </c>
      <c r="H304" s="383">
        <v>0</v>
      </c>
      <c r="I304" s="12">
        <v>1.07</v>
      </c>
      <c r="J304" s="12"/>
      <c r="K304" s="122"/>
      <c r="L304" s="9" t="s">
        <v>146</v>
      </c>
      <c r="M304" s="45"/>
      <c r="N304" s="511">
        <v>58</v>
      </c>
      <c r="O304" s="512" t="s">
        <v>92</v>
      </c>
      <c r="P304" s="513" t="s">
        <v>292</v>
      </c>
      <c r="Q304" s="513" t="s">
        <v>293</v>
      </c>
      <c r="R304" s="513" t="s">
        <v>696</v>
      </c>
      <c r="S304" s="479">
        <v>81</v>
      </c>
      <c r="T304" s="513" t="s">
        <v>41</v>
      </c>
      <c r="U304" s="513" t="s">
        <v>43</v>
      </c>
      <c r="V304" s="514" t="s">
        <v>10</v>
      </c>
      <c r="W304" s="52">
        <v>0.03</v>
      </c>
      <c r="X304" s="358" t="s">
        <v>53</v>
      </c>
      <c r="Y304" s="352"/>
      <c r="Z304" s="9" t="s">
        <v>17</v>
      </c>
      <c r="AA304" s="113" t="s">
        <v>19</v>
      </c>
      <c r="AB304" s="109"/>
      <c r="AC304" s="58"/>
    </row>
    <row r="305" spans="1:29" ht="15.75" thickBot="1" x14ac:dyDescent="0.3">
      <c r="A305" s="326">
        <v>45899</v>
      </c>
      <c r="B305" s="207">
        <v>3</v>
      </c>
      <c r="C305" s="208"/>
      <c r="D305" s="207" t="s">
        <v>92</v>
      </c>
      <c r="E305" s="209">
        <v>0.5</v>
      </c>
      <c r="F305" s="209"/>
      <c r="G305" s="460">
        <v>1</v>
      </c>
      <c r="H305" s="460">
        <v>0</v>
      </c>
      <c r="I305" s="211">
        <v>1.07</v>
      </c>
      <c r="J305" s="211"/>
      <c r="K305" s="208"/>
      <c r="L305" s="207" t="s">
        <v>146</v>
      </c>
      <c r="M305" s="235"/>
      <c r="N305" s="347"/>
      <c r="O305" s="343" t="s">
        <v>92</v>
      </c>
      <c r="P305" s="199" t="s">
        <v>432</v>
      </c>
      <c r="Q305" s="199" t="s">
        <v>472</v>
      </c>
      <c r="R305" s="199" t="s">
        <v>707</v>
      </c>
      <c r="S305" s="7">
        <v>81</v>
      </c>
      <c r="T305" s="199"/>
      <c r="U305" s="199"/>
      <c r="V305" s="201"/>
      <c r="W305" s="202"/>
      <c r="X305" s="359"/>
      <c r="Y305" s="353">
        <f>H305</f>
        <v>0</v>
      </c>
      <c r="Z305" s="199"/>
      <c r="AA305" s="204"/>
      <c r="AB305" s="205"/>
      <c r="AC305" s="201"/>
    </row>
    <row r="306" spans="1:29" ht="15.75" thickBot="1" x14ac:dyDescent="0.3">
      <c r="A306" s="326">
        <v>45899</v>
      </c>
      <c r="B306" s="207">
        <v>3</v>
      </c>
      <c r="C306" s="208"/>
      <c r="D306" s="207" t="s">
        <v>92</v>
      </c>
      <c r="E306" s="209">
        <v>0.5</v>
      </c>
      <c r="F306" s="209"/>
      <c r="G306" s="460">
        <v>1</v>
      </c>
      <c r="H306" s="460">
        <v>0</v>
      </c>
      <c r="I306" s="211">
        <v>1.07</v>
      </c>
      <c r="J306" s="211"/>
      <c r="K306" s="208"/>
      <c r="L306" s="207" t="s">
        <v>146</v>
      </c>
      <c r="M306" s="235"/>
      <c r="N306" s="347"/>
      <c r="O306" s="343" t="s">
        <v>146</v>
      </c>
      <c r="P306" s="199" t="s">
        <v>176</v>
      </c>
      <c r="Q306" s="199" t="s">
        <v>423</v>
      </c>
      <c r="R306" s="199" t="s">
        <v>707</v>
      </c>
      <c r="S306" s="7">
        <v>58</v>
      </c>
      <c r="T306" s="199"/>
      <c r="U306" s="199"/>
      <c r="V306" s="201"/>
      <c r="W306" s="202"/>
      <c r="X306" s="359"/>
      <c r="Y306" s="353">
        <f>G305</f>
        <v>1</v>
      </c>
      <c r="Z306" s="199"/>
      <c r="AA306" s="204"/>
      <c r="AB306" s="205"/>
      <c r="AC306" s="201"/>
    </row>
    <row r="307" spans="1:29" x14ac:dyDescent="0.25">
      <c r="A307" s="328">
        <v>45899</v>
      </c>
      <c r="B307" s="17">
        <v>3</v>
      </c>
      <c r="C307" s="123" t="s">
        <v>693</v>
      </c>
      <c r="D307" s="17" t="s">
        <v>69</v>
      </c>
      <c r="E307" s="18">
        <v>2.13</v>
      </c>
      <c r="F307" s="18"/>
      <c r="G307" s="461">
        <v>0</v>
      </c>
      <c r="H307" s="461">
        <v>2</v>
      </c>
      <c r="I307" s="20">
        <v>1.32</v>
      </c>
      <c r="J307" s="20"/>
      <c r="K307" s="123" t="s">
        <v>693</v>
      </c>
      <c r="L307" s="17" t="s">
        <v>171</v>
      </c>
      <c r="M307" s="46"/>
      <c r="N307" s="507">
        <v>5</v>
      </c>
      <c r="O307" s="508" t="s">
        <v>69</v>
      </c>
      <c r="P307" s="517" t="s">
        <v>176</v>
      </c>
      <c r="Q307" s="517" t="s">
        <v>99</v>
      </c>
      <c r="R307" s="517" t="s">
        <v>688</v>
      </c>
      <c r="S307" s="479">
        <v>55</v>
      </c>
      <c r="T307" s="509" t="s">
        <v>354</v>
      </c>
      <c r="U307" s="509" t="s">
        <v>43</v>
      </c>
      <c r="V307" s="510" t="s">
        <v>10</v>
      </c>
      <c r="W307" s="53">
        <v>0.01</v>
      </c>
      <c r="X307" s="360">
        <v>0.1</v>
      </c>
      <c r="Y307" s="354"/>
      <c r="Z307" s="17" t="s">
        <v>48</v>
      </c>
      <c r="AA307" s="114" t="s">
        <v>28</v>
      </c>
      <c r="AB307" s="110"/>
      <c r="AC307" s="60"/>
    </row>
    <row r="308" spans="1:29" x14ac:dyDescent="0.25">
      <c r="A308" s="329">
        <v>45899</v>
      </c>
      <c r="B308" s="5">
        <v>3</v>
      </c>
      <c r="D308" s="5" t="s">
        <v>69</v>
      </c>
      <c r="E308" s="6">
        <v>2.13</v>
      </c>
      <c r="G308" s="362">
        <v>0</v>
      </c>
      <c r="H308" s="362">
        <v>2</v>
      </c>
      <c r="I308" s="8">
        <v>1.32</v>
      </c>
      <c r="L308" s="5" t="s">
        <v>171</v>
      </c>
      <c r="N308" s="345">
        <v>28</v>
      </c>
      <c r="O308" s="38" t="s">
        <v>171</v>
      </c>
      <c r="P308" s="453" t="s">
        <v>326</v>
      </c>
      <c r="Q308" s="453" t="s">
        <v>327</v>
      </c>
      <c r="R308" s="453" t="s">
        <v>685</v>
      </c>
      <c r="S308" s="479">
        <v>82</v>
      </c>
      <c r="T308" s="5" t="s">
        <v>354</v>
      </c>
      <c r="U308" s="5" t="s">
        <v>42</v>
      </c>
      <c r="V308" s="57" t="s">
        <v>10</v>
      </c>
      <c r="W308" s="51">
        <v>0.03</v>
      </c>
      <c r="X308" s="357">
        <v>0.09</v>
      </c>
      <c r="Z308" s="5" t="s">
        <v>48</v>
      </c>
      <c r="AA308" s="112" t="s">
        <v>28</v>
      </c>
    </row>
    <row r="309" spans="1:29" x14ac:dyDescent="0.25">
      <c r="A309" s="329">
        <v>45899</v>
      </c>
      <c r="B309" s="5">
        <v>3</v>
      </c>
      <c r="D309" s="5" t="s">
        <v>69</v>
      </c>
      <c r="E309" s="6">
        <v>2.13</v>
      </c>
      <c r="G309" s="362">
        <v>0</v>
      </c>
      <c r="H309" s="362">
        <v>2</v>
      </c>
      <c r="I309" s="8">
        <v>1.32</v>
      </c>
      <c r="L309" s="5" t="s">
        <v>171</v>
      </c>
      <c r="N309" s="345">
        <v>30</v>
      </c>
      <c r="O309" s="38" t="s">
        <v>171</v>
      </c>
      <c r="P309" s="453" t="s">
        <v>326</v>
      </c>
      <c r="Q309" s="453" t="s">
        <v>327</v>
      </c>
      <c r="R309" s="453" t="s">
        <v>685</v>
      </c>
      <c r="S309" s="7">
        <v>82</v>
      </c>
      <c r="T309" s="5" t="s">
        <v>41</v>
      </c>
      <c r="U309" s="5" t="s">
        <v>42</v>
      </c>
      <c r="V309" s="57" t="s">
        <v>10</v>
      </c>
      <c r="W309" s="51">
        <v>0.14000000000000001</v>
      </c>
      <c r="X309" s="357">
        <v>0.34</v>
      </c>
      <c r="Z309" s="5" t="s">
        <v>8</v>
      </c>
      <c r="AA309" s="112" t="s">
        <v>9</v>
      </c>
      <c r="AB309" s="108" t="s">
        <v>328</v>
      </c>
      <c r="AC309" s="57" t="s">
        <v>329</v>
      </c>
    </row>
    <row r="310" spans="1:29" x14ac:dyDescent="0.25">
      <c r="A310" s="329">
        <v>45899</v>
      </c>
      <c r="B310" s="5">
        <v>3</v>
      </c>
      <c r="D310" s="5" t="s">
        <v>69</v>
      </c>
      <c r="E310" s="6">
        <v>2.13</v>
      </c>
      <c r="G310" s="362">
        <v>0</v>
      </c>
      <c r="H310" s="362">
        <v>2</v>
      </c>
      <c r="I310" s="8">
        <v>1.32</v>
      </c>
      <c r="L310" s="5" t="s">
        <v>171</v>
      </c>
      <c r="N310" s="345">
        <v>41</v>
      </c>
      <c r="O310" s="38" t="s">
        <v>171</v>
      </c>
      <c r="P310" s="453" t="s">
        <v>328</v>
      </c>
      <c r="Q310" s="453" t="s">
        <v>329</v>
      </c>
      <c r="R310" s="453" t="s">
        <v>699</v>
      </c>
      <c r="S310" s="479">
        <v>76</v>
      </c>
      <c r="T310" s="5" t="s">
        <v>41</v>
      </c>
      <c r="U310" s="5" t="s">
        <v>43</v>
      </c>
      <c r="V310" s="57" t="s">
        <v>18</v>
      </c>
      <c r="W310" s="51">
        <v>0.15</v>
      </c>
      <c r="X310" s="357" t="s">
        <v>53</v>
      </c>
      <c r="Z310" s="5" t="s">
        <v>13</v>
      </c>
      <c r="AA310" s="112" t="s">
        <v>9</v>
      </c>
    </row>
    <row r="311" spans="1:29" x14ac:dyDescent="0.25">
      <c r="A311" s="329">
        <v>45899</v>
      </c>
      <c r="B311" s="5">
        <v>3</v>
      </c>
      <c r="D311" s="5" t="s">
        <v>69</v>
      </c>
      <c r="E311" s="6">
        <v>2.13</v>
      </c>
      <c r="G311" s="362">
        <v>0</v>
      </c>
      <c r="H311" s="362">
        <v>2</v>
      </c>
      <c r="I311" s="8">
        <v>1.32</v>
      </c>
      <c r="L311" s="5" t="s">
        <v>171</v>
      </c>
      <c r="N311" s="345">
        <v>44</v>
      </c>
      <c r="O311" s="38" t="s">
        <v>171</v>
      </c>
      <c r="P311" s="453" t="s">
        <v>190</v>
      </c>
      <c r="Q311" s="453" t="s">
        <v>191</v>
      </c>
      <c r="R311" s="453" t="s">
        <v>684</v>
      </c>
      <c r="S311" s="7">
        <v>77</v>
      </c>
      <c r="T311" s="5" t="s">
        <v>41</v>
      </c>
      <c r="U311" s="5" t="s">
        <v>43</v>
      </c>
      <c r="V311" s="57" t="s">
        <v>10</v>
      </c>
      <c r="W311" s="51">
        <v>0.28999999999999998</v>
      </c>
      <c r="X311" s="357" t="s">
        <v>53</v>
      </c>
      <c r="Y311" s="351" t="s">
        <v>353</v>
      </c>
      <c r="Z311" s="5" t="s">
        <v>17</v>
      </c>
      <c r="AA311" s="112" t="s">
        <v>9</v>
      </c>
    </row>
    <row r="312" spans="1:29" x14ac:dyDescent="0.25">
      <c r="A312" s="329">
        <v>45899</v>
      </c>
      <c r="B312" s="5">
        <v>3</v>
      </c>
      <c r="D312" s="5" t="s">
        <v>69</v>
      </c>
      <c r="E312" s="6">
        <v>2.13</v>
      </c>
      <c r="G312" s="362">
        <v>0</v>
      </c>
      <c r="H312" s="362">
        <v>2</v>
      </c>
      <c r="I312" s="8">
        <v>1.32</v>
      </c>
      <c r="L312" s="5" t="s">
        <v>171</v>
      </c>
      <c r="N312" s="345">
        <v>44</v>
      </c>
      <c r="O312" s="38" t="s">
        <v>171</v>
      </c>
      <c r="P312" s="453" t="s">
        <v>183</v>
      </c>
      <c r="Q312" s="453" t="s">
        <v>184</v>
      </c>
      <c r="R312" s="453" t="s">
        <v>687</v>
      </c>
      <c r="S312" s="479">
        <v>68</v>
      </c>
      <c r="T312" s="5" t="s">
        <v>354</v>
      </c>
      <c r="U312" s="5" t="s">
        <v>42</v>
      </c>
      <c r="V312" s="57" t="s">
        <v>10</v>
      </c>
      <c r="W312" s="51">
        <v>0.02</v>
      </c>
      <c r="X312" s="357" t="s">
        <v>53</v>
      </c>
      <c r="Z312" s="5" t="s">
        <v>22</v>
      </c>
      <c r="AA312" s="112" t="s">
        <v>9</v>
      </c>
    </row>
    <row r="313" spans="1:29" x14ac:dyDescent="0.25">
      <c r="A313" s="329">
        <v>45899</v>
      </c>
      <c r="B313" s="5">
        <v>3</v>
      </c>
      <c r="D313" s="5" t="s">
        <v>69</v>
      </c>
      <c r="E313" s="6">
        <v>2.13</v>
      </c>
      <c r="G313" s="362">
        <v>0</v>
      </c>
      <c r="H313" s="362">
        <v>2</v>
      </c>
      <c r="I313" s="8">
        <v>1.32</v>
      </c>
      <c r="L313" s="5" t="s">
        <v>171</v>
      </c>
      <c r="N313" s="476">
        <v>52</v>
      </c>
      <c r="O313" s="477" t="s">
        <v>69</v>
      </c>
      <c r="P313" s="506" t="s">
        <v>316</v>
      </c>
      <c r="Q313" s="506" t="s">
        <v>150</v>
      </c>
      <c r="R313" s="506" t="s">
        <v>712</v>
      </c>
      <c r="S313" s="479">
        <v>58</v>
      </c>
      <c r="T313" s="478" t="s">
        <v>47</v>
      </c>
      <c r="U313" s="478" t="s">
        <v>42</v>
      </c>
      <c r="V313" s="480" t="s">
        <v>20</v>
      </c>
      <c r="W313" s="51">
        <v>0.56999999999999995</v>
      </c>
      <c r="X313" s="357">
        <v>0.8</v>
      </c>
      <c r="Y313" s="351" t="s">
        <v>353</v>
      </c>
      <c r="Z313" s="5" t="s">
        <v>48</v>
      </c>
      <c r="AA313" s="112" t="s">
        <v>9</v>
      </c>
    </row>
    <row r="314" spans="1:29" x14ac:dyDescent="0.25">
      <c r="A314" s="329">
        <v>45899</v>
      </c>
      <c r="B314" s="5">
        <v>3</v>
      </c>
      <c r="D314" s="5" t="s">
        <v>69</v>
      </c>
      <c r="E314" s="6">
        <v>2.13</v>
      </c>
      <c r="G314" s="362">
        <v>0</v>
      </c>
      <c r="H314" s="362">
        <v>2</v>
      </c>
      <c r="I314" s="8">
        <v>1.32</v>
      </c>
      <c r="L314" s="5" t="s">
        <v>171</v>
      </c>
      <c r="N314" s="345">
        <v>55</v>
      </c>
      <c r="O314" s="38" t="s">
        <v>171</v>
      </c>
      <c r="P314" s="453" t="s">
        <v>190</v>
      </c>
      <c r="Q314" s="453" t="s">
        <v>191</v>
      </c>
      <c r="R314" s="453" t="s">
        <v>684</v>
      </c>
      <c r="S314" s="7">
        <v>77</v>
      </c>
      <c r="T314" s="5" t="s">
        <v>41</v>
      </c>
      <c r="U314" s="5" t="s">
        <v>43</v>
      </c>
      <c r="V314" s="57" t="s">
        <v>18</v>
      </c>
      <c r="W314" s="51">
        <v>0.36</v>
      </c>
      <c r="X314" s="357">
        <v>0.64</v>
      </c>
      <c r="Y314" s="351" t="s">
        <v>353</v>
      </c>
      <c r="Z314" s="5" t="s">
        <v>8</v>
      </c>
      <c r="AA314" s="112" t="s">
        <v>11</v>
      </c>
      <c r="AB314" s="108" t="s">
        <v>328</v>
      </c>
      <c r="AC314" s="57" t="s">
        <v>329</v>
      </c>
    </row>
    <row r="315" spans="1:29" x14ac:dyDescent="0.25">
      <c r="A315" s="329">
        <v>45899</v>
      </c>
      <c r="B315" s="5">
        <v>3</v>
      </c>
      <c r="D315" s="5" t="s">
        <v>69</v>
      </c>
      <c r="E315" s="6">
        <v>2.13</v>
      </c>
      <c r="G315" s="362">
        <v>0</v>
      </c>
      <c r="H315" s="362">
        <v>2</v>
      </c>
      <c r="I315" s="8">
        <v>1.32</v>
      </c>
      <c r="L315" s="5" t="s">
        <v>171</v>
      </c>
      <c r="N315" s="476">
        <v>60</v>
      </c>
      <c r="O315" s="477" t="s">
        <v>69</v>
      </c>
      <c r="P315" s="506" t="s">
        <v>322</v>
      </c>
      <c r="Q315" s="506" t="s">
        <v>323</v>
      </c>
      <c r="R315" s="506" t="s">
        <v>686</v>
      </c>
      <c r="S315" s="479">
        <v>75</v>
      </c>
      <c r="T315" s="478" t="s">
        <v>354</v>
      </c>
      <c r="U315" s="478" t="s">
        <v>43</v>
      </c>
      <c r="V315" s="480" t="s">
        <v>33</v>
      </c>
      <c r="W315" s="51">
        <v>0.02</v>
      </c>
      <c r="X315" s="357">
        <v>0.13</v>
      </c>
      <c r="Z315" s="5" t="s">
        <v>48</v>
      </c>
      <c r="AA315" s="112" t="s">
        <v>11</v>
      </c>
    </row>
    <row r="316" spans="1:29" x14ac:dyDescent="0.25">
      <c r="A316" s="329">
        <v>45899</v>
      </c>
      <c r="B316" s="5">
        <v>3</v>
      </c>
      <c r="D316" s="5" t="s">
        <v>69</v>
      </c>
      <c r="E316" s="6">
        <v>2.13</v>
      </c>
      <c r="G316" s="362">
        <v>0</v>
      </c>
      <c r="H316" s="362">
        <v>2</v>
      </c>
      <c r="I316" s="8">
        <v>1.32</v>
      </c>
      <c r="L316" s="5" t="s">
        <v>171</v>
      </c>
      <c r="N316" s="476">
        <v>90</v>
      </c>
      <c r="O316" s="477" t="s">
        <v>69</v>
      </c>
      <c r="P316" s="506" t="s">
        <v>53</v>
      </c>
      <c r="Q316" s="506" t="s">
        <v>324</v>
      </c>
      <c r="R316" s="506" t="s">
        <v>696</v>
      </c>
      <c r="S316" s="481">
        <v>65</v>
      </c>
      <c r="T316" s="478" t="s">
        <v>41</v>
      </c>
      <c r="U316" s="478" t="s">
        <v>43</v>
      </c>
      <c r="V316" s="480" t="s">
        <v>10</v>
      </c>
      <c r="W316" s="51">
        <v>0.14000000000000001</v>
      </c>
      <c r="X316" s="357" t="s">
        <v>53</v>
      </c>
      <c r="Z316" s="5" t="s">
        <v>52</v>
      </c>
      <c r="AA316" s="112" t="s">
        <v>11</v>
      </c>
    </row>
    <row r="317" spans="1:29" x14ac:dyDescent="0.25">
      <c r="A317" s="329">
        <v>45899</v>
      </c>
      <c r="B317" s="5">
        <v>3</v>
      </c>
      <c r="D317" s="5" t="s">
        <v>69</v>
      </c>
      <c r="E317" s="6">
        <v>2.13</v>
      </c>
      <c r="G317" s="362">
        <v>0</v>
      </c>
      <c r="H317" s="362">
        <v>2</v>
      </c>
      <c r="I317" s="8">
        <v>1.32</v>
      </c>
      <c r="L317" s="5" t="s">
        <v>171</v>
      </c>
      <c r="N317" s="476" t="s">
        <v>35</v>
      </c>
      <c r="O317" s="477" t="s">
        <v>69</v>
      </c>
      <c r="P317" s="506" t="s">
        <v>147</v>
      </c>
      <c r="Q317" s="506" t="s">
        <v>325</v>
      </c>
      <c r="R317" s="506" t="s">
        <v>696</v>
      </c>
      <c r="S317" s="481">
        <v>62</v>
      </c>
      <c r="T317" s="478" t="s">
        <v>47</v>
      </c>
      <c r="U317" s="478" t="s">
        <v>42</v>
      </c>
      <c r="V317" s="480" t="s">
        <v>20</v>
      </c>
      <c r="W317" s="51">
        <v>0.32</v>
      </c>
      <c r="X317" s="357" t="s">
        <v>53</v>
      </c>
      <c r="Y317" s="351" t="s">
        <v>353</v>
      </c>
      <c r="Z317" s="5" t="s">
        <v>13</v>
      </c>
      <c r="AA317" s="112" t="s">
        <v>11</v>
      </c>
    </row>
    <row r="318" spans="1:29" x14ac:dyDescent="0.25">
      <c r="A318" s="329">
        <v>45899</v>
      </c>
      <c r="B318" s="5">
        <v>3</v>
      </c>
      <c r="D318" s="5" t="s">
        <v>69</v>
      </c>
      <c r="E318" s="6">
        <v>2.13</v>
      </c>
      <c r="G318" s="362">
        <v>0</v>
      </c>
      <c r="H318" s="362">
        <v>2</v>
      </c>
      <c r="I318" s="8">
        <v>1.32</v>
      </c>
      <c r="L318" s="5" t="s">
        <v>171</v>
      </c>
      <c r="N318" s="476" t="s">
        <v>36</v>
      </c>
      <c r="O318" s="477" t="s">
        <v>69</v>
      </c>
      <c r="P318" s="506" t="s">
        <v>147</v>
      </c>
      <c r="Q318" s="506" t="s">
        <v>325</v>
      </c>
      <c r="R318" s="506" t="s">
        <v>696</v>
      </c>
      <c r="S318" s="479">
        <v>62</v>
      </c>
      <c r="T318" s="478" t="s">
        <v>41</v>
      </c>
      <c r="U318" s="478" t="s">
        <v>45</v>
      </c>
      <c r="V318" s="480" t="s">
        <v>10</v>
      </c>
      <c r="W318" s="51">
        <v>0.13</v>
      </c>
      <c r="X318" s="357" t="s">
        <v>53</v>
      </c>
      <c r="Z318" s="5" t="s">
        <v>13</v>
      </c>
      <c r="AA318" s="112" t="s">
        <v>11</v>
      </c>
    </row>
    <row r="319" spans="1:29" ht="15.75" thickBot="1" x14ac:dyDescent="0.3">
      <c r="A319" s="330">
        <v>45899</v>
      </c>
      <c r="B319" s="9">
        <v>3</v>
      </c>
      <c r="C319" s="122"/>
      <c r="D319" s="9" t="s">
        <v>69</v>
      </c>
      <c r="E319" s="10">
        <v>2.13</v>
      </c>
      <c r="F319" s="10"/>
      <c r="G319" s="383">
        <v>0</v>
      </c>
      <c r="H319" s="383">
        <v>2</v>
      </c>
      <c r="I319" s="12">
        <v>1.32</v>
      </c>
      <c r="J319" s="12"/>
      <c r="K319" s="122"/>
      <c r="L319" s="9" t="s">
        <v>171</v>
      </c>
      <c r="M319" s="45"/>
      <c r="N319" s="511" t="s">
        <v>36</v>
      </c>
      <c r="O319" s="512" t="s">
        <v>69</v>
      </c>
      <c r="P319" s="524" t="s">
        <v>176</v>
      </c>
      <c r="Q319" s="524" t="s">
        <v>99</v>
      </c>
      <c r="R319" s="524" t="s">
        <v>688</v>
      </c>
      <c r="S319" s="479">
        <v>55</v>
      </c>
      <c r="T319" s="513" t="s">
        <v>47</v>
      </c>
      <c r="U319" s="513" t="s">
        <v>45</v>
      </c>
      <c r="V319" s="514" t="s">
        <v>10</v>
      </c>
      <c r="W319" s="52">
        <v>0.54</v>
      </c>
      <c r="X319" s="358">
        <v>0.88</v>
      </c>
      <c r="Y319" s="352" t="s">
        <v>353</v>
      </c>
      <c r="Z319" s="9" t="s">
        <v>48</v>
      </c>
      <c r="AA319" s="113" t="s">
        <v>11</v>
      </c>
      <c r="AB319" s="109"/>
      <c r="AC319" s="58"/>
    </row>
    <row r="320" spans="1:29" ht="15.75" thickBot="1" x14ac:dyDescent="0.3">
      <c r="A320" s="326">
        <v>45899</v>
      </c>
      <c r="B320" s="207">
        <v>3</v>
      </c>
      <c r="C320" s="208"/>
      <c r="D320" s="207" t="s">
        <v>69</v>
      </c>
      <c r="E320" s="209">
        <v>2.13</v>
      </c>
      <c r="F320" s="209"/>
      <c r="G320" s="460">
        <v>0</v>
      </c>
      <c r="H320" s="460">
        <v>2</v>
      </c>
      <c r="I320" s="211">
        <v>1.32</v>
      </c>
      <c r="J320" s="211"/>
      <c r="K320" s="208"/>
      <c r="L320" s="207" t="s">
        <v>171</v>
      </c>
      <c r="M320" s="235"/>
      <c r="N320" s="347"/>
      <c r="O320" s="343" t="s">
        <v>69</v>
      </c>
      <c r="P320" s="199" t="s">
        <v>478</v>
      </c>
      <c r="Q320" s="199" t="s">
        <v>479</v>
      </c>
      <c r="R320" s="199" t="s">
        <v>707</v>
      </c>
      <c r="S320" s="479">
        <v>60</v>
      </c>
      <c r="T320" s="199"/>
      <c r="U320" s="199"/>
      <c r="V320" s="201"/>
      <c r="W320" s="202"/>
      <c r="X320" s="359"/>
      <c r="Y320" s="353">
        <f>H320</f>
        <v>2</v>
      </c>
      <c r="Z320" s="199"/>
      <c r="AA320" s="204"/>
      <c r="AB320" s="205"/>
      <c r="AC320" s="201"/>
    </row>
    <row r="321" spans="1:29" ht="15.75" thickBot="1" x14ac:dyDescent="0.3">
      <c r="A321" s="326">
        <v>45899</v>
      </c>
      <c r="B321" s="207">
        <v>3</v>
      </c>
      <c r="C321" s="208"/>
      <c r="D321" s="207" t="s">
        <v>69</v>
      </c>
      <c r="E321" s="209">
        <v>2.13</v>
      </c>
      <c r="F321" s="209"/>
      <c r="G321" s="460">
        <v>0</v>
      </c>
      <c r="H321" s="460">
        <v>2</v>
      </c>
      <c r="I321" s="211">
        <v>1.32</v>
      </c>
      <c r="J321" s="211"/>
      <c r="K321" s="208"/>
      <c r="L321" s="207" t="s">
        <v>171</v>
      </c>
      <c r="M321" s="235"/>
      <c r="N321" s="465"/>
      <c r="O321" s="466" t="s">
        <v>171</v>
      </c>
      <c r="P321" s="467" t="s">
        <v>473</v>
      </c>
      <c r="Q321" s="467" t="s">
        <v>474</v>
      </c>
      <c r="R321" s="467" t="s">
        <v>707</v>
      </c>
      <c r="S321" s="549">
        <v>76</v>
      </c>
      <c r="T321" s="467"/>
      <c r="U321" s="467"/>
      <c r="V321" s="468"/>
      <c r="W321" s="469"/>
      <c r="X321" s="470"/>
      <c r="Y321" s="471">
        <f>G320</f>
        <v>0</v>
      </c>
      <c r="Z321" s="467"/>
      <c r="AA321" s="472"/>
      <c r="AB321" s="205"/>
      <c r="AC321" s="201"/>
    </row>
    <row r="322" spans="1:29" x14ac:dyDescent="0.25">
      <c r="A322" s="328">
        <v>45899</v>
      </c>
      <c r="B322" s="17">
        <v>3</v>
      </c>
      <c r="C322" s="123" t="s">
        <v>693</v>
      </c>
      <c r="D322" s="17" t="s">
        <v>226</v>
      </c>
      <c r="E322" s="18">
        <v>1.82</v>
      </c>
      <c r="F322" s="18"/>
      <c r="G322" s="461">
        <v>2</v>
      </c>
      <c r="H322" s="461">
        <v>1</v>
      </c>
      <c r="I322" s="20">
        <v>0.72</v>
      </c>
      <c r="J322" s="20"/>
      <c r="K322" s="123" t="s">
        <v>701</v>
      </c>
      <c r="L322" s="17" t="s">
        <v>112</v>
      </c>
      <c r="M322" s="46"/>
      <c r="N322" s="348">
        <v>18</v>
      </c>
      <c r="O322" s="456" t="s">
        <v>112</v>
      </c>
      <c r="P322" s="17" t="s">
        <v>114</v>
      </c>
      <c r="Q322" s="17" t="s">
        <v>115</v>
      </c>
      <c r="R322" s="17" t="s">
        <v>717</v>
      </c>
      <c r="S322" s="550">
        <v>77</v>
      </c>
      <c r="T322" s="17" t="s">
        <v>41</v>
      </c>
      <c r="U322" s="17" t="s">
        <v>45</v>
      </c>
      <c r="V322" s="59" t="s">
        <v>20</v>
      </c>
      <c r="W322" s="53">
        <v>7.0000000000000007E-2</v>
      </c>
      <c r="X322" s="360">
        <v>0.62</v>
      </c>
      <c r="Y322" s="354"/>
      <c r="Z322" s="17" t="s">
        <v>8</v>
      </c>
      <c r="AA322" s="551" t="s">
        <v>9</v>
      </c>
      <c r="AB322" s="118" t="s">
        <v>241</v>
      </c>
      <c r="AC322" s="59" t="s">
        <v>245</v>
      </c>
    </row>
    <row r="323" spans="1:29" x14ac:dyDescent="0.25">
      <c r="A323" s="329">
        <v>45899</v>
      </c>
      <c r="B323" s="5">
        <v>3</v>
      </c>
      <c r="D323" s="5" t="s">
        <v>226</v>
      </c>
      <c r="E323" s="6">
        <v>1.82</v>
      </c>
      <c r="G323" s="362">
        <v>2</v>
      </c>
      <c r="H323" s="362">
        <v>1</v>
      </c>
      <c r="I323" s="8">
        <v>0.72</v>
      </c>
      <c r="L323" s="5" t="s">
        <v>112</v>
      </c>
      <c r="N323" s="476">
        <v>23</v>
      </c>
      <c r="O323" s="477" t="s">
        <v>226</v>
      </c>
      <c r="P323" s="478" t="s">
        <v>289</v>
      </c>
      <c r="Q323" s="478" t="s">
        <v>54</v>
      </c>
      <c r="R323" s="478" t="s">
        <v>685</v>
      </c>
      <c r="S323" s="479">
        <v>79</v>
      </c>
      <c r="T323" s="478" t="s">
        <v>354</v>
      </c>
      <c r="U323" s="478" t="s">
        <v>42</v>
      </c>
      <c r="V323" s="480" t="s">
        <v>10</v>
      </c>
      <c r="W323" s="51">
        <v>0.02</v>
      </c>
      <c r="X323" s="357">
        <v>0.12</v>
      </c>
      <c r="Z323" s="5" t="s">
        <v>48</v>
      </c>
      <c r="AA323" s="552" t="s">
        <v>9</v>
      </c>
    </row>
    <row r="324" spans="1:29" x14ac:dyDescent="0.25">
      <c r="A324" s="329">
        <v>45899</v>
      </c>
      <c r="B324" s="5">
        <v>3</v>
      </c>
      <c r="D324" s="5" t="s">
        <v>226</v>
      </c>
      <c r="E324" s="6">
        <v>1.82</v>
      </c>
      <c r="G324" s="362">
        <v>2</v>
      </c>
      <c r="H324" s="362">
        <v>1</v>
      </c>
      <c r="I324" s="8">
        <v>0.72</v>
      </c>
      <c r="L324" s="5" t="s">
        <v>112</v>
      </c>
      <c r="N324" s="476">
        <v>25</v>
      </c>
      <c r="O324" s="477" t="s">
        <v>226</v>
      </c>
      <c r="P324" s="478" t="s">
        <v>236</v>
      </c>
      <c r="Q324" s="478" t="s">
        <v>237</v>
      </c>
      <c r="R324" s="478" t="s">
        <v>686</v>
      </c>
      <c r="S324" s="479">
        <v>66</v>
      </c>
      <c r="T324" s="478" t="s">
        <v>354</v>
      </c>
      <c r="U324" s="478" t="s">
        <v>43</v>
      </c>
      <c r="V324" s="480" t="s">
        <v>10</v>
      </c>
      <c r="W324" s="51">
        <v>0.03</v>
      </c>
      <c r="X324" s="357" t="s">
        <v>53</v>
      </c>
      <c r="Z324" s="5" t="s">
        <v>22</v>
      </c>
      <c r="AA324" s="552" t="s">
        <v>9</v>
      </c>
    </row>
    <row r="325" spans="1:29" x14ac:dyDescent="0.25">
      <c r="A325" s="329">
        <v>45899</v>
      </c>
      <c r="B325" s="5">
        <v>3</v>
      </c>
      <c r="D325" s="5" t="s">
        <v>226</v>
      </c>
      <c r="E325" s="6">
        <v>1.82</v>
      </c>
      <c r="G325" s="362">
        <v>2</v>
      </c>
      <c r="H325" s="362">
        <v>1</v>
      </c>
      <c r="I325" s="8">
        <v>0.72</v>
      </c>
      <c r="L325" s="5" t="s">
        <v>112</v>
      </c>
      <c r="N325" s="476">
        <v>37</v>
      </c>
      <c r="O325" s="477" t="s">
        <v>226</v>
      </c>
      <c r="P325" s="478" t="s">
        <v>56</v>
      </c>
      <c r="Q325" s="478" t="s">
        <v>235</v>
      </c>
      <c r="R325" s="478" t="s">
        <v>699</v>
      </c>
      <c r="S325" s="479">
        <v>71</v>
      </c>
      <c r="T325" s="478" t="s">
        <v>47</v>
      </c>
      <c r="U325" s="478" t="s">
        <v>45</v>
      </c>
      <c r="V325" s="480" t="s">
        <v>20</v>
      </c>
      <c r="W325" s="51">
        <v>0.75</v>
      </c>
      <c r="X325" s="357">
        <v>0.99</v>
      </c>
      <c r="Y325" s="351" t="s">
        <v>353</v>
      </c>
      <c r="Z325" s="5" t="s">
        <v>8</v>
      </c>
      <c r="AA325" s="552" t="s">
        <v>51</v>
      </c>
      <c r="AB325" s="108" t="s">
        <v>229</v>
      </c>
      <c r="AC325" s="57" t="s">
        <v>230</v>
      </c>
    </row>
    <row r="326" spans="1:29" x14ac:dyDescent="0.25">
      <c r="A326" s="329">
        <v>45899</v>
      </c>
      <c r="B326" s="5">
        <v>3</v>
      </c>
      <c r="D326" s="5" t="s">
        <v>226</v>
      </c>
      <c r="E326" s="6">
        <v>1.82</v>
      </c>
      <c r="G326" s="362">
        <v>2</v>
      </c>
      <c r="H326" s="362">
        <v>1</v>
      </c>
      <c r="I326" s="8">
        <v>0.72</v>
      </c>
      <c r="L326" s="5" t="s">
        <v>112</v>
      </c>
      <c r="N326" s="476">
        <v>38</v>
      </c>
      <c r="O326" s="477" t="s">
        <v>226</v>
      </c>
      <c r="P326" s="478" t="s">
        <v>289</v>
      </c>
      <c r="Q326" s="478" t="s">
        <v>54</v>
      </c>
      <c r="R326" s="478" t="s">
        <v>685</v>
      </c>
      <c r="S326" s="479">
        <v>79</v>
      </c>
      <c r="T326" s="478" t="s">
        <v>41</v>
      </c>
      <c r="U326" s="478" t="s">
        <v>43</v>
      </c>
      <c r="V326" s="480" t="s">
        <v>18</v>
      </c>
      <c r="W326" s="51">
        <v>0.1</v>
      </c>
      <c r="X326" s="357">
        <v>0.61</v>
      </c>
      <c r="Z326" s="5" t="s">
        <v>8</v>
      </c>
      <c r="AA326" s="552" t="s">
        <v>34</v>
      </c>
      <c r="AB326" s="108" t="s">
        <v>287</v>
      </c>
      <c r="AC326" s="57" t="s">
        <v>288</v>
      </c>
    </row>
    <row r="327" spans="1:29" x14ac:dyDescent="0.25">
      <c r="A327" s="329">
        <v>45899</v>
      </c>
      <c r="B327" s="5">
        <v>3</v>
      </c>
      <c r="D327" s="5" t="s">
        <v>226</v>
      </c>
      <c r="E327" s="6">
        <v>1.82</v>
      </c>
      <c r="G327" s="362">
        <v>2</v>
      </c>
      <c r="H327" s="362">
        <v>1</v>
      </c>
      <c r="I327" s="8">
        <v>0.72</v>
      </c>
      <c r="L327" s="5" t="s">
        <v>112</v>
      </c>
      <c r="N327" s="476">
        <v>42</v>
      </c>
      <c r="O327" s="477" t="s">
        <v>226</v>
      </c>
      <c r="P327" s="478" t="s">
        <v>330</v>
      </c>
      <c r="Q327" s="478" t="s">
        <v>331</v>
      </c>
      <c r="R327" s="478" t="s">
        <v>689</v>
      </c>
      <c r="S327" s="479">
        <v>74</v>
      </c>
      <c r="T327" s="478" t="s">
        <v>354</v>
      </c>
      <c r="U327" s="478" t="s">
        <v>42</v>
      </c>
      <c r="V327" s="480" t="s">
        <v>10</v>
      </c>
      <c r="W327" s="51">
        <v>0.02</v>
      </c>
      <c r="X327" s="357" t="s">
        <v>53</v>
      </c>
      <c r="Z327" s="5" t="s">
        <v>16</v>
      </c>
      <c r="AA327" s="552" t="s">
        <v>34</v>
      </c>
    </row>
    <row r="328" spans="1:29" x14ac:dyDescent="0.25">
      <c r="A328" s="329">
        <v>45899</v>
      </c>
      <c r="B328" s="5">
        <v>3</v>
      </c>
      <c r="D328" s="5" t="s">
        <v>226</v>
      </c>
      <c r="E328" s="6">
        <v>1.82</v>
      </c>
      <c r="G328" s="362">
        <v>2</v>
      </c>
      <c r="H328" s="362">
        <v>1</v>
      </c>
      <c r="I328" s="8">
        <v>0.72</v>
      </c>
      <c r="L328" s="5" t="s">
        <v>112</v>
      </c>
      <c r="N328" s="476">
        <v>43</v>
      </c>
      <c r="O328" s="477" t="s">
        <v>226</v>
      </c>
      <c r="P328" s="478" t="s">
        <v>231</v>
      </c>
      <c r="Q328" s="478" t="s">
        <v>232</v>
      </c>
      <c r="R328" s="478" t="s">
        <v>684</v>
      </c>
      <c r="S328" s="479">
        <v>67</v>
      </c>
      <c r="T328" s="478" t="s">
        <v>41</v>
      </c>
      <c r="U328" s="478" t="s">
        <v>43</v>
      </c>
      <c r="V328" s="480" t="s">
        <v>540</v>
      </c>
      <c r="W328" s="51">
        <v>0.36</v>
      </c>
      <c r="X328" s="357" t="s">
        <v>53</v>
      </c>
      <c r="Y328" s="351" t="s">
        <v>353</v>
      </c>
      <c r="Z328" s="5" t="s">
        <v>16</v>
      </c>
      <c r="AA328" s="552" t="s">
        <v>34</v>
      </c>
    </row>
    <row r="329" spans="1:29" x14ac:dyDescent="0.25">
      <c r="A329" s="329">
        <v>45899</v>
      </c>
      <c r="B329" s="5">
        <v>3</v>
      </c>
      <c r="D329" s="5" t="s">
        <v>226</v>
      </c>
      <c r="E329" s="6">
        <v>1.82</v>
      </c>
      <c r="G329" s="362">
        <v>2</v>
      </c>
      <c r="H329" s="362">
        <v>1</v>
      </c>
      <c r="I329" s="8">
        <v>0.72</v>
      </c>
      <c r="L329" s="5" t="s">
        <v>112</v>
      </c>
      <c r="N329" s="476">
        <v>55</v>
      </c>
      <c r="O329" s="477" t="s">
        <v>226</v>
      </c>
      <c r="P329" s="478" t="s">
        <v>236</v>
      </c>
      <c r="Q329" s="478" t="s">
        <v>237</v>
      </c>
      <c r="R329" s="478" t="s">
        <v>686</v>
      </c>
      <c r="S329" s="479">
        <v>66</v>
      </c>
      <c r="T329" s="478" t="s">
        <v>41</v>
      </c>
      <c r="U329" s="478" t="s">
        <v>42</v>
      </c>
      <c r="V329" s="480" t="s">
        <v>540</v>
      </c>
      <c r="W329" s="51">
        <v>0.14000000000000001</v>
      </c>
      <c r="X329" s="357">
        <v>0.41</v>
      </c>
      <c r="Z329" s="5" t="s">
        <v>48</v>
      </c>
      <c r="AA329" s="552" t="s">
        <v>34</v>
      </c>
    </row>
    <row r="330" spans="1:29" x14ac:dyDescent="0.25">
      <c r="A330" s="329">
        <v>45899</v>
      </c>
      <c r="B330" s="5">
        <v>3</v>
      </c>
      <c r="D330" s="5" t="s">
        <v>226</v>
      </c>
      <c r="E330" s="6">
        <v>1.82</v>
      </c>
      <c r="G330" s="362">
        <v>2</v>
      </c>
      <c r="H330" s="362">
        <v>1</v>
      </c>
      <c r="I330" s="8">
        <v>0.72</v>
      </c>
      <c r="L330" s="5" t="s">
        <v>112</v>
      </c>
      <c r="N330" s="56">
        <v>61</v>
      </c>
      <c r="O330" s="5" t="s">
        <v>112</v>
      </c>
      <c r="P330" s="5" t="s">
        <v>243</v>
      </c>
      <c r="Q330" s="5" t="s">
        <v>244</v>
      </c>
      <c r="R330" s="5" t="s">
        <v>718</v>
      </c>
      <c r="S330" s="479">
        <v>60</v>
      </c>
      <c r="T330" s="5" t="s">
        <v>47</v>
      </c>
      <c r="U330" s="5" t="s">
        <v>42</v>
      </c>
      <c r="V330" s="5" t="s">
        <v>10</v>
      </c>
      <c r="W330" s="6">
        <v>0.43</v>
      </c>
      <c r="X330" s="6" t="s">
        <v>53</v>
      </c>
      <c r="Y330" s="6" t="s">
        <v>353</v>
      </c>
      <c r="Z330" s="5" t="s">
        <v>744</v>
      </c>
      <c r="AA330" s="552" t="s">
        <v>34</v>
      </c>
      <c r="AB330" s="108" t="s">
        <v>330</v>
      </c>
      <c r="AC330" s="57" t="s">
        <v>331</v>
      </c>
    </row>
    <row r="331" spans="1:29" x14ac:dyDescent="0.25">
      <c r="A331" s="329">
        <v>45899</v>
      </c>
      <c r="B331" s="5">
        <v>3</v>
      </c>
      <c r="D331" s="5" t="s">
        <v>226</v>
      </c>
      <c r="E331" s="6">
        <v>1.82</v>
      </c>
      <c r="G331" s="362">
        <v>2</v>
      </c>
      <c r="H331" s="362">
        <v>1</v>
      </c>
      <c r="I331" s="8">
        <v>0.72</v>
      </c>
      <c r="L331" s="5" t="s">
        <v>112</v>
      </c>
      <c r="N331" s="56">
        <v>65</v>
      </c>
      <c r="O331" s="5" t="s">
        <v>112</v>
      </c>
      <c r="P331" s="5" t="s">
        <v>558</v>
      </c>
      <c r="Q331" s="5" t="s">
        <v>559</v>
      </c>
      <c r="R331" s="5" t="s">
        <v>696</v>
      </c>
      <c r="S331" s="479">
        <v>60</v>
      </c>
      <c r="T331" s="5" t="s">
        <v>41</v>
      </c>
      <c r="U331" s="5" t="s">
        <v>43</v>
      </c>
      <c r="V331" s="5" t="s">
        <v>540</v>
      </c>
      <c r="W331" s="6">
        <v>0.04</v>
      </c>
      <c r="X331" s="6" t="s">
        <v>53</v>
      </c>
      <c r="Y331" s="6"/>
      <c r="Z331" s="5" t="s">
        <v>744</v>
      </c>
      <c r="AA331" s="552" t="s">
        <v>34</v>
      </c>
      <c r="AB331" s="108" t="s">
        <v>74</v>
      </c>
      <c r="AC331" s="57" t="s">
        <v>228</v>
      </c>
    </row>
    <row r="332" spans="1:29" ht="15.75" thickBot="1" x14ac:dyDescent="0.3">
      <c r="A332" s="334">
        <v>45899</v>
      </c>
      <c r="B332" s="192">
        <v>3</v>
      </c>
      <c r="C332" s="193"/>
      <c r="D332" s="192" t="s">
        <v>226</v>
      </c>
      <c r="E332" s="194">
        <v>1.82</v>
      </c>
      <c r="F332" s="194"/>
      <c r="G332" s="463">
        <v>2</v>
      </c>
      <c r="H332" s="463">
        <v>1</v>
      </c>
      <c r="I332" s="196">
        <v>0.72</v>
      </c>
      <c r="J332" s="196"/>
      <c r="K332" s="193"/>
      <c r="L332" s="192" t="s">
        <v>112</v>
      </c>
      <c r="M332" s="537"/>
      <c r="N332" s="538"/>
      <c r="O332" s="539" t="s">
        <v>226</v>
      </c>
      <c r="P332" s="540" t="s">
        <v>726</v>
      </c>
      <c r="Q332" s="540" t="s">
        <v>727</v>
      </c>
      <c r="R332" s="540" t="s">
        <v>707</v>
      </c>
      <c r="S332" s="541">
        <v>64</v>
      </c>
      <c r="T332" s="540"/>
      <c r="U332" s="540"/>
      <c r="V332" s="542"/>
      <c r="W332" s="543"/>
      <c r="X332" s="544"/>
      <c r="Y332" s="545">
        <f>H332</f>
        <v>1</v>
      </c>
      <c r="Z332" s="540"/>
      <c r="AA332" s="553"/>
      <c r="AB332" s="547"/>
      <c r="AC332" s="542"/>
    </row>
    <row r="333" spans="1:29" ht="15.75" thickBot="1" x14ac:dyDescent="0.3">
      <c r="A333" s="326">
        <v>45899</v>
      </c>
      <c r="B333" s="207">
        <v>3</v>
      </c>
      <c r="C333" s="208"/>
      <c r="D333" s="207" t="s">
        <v>226</v>
      </c>
      <c r="E333" s="209">
        <v>1.82</v>
      </c>
      <c r="F333" s="209"/>
      <c r="G333" s="460">
        <v>2</v>
      </c>
      <c r="H333" s="460">
        <v>1</v>
      </c>
      <c r="I333" s="211">
        <v>0.72</v>
      </c>
      <c r="J333" s="211"/>
      <c r="K333" s="208"/>
      <c r="L333" s="207" t="s">
        <v>112</v>
      </c>
      <c r="M333" s="235"/>
      <c r="N333" s="347"/>
      <c r="O333" s="343" t="s">
        <v>112</v>
      </c>
      <c r="P333" s="199" t="s">
        <v>60</v>
      </c>
      <c r="Q333" s="199" t="s">
        <v>464</v>
      </c>
      <c r="R333" s="199" t="s">
        <v>707</v>
      </c>
      <c r="S333" s="554">
        <v>61</v>
      </c>
      <c r="T333" s="199"/>
      <c r="U333" s="199"/>
      <c r="V333" s="201"/>
      <c r="W333" s="202"/>
      <c r="X333" s="359"/>
      <c r="Y333" s="353">
        <f>G332</f>
        <v>2</v>
      </c>
      <c r="Z333" s="199"/>
      <c r="AA333" s="555"/>
      <c r="AB333" s="205"/>
      <c r="AC333" s="201"/>
    </row>
    <row r="334" spans="1:29" x14ac:dyDescent="0.25">
      <c r="A334" s="328">
        <v>45900</v>
      </c>
      <c r="B334" s="17">
        <v>3</v>
      </c>
      <c r="C334" s="123" t="s">
        <v>700</v>
      </c>
      <c r="D334" s="17" t="s">
        <v>456</v>
      </c>
      <c r="E334" s="18">
        <v>0.96</v>
      </c>
      <c r="F334" s="18"/>
      <c r="G334" s="461">
        <v>1</v>
      </c>
      <c r="H334" s="461">
        <v>1</v>
      </c>
      <c r="I334" s="20">
        <v>1.04</v>
      </c>
      <c r="J334" s="20"/>
      <c r="K334" s="123" t="s">
        <v>694</v>
      </c>
      <c r="L334" s="17" t="s">
        <v>91</v>
      </c>
      <c r="M334" s="46"/>
      <c r="N334" s="556">
        <v>5</v>
      </c>
      <c r="O334" s="557" t="s">
        <v>456</v>
      </c>
      <c r="P334" s="558" t="s">
        <v>162</v>
      </c>
      <c r="Q334" s="558" t="s">
        <v>163</v>
      </c>
      <c r="R334" s="558" t="s">
        <v>686</v>
      </c>
      <c r="S334" s="541">
        <v>63</v>
      </c>
      <c r="T334" s="558" t="s">
        <v>44</v>
      </c>
      <c r="U334" s="558" t="s">
        <v>43</v>
      </c>
      <c r="V334" s="559" t="s">
        <v>10</v>
      </c>
      <c r="W334" s="54">
        <v>0.14000000000000001</v>
      </c>
      <c r="X334" s="361" t="s">
        <v>53</v>
      </c>
      <c r="Y334" s="355"/>
      <c r="Z334" s="13" t="s">
        <v>22</v>
      </c>
      <c r="AA334" s="115" t="s">
        <v>28</v>
      </c>
      <c r="AB334" s="110"/>
      <c r="AC334" s="60"/>
    </row>
    <row r="335" spans="1:29" x14ac:dyDescent="0.25">
      <c r="A335" s="329">
        <v>45900</v>
      </c>
      <c r="B335" s="5">
        <v>3</v>
      </c>
      <c r="D335" s="5" t="s">
        <v>456</v>
      </c>
      <c r="E335" s="6">
        <v>0.96</v>
      </c>
      <c r="G335" s="362">
        <v>1</v>
      </c>
      <c r="H335" s="362">
        <v>1</v>
      </c>
      <c r="I335" s="8">
        <v>1.04</v>
      </c>
      <c r="L335" s="5" t="s">
        <v>91</v>
      </c>
      <c r="N335" s="345">
        <v>43</v>
      </c>
      <c r="O335" s="38" t="s">
        <v>91</v>
      </c>
      <c r="P335" s="5" t="s">
        <v>96</v>
      </c>
      <c r="Q335" s="5" t="s">
        <v>97</v>
      </c>
      <c r="R335" s="5" t="s">
        <v>718</v>
      </c>
      <c r="S335" s="7">
        <v>75</v>
      </c>
      <c r="T335" s="5" t="s">
        <v>354</v>
      </c>
      <c r="U335" s="5" t="s">
        <v>43</v>
      </c>
      <c r="V335" s="57" t="s">
        <v>10</v>
      </c>
      <c r="W335" s="51">
        <v>0.03</v>
      </c>
      <c r="X335" s="357">
        <v>0.15</v>
      </c>
      <c r="Z335" s="5" t="s">
        <v>48</v>
      </c>
      <c r="AA335" s="112" t="s">
        <v>28</v>
      </c>
    </row>
    <row r="336" spans="1:29" x14ac:dyDescent="0.25">
      <c r="A336" s="329">
        <v>45900</v>
      </c>
      <c r="B336" s="5">
        <v>3</v>
      </c>
      <c r="D336" s="5" t="s">
        <v>456</v>
      </c>
      <c r="E336" s="6">
        <v>0.96</v>
      </c>
      <c r="G336" s="362">
        <v>1</v>
      </c>
      <c r="H336" s="362">
        <v>1</v>
      </c>
      <c r="I336" s="8">
        <v>1.04</v>
      </c>
      <c r="L336" s="5" t="s">
        <v>91</v>
      </c>
      <c r="N336" s="345">
        <v>52</v>
      </c>
      <c r="O336" s="38" t="s">
        <v>91</v>
      </c>
      <c r="P336" s="5" t="s">
        <v>332</v>
      </c>
      <c r="Q336" s="5" t="s">
        <v>333</v>
      </c>
      <c r="R336" s="5" t="s">
        <v>685</v>
      </c>
      <c r="S336" s="479">
        <v>65</v>
      </c>
      <c r="T336" s="5" t="s">
        <v>41</v>
      </c>
      <c r="U336" s="5" t="s">
        <v>43</v>
      </c>
      <c r="V336" s="57" t="s">
        <v>10</v>
      </c>
      <c r="W336" s="51">
        <v>0.1</v>
      </c>
      <c r="X336" s="357" t="s">
        <v>53</v>
      </c>
      <c r="Z336" s="5" t="s">
        <v>52</v>
      </c>
      <c r="AA336" s="112" t="s">
        <v>28</v>
      </c>
    </row>
    <row r="337" spans="1:29" x14ac:dyDescent="0.25">
      <c r="A337" s="329">
        <v>45900</v>
      </c>
      <c r="B337" s="5">
        <v>3</v>
      </c>
      <c r="D337" s="5" t="s">
        <v>456</v>
      </c>
      <c r="E337" s="6">
        <v>0.96</v>
      </c>
      <c r="G337" s="362">
        <v>1</v>
      </c>
      <c r="H337" s="362">
        <v>1</v>
      </c>
      <c r="I337" s="8">
        <v>1.04</v>
      </c>
      <c r="L337" s="5" t="s">
        <v>91</v>
      </c>
      <c r="N337" s="345">
        <v>53</v>
      </c>
      <c r="O337" s="38" t="s">
        <v>91</v>
      </c>
      <c r="P337" s="5" t="s">
        <v>96</v>
      </c>
      <c r="Q337" s="5" t="s">
        <v>97</v>
      </c>
      <c r="R337" s="5" t="s">
        <v>718</v>
      </c>
      <c r="S337" s="481">
        <v>75</v>
      </c>
      <c r="T337" s="5" t="s">
        <v>41</v>
      </c>
      <c r="U337" s="5" t="s">
        <v>43</v>
      </c>
      <c r="V337" s="57" t="s">
        <v>10</v>
      </c>
      <c r="W337" s="51">
        <v>0.6</v>
      </c>
      <c r="X337" s="357">
        <v>0.67</v>
      </c>
      <c r="Y337" s="351" t="s">
        <v>353</v>
      </c>
      <c r="Z337" s="5" t="s">
        <v>8</v>
      </c>
      <c r="AA337" s="112" t="s">
        <v>9</v>
      </c>
      <c r="AB337" s="108" t="s">
        <v>104</v>
      </c>
      <c r="AC337" s="57" t="s">
        <v>105</v>
      </c>
    </row>
    <row r="338" spans="1:29" x14ac:dyDescent="0.25">
      <c r="A338" s="329">
        <v>45900</v>
      </c>
      <c r="B338" s="5">
        <v>3</v>
      </c>
      <c r="D338" s="5" t="s">
        <v>456</v>
      </c>
      <c r="E338" s="6">
        <v>0.96</v>
      </c>
      <c r="G338" s="362">
        <v>1</v>
      </c>
      <c r="H338" s="362">
        <v>1</v>
      </c>
      <c r="I338" s="8">
        <v>1.04</v>
      </c>
      <c r="L338" s="5" t="s">
        <v>91</v>
      </c>
      <c r="N338" s="345">
        <v>58</v>
      </c>
      <c r="O338" s="38" t="s">
        <v>91</v>
      </c>
      <c r="P338" s="5" t="s">
        <v>49</v>
      </c>
      <c r="Q338" s="5" t="s">
        <v>50</v>
      </c>
      <c r="R338" s="5" t="s">
        <v>695</v>
      </c>
      <c r="S338" s="459">
        <v>62</v>
      </c>
      <c r="T338" s="5" t="s">
        <v>44</v>
      </c>
      <c r="U338" s="5" t="s">
        <v>43</v>
      </c>
      <c r="V338" s="57" t="s">
        <v>10</v>
      </c>
      <c r="W338" s="51">
        <v>0.05</v>
      </c>
      <c r="X338" s="357" t="s">
        <v>53</v>
      </c>
      <c r="Z338" s="5" t="s">
        <v>22</v>
      </c>
      <c r="AA338" s="112" t="s">
        <v>9</v>
      </c>
    </row>
    <row r="339" spans="1:29" x14ac:dyDescent="0.25">
      <c r="A339" s="329">
        <v>45900</v>
      </c>
      <c r="B339" s="5">
        <v>3</v>
      </c>
      <c r="D339" s="5" t="s">
        <v>456</v>
      </c>
      <c r="E339" s="6">
        <v>0.96</v>
      </c>
      <c r="G339" s="362">
        <v>1</v>
      </c>
      <c r="H339" s="362">
        <v>1</v>
      </c>
      <c r="I339" s="8">
        <v>1.04</v>
      </c>
      <c r="L339" s="5" t="s">
        <v>91</v>
      </c>
      <c r="N339" s="345">
        <v>77</v>
      </c>
      <c r="O339" s="38" t="s">
        <v>91</v>
      </c>
      <c r="P339" s="5" t="s">
        <v>49</v>
      </c>
      <c r="Q339" s="5" t="s">
        <v>50</v>
      </c>
      <c r="R339" s="5" t="s">
        <v>695</v>
      </c>
      <c r="S339" s="479">
        <v>62</v>
      </c>
      <c r="T339" s="5" t="s">
        <v>44</v>
      </c>
      <c r="U339" s="5" t="s">
        <v>43</v>
      </c>
      <c r="V339" s="57" t="s">
        <v>10</v>
      </c>
      <c r="W339" s="51">
        <v>7.0000000000000007E-2</v>
      </c>
      <c r="X339" s="357" t="s">
        <v>53</v>
      </c>
      <c r="Z339" s="5" t="s">
        <v>22</v>
      </c>
      <c r="AA339" s="112" t="s">
        <v>9</v>
      </c>
    </row>
    <row r="340" spans="1:29" x14ac:dyDescent="0.25">
      <c r="A340" s="329">
        <v>45900</v>
      </c>
      <c r="B340" s="5">
        <v>3</v>
      </c>
      <c r="D340" s="5" t="s">
        <v>456</v>
      </c>
      <c r="E340" s="6">
        <v>0.96</v>
      </c>
      <c r="G340" s="362">
        <v>1</v>
      </c>
      <c r="H340" s="362">
        <v>1</v>
      </c>
      <c r="I340" s="8">
        <v>1.04</v>
      </c>
      <c r="L340" s="5" t="s">
        <v>91</v>
      </c>
      <c r="N340" s="345">
        <v>86</v>
      </c>
      <c r="O340" s="38" t="s">
        <v>91</v>
      </c>
      <c r="P340" s="5" t="s">
        <v>65</v>
      </c>
      <c r="Q340" s="5" t="s">
        <v>334</v>
      </c>
      <c r="R340" s="5" t="s">
        <v>713</v>
      </c>
      <c r="S340" s="479">
        <v>73</v>
      </c>
      <c r="T340" s="5" t="s">
        <v>41</v>
      </c>
      <c r="U340" s="5" t="s">
        <v>45</v>
      </c>
      <c r="V340" s="57" t="s">
        <v>20</v>
      </c>
      <c r="W340" s="51">
        <v>0.1</v>
      </c>
      <c r="X340" s="357" t="s">
        <v>53</v>
      </c>
      <c r="Z340" s="5" t="s">
        <v>13</v>
      </c>
      <c r="AA340" s="112" t="s">
        <v>9</v>
      </c>
    </row>
    <row r="341" spans="1:29" x14ac:dyDescent="0.25">
      <c r="A341" s="329">
        <v>45900</v>
      </c>
      <c r="B341" s="5">
        <v>3</v>
      </c>
      <c r="D341" s="5" t="s">
        <v>456</v>
      </c>
      <c r="E341" s="6">
        <v>0.96</v>
      </c>
      <c r="G341" s="362">
        <v>1</v>
      </c>
      <c r="H341" s="362">
        <v>1</v>
      </c>
      <c r="I341" s="8">
        <v>1.04</v>
      </c>
      <c r="L341" s="5" t="s">
        <v>91</v>
      </c>
      <c r="N341" s="476">
        <v>90</v>
      </c>
      <c r="O341" s="477" t="s">
        <v>456</v>
      </c>
      <c r="P341" s="478" t="s">
        <v>249</v>
      </c>
      <c r="Q341" s="478" t="s">
        <v>250</v>
      </c>
      <c r="R341" s="478" t="s">
        <v>696</v>
      </c>
      <c r="S341" s="479">
        <v>61</v>
      </c>
      <c r="T341" s="478" t="s">
        <v>41</v>
      </c>
      <c r="U341" s="478" t="s">
        <v>42</v>
      </c>
      <c r="V341" s="480" t="s">
        <v>10</v>
      </c>
      <c r="W341" s="51">
        <v>0.25</v>
      </c>
      <c r="X341" s="357" t="s">
        <v>53</v>
      </c>
      <c r="Y341" s="351" t="s">
        <v>353</v>
      </c>
      <c r="Z341" s="5" t="s">
        <v>16</v>
      </c>
      <c r="AA341" s="112" t="s">
        <v>9</v>
      </c>
    </row>
    <row r="342" spans="1:29" ht="15.75" thickBot="1" x14ac:dyDescent="0.3">
      <c r="A342" s="330">
        <v>45900</v>
      </c>
      <c r="B342" s="9">
        <v>3</v>
      </c>
      <c r="C342" s="122"/>
      <c r="D342" s="9" t="s">
        <v>456</v>
      </c>
      <c r="E342" s="10">
        <v>0.96</v>
      </c>
      <c r="F342" s="10"/>
      <c r="G342" s="383">
        <v>1</v>
      </c>
      <c r="H342" s="383">
        <v>1</v>
      </c>
      <c r="I342" s="12">
        <v>1.04</v>
      </c>
      <c r="J342" s="12"/>
      <c r="K342" s="122"/>
      <c r="L342" s="9" t="s">
        <v>91</v>
      </c>
      <c r="M342" s="45"/>
      <c r="N342" s="511" t="s">
        <v>36</v>
      </c>
      <c r="O342" s="512" t="s">
        <v>456</v>
      </c>
      <c r="P342" s="513" t="s">
        <v>313</v>
      </c>
      <c r="Q342" s="513" t="s">
        <v>301</v>
      </c>
      <c r="R342" s="513" t="s">
        <v>696</v>
      </c>
      <c r="S342" s="479">
        <v>72</v>
      </c>
      <c r="T342" s="513" t="s">
        <v>47</v>
      </c>
      <c r="U342" s="513" t="s">
        <v>45</v>
      </c>
      <c r="V342" s="514" t="s">
        <v>10</v>
      </c>
      <c r="W342" s="52">
        <v>0.28000000000000003</v>
      </c>
      <c r="X342" s="358">
        <v>0.67</v>
      </c>
      <c r="Y342" s="352" t="s">
        <v>353</v>
      </c>
      <c r="Z342" s="9" t="s">
        <v>8</v>
      </c>
      <c r="AA342" s="113" t="s">
        <v>51</v>
      </c>
      <c r="AB342" s="109" t="s">
        <v>278</v>
      </c>
      <c r="AC342" s="58" t="s">
        <v>252</v>
      </c>
    </row>
    <row r="343" spans="1:29" ht="15.75" thickBot="1" x14ac:dyDescent="0.3">
      <c r="A343" s="326">
        <v>45900</v>
      </c>
      <c r="B343" s="207">
        <v>3</v>
      </c>
      <c r="C343" s="208"/>
      <c r="D343" s="207" t="s">
        <v>456</v>
      </c>
      <c r="E343" s="209">
        <v>0.96</v>
      </c>
      <c r="F343" s="209"/>
      <c r="G343" s="460">
        <v>1</v>
      </c>
      <c r="H343" s="460">
        <v>1</v>
      </c>
      <c r="I343" s="211">
        <v>1.04</v>
      </c>
      <c r="J343" s="211"/>
      <c r="K343" s="208"/>
      <c r="L343" s="207" t="s">
        <v>91</v>
      </c>
      <c r="M343" s="235"/>
      <c r="N343" s="347"/>
      <c r="O343" s="343" t="s">
        <v>456</v>
      </c>
      <c r="P343" s="199" t="s">
        <v>719</v>
      </c>
      <c r="Q343" s="199" t="s">
        <v>720</v>
      </c>
      <c r="R343" s="199" t="s">
        <v>707</v>
      </c>
      <c r="S343" s="479">
        <v>70</v>
      </c>
      <c r="T343" s="199"/>
      <c r="U343" s="199"/>
      <c r="V343" s="201"/>
      <c r="W343" s="202"/>
      <c r="X343" s="359"/>
      <c r="Y343" s="353">
        <f>H343</f>
        <v>1</v>
      </c>
      <c r="Z343" s="199"/>
      <c r="AA343" s="204"/>
      <c r="AB343" s="205"/>
      <c r="AC343" s="201"/>
    </row>
    <row r="344" spans="1:29" ht="15.75" thickBot="1" x14ac:dyDescent="0.3">
      <c r="A344" s="326">
        <v>45900</v>
      </c>
      <c r="B344" s="207">
        <v>3</v>
      </c>
      <c r="C344" s="208"/>
      <c r="D344" s="207" t="s">
        <v>456</v>
      </c>
      <c r="E344" s="209">
        <v>0.96</v>
      </c>
      <c r="F344" s="209"/>
      <c r="G344" s="460">
        <v>1</v>
      </c>
      <c r="H344" s="460">
        <v>1</v>
      </c>
      <c r="I344" s="211">
        <v>1.04</v>
      </c>
      <c r="J344" s="211"/>
      <c r="K344" s="208"/>
      <c r="L344" s="207" t="s">
        <v>91</v>
      </c>
      <c r="M344" s="235"/>
      <c r="N344" s="347"/>
      <c r="O344" s="343" t="s">
        <v>91</v>
      </c>
      <c r="P344" s="199" t="s">
        <v>351</v>
      </c>
      <c r="Q344" s="199" t="s">
        <v>54</v>
      </c>
      <c r="R344" s="199" t="s">
        <v>707</v>
      </c>
      <c r="S344" s="479">
        <v>62</v>
      </c>
      <c r="T344" s="199"/>
      <c r="U344" s="199"/>
      <c r="V344" s="201"/>
      <c r="W344" s="202"/>
      <c r="X344" s="359"/>
      <c r="Y344" s="353">
        <f>G343</f>
        <v>1</v>
      </c>
      <c r="Z344" s="199"/>
      <c r="AA344" s="204"/>
      <c r="AB344" s="205"/>
      <c r="AC344" s="201"/>
    </row>
    <row r="345" spans="1:29" x14ac:dyDescent="0.25">
      <c r="A345" s="328">
        <v>45900</v>
      </c>
      <c r="B345" s="17">
        <v>3</v>
      </c>
      <c r="C345" s="123" t="s">
        <v>693</v>
      </c>
      <c r="D345" s="17" t="s">
        <v>209</v>
      </c>
      <c r="E345" s="18">
        <v>0.62</v>
      </c>
      <c r="F345" s="18"/>
      <c r="G345" s="461">
        <v>1</v>
      </c>
      <c r="H345" s="461">
        <v>2</v>
      </c>
      <c r="I345" s="20">
        <v>1.1100000000000001</v>
      </c>
      <c r="J345" s="20"/>
      <c r="K345" s="123" t="s">
        <v>693</v>
      </c>
      <c r="L345" s="17" t="s">
        <v>170</v>
      </c>
      <c r="M345" s="46"/>
      <c r="N345" s="348">
        <v>11</v>
      </c>
      <c r="O345" s="456" t="s">
        <v>170</v>
      </c>
      <c r="P345" s="17" t="s">
        <v>335</v>
      </c>
      <c r="Q345" s="17" t="s">
        <v>336</v>
      </c>
      <c r="R345" s="17" t="s">
        <v>688</v>
      </c>
      <c r="S345" s="7">
        <v>66</v>
      </c>
      <c r="T345" s="17" t="s">
        <v>44</v>
      </c>
      <c r="U345" s="17" t="s">
        <v>43</v>
      </c>
      <c r="V345" s="59" t="s">
        <v>10</v>
      </c>
      <c r="W345" s="53">
        <v>0.02</v>
      </c>
      <c r="X345" s="360" t="s">
        <v>53</v>
      </c>
      <c r="Y345" s="354"/>
      <c r="Z345" s="17" t="s">
        <v>22</v>
      </c>
      <c r="AA345" s="114" t="s">
        <v>28</v>
      </c>
      <c r="AB345" s="110"/>
      <c r="AC345" s="60"/>
    </row>
    <row r="346" spans="1:29" x14ac:dyDescent="0.25">
      <c r="A346" s="329">
        <v>45900</v>
      </c>
      <c r="B346" s="5">
        <v>3</v>
      </c>
      <c r="D346" s="5" t="s">
        <v>209</v>
      </c>
      <c r="E346" s="6">
        <v>0.62</v>
      </c>
      <c r="G346" s="362">
        <v>1</v>
      </c>
      <c r="H346" s="362">
        <v>2</v>
      </c>
      <c r="I346" s="8">
        <v>1.1100000000000001</v>
      </c>
      <c r="L346" s="5" t="s">
        <v>170</v>
      </c>
      <c r="N346" s="345">
        <v>17</v>
      </c>
      <c r="O346" s="38" t="s">
        <v>170</v>
      </c>
      <c r="P346" s="5" t="s">
        <v>295</v>
      </c>
      <c r="Q346" s="5" t="s">
        <v>175</v>
      </c>
      <c r="R346" s="5" t="s">
        <v>686</v>
      </c>
      <c r="S346" s="7">
        <v>66</v>
      </c>
      <c r="T346" s="5" t="s">
        <v>41</v>
      </c>
      <c r="U346" s="5" t="s">
        <v>42</v>
      </c>
      <c r="V346" s="57" t="s">
        <v>10</v>
      </c>
      <c r="W346" s="51">
        <v>0.06</v>
      </c>
      <c r="X346" s="357">
        <v>0.11</v>
      </c>
      <c r="Z346" s="5" t="s">
        <v>48</v>
      </c>
      <c r="AA346" s="112" t="s">
        <v>28</v>
      </c>
    </row>
    <row r="347" spans="1:29" x14ac:dyDescent="0.25">
      <c r="A347" s="329">
        <v>45900</v>
      </c>
      <c r="B347" s="5">
        <v>3</v>
      </c>
      <c r="D347" s="5" t="s">
        <v>209</v>
      </c>
      <c r="E347" s="6">
        <v>0.62</v>
      </c>
      <c r="G347" s="362">
        <v>1</v>
      </c>
      <c r="H347" s="362">
        <v>2</v>
      </c>
      <c r="I347" s="8">
        <v>1.1100000000000001</v>
      </c>
      <c r="L347" s="5" t="s">
        <v>170</v>
      </c>
      <c r="N347" s="345">
        <v>19</v>
      </c>
      <c r="O347" s="38" t="s">
        <v>170</v>
      </c>
      <c r="P347" s="5" t="s">
        <v>295</v>
      </c>
      <c r="Q347" s="5" t="s">
        <v>175</v>
      </c>
      <c r="R347" s="5" t="s">
        <v>686</v>
      </c>
      <c r="S347" s="479">
        <v>66</v>
      </c>
      <c r="T347" s="5" t="s">
        <v>41</v>
      </c>
      <c r="U347" s="5" t="s">
        <v>42</v>
      </c>
      <c r="V347" s="57" t="s">
        <v>10</v>
      </c>
      <c r="W347" s="51">
        <v>0.34</v>
      </c>
      <c r="X347" s="357">
        <v>0.3</v>
      </c>
      <c r="Y347" s="351" t="s">
        <v>353</v>
      </c>
      <c r="Z347" s="5" t="s">
        <v>48</v>
      </c>
      <c r="AA347" s="112" t="s">
        <v>28</v>
      </c>
    </row>
    <row r="348" spans="1:29" x14ac:dyDescent="0.25">
      <c r="A348" s="329">
        <v>45900</v>
      </c>
      <c r="B348" s="5">
        <v>3</v>
      </c>
      <c r="D348" s="5" t="s">
        <v>209</v>
      </c>
      <c r="E348" s="6">
        <v>0.62</v>
      </c>
      <c r="G348" s="362">
        <v>1</v>
      </c>
      <c r="H348" s="362">
        <v>2</v>
      </c>
      <c r="I348" s="8">
        <v>1.1100000000000001</v>
      </c>
      <c r="L348" s="5" t="s">
        <v>170</v>
      </c>
      <c r="N348" s="476">
        <v>21</v>
      </c>
      <c r="O348" s="477" t="s">
        <v>209</v>
      </c>
      <c r="P348" s="478" t="s">
        <v>241</v>
      </c>
      <c r="Q348" s="478" t="s">
        <v>75</v>
      </c>
      <c r="R348" s="478" t="s">
        <v>686</v>
      </c>
      <c r="S348" s="479">
        <v>60</v>
      </c>
      <c r="T348" s="478" t="s">
        <v>41</v>
      </c>
      <c r="U348" s="478" t="s">
        <v>43</v>
      </c>
      <c r="V348" s="480" t="s">
        <v>10</v>
      </c>
      <c r="W348" s="51">
        <v>0.08</v>
      </c>
      <c r="X348" s="357" t="s">
        <v>53</v>
      </c>
      <c r="Z348" s="5" t="s">
        <v>55</v>
      </c>
      <c r="AA348" s="112" t="s">
        <v>28</v>
      </c>
    </row>
    <row r="349" spans="1:29" x14ac:dyDescent="0.25">
      <c r="A349" s="329">
        <v>45900</v>
      </c>
      <c r="B349" s="5">
        <v>3</v>
      </c>
      <c r="D349" s="5" t="s">
        <v>209</v>
      </c>
      <c r="E349" s="6">
        <v>0.62</v>
      </c>
      <c r="G349" s="362">
        <v>1</v>
      </c>
      <c r="H349" s="362">
        <v>2</v>
      </c>
      <c r="I349" s="8">
        <v>1.1100000000000001</v>
      </c>
      <c r="L349" s="5" t="s">
        <v>170</v>
      </c>
      <c r="N349" s="476">
        <v>49</v>
      </c>
      <c r="O349" s="477" t="s">
        <v>209</v>
      </c>
      <c r="P349" s="478" t="s">
        <v>220</v>
      </c>
      <c r="Q349" s="478" t="s">
        <v>221</v>
      </c>
      <c r="R349" s="478" t="s">
        <v>684</v>
      </c>
      <c r="S349" s="479">
        <v>66</v>
      </c>
      <c r="T349" s="478" t="s">
        <v>41</v>
      </c>
      <c r="U349" s="478" t="s">
        <v>43</v>
      </c>
      <c r="V349" s="480" t="s">
        <v>10</v>
      </c>
      <c r="W349" s="51">
        <v>0.05</v>
      </c>
      <c r="X349" s="357" t="s">
        <v>53</v>
      </c>
      <c r="Z349" s="5" t="s">
        <v>16</v>
      </c>
      <c r="AA349" s="112" t="s">
        <v>28</v>
      </c>
    </row>
    <row r="350" spans="1:29" x14ac:dyDescent="0.25">
      <c r="A350" s="329">
        <v>45900</v>
      </c>
      <c r="B350" s="5">
        <v>3</v>
      </c>
      <c r="D350" s="5" t="s">
        <v>209</v>
      </c>
      <c r="E350" s="6">
        <v>0.62</v>
      </c>
      <c r="G350" s="362">
        <v>1</v>
      </c>
      <c r="H350" s="362">
        <v>2</v>
      </c>
      <c r="I350" s="8">
        <v>1.1100000000000001</v>
      </c>
      <c r="L350" s="5" t="s">
        <v>170</v>
      </c>
      <c r="N350" s="476">
        <v>56</v>
      </c>
      <c r="O350" s="477" t="s">
        <v>209</v>
      </c>
      <c r="P350" s="478" t="s">
        <v>218</v>
      </c>
      <c r="Q350" s="478" t="s">
        <v>219</v>
      </c>
      <c r="R350" s="478" t="s">
        <v>685</v>
      </c>
      <c r="S350" s="479">
        <v>67</v>
      </c>
      <c r="T350" s="478" t="s">
        <v>41</v>
      </c>
      <c r="U350" s="478" t="s">
        <v>42</v>
      </c>
      <c r="V350" s="480" t="s">
        <v>10</v>
      </c>
      <c r="W350" s="51">
        <v>0.12</v>
      </c>
      <c r="X350" s="357">
        <v>0.19</v>
      </c>
      <c r="Z350" s="5" t="s">
        <v>48</v>
      </c>
      <c r="AA350" s="112" t="s">
        <v>28</v>
      </c>
    </row>
    <row r="351" spans="1:29" x14ac:dyDescent="0.25">
      <c r="A351" s="329">
        <v>45900</v>
      </c>
      <c r="B351" s="5">
        <v>3</v>
      </c>
      <c r="D351" s="5" t="s">
        <v>209</v>
      </c>
      <c r="E351" s="6">
        <v>0.62</v>
      </c>
      <c r="G351" s="362">
        <v>1</v>
      </c>
      <c r="H351" s="362">
        <v>2</v>
      </c>
      <c r="I351" s="8">
        <v>1.1100000000000001</v>
      </c>
      <c r="L351" s="5" t="s">
        <v>170</v>
      </c>
      <c r="N351" s="476">
        <v>60</v>
      </c>
      <c r="O351" s="477" t="s">
        <v>209</v>
      </c>
      <c r="P351" s="478" t="s">
        <v>337</v>
      </c>
      <c r="Q351" s="478" t="s">
        <v>338</v>
      </c>
      <c r="R351" s="478" t="s">
        <v>713</v>
      </c>
      <c r="S351" s="481">
        <v>63</v>
      </c>
      <c r="T351" s="478" t="s">
        <v>47</v>
      </c>
      <c r="U351" s="478" t="s">
        <v>42</v>
      </c>
      <c r="V351" s="480" t="s">
        <v>20</v>
      </c>
      <c r="W351" s="51" t="s">
        <v>53</v>
      </c>
      <c r="X351" s="357" t="s">
        <v>53</v>
      </c>
      <c r="Z351" s="130" t="s">
        <v>23</v>
      </c>
      <c r="AA351" s="134" t="s">
        <v>9</v>
      </c>
    </row>
    <row r="352" spans="1:29" x14ac:dyDescent="0.25">
      <c r="A352" s="329">
        <v>45900</v>
      </c>
      <c r="B352" s="5">
        <v>3</v>
      </c>
      <c r="D352" s="5" t="s">
        <v>209</v>
      </c>
      <c r="E352" s="6">
        <v>0.62</v>
      </c>
      <c r="G352" s="362">
        <v>1</v>
      </c>
      <c r="H352" s="362">
        <v>2</v>
      </c>
      <c r="I352" s="8">
        <v>1.1100000000000001</v>
      </c>
      <c r="L352" s="5" t="s">
        <v>170</v>
      </c>
      <c r="N352" s="345">
        <v>85</v>
      </c>
      <c r="O352" s="38" t="s">
        <v>170</v>
      </c>
      <c r="P352" s="5" t="s">
        <v>214</v>
      </c>
      <c r="Q352" s="5" t="s">
        <v>339</v>
      </c>
      <c r="R352" s="5" t="s">
        <v>712</v>
      </c>
      <c r="S352" s="481">
        <v>77</v>
      </c>
      <c r="T352" s="5" t="s">
        <v>47</v>
      </c>
      <c r="U352" s="5" t="s">
        <v>45</v>
      </c>
      <c r="V352" s="57" t="s">
        <v>20</v>
      </c>
      <c r="W352" s="51">
        <v>0.35</v>
      </c>
      <c r="X352" s="357">
        <v>0.32</v>
      </c>
      <c r="Y352" s="351" t="s">
        <v>353</v>
      </c>
      <c r="Z352" s="5" t="s">
        <v>8</v>
      </c>
      <c r="AA352" s="112" t="s">
        <v>11</v>
      </c>
    </row>
    <row r="353" spans="1:29" ht="15.75" thickBot="1" x14ac:dyDescent="0.3">
      <c r="A353" s="330">
        <v>45900</v>
      </c>
      <c r="B353" s="9">
        <v>3</v>
      </c>
      <c r="C353" s="122"/>
      <c r="D353" s="9" t="s">
        <v>209</v>
      </c>
      <c r="E353" s="10">
        <v>0.62</v>
      </c>
      <c r="F353" s="10"/>
      <c r="G353" s="383">
        <v>1</v>
      </c>
      <c r="H353" s="383">
        <v>2</v>
      </c>
      <c r="I353" s="12">
        <v>1.1100000000000001</v>
      </c>
      <c r="J353" s="12"/>
      <c r="K353" s="122"/>
      <c r="L353" s="9" t="s">
        <v>170</v>
      </c>
      <c r="M353" s="45"/>
      <c r="N353" s="511" t="s">
        <v>312</v>
      </c>
      <c r="O353" s="512" t="s">
        <v>209</v>
      </c>
      <c r="P353" s="513" t="s">
        <v>340</v>
      </c>
      <c r="Q353" s="513" t="s">
        <v>341</v>
      </c>
      <c r="R353" s="513" t="s">
        <v>696</v>
      </c>
      <c r="S353" s="479">
        <v>68</v>
      </c>
      <c r="T353" s="513" t="s">
        <v>41</v>
      </c>
      <c r="U353" s="513" t="s">
        <v>45</v>
      </c>
      <c r="V353" s="514" t="s">
        <v>10</v>
      </c>
      <c r="W353" s="52">
        <v>0.2</v>
      </c>
      <c r="X353" s="358">
        <v>0.83</v>
      </c>
      <c r="Y353" s="352" t="s">
        <v>353</v>
      </c>
      <c r="Z353" s="9" t="s">
        <v>8</v>
      </c>
      <c r="AA353" s="113" t="s">
        <v>67</v>
      </c>
      <c r="AB353" s="109" t="s">
        <v>54</v>
      </c>
      <c r="AC353" s="58" t="s">
        <v>240</v>
      </c>
    </row>
    <row r="354" spans="1:29" ht="15.75" thickBot="1" x14ac:dyDescent="0.3">
      <c r="A354" s="326">
        <v>45900</v>
      </c>
      <c r="B354" s="207">
        <v>3</v>
      </c>
      <c r="C354" s="208"/>
      <c r="D354" s="207" t="s">
        <v>209</v>
      </c>
      <c r="E354" s="209">
        <v>0.62</v>
      </c>
      <c r="F354" s="209"/>
      <c r="G354" s="460">
        <v>1</v>
      </c>
      <c r="H354" s="460">
        <v>2</v>
      </c>
      <c r="I354" s="211">
        <v>1.1100000000000001</v>
      </c>
      <c r="J354" s="211"/>
      <c r="K354" s="208"/>
      <c r="L354" s="207" t="s">
        <v>170</v>
      </c>
      <c r="M354" s="235"/>
      <c r="N354" s="347"/>
      <c r="O354" s="343" t="s">
        <v>209</v>
      </c>
      <c r="P354" s="199" t="s">
        <v>74</v>
      </c>
      <c r="Q354" s="199" t="s">
        <v>730</v>
      </c>
      <c r="R354" s="199" t="s">
        <v>707</v>
      </c>
      <c r="S354" s="479">
        <v>68</v>
      </c>
      <c r="T354" s="199"/>
      <c r="U354" s="199"/>
      <c r="V354" s="201"/>
      <c r="W354" s="202"/>
      <c r="X354" s="359"/>
      <c r="Y354" s="353">
        <f>H354</f>
        <v>2</v>
      </c>
      <c r="Z354" s="199"/>
      <c r="AA354" s="204"/>
      <c r="AB354" s="205"/>
      <c r="AC354" s="201"/>
    </row>
    <row r="355" spans="1:29" ht="15.75" thickBot="1" x14ac:dyDescent="0.3">
      <c r="A355" s="326">
        <v>45900</v>
      </c>
      <c r="B355" s="207">
        <v>3</v>
      </c>
      <c r="C355" s="208"/>
      <c r="D355" s="207" t="s">
        <v>209</v>
      </c>
      <c r="E355" s="209">
        <v>0.62</v>
      </c>
      <c r="F355" s="209"/>
      <c r="G355" s="460">
        <v>1</v>
      </c>
      <c r="H355" s="460">
        <v>2</v>
      </c>
      <c r="I355" s="211">
        <v>1.1100000000000001</v>
      </c>
      <c r="J355" s="211"/>
      <c r="K355" s="208"/>
      <c r="L355" s="207" t="s">
        <v>170</v>
      </c>
      <c r="M355" s="235"/>
      <c r="N355" s="347"/>
      <c r="O355" s="343" t="s">
        <v>170</v>
      </c>
      <c r="P355" s="199" t="s">
        <v>269</v>
      </c>
      <c r="Q355" s="199" t="s">
        <v>722</v>
      </c>
      <c r="R355" s="199" t="s">
        <v>707</v>
      </c>
      <c r="S355" s="7">
        <v>64</v>
      </c>
      <c r="T355" s="199"/>
      <c r="U355" s="199"/>
      <c r="V355" s="201"/>
      <c r="W355" s="202"/>
      <c r="X355" s="359"/>
      <c r="Y355" s="353">
        <f>G354</f>
        <v>1</v>
      </c>
      <c r="Z355" s="199"/>
      <c r="AA355" s="204"/>
      <c r="AB355" s="205"/>
      <c r="AC355" s="201"/>
    </row>
    <row r="356" spans="1:29" x14ac:dyDescent="0.25">
      <c r="A356" s="328">
        <v>45900</v>
      </c>
      <c r="B356" s="17">
        <v>3</v>
      </c>
      <c r="C356" s="123" t="s">
        <v>693</v>
      </c>
      <c r="D356" s="17" t="s">
        <v>192</v>
      </c>
      <c r="E356" s="18">
        <v>1.21</v>
      </c>
      <c r="F356" s="18"/>
      <c r="G356" s="461">
        <v>1</v>
      </c>
      <c r="H356" s="461">
        <v>0</v>
      </c>
      <c r="I356" s="20">
        <v>1.37</v>
      </c>
      <c r="J356" s="20"/>
      <c r="K356" s="123" t="s">
        <v>700</v>
      </c>
      <c r="L356" s="17" t="s">
        <v>227</v>
      </c>
      <c r="M356" s="46"/>
      <c r="N356" s="507">
        <v>1</v>
      </c>
      <c r="O356" s="508" t="s">
        <v>192</v>
      </c>
      <c r="P356" s="509" t="s">
        <v>196</v>
      </c>
      <c r="Q356" s="509" t="s">
        <v>75</v>
      </c>
      <c r="R356" s="509" t="s">
        <v>684</v>
      </c>
      <c r="S356" s="479">
        <v>63</v>
      </c>
      <c r="T356" s="509" t="s">
        <v>41</v>
      </c>
      <c r="U356" s="509" t="s">
        <v>42</v>
      </c>
      <c r="V356" s="510" t="s">
        <v>10</v>
      </c>
      <c r="W356" s="53">
        <v>0.25</v>
      </c>
      <c r="X356" s="360" t="s">
        <v>53</v>
      </c>
      <c r="Y356" s="354"/>
      <c r="Z356" s="17" t="s">
        <v>13</v>
      </c>
      <c r="AA356" s="114" t="s">
        <v>28</v>
      </c>
      <c r="AB356" s="110"/>
      <c r="AC356" s="60"/>
    </row>
    <row r="357" spans="1:29" x14ac:dyDescent="0.25">
      <c r="A357" s="329">
        <v>45900</v>
      </c>
      <c r="B357" s="5">
        <v>3</v>
      </c>
      <c r="D357" s="5" t="s">
        <v>192</v>
      </c>
      <c r="E357" s="6">
        <v>1.21</v>
      </c>
      <c r="G357" s="362">
        <v>1</v>
      </c>
      <c r="H357" s="362">
        <v>0</v>
      </c>
      <c r="I357" s="8">
        <v>1.37</v>
      </c>
      <c r="L357" s="5" t="s">
        <v>227</v>
      </c>
      <c r="N357" s="476">
        <v>14</v>
      </c>
      <c r="O357" s="477" t="s">
        <v>192</v>
      </c>
      <c r="P357" s="478" t="s">
        <v>198</v>
      </c>
      <c r="Q357" s="478" t="s">
        <v>199</v>
      </c>
      <c r="R357" s="478" t="s">
        <v>699</v>
      </c>
      <c r="S357" s="479">
        <v>68</v>
      </c>
      <c r="T357" s="478" t="s">
        <v>354</v>
      </c>
      <c r="U357" s="478" t="s">
        <v>43</v>
      </c>
      <c r="V357" s="480" t="s">
        <v>10</v>
      </c>
      <c r="W357" s="51">
        <v>0.06</v>
      </c>
      <c r="X357" s="357">
        <v>0.17</v>
      </c>
      <c r="Y357" s="351" t="s">
        <v>353</v>
      </c>
      <c r="Z357" s="5" t="s">
        <v>48</v>
      </c>
      <c r="AA357" s="112" t="s">
        <v>28</v>
      </c>
    </row>
    <row r="358" spans="1:29" x14ac:dyDescent="0.25">
      <c r="A358" s="329">
        <v>45900</v>
      </c>
      <c r="B358" s="5">
        <v>3</v>
      </c>
      <c r="D358" s="5" t="s">
        <v>192</v>
      </c>
      <c r="E358" s="6">
        <v>1.21</v>
      </c>
      <c r="G358" s="362">
        <v>1</v>
      </c>
      <c r="H358" s="362">
        <v>0</v>
      </c>
      <c r="I358" s="8">
        <v>1.37</v>
      </c>
      <c r="L358" s="5" t="s">
        <v>227</v>
      </c>
      <c r="N358" s="476">
        <v>14</v>
      </c>
      <c r="O358" s="477" t="s">
        <v>192</v>
      </c>
      <c r="P358" s="478" t="s">
        <v>196</v>
      </c>
      <c r="Q358" s="478" t="s">
        <v>75</v>
      </c>
      <c r="R358" s="478" t="s">
        <v>684</v>
      </c>
      <c r="S358" s="479">
        <v>63</v>
      </c>
      <c r="T358" s="478" t="s">
        <v>41</v>
      </c>
      <c r="U358" s="478" t="s">
        <v>42</v>
      </c>
      <c r="V358" s="480" t="s">
        <v>10</v>
      </c>
      <c r="W358" s="51">
        <v>0.22</v>
      </c>
      <c r="X358" s="357">
        <v>0.48</v>
      </c>
      <c r="Y358" s="351" t="s">
        <v>353</v>
      </c>
      <c r="Z358" s="5" t="s">
        <v>48</v>
      </c>
      <c r="AA358" s="112" t="s">
        <v>28</v>
      </c>
    </row>
    <row r="359" spans="1:29" x14ac:dyDescent="0.25">
      <c r="A359" s="329">
        <v>45900</v>
      </c>
      <c r="B359" s="5">
        <v>3</v>
      </c>
      <c r="D359" s="5" t="s">
        <v>192</v>
      </c>
      <c r="E359" s="6">
        <v>1.21</v>
      </c>
      <c r="G359" s="362">
        <v>1</v>
      </c>
      <c r="H359" s="362">
        <v>0</v>
      </c>
      <c r="I359" s="8">
        <v>1.37</v>
      </c>
      <c r="L359" s="5" t="s">
        <v>227</v>
      </c>
      <c r="N359" s="476">
        <v>16</v>
      </c>
      <c r="O359" s="477" t="s">
        <v>192</v>
      </c>
      <c r="P359" s="478" t="s">
        <v>278</v>
      </c>
      <c r="Q359" s="478" t="s">
        <v>279</v>
      </c>
      <c r="R359" s="478" t="s">
        <v>685</v>
      </c>
      <c r="S359" s="479">
        <v>61</v>
      </c>
      <c r="T359" s="478" t="s">
        <v>47</v>
      </c>
      <c r="U359" s="478" t="s">
        <v>45</v>
      </c>
      <c r="V359" s="480" t="s">
        <v>10</v>
      </c>
      <c r="W359" s="51">
        <v>0.16</v>
      </c>
      <c r="X359" s="357" t="s">
        <v>53</v>
      </c>
      <c r="Z359" s="5" t="s">
        <v>13</v>
      </c>
      <c r="AA359" s="112" t="s">
        <v>28</v>
      </c>
    </row>
    <row r="360" spans="1:29" x14ac:dyDescent="0.25">
      <c r="A360" s="329">
        <v>45900</v>
      </c>
      <c r="B360" s="5">
        <v>3</v>
      </c>
      <c r="D360" s="5" t="s">
        <v>192</v>
      </c>
      <c r="E360" s="6">
        <v>1.21</v>
      </c>
      <c r="G360" s="362">
        <v>1</v>
      </c>
      <c r="H360" s="362">
        <v>0</v>
      </c>
      <c r="I360" s="8">
        <v>1.37</v>
      </c>
      <c r="L360" s="5" t="s">
        <v>227</v>
      </c>
      <c r="N360" s="345">
        <v>21</v>
      </c>
      <c r="O360" s="38" t="s">
        <v>227</v>
      </c>
      <c r="P360" s="5" t="s">
        <v>238</v>
      </c>
      <c r="Q360" s="5" t="s">
        <v>239</v>
      </c>
      <c r="R360" s="5" t="s">
        <v>684</v>
      </c>
      <c r="S360" s="479">
        <v>65</v>
      </c>
      <c r="T360" s="5" t="s">
        <v>44</v>
      </c>
      <c r="U360" s="5" t="s">
        <v>43</v>
      </c>
      <c r="V360" s="57" t="s">
        <v>18</v>
      </c>
      <c r="W360" s="51">
        <v>0.18</v>
      </c>
      <c r="X360" s="357">
        <v>0.23</v>
      </c>
      <c r="Z360" s="5" t="s">
        <v>48</v>
      </c>
      <c r="AA360" s="112" t="s">
        <v>28</v>
      </c>
    </row>
    <row r="361" spans="1:29" x14ac:dyDescent="0.25">
      <c r="A361" s="329">
        <v>45900</v>
      </c>
      <c r="B361" s="5">
        <v>3</v>
      </c>
      <c r="D361" s="5" t="s">
        <v>192</v>
      </c>
      <c r="E361" s="6">
        <v>1.21</v>
      </c>
      <c r="G361" s="362">
        <v>1</v>
      </c>
      <c r="H361" s="362">
        <v>0</v>
      </c>
      <c r="I361" s="8">
        <v>1.37</v>
      </c>
      <c r="L361" s="5" t="s">
        <v>227</v>
      </c>
      <c r="N361" s="345">
        <v>25</v>
      </c>
      <c r="O361" s="38" t="s">
        <v>227</v>
      </c>
      <c r="P361" s="5" t="s">
        <v>344</v>
      </c>
      <c r="Q361" s="5" t="s">
        <v>345</v>
      </c>
      <c r="R361" s="5" t="s">
        <v>685</v>
      </c>
      <c r="S361" s="479">
        <v>70</v>
      </c>
      <c r="T361" s="5" t="s">
        <v>354</v>
      </c>
      <c r="U361" s="5" t="s">
        <v>42</v>
      </c>
      <c r="V361" s="57" t="s">
        <v>15</v>
      </c>
      <c r="W361" s="51">
        <v>0.11</v>
      </c>
      <c r="X361" s="357" t="s">
        <v>53</v>
      </c>
      <c r="Z361" s="5" t="s">
        <v>55</v>
      </c>
      <c r="AA361" s="112" t="s">
        <v>28</v>
      </c>
    </row>
    <row r="362" spans="1:29" x14ac:dyDescent="0.25">
      <c r="A362" s="329">
        <v>45900</v>
      </c>
      <c r="B362" s="5">
        <v>3</v>
      </c>
      <c r="D362" s="5" t="s">
        <v>192</v>
      </c>
      <c r="E362" s="6">
        <v>1.21</v>
      </c>
      <c r="G362" s="362">
        <v>1</v>
      </c>
      <c r="H362" s="362">
        <v>0</v>
      </c>
      <c r="I362" s="8">
        <v>1.37</v>
      </c>
      <c r="L362" s="5" t="s">
        <v>227</v>
      </c>
      <c r="N362" s="345" t="s">
        <v>63</v>
      </c>
      <c r="O362" s="38" t="s">
        <v>227</v>
      </c>
      <c r="P362" s="5" t="s">
        <v>135</v>
      </c>
      <c r="Q362" s="5" t="s">
        <v>346</v>
      </c>
      <c r="R362" s="5" t="s">
        <v>688</v>
      </c>
      <c r="S362" s="479">
        <v>65</v>
      </c>
      <c r="T362" s="5" t="s">
        <v>47</v>
      </c>
      <c r="U362" s="5" t="s">
        <v>42</v>
      </c>
      <c r="V362" s="57" t="s">
        <v>10</v>
      </c>
      <c r="W362" s="51">
        <v>0.11</v>
      </c>
      <c r="X362" s="357" t="s">
        <v>53</v>
      </c>
      <c r="Y362" s="351" t="s">
        <v>353</v>
      </c>
      <c r="Z362" s="5" t="s">
        <v>17</v>
      </c>
      <c r="AA362" s="112" t="s">
        <v>28</v>
      </c>
    </row>
    <row r="363" spans="1:29" x14ac:dyDescent="0.25">
      <c r="A363" s="329">
        <v>45900</v>
      </c>
      <c r="B363" s="5">
        <v>3</v>
      </c>
      <c r="D363" s="5" t="s">
        <v>192</v>
      </c>
      <c r="E363" s="6">
        <v>1.21</v>
      </c>
      <c r="G363" s="362">
        <v>1</v>
      </c>
      <c r="H363" s="362">
        <v>0</v>
      </c>
      <c r="I363" s="8">
        <v>1.37</v>
      </c>
      <c r="L363" s="5" t="s">
        <v>227</v>
      </c>
      <c r="N363" s="476">
        <v>53</v>
      </c>
      <c r="O363" s="477" t="s">
        <v>192</v>
      </c>
      <c r="P363" s="478" t="s">
        <v>46</v>
      </c>
      <c r="Q363" s="478" t="s">
        <v>191</v>
      </c>
      <c r="R363" s="478" t="s">
        <v>688</v>
      </c>
      <c r="S363" s="479">
        <v>82</v>
      </c>
      <c r="T363" s="478" t="s">
        <v>41</v>
      </c>
      <c r="U363" s="478" t="s">
        <v>43</v>
      </c>
      <c r="V363" s="480" t="s">
        <v>540</v>
      </c>
      <c r="W363" s="51">
        <v>0.05</v>
      </c>
      <c r="X363" s="357">
        <v>0.69</v>
      </c>
      <c r="Z363" s="5" t="s">
        <v>8</v>
      </c>
      <c r="AA363" s="112" t="s">
        <v>19</v>
      </c>
    </row>
    <row r="364" spans="1:29" x14ac:dyDescent="0.25">
      <c r="A364" s="329">
        <v>45900</v>
      </c>
      <c r="B364" s="5">
        <v>3</v>
      </c>
      <c r="D364" s="5" t="s">
        <v>192</v>
      </c>
      <c r="E364" s="6">
        <v>1.21</v>
      </c>
      <c r="G364" s="362">
        <v>1</v>
      </c>
      <c r="H364" s="362">
        <v>0</v>
      </c>
      <c r="I364" s="8">
        <v>1.37</v>
      </c>
      <c r="L364" s="5" t="s">
        <v>227</v>
      </c>
      <c r="N364" s="345">
        <v>75</v>
      </c>
      <c r="O364" s="38" t="s">
        <v>227</v>
      </c>
      <c r="P364" s="5" t="s">
        <v>238</v>
      </c>
      <c r="Q364" s="5" t="s">
        <v>239</v>
      </c>
      <c r="R364" s="5" t="s">
        <v>684</v>
      </c>
      <c r="S364" s="479">
        <v>65</v>
      </c>
      <c r="T364" s="5" t="s">
        <v>41</v>
      </c>
      <c r="U364" s="5" t="s">
        <v>45</v>
      </c>
      <c r="V364" s="57" t="s">
        <v>10</v>
      </c>
      <c r="W364" s="51">
        <v>0.17</v>
      </c>
      <c r="X364" s="357">
        <v>0.12</v>
      </c>
      <c r="Z364" s="5" t="s">
        <v>48</v>
      </c>
      <c r="AA364" s="112" t="s">
        <v>19</v>
      </c>
    </row>
    <row r="365" spans="1:29" x14ac:dyDescent="0.25">
      <c r="A365" s="329">
        <v>45900</v>
      </c>
      <c r="B365" s="5">
        <v>3</v>
      </c>
      <c r="D365" s="5" t="s">
        <v>192</v>
      </c>
      <c r="E365" s="6">
        <v>1.21</v>
      </c>
      <c r="G365" s="362">
        <v>1</v>
      </c>
      <c r="H365" s="362">
        <v>0</v>
      </c>
      <c r="I365" s="8">
        <v>1.37</v>
      </c>
      <c r="L365" s="5" t="s">
        <v>227</v>
      </c>
      <c r="N365" s="345">
        <v>80</v>
      </c>
      <c r="O365" s="38" t="s">
        <v>227</v>
      </c>
      <c r="P365" s="5" t="s">
        <v>238</v>
      </c>
      <c r="Q365" s="5" t="s">
        <v>239</v>
      </c>
      <c r="R365" s="5" t="s">
        <v>684</v>
      </c>
      <c r="S365" s="479">
        <v>65</v>
      </c>
      <c r="T365" s="5" t="s">
        <v>41</v>
      </c>
      <c r="U365" s="5" t="s">
        <v>43</v>
      </c>
      <c r="V365" s="57" t="s">
        <v>29</v>
      </c>
      <c r="W365" s="51">
        <v>0.02</v>
      </c>
      <c r="X365" s="357">
        <v>0.22</v>
      </c>
      <c r="Z365" s="5" t="s">
        <v>48</v>
      </c>
      <c r="AA365" s="112" t="s">
        <v>19</v>
      </c>
    </row>
    <row r="366" spans="1:29" x14ac:dyDescent="0.25">
      <c r="A366" s="329">
        <v>45900</v>
      </c>
      <c r="B366" s="5">
        <v>3</v>
      </c>
      <c r="D366" s="5" t="s">
        <v>192</v>
      </c>
      <c r="E366" s="6">
        <v>1.21</v>
      </c>
      <c r="G366" s="362">
        <v>1</v>
      </c>
      <c r="H366" s="362">
        <v>0</v>
      </c>
      <c r="I366" s="8">
        <v>1.37</v>
      </c>
      <c r="L366" s="5" t="s">
        <v>227</v>
      </c>
      <c r="N366" s="345" t="s">
        <v>35</v>
      </c>
      <c r="O366" s="38" t="s">
        <v>227</v>
      </c>
      <c r="P366" s="5" t="s">
        <v>347</v>
      </c>
      <c r="Q366" s="5" t="s">
        <v>348</v>
      </c>
      <c r="R366" s="5" t="s">
        <v>728</v>
      </c>
      <c r="S366" s="481">
        <v>62</v>
      </c>
      <c r="T366" s="5" t="s">
        <v>47</v>
      </c>
      <c r="U366" s="5" t="s">
        <v>42</v>
      </c>
      <c r="V366" s="57" t="s">
        <v>10</v>
      </c>
      <c r="W366" s="51">
        <v>0.68</v>
      </c>
      <c r="X366" s="357" t="s">
        <v>53</v>
      </c>
      <c r="Y366" s="351" t="s">
        <v>353</v>
      </c>
      <c r="Z366" s="5" t="s">
        <v>13</v>
      </c>
      <c r="AA366" s="112" t="s">
        <v>19</v>
      </c>
    </row>
    <row r="367" spans="1:29" ht="15.75" thickBot="1" x14ac:dyDescent="0.3">
      <c r="A367" s="330">
        <v>45900</v>
      </c>
      <c r="B367" s="9">
        <v>3</v>
      </c>
      <c r="C367" s="122"/>
      <c r="D367" s="9" t="s">
        <v>192</v>
      </c>
      <c r="E367" s="10">
        <v>1.21</v>
      </c>
      <c r="F367" s="10"/>
      <c r="G367" s="383">
        <v>1</v>
      </c>
      <c r="H367" s="383">
        <v>0</v>
      </c>
      <c r="I367" s="12">
        <v>1.37</v>
      </c>
      <c r="J367" s="12"/>
      <c r="K367" s="122"/>
      <c r="L367" s="9" t="s">
        <v>227</v>
      </c>
      <c r="M367" s="45"/>
      <c r="N367" s="511" t="s">
        <v>31</v>
      </c>
      <c r="O367" s="512" t="s">
        <v>192</v>
      </c>
      <c r="P367" s="513" t="s">
        <v>343</v>
      </c>
      <c r="Q367" s="513" t="s">
        <v>342</v>
      </c>
      <c r="R367" s="513" t="s">
        <v>696</v>
      </c>
      <c r="S367" s="481">
        <v>62</v>
      </c>
      <c r="T367" s="513" t="s">
        <v>44</v>
      </c>
      <c r="U367" s="513" t="s">
        <v>43</v>
      </c>
      <c r="V367" s="514" t="s">
        <v>18</v>
      </c>
      <c r="W367" s="52">
        <v>0.32</v>
      </c>
      <c r="X367" s="358" t="s">
        <v>53</v>
      </c>
      <c r="Y367" s="352"/>
      <c r="Z367" s="9" t="s">
        <v>13</v>
      </c>
      <c r="AA367" s="113" t="s">
        <v>19</v>
      </c>
      <c r="AB367" s="109"/>
      <c r="AC367" s="58"/>
    </row>
    <row r="368" spans="1:29" ht="15.75" thickBot="1" x14ac:dyDescent="0.3">
      <c r="A368" s="326">
        <v>45900</v>
      </c>
      <c r="B368" s="207">
        <v>3</v>
      </c>
      <c r="C368" s="208"/>
      <c r="D368" s="207" t="s">
        <v>192</v>
      </c>
      <c r="E368" s="209">
        <v>1.21</v>
      </c>
      <c r="F368" s="209"/>
      <c r="G368" s="460">
        <v>1</v>
      </c>
      <c r="H368" s="460">
        <v>0</v>
      </c>
      <c r="I368" s="211">
        <v>1.37</v>
      </c>
      <c r="J368" s="211"/>
      <c r="K368" s="208"/>
      <c r="L368" s="207" t="s">
        <v>227</v>
      </c>
      <c r="M368" s="235"/>
      <c r="N368" s="347"/>
      <c r="O368" s="343" t="s">
        <v>192</v>
      </c>
      <c r="P368" s="199" t="s">
        <v>723</v>
      </c>
      <c r="Q368" s="199" t="s">
        <v>724</v>
      </c>
      <c r="R368" s="199" t="s">
        <v>707</v>
      </c>
      <c r="S368" s="7">
        <v>70</v>
      </c>
      <c r="T368" s="199"/>
      <c r="U368" s="199"/>
      <c r="V368" s="201"/>
      <c r="W368" s="202"/>
      <c r="X368" s="359"/>
      <c r="Y368" s="353">
        <f>H368</f>
        <v>0</v>
      </c>
      <c r="Z368" s="199"/>
      <c r="AA368" s="204"/>
      <c r="AB368" s="205"/>
      <c r="AC368" s="201"/>
    </row>
    <row r="369" spans="1:29" ht="15.75" thickBot="1" x14ac:dyDescent="0.3">
      <c r="A369" s="326">
        <v>45900</v>
      </c>
      <c r="B369" s="207">
        <v>3</v>
      </c>
      <c r="C369" s="208"/>
      <c r="D369" s="207" t="s">
        <v>192</v>
      </c>
      <c r="E369" s="209">
        <v>1.21</v>
      </c>
      <c r="F369" s="209"/>
      <c r="G369" s="460">
        <v>1</v>
      </c>
      <c r="H369" s="460">
        <v>0</v>
      </c>
      <c r="I369" s="211">
        <v>1.37</v>
      </c>
      <c r="J369" s="211"/>
      <c r="K369" s="208"/>
      <c r="L369" s="207" t="s">
        <v>227</v>
      </c>
      <c r="M369" s="235"/>
      <c r="N369" s="347"/>
      <c r="O369" s="343" t="s">
        <v>227</v>
      </c>
      <c r="P369" s="199" t="s">
        <v>298</v>
      </c>
      <c r="Q369" s="199" t="s">
        <v>86</v>
      </c>
      <c r="R369" s="199" t="s">
        <v>707</v>
      </c>
      <c r="S369" s="479">
        <v>68</v>
      </c>
      <c r="T369" s="199"/>
      <c r="U369" s="199"/>
      <c r="V369" s="201"/>
      <c r="W369" s="202"/>
      <c r="X369" s="359"/>
      <c r="Y369" s="353">
        <f>G368</f>
        <v>1</v>
      </c>
      <c r="Z369" s="199"/>
      <c r="AA369" s="204"/>
      <c r="AB369" s="205"/>
      <c r="AC369" s="201"/>
    </row>
    <row r="370" spans="1:29" x14ac:dyDescent="0.25">
      <c r="A370" s="328">
        <v>45900</v>
      </c>
      <c r="B370" s="17">
        <v>3</v>
      </c>
      <c r="C370" s="123" t="s">
        <v>694</v>
      </c>
      <c r="D370" s="17" t="s">
        <v>70</v>
      </c>
      <c r="E370" s="18">
        <v>1.85</v>
      </c>
      <c r="F370" s="18"/>
      <c r="G370" s="461">
        <v>1</v>
      </c>
      <c r="H370" s="461">
        <v>1</v>
      </c>
      <c r="I370" s="20">
        <v>1.83</v>
      </c>
      <c r="J370" s="20"/>
      <c r="K370" s="123" t="s">
        <v>693</v>
      </c>
      <c r="L370" s="17" t="s">
        <v>113</v>
      </c>
      <c r="M370" s="46"/>
      <c r="N370" s="348">
        <v>7</v>
      </c>
      <c r="O370" s="456" t="s">
        <v>113</v>
      </c>
      <c r="P370" s="17" t="s">
        <v>53</v>
      </c>
      <c r="Q370" s="17" t="s">
        <v>117</v>
      </c>
      <c r="R370" s="17" t="s">
        <v>685</v>
      </c>
      <c r="S370" s="7">
        <v>65</v>
      </c>
      <c r="T370" s="17" t="s">
        <v>41</v>
      </c>
      <c r="U370" s="17" t="s">
        <v>42</v>
      </c>
      <c r="V370" s="59" t="s">
        <v>540</v>
      </c>
      <c r="W370" s="53">
        <v>0.21</v>
      </c>
      <c r="X370" s="360" t="s">
        <v>53</v>
      </c>
      <c r="Y370" s="354" t="s">
        <v>353</v>
      </c>
      <c r="Z370" s="17" t="s">
        <v>13</v>
      </c>
      <c r="AA370" s="114" t="s">
        <v>28</v>
      </c>
      <c r="AB370" s="110"/>
      <c r="AC370" s="60"/>
    </row>
    <row r="371" spans="1:29" x14ac:dyDescent="0.25">
      <c r="A371" s="329">
        <v>45900</v>
      </c>
      <c r="B371" s="5">
        <v>3</v>
      </c>
      <c r="D371" s="5" t="s">
        <v>70</v>
      </c>
      <c r="E371" s="6">
        <v>1.85</v>
      </c>
      <c r="G371" s="362">
        <v>1</v>
      </c>
      <c r="H371" s="362">
        <v>1</v>
      </c>
      <c r="I371" s="8">
        <v>1.83</v>
      </c>
      <c r="L371" s="5" t="s">
        <v>113</v>
      </c>
      <c r="N371" s="476">
        <v>12</v>
      </c>
      <c r="O371" s="477" t="s">
        <v>70</v>
      </c>
      <c r="P371" s="478" t="s">
        <v>349</v>
      </c>
      <c r="Q371" s="478" t="s">
        <v>350</v>
      </c>
      <c r="R371" s="478" t="s">
        <v>689</v>
      </c>
      <c r="S371" s="479">
        <v>64</v>
      </c>
      <c r="T371" s="478" t="s">
        <v>41</v>
      </c>
      <c r="U371" s="478" t="s">
        <v>42</v>
      </c>
      <c r="V371" s="480" t="s">
        <v>10</v>
      </c>
      <c r="W371" s="51">
        <v>0.47</v>
      </c>
      <c r="X371" s="357">
        <v>0.33</v>
      </c>
      <c r="Y371" s="351" t="s">
        <v>353</v>
      </c>
      <c r="Z371" s="5" t="s">
        <v>48</v>
      </c>
      <c r="AA371" s="112" t="s">
        <v>28</v>
      </c>
    </row>
    <row r="372" spans="1:29" x14ac:dyDescent="0.25">
      <c r="A372" s="329">
        <v>45900</v>
      </c>
      <c r="B372" s="5">
        <v>3</v>
      </c>
      <c r="D372" s="5" t="s">
        <v>70</v>
      </c>
      <c r="E372" s="6">
        <v>1.85</v>
      </c>
      <c r="G372" s="362">
        <v>1</v>
      </c>
      <c r="H372" s="362">
        <v>1</v>
      </c>
      <c r="I372" s="8">
        <v>1.83</v>
      </c>
      <c r="L372" s="5" t="s">
        <v>113</v>
      </c>
      <c r="N372" s="476">
        <v>12</v>
      </c>
      <c r="O372" s="477" t="s">
        <v>70</v>
      </c>
      <c r="P372" s="478" t="s">
        <v>72</v>
      </c>
      <c r="Q372" s="478" t="s">
        <v>73</v>
      </c>
      <c r="R372" s="478" t="s">
        <v>686</v>
      </c>
      <c r="S372" s="479">
        <v>67</v>
      </c>
      <c r="T372" s="478" t="s">
        <v>47</v>
      </c>
      <c r="U372" s="478" t="s">
        <v>42</v>
      </c>
      <c r="V372" s="480" t="s">
        <v>540</v>
      </c>
      <c r="W372" s="51">
        <v>0.11</v>
      </c>
      <c r="X372" s="357" t="s">
        <v>53</v>
      </c>
      <c r="Z372" s="5" t="s">
        <v>52</v>
      </c>
      <c r="AA372" s="112" t="s">
        <v>28</v>
      </c>
    </row>
    <row r="373" spans="1:29" x14ac:dyDescent="0.25">
      <c r="A373" s="329">
        <v>45900</v>
      </c>
      <c r="B373" s="5">
        <v>3</v>
      </c>
      <c r="D373" s="5" t="s">
        <v>70</v>
      </c>
      <c r="E373" s="6">
        <v>1.85</v>
      </c>
      <c r="G373" s="362">
        <v>1</v>
      </c>
      <c r="H373" s="362">
        <v>1</v>
      </c>
      <c r="I373" s="8">
        <v>1.83</v>
      </c>
      <c r="L373" s="5" t="s">
        <v>113</v>
      </c>
      <c r="N373" s="476">
        <v>34</v>
      </c>
      <c r="O373" s="477" t="s">
        <v>70</v>
      </c>
      <c r="P373" s="478" t="s">
        <v>351</v>
      </c>
      <c r="Q373" s="478" t="s">
        <v>62</v>
      </c>
      <c r="R373" s="478" t="s">
        <v>713</v>
      </c>
      <c r="S373" s="479">
        <v>66</v>
      </c>
      <c r="T373" s="478" t="s">
        <v>41</v>
      </c>
      <c r="U373" s="478" t="s">
        <v>45</v>
      </c>
      <c r="V373" s="480" t="s">
        <v>20</v>
      </c>
      <c r="W373" s="51">
        <v>0.06</v>
      </c>
      <c r="X373" s="357">
        <v>0.13</v>
      </c>
      <c r="Z373" s="5" t="s">
        <v>48</v>
      </c>
      <c r="AA373" s="112" t="s">
        <v>28</v>
      </c>
    </row>
    <row r="374" spans="1:29" x14ac:dyDescent="0.25">
      <c r="A374" s="329">
        <v>45900</v>
      </c>
      <c r="B374" s="5">
        <v>3</v>
      </c>
      <c r="D374" s="5" t="s">
        <v>70</v>
      </c>
      <c r="E374" s="6">
        <v>1.85</v>
      </c>
      <c r="G374" s="362">
        <v>1</v>
      </c>
      <c r="H374" s="362">
        <v>1</v>
      </c>
      <c r="I374" s="8">
        <v>1.83</v>
      </c>
      <c r="L374" s="5" t="s">
        <v>113</v>
      </c>
      <c r="N374" s="345">
        <v>40</v>
      </c>
      <c r="O374" s="38" t="s">
        <v>113</v>
      </c>
      <c r="P374" s="5" t="s">
        <v>120</v>
      </c>
      <c r="Q374" s="5" t="s">
        <v>121</v>
      </c>
      <c r="R374" s="5" t="s">
        <v>686</v>
      </c>
      <c r="S374" s="479">
        <v>82</v>
      </c>
      <c r="T374" s="5" t="s">
        <v>41</v>
      </c>
      <c r="U374" s="5" t="s">
        <v>43</v>
      </c>
      <c r="V374" s="57" t="s">
        <v>7</v>
      </c>
      <c r="W374" s="51">
        <v>0.79</v>
      </c>
      <c r="X374" s="357">
        <v>0.81</v>
      </c>
      <c r="Y374" s="351" t="s">
        <v>353</v>
      </c>
      <c r="Z374" s="5" t="s">
        <v>8</v>
      </c>
      <c r="AA374" s="112" t="s">
        <v>9</v>
      </c>
    </row>
    <row r="375" spans="1:29" x14ac:dyDescent="0.25">
      <c r="A375" s="329">
        <v>45900</v>
      </c>
      <c r="B375" s="5">
        <v>3</v>
      </c>
      <c r="D375" s="5" t="s">
        <v>70</v>
      </c>
      <c r="E375" s="6">
        <v>1.85</v>
      </c>
      <c r="G375" s="362">
        <v>1</v>
      </c>
      <c r="H375" s="362">
        <v>1</v>
      </c>
      <c r="I375" s="8">
        <v>1.83</v>
      </c>
      <c r="L375" s="5" t="s">
        <v>113</v>
      </c>
      <c r="N375" s="476">
        <v>42</v>
      </c>
      <c r="O375" s="477" t="s">
        <v>70</v>
      </c>
      <c r="P375" s="478" t="s">
        <v>76</v>
      </c>
      <c r="Q375" s="478" t="s">
        <v>77</v>
      </c>
      <c r="R375" s="478" t="s">
        <v>718</v>
      </c>
      <c r="S375" s="479">
        <v>75</v>
      </c>
      <c r="T375" s="478" t="s">
        <v>41</v>
      </c>
      <c r="U375" s="478" t="s">
        <v>43</v>
      </c>
      <c r="V375" s="480" t="s">
        <v>10</v>
      </c>
      <c r="W375" s="51">
        <v>0.14000000000000001</v>
      </c>
      <c r="X375" s="357" t="s">
        <v>53</v>
      </c>
      <c r="Z375" s="5" t="s">
        <v>13</v>
      </c>
      <c r="AA375" s="112" t="s">
        <v>9</v>
      </c>
    </row>
    <row r="376" spans="1:29" x14ac:dyDescent="0.25">
      <c r="A376" s="329">
        <v>45900</v>
      </c>
      <c r="B376" s="5">
        <v>3</v>
      </c>
      <c r="D376" s="5" t="s">
        <v>70</v>
      </c>
      <c r="E376" s="6">
        <v>1.85</v>
      </c>
      <c r="G376" s="362">
        <v>1</v>
      </c>
      <c r="H376" s="362">
        <v>1</v>
      </c>
      <c r="I376" s="8">
        <v>1.83</v>
      </c>
      <c r="L376" s="5" t="s">
        <v>113</v>
      </c>
      <c r="N376" s="345" t="s">
        <v>63</v>
      </c>
      <c r="O376" s="38" t="s">
        <v>113</v>
      </c>
      <c r="P376" s="5" t="s">
        <v>124</v>
      </c>
      <c r="Q376" s="5" t="s">
        <v>125</v>
      </c>
      <c r="R376" s="5" t="s">
        <v>699</v>
      </c>
      <c r="S376" s="479">
        <v>63</v>
      </c>
      <c r="T376" s="5" t="s">
        <v>41</v>
      </c>
      <c r="U376" s="5" t="s">
        <v>42</v>
      </c>
      <c r="V376" s="57" t="s">
        <v>540</v>
      </c>
      <c r="W376" s="51">
        <v>0.3</v>
      </c>
      <c r="X376" s="357" t="s">
        <v>53</v>
      </c>
      <c r="Y376" s="351" t="s">
        <v>353</v>
      </c>
      <c r="Z376" s="5" t="s">
        <v>13</v>
      </c>
      <c r="AA376" s="112" t="s">
        <v>9</v>
      </c>
    </row>
    <row r="377" spans="1:29" x14ac:dyDescent="0.25">
      <c r="A377" s="329">
        <v>45900</v>
      </c>
      <c r="B377" s="5">
        <v>3</v>
      </c>
      <c r="D377" s="5" t="s">
        <v>70</v>
      </c>
      <c r="E377" s="6">
        <v>1.85</v>
      </c>
      <c r="G377" s="362">
        <v>1</v>
      </c>
      <c r="H377" s="362">
        <v>1</v>
      </c>
      <c r="I377" s="8">
        <v>1.83</v>
      </c>
      <c r="L377" s="5" t="s">
        <v>113</v>
      </c>
      <c r="N377" s="345">
        <v>48</v>
      </c>
      <c r="O377" s="38" t="s">
        <v>113</v>
      </c>
      <c r="P377" s="5" t="s">
        <v>124</v>
      </c>
      <c r="Q377" s="5" t="s">
        <v>125</v>
      </c>
      <c r="R377" s="5" t="s">
        <v>699</v>
      </c>
      <c r="S377" s="7">
        <v>63</v>
      </c>
      <c r="T377" s="5" t="s">
        <v>44</v>
      </c>
      <c r="U377" s="5" t="s">
        <v>42</v>
      </c>
      <c r="V377" s="57" t="s">
        <v>10</v>
      </c>
      <c r="W377" s="51">
        <v>7.0000000000000007E-2</v>
      </c>
      <c r="X377" s="357" t="s">
        <v>53</v>
      </c>
      <c r="Z377" s="5" t="s">
        <v>22</v>
      </c>
      <c r="AA377" s="112" t="s">
        <v>9</v>
      </c>
    </row>
    <row r="378" spans="1:29" x14ac:dyDescent="0.25">
      <c r="A378" s="329">
        <v>45900</v>
      </c>
      <c r="B378" s="5">
        <v>3</v>
      </c>
      <c r="D378" s="5" t="s">
        <v>70</v>
      </c>
      <c r="E378" s="6">
        <v>1.85</v>
      </c>
      <c r="G378" s="362">
        <v>1</v>
      </c>
      <c r="H378" s="362">
        <v>1</v>
      </c>
      <c r="I378" s="8">
        <v>1.83</v>
      </c>
      <c r="L378" s="5" t="s">
        <v>113</v>
      </c>
      <c r="N378" s="476">
        <v>67</v>
      </c>
      <c r="O378" s="477" t="s">
        <v>70</v>
      </c>
      <c r="P378" s="478" t="s">
        <v>255</v>
      </c>
      <c r="Q378" s="478" t="s">
        <v>352</v>
      </c>
      <c r="R378" s="478" t="s">
        <v>696</v>
      </c>
      <c r="S378" s="479">
        <v>69</v>
      </c>
      <c r="T378" s="478" t="s">
        <v>41</v>
      </c>
      <c r="U378" s="478" t="s">
        <v>42</v>
      </c>
      <c r="V378" s="480" t="s">
        <v>20</v>
      </c>
      <c r="W378" s="51">
        <v>0.15</v>
      </c>
      <c r="X378" s="357">
        <v>0.64</v>
      </c>
      <c r="Y378" s="351" t="s">
        <v>353</v>
      </c>
      <c r="Z378" s="5" t="s">
        <v>8</v>
      </c>
      <c r="AA378" s="112" t="s">
        <v>51</v>
      </c>
      <c r="AB378" s="108" t="s">
        <v>76</v>
      </c>
      <c r="AC378" s="57" t="s">
        <v>77</v>
      </c>
    </row>
    <row r="379" spans="1:29" x14ac:dyDescent="0.25">
      <c r="A379" s="329">
        <v>45900</v>
      </c>
      <c r="B379" s="5">
        <v>3</v>
      </c>
      <c r="D379" s="5" t="s">
        <v>70</v>
      </c>
      <c r="E379" s="6">
        <v>1.85</v>
      </c>
      <c r="G379" s="362">
        <v>1</v>
      </c>
      <c r="H379" s="362">
        <v>1</v>
      </c>
      <c r="I379" s="8">
        <v>1.83</v>
      </c>
      <c r="L379" s="5" t="s">
        <v>113</v>
      </c>
      <c r="N379" s="476">
        <v>73</v>
      </c>
      <c r="O379" s="477" t="s">
        <v>70</v>
      </c>
      <c r="P379" s="478" t="s">
        <v>72</v>
      </c>
      <c r="Q379" s="478" t="s">
        <v>73</v>
      </c>
      <c r="R379" s="478" t="s">
        <v>686</v>
      </c>
      <c r="S379" s="479">
        <v>67</v>
      </c>
      <c r="T379" s="478" t="s">
        <v>41</v>
      </c>
      <c r="U379" s="478" t="s">
        <v>42</v>
      </c>
      <c r="V379" s="480" t="s">
        <v>18</v>
      </c>
      <c r="W379" s="51">
        <v>0.51</v>
      </c>
      <c r="X379" s="357">
        <v>0.44</v>
      </c>
      <c r="Y379" s="351" t="s">
        <v>353</v>
      </c>
      <c r="Z379" s="5" t="s">
        <v>48</v>
      </c>
      <c r="AA379" s="112" t="s">
        <v>51</v>
      </c>
    </row>
    <row r="380" spans="1:29" x14ac:dyDescent="0.25">
      <c r="A380" s="329">
        <v>45900</v>
      </c>
      <c r="B380" s="5">
        <v>3</v>
      </c>
      <c r="D380" s="5" t="s">
        <v>70</v>
      </c>
      <c r="E380" s="6">
        <v>1.85</v>
      </c>
      <c r="G380" s="362">
        <v>1</v>
      </c>
      <c r="H380" s="362">
        <v>1</v>
      </c>
      <c r="I380" s="8">
        <v>1.83</v>
      </c>
      <c r="L380" s="5" t="s">
        <v>113</v>
      </c>
      <c r="N380" s="345">
        <v>78</v>
      </c>
      <c r="O380" s="38" t="s">
        <v>113</v>
      </c>
      <c r="P380" s="5" t="s">
        <v>267</v>
      </c>
      <c r="Q380" s="5" t="s">
        <v>75</v>
      </c>
      <c r="R380" s="5" t="s">
        <v>713</v>
      </c>
      <c r="S380" s="481">
        <v>66</v>
      </c>
      <c r="T380" s="5" t="s">
        <v>47</v>
      </c>
      <c r="U380" s="5" t="s">
        <v>45</v>
      </c>
      <c r="V380" s="57" t="s">
        <v>20</v>
      </c>
      <c r="W380" s="51">
        <v>0.12</v>
      </c>
      <c r="X380" s="357" t="s">
        <v>53</v>
      </c>
      <c r="Z380" s="5" t="s">
        <v>13</v>
      </c>
      <c r="AA380" s="112" t="s">
        <v>51</v>
      </c>
    </row>
    <row r="381" spans="1:29" x14ac:dyDescent="0.25">
      <c r="A381" s="329">
        <v>45900</v>
      </c>
      <c r="B381" s="5">
        <v>3</v>
      </c>
      <c r="D381" s="5" t="s">
        <v>70</v>
      </c>
      <c r="E381" s="6">
        <v>1.85</v>
      </c>
      <c r="G381" s="362">
        <v>1</v>
      </c>
      <c r="H381" s="362">
        <v>1</v>
      </c>
      <c r="I381" s="8">
        <v>1.83</v>
      </c>
      <c r="L381" s="5" t="s">
        <v>113</v>
      </c>
      <c r="N381" s="476">
        <v>90</v>
      </c>
      <c r="O381" s="477" t="s">
        <v>70</v>
      </c>
      <c r="P381" s="478" t="s">
        <v>255</v>
      </c>
      <c r="Q381" s="478" t="s">
        <v>352</v>
      </c>
      <c r="R381" s="478" t="s">
        <v>696</v>
      </c>
      <c r="S381" s="481">
        <v>69</v>
      </c>
      <c r="T381" s="478" t="s">
        <v>41</v>
      </c>
      <c r="U381" s="478" t="s">
        <v>42</v>
      </c>
      <c r="V381" s="480" t="s">
        <v>10</v>
      </c>
      <c r="W381" s="51">
        <v>0.14000000000000001</v>
      </c>
      <c r="X381" s="357">
        <v>0.15</v>
      </c>
      <c r="Y381" s="351" t="s">
        <v>353</v>
      </c>
      <c r="Z381" s="5" t="s">
        <v>48</v>
      </c>
      <c r="AA381" s="112" t="s">
        <v>51</v>
      </c>
    </row>
    <row r="382" spans="1:29" x14ac:dyDescent="0.25">
      <c r="A382" s="329">
        <v>45900</v>
      </c>
      <c r="B382" s="5">
        <v>3</v>
      </c>
      <c r="D382" s="5" t="s">
        <v>70</v>
      </c>
      <c r="E382" s="6">
        <v>1.85</v>
      </c>
      <c r="G382" s="362">
        <v>1</v>
      </c>
      <c r="H382" s="362">
        <v>1</v>
      </c>
      <c r="I382" s="8">
        <v>1.83</v>
      </c>
      <c r="L382" s="5" t="s">
        <v>113</v>
      </c>
      <c r="N382" s="476">
        <v>90</v>
      </c>
      <c r="O382" s="477" t="s">
        <v>70</v>
      </c>
      <c r="P382" s="478" t="s">
        <v>298</v>
      </c>
      <c r="Q382" s="478" t="s">
        <v>299</v>
      </c>
      <c r="R382" s="478" t="s">
        <v>696</v>
      </c>
      <c r="S382" s="479">
        <v>59</v>
      </c>
      <c r="T382" s="478" t="s">
        <v>41</v>
      </c>
      <c r="U382" s="478" t="s">
        <v>42</v>
      </c>
      <c r="V382" s="480" t="s">
        <v>540</v>
      </c>
      <c r="W382" s="51">
        <v>0.17</v>
      </c>
      <c r="X382" s="357">
        <v>0.08</v>
      </c>
      <c r="Y382" s="351" t="s">
        <v>353</v>
      </c>
      <c r="Z382" s="5" t="s">
        <v>48</v>
      </c>
      <c r="AA382" s="112" t="s">
        <v>51</v>
      </c>
    </row>
    <row r="383" spans="1:29" ht="15.75" thickBot="1" x14ac:dyDescent="0.3">
      <c r="A383" s="330">
        <v>45900</v>
      </c>
      <c r="B383" s="9">
        <v>3</v>
      </c>
      <c r="C383" s="122"/>
      <c r="D383" s="9" t="s">
        <v>70</v>
      </c>
      <c r="E383" s="10">
        <v>1.85</v>
      </c>
      <c r="F383" s="10"/>
      <c r="G383" s="383">
        <v>1</v>
      </c>
      <c r="H383" s="383">
        <v>1</v>
      </c>
      <c r="I383" s="12">
        <v>1.83</v>
      </c>
      <c r="J383" s="12"/>
      <c r="K383" s="122"/>
      <c r="L383" s="9" t="s">
        <v>113</v>
      </c>
      <c r="M383" s="45"/>
      <c r="N383" s="346" t="s">
        <v>268</v>
      </c>
      <c r="O383" s="454" t="s">
        <v>113</v>
      </c>
      <c r="P383" s="9" t="s">
        <v>267</v>
      </c>
      <c r="Q383" s="9" t="s">
        <v>75</v>
      </c>
      <c r="R383" s="9" t="s">
        <v>713</v>
      </c>
      <c r="S383" s="479">
        <v>66</v>
      </c>
      <c r="T383" s="9" t="s">
        <v>41</v>
      </c>
      <c r="U383" s="9" t="s">
        <v>45</v>
      </c>
      <c r="V383" s="58" t="s">
        <v>10</v>
      </c>
      <c r="W383" s="52">
        <v>0.14000000000000001</v>
      </c>
      <c r="X383" s="358" t="s">
        <v>53</v>
      </c>
      <c r="Y383" s="352"/>
      <c r="Z383" s="9" t="s">
        <v>13</v>
      </c>
      <c r="AA383" s="113" t="s">
        <v>51</v>
      </c>
      <c r="AB383" s="109"/>
      <c r="AC383" s="58"/>
    </row>
    <row r="384" spans="1:29" ht="15.75" thickBot="1" x14ac:dyDescent="0.3">
      <c r="A384" s="326">
        <v>45900</v>
      </c>
      <c r="B384" s="207">
        <v>3</v>
      </c>
      <c r="C384" s="208"/>
      <c r="D384" s="207" t="s">
        <v>70</v>
      </c>
      <c r="E384" s="209">
        <v>1.85</v>
      </c>
      <c r="F384" s="209"/>
      <c r="G384" s="460">
        <v>1</v>
      </c>
      <c r="H384" s="460">
        <v>1</v>
      </c>
      <c r="I384" s="211">
        <v>1.83</v>
      </c>
      <c r="J384" s="211"/>
      <c r="K384" s="208"/>
      <c r="L384" s="207" t="s">
        <v>113</v>
      </c>
      <c r="M384" s="235"/>
      <c r="N384" s="347"/>
      <c r="O384" s="343" t="s">
        <v>70</v>
      </c>
      <c r="P384" s="199" t="s">
        <v>714</v>
      </c>
      <c r="Q384" s="199" t="s">
        <v>715</v>
      </c>
      <c r="R384" s="199" t="s">
        <v>707</v>
      </c>
      <c r="S384" s="479">
        <v>65</v>
      </c>
      <c r="T384" s="199"/>
      <c r="U384" s="199"/>
      <c r="V384" s="201"/>
      <c r="W384" s="202"/>
      <c r="X384" s="359"/>
      <c r="Y384" s="353">
        <f>H384</f>
        <v>1</v>
      </c>
      <c r="Z384" s="199"/>
      <c r="AA384" s="204"/>
      <c r="AB384" s="205"/>
      <c r="AC384" s="201"/>
    </row>
    <row r="385" spans="1:29" ht="15.75" thickBot="1" x14ac:dyDescent="0.3">
      <c r="A385" s="326">
        <v>45900</v>
      </c>
      <c r="B385" s="207">
        <v>3</v>
      </c>
      <c r="C385" s="208"/>
      <c r="D385" s="207" t="s">
        <v>70</v>
      </c>
      <c r="E385" s="209">
        <v>1.85</v>
      </c>
      <c r="F385" s="209"/>
      <c r="G385" s="460">
        <v>1</v>
      </c>
      <c r="H385" s="460">
        <v>1</v>
      </c>
      <c r="I385" s="211">
        <v>1.83</v>
      </c>
      <c r="J385" s="211"/>
      <c r="K385" s="208"/>
      <c r="L385" s="207" t="s">
        <v>113</v>
      </c>
      <c r="M385" s="235"/>
      <c r="N385" s="347"/>
      <c r="O385" s="343" t="s">
        <v>113</v>
      </c>
      <c r="P385" s="199" t="s">
        <v>475</v>
      </c>
      <c r="Q385" s="199" t="s">
        <v>75</v>
      </c>
      <c r="R385" s="199" t="s">
        <v>707</v>
      </c>
      <c r="S385" s="479">
        <v>79</v>
      </c>
      <c r="T385" s="199"/>
      <c r="U385" s="199"/>
      <c r="V385" s="201"/>
      <c r="W385" s="202"/>
      <c r="X385" s="359"/>
      <c r="Y385" s="353">
        <f>G384</f>
        <v>1</v>
      </c>
      <c r="Z385" s="199"/>
      <c r="AA385" s="204"/>
      <c r="AB385" s="205"/>
      <c r="AC385" s="201"/>
    </row>
    <row r="386" spans="1:29" x14ac:dyDescent="0.25">
      <c r="A386" s="331">
        <v>45912</v>
      </c>
      <c r="B386" s="13">
        <v>4</v>
      </c>
      <c r="C386" s="124" t="s">
        <v>702</v>
      </c>
      <c r="D386" s="13" t="s">
        <v>171</v>
      </c>
      <c r="E386" s="14">
        <v>0.4</v>
      </c>
      <c r="F386" s="14"/>
      <c r="G386" s="375">
        <v>2</v>
      </c>
      <c r="H386" s="375">
        <v>2</v>
      </c>
      <c r="I386" s="16">
        <v>0.95</v>
      </c>
      <c r="J386" s="16"/>
      <c r="K386" s="124" t="s">
        <v>706</v>
      </c>
      <c r="L386" s="13" t="s">
        <v>208</v>
      </c>
      <c r="M386" s="47"/>
      <c r="N386" s="556">
        <v>28</v>
      </c>
      <c r="O386" s="557" t="s">
        <v>171</v>
      </c>
      <c r="P386" s="558" t="s">
        <v>190</v>
      </c>
      <c r="Q386" s="558" t="s">
        <v>191</v>
      </c>
      <c r="R386" s="558" t="s">
        <v>684</v>
      </c>
      <c r="S386" s="479">
        <v>69</v>
      </c>
      <c r="T386" s="558" t="s">
        <v>44</v>
      </c>
      <c r="U386" s="558" t="s">
        <v>42</v>
      </c>
      <c r="V386" s="559" t="s">
        <v>10</v>
      </c>
      <c r="W386" s="54">
        <v>0.03</v>
      </c>
      <c r="X386" s="361">
        <v>0.23</v>
      </c>
      <c r="Y386" s="355"/>
      <c r="Z386" s="13" t="s">
        <v>8</v>
      </c>
      <c r="AA386" s="115" t="s">
        <v>19</v>
      </c>
      <c r="AB386" s="110" t="s">
        <v>328</v>
      </c>
      <c r="AC386" s="60" t="s">
        <v>329</v>
      </c>
    </row>
    <row r="387" spans="1:29" x14ac:dyDescent="0.25">
      <c r="A387" s="331">
        <v>45912</v>
      </c>
      <c r="B387" s="13">
        <v>4</v>
      </c>
      <c r="C387" s="124"/>
      <c r="D387" s="13" t="s">
        <v>171</v>
      </c>
      <c r="E387" s="14">
        <v>0.4</v>
      </c>
      <c r="F387" s="14"/>
      <c r="G387" s="375">
        <v>2</v>
      </c>
      <c r="H387" s="375">
        <v>2</v>
      </c>
      <c r="I387" s="16">
        <v>0.95</v>
      </c>
      <c r="J387" s="16"/>
      <c r="K387" s="124"/>
      <c r="L387" s="13" t="s">
        <v>208</v>
      </c>
      <c r="M387" s="47"/>
      <c r="N387" s="349">
        <v>30</v>
      </c>
      <c r="O387" s="458" t="s">
        <v>208</v>
      </c>
      <c r="P387" s="13" t="s">
        <v>25</v>
      </c>
      <c r="Q387" s="13" t="s">
        <v>262</v>
      </c>
      <c r="R387" s="13" t="s">
        <v>713</v>
      </c>
      <c r="S387" s="481">
        <v>63</v>
      </c>
      <c r="T387" s="13" t="s">
        <v>41</v>
      </c>
      <c r="U387" s="13" t="s">
        <v>45</v>
      </c>
      <c r="V387" s="60" t="s">
        <v>33</v>
      </c>
      <c r="W387" s="54">
        <v>0.08</v>
      </c>
      <c r="X387" s="361" t="s">
        <v>53</v>
      </c>
      <c r="Y387" s="355" t="s">
        <v>353</v>
      </c>
      <c r="Z387" s="13" t="s">
        <v>13</v>
      </c>
      <c r="AA387" s="115" t="s">
        <v>19</v>
      </c>
    </row>
    <row r="388" spans="1:29" x14ac:dyDescent="0.25">
      <c r="A388" s="331">
        <v>45912</v>
      </c>
      <c r="B388" s="13">
        <v>4</v>
      </c>
      <c r="C388" s="124"/>
      <c r="D388" s="13" t="s">
        <v>171</v>
      </c>
      <c r="E388" s="14">
        <v>0.4</v>
      </c>
      <c r="F388" s="14"/>
      <c r="G388" s="375">
        <v>2</v>
      </c>
      <c r="H388" s="375">
        <v>2</v>
      </c>
      <c r="I388" s="16">
        <v>0.95</v>
      </c>
      <c r="J388" s="16"/>
      <c r="K388" s="124"/>
      <c r="L388" s="13" t="s">
        <v>208</v>
      </c>
      <c r="N388" s="476">
        <v>44</v>
      </c>
      <c r="O388" s="477" t="s">
        <v>171</v>
      </c>
      <c r="P388" s="478" t="s">
        <v>53</v>
      </c>
      <c r="Q388" s="478" t="s">
        <v>359</v>
      </c>
      <c r="R388" s="478" t="s">
        <v>712</v>
      </c>
      <c r="S388" s="481">
        <v>66</v>
      </c>
      <c r="T388" s="478" t="s">
        <v>41</v>
      </c>
      <c r="U388" s="478" t="s">
        <v>45</v>
      </c>
      <c r="V388" s="480" t="s">
        <v>33</v>
      </c>
      <c r="W388" s="51">
        <v>0.02</v>
      </c>
      <c r="X388" s="357" t="s">
        <v>53</v>
      </c>
      <c r="Z388" s="5" t="s">
        <v>22</v>
      </c>
      <c r="AA388" s="112" t="s">
        <v>19</v>
      </c>
    </row>
    <row r="389" spans="1:29" x14ac:dyDescent="0.25">
      <c r="A389" s="331">
        <v>45912</v>
      </c>
      <c r="B389" s="13">
        <v>4</v>
      </c>
      <c r="C389" s="124"/>
      <c r="D389" s="13" t="s">
        <v>171</v>
      </c>
      <c r="E389" s="14">
        <v>0.4</v>
      </c>
      <c r="F389" s="14"/>
      <c r="G389" s="375">
        <v>2</v>
      </c>
      <c r="H389" s="375">
        <v>2</v>
      </c>
      <c r="I389" s="16">
        <v>0.95</v>
      </c>
      <c r="J389" s="16"/>
      <c r="K389" s="124"/>
      <c r="L389" s="13" t="s">
        <v>208</v>
      </c>
      <c r="N389" s="345">
        <v>54</v>
      </c>
      <c r="O389" s="38" t="s">
        <v>208</v>
      </c>
      <c r="P389" s="5" t="s">
        <v>362</v>
      </c>
      <c r="Q389" s="5" t="s">
        <v>363</v>
      </c>
      <c r="R389" s="5" t="s">
        <v>717</v>
      </c>
      <c r="S389" s="479">
        <v>74</v>
      </c>
      <c r="T389" s="5" t="s">
        <v>41</v>
      </c>
      <c r="U389" s="5" t="s">
        <v>43</v>
      </c>
      <c r="V389" s="57" t="s">
        <v>10</v>
      </c>
      <c r="W389" s="51">
        <v>0.79</v>
      </c>
      <c r="X389" s="357">
        <v>0.79</v>
      </c>
      <c r="Y389" s="351" t="s">
        <v>353</v>
      </c>
      <c r="Z389" s="5" t="s">
        <v>8</v>
      </c>
      <c r="AA389" s="112" t="s">
        <v>51</v>
      </c>
      <c r="AB389" s="108" t="s">
        <v>466</v>
      </c>
      <c r="AC389" s="57" t="s">
        <v>467</v>
      </c>
    </row>
    <row r="390" spans="1:29" x14ac:dyDescent="0.25">
      <c r="A390" s="331">
        <v>45912</v>
      </c>
      <c r="B390" s="13">
        <v>4</v>
      </c>
      <c r="C390" s="124"/>
      <c r="D390" s="13" t="s">
        <v>171</v>
      </c>
      <c r="E390" s="14">
        <v>0.4</v>
      </c>
      <c r="F390" s="14"/>
      <c r="G390" s="375">
        <v>2</v>
      </c>
      <c r="H390" s="375">
        <v>2</v>
      </c>
      <c r="I390" s="16">
        <v>0.95</v>
      </c>
      <c r="J390" s="16"/>
      <c r="K390" s="124"/>
      <c r="L390" s="13" t="s">
        <v>208</v>
      </c>
      <c r="N390" s="476">
        <v>55</v>
      </c>
      <c r="O390" s="477" t="s">
        <v>171</v>
      </c>
      <c r="P390" s="478" t="s">
        <v>190</v>
      </c>
      <c r="Q390" s="478" t="s">
        <v>191</v>
      </c>
      <c r="R390" s="478" t="s">
        <v>684</v>
      </c>
      <c r="S390" s="479">
        <v>69</v>
      </c>
      <c r="T390" s="478" t="s">
        <v>41</v>
      </c>
      <c r="U390" s="478" t="s">
        <v>43</v>
      </c>
      <c r="V390" s="480" t="s">
        <v>540</v>
      </c>
      <c r="W390" s="51">
        <v>0.14000000000000001</v>
      </c>
      <c r="X390" s="357" t="s">
        <v>53</v>
      </c>
      <c r="Z390" s="5" t="s">
        <v>13</v>
      </c>
      <c r="AA390" s="112" t="s">
        <v>51</v>
      </c>
    </row>
    <row r="391" spans="1:29" x14ac:dyDescent="0.25">
      <c r="A391" s="331">
        <v>45912</v>
      </c>
      <c r="B391" s="13">
        <v>4</v>
      </c>
      <c r="C391" s="124"/>
      <c r="D391" s="13" t="s">
        <v>171</v>
      </c>
      <c r="E391" s="14">
        <v>0.4</v>
      </c>
      <c r="F391" s="14"/>
      <c r="G391" s="375">
        <v>2</v>
      </c>
      <c r="H391" s="375">
        <v>2</v>
      </c>
      <c r="I391" s="16">
        <v>0.95</v>
      </c>
      <c r="J391" s="16"/>
      <c r="K391" s="124"/>
      <c r="L391" s="13" t="s">
        <v>208</v>
      </c>
      <c r="N391" s="345">
        <v>70</v>
      </c>
      <c r="O391" s="38" t="s">
        <v>208</v>
      </c>
      <c r="P391" s="5" t="s">
        <v>61</v>
      </c>
      <c r="Q391" s="5" t="s">
        <v>261</v>
      </c>
      <c r="R391" s="5" t="s">
        <v>718</v>
      </c>
      <c r="S391" s="479">
        <v>77</v>
      </c>
      <c r="T391" s="5" t="s">
        <v>354</v>
      </c>
      <c r="U391" s="5" t="s">
        <v>42</v>
      </c>
      <c r="V391" s="57" t="s">
        <v>15</v>
      </c>
      <c r="W391" s="51">
        <v>0.05</v>
      </c>
      <c r="X391" s="357">
        <v>7.0000000000000007E-2</v>
      </c>
      <c r="Z391" s="5" t="s">
        <v>8</v>
      </c>
      <c r="AA391" s="112" t="s">
        <v>67</v>
      </c>
    </row>
    <row r="392" spans="1:29" ht="15.75" thickBot="1" x14ac:dyDescent="0.3">
      <c r="A392" s="336">
        <v>45912</v>
      </c>
      <c r="B392" s="21">
        <v>4</v>
      </c>
      <c r="C392" s="125"/>
      <c r="D392" s="21" t="s">
        <v>171</v>
      </c>
      <c r="E392" s="22">
        <v>0.4</v>
      </c>
      <c r="F392" s="22"/>
      <c r="G392" s="462">
        <v>2</v>
      </c>
      <c r="H392" s="462">
        <v>2</v>
      </c>
      <c r="I392" s="23">
        <v>0.95</v>
      </c>
      <c r="J392" s="23"/>
      <c r="K392" s="125"/>
      <c r="L392" s="21" t="s">
        <v>208</v>
      </c>
      <c r="M392" s="45"/>
      <c r="N392" s="511">
        <v>85</v>
      </c>
      <c r="O392" s="512" t="s">
        <v>171</v>
      </c>
      <c r="P392" s="513" t="s">
        <v>360</v>
      </c>
      <c r="Q392" s="513" t="s">
        <v>361</v>
      </c>
      <c r="R392" s="513" t="s">
        <v>696</v>
      </c>
      <c r="S392" s="479">
        <v>71</v>
      </c>
      <c r="T392" s="513" t="s">
        <v>41</v>
      </c>
      <c r="U392" s="513" t="s">
        <v>42</v>
      </c>
      <c r="V392" s="514" t="s">
        <v>10</v>
      </c>
      <c r="W392" s="52">
        <v>0.13</v>
      </c>
      <c r="X392" s="358">
        <v>0.84</v>
      </c>
      <c r="Y392" s="352"/>
      <c r="Z392" s="9" t="s">
        <v>8</v>
      </c>
      <c r="AA392" s="113" t="s">
        <v>189</v>
      </c>
      <c r="AB392" s="109" t="s">
        <v>440</v>
      </c>
      <c r="AC392" s="58" t="s">
        <v>21</v>
      </c>
    </row>
    <row r="393" spans="1:29" ht="15.75" thickBot="1" x14ac:dyDescent="0.3">
      <c r="A393" s="334">
        <v>45912</v>
      </c>
      <c r="B393" s="192">
        <v>4</v>
      </c>
      <c r="C393" s="193"/>
      <c r="D393" s="192" t="s">
        <v>171</v>
      </c>
      <c r="E393" s="194">
        <v>0.4</v>
      </c>
      <c r="F393" s="194"/>
      <c r="G393" s="463">
        <v>2</v>
      </c>
      <c r="H393" s="463">
        <v>2</v>
      </c>
      <c r="I393" s="196">
        <v>0.95</v>
      </c>
      <c r="J393" s="196"/>
      <c r="K393" s="193"/>
      <c r="L393" s="192" t="s">
        <v>208</v>
      </c>
      <c r="M393" s="235"/>
      <c r="N393" s="347"/>
      <c r="O393" s="343" t="s">
        <v>171</v>
      </c>
      <c r="P393" s="199" t="s">
        <v>473</v>
      </c>
      <c r="Q393" s="199" t="s">
        <v>474</v>
      </c>
      <c r="R393" s="199" t="s">
        <v>707</v>
      </c>
      <c r="S393" s="479">
        <v>56</v>
      </c>
      <c r="T393" s="199"/>
      <c r="U393" s="199"/>
      <c r="V393" s="201"/>
      <c r="W393" s="202"/>
      <c r="X393" s="359"/>
      <c r="Y393" s="353">
        <f>H393</f>
        <v>2</v>
      </c>
      <c r="Z393" s="199"/>
      <c r="AA393" s="204"/>
      <c r="AB393" s="205"/>
      <c r="AC393" s="201"/>
    </row>
    <row r="394" spans="1:29" ht="15.75" thickBot="1" x14ac:dyDescent="0.3">
      <c r="A394" s="334">
        <v>45912</v>
      </c>
      <c r="B394" s="192">
        <v>4</v>
      </c>
      <c r="C394" s="193"/>
      <c r="D394" s="192" t="s">
        <v>171</v>
      </c>
      <c r="E394" s="194">
        <v>0.4</v>
      </c>
      <c r="F394" s="194"/>
      <c r="G394" s="463">
        <v>2</v>
      </c>
      <c r="H394" s="463">
        <v>2</v>
      </c>
      <c r="I394" s="196">
        <v>0.95</v>
      </c>
      <c r="J394" s="196"/>
      <c r="K394" s="193"/>
      <c r="L394" s="192" t="s">
        <v>208</v>
      </c>
      <c r="M394" s="235"/>
      <c r="N394" s="347"/>
      <c r="O394" s="343" t="s">
        <v>208</v>
      </c>
      <c r="P394" s="199" t="s">
        <v>433</v>
      </c>
      <c r="Q394" s="199" t="s">
        <v>725</v>
      </c>
      <c r="R394" s="199" t="s">
        <v>707</v>
      </c>
      <c r="S394" s="479">
        <v>61</v>
      </c>
      <c r="T394" s="199"/>
      <c r="U394" s="199"/>
      <c r="V394" s="201"/>
      <c r="W394" s="202"/>
      <c r="X394" s="359"/>
      <c r="Y394" s="353">
        <f>G393</f>
        <v>2</v>
      </c>
      <c r="Z394" s="199"/>
      <c r="AA394" s="204"/>
      <c r="AB394" s="205"/>
      <c r="AC394" s="201"/>
    </row>
    <row r="395" spans="1:29" x14ac:dyDescent="0.25">
      <c r="A395" s="328">
        <v>45913</v>
      </c>
      <c r="B395" s="17">
        <v>4</v>
      </c>
      <c r="C395" s="123" t="s">
        <v>701</v>
      </c>
      <c r="D395" s="17" t="s">
        <v>161</v>
      </c>
      <c r="E395" s="18">
        <v>0.75</v>
      </c>
      <c r="F395" s="18"/>
      <c r="G395" s="461">
        <v>2</v>
      </c>
      <c r="H395" s="461">
        <v>0</v>
      </c>
      <c r="I395" s="20">
        <v>0.46</v>
      </c>
      <c r="J395" s="20"/>
      <c r="K395" s="123" t="s">
        <v>693</v>
      </c>
      <c r="L395" s="17" t="s">
        <v>92</v>
      </c>
      <c r="M395" s="597" t="s">
        <v>369</v>
      </c>
      <c r="N395" s="348">
        <v>22</v>
      </c>
      <c r="O395" s="456" t="s">
        <v>92</v>
      </c>
      <c r="P395" s="17" t="s">
        <v>176</v>
      </c>
      <c r="Q395" s="17" t="s">
        <v>368</v>
      </c>
      <c r="R395" s="17" t="s">
        <v>684</v>
      </c>
      <c r="S395" s="479">
        <v>61</v>
      </c>
      <c r="T395" s="17" t="s">
        <v>41</v>
      </c>
      <c r="U395" s="17" t="s">
        <v>42</v>
      </c>
      <c r="V395" s="59" t="s">
        <v>18</v>
      </c>
      <c r="W395" s="53">
        <v>0.22</v>
      </c>
      <c r="X395" s="360" t="s">
        <v>53</v>
      </c>
      <c r="Y395" s="354"/>
      <c r="Z395" s="17" t="s">
        <v>52</v>
      </c>
      <c r="AA395" s="114" t="s">
        <v>28</v>
      </c>
      <c r="AB395" s="110"/>
      <c r="AC395" s="60"/>
    </row>
    <row r="396" spans="1:29" x14ac:dyDescent="0.25">
      <c r="A396" s="329">
        <v>45913</v>
      </c>
      <c r="B396" s="5">
        <v>4</v>
      </c>
      <c r="D396" s="5" t="s">
        <v>161</v>
      </c>
      <c r="E396" s="6">
        <v>0.75</v>
      </c>
      <c r="G396" s="362">
        <v>2</v>
      </c>
      <c r="H396" s="362">
        <v>0</v>
      </c>
      <c r="I396" s="8">
        <v>0.46</v>
      </c>
      <c r="L396" s="5" t="s">
        <v>92</v>
      </c>
      <c r="M396" s="268" t="s">
        <v>369</v>
      </c>
      <c r="N396" s="476">
        <v>28</v>
      </c>
      <c r="O396" s="477" t="s">
        <v>161</v>
      </c>
      <c r="P396" s="478" t="s">
        <v>168</v>
      </c>
      <c r="Q396" s="478" t="s">
        <v>169</v>
      </c>
      <c r="R396" s="478" t="s">
        <v>718</v>
      </c>
      <c r="S396" s="479">
        <v>65</v>
      </c>
      <c r="T396" s="478" t="s">
        <v>41</v>
      </c>
      <c r="U396" s="478" t="s">
        <v>43</v>
      </c>
      <c r="V396" s="480" t="s">
        <v>10</v>
      </c>
      <c r="W396" s="51">
        <v>0.04</v>
      </c>
      <c r="X396" s="357" t="s">
        <v>53</v>
      </c>
      <c r="Z396" s="5" t="s">
        <v>22</v>
      </c>
      <c r="AA396" s="112" t="s">
        <v>28</v>
      </c>
    </row>
    <row r="397" spans="1:29" x14ac:dyDescent="0.25">
      <c r="A397" s="329">
        <v>45913</v>
      </c>
      <c r="B397" s="5">
        <v>4</v>
      </c>
      <c r="D397" s="5" t="s">
        <v>161</v>
      </c>
      <c r="E397" s="6">
        <v>0.75</v>
      </c>
      <c r="G397" s="362">
        <v>2</v>
      </c>
      <c r="H397" s="362">
        <v>0</v>
      </c>
      <c r="I397" s="8">
        <v>0.46</v>
      </c>
      <c r="L397" s="5" t="s">
        <v>92</v>
      </c>
      <c r="M397" s="268" t="s">
        <v>369</v>
      </c>
      <c r="N397" s="476" t="s">
        <v>63</v>
      </c>
      <c r="O397" s="477" t="s">
        <v>161</v>
      </c>
      <c r="P397" s="478" t="s">
        <v>364</v>
      </c>
      <c r="Q397" s="478" t="s">
        <v>365</v>
      </c>
      <c r="R397" s="478" t="s">
        <v>695</v>
      </c>
      <c r="S397" s="479">
        <v>73</v>
      </c>
      <c r="T397" s="478" t="s">
        <v>47</v>
      </c>
      <c r="U397" s="478" t="s">
        <v>45</v>
      </c>
      <c r="V397" s="480" t="s">
        <v>33</v>
      </c>
      <c r="W397" s="51">
        <v>0.23</v>
      </c>
      <c r="X397" s="357">
        <v>0.64</v>
      </c>
      <c r="Y397" s="351" t="s">
        <v>353</v>
      </c>
      <c r="Z397" s="5" t="s">
        <v>8</v>
      </c>
      <c r="AA397" s="112" t="s">
        <v>19</v>
      </c>
      <c r="AB397" s="108" t="s">
        <v>315</v>
      </c>
      <c r="AC397" s="57" t="s">
        <v>199</v>
      </c>
    </row>
    <row r="398" spans="1:29" x14ac:dyDescent="0.25">
      <c r="A398" s="329">
        <v>45913</v>
      </c>
      <c r="B398" s="5">
        <v>4</v>
      </c>
      <c r="D398" s="5" t="s">
        <v>161</v>
      </c>
      <c r="E398" s="6">
        <v>0.75</v>
      </c>
      <c r="G398" s="362">
        <v>2</v>
      </c>
      <c r="H398" s="362">
        <v>0</v>
      </c>
      <c r="I398" s="8">
        <v>0.46</v>
      </c>
      <c r="L398" s="5" t="s">
        <v>92</v>
      </c>
      <c r="M398" s="268" t="s">
        <v>369</v>
      </c>
      <c r="N398" s="345" t="s">
        <v>266</v>
      </c>
      <c r="O398" s="38" t="s">
        <v>92</v>
      </c>
      <c r="P398" s="5" t="s">
        <v>332</v>
      </c>
      <c r="Q398" s="5" t="s">
        <v>370</v>
      </c>
      <c r="R398" s="5" t="s">
        <v>687</v>
      </c>
      <c r="S398" s="479">
        <v>67</v>
      </c>
      <c r="T398" s="5" t="s">
        <v>354</v>
      </c>
      <c r="U398" s="5" t="s">
        <v>42</v>
      </c>
      <c r="V398" s="57" t="s">
        <v>10</v>
      </c>
      <c r="W398" s="51">
        <v>0.03</v>
      </c>
      <c r="X398" s="357" t="s">
        <v>53</v>
      </c>
      <c r="Z398" s="5" t="s">
        <v>17</v>
      </c>
      <c r="AA398" s="112" t="s">
        <v>19</v>
      </c>
    </row>
    <row r="399" spans="1:29" x14ac:dyDescent="0.25">
      <c r="A399" s="329">
        <v>45913</v>
      </c>
      <c r="B399" s="5">
        <v>4</v>
      </c>
      <c r="D399" s="5" t="s">
        <v>161</v>
      </c>
      <c r="E399" s="6">
        <v>0.75</v>
      </c>
      <c r="G399" s="362">
        <v>2</v>
      </c>
      <c r="H399" s="362">
        <v>0</v>
      </c>
      <c r="I399" s="8">
        <v>0.46</v>
      </c>
      <c r="L399" s="5" t="s">
        <v>92</v>
      </c>
      <c r="M399" s="268" t="s">
        <v>369</v>
      </c>
      <c r="N399" s="476" t="s">
        <v>366</v>
      </c>
      <c r="O399" s="477" t="s">
        <v>161</v>
      </c>
      <c r="P399" s="478" t="s">
        <v>26</v>
      </c>
      <c r="Q399" s="478" t="s">
        <v>302</v>
      </c>
      <c r="R399" s="478" t="s">
        <v>695</v>
      </c>
      <c r="S399" s="479">
        <v>74</v>
      </c>
      <c r="T399" s="478" t="s">
        <v>354</v>
      </c>
      <c r="U399" s="478" t="s">
        <v>42</v>
      </c>
      <c r="V399" s="480" t="s">
        <v>540</v>
      </c>
      <c r="W399" s="51">
        <v>0.02</v>
      </c>
      <c r="X399" s="357">
        <v>0.16</v>
      </c>
      <c r="Z399" s="5" t="s">
        <v>48</v>
      </c>
      <c r="AA399" s="112" t="s">
        <v>19</v>
      </c>
    </row>
    <row r="400" spans="1:29" x14ac:dyDescent="0.25">
      <c r="A400" s="329">
        <v>45913</v>
      </c>
      <c r="B400" s="5">
        <v>4</v>
      </c>
      <c r="D400" s="5" t="s">
        <v>161</v>
      </c>
      <c r="E400" s="6">
        <v>0.75</v>
      </c>
      <c r="G400" s="362">
        <v>2</v>
      </c>
      <c r="H400" s="362">
        <v>0</v>
      </c>
      <c r="I400" s="8">
        <v>0.46</v>
      </c>
      <c r="L400" s="5" t="s">
        <v>92</v>
      </c>
      <c r="M400" s="242" t="s">
        <v>369</v>
      </c>
      <c r="N400" s="476" t="s">
        <v>367</v>
      </c>
      <c r="O400" s="477" t="s">
        <v>161</v>
      </c>
      <c r="P400" s="478" t="s">
        <v>313</v>
      </c>
      <c r="Q400" s="478" t="s">
        <v>314</v>
      </c>
      <c r="R400" s="478" t="s">
        <v>717</v>
      </c>
      <c r="S400" s="479">
        <v>78</v>
      </c>
      <c r="T400" s="478" t="s">
        <v>47</v>
      </c>
      <c r="U400" s="478" t="s">
        <v>45</v>
      </c>
      <c r="V400" s="480" t="s">
        <v>20</v>
      </c>
      <c r="W400" s="51">
        <v>0.13</v>
      </c>
      <c r="X400" s="357">
        <v>0.87</v>
      </c>
      <c r="Y400" s="351" t="s">
        <v>353</v>
      </c>
      <c r="Z400" s="5" t="s">
        <v>8</v>
      </c>
      <c r="AA400" s="112" t="s">
        <v>24</v>
      </c>
      <c r="AB400" s="108" t="s">
        <v>315</v>
      </c>
      <c r="AC400" s="57" t="s">
        <v>199</v>
      </c>
    </row>
    <row r="401" spans="1:29" x14ac:dyDescent="0.25">
      <c r="A401" s="329">
        <v>45913</v>
      </c>
      <c r="B401" s="5">
        <v>4</v>
      </c>
      <c r="D401" s="5" t="s">
        <v>161</v>
      </c>
      <c r="E401" s="6">
        <v>0.75</v>
      </c>
      <c r="G401" s="362">
        <v>2</v>
      </c>
      <c r="H401" s="362">
        <v>0</v>
      </c>
      <c r="I401" s="8">
        <v>0.46</v>
      </c>
      <c r="L401" s="5" t="s">
        <v>92</v>
      </c>
      <c r="M401" s="242" t="s">
        <v>369</v>
      </c>
      <c r="N401" s="476">
        <v>47</v>
      </c>
      <c r="O401" s="477" t="s">
        <v>161</v>
      </c>
      <c r="P401" s="478" t="s">
        <v>364</v>
      </c>
      <c r="Q401" s="478" t="s">
        <v>365</v>
      </c>
      <c r="R401" s="478" t="s">
        <v>695</v>
      </c>
      <c r="S401" s="479">
        <v>73</v>
      </c>
      <c r="T401" s="478" t="s">
        <v>41</v>
      </c>
      <c r="U401" s="478" t="s">
        <v>42</v>
      </c>
      <c r="V401" s="480" t="s">
        <v>540</v>
      </c>
      <c r="W401" s="51">
        <v>0.16</v>
      </c>
      <c r="X401" s="357" t="s">
        <v>53</v>
      </c>
      <c r="Z401" s="5" t="s">
        <v>52</v>
      </c>
      <c r="AA401" s="112" t="s">
        <v>24</v>
      </c>
    </row>
    <row r="402" spans="1:29" ht="15.75" thickBot="1" x14ac:dyDescent="0.3">
      <c r="A402" s="330">
        <v>45913</v>
      </c>
      <c r="B402" s="9">
        <v>4</v>
      </c>
      <c r="C402" s="122"/>
      <c r="D402" s="9" t="s">
        <v>161</v>
      </c>
      <c r="E402" s="10">
        <v>0.75</v>
      </c>
      <c r="F402" s="10"/>
      <c r="G402" s="383">
        <v>2</v>
      </c>
      <c r="H402" s="383">
        <v>0</v>
      </c>
      <c r="I402" s="12">
        <v>0.46</v>
      </c>
      <c r="J402" s="12"/>
      <c r="K402" s="122"/>
      <c r="L402" s="9" t="s">
        <v>92</v>
      </c>
      <c r="M402" s="445" t="s">
        <v>369</v>
      </c>
      <c r="N402" s="346" t="s">
        <v>31</v>
      </c>
      <c r="O402" s="454" t="s">
        <v>92</v>
      </c>
      <c r="P402" s="9" t="s">
        <v>419</v>
      </c>
      <c r="Q402" s="9" t="s">
        <v>420</v>
      </c>
      <c r="R402" s="9" t="s">
        <v>699</v>
      </c>
      <c r="S402" s="481">
        <v>59</v>
      </c>
      <c r="T402" s="9" t="s">
        <v>44</v>
      </c>
      <c r="U402" s="9" t="s">
        <v>45</v>
      </c>
      <c r="V402" s="58" t="s">
        <v>540</v>
      </c>
      <c r="W402" s="52">
        <v>0.03</v>
      </c>
      <c r="X402" s="358">
        <v>0.05</v>
      </c>
      <c r="Y402" s="352" t="s">
        <v>353</v>
      </c>
      <c r="Z402" s="9" t="s">
        <v>48</v>
      </c>
      <c r="AA402" s="113" t="s">
        <v>24</v>
      </c>
      <c r="AB402" s="109"/>
      <c r="AC402" s="58"/>
    </row>
    <row r="403" spans="1:29" ht="15.75" thickBot="1" x14ac:dyDescent="0.3">
      <c r="A403" s="326">
        <v>45913</v>
      </c>
      <c r="B403" s="207">
        <v>4</v>
      </c>
      <c r="C403" s="208"/>
      <c r="D403" s="207" t="s">
        <v>161</v>
      </c>
      <c r="E403" s="209">
        <v>0.75</v>
      </c>
      <c r="F403" s="209"/>
      <c r="G403" s="460">
        <v>2</v>
      </c>
      <c r="H403" s="460">
        <v>0</v>
      </c>
      <c r="I403" s="211">
        <v>0.46</v>
      </c>
      <c r="J403" s="211"/>
      <c r="K403" s="208"/>
      <c r="L403" s="207" t="s">
        <v>92</v>
      </c>
      <c r="M403" s="235"/>
      <c r="N403" s="347"/>
      <c r="O403" s="343" t="s">
        <v>161</v>
      </c>
      <c r="P403" s="199" t="s">
        <v>316</v>
      </c>
      <c r="Q403" s="199" t="s">
        <v>721</v>
      </c>
      <c r="R403" s="199" t="s">
        <v>707</v>
      </c>
      <c r="S403" s="481">
        <v>66</v>
      </c>
      <c r="T403" s="199"/>
      <c r="U403" s="199"/>
      <c r="V403" s="201"/>
      <c r="W403" s="202"/>
      <c r="X403" s="359"/>
      <c r="Y403" s="353">
        <f>H403</f>
        <v>0</v>
      </c>
      <c r="Z403" s="199"/>
      <c r="AA403" s="204"/>
      <c r="AB403" s="205"/>
      <c r="AC403" s="201"/>
    </row>
    <row r="404" spans="1:29" ht="15.75" thickBot="1" x14ac:dyDescent="0.3">
      <c r="A404" s="326">
        <v>45913</v>
      </c>
      <c r="B404" s="207">
        <v>4</v>
      </c>
      <c r="C404" s="208"/>
      <c r="D404" s="207" t="s">
        <v>161</v>
      </c>
      <c r="E404" s="209">
        <v>0.75</v>
      </c>
      <c r="F404" s="209"/>
      <c r="G404" s="460">
        <v>2</v>
      </c>
      <c r="H404" s="460">
        <v>0</v>
      </c>
      <c r="I404" s="211">
        <v>0.46</v>
      </c>
      <c r="J404" s="211"/>
      <c r="K404" s="208"/>
      <c r="L404" s="207" t="s">
        <v>92</v>
      </c>
      <c r="M404" s="235"/>
      <c r="N404" s="347"/>
      <c r="O404" s="343" t="s">
        <v>92</v>
      </c>
      <c r="P404" s="199" t="s">
        <v>432</v>
      </c>
      <c r="Q404" s="199" t="s">
        <v>472</v>
      </c>
      <c r="R404" s="199" t="s">
        <v>707</v>
      </c>
      <c r="S404" s="7">
        <v>51</v>
      </c>
      <c r="T404" s="199"/>
      <c r="U404" s="199"/>
      <c r="V404" s="201"/>
      <c r="W404" s="202"/>
      <c r="X404" s="359"/>
      <c r="Y404" s="353">
        <f>G403</f>
        <v>2</v>
      </c>
      <c r="Z404" s="199"/>
      <c r="AA404" s="204"/>
      <c r="AB404" s="205"/>
      <c r="AC404" s="201"/>
    </row>
    <row r="405" spans="1:29" x14ac:dyDescent="0.25">
      <c r="A405" s="331">
        <v>45913</v>
      </c>
      <c r="B405" s="13">
        <v>4</v>
      </c>
      <c r="C405" s="124" t="s">
        <v>693</v>
      </c>
      <c r="D405" s="13" t="s">
        <v>146</v>
      </c>
      <c r="E405" s="14">
        <v>2.23</v>
      </c>
      <c r="F405" s="14"/>
      <c r="G405" s="375">
        <v>1</v>
      </c>
      <c r="H405" s="375">
        <v>2</v>
      </c>
      <c r="I405" s="16">
        <v>2.42</v>
      </c>
      <c r="J405" s="16"/>
      <c r="K405" s="124" t="s">
        <v>693</v>
      </c>
      <c r="L405" s="13" t="s">
        <v>226</v>
      </c>
      <c r="M405" s="268" t="s">
        <v>371</v>
      </c>
      <c r="N405" s="349">
        <v>9</v>
      </c>
      <c r="O405" s="458" t="s">
        <v>226</v>
      </c>
      <c r="P405" s="13" t="s">
        <v>231</v>
      </c>
      <c r="Q405" s="13" t="s">
        <v>232</v>
      </c>
      <c r="R405" s="13" t="s">
        <v>684</v>
      </c>
      <c r="S405" s="7">
        <v>98</v>
      </c>
      <c r="T405" s="13" t="s">
        <v>47</v>
      </c>
      <c r="U405" s="13" t="s">
        <v>42</v>
      </c>
      <c r="V405" s="60" t="s">
        <v>10</v>
      </c>
      <c r="W405" s="54">
        <v>0.48</v>
      </c>
      <c r="X405" s="361">
        <v>0.11</v>
      </c>
      <c r="Y405" s="355" t="s">
        <v>353</v>
      </c>
      <c r="Z405" s="13" t="s">
        <v>48</v>
      </c>
      <c r="AA405" s="115" t="s">
        <v>28</v>
      </c>
      <c r="AB405" s="110"/>
      <c r="AC405" s="60"/>
    </row>
    <row r="406" spans="1:29" x14ac:dyDescent="0.25">
      <c r="A406" s="329">
        <v>45913</v>
      </c>
      <c r="B406" s="5">
        <v>4</v>
      </c>
      <c r="D406" s="5" t="s">
        <v>146</v>
      </c>
      <c r="E406" s="6">
        <v>2.23</v>
      </c>
      <c r="G406" s="362">
        <v>1</v>
      </c>
      <c r="H406" s="362">
        <v>2</v>
      </c>
      <c r="I406" s="8">
        <v>2.42</v>
      </c>
      <c r="L406" s="5" t="s">
        <v>226</v>
      </c>
      <c r="M406" s="242" t="s">
        <v>371</v>
      </c>
      <c r="N406" s="345">
        <v>12</v>
      </c>
      <c r="O406" s="38" t="s">
        <v>226</v>
      </c>
      <c r="P406" s="5" t="s">
        <v>231</v>
      </c>
      <c r="Q406" s="5" t="s">
        <v>232</v>
      </c>
      <c r="R406" s="5" t="s">
        <v>684</v>
      </c>
      <c r="S406" s="7">
        <v>98</v>
      </c>
      <c r="T406" s="5" t="s">
        <v>44</v>
      </c>
      <c r="U406" s="5" t="s">
        <v>42</v>
      </c>
      <c r="V406" s="57" t="s">
        <v>540</v>
      </c>
      <c r="W406" s="51">
        <v>0.15</v>
      </c>
      <c r="X406" s="357">
        <v>0.08</v>
      </c>
      <c r="Y406" s="351" t="s">
        <v>353</v>
      </c>
      <c r="Z406" s="5" t="s">
        <v>8</v>
      </c>
      <c r="AA406" s="112" t="s">
        <v>9</v>
      </c>
    </row>
    <row r="407" spans="1:29" x14ac:dyDescent="0.25">
      <c r="A407" s="329">
        <v>45913</v>
      </c>
      <c r="B407" s="5">
        <v>4</v>
      </c>
      <c r="D407" s="5" t="s">
        <v>146</v>
      </c>
      <c r="E407" s="6">
        <v>2.23</v>
      </c>
      <c r="G407" s="362">
        <v>1</v>
      </c>
      <c r="H407" s="362">
        <v>2</v>
      </c>
      <c r="I407" s="8">
        <v>2.42</v>
      </c>
      <c r="L407" s="5" t="s">
        <v>226</v>
      </c>
      <c r="M407" s="242" t="s">
        <v>371</v>
      </c>
      <c r="N407" s="345">
        <v>15</v>
      </c>
      <c r="O407" s="38" t="s">
        <v>226</v>
      </c>
      <c r="P407" s="5" t="s">
        <v>231</v>
      </c>
      <c r="Q407" s="5" t="s">
        <v>232</v>
      </c>
      <c r="R407" s="5" t="s">
        <v>684</v>
      </c>
      <c r="S407" s="7">
        <v>98</v>
      </c>
      <c r="T407" s="5" t="s">
        <v>47</v>
      </c>
      <c r="U407" s="5" t="s">
        <v>42</v>
      </c>
      <c r="V407" s="57" t="s">
        <v>10</v>
      </c>
      <c r="W407" s="51">
        <v>0.08</v>
      </c>
      <c r="X407" s="357" t="s">
        <v>53</v>
      </c>
      <c r="Z407" s="5" t="s">
        <v>17</v>
      </c>
      <c r="AA407" s="112" t="s">
        <v>9</v>
      </c>
    </row>
    <row r="408" spans="1:29" x14ac:dyDescent="0.25">
      <c r="A408" s="329">
        <v>45913</v>
      </c>
      <c r="B408" s="5">
        <v>4</v>
      </c>
      <c r="D408" s="5" t="s">
        <v>146</v>
      </c>
      <c r="E408" s="6">
        <v>2.23</v>
      </c>
      <c r="G408" s="362">
        <v>1</v>
      </c>
      <c r="H408" s="362">
        <v>2</v>
      </c>
      <c r="I408" s="8">
        <v>2.42</v>
      </c>
      <c r="L408" s="5" t="s">
        <v>226</v>
      </c>
      <c r="M408" s="242" t="s">
        <v>371</v>
      </c>
      <c r="N408" s="476">
        <v>18</v>
      </c>
      <c r="O408" s="477" t="s">
        <v>146</v>
      </c>
      <c r="P408" s="478" t="s">
        <v>274</v>
      </c>
      <c r="Q408" s="478" t="s">
        <v>275</v>
      </c>
      <c r="R408" s="478" t="s">
        <v>685</v>
      </c>
      <c r="S408" s="479">
        <v>77</v>
      </c>
      <c r="T408" s="478" t="s">
        <v>354</v>
      </c>
      <c r="U408" s="478" t="s">
        <v>42</v>
      </c>
      <c r="V408" s="480" t="s">
        <v>10</v>
      </c>
      <c r="W408" s="51">
        <v>0.02</v>
      </c>
      <c r="X408" s="357" t="s">
        <v>53</v>
      </c>
      <c r="Z408" s="5" t="s">
        <v>16</v>
      </c>
      <c r="AA408" s="112" t="s">
        <v>9</v>
      </c>
    </row>
    <row r="409" spans="1:29" x14ac:dyDescent="0.25">
      <c r="A409" s="329">
        <v>45913</v>
      </c>
      <c r="B409" s="5">
        <v>4</v>
      </c>
      <c r="D409" s="5" t="s">
        <v>146</v>
      </c>
      <c r="E409" s="6">
        <v>2.23</v>
      </c>
      <c r="G409" s="362">
        <v>1</v>
      </c>
      <c r="H409" s="362">
        <v>2</v>
      </c>
      <c r="I409" s="8">
        <v>2.42</v>
      </c>
      <c r="L409" s="5" t="s">
        <v>226</v>
      </c>
      <c r="M409" s="242" t="s">
        <v>371</v>
      </c>
      <c r="N409" s="345">
        <v>26</v>
      </c>
      <c r="O409" s="38" t="s">
        <v>226</v>
      </c>
      <c r="P409" s="5" t="s">
        <v>372</v>
      </c>
      <c r="Q409" s="5" t="s">
        <v>373</v>
      </c>
      <c r="R409" s="5" t="s">
        <v>713</v>
      </c>
      <c r="S409" s="7">
        <v>75</v>
      </c>
      <c r="T409" s="5" t="s">
        <v>47</v>
      </c>
      <c r="U409" s="5" t="s">
        <v>45</v>
      </c>
      <c r="V409" s="57" t="s">
        <v>33</v>
      </c>
      <c r="W409" s="51">
        <v>0.18</v>
      </c>
      <c r="X409" s="357">
        <v>0.65</v>
      </c>
      <c r="Z409" s="5" t="s">
        <v>48</v>
      </c>
      <c r="AA409" s="112" t="s">
        <v>9</v>
      </c>
    </row>
    <row r="410" spans="1:29" x14ac:dyDescent="0.25">
      <c r="A410" s="329">
        <v>45913</v>
      </c>
      <c r="B410" s="5">
        <v>4</v>
      </c>
      <c r="D410" s="5" t="s">
        <v>146</v>
      </c>
      <c r="E410" s="6">
        <v>2.23</v>
      </c>
      <c r="G410" s="362">
        <v>1</v>
      </c>
      <c r="H410" s="362">
        <v>2</v>
      </c>
      <c r="I410" s="8">
        <v>2.42</v>
      </c>
      <c r="L410" s="5" t="s">
        <v>226</v>
      </c>
      <c r="M410" s="242" t="s">
        <v>371</v>
      </c>
      <c r="N410" s="345">
        <v>26</v>
      </c>
      <c r="O410" s="38" t="s">
        <v>226</v>
      </c>
      <c r="P410" s="5" t="s">
        <v>231</v>
      </c>
      <c r="Q410" s="5" t="s">
        <v>232</v>
      </c>
      <c r="R410" s="5" t="s">
        <v>684</v>
      </c>
      <c r="S410" s="7">
        <v>98</v>
      </c>
      <c r="T410" s="5" t="s">
        <v>47</v>
      </c>
      <c r="U410" s="5" t="s">
        <v>43</v>
      </c>
      <c r="V410" s="57" t="s">
        <v>33</v>
      </c>
      <c r="W410" s="51">
        <v>0.15</v>
      </c>
      <c r="X410" s="357" t="s">
        <v>53</v>
      </c>
      <c r="Z410" s="5" t="s">
        <v>52</v>
      </c>
      <c r="AA410" s="112" t="s">
        <v>9</v>
      </c>
    </row>
    <row r="411" spans="1:29" x14ac:dyDescent="0.25">
      <c r="A411" s="329">
        <v>45913</v>
      </c>
      <c r="B411" s="5">
        <v>4</v>
      </c>
      <c r="D411" s="5" t="s">
        <v>146</v>
      </c>
      <c r="E411" s="6">
        <v>2.23</v>
      </c>
      <c r="G411" s="362">
        <v>1</v>
      </c>
      <c r="H411" s="362">
        <v>2</v>
      </c>
      <c r="I411" s="8">
        <v>2.42</v>
      </c>
      <c r="L411" s="5" t="s">
        <v>226</v>
      </c>
      <c r="M411" s="242" t="s">
        <v>371</v>
      </c>
      <c r="N411" s="345">
        <v>30</v>
      </c>
      <c r="O411" s="38" t="s">
        <v>226</v>
      </c>
      <c r="P411" s="5" t="s">
        <v>372</v>
      </c>
      <c r="Q411" s="5" t="s">
        <v>373</v>
      </c>
      <c r="R411" s="5" t="s">
        <v>713</v>
      </c>
      <c r="S411" s="7">
        <v>75</v>
      </c>
      <c r="T411" s="5" t="s">
        <v>47</v>
      </c>
      <c r="U411" s="5" t="s">
        <v>45</v>
      </c>
      <c r="V411" s="57" t="s">
        <v>20</v>
      </c>
      <c r="W411" s="51">
        <v>0.12</v>
      </c>
      <c r="X411" s="357">
        <v>0.37</v>
      </c>
      <c r="Z411" s="5" t="s">
        <v>48</v>
      </c>
      <c r="AA411" s="112" t="s">
        <v>9</v>
      </c>
    </row>
    <row r="412" spans="1:29" x14ac:dyDescent="0.25">
      <c r="A412" s="329">
        <v>45913</v>
      </c>
      <c r="B412" s="5">
        <v>4</v>
      </c>
      <c r="D412" s="5" t="s">
        <v>146</v>
      </c>
      <c r="E412" s="6">
        <v>2.23</v>
      </c>
      <c r="G412" s="362">
        <v>1</v>
      </c>
      <c r="H412" s="362">
        <v>2</v>
      </c>
      <c r="I412" s="8">
        <v>2.42</v>
      </c>
      <c r="L412" s="5" t="s">
        <v>226</v>
      </c>
      <c r="M412" s="242" t="s">
        <v>371</v>
      </c>
      <c r="N412" s="345">
        <v>40</v>
      </c>
      <c r="O412" s="38" t="s">
        <v>226</v>
      </c>
      <c r="P412" s="5" t="s">
        <v>372</v>
      </c>
      <c r="Q412" s="5" t="s">
        <v>373</v>
      </c>
      <c r="R412" s="5" t="s">
        <v>713</v>
      </c>
      <c r="S412" s="479">
        <v>75</v>
      </c>
      <c r="T412" s="5" t="s">
        <v>44</v>
      </c>
      <c r="U412" s="5" t="s">
        <v>42</v>
      </c>
      <c r="V412" s="57" t="s">
        <v>33</v>
      </c>
      <c r="W412" s="51">
        <v>7.0000000000000007E-2</v>
      </c>
      <c r="X412" s="357" t="s">
        <v>53</v>
      </c>
      <c r="Z412" s="5" t="s">
        <v>22</v>
      </c>
      <c r="AA412" s="112" t="s">
        <v>9</v>
      </c>
    </row>
    <row r="413" spans="1:29" x14ac:dyDescent="0.25">
      <c r="A413" s="329">
        <v>45913</v>
      </c>
      <c r="B413" s="5">
        <v>4</v>
      </c>
      <c r="D413" s="5" t="s">
        <v>146</v>
      </c>
      <c r="E413" s="6">
        <v>2.23</v>
      </c>
      <c r="G413" s="362">
        <v>1</v>
      </c>
      <c r="H413" s="362">
        <v>2</v>
      </c>
      <c r="I413" s="8">
        <v>2.42</v>
      </c>
      <c r="L413" s="5" t="s">
        <v>226</v>
      </c>
      <c r="M413" s="242" t="s">
        <v>371</v>
      </c>
      <c r="N413" s="345">
        <v>43</v>
      </c>
      <c r="O413" s="38" t="s">
        <v>226</v>
      </c>
      <c r="P413" s="5" t="s">
        <v>374</v>
      </c>
      <c r="Q413" s="5" t="s">
        <v>375</v>
      </c>
      <c r="R413" s="5" t="s">
        <v>689</v>
      </c>
      <c r="S413" s="479">
        <v>65</v>
      </c>
      <c r="T413" s="5" t="s">
        <v>41</v>
      </c>
      <c r="U413" s="5" t="s">
        <v>45</v>
      </c>
      <c r="V413" s="57" t="s">
        <v>33</v>
      </c>
      <c r="W413" s="51">
        <v>0.03</v>
      </c>
      <c r="X413" s="357" t="s">
        <v>53</v>
      </c>
      <c r="Z413" s="5" t="s">
        <v>17</v>
      </c>
      <c r="AA413" s="112" t="s">
        <v>9</v>
      </c>
    </row>
    <row r="414" spans="1:29" x14ac:dyDescent="0.25">
      <c r="A414" s="329">
        <v>45913</v>
      </c>
      <c r="B414" s="5">
        <v>4</v>
      </c>
      <c r="D414" s="5" t="s">
        <v>146</v>
      </c>
      <c r="E414" s="6">
        <v>2.23</v>
      </c>
      <c r="G414" s="362">
        <v>1</v>
      </c>
      <c r="H414" s="362">
        <v>2</v>
      </c>
      <c r="I414" s="8">
        <v>2.42</v>
      </c>
      <c r="L414" s="5" t="s">
        <v>226</v>
      </c>
      <c r="M414" s="242" t="s">
        <v>371</v>
      </c>
      <c r="N414" s="345">
        <v>44</v>
      </c>
      <c r="O414" s="38" t="s">
        <v>226</v>
      </c>
      <c r="P414" s="5" t="s">
        <v>56</v>
      </c>
      <c r="Q414" s="5" t="s">
        <v>235</v>
      </c>
      <c r="R414" s="5" t="s">
        <v>699</v>
      </c>
      <c r="S414" s="459">
        <v>82</v>
      </c>
      <c r="T414" s="5" t="s">
        <v>47</v>
      </c>
      <c r="U414" s="5" t="s">
        <v>43</v>
      </c>
      <c r="V414" s="57" t="s">
        <v>10</v>
      </c>
      <c r="W414" s="51">
        <v>0.71</v>
      </c>
      <c r="X414" s="357">
        <v>0.97</v>
      </c>
      <c r="Y414" s="351" t="s">
        <v>353</v>
      </c>
      <c r="Z414" s="5" t="s">
        <v>8</v>
      </c>
      <c r="AA414" s="112" t="s">
        <v>11</v>
      </c>
      <c r="AB414" s="108" t="s">
        <v>231</v>
      </c>
      <c r="AC414" s="57" t="s">
        <v>232</v>
      </c>
    </row>
    <row r="415" spans="1:29" x14ac:dyDescent="0.25">
      <c r="A415" s="329">
        <v>45913</v>
      </c>
      <c r="B415" s="5">
        <v>4</v>
      </c>
      <c r="D415" s="5" t="s">
        <v>146</v>
      </c>
      <c r="E415" s="6">
        <v>2.23</v>
      </c>
      <c r="G415" s="362">
        <v>1</v>
      </c>
      <c r="H415" s="362">
        <v>2</v>
      </c>
      <c r="I415" s="8">
        <v>2.42</v>
      </c>
      <c r="L415" s="5" t="s">
        <v>226</v>
      </c>
      <c r="M415" s="242" t="s">
        <v>371</v>
      </c>
      <c r="N415" s="476">
        <v>50</v>
      </c>
      <c r="O415" s="477" t="s">
        <v>146</v>
      </c>
      <c r="P415" s="478" t="s">
        <v>241</v>
      </c>
      <c r="Q415" s="478" t="s">
        <v>284</v>
      </c>
      <c r="R415" s="478" t="s">
        <v>687</v>
      </c>
      <c r="S415" s="481">
        <v>59</v>
      </c>
      <c r="T415" s="478" t="s">
        <v>41</v>
      </c>
      <c r="U415" s="478" t="s">
        <v>43</v>
      </c>
      <c r="V415" s="480" t="s">
        <v>10</v>
      </c>
      <c r="W415" s="51">
        <v>0.19</v>
      </c>
      <c r="X415" s="357" t="s">
        <v>53</v>
      </c>
      <c r="Y415" s="351" t="s">
        <v>353</v>
      </c>
      <c r="Z415" s="5" t="s">
        <v>52</v>
      </c>
      <c r="AA415" s="112" t="s">
        <v>11</v>
      </c>
    </row>
    <row r="416" spans="1:29" x14ac:dyDescent="0.25">
      <c r="A416" s="329">
        <v>45913</v>
      </c>
      <c r="B416" s="5">
        <v>4</v>
      </c>
      <c r="D416" s="5" t="s">
        <v>146</v>
      </c>
      <c r="E416" s="6">
        <v>2.23</v>
      </c>
      <c r="G416" s="362">
        <v>1</v>
      </c>
      <c r="H416" s="362">
        <v>2</v>
      </c>
      <c r="I416" s="8">
        <v>2.42</v>
      </c>
      <c r="L416" s="5" t="s">
        <v>226</v>
      </c>
      <c r="M416" s="242" t="s">
        <v>371</v>
      </c>
      <c r="N416" s="345">
        <v>50</v>
      </c>
      <c r="O416" s="38" t="s">
        <v>226</v>
      </c>
      <c r="P416" s="5" t="s">
        <v>289</v>
      </c>
      <c r="Q416" s="5" t="s">
        <v>54</v>
      </c>
      <c r="R416" s="5" t="s">
        <v>685</v>
      </c>
      <c r="S416" s="479">
        <v>69</v>
      </c>
      <c r="T416" s="5" t="s">
        <v>41</v>
      </c>
      <c r="U416" s="5" t="s">
        <v>42</v>
      </c>
      <c r="V416" s="57" t="s">
        <v>10</v>
      </c>
      <c r="W416" s="51">
        <v>0.03</v>
      </c>
      <c r="X416" s="357" t="s">
        <v>53</v>
      </c>
      <c r="Z416" s="5" t="s">
        <v>22</v>
      </c>
      <c r="AA416" s="112" t="s">
        <v>11</v>
      </c>
    </row>
    <row r="417" spans="1:29" x14ac:dyDescent="0.25">
      <c r="A417" s="329">
        <v>45913</v>
      </c>
      <c r="B417" s="5">
        <v>4</v>
      </c>
      <c r="D417" s="5" t="s">
        <v>146</v>
      </c>
      <c r="E417" s="6">
        <v>2.23</v>
      </c>
      <c r="G417" s="362">
        <v>1</v>
      </c>
      <c r="H417" s="362">
        <v>2</v>
      </c>
      <c r="I417" s="8">
        <v>2.42</v>
      </c>
      <c r="L417" s="5" t="s">
        <v>226</v>
      </c>
      <c r="M417" s="242" t="s">
        <v>371</v>
      </c>
      <c r="N417" s="476">
        <v>56</v>
      </c>
      <c r="O417" s="477" t="s">
        <v>146</v>
      </c>
      <c r="P417" s="478" t="s">
        <v>159</v>
      </c>
      <c r="Q417" s="478" t="s">
        <v>160</v>
      </c>
      <c r="R417" s="478" t="s">
        <v>684</v>
      </c>
      <c r="S417" s="479">
        <v>72</v>
      </c>
      <c r="T417" s="478" t="s">
        <v>41</v>
      </c>
      <c r="U417" s="478" t="s">
        <v>43</v>
      </c>
      <c r="V417" s="480" t="s">
        <v>7</v>
      </c>
      <c r="W417" s="51">
        <v>0.79</v>
      </c>
      <c r="X417" s="357">
        <v>0.77</v>
      </c>
      <c r="Y417" s="351" t="s">
        <v>353</v>
      </c>
      <c r="Z417" s="5" t="s">
        <v>8</v>
      </c>
      <c r="AA417" s="112" t="s">
        <v>67</v>
      </c>
    </row>
    <row r="418" spans="1:29" x14ac:dyDescent="0.25">
      <c r="A418" s="329">
        <v>45913</v>
      </c>
      <c r="B418" s="5">
        <v>4</v>
      </c>
      <c r="D418" s="5" t="s">
        <v>146</v>
      </c>
      <c r="E418" s="6">
        <v>2.23</v>
      </c>
      <c r="G418" s="362">
        <v>1</v>
      </c>
      <c r="H418" s="362">
        <v>2</v>
      </c>
      <c r="I418" s="8">
        <v>2.42</v>
      </c>
      <c r="L418" s="5" t="s">
        <v>226</v>
      </c>
      <c r="M418" s="242" t="s">
        <v>371</v>
      </c>
      <c r="N418" s="345">
        <v>60</v>
      </c>
      <c r="O418" s="38" t="s">
        <v>226</v>
      </c>
      <c r="P418" s="5" t="s">
        <v>231</v>
      </c>
      <c r="Q418" s="5" t="s">
        <v>232</v>
      </c>
      <c r="R418" s="5" t="s">
        <v>684</v>
      </c>
      <c r="S418" s="479">
        <v>98</v>
      </c>
      <c r="T418" s="5" t="s">
        <v>41</v>
      </c>
      <c r="U418" s="5" t="s">
        <v>42</v>
      </c>
      <c r="V418" s="57" t="s">
        <v>18</v>
      </c>
      <c r="W418" s="51">
        <v>0.17</v>
      </c>
      <c r="X418" s="357" t="s">
        <v>53</v>
      </c>
      <c r="Z418" s="5" t="s">
        <v>16</v>
      </c>
      <c r="AA418" s="112" t="s">
        <v>67</v>
      </c>
      <c r="AB418" s="111"/>
      <c r="AC418" s="90"/>
    </row>
    <row r="419" spans="1:29" x14ac:dyDescent="0.25">
      <c r="A419" s="329">
        <v>45913</v>
      </c>
      <c r="B419" s="5">
        <v>4</v>
      </c>
      <c r="D419" s="5" t="s">
        <v>146</v>
      </c>
      <c r="E419" s="6">
        <v>2.23</v>
      </c>
      <c r="G419" s="362">
        <v>1</v>
      </c>
      <c r="H419" s="362">
        <v>2</v>
      </c>
      <c r="I419" s="8">
        <v>2.42</v>
      </c>
      <c r="L419" s="5" t="s">
        <v>226</v>
      </c>
      <c r="M419" s="242" t="s">
        <v>371</v>
      </c>
      <c r="N419" s="476">
        <v>65</v>
      </c>
      <c r="O419" s="477" t="s">
        <v>146</v>
      </c>
      <c r="P419" s="478" t="s">
        <v>159</v>
      </c>
      <c r="Q419" s="478" t="s">
        <v>160</v>
      </c>
      <c r="R419" s="478" t="s">
        <v>684</v>
      </c>
      <c r="S419" s="479">
        <v>72</v>
      </c>
      <c r="T419" s="478" t="s">
        <v>47</v>
      </c>
      <c r="U419" s="478" t="s">
        <v>42</v>
      </c>
      <c r="V419" s="480" t="s">
        <v>10</v>
      </c>
      <c r="W419" s="51">
        <v>0.11</v>
      </c>
      <c r="X419" s="357">
        <v>0.15</v>
      </c>
      <c r="Y419" s="351" t="s">
        <v>353</v>
      </c>
      <c r="Z419" s="5" t="s">
        <v>48</v>
      </c>
      <c r="AA419" s="112" t="s">
        <v>67</v>
      </c>
    </row>
    <row r="420" spans="1:29" x14ac:dyDescent="0.25">
      <c r="A420" s="329">
        <v>45913</v>
      </c>
      <c r="B420" s="5">
        <v>4</v>
      </c>
      <c r="D420" s="5" t="s">
        <v>146</v>
      </c>
      <c r="E420" s="6">
        <v>2.23</v>
      </c>
      <c r="G420" s="362">
        <v>1</v>
      </c>
      <c r="H420" s="362">
        <v>2</v>
      </c>
      <c r="I420" s="8">
        <v>2.42</v>
      </c>
      <c r="L420" s="5" t="s">
        <v>226</v>
      </c>
      <c r="M420" s="242" t="s">
        <v>371</v>
      </c>
      <c r="N420" s="476">
        <v>67</v>
      </c>
      <c r="O420" s="477" t="s">
        <v>146</v>
      </c>
      <c r="P420" s="478" t="s">
        <v>46</v>
      </c>
      <c r="Q420" s="478" t="s">
        <v>376</v>
      </c>
      <c r="R420" s="478" t="s">
        <v>696</v>
      </c>
      <c r="S420" s="479">
        <v>67</v>
      </c>
      <c r="T420" s="478" t="s">
        <v>41</v>
      </c>
      <c r="U420" s="478" t="s">
        <v>42</v>
      </c>
      <c r="V420" s="480" t="s">
        <v>33</v>
      </c>
      <c r="W420" s="51">
        <v>0.18</v>
      </c>
      <c r="X420" s="357" t="s">
        <v>53</v>
      </c>
      <c r="Z420" s="5" t="s">
        <v>13</v>
      </c>
      <c r="AA420" s="112" t="s">
        <v>67</v>
      </c>
    </row>
    <row r="421" spans="1:29" x14ac:dyDescent="0.25">
      <c r="A421" s="329">
        <v>45913</v>
      </c>
      <c r="B421" s="5">
        <v>4</v>
      </c>
      <c r="D421" s="5" t="s">
        <v>146</v>
      </c>
      <c r="E421" s="6">
        <v>2.23</v>
      </c>
      <c r="G421" s="362">
        <v>1</v>
      </c>
      <c r="H421" s="362">
        <v>2</v>
      </c>
      <c r="I421" s="8">
        <v>2.42</v>
      </c>
      <c r="L421" s="5" t="s">
        <v>226</v>
      </c>
      <c r="M421" s="242" t="s">
        <v>371</v>
      </c>
      <c r="N421" s="476">
        <v>67</v>
      </c>
      <c r="O421" s="477" t="s">
        <v>146</v>
      </c>
      <c r="P421" s="478" t="s">
        <v>377</v>
      </c>
      <c r="Q421" s="478" t="s">
        <v>378</v>
      </c>
      <c r="R421" s="478" t="s">
        <v>712</v>
      </c>
      <c r="S421" s="479">
        <v>65</v>
      </c>
      <c r="T421" s="478" t="s">
        <v>41</v>
      </c>
      <c r="U421" s="478" t="s">
        <v>43</v>
      </c>
      <c r="V421" s="480" t="s">
        <v>33</v>
      </c>
      <c r="W421" s="51">
        <v>0.13</v>
      </c>
      <c r="X421" s="357" t="s">
        <v>53</v>
      </c>
      <c r="Y421" s="351" t="s">
        <v>353</v>
      </c>
      <c r="Z421" s="5" t="s">
        <v>22</v>
      </c>
      <c r="AA421" s="112" t="s">
        <v>67</v>
      </c>
    </row>
    <row r="422" spans="1:29" ht="15.75" thickBot="1" x14ac:dyDescent="0.3">
      <c r="A422" s="330">
        <v>45913</v>
      </c>
      <c r="B422" s="9">
        <v>4</v>
      </c>
      <c r="C422" s="122"/>
      <c r="D422" s="9" t="s">
        <v>146</v>
      </c>
      <c r="E422" s="10">
        <v>2.23</v>
      </c>
      <c r="F422" s="10"/>
      <c r="G422" s="383">
        <v>1</v>
      </c>
      <c r="H422" s="383">
        <v>2</v>
      </c>
      <c r="I422" s="12">
        <v>2.42</v>
      </c>
      <c r="J422" s="12"/>
      <c r="K422" s="122"/>
      <c r="L422" s="9" t="s">
        <v>226</v>
      </c>
      <c r="M422" s="445" t="s">
        <v>371</v>
      </c>
      <c r="N422" s="511">
        <v>84</v>
      </c>
      <c r="O422" s="512" t="s">
        <v>146</v>
      </c>
      <c r="P422" s="513" t="s">
        <v>159</v>
      </c>
      <c r="Q422" s="513" t="s">
        <v>160</v>
      </c>
      <c r="R422" s="513" t="s">
        <v>684</v>
      </c>
      <c r="S422" s="479">
        <v>72</v>
      </c>
      <c r="T422" s="513" t="s">
        <v>41</v>
      </c>
      <c r="U422" s="513" t="s">
        <v>43</v>
      </c>
      <c r="V422" s="514" t="s">
        <v>10</v>
      </c>
      <c r="W422" s="52">
        <v>0.12</v>
      </c>
      <c r="X422" s="358">
        <v>0.03</v>
      </c>
      <c r="Y422" s="352" t="s">
        <v>353</v>
      </c>
      <c r="Z422" s="9" t="s">
        <v>48</v>
      </c>
      <c r="AA422" s="113" t="s">
        <v>67</v>
      </c>
      <c r="AB422" s="109"/>
      <c r="AC422" s="58"/>
    </row>
    <row r="423" spans="1:29" ht="15.75" thickBot="1" x14ac:dyDescent="0.3">
      <c r="A423" s="326">
        <v>45913</v>
      </c>
      <c r="B423" s="207">
        <v>4</v>
      </c>
      <c r="C423" s="208"/>
      <c r="D423" s="207" t="s">
        <v>146</v>
      </c>
      <c r="E423" s="209">
        <v>2.23</v>
      </c>
      <c r="F423" s="209"/>
      <c r="G423" s="460">
        <v>1</v>
      </c>
      <c r="H423" s="460">
        <v>2</v>
      </c>
      <c r="I423" s="211">
        <v>2.42</v>
      </c>
      <c r="J423" s="211"/>
      <c r="K423" s="208"/>
      <c r="L423" s="207" t="s">
        <v>226</v>
      </c>
      <c r="M423" s="235"/>
      <c r="N423" s="347"/>
      <c r="O423" s="343" t="s">
        <v>146</v>
      </c>
      <c r="P423" s="199" t="s">
        <v>176</v>
      </c>
      <c r="Q423" s="199" t="s">
        <v>423</v>
      </c>
      <c r="R423" s="199" t="s">
        <v>707</v>
      </c>
      <c r="S423" s="7">
        <v>67</v>
      </c>
      <c r="T423" s="199"/>
      <c r="U423" s="199"/>
      <c r="V423" s="201"/>
      <c r="W423" s="202"/>
      <c r="X423" s="359"/>
      <c r="Y423" s="353">
        <f>H423</f>
        <v>2</v>
      </c>
      <c r="Z423" s="199"/>
      <c r="AA423" s="204"/>
      <c r="AB423" s="205"/>
      <c r="AC423" s="201"/>
    </row>
    <row r="424" spans="1:29" ht="15.75" thickBot="1" x14ac:dyDescent="0.3">
      <c r="A424" s="326">
        <v>45913</v>
      </c>
      <c r="B424" s="207">
        <v>4</v>
      </c>
      <c r="C424" s="208"/>
      <c r="D424" s="207" t="s">
        <v>146</v>
      </c>
      <c r="E424" s="209">
        <v>2.23</v>
      </c>
      <c r="F424" s="209"/>
      <c r="G424" s="460">
        <v>1</v>
      </c>
      <c r="H424" s="460">
        <v>2</v>
      </c>
      <c r="I424" s="211">
        <v>2.42</v>
      </c>
      <c r="J424" s="211"/>
      <c r="K424" s="208"/>
      <c r="L424" s="207" t="s">
        <v>226</v>
      </c>
      <c r="M424" s="235"/>
      <c r="N424" s="347"/>
      <c r="O424" s="343" t="s">
        <v>226</v>
      </c>
      <c r="P424" s="199" t="s">
        <v>726</v>
      </c>
      <c r="Q424" s="199" t="s">
        <v>727</v>
      </c>
      <c r="R424" s="199" t="s">
        <v>707</v>
      </c>
      <c r="S424" s="481">
        <v>65</v>
      </c>
      <c r="T424" s="199"/>
      <c r="U424" s="199"/>
      <c r="V424" s="201"/>
      <c r="W424" s="202"/>
      <c r="X424" s="359"/>
      <c r="Y424" s="353">
        <f>G423</f>
        <v>1</v>
      </c>
      <c r="Z424" s="199"/>
      <c r="AA424" s="204"/>
      <c r="AB424" s="205"/>
      <c r="AC424" s="201"/>
    </row>
    <row r="425" spans="1:29" x14ac:dyDescent="0.25">
      <c r="A425" s="328">
        <v>45913</v>
      </c>
      <c r="B425" s="17">
        <v>4</v>
      </c>
      <c r="C425" s="123" t="s">
        <v>693</v>
      </c>
      <c r="D425" s="17" t="s">
        <v>170</v>
      </c>
      <c r="E425" s="18">
        <v>1.08</v>
      </c>
      <c r="F425" s="18"/>
      <c r="G425" s="461">
        <v>0</v>
      </c>
      <c r="H425" s="461">
        <v>1</v>
      </c>
      <c r="I425" s="20">
        <v>0.09</v>
      </c>
      <c r="J425" s="20"/>
      <c r="K425" s="123" t="s">
        <v>693</v>
      </c>
      <c r="L425" s="17" t="s">
        <v>128</v>
      </c>
      <c r="M425" s="46"/>
      <c r="N425" s="507">
        <v>36</v>
      </c>
      <c r="O425" s="508" t="s">
        <v>170</v>
      </c>
      <c r="P425" s="509" t="s">
        <v>379</v>
      </c>
      <c r="Q425" s="509" t="s">
        <v>380</v>
      </c>
      <c r="R425" s="509" t="s">
        <v>684</v>
      </c>
      <c r="S425" s="481">
        <v>59</v>
      </c>
      <c r="T425" s="509" t="s">
        <v>41</v>
      </c>
      <c r="U425" s="509" t="s">
        <v>43</v>
      </c>
      <c r="V425" s="510" t="s">
        <v>10</v>
      </c>
      <c r="W425" s="53">
        <v>0.5</v>
      </c>
      <c r="X425" s="360" t="s">
        <v>53</v>
      </c>
      <c r="Y425" s="354"/>
      <c r="Z425" s="17" t="s">
        <v>13</v>
      </c>
      <c r="AA425" s="114" t="s">
        <v>28</v>
      </c>
      <c r="AB425" s="110"/>
      <c r="AC425" s="60"/>
    </row>
    <row r="426" spans="1:29" x14ac:dyDescent="0.25">
      <c r="A426" s="329">
        <v>45913</v>
      </c>
      <c r="B426" s="5">
        <v>4</v>
      </c>
      <c r="D426" s="5" t="s">
        <v>170</v>
      </c>
      <c r="E426" s="6">
        <v>1.08</v>
      </c>
      <c r="G426" s="362">
        <v>0</v>
      </c>
      <c r="H426" s="362">
        <v>1</v>
      </c>
      <c r="I426" s="8">
        <v>0.09</v>
      </c>
      <c r="L426" s="5" t="s">
        <v>128</v>
      </c>
      <c r="N426" s="476">
        <v>42</v>
      </c>
      <c r="O426" s="477" t="s">
        <v>170</v>
      </c>
      <c r="P426" s="478" t="s">
        <v>159</v>
      </c>
      <c r="Q426" s="478" t="s">
        <v>381</v>
      </c>
      <c r="R426" s="478" t="s">
        <v>687</v>
      </c>
      <c r="S426" s="479">
        <v>65</v>
      </c>
      <c r="T426" s="478" t="s">
        <v>354</v>
      </c>
      <c r="U426" s="478" t="s">
        <v>42</v>
      </c>
      <c r="V426" s="480" t="s">
        <v>20</v>
      </c>
      <c r="W426" s="51">
        <v>0.01</v>
      </c>
      <c r="X426" s="357">
        <v>0.1</v>
      </c>
      <c r="Z426" s="5" t="s">
        <v>48</v>
      </c>
      <c r="AA426" s="112" t="s">
        <v>28</v>
      </c>
    </row>
    <row r="427" spans="1:29" x14ac:dyDescent="0.25">
      <c r="A427" s="329">
        <v>45913</v>
      </c>
      <c r="B427" s="5">
        <v>4</v>
      </c>
      <c r="D427" s="5" t="s">
        <v>170</v>
      </c>
      <c r="E427" s="6">
        <v>1.08</v>
      </c>
      <c r="G427" s="362">
        <v>0</v>
      </c>
      <c r="H427" s="362">
        <v>1</v>
      </c>
      <c r="I427" s="8">
        <v>0.09</v>
      </c>
      <c r="L427" s="5" t="s">
        <v>128</v>
      </c>
      <c r="N427" s="345">
        <v>52</v>
      </c>
      <c r="O427" s="38" t="s">
        <v>128</v>
      </c>
      <c r="P427" s="5" t="s">
        <v>130</v>
      </c>
      <c r="Q427" s="5" t="s">
        <v>131</v>
      </c>
      <c r="R427" s="5" t="s">
        <v>696</v>
      </c>
      <c r="S427" s="7">
        <v>69</v>
      </c>
      <c r="T427" s="5" t="s">
        <v>354</v>
      </c>
      <c r="U427" s="5" t="s">
        <v>42</v>
      </c>
      <c r="V427" s="57" t="s">
        <v>10</v>
      </c>
      <c r="W427" s="51">
        <v>0.03</v>
      </c>
      <c r="X427" s="357">
        <v>0.2</v>
      </c>
      <c r="Z427" s="5" t="s">
        <v>48</v>
      </c>
      <c r="AA427" s="112" t="s">
        <v>28</v>
      </c>
    </row>
    <row r="428" spans="1:29" x14ac:dyDescent="0.25">
      <c r="A428" s="329">
        <v>45913</v>
      </c>
      <c r="B428" s="5">
        <v>4</v>
      </c>
      <c r="D428" s="5" t="s">
        <v>170</v>
      </c>
      <c r="E428" s="6">
        <v>1.08</v>
      </c>
      <c r="G428" s="362">
        <v>0</v>
      </c>
      <c r="H428" s="362">
        <v>1</v>
      </c>
      <c r="I428" s="8">
        <v>0.09</v>
      </c>
      <c r="L428" s="5" t="s">
        <v>128</v>
      </c>
      <c r="N428" s="476">
        <v>57</v>
      </c>
      <c r="O428" s="477" t="s">
        <v>170</v>
      </c>
      <c r="P428" s="478" t="s">
        <v>176</v>
      </c>
      <c r="Q428" s="478" t="s">
        <v>177</v>
      </c>
      <c r="R428" s="478" t="s">
        <v>686</v>
      </c>
      <c r="S428" s="479">
        <v>68</v>
      </c>
      <c r="T428" s="478" t="s">
        <v>41</v>
      </c>
      <c r="U428" s="478" t="s">
        <v>43</v>
      </c>
      <c r="V428" s="480" t="s">
        <v>20</v>
      </c>
      <c r="W428" s="51" t="s">
        <v>53</v>
      </c>
      <c r="X428" s="357" t="s">
        <v>53</v>
      </c>
      <c r="Z428" s="130" t="s">
        <v>23</v>
      </c>
      <c r="AA428" s="134" t="s">
        <v>9</v>
      </c>
    </row>
    <row r="429" spans="1:29" x14ac:dyDescent="0.25">
      <c r="A429" s="329">
        <v>45913</v>
      </c>
      <c r="B429" s="5">
        <v>4</v>
      </c>
      <c r="D429" s="5" t="s">
        <v>170</v>
      </c>
      <c r="E429" s="6">
        <v>1.08</v>
      </c>
      <c r="G429" s="362">
        <v>0</v>
      </c>
      <c r="H429" s="362">
        <v>1</v>
      </c>
      <c r="I429" s="8">
        <v>0.09</v>
      </c>
      <c r="L429" s="5" t="s">
        <v>128</v>
      </c>
      <c r="N429" s="476">
        <v>61</v>
      </c>
      <c r="O429" s="477" t="s">
        <v>170</v>
      </c>
      <c r="P429" s="478" t="s">
        <v>295</v>
      </c>
      <c r="Q429" s="478" t="s">
        <v>175</v>
      </c>
      <c r="R429" s="478" t="s">
        <v>685</v>
      </c>
      <c r="S429" s="479">
        <v>59</v>
      </c>
      <c r="T429" s="478" t="s">
        <v>47</v>
      </c>
      <c r="U429" s="478" t="s">
        <v>45</v>
      </c>
      <c r="V429" s="480" t="s">
        <v>20</v>
      </c>
      <c r="W429" s="51">
        <v>0.18</v>
      </c>
      <c r="X429" s="357" t="s">
        <v>53</v>
      </c>
      <c r="Y429" s="351" t="s">
        <v>353</v>
      </c>
      <c r="Z429" s="5" t="s">
        <v>13</v>
      </c>
      <c r="AA429" s="112" t="s">
        <v>9</v>
      </c>
    </row>
    <row r="430" spans="1:29" x14ac:dyDescent="0.25">
      <c r="A430" s="329">
        <v>45913</v>
      </c>
      <c r="B430" s="5">
        <v>4</v>
      </c>
      <c r="D430" s="5" t="s">
        <v>170</v>
      </c>
      <c r="E430" s="6">
        <v>1.08</v>
      </c>
      <c r="G430" s="362">
        <v>0</v>
      </c>
      <c r="H430" s="362">
        <v>1</v>
      </c>
      <c r="I430" s="8">
        <v>0.09</v>
      </c>
      <c r="L430" s="5" t="s">
        <v>128</v>
      </c>
      <c r="N430" s="476">
        <v>66</v>
      </c>
      <c r="O430" s="477" t="s">
        <v>170</v>
      </c>
      <c r="P430" s="478" t="s">
        <v>176</v>
      </c>
      <c r="Q430" s="478" t="s">
        <v>177</v>
      </c>
      <c r="R430" s="478" t="s">
        <v>686</v>
      </c>
      <c r="S430" s="479">
        <v>68</v>
      </c>
      <c r="T430" s="478" t="s">
        <v>41</v>
      </c>
      <c r="U430" s="478" t="s">
        <v>42</v>
      </c>
      <c r="V430" s="480" t="s">
        <v>10</v>
      </c>
      <c r="W430" s="51">
        <v>0.09</v>
      </c>
      <c r="X430" s="357">
        <v>0.59</v>
      </c>
      <c r="Z430" s="5" t="s">
        <v>48</v>
      </c>
      <c r="AA430" s="112" t="s">
        <v>9</v>
      </c>
    </row>
    <row r="431" spans="1:29" ht="15.75" thickBot="1" x14ac:dyDescent="0.3">
      <c r="A431" s="330">
        <v>45913</v>
      </c>
      <c r="B431" s="9">
        <v>4</v>
      </c>
      <c r="C431" s="122"/>
      <c r="D431" s="9" t="s">
        <v>170</v>
      </c>
      <c r="E431" s="10">
        <v>1.08</v>
      </c>
      <c r="F431" s="10"/>
      <c r="G431" s="383">
        <v>0</v>
      </c>
      <c r="H431" s="383">
        <v>1</v>
      </c>
      <c r="I431" s="12">
        <v>0.09</v>
      </c>
      <c r="J431" s="12"/>
      <c r="K431" s="122"/>
      <c r="L431" s="9" t="s">
        <v>128</v>
      </c>
      <c r="M431" s="45"/>
      <c r="N431" s="511">
        <v>70</v>
      </c>
      <c r="O431" s="512" t="s">
        <v>170</v>
      </c>
      <c r="P431" s="513" t="s">
        <v>295</v>
      </c>
      <c r="Q431" s="513" t="s">
        <v>175</v>
      </c>
      <c r="R431" s="513" t="s">
        <v>685</v>
      </c>
      <c r="S431" s="479">
        <v>59</v>
      </c>
      <c r="T431" s="513" t="s">
        <v>41</v>
      </c>
      <c r="U431" s="513" t="s">
        <v>45</v>
      </c>
      <c r="V431" s="514" t="s">
        <v>10</v>
      </c>
      <c r="W431" s="52">
        <v>0.03</v>
      </c>
      <c r="X431" s="358">
        <v>0.13</v>
      </c>
      <c r="Y431" s="352"/>
      <c r="Z431" s="9" t="s">
        <v>48</v>
      </c>
      <c r="AA431" s="113" t="s">
        <v>9</v>
      </c>
      <c r="AB431" s="119"/>
      <c r="AC431" s="91"/>
    </row>
    <row r="432" spans="1:29" ht="15.75" thickBot="1" x14ac:dyDescent="0.3">
      <c r="A432" s="326">
        <v>45913</v>
      </c>
      <c r="B432" s="207">
        <v>4</v>
      </c>
      <c r="C432" s="208"/>
      <c r="D432" s="207" t="s">
        <v>170</v>
      </c>
      <c r="E432" s="209">
        <v>1.08</v>
      </c>
      <c r="F432" s="209"/>
      <c r="G432" s="460">
        <v>0</v>
      </c>
      <c r="H432" s="460">
        <v>1</v>
      </c>
      <c r="I432" s="211">
        <v>0.09</v>
      </c>
      <c r="J432" s="211"/>
      <c r="K432" s="208"/>
      <c r="L432" s="207" t="s">
        <v>128</v>
      </c>
      <c r="M432" s="235"/>
      <c r="N432" s="347"/>
      <c r="O432" s="343" t="s">
        <v>170</v>
      </c>
      <c r="P432" s="199" t="s">
        <v>269</v>
      </c>
      <c r="Q432" s="199" t="s">
        <v>722</v>
      </c>
      <c r="R432" s="199" t="s">
        <v>707</v>
      </c>
      <c r="S432" s="7">
        <v>64</v>
      </c>
      <c r="T432" s="199"/>
      <c r="U432" s="199"/>
      <c r="V432" s="201"/>
      <c r="W432" s="202"/>
      <c r="X432" s="359"/>
      <c r="Y432" s="353">
        <f>H432</f>
        <v>1</v>
      </c>
      <c r="Z432" s="199"/>
      <c r="AA432" s="204"/>
      <c r="AB432" s="205"/>
      <c r="AC432" s="201"/>
    </row>
    <row r="433" spans="1:29" ht="15.75" thickBot="1" x14ac:dyDescent="0.3">
      <c r="A433" s="326">
        <v>45913</v>
      </c>
      <c r="B433" s="207">
        <v>4</v>
      </c>
      <c r="C433" s="208"/>
      <c r="D433" s="207" t="s">
        <v>170</v>
      </c>
      <c r="E433" s="209">
        <v>1.08</v>
      </c>
      <c r="F433" s="209"/>
      <c r="G433" s="460">
        <v>0</v>
      </c>
      <c r="H433" s="460">
        <v>1</v>
      </c>
      <c r="I433" s="211">
        <v>0.09</v>
      </c>
      <c r="J433" s="211"/>
      <c r="K433" s="208"/>
      <c r="L433" s="207" t="s">
        <v>128</v>
      </c>
      <c r="M433" s="235"/>
      <c r="N433" s="347"/>
      <c r="O433" s="343" t="s">
        <v>128</v>
      </c>
      <c r="P433" s="199" t="s">
        <v>127</v>
      </c>
      <c r="Q433" s="199" t="s">
        <v>476</v>
      </c>
      <c r="R433" s="199" t="s">
        <v>707</v>
      </c>
      <c r="S433" s="479">
        <v>78</v>
      </c>
      <c r="T433" s="199"/>
      <c r="U433" s="199"/>
      <c r="V433" s="201"/>
      <c r="W433" s="202"/>
      <c r="X433" s="359"/>
      <c r="Y433" s="353">
        <f>G432</f>
        <v>0</v>
      </c>
      <c r="Z433" s="199"/>
      <c r="AA433" s="204"/>
      <c r="AB433" s="205"/>
      <c r="AC433" s="201"/>
    </row>
    <row r="434" spans="1:29" x14ac:dyDescent="0.25">
      <c r="A434" s="328">
        <v>45913</v>
      </c>
      <c r="B434" s="17">
        <v>4</v>
      </c>
      <c r="C434" s="123" t="s">
        <v>694</v>
      </c>
      <c r="D434" s="17" t="s">
        <v>193</v>
      </c>
      <c r="E434" s="18">
        <v>1.01</v>
      </c>
      <c r="F434" s="18"/>
      <c r="G434" s="461">
        <v>2</v>
      </c>
      <c r="H434" s="461">
        <v>0</v>
      </c>
      <c r="I434" s="20">
        <v>1.03</v>
      </c>
      <c r="J434" s="20"/>
      <c r="K434" s="123" t="s">
        <v>694</v>
      </c>
      <c r="L434" s="17" t="s">
        <v>91</v>
      </c>
      <c r="M434" s="46"/>
      <c r="N434" s="507">
        <v>9</v>
      </c>
      <c r="O434" s="508" t="s">
        <v>193</v>
      </c>
      <c r="P434" s="509" t="s">
        <v>241</v>
      </c>
      <c r="Q434" s="509" t="s">
        <v>382</v>
      </c>
      <c r="R434" s="509" t="s">
        <v>695</v>
      </c>
      <c r="S434" s="479">
        <v>73</v>
      </c>
      <c r="T434" s="509" t="s">
        <v>41</v>
      </c>
      <c r="U434" s="509" t="s">
        <v>43</v>
      </c>
      <c r="V434" s="510" t="s">
        <v>10</v>
      </c>
      <c r="W434" s="53">
        <v>0.53</v>
      </c>
      <c r="X434" s="360">
        <v>0.8</v>
      </c>
      <c r="Y434" s="354" t="s">
        <v>353</v>
      </c>
      <c r="Z434" s="17" t="s">
        <v>8</v>
      </c>
      <c r="AA434" s="114" t="s">
        <v>19</v>
      </c>
      <c r="AB434" s="110" t="s">
        <v>200</v>
      </c>
      <c r="AC434" s="60" t="s">
        <v>201</v>
      </c>
    </row>
    <row r="435" spans="1:29" x14ac:dyDescent="0.25">
      <c r="A435" s="329">
        <v>45913</v>
      </c>
      <c r="B435" s="5">
        <v>4</v>
      </c>
      <c r="D435" s="5" t="s">
        <v>193</v>
      </c>
      <c r="E435" s="6">
        <v>1.01</v>
      </c>
      <c r="G435" s="362">
        <v>2</v>
      </c>
      <c r="H435" s="362">
        <v>0</v>
      </c>
      <c r="I435" s="8">
        <v>1.03</v>
      </c>
      <c r="L435" s="5" t="s">
        <v>91</v>
      </c>
      <c r="N435" s="476">
        <v>14</v>
      </c>
      <c r="O435" s="477" t="s">
        <v>193</v>
      </c>
      <c r="P435" s="478" t="s">
        <v>204</v>
      </c>
      <c r="Q435" s="478" t="s">
        <v>205</v>
      </c>
      <c r="R435" s="478" t="s">
        <v>686</v>
      </c>
      <c r="S435" s="479">
        <v>70</v>
      </c>
      <c r="T435" s="478" t="s">
        <v>41</v>
      </c>
      <c r="U435" s="478" t="s">
        <v>42</v>
      </c>
      <c r="V435" s="480" t="s">
        <v>10</v>
      </c>
      <c r="W435" s="51">
        <v>0.26</v>
      </c>
      <c r="X435" s="357" t="s">
        <v>53</v>
      </c>
      <c r="Y435" s="351" t="s">
        <v>353</v>
      </c>
      <c r="Z435" s="5" t="s">
        <v>16</v>
      </c>
      <c r="AA435" s="112" t="s">
        <v>19</v>
      </c>
    </row>
    <row r="436" spans="1:29" x14ac:dyDescent="0.25">
      <c r="A436" s="329">
        <v>45913</v>
      </c>
      <c r="B436" s="5">
        <v>4</v>
      </c>
      <c r="D436" s="5" t="s">
        <v>193</v>
      </c>
      <c r="E436" s="6">
        <v>1.01</v>
      </c>
      <c r="G436" s="362">
        <v>2</v>
      </c>
      <c r="H436" s="362">
        <v>0</v>
      </c>
      <c r="I436" s="8">
        <v>1.03</v>
      </c>
      <c r="L436" s="5" t="s">
        <v>91</v>
      </c>
      <c r="N436" s="345">
        <v>15</v>
      </c>
      <c r="O436" s="38" t="s">
        <v>91</v>
      </c>
      <c r="P436" s="5" t="s">
        <v>332</v>
      </c>
      <c r="Q436" s="5" t="s">
        <v>333</v>
      </c>
      <c r="R436" s="5" t="s">
        <v>685</v>
      </c>
      <c r="S436" s="7">
        <v>60</v>
      </c>
      <c r="T436" s="5" t="s">
        <v>41</v>
      </c>
      <c r="U436" s="5" t="s">
        <v>42</v>
      </c>
      <c r="V436" s="57" t="s">
        <v>540</v>
      </c>
      <c r="W436" s="51">
        <v>0.42</v>
      </c>
      <c r="X436" s="357" t="s">
        <v>53</v>
      </c>
      <c r="Y436" s="351" t="s">
        <v>353</v>
      </c>
      <c r="Z436" s="5" t="s">
        <v>13</v>
      </c>
      <c r="AA436" s="112" t="s">
        <v>19</v>
      </c>
    </row>
    <row r="437" spans="1:29" x14ac:dyDescent="0.25">
      <c r="A437" s="329">
        <v>45913</v>
      </c>
      <c r="B437" s="5">
        <v>4</v>
      </c>
      <c r="D437" s="5" t="s">
        <v>193</v>
      </c>
      <c r="E437" s="6">
        <v>1.01</v>
      </c>
      <c r="G437" s="362">
        <v>2</v>
      </c>
      <c r="H437" s="362">
        <v>0</v>
      </c>
      <c r="I437" s="8">
        <v>1.03</v>
      </c>
      <c r="L437" s="5" t="s">
        <v>91</v>
      </c>
      <c r="N437" s="345">
        <v>22</v>
      </c>
      <c r="O437" s="38" t="s">
        <v>91</v>
      </c>
      <c r="P437" s="5" t="s">
        <v>332</v>
      </c>
      <c r="Q437" s="5" t="s">
        <v>333</v>
      </c>
      <c r="R437" s="5" t="s">
        <v>685</v>
      </c>
      <c r="S437" s="7">
        <v>60</v>
      </c>
      <c r="T437" s="5" t="s">
        <v>41</v>
      </c>
      <c r="U437" s="5" t="s">
        <v>43</v>
      </c>
      <c r="V437" s="57" t="s">
        <v>10</v>
      </c>
      <c r="W437" s="51">
        <v>0.26</v>
      </c>
      <c r="X437" s="357" t="s">
        <v>53</v>
      </c>
      <c r="Z437" s="5" t="s">
        <v>13</v>
      </c>
      <c r="AA437" s="112" t="s">
        <v>19</v>
      </c>
    </row>
    <row r="438" spans="1:29" x14ac:dyDescent="0.25">
      <c r="A438" s="329">
        <v>45913</v>
      </c>
      <c r="B438" s="5">
        <v>4</v>
      </c>
      <c r="D438" s="5" t="s">
        <v>193</v>
      </c>
      <c r="E438" s="6">
        <v>1.01</v>
      </c>
      <c r="G438" s="362">
        <v>2</v>
      </c>
      <c r="H438" s="362">
        <v>0</v>
      </c>
      <c r="I438" s="8">
        <v>1.03</v>
      </c>
      <c r="L438" s="5" t="s">
        <v>91</v>
      </c>
      <c r="N438" s="345" t="s">
        <v>68</v>
      </c>
      <c r="O438" s="38" t="s">
        <v>91</v>
      </c>
      <c r="P438" s="5" t="s">
        <v>96</v>
      </c>
      <c r="Q438" s="5" t="s">
        <v>97</v>
      </c>
      <c r="R438" s="5" t="s">
        <v>718</v>
      </c>
      <c r="S438" s="7">
        <v>66</v>
      </c>
      <c r="T438" s="5" t="s">
        <v>354</v>
      </c>
      <c r="U438" s="5" t="s">
        <v>43</v>
      </c>
      <c r="V438" s="57" t="s">
        <v>15</v>
      </c>
      <c r="W438" s="51">
        <v>0.04</v>
      </c>
      <c r="X438" s="357" t="s">
        <v>53</v>
      </c>
      <c r="Z438" s="5" t="s">
        <v>17</v>
      </c>
      <c r="AA438" s="112" t="s">
        <v>19</v>
      </c>
    </row>
    <row r="439" spans="1:29" x14ac:dyDescent="0.25">
      <c r="A439" s="329">
        <v>45913</v>
      </c>
      <c r="B439" s="5">
        <v>4</v>
      </c>
      <c r="D439" s="5" t="s">
        <v>193</v>
      </c>
      <c r="E439" s="6">
        <v>1.01</v>
      </c>
      <c r="G439" s="362">
        <v>2</v>
      </c>
      <c r="H439" s="362">
        <v>0</v>
      </c>
      <c r="I439" s="8">
        <v>1.03</v>
      </c>
      <c r="L439" s="5" t="s">
        <v>91</v>
      </c>
      <c r="N439" s="345" t="s">
        <v>122</v>
      </c>
      <c r="O439" s="38" t="s">
        <v>91</v>
      </c>
      <c r="P439" s="5" t="s">
        <v>100</v>
      </c>
      <c r="Q439" s="5" t="s">
        <v>101</v>
      </c>
      <c r="R439" s="5" t="s">
        <v>688</v>
      </c>
      <c r="S439" s="479">
        <v>55</v>
      </c>
      <c r="T439" s="5" t="s">
        <v>41</v>
      </c>
      <c r="U439" s="5" t="s">
        <v>42</v>
      </c>
      <c r="V439" s="57" t="s">
        <v>33</v>
      </c>
      <c r="W439" s="51">
        <v>0.15</v>
      </c>
      <c r="X439" s="357">
        <v>0.12</v>
      </c>
      <c r="Z439" s="5" t="s">
        <v>48</v>
      </c>
      <c r="AA439" s="112" t="s">
        <v>19</v>
      </c>
    </row>
    <row r="440" spans="1:29" x14ac:dyDescent="0.25">
      <c r="A440" s="329">
        <v>45913</v>
      </c>
      <c r="B440" s="5">
        <v>4</v>
      </c>
      <c r="D440" s="5" t="s">
        <v>193</v>
      </c>
      <c r="E440" s="6">
        <v>1.01</v>
      </c>
      <c r="G440" s="362">
        <v>2</v>
      </c>
      <c r="H440" s="362">
        <v>0</v>
      </c>
      <c r="I440" s="8">
        <v>1.03</v>
      </c>
      <c r="L440" s="5" t="s">
        <v>91</v>
      </c>
      <c r="N440" s="476">
        <v>52</v>
      </c>
      <c r="O440" s="477" t="s">
        <v>193</v>
      </c>
      <c r="P440" s="478" t="s">
        <v>96</v>
      </c>
      <c r="Q440" s="478" t="s">
        <v>327</v>
      </c>
      <c r="R440" s="478" t="s">
        <v>685</v>
      </c>
      <c r="S440" s="479">
        <v>75</v>
      </c>
      <c r="T440" s="478" t="s">
        <v>41</v>
      </c>
      <c r="U440" s="478" t="s">
        <v>45</v>
      </c>
      <c r="V440" s="480" t="s">
        <v>18</v>
      </c>
      <c r="W440" s="51">
        <v>0.1</v>
      </c>
      <c r="X440" s="357">
        <v>0.49</v>
      </c>
      <c r="Y440" s="351" t="s">
        <v>353</v>
      </c>
      <c r="Z440" s="5" t="s">
        <v>8</v>
      </c>
      <c r="AA440" s="112" t="s">
        <v>24</v>
      </c>
      <c r="AB440" s="108" t="s">
        <v>259</v>
      </c>
      <c r="AC440" s="57" t="s">
        <v>260</v>
      </c>
    </row>
    <row r="441" spans="1:29" ht="15.75" thickBot="1" x14ac:dyDescent="0.3">
      <c r="A441" s="330">
        <v>45913</v>
      </c>
      <c r="B441" s="9">
        <v>4</v>
      </c>
      <c r="C441" s="122"/>
      <c r="D441" s="9" t="s">
        <v>193</v>
      </c>
      <c r="E441" s="10">
        <v>1.01</v>
      </c>
      <c r="F441" s="10"/>
      <c r="G441" s="383">
        <v>2</v>
      </c>
      <c r="H441" s="383">
        <v>0</v>
      </c>
      <c r="I441" s="12">
        <v>1.03</v>
      </c>
      <c r="J441" s="12"/>
      <c r="K441" s="122"/>
      <c r="L441" s="9" t="s">
        <v>91</v>
      </c>
      <c r="M441" s="45"/>
      <c r="N441" s="511" t="s">
        <v>31</v>
      </c>
      <c r="O441" s="512" t="s">
        <v>193</v>
      </c>
      <c r="P441" s="513" t="s">
        <v>337</v>
      </c>
      <c r="Q441" s="513" t="s">
        <v>383</v>
      </c>
      <c r="R441" s="513" t="s">
        <v>696</v>
      </c>
      <c r="S441" s="479">
        <v>65</v>
      </c>
      <c r="T441" s="513" t="s">
        <v>41</v>
      </c>
      <c r="U441" s="513" t="s">
        <v>45</v>
      </c>
      <c r="V441" s="514" t="s">
        <v>33</v>
      </c>
      <c r="W441" s="52">
        <v>0.02</v>
      </c>
      <c r="X441" s="358">
        <v>0.13</v>
      </c>
      <c r="Y441" s="352"/>
      <c r="Z441" s="9" t="s">
        <v>48</v>
      </c>
      <c r="AA441" s="113" t="s">
        <v>24</v>
      </c>
      <c r="AB441" s="109"/>
      <c r="AC441" s="58"/>
    </row>
    <row r="442" spans="1:29" ht="15.75" thickBot="1" x14ac:dyDescent="0.3">
      <c r="A442" s="326">
        <v>45913</v>
      </c>
      <c r="B442" s="207">
        <v>4</v>
      </c>
      <c r="C442" s="208"/>
      <c r="D442" s="207" t="s">
        <v>193</v>
      </c>
      <c r="E442" s="209">
        <v>1.01</v>
      </c>
      <c r="F442" s="209"/>
      <c r="G442" s="460">
        <v>2</v>
      </c>
      <c r="H442" s="460">
        <v>0</v>
      </c>
      <c r="I442" s="211">
        <v>1.03</v>
      </c>
      <c r="J442" s="211"/>
      <c r="K442" s="208"/>
      <c r="L442" s="207" t="s">
        <v>91</v>
      </c>
      <c r="M442" s="235"/>
      <c r="N442" s="347"/>
      <c r="O442" s="343" t="s">
        <v>193</v>
      </c>
      <c r="P442" s="199" t="s">
        <v>580</v>
      </c>
      <c r="Q442" s="199" t="s">
        <v>581</v>
      </c>
      <c r="R442" s="199" t="s">
        <v>707</v>
      </c>
      <c r="S442" s="459">
        <v>70</v>
      </c>
      <c r="T442" s="199"/>
      <c r="U442" s="199"/>
      <c r="V442" s="201"/>
      <c r="W442" s="202"/>
      <c r="X442" s="359"/>
      <c r="Y442" s="353">
        <f>H442</f>
        <v>0</v>
      </c>
      <c r="Z442" s="199"/>
      <c r="AA442" s="204"/>
      <c r="AB442" s="205"/>
      <c r="AC442" s="201"/>
    </row>
    <row r="443" spans="1:29" ht="15.75" thickBot="1" x14ac:dyDescent="0.3">
      <c r="A443" s="326">
        <v>45913</v>
      </c>
      <c r="B443" s="207">
        <v>4</v>
      </c>
      <c r="C443" s="208"/>
      <c r="D443" s="207" t="s">
        <v>193</v>
      </c>
      <c r="E443" s="209">
        <v>1.01</v>
      </c>
      <c r="F443" s="209"/>
      <c r="G443" s="460">
        <v>2</v>
      </c>
      <c r="H443" s="460">
        <v>0</v>
      </c>
      <c r="I443" s="211">
        <v>1.03</v>
      </c>
      <c r="J443" s="211"/>
      <c r="K443" s="208"/>
      <c r="L443" s="207" t="s">
        <v>91</v>
      </c>
      <c r="M443" s="235"/>
      <c r="N443" s="347"/>
      <c r="O443" s="343" t="s">
        <v>91</v>
      </c>
      <c r="P443" s="199" t="s">
        <v>351</v>
      </c>
      <c r="Q443" s="199" t="s">
        <v>54</v>
      </c>
      <c r="R443" s="199" t="s">
        <v>707</v>
      </c>
      <c r="S443" s="481">
        <v>57</v>
      </c>
      <c r="T443" s="199"/>
      <c r="U443" s="199"/>
      <c r="V443" s="201"/>
      <c r="W443" s="202"/>
      <c r="X443" s="359"/>
      <c r="Y443" s="353">
        <f>G442</f>
        <v>2</v>
      </c>
      <c r="Z443" s="199"/>
      <c r="AA443" s="204"/>
      <c r="AB443" s="205"/>
      <c r="AC443" s="201"/>
    </row>
    <row r="444" spans="1:29" x14ac:dyDescent="0.25">
      <c r="A444" s="328">
        <v>45914</v>
      </c>
      <c r="B444" s="17">
        <v>4</v>
      </c>
      <c r="C444" s="123" t="s">
        <v>700</v>
      </c>
      <c r="D444" s="17" t="s">
        <v>456</v>
      </c>
      <c r="E444" s="18">
        <v>2.5</v>
      </c>
      <c r="F444" s="18"/>
      <c r="G444" s="461">
        <v>1</v>
      </c>
      <c r="H444" s="461">
        <v>1</v>
      </c>
      <c r="I444" s="20">
        <v>0.64</v>
      </c>
      <c r="J444" s="20"/>
      <c r="K444" s="123" t="s">
        <v>692</v>
      </c>
      <c r="L444" s="17" t="s">
        <v>69</v>
      </c>
      <c r="M444" s="46"/>
      <c r="N444" s="507">
        <v>2</v>
      </c>
      <c r="O444" s="508" t="s">
        <v>456</v>
      </c>
      <c r="P444" s="509" t="s">
        <v>162</v>
      </c>
      <c r="Q444" s="509" t="s">
        <v>163</v>
      </c>
      <c r="R444" s="509" t="s">
        <v>686</v>
      </c>
      <c r="S444" s="479">
        <v>73</v>
      </c>
      <c r="T444" s="509" t="s">
        <v>41</v>
      </c>
      <c r="U444" s="509" t="s">
        <v>43</v>
      </c>
      <c r="V444" s="510" t="s">
        <v>540</v>
      </c>
      <c r="W444" s="53">
        <v>0.15</v>
      </c>
      <c r="X444" s="360" t="s">
        <v>53</v>
      </c>
      <c r="Y444" s="354"/>
      <c r="Z444" s="17" t="s">
        <v>52</v>
      </c>
      <c r="AA444" s="114" t="s">
        <v>28</v>
      </c>
      <c r="AB444" s="110"/>
      <c r="AC444" s="60"/>
    </row>
    <row r="445" spans="1:29" x14ac:dyDescent="0.25">
      <c r="A445" s="329">
        <v>45914</v>
      </c>
      <c r="B445" s="5">
        <v>4</v>
      </c>
      <c r="D445" s="5" t="s">
        <v>456</v>
      </c>
      <c r="E445" s="6">
        <v>2.5</v>
      </c>
      <c r="G445" s="362">
        <v>1</v>
      </c>
      <c r="H445" s="362">
        <v>1</v>
      </c>
      <c r="I445" s="8">
        <v>0.64</v>
      </c>
      <c r="L445" s="5" t="s">
        <v>69</v>
      </c>
      <c r="N445" s="345">
        <v>12</v>
      </c>
      <c r="O445" s="38" t="s">
        <v>69</v>
      </c>
      <c r="P445" s="5" t="s">
        <v>389</v>
      </c>
      <c r="Q445" s="5" t="s">
        <v>390</v>
      </c>
      <c r="R445" s="5" t="s">
        <v>684</v>
      </c>
      <c r="S445" s="7">
        <v>79</v>
      </c>
      <c r="T445" s="5" t="s">
        <v>41</v>
      </c>
      <c r="U445" s="5" t="s">
        <v>42</v>
      </c>
      <c r="V445" s="57" t="s">
        <v>10</v>
      </c>
      <c r="W445" s="51">
        <v>7.0000000000000007E-2</v>
      </c>
      <c r="X445" s="357">
        <v>0.19</v>
      </c>
      <c r="Z445" s="5" t="s">
        <v>8</v>
      </c>
      <c r="AA445" s="112" t="s">
        <v>9</v>
      </c>
      <c r="AB445" s="108" t="s">
        <v>59</v>
      </c>
      <c r="AC445" s="57" t="s">
        <v>365</v>
      </c>
    </row>
    <row r="446" spans="1:29" x14ac:dyDescent="0.25">
      <c r="A446" s="329">
        <v>45914</v>
      </c>
      <c r="B446" s="5">
        <v>4</v>
      </c>
      <c r="D446" s="5" t="s">
        <v>456</v>
      </c>
      <c r="E446" s="6">
        <v>2.5</v>
      </c>
      <c r="G446" s="362">
        <v>1</v>
      </c>
      <c r="H446" s="362">
        <v>1</v>
      </c>
      <c r="I446" s="8">
        <v>0.64</v>
      </c>
      <c r="L446" s="5" t="s">
        <v>69</v>
      </c>
      <c r="N446" s="345">
        <v>39</v>
      </c>
      <c r="O446" s="38" t="s">
        <v>69</v>
      </c>
      <c r="P446" s="5" t="s">
        <v>59</v>
      </c>
      <c r="Q446" s="5" t="s">
        <v>365</v>
      </c>
      <c r="R446" s="5" t="s">
        <v>690</v>
      </c>
      <c r="S446" s="7">
        <v>73</v>
      </c>
      <c r="T446" s="5" t="s">
        <v>41</v>
      </c>
      <c r="U446" s="5" t="s">
        <v>45</v>
      </c>
      <c r="V446" s="57" t="s">
        <v>10</v>
      </c>
      <c r="W446" s="51">
        <v>0.05</v>
      </c>
      <c r="X446" s="357">
        <v>0.04</v>
      </c>
      <c r="Y446" s="351" t="s">
        <v>353</v>
      </c>
      <c r="Z446" s="5" t="s">
        <v>48</v>
      </c>
      <c r="AA446" s="112" t="s">
        <v>9</v>
      </c>
    </row>
    <row r="447" spans="1:29" x14ac:dyDescent="0.25">
      <c r="A447" s="329">
        <v>45914</v>
      </c>
      <c r="B447" s="5">
        <v>4</v>
      </c>
      <c r="D447" s="5" t="s">
        <v>456</v>
      </c>
      <c r="E447" s="6">
        <v>2.5</v>
      </c>
      <c r="G447" s="362">
        <v>1</v>
      </c>
      <c r="H447" s="362">
        <v>1</v>
      </c>
      <c r="I447" s="8">
        <v>0.64</v>
      </c>
      <c r="L447" s="5" t="s">
        <v>69</v>
      </c>
      <c r="N447" s="476">
        <v>40</v>
      </c>
      <c r="O447" s="477" t="s">
        <v>456</v>
      </c>
      <c r="P447" s="478" t="s">
        <v>118</v>
      </c>
      <c r="Q447" s="478" t="s">
        <v>357</v>
      </c>
      <c r="R447" s="478" t="s">
        <v>684</v>
      </c>
      <c r="S447" s="479">
        <v>65</v>
      </c>
      <c r="T447" s="478" t="s">
        <v>41</v>
      </c>
      <c r="U447" s="478" t="s">
        <v>45</v>
      </c>
      <c r="V447" s="480" t="s">
        <v>10</v>
      </c>
      <c r="W447" s="51">
        <v>0.13</v>
      </c>
      <c r="X447" s="357" t="s">
        <v>53</v>
      </c>
      <c r="Z447" s="5" t="s">
        <v>13</v>
      </c>
      <c r="AA447" s="112" t="s">
        <v>9</v>
      </c>
    </row>
    <row r="448" spans="1:29" x14ac:dyDescent="0.25">
      <c r="A448" s="329">
        <v>45914</v>
      </c>
      <c r="B448" s="5">
        <v>4</v>
      </c>
      <c r="D448" s="5" t="s">
        <v>456</v>
      </c>
      <c r="E448" s="6">
        <v>2.5</v>
      </c>
      <c r="G448" s="362">
        <v>1</v>
      </c>
      <c r="H448" s="362">
        <v>1</v>
      </c>
      <c r="I448" s="8">
        <v>0.64</v>
      </c>
      <c r="L448" s="5" t="s">
        <v>69</v>
      </c>
      <c r="N448" s="476">
        <v>42</v>
      </c>
      <c r="O448" s="477" t="s">
        <v>456</v>
      </c>
      <c r="P448" s="478" t="s">
        <v>118</v>
      </c>
      <c r="Q448" s="478" t="s">
        <v>357</v>
      </c>
      <c r="R448" s="478" t="s">
        <v>684</v>
      </c>
      <c r="S448" s="479">
        <v>65</v>
      </c>
      <c r="T448" s="478" t="s">
        <v>41</v>
      </c>
      <c r="U448" s="478" t="s">
        <v>42</v>
      </c>
      <c r="V448" s="480" t="s">
        <v>10</v>
      </c>
      <c r="W448" s="51">
        <v>0.06</v>
      </c>
      <c r="X448" s="357">
        <v>0.13</v>
      </c>
      <c r="Z448" s="5" t="s">
        <v>48</v>
      </c>
      <c r="AA448" s="112" t="s">
        <v>9</v>
      </c>
    </row>
    <row r="449" spans="1:29" x14ac:dyDescent="0.25">
      <c r="A449" s="329">
        <v>45914</v>
      </c>
      <c r="B449" s="5">
        <v>4</v>
      </c>
      <c r="D449" s="5" t="s">
        <v>456</v>
      </c>
      <c r="E449" s="6">
        <v>2.5</v>
      </c>
      <c r="G449" s="362">
        <v>1</v>
      </c>
      <c r="H449" s="362">
        <v>1</v>
      </c>
      <c r="I449" s="8">
        <v>0.64</v>
      </c>
      <c r="L449" s="5" t="s">
        <v>69</v>
      </c>
      <c r="N449" s="476">
        <v>42</v>
      </c>
      <c r="O449" s="477" t="s">
        <v>456</v>
      </c>
      <c r="P449" s="478" t="s">
        <v>118</v>
      </c>
      <c r="Q449" s="478" t="s">
        <v>357</v>
      </c>
      <c r="R449" s="478" t="s">
        <v>684</v>
      </c>
      <c r="S449" s="479">
        <v>65</v>
      </c>
      <c r="T449" s="478" t="s">
        <v>41</v>
      </c>
      <c r="U449" s="478" t="s">
        <v>42</v>
      </c>
      <c r="V449" s="480" t="s">
        <v>20</v>
      </c>
      <c r="W449" s="51">
        <v>7.0000000000000007E-2</v>
      </c>
      <c r="X449" s="357">
        <v>0.38</v>
      </c>
      <c r="Z449" s="5" t="s">
        <v>48</v>
      </c>
      <c r="AA449" s="112" t="s">
        <v>9</v>
      </c>
    </row>
    <row r="450" spans="1:29" x14ac:dyDescent="0.25">
      <c r="A450" s="329">
        <v>45914</v>
      </c>
      <c r="B450" s="5">
        <v>4</v>
      </c>
      <c r="D450" s="5" t="s">
        <v>456</v>
      </c>
      <c r="E450" s="6">
        <v>2.5</v>
      </c>
      <c r="G450" s="362">
        <v>1</v>
      </c>
      <c r="H450" s="362">
        <v>1</v>
      </c>
      <c r="I450" s="8">
        <v>0.64</v>
      </c>
      <c r="L450" s="5" t="s">
        <v>69</v>
      </c>
      <c r="N450" s="476">
        <v>48</v>
      </c>
      <c r="O450" s="477" t="s">
        <v>456</v>
      </c>
      <c r="P450" s="478" t="s">
        <v>118</v>
      </c>
      <c r="Q450" s="478" t="s">
        <v>357</v>
      </c>
      <c r="R450" s="478" t="s">
        <v>684</v>
      </c>
      <c r="S450" s="479">
        <v>65</v>
      </c>
      <c r="T450" s="478" t="s">
        <v>41</v>
      </c>
      <c r="U450" s="478" t="s">
        <v>42</v>
      </c>
      <c r="V450" s="480" t="s">
        <v>10</v>
      </c>
      <c r="W450" s="51">
        <v>0.26</v>
      </c>
      <c r="X450" s="357">
        <v>0.47</v>
      </c>
      <c r="Z450" s="5" t="s">
        <v>48</v>
      </c>
      <c r="AA450" s="112" t="s">
        <v>9</v>
      </c>
    </row>
    <row r="451" spans="1:29" x14ac:dyDescent="0.25">
      <c r="A451" s="329">
        <v>45914</v>
      </c>
      <c r="B451" s="5">
        <v>4</v>
      </c>
      <c r="D451" s="5" t="s">
        <v>456</v>
      </c>
      <c r="E451" s="6">
        <v>2.5</v>
      </c>
      <c r="G451" s="362">
        <v>1</v>
      </c>
      <c r="H451" s="362">
        <v>1</v>
      </c>
      <c r="I451" s="8">
        <v>0.64</v>
      </c>
      <c r="L451" s="5" t="s">
        <v>69</v>
      </c>
      <c r="N451" s="345">
        <v>58</v>
      </c>
      <c r="O451" s="38" t="s">
        <v>69</v>
      </c>
      <c r="P451" s="5" t="s">
        <v>389</v>
      </c>
      <c r="Q451" s="5" t="s">
        <v>390</v>
      </c>
      <c r="R451" s="5" t="s">
        <v>684</v>
      </c>
      <c r="S451" s="479">
        <v>79</v>
      </c>
      <c r="T451" s="5" t="s">
        <v>41</v>
      </c>
      <c r="U451" s="5" t="s">
        <v>43</v>
      </c>
      <c r="V451" s="57" t="s">
        <v>10</v>
      </c>
      <c r="W451" s="51">
        <v>0.06</v>
      </c>
      <c r="X451" s="357">
        <v>0.36</v>
      </c>
      <c r="Z451" s="5" t="s">
        <v>48</v>
      </c>
      <c r="AA451" s="112" t="s">
        <v>9</v>
      </c>
    </row>
    <row r="452" spans="1:29" x14ac:dyDescent="0.25">
      <c r="A452" s="329">
        <v>45914</v>
      </c>
      <c r="B452" s="5">
        <v>4</v>
      </c>
      <c r="D452" s="5" t="s">
        <v>456</v>
      </c>
      <c r="E452" s="6">
        <v>2.5</v>
      </c>
      <c r="G452" s="362">
        <v>1</v>
      </c>
      <c r="H452" s="362">
        <v>1</v>
      </c>
      <c r="I452" s="8">
        <v>0.64</v>
      </c>
      <c r="L452" s="5" t="s">
        <v>69</v>
      </c>
      <c r="N452" s="476">
        <v>60</v>
      </c>
      <c r="O452" s="477" t="s">
        <v>456</v>
      </c>
      <c r="P452" s="478" t="s">
        <v>384</v>
      </c>
      <c r="Q452" s="478" t="s">
        <v>385</v>
      </c>
      <c r="R452" s="478" t="s">
        <v>688</v>
      </c>
      <c r="S452" s="479">
        <v>63</v>
      </c>
      <c r="T452" s="478" t="s">
        <v>47</v>
      </c>
      <c r="U452" s="478" t="s">
        <v>43</v>
      </c>
      <c r="V452" s="480" t="s">
        <v>10</v>
      </c>
      <c r="W452" s="51">
        <v>0.27</v>
      </c>
      <c r="X452" s="357" t="s">
        <v>53</v>
      </c>
      <c r="Z452" s="5" t="s">
        <v>13</v>
      </c>
      <c r="AA452" s="112" t="s">
        <v>9</v>
      </c>
    </row>
    <row r="453" spans="1:29" x14ac:dyDescent="0.25">
      <c r="A453" s="329">
        <v>45914</v>
      </c>
      <c r="B453" s="5">
        <v>4</v>
      </c>
      <c r="D453" s="5" t="s">
        <v>456</v>
      </c>
      <c r="E453" s="6">
        <v>2.5</v>
      </c>
      <c r="G453" s="362">
        <v>1</v>
      </c>
      <c r="H453" s="362">
        <v>1</v>
      </c>
      <c r="I453" s="8">
        <v>0.64</v>
      </c>
      <c r="L453" s="5" t="s">
        <v>69</v>
      </c>
      <c r="N453" s="476">
        <v>62</v>
      </c>
      <c r="O453" s="477" t="s">
        <v>456</v>
      </c>
      <c r="P453" s="478" t="s">
        <v>147</v>
      </c>
      <c r="Q453" s="478" t="s">
        <v>386</v>
      </c>
      <c r="R453" s="478" t="s">
        <v>695</v>
      </c>
      <c r="S453" s="479">
        <v>72</v>
      </c>
      <c r="T453" s="478" t="s">
        <v>354</v>
      </c>
      <c r="U453" s="478" t="s">
        <v>43</v>
      </c>
      <c r="V453" s="480" t="s">
        <v>20</v>
      </c>
      <c r="W453" s="51">
        <v>0.05</v>
      </c>
      <c r="X453" s="357">
        <v>0.19</v>
      </c>
      <c r="Z453" s="5" t="s">
        <v>48</v>
      </c>
      <c r="AA453" s="112" t="s">
        <v>9</v>
      </c>
    </row>
    <row r="454" spans="1:29" x14ac:dyDescent="0.25">
      <c r="A454" s="329">
        <v>45914</v>
      </c>
      <c r="B454" s="5">
        <v>4</v>
      </c>
      <c r="D454" s="5" t="s">
        <v>456</v>
      </c>
      <c r="E454" s="6">
        <v>2.5</v>
      </c>
      <c r="G454" s="362">
        <v>1</v>
      </c>
      <c r="H454" s="362">
        <v>1</v>
      </c>
      <c r="I454" s="8">
        <v>0.64</v>
      </c>
      <c r="L454" s="5" t="s">
        <v>69</v>
      </c>
      <c r="N454" s="476">
        <v>69</v>
      </c>
      <c r="O454" s="477" t="s">
        <v>456</v>
      </c>
      <c r="P454" s="478" t="s">
        <v>384</v>
      </c>
      <c r="Q454" s="478" t="s">
        <v>385</v>
      </c>
      <c r="R454" s="478" t="s">
        <v>688</v>
      </c>
      <c r="S454" s="479">
        <v>63</v>
      </c>
      <c r="T454" s="478" t="s">
        <v>41</v>
      </c>
      <c r="U454" s="478" t="s">
        <v>42</v>
      </c>
      <c r="V454" s="480" t="s">
        <v>540</v>
      </c>
      <c r="W454" s="51">
        <v>0.13</v>
      </c>
      <c r="X454" s="357">
        <v>0.2</v>
      </c>
      <c r="Z454" s="5" t="s">
        <v>48</v>
      </c>
      <c r="AA454" s="112" t="s">
        <v>9</v>
      </c>
    </row>
    <row r="455" spans="1:29" x14ac:dyDescent="0.25">
      <c r="A455" s="329">
        <v>45914</v>
      </c>
      <c r="B455" s="5">
        <v>4</v>
      </c>
      <c r="D455" s="5" t="s">
        <v>456</v>
      </c>
      <c r="E455" s="6">
        <v>2.5</v>
      </c>
      <c r="G455" s="362">
        <v>1</v>
      </c>
      <c r="H455" s="362">
        <v>1</v>
      </c>
      <c r="I455" s="8">
        <v>0.64</v>
      </c>
      <c r="L455" s="5" t="s">
        <v>69</v>
      </c>
      <c r="N455" s="476">
        <v>75</v>
      </c>
      <c r="O455" s="477" t="s">
        <v>456</v>
      </c>
      <c r="P455" s="478" t="s">
        <v>387</v>
      </c>
      <c r="Q455" s="478" t="s">
        <v>388</v>
      </c>
      <c r="R455" s="478" t="s">
        <v>696</v>
      </c>
      <c r="S455" s="479">
        <v>66</v>
      </c>
      <c r="T455" s="478" t="s">
        <v>47</v>
      </c>
      <c r="U455" s="478" t="s">
        <v>45</v>
      </c>
      <c r="V455" s="480" t="s">
        <v>20</v>
      </c>
      <c r="W455" s="51">
        <v>0.11</v>
      </c>
      <c r="X455" s="357" t="s">
        <v>53</v>
      </c>
      <c r="Y455" s="351" t="s">
        <v>353</v>
      </c>
      <c r="Z455" s="5" t="s">
        <v>22</v>
      </c>
      <c r="AA455" s="112" t="s">
        <v>9</v>
      </c>
    </row>
    <row r="456" spans="1:29" x14ac:dyDescent="0.25">
      <c r="A456" s="329">
        <v>45914</v>
      </c>
      <c r="B456" s="5">
        <v>4</v>
      </c>
      <c r="D456" s="5" t="s">
        <v>456</v>
      </c>
      <c r="E456" s="6">
        <v>2.5</v>
      </c>
      <c r="G456" s="362">
        <v>1</v>
      </c>
      <c r="H456" s="362">
        <v>1</v>
      </c>
      <c r="I456" s="8">
        <v>0.64</v>
      </c>
      <c r="L456" s="5" t="s">
        <v>69</v>
      </c>
      <c r="N456" s="345">
        <v>83</v>
      </c>
      <c r="O456" s="38" t="s">
        <v>69</v>
      </c>
      <c r="P456" s="5" t="s">
        <v>53</v>
      </c>
      <c r="Q456" s="5" t="s">
        <v>324</v>
      </c>
      <c r="R456" s="5" t="s">
        <v>696</v>
      </c>
      <c r="S456" s="479">
        <v>61</v>
      </c>
      <c r="T456" s="5" t="s">
        <v>41</v>
      </c>
      <c r="U456" s="5" t="s">
        <v>42</v>
      </c>
      <c r="V456" s="57" t="s">
        <v>540</v>
      </c>
      <c r="W456" s="51">
        <v>0.11</v>
      </c>
      <c r="X456" s="357">
        <v>0.21</v>
      </c>
      <c r="Y456" s="351" t="s">
        <v>353</v>
      </c>
      <c r="Z456" s="5" t="s">
        <v>48</v>
      </c>
      <c r="AA456" s="112" t="s">
        <v>9</v>
      </c>
    </row>
    <row r="457" spans="1:29" x14ac:dyDescent="0.25">
      <c r="A457" s="329">
        <v>45914</v>
      </c>
      <c r="B457" s="5">
        <v>4</v>
      </c>
      <c r="D457" s="5" t="s">
        <v>456</v>
      </c>
      <c r="E457" s="6">
        <v>2.5</v>
      </c>
      <c r="G457" s="362">
        <v>1</v>
      </c>
      <c r="H457" s="362">
        <v>1</v>
      </c>
      <c r="I457" s="8">
        <v>0.64</v>
      </c>
      <c r="L457" s="5" t="s">
        <v>69</v>
      </c>
      <c r="N457" s="476">
        <v>86</v>
      </c>
      <c r="O457" s="477" t="s">
        <v>456</v>
      </c>
      <c r="P457" s="478" t="s">
        <v>387</v>
      </c>
      <c r="Q457" s="478" t="s">
        <v>388</v>
      </c>
      <c r="R457" s="478" t="s">
        <v>696</v>
      </c>
      <c r="S457" s="481">
        <v>66</v>
      </c>
      <c r="T457" s="478" t="s">
        <v>41</v>
      </c>
      <c r="U457" s="478" t="s">
        <v>45</v>
      </c>
      <c r="V457" s="480" t="s">
        <v>20</v>
      </c>
      <c r="W457" s="51">
        <v>0.06</v>
      </c>
      <c r="X457" s="357">
        <v>0.49</v>
      </c>
      <c r="Z457" s="5" t="s">
        <v>48</v>
      </c>
      <c r="AA457" s="112" t="s">
        <v>9</v>
      </c>
    </row>
    <row r="458" spans="1:29" x14ac:dyDescent="0.25">
      <c r="A458" s="329">
        <v>45914</v>
      </c>
      <c r="B458" s="5">
        <v>4</v>
      </c>
      <c r="D458" s="5" t="s">
        <v>456</v>
      </c>
      <c r="E458" s="6">
        <v>2.5</v>
      </c>
      <c r="G458" s="362">
        <v>1</v>
      </c>
      <c r="H458" s="362">
        <v>1</v>
      </c>
      <c r="I458" s="8">
        <v>0.64</v>
      </c>
      <c r="L458" s="5" t="s">
        <v>69</v>
      </c>
      <c r="N458" s="345">
        <v>87</v>
      </c>
      <c r="O458" s="38" t="s">
        <v>69</v>
      </c>
      <c r="P458" s="5" t="s">
        <v>391</v>
      </c>
      <c r="Q458" s="5" t="s">
        <v>392</v>
      </c>
      <c r="R458" s="5" t="s">
        <v>696</v>
      </c>
      <c r="S458" s="481">
        <v>62</v>
      </c>
      <c r="T458" s="5" t="s">
        <v>41</v>
      </c>
      <c r="U458" s="5" t="s">
        <v>42</v>
      </c>
      <c r="V458" s="57" t="s">
        <v>10</v>
      </c>
      <c r="W458" s="51">
        <v>0.04</v>
      </c>
      <c r="X458" s="357">
        <v>0.26</v>
      </c>
      <c r="Z458" s="5" t="s">
        <v>48</v>
      </c>
      <c r="AA458" s="112" t="s">
        <v>9</v>
      </c>
    </row>
    <row r="459" spans="1:29" ht="15.75" thickBot="1" x14ac:dyDescent="0.3">
      <c r="A459" s="330">
        <v>45914</v>
      </c>
      <c r="B459" s="9">
        <v>4</v>
      </c>
      <c r="C459" s="122"/>
      <c r="D459" s="9" t="s">
        <v>456</v>
      </c>
      <c r="E459" s="10">
        <v>2.5</v>
      </c>
      <c r="F459" s="10"/>
      <c r="G459" s="383">
        <v>1</v>
      </c>
      <c r="H459" s="383">
        <v>1</v>
      </c>
      <c r="I459" s="12">
        <v>0.64</v>
      </c>
      <c r="J459" s="12"/>
      <c r="K459" s="122"/>
      <c r="L459" s="9" t="s">
        <v>69</v>
      </c>
      <c r="M459" s="45"/>
      <c r="N459" s="511" t="s">
        <v>35</v>
      </c>
      <c r="O459" s="512" t="s">
        <v>456</v>
      </c>
      <c r="P459" s="513" t="s">
        <v>313</v>
      </c>
      <c r="Q459" s="513" t="s">
        <v>301</v>
      </c>
      <c r="R459" s="513" t="s">
        <v>696</v>
      </c>
      <c r="S459" s="479">
        <v>69</v>
      </c>
      <c r="T459" s="513" t="s">
        <v>41</v>
      </c>
      <c r="U459" s="513" t="s">
        <v>42</v>
      </c>
      <c r="V459" s="514" t="s">
        <v>7</v>
      </c>
      <c r="W459" s="52">
        <v>0.79</v>
      </c>
      <c r="X459" s="358">
        <v>0.9</v>
      </c>
      <c r="Y459" s="352" t="s">
        <v>353</v>
      </c>
      <c r="Z459" s="9" t="s">
        <v>8</v>
      </c>
      <c r="AA459" s="113" t="s">
        <v>51</v>
      </c>
      <c r="AB459" s="109"/>
      <c r="AC459" s="58"/>
    </row>
    <row r="460" spans="1:29" ht="15.75" thickBot="1" x14ac:dyDescent="0.3">
      <c r="A460" s="326">
        <v>45914</v>
      </c>
      <c r="B460" s="207">
        <v>4</v>
      </c>
      <c r="C460" s="208"/>
      <c r="D460" s="207" t="s">
        <v>456</v>
      </c>
      <c r="E460" s="209">
        <v>2.5</v>
      </c>
      <c r="F460" s="209"/>
      <c r="G460" s="460">
        <v>1</v>
      </c>
      <c r="H460" s="460">
        <v>1</v>
      </c>
      <c r="I460" s="211">
        <v>0.64</v>
      </c>
      <c r="J460" s="211"/>
      <c r="K460" s="208"/>
      <c r="L460" s="207" t="s">
        <v>69</v>
      </c>
      <c r="M460" s="235"/>
      <c r="N460" s="347"/>
      <c r="O460" s="343" t="s">
        <v>456</v>
      </c>
      <c r="P460" s="199" t="s">
        <v>719</v>
      </c>
      <c r="Q460" s="199" t="s">
        <v>720</v>
      </c>
      <c r="R460" s="199" t="s">
        <v>707</v>
      </c>
      <c r="S460" s="479">
        <v>79</v>
      </c>
      <c r="T460" s="199"/>
      <c r="U460" s="199"/>
      <c r="V460" s="201"/>
      <c r="W460" s="202"/>
      <c r="X460" s="359"/>
      <c r="Y460" s="353">
        <f>H460</f>
        <v>1</v>
      </c>
      <c r="Z460" s="199"/>
      <c r="AA460" s="204"/>
      <c r="AB460" s="205"/>
      <c r="AC460" s="201"/>
    </row>
    <row r="461" spans="1:29" ht="15.75" thickBot="1" x14ac:dyDescent="0.3">
      <c r="A461" s="326">
        <v>45914</v>
      </c>
      <c r="B461" s="207">
        <v>4</v>
      </c>
      <c r="C461" s="208"/>
      <c r="D461" s="207" t="s">
        <v>456</v>
      </c>
      <c r="E461" s="209">
        <v>2.5</v>
      </c>
      <c r="F461" s="209"/>
      <c r="G461" s="460">
        <v>1</v>
      </c>
      <c r="H461" s="460">
        <v>1</v>
      </c>
      <c r="I461" s="211">
        <v>0.64</v>
      </c>
      <c r="J461" s="211"/>
      <c r="K461" s="208"/>
      <c r="L461" s="207" t="s">
        <v>69</v>
      </c>
      <c r="M461" s="235"/>
      <c r="N461" s="347"/>
      <c r="O461" s="343" t="s">
        <v>69</v>
      </c>
      <c r="P461" s="199" t="s">
        <v>478</v>
      </c>
      <c r="Q461" s="199" t="s">
        <v>479</v>
      </c>
      <c r="R461" s="199" t="s">
        <v>707</v>
      </c>
      <c r="S461" s="7">
        <v>75</v>
      </c>
      <c r="T461" s="199"/>
      <c r="U461" s="199"/>
      <c r="V461" s="201"/>
      <c r="W461" s="202"/>
      <c r="X461" s="359"/>
      <c r="Y461" s="353">
        <f>G460</f>
        <v>1</v>
      </c>
      <c r="Z461" s="199"/>
      <c r="AA461" s="204"/>
      <c r="AB461" s="205"/>
      <c r="AC461" s="201"/>
    </row>
    <row r="462" spans="1:29" x14ac:dyDescent="0.25">
      <c r="A462" s="328">
        <v>45914</v>
      </c>
      <c r="B462" s="17">
        <v>4</v>
      </c>
      <c r="C462" s="123" t="s">
        <v>694</v>
      </c>
      <c r="D462" s="17" t="s">
        <v>129</v>
      </c>
      <c r="E462" s="18">
        <v>0.73</v>
      </c>
      <c r="F462" s="18"/>
      <c r="G462" s="461">
        <v>2</v>
      </c>
      <c r="H462" s="461">
        <v>2</v>
      </c>
      <c r="I462" s="20">
        <v>2.12</v>
      </c>
      <c r="J462" s="20"/>
      <c r="K462" s="123" t="s">
        <v>693</v>
      </c>
      <c r="L462" s="17" t="s">
        <v>209</v>
      </c>
      <c r="M462" s="46"/>
      <c r="N462" s="507">
        <v>2</v>
      </c>
      <c r="O462" s="508" t="s">
        <v>129</v>
      </c>
      <c r="P462" s="509" t="s">
        <v>59</v>
      </c>
      <c r="Q462" s="509" t="s">
        <v>191</v>
      </c>
      <c r="R462" s="509" t="s">
        <v>718</v>
      </c>
      <c r="S462" s="479">
        <v>75</v>
      </c>
      <c r="T462" s="509" t="s">
        <v>41</v>
      </c>
      <c r="U462" s="509" t="s">
        <v>42</v>
      </c>
      <c r="V462" s="510" t="s">
        <v>10</v>
      </c>
      <c r="W462" s="53">
        <v>0.33</v>
      </c>
      <c r="X462" s="360">
        <v>0.34</v>
      </c>
      <c r="Y462" s="354" t="s">
        <v>353</v>
      </c>
      <c r="Z462" s="17" t="s">
        <v>8</v>
      </c>
      <c r="AA462" s="114" t="s">
        <v>19</v>
      </c>
      <c r="AB462" s="110" t="s">
        <v>46</v>
      </c>
      <c r="AC462" s="60" t="s">
        <v>201</v>
      </c>
    </row>
    <row r="463" spans="1:29" x14ac:dyDescent="0.25">
      <c r="A463" s="329">
        <v>45914</v>
      </c>
      <c r="B463" s="5">
        <v>4</v>
      </c>
      <c r="D463" s="5" t="s">
        <v>129</v>
      </c>
      <c r="E463" s="6">
        <v>0.73</v>
      </c>
      <c r="G463" s="362">
        <v>2</v>
      </c>
      <c r="H463" s="362">
        <v>2</v>
      </c>
      <c r="I463" s="8">
        <v>2.12</v>
      </c>
      <c r="L463" s="5" t="s">
        <v>209</v>
      </c>
      <c r="N463" s="345">
        <v>7</v>
      </c>
      <c r="O463" s="38" t="s">
        <v>209</v>
      </c>
      <c r="P463" s="5" t="s">
        <v>218</v>
      </c>
      <c r="Q463" s="5" t="s">
        <v>219</v>
      </c>
      <c r="R463" s="5" t="s">
        <v>685</v>
      </c>
      <c r="S463" s="479">
        <v>68</v>
      </c>
      <c r="T463" s="5" t="s">
        <v>41</v>
      </c>
      <c r="U463" s="5" t="s">
        <v>42</v>
      </c>
      <c r="V463" s="57" t="s">
        <v>20</v>
      </c>
      <c r="W463" s="51">
        <v>0.04</v>
      </c>
      <c r="X463" s="357" t="s">
        <v>53</v>
      </c>
      <c r="Z463" s="5" t="s">
        <v>17</v>
      </c>
      <c r="AA463" s="112" t="s">
        <v>19</v>
      </c>
    </row>
    <row r="464" spans="1:29" x14ac:dyDescent="0.25">
      <c r="A464" s="329">
        <v>45914</v>
      </c>
      <c r="B464" s="5">
        <v>4</v>
      </c>
      <c r="D464" s="5" t="s">
        <v>129</v>
      </c>
      <c r="E464" s="6">
        <v>0.73</v>
      </c>
      <c r="G464" s="362">
        <v>2</v>
      </c>
      <c r="H464" s="362">
        <v>2</v>
      </c>
      <c r="I464" s="8">
        <v>2.12</v>
      </c>
      <c r="L464" s="5" t="s">
        <v>209</v>
      </c>
      <c r="N464" s="476">
        <v>10</v>
      </c>
      <c r="O464" s="477" t="s">
        <v>129</v>
      </c>
      <c r="P464" s="478" t="s">
        <v>104</v>
      </c>
      <c r="Q464" s="478" t="s">
        <v>105</v>
      </c>
      <c r="R464" s="478" t="s">
        <v>717</v>
      </c>
      <c r="S464" s="479">
        <v>74</v>
      </c>
      <c r="T464" s="478" t="s">
        <v>41</v>
      </c>
      <c r="U464" s="478" t="s">
        <v>42</v>
      </c>
      <c r="V464" s="480" t="s">
        <v>10</v>
      </c>
      <c r="W464" s="51">
        <v>0.31</v>
      </c>
      <c r="X464" s="357">
        <v>0.94</v>
      </c>
      <c r="Y464" s="351" t="s">
        <v>353</v>
      </c>
      <c r="Z464" s="5" t="s">
        <v>8</v>
      </c>
      <c r="AA464" s="112" t="s">
        <v>24</v>
      </c>
      <c r="AB464" s="108" t="s">
        <v>241</v>
      </c>
      <c r="AC464" s="57" t="s">
        <v>131</v>
      </c>
    </row>
    <row r="465" spans="1:29" x14ac:dyDescent="0.25">
      <c r="A465" s="329">
        <v>45914</v>
      </c>
      <c r="B465" s="5">
        <v>4</v>
      </c>
      <c r="D465" s="5" t="s">
        <v>129</v>
      </c>
      <c r="E465" s="6">
        <v>0.73</v>
      </c>
      <c r="G465" s="362">
        <v>2</v>
      </c>
      <c r="H465" s="362">
        <v>2</v>
      </c>
      <c r="I465" s="8">
        <v>2.12</v>
      </c>
      <c r="L465" s="5" t="s">
        <v>209</v>
      </c>
      <c r="N465" s="345">
        <v>12</v>
      </c>
      <c r="O465" s="38" t="s">
        <v>209</v>
      </c>
      <c r="P465" s="5" t="s">
        <v>220</v>
      </c>
      <c r="Q465" s="5" t="s">
        <v>221</v>
      </c>
      <c r="R465" s="5" t="s">
        <v>684</v>
      </c>
      <c r="S465" s="479">
        <v>67</v>
      </c>
      <c r="T465" s="5" t="s">
        <v>41</v>
      </c>
      <c r="U465" s="5" t="s">
        <v>42</v>
      </c>
      <c r="V465" s="57" t="s">
        <v>540</v>
      </c>
      <c r="W465" s="51">
        <v>0.13</v>
      </c>
      <c r="X465" s="357" t="s">
        <v>53</v>
      </c>
      <c r="Z465" s="5" t="s">
        <v>22</v>
      </c>
      <c r="AA465" s="112" t="s">
        <v>24</v>
      </c>
    </row>
    <row r="466" spans="1:29" x14ac:dyDescent="0.25">
      <c r="A466" s="329">
        <v>45914</v>
      </c>
      <c r="B466" s="5">
        <v>4</v>
      </c>
      <c r="D466" s="5" t="s">
        <v>129</v>
      </c>
      <c r="E466" s="6">
        <v>0.73</v>
      </c>
      <c r="G466" s="362">
        <v>2</v>
      </c>
      <c r="H466" s="362">
        <v>2</v>
      </c>
      <c r="I466" s="8">
        <v>2.12</v>
      </c>
      <c r="L466" s="5" t="s">
        <v>209</v>
      </c>
      <c r="N466" s="345">
        <v>21</v>
      </c>
      <c r="O466" s="38" t="s">
        <v>209</v>
      </c>
      <c r="P466" s="5" t="s">
        <v>393</v>
      </c>
      <c r="Q466" s="5" t="s">
        <v>394</v>
      </c>
      <c r="R466" s="5" t="s">
        <v>699</v>
      </c>
      <c r="S466" s="7">
        <v>68</v>
      </c>
      <c r="T466" s="5" t="s">
        <v>354</v>
      </c>
      <c r="U466" s="5" t="s">
        <v>43</v>
      </c>
      <c r="V466" s="57" t="s">
        <v>10</v>
      </c>
      <c r="W466" s="51">
        <v>0.05</v>
      </c>
      <c r="X466" s="357" t="s">
        <v>53</v>
      </c>
      <c r="Z466" s="5" t="s">
        <v>55</v>
      </c>
      <c r="AA466" s="112" t="s">
        <v>24</v>
      </c>
    </row>
    <row r="467" spans="1:29" x14ac:dyDescent="0.25">
      <c r="A467" s="329">
        <v>45914</v>
      </c>
      <c r="B467" s="5">
        <v>4</v>
      </c>
      <c r="D467" s="5" t="s">
        <v>129</v>
      </c>
      <c r="E467" s="6">
        <v>0.73</v>
      </c>
      <c r="G467" s="362">
        <v>2</v>
      </c>
      <c r="H467" s="362">
        <v>2</v>
      </c>
      <c r="I467" s="8">
        <v>2.12</v>
      </c>
      <c r="L467" s="5" t="s">
        <v>209</v>
      </c>
      <c r="N467" s="345">
        <v>40</v>
      </c>
      <c r="O467" s="38" t="s">
        <v>209</v>
      </c>
      <c r="P467" s="5" t="s">
        <v>54</v>
      </c>
      <c r="Q467" s="5" t="s">
        <v>240</v>
      </c>
      <c r="R467" s="5" t="s">
        <v>688</v>
      </c>
      <c r="S467" s="7">
        <v>77</v>
      </c>
      <c r="T467" s="5" t="s">
        <v>47</v>
      </c>
      <c r="U467" s="5" t="s">
        <v>45</v>
      </c>
      <c r="V467" s="57" t="s">
        <v>20</v>
      </c>
      <c r="W467" s="51">
        <v>0.14000000000000001</v>
      </c>
      <c r="X467" s="357" t="s">
        <v>53</v>
      </c>
      <c r="Z467" s="5" t="s">
        <v>52</v>
      </c>
      <c r="AA467" s="112" t="s">
        <v>24</v>
      </c>
    </row>
    <row r="468" spans="1:29" x14ac:dyDescent="0.25">
      <c r="A468" s="329">
        <v>45914</v>
      </c>
      <c r="B468" s="5">
        <v>4</v>
      </c>
      <c r="D468" s="5" t="s">
        <v>129</v>
      </c>
      <c r="E468" s="6">
        <v>0.73</v>
      </c>
      <c r="G468" s="362">
        <v>2</v>
      </c>
      <c r="H468" s="362">
        <v>2</v>
      </c>
      <c r="I468" s="8">
        <v>2.12</v>
      </c>
      <c r="L468" s="5" t="s">
        <v>209</v>
      </c>
      <c r="N468" s="345" t="s">
        <v>122</v>
      </c>
      <c r="O468" s="38" t="s">
        <v>209</v>
      </c>
      <c r="P468" s="5" t="s">
        <v>220</v>
      </c>
      <c r="Q468" s="5" t="s">
        <v>221</v>
      </c>
      <c r="R468" s="5" t="s">
        <v>684</v>
      </c>
      <c r="S468" s="7">
        <v>67</v>
      </c>
      <c r="T468" s="5" t="s">
        <v>354</v>
      </c>
      <c r="U468" s="5" t="s">
        <v>42</v>
      </c>
      <c r="V468" s="57" t="s">
        <v>10</v>
      </c>
      <c r="W468" s="51">
        <v>0.03</v>
      </c>
      <c r="X468" s="357">
        <v>0.49</v>
      </c>
      <c r="Z468" s="5" t="s">
        <v>8</v>
      </c>
      <c r="AA468" s="112" t="s">
        <v>34</v>
      </c>
      <c r="AB468" s="108" t="s">
        <v>100</v>
      </c>
      <c r="AC468" s="57" t="s">
        <v>659</v>
      </c>
    </row>
    <row r="469" spans="1:29" x14ac:dyDescent="0.25">
      <c r="A469" s="329">
        <v>45914</v>
      </c>
      <c r="B469" s="5">
        <v>4</v>
      </c>
      <c r="D469" s="5" t="s">
        <v>129</v>
      </c>
      <c r="E469" s="6">
        <v>0.73</v>
      </c>
      <c r="G469" s="362">
        <v>2</v>
      </c>
      <c r="H469" s="362">
        <v>2</v>
      </c>
      <c r="I469" s="8">
        <v>2.12</v>
      </c>
      <c r="L469" s="5" t="s">
        <v>209</v>
      </c>
      <c r="N469" s="345" t="s">
        <v>266</v>
      </c>
      <c r="O469" s="38" t="s">
        <v>209</v>
      </c>
      <c r="P469" s="5" t="s">
        <v>218</v>
      </c>
      <c r="Q469" s="5" t="s">
        <v>219</v>
      </c>
      <c r="R469" s="5" t="s">
        <v>685</v>
      </c>
      <c r="S469" s="7">
        <v>68</v>
      </c>
      <c r="T469" s="5" t="s">
        <v>41</v>
      </c>
      <c r="U469" s="5" t="s">
        <v>42</v>
      </c>
      <c r="V469" s="57" t="s">
        <v>10</v>
      </c>
      <c r="W469" s="51">
        <v>0.11</v>
      </c>
      <c r="X469" s="357" t="s">
        <v>53</v>
      </c>
      <c r="Z469" s="5" t="s">
        <v>52</v>
      </c>
      <c r="AA469" s="112" t="s">
        <v>34</v>
      </c>
    </row>
    <row r="470" spans="1:29" x14ac:dyDescent="0.25">
      <c r="A470" s="329">
        <v>45914</v>
      </c>
      <c r="B470" s="5">
        <v>4</v>
      </c>
      <c r="D470" s="5" t="s">
        <v>129</v>
      </c>
      <c r="E470" s="6">
        <v>0.73</v>
      </c>
      <c r="G470" s="362">
        <v>2</v>
      </c>
      <c r="H470" s="362">
        <v>2</v>
      </c>
      <c r="I470" s="8">
        <v>2.12</v>
      </c>
      <c r="L470" s="5" t="s">
        <v>209</v>
      </c>
      <c r="N470" s="345">
        <v>54</v>
      </c>
      <c r="O470" s="38" t="s">
        <v>209</v>
      </c>
      <c r="P470" s="5" t="s">
        <v>220</v>
      </c>
      <c r="Q470" s="5" t="s">
        <v>221</v>
      </c>
      <c r="R470" s="5" t="s">
        <v>684</v>
      </c>
      <c r="S470" s="481">
        <v>67</v>
      </c>
      <c r="T470" s="5" t="s">
        <v>41</v>
      </c>
      <c r="U470" s="5" t="s">
        <v>42</v>
      </c>
      <c r="V470" s="57" t="s">
        <v>10</v>
      </c>
      <c r="W470" s="51">
        <v>0.14000000000000001</v>
      </c>
      <c r="X470" s="357" t="s">
        <v>53</v>
      </c>
      <c r="Z470" s="5" t="s">
        <v>52</v>
      </c>
      <c r="AA470" s="112" t="s">
        <v>34</v>
      </c>
    </row>
    <row r="471" spans="1:29" x14ac:dyDescent="0.25">
      <c r="A471" s="329">
        <v>45914</v>
      </c>
      <c r="B471" s="5">
        <v>4</v>
      </c>
      <c r="D471" s="5" t="s">
        <v>129</v>
      </c>
      <c r="E471" s="6">
        <v>0.73</v>
      </c>
      <c r="G471" s="362">
        <v>2</v>
      </c>
      <c r="H471" s="362">
        <v>2</v>
      </c>
      <c r="I471" s="8">
        <v>2.12</v>
      </c>
      <c r="L471" s="5" t="s">
        <v>209</v>
      </c>
      <c r="N471" s="345">
        <v>54</v>
      </c>
      <c r="O471" s="38" t="s">
        <v>209</v>
      </c>
      <c r="P471" s="5" t="s">
        <v>220</v>
      </c>
      <c r="Q471" s="5" t="s">
        <v>221</v>
      </c>
      <c r="R471" s="5" t="s">
        <v>684</v>
      </c>
      <c r="S471" s="459">
        <v>67</v>
      </c>
      <c r="T471" s="5" t="s">
        <v>41</v>
      </c>
      <c r="U471" s="5" t="s">
        <v>45</v>
      </c>
      <c r="V471" s="57" t="s">
        <v>10</v>
      </c>
      <c r="W471" s="51">
        <v>0.16</v>
      </c>
      <c r="X471" s="357" t="s">
        <v>53</v>
      </c>
      <c r="Z471" s="5" t="s">
        <v>22</v>
      </c>
      <c r="AA471" s="112" t="s">
        <v>34</v>
      </c>
    </row>
    <row r="472" spans="1:29" x14ac:dyDescent="0.25">
      <c r="A472" s="329">
        <v>45914</v>
      </c>
      <c r="B472" s="5">
        <v>4</v>
      </c>
      <c r="D472" s="5" t="s">
        <v>129</v>
      </c>
      <c r="E472" s="6">
        <v>0.73</v>
      </c>
      <c r="G472" s="362">
        <v>2</v>
      </c>
      <c r="H472" s="362">
        <v>2</v>
      </c>
      <c r="I472" s="8">
        <v>2.12</v>
      </c>
      <c r="L472" s="5" t="s">
        <v>209</v>
      </c>
      <c r="N472" s="345">
        <v>58</v>
      </c>
      <c r="O472" s="38" t="s">
        <v>209</v>
      </c>
      <c r="P472" s="5" t="s">
        <v>53</v>
      </c>
      <c r="Q472" s="5" t="s">
        <v>395</v>
      </c>
      <c r="R472" s="5" t="s">
        <v>686</v>
      </c>
      <c r="S472" s="479">
        <v>73</v>
      </c>
      <c r="T472" s="5" t="s">
        <v>41</v>
      </c>
      <c r="U472" s="5" t="s">
        <v>43</v>
      </c>
      <c r="V472" s="57" t="s">
        <v>540</v>
      </c>
      <c r="W472" s="51">
        <v>0.15</v>
      </c>
      <c r="X472" s="357" t="s">
        <v>53</v>
      </c>
      <c r="Z472" s="5" t="s">
        <v>22</v>
      </c>
      <c r="AA472" s="112" t="s">
        <v>34</v>
      </c>
    </row>
    <row r="473" spans="1:29" x14ac:dyDescent="0.25">
      <c r="A473" s="329">
        <v>45914</v>
      </c>
      <c r="B473" s="5">
        <v>4</v>
      </c>
      <c r="D473" s="5" t="s">
        <v>129</v>
      </c>
      <c r="E473" s="6">
        <v>0.73</v>
      </c>
      <c r="G473" s="362">
        <v>2</v>
      </c>
      <c r="H473" s="362">
        <v>2</v>
      </c>
      <c r="I473" s="8">
        <v>2.12</v>
      </c>
      <c r="L473" s="5" t="s">
        <v>209</v>
      </c>
      <c r="N473" s="345">
        <v>75</v>
      </c>
      <c r="O473" s="38" t="s">
        <v>209</v>
      </c>
      <c r="P473" s="5" t="s">
        <v>421</v>
      </c>
      <c r="Q473" s="5" t="s">
        <v>422</v>
      </c>
      <c r="R473" s="5" t="s">
        <v>712</v>
      </c>
      <c r="S473" s="479">
        <v>72</v>
      </c>
      <c r="T473" s="5" t="s">
        <v>41</v>
      </c>
      <c r="U473" s="5" t="s">
        <v>45</v>
      </c>
      <c r="V473" s="57" t="s">
        <v>20</v>
      </c>
      <c r="W473" s="51">
        <v>0.09</v>
      </c>
      <c r="X473" s="357">
        <v>0.02</v>
      </c>
      <c r="Y473" s="351" t="s">
        <v>353</v>
      </c>
      <c r="Z473" s="5" t="s">
        <v>48</v>
      </c>
      <c r="AA473" s="112" t="s">
        <v>34</v>
      </c>
    </row>
    <row r="474" spans="1:29" x14ac:dyDescent="0.25">
      <c r="A474" s="329">
        <v>45914</v>
      </c>
      <c r="B474" s="5">
        <v>4</v>
      </c>
      <c r="D474" s="5" t="s">
        <v>129</v>
      </c>
      <c r="E474" s="6">
        <v>0.73</v>
      </c>
      <c r="G474" s="362">
        <v>2</v>
      </c>
      <c r="H474" s="362">
        <v>2</v>
      </c>
      <c r="I474" s="8">
        <v>2.12</v>
      </c>
      <c r="L474" s="5" t="s">
        <v>209</v>
      </c>
      <c r="N474" s="345">
        <v>81</v>
      </c>
      <c r="O474" s="38" t="s">
        <v>209</v>
      </c>
      <c r="P474" s="5" t="s">
        <v>241</v>
      </c>
      <c r="Q474" s="5" t="s">
        <v>396</v>
      </c>
      <c r="R474" s="5" t="s">
        <v>687</v>
      </c>
      <c r="S474" s="7">
        <v>78</v>
      </c>
      <c r="T474" s="5" t="s">
        <v>41</v>
      </c>
      <c r="U474" s="5" t="s">
        <v>45</v>
      </c>
      <c r="V474" s="57" t="s">
        <v>10</v>
      </c>
      <c r="W474" s="51">
        <v>0.35</v>
      </c>
      <c r="X474" s="357">
        <v>0.56999999999999995</v>
      </c>
      <c r="Y474" s="351" t="s">
        <v>353</v>
      </c>
      <c r="Z474" s="5" t="s">
        <v>8</v>
      </c>
      <c r="AA474" s="112" t="s">
        <v>189</v>
      </c>
      <c r="AB474" s="108" t="s">
        <v>660</v>
      </c>
      <c r="AC474" s="57" t="s">
        <v>425</v>
      </c>
    </row>
    <row r="475" spans="1:29" x14ac:dyDescent="0.25">
      <c r="A475" s="329">
        <v>45914</v>
      </c>
      <c r="B475" s="5">
        <v>4</v>
      </c>
      <c r="D475" s="5" t="s">
        <v>129</v>
      </c>
      <c r="E475" s="6">
        <v>0.73</v>
      </c>
      <c r="G475" s="362">
        <v>2</v>
      </c>
      <c r="H475" s="362">
        <v>2</v>
      </c>
      <c r="I475" s="8">
        <v>2.12</v>
      </c>
      <c r="L475" s="5" t="s">
        <v>209</v>
      </c>
      <c r="N475" s="345">
        <v>89</v>
      </c>
      <c r="O475" s="38" t="s">
        <v>209</v>
      </c>
      <c r="P475" s="5" t="s">
        <v>222</v>
      </c>
      <c r="Q475" s="5" t="s">
        <v>223</v>
      </c>
      <c r="R475" s="5" t="s">
        <v>696</v>
      </c>
      <c r="S475" s="7">
        <v>70</v>
      </c>
      <c r="T475" s="5" t="s">
        <v>41</v>
      </c>
      <c r="U475" s="5" t="s">
        <v>43</v>
      </c>
      <c r="V475" s="57" t="s">
        <v>10</v>
      </c>
      <c r="W475" s="51">
        <v>7.0000000000000007E-2</v>
      </c>
      <c r="X475" s="357">
        <v>0.45</v>
      </c>
      <c r="Y475" s="351" t="s">
        <v>353</v>
      </c>
      <c r="Z475" s="5" t="s">
        <v>48</v>
      </c>
      <c r="AA475" s="112" t="s">
        <v>189</v>
      </c>
    </row>
    <row r="476" spans="1:29" ht="15.75" thickBot="1" x14ac:dyDescent="0.3">
      <c r="A476" s="330">
        <v>45914</v>
      </c>
      <c r="B476" s="9">
        <v>4</v>
      </c>
      <c r="C476" s="122"/>
      <c r="D476" s="9" t="s">
        <v>129</v>
      </c>
      <c r="E476" s="10">
        <v>0.73</v>
      </c>
      <c r="F476" s="10"/>
      <c r="G476" s="383">
        <v>2</v>
      </c>
      <c r="H476" s="383">
        <v>2</v>
      </c>
      <c r="I476" s="12">
        <v>2.12</v>
      </c>
      <c r="J476" s="12"/>
      <c r="K476" s="122"/>
      <c r="L476" s="9" t="s">
        <v>209</v>
      </c>
      <c r="M476" s="45"/>
      <c r="N476" s="511" t="s">
        <v>57</v>
      </c>
      <c r="O476" s="512" t="s">
        <v>129</v>
      </c>
      <c r="P476" s="513" t="s">
        <v>141</v>
      </c>
      <c r="Q476" s="513" t="s">
        <v>142</v>
      </c>
      <c r="R476" s="513" t="s">
        <v>696</v>
      </c>
      <c r="S476" s="479">
        <v>59</v>
      </c>
      <c r="T476" s="513" t="s">
        <v>41</v>
      </c>
      <c r="U476" s="513" t="s">
        <v>43</v>
      </c>
      <c r="V476" s="514" t="s">
        <v>18</v>
      </c>
      <c r="W476" s="52">
        <v>0.09</v>
      </c>
      <c r="X476" s="358" t="s">
        <v>53</v>
      </c>
      <c r="Y476" s="352"/>
      <c r="Z476" s="9" t="s">
        <v>16</v>
      </c>
      <c r="AA476" s="113" t="s">
        <v>189</v>
      </c>
      <c r="AB476" s="109"/>
      <c r="AC476" s="58"/>
    </row>
    <row r="477" spans="1:29" ht="15.75" thickBot="1" x14ac:dyDescent="0.3">
      <c r="A477" s="326">
        <v>45914</v>
      </c>
      <c r="B477" s="207">
        <v>4</v>
      </c>
      <c r="C477" s="208"/>
      <c r="D477" s="207" t="s">
        <v>129</v>
      </c>
      <c r="E477" s="209">
        <v>0.73</v>
      </c>
      <c r="F477" s="209"/>
      <c r="G477" s="460">
        <v>2</v>
      </c>
      <c r="H477" s="460">
        <v>2</v>
      </c>
      <c r="I477" s="211">
        <v>2.12</v>
      </c>
      <c r="J477" s="211"/>
      <c r="K477" s="208"/>
      <c r="L477" s="207" t="s">
        <v>209</v>
      </c>
      <c r="M477" s="235"/>
      <c r="N477" s="347"/>
      <c r="O477" s="343" t="s">
        <v>129</v>
      </c>
      <c r="P477" s="199" t="s">
        <v>731</v>
      </c>
      <c r="Q477" s="199" t="s">
        <v>732</v>
      </c>
      <c r="R477" s="199" t="s">
        <v>707</v>
      </c>
      <c r="S477" s="479">
        <v>79</v>
      </c>
      <c r="T477" s="199"/>
      <c r="U477" s="199"/>
      <c r="V477" s="201"/>
      <c r="W477" s="202"/>
      <c r="X477" s="359"/>
      <c r="Y477" s="353">
        <f>H477</f>
        <v>2</v>
      </c>
      <c r="Z477" s="199"/>
      <c r="AA477" s="204"/>
      <c r="AB477" s="205"/>
      <c r="AC477" s="201"/>
    </row>
    <row r="478" spans="1:29" ht="15.75" thickBot="1" x14ac:dyDescent="0.3">
      <c r="A478" s="326">
        <v>45914</v>
      </c>
      <c r="B478" s="207">
        <v>4</v>
      </c>
      <c r="C478" s="208"/>
      <c r="D478" s="207" t="s">
        <v>129</v>
      </c>
      <c r="E478" s="209">
        <v>0.73</v>
      </c>
      <c r="F478" s="209"/>
      <c r="G478" s="460">
        <v>2</v>
      </c>
      <c r="H478" s="460">
        <v>2</v>
      </c>
      <c r="I478" s="211">
        <v>2.12</v>
      </c>
      <c r="J478" s="211"/>
      <c r="K478" s="208"/>
      <c r="L478" s="207" t="s">
        <v>209</v>
      </c>
      <c r="M478" s="235"/>
      <c r="N478" s="347"/>
      <c r="O478" s="343" t="s">
        <v>209</v>
      </c>
      <c r="P478" s="199" t="s">
        <v>74</v>
      </c>
      <c r="Q478" s="199" t="s">
        <v>730</v>
      </c>
      <c r="R478" s="199" t="s">
        <v>707</v>
      </c>
      <c r="S478" s="479">
        <v>59</v>
      </c>
      <c r="T478" s="199"/>
      <c r="U478" s="199"/>
      <c r="V478" s="201"/>
      <c r="W478" s="202"/>
      <c r="X478" s="359"/>
      <c r="Y478" s="353">
        <f>G477</f>
        <v>2</v>
      </c>
      <c r="Z478" s="199"/>
      <c r="AA478" s="204"/>
      <c r="AB478" s="205"/>
      <c r="AC478" s="201"/>
    </row>
    <row r="479" spans="1:29" x14ac:dyDescent="0.25">
      <c r="A479" s="328">
        <v>45914</v>
      </c>
      <c r="B479" s="17">
        <v>4</v>
      </c>
      <c r="C479" s="123" t="s">
        <v>700</v>
      </c>
      <c r="D479" s="17" t="s">
        <v>227</v>
      </c>
      <c r="E479" s="18">
        <v>1.59</v>
      </c>
      <c r="F479" s="18"/>
      <c r="G479" s="461">
        <v>2</v>
      </c>
      <c r="H479" s="461">
        <v>0</v>
      </c>
      <c r="I479" s="20">
        <v>1.0900000000000001</v>
      </c>
      <c r="J479" s="20"/>
      <c r="K479" s="123" t="s">
        <v>694</v>
      </c>
      <c r="L479" s="17" t="s">
        <v>70</v>
      </c>
      <c r="M479" s="46"/>
      <c r="N479" s="348">
        <v>1</v>
      </c>
      <c r="O479" s="456" t="s">
        <v>70</v>
      </c>
      <c r="P479" s="17" t="s">
        <v>78</v>
      </c>
      <c r="Q479" s="17" t="s">
        <v>404</v>
      </c>
      <c r="R479" s="17" t="s">
        <v>687</v>
      </c>
      <c r="S479" s="479">
        <v>65</v>
      </c>
      <c r="T479" s="17" t="s">
        <v>354</v>
      </c>
      <c r="U479" s="17" t="s">
        <v>42</v>
      </c>
      <c r="V479" s="59" t="s">
        <v>10</v>
      </c>
      <c r="W479" s="53">
        <v>0.01</v>
      </c>
      <c r="X479" s="360" t="s">
        <v>53</v>
      </c>
      <c r="Y479" s="354"/>
      <c r="Z479" s="17" t="s">
        <v>22</v>
      </c>
      <c r="AA479" s="114" t="s">
        <v>28</v>
      </c>
      <c r="AB479" s="110"/>
      <c r="AC479" s="60"/>
    </row>
    <row r="480" spans="1:29" x14ac:dyDescent="0.25">
      <c r="A480" s="329">
        <v>45914</v>
      </c>
      <c r="B480" s="5">
        <v>4</v>
      </c>
      <c r="D480" s="5" t="s">
        <v>227</v>
      </c>
      <c r="E480" s="6">
        <v>1.59</v>
      </c>
      <c r="G480" s="362">
        <v>2</v>
      </c>
      <c r="H480" s="362">
        <v>0</v>
      </c>
      <c r="I480" s="8">
        <v>1.0900000000000001</v>
      </c>
      <c r="L480" s="5" t="s">
        <v>70</v>
      </c>
      <c r="N480" s="476">
        <v>9</v>
      </c>
      <c r="O480" s="477" t="s">
        <v>227</v>
      </c>
      <c r="P480" s="478" t="s">
        <v>25</v>
      </c>
      <c r="Q480" s="478" t="s">
        <v>397</v>
      </c>
      <c r="R480" s="478" t="s">
        <v>685</v>
      </c>
      <c r="S480" s="479">
        <v>69</v>
      </c>
      <c r="T480" s="478" t="s">
        <v>41</v>
      </c>
      <c r="U480" s="478" t="s">
        <v>42</v>
      </c>
      <c r="V480" s="480" t="s">
        <v>29</v>
      </c>
      <c r="W480" s="51">
        <v>0.05</v>
      </c>
      <c r="X480" s="357">
        <v>0.21</v>
      </c>
      <c r="Z480" s="5" t="s">
        <v>48</v>
      </c>
      <c r="AA480" s="112" t="s">
        <v>28</v>
      </c>
    </row>
    <row r="481" spans="1:29" x14ac:dyDescent="0.25">
      <c r="A481" s="329">
        <v>45914</v>
      </c>
      <c r="B481" s="5">
        <v>4</v>
      </c>
      <c r="D481" s="5" t="s">
        <v>227</v>
      </c>
      <c r="E481" s="6">
        <v>1.59</v>
      </c>
      <c r="G481" s="362">
        <v>2</v>
      </c>
      <c r="H481" s="362">
        <v>0</v>
      </c>
      <c r="I481" s="8">
        <v>1.0900000000000001</v>
      </c>
      <c r="L481" s="5" t="s">
        <v>70</v>
      </c>
      <c r="N481" s="476">
        <v>15</v>
      </c>
      <c r="O481" s="477" t="s">
        <v>227</v>
      </c>
      <c r="P481" s="478" t="s">
        <v>398</v>
      </c>
      <c r="Q481" s="478" t="s">
        <v>399</v>
      </c>
      <c r="R481" s="478" t="s">
        <v>684</v>
      </c>
      <c r="S481" s="479">
        <v>74</v>
      </c>
      <c r="T481" s="478" t="s">
        <v>47</v>
      </c>
      <c r="U481" s="478" t="s">
        <v>42</v>
      </c>
      <c r="V481" s="480" t="s">
        <v>540</v>
      </c>
      <c r="W481" s="51">
        <v>0.59</v>
      </c>
      <c r="X481" s="357">
        <v>0.75</v>
      </c>
      <c r="Y481" s="351" t="s">
        <v>353</v>
      </c>
      <c r="Z481" s="5" t="s">
        <v>8</v>
      </c>
      <c r="AA481" s="112" t="s">
        <v>19</v>
      </c>
    </row>
    <row r="482" spans="1:29" x14ac:dyDescent="0.25">
      <c r="A482" s="329">
        <v>45914</v>
      </c>
      <c r="B482" s="5">
        <v>4</v>
      </c>
      <c r="D482" s="5" t="s">
        <v>227</v>
      </c>
      <c r="E482" s="6">
        <v>1.59</v>
      </c>
      <c r="G482" s="362">
        <v>2</v>
      </c>
      <c r="H482" s="362">
        <v>0</v>
      </c>
      <c r="I482" s="8">
        <v>1.0900000000000001</v>
      </c>
      <c r="L482" s="5" t="s">
        <v>70</v>
      </c>
      <c r="N482" s="345">
        <v>17</v>
      </c>
      <c r="O482" s="38" t="s">
        <v>70</v>
      </c>
      <c r="P482" s="5" t="s">
        <v>78</v>
      </c>
      <c r="Q482" s="5" t="s">
        <v>404</v>
      </c>
      <c r="R482" s="5" t="s">
        <v>687</v>
      </c>
      <c r="S482" s="7">
        <v>65</v>
      </c>
      <c r="T482" s="5" t="s">
        <v>41</v>
      </c>
      <c r="U482" s="5" t="s">
        <v>42</v>
      </c>
      <c r="V482" s="57" t="s">
        <v>20</v>
      </c>
      <c r="W482" s="51">
        <v>0.09</v>
      </c>
      <c r="X482" s="357">
        <v>0.16</v>
      </c>
      <c r="Z482" s="5" t="s">
        <v>48</v>
      </c>
      <c r="AA482" s="112" t="s">
        <v>19</v>
      </c>
    </row>
    <row r="483" spans="1:29" x14ac:dyDescent="0.25">
      <c r="A483" s="329">
        <v>45914</v>
      </c>
      <c r="B483" s="5">
        <v>4</v>
      </c>
      <c r="D483" s="5" t="s">
        <v>227</v>
      </c>
      <c r="E483" s="6">
        <v>1.59</v>
      </c>
      <c r="G483" s="362">
        <v>2</v>
      </c>
      <c r="H483" s="362">
        <v>0</v>
      </c>
      <c r="I483" s="8">
        <v>1.0900000000000001</v>
      </c>
      <c r="L483" s="5" t="s">
        <v>70</v>
      </c>
      <c r="N483" s="476">
        <v>31</v>
      </c>
      <c r="O483" s="477" t="s">
        <v>227</v>
      </c>
      <c r="P483" s="478" t="s">
        <v>25</v>
      </c>
      <c r="Q483" s="478" t="s">
        <v>397</v>
      </c>
      <c r="R483" s="478" t="s">
        <v>685</v>
      </c>
      <c r="S483" s="479">
        <v>69</v>
      </c>
      <c r="T483" s="478" t="s">
        <v>41</v>
      </c>
      <c r="U483" s="478" t="s">
        <v>43</v>
      </c>
      <c r="V483" s="480" t="s">
        <v>540</v>
      </c>
      <c r="W483" s="51">
        <v>0.12</v>
      </c>
      <c r="X483" s="357">
        <v>0.11</v>
      </c>
      <c r="Y483" s="351" t="s">
        <v>353</v>
      </c>
      <c r="Z483" s="5" t="s">
        <v>48</v>
      </c>
      <c r="AA483" s="112" t="s">
        <v>19</v>
      </c>
    </row>
    <row r="484" spans="1:29" x14ac:dyDescent="0.25">
      <c r="A484" s="329">
        <v>45914</v>
      </c>
      <c r="B484" s="5">
        <v>4</v>
      </c>
      <c r="D484" s="5" t="s">
        <v>227</v>
      </c>
      <c r="E484" s="6">
        <v>1.59</v>
      </c>
      <c r="G484" s="362">
        <v>2</v>
      </c>
      <c r="H484" s="362">
        <v>0</v>
      </c>
      <c r="I484" s="8">
        <v>1.0900000000000001</v>
      </c>
      <c r="L484" s="5" t="s">
        <v>70</v>
      </c>
      <c r="N484" s="476">
        <v>31</v>
      </c>
      <c r="O484" s="477" t="s">
        <v>227</v>
      </c>
      <c r="P484" s="478" t="s">
        <v>398</v>
      </c>
      <c r="Q484" s="478" t="s">
        <v>399</v>
      </c>
      <c r="R484" s="478" t="s">
        <v>684</v>
      </c>
      <c r="S484" s="479">
        <v>69</v>
      </c>
      <c r="T484" s="478" t="s">
        <v>44</v>
      </c>
      <c r="U484" s="478" t="s">
        <v>42</v>
      </c>
      <c r="V484" s="480" t="s">
        <v>10</v>
      </c>
      <c r="W484" s="51">
        <v>0.06</v>
      </c>
      <c r="X484" s="357" t="s">
        <v>53</v>
      </c>
      <c r="Z484" s="5" t="s">
        <v>744</v>
      </c>
      <c r="AA484" s="112" t="s">
        <v>19</v>
      </c>
      <c r="AB484" s="108" t="s">
        <v>349</v>
      </c>
      <c r="AC484" s="57" t="s">
        <v>350</v>
      </c>
    </row>
    <row r="485" spans="1:29" x14ac:dyDescent="0.25">
      <c r="A485" s="329">
        <v>45914</v>
      </c>
      <c r="B485" s="5">
        <v>4</v>
      </c>
      <c r="D485" s="5" t="s">
        <v>227</v>
      </c>
      <c r="E485" s="6">
        <v>1.59</v>
      </c>
      <c r="G485" s="362">
        <v>2</v>
      </c>
      <c r="H485" s="362">
        <v>0</v>
      </c>
      <c r="I485" s="8">
        <v>1.0900000000000001</v>
      </c>
      <c r="L485" s="5" t="s">
        <v>70</v>
      </c>
      <c r="N485" s="345">
        <v>39</v>
      </c>
      <c r="O485" s="38" t="s">
        <v>70</v>
      </c>
      <c r="P485" s="5" t="s">
        <v>72</v>
      </c>
      <c r="Q485" s="5" t="s">
        <v>73</v>
      </c>
      <c r="R485" s="5" t="s">
        <v>718</v>
      </c>
      <c r="S485" s="7">
        <v>64</v>
      </c>
      <c r="T485" s="5" t="s">
        <v>41</v>
      </c>
      <c r="U485" s="5" t="s">
        <v>42</v>
      </c>
      <c r="V485" s="57" t="s">
        <v>18</v>
      </c>
      <c r="W485" s="51">
        <v>0.1</v>
      </c>
      <c r="X485" s="357" t="s">
        <v>53</v>
      </c>
      <c r="Z485" s="5" t="s">
        <v>17</v>
      </c>
      <c r="AA485" s="112" t="s">
        <v>19</v>
      </c>
    </row>
    <row r="486" spans="1:29" x14ac:dyDescent="0.25">
      <c r="A486" s="329">
        <v>45914</v>
      </c>
      <c r="B486" s="5">
        <v>4</v>
      </c>
      <c r="D486" s="5" t="s">
        <v>227</v>
      </c>
      <c r="E486" s="6">
        <v>1.59</v>
      </c>
      <c r="G486" s="362">
        <v>2</v>
      </c>
      <c r="H486" s="362">
        <v>0</v>
      </c>
      <c r="I486" s="8">
        <v>1.0900000000000001</v>
      </c>
      <c r="L486" s="5" t="s">
        <v>70</v>
      </c>
      <c r="N486" s="476">
        <v>40</v>
      </c>
      <c r="O486" s="477" t="s">
        <v>227</v>
      </c>
      <c r="P486" s="478" t="s">
        <v>25</v>
      </c>
      <c r="Q486" s="478" t="s">
        <v>397</v>
      </c>
      <c r="R486" s="478" t="s">
        <v>685</v>
      </c>
      <c r="S486" s="479">
        <v>69</v>
      </c>
      <c r="T486" s="478" t="s">
        <v>354</v>
      </c>
      <c r="U486" s="478" t="s">
        <v>42</v>
      </c>
      <c r="V486" s="480" t="s">
        <v>10</v>
      </c>
      <c r="W486" s="51">
        <v>0.03</v>
      </c>
      <c r="X486" s="357">
        <v>0.15</v>
      </c>
      <c r="Z486" s="5" t="s">
        <v>48</v>
      </c>
      <c r="AA486" s="112" t="s">
        <v>19</v>
      </c>
    </row>
    <row r="487" spans="1:29" x14ac:dyDescent="0.25">
      <c r="A487" s="329">
        <v>45914</v>
      </c>
      <c r="B487" s="5">
        <v>4</v>
      </c>
      <c r="D487" s="5" t="s">
        <v>227</v>
      </c>
      <c r="E487" s="6">
        <v>1.59</v>
      </c>
      <c r="G487" s="362">
        <v>2</v>
      </c>
      <c r="H487" s="362">
        <v>0</v>
      </c>
      <c r="I487" s="8">
        <v>1.0900000000000001</v>
      </c>
      <c r="L487" s="5" t="s">
        <v>70</v>
      </c>
      <c r="N487" s="345">
        <v>47</v>
      </c>
      <c r="O487" s="38" t="s">
        <v>70</v>
      </c>
      <c r="P487" s="5" t="s">
        <v>72</v>
      </c>
      <c r="Q487" s="5" t="s">
        <v>73</v>
      </c>
      <c r="R487" s="5" t="s">
        <v>718</v>
      </c>
      <c r="S487" s="459">
        <v>64</v>
      </c>
      <c r="T487" s="5" t="s">
        <v>41</v>
      </c>
      <c r="U487" s="5" t="s">
        <v>42</v>
      </c>
      <c r="V487" s="57" t="s">
        <v>10</v>
      </c>
      <c r="W487" s="51">
        <v>0.12</v>
      </c>
      <c r="X487" s="357" t="s">
        <v>53</v>
      </c>
      <c r="Z487" s="5" t="s">
        <v>52</v>
      </c>
      <c r="AA487" s="112" t="s">
        <v>19</v>
      </c>
    </row>
    <row r="488" spans="1:29" x14ac:dyDescent="0.25">
      <c r="A488" s="329">
        <v>45914</v>
      </c>
      <c r="B488" s="5">
        <v>4</v>
      </c>
      <c r="D488" s="5" t="s">
        <v>227</v>
      </c>
      <c r="E488" s="6">
        <v>1.59</v>
      </c>
      <c r="G488" s="362">
        <v>2</v>
      </c>
      <c r="H488" s="362">
        <v>0</v>
      </c>
      <c r="I488" s="8">
        <v>1.0900000000000001</v>
      </c>
      <c r="L488" s="5" t="s">
        <v>70</v>
      </c>
      <c r="N488" s="476">
        <v>48</v>
      </c>
      <c r="O488" s="477" t="s">
        <v>227</v>
      </c>
      <c r="P488" s="478" t="s">
        <v>400</v>
      </c>
      <c r="Q488" s="478" t="s">
        <v>401</v>
      </c>
      <c r="R488" s="478" t="s">
        <v>688</v>
      </c>
      <c r="S488" s="481">
        <v>81</v>
      </c>
      <c r="T488" s="478" t="s">
        <v>41</v>
      </c>
      <c r="U488" s="478" t="s">
        <v>43</v>
      </c>
      <c r="V488" s="480" t="s">
        <v>10</v>
      </c>
      <c r="W488" s="51">
        <v>0.03</v>
      </c>
      <c r="X488" s="357">
        <v>0.15</v>
      </c>
      <c r="Z488" s="5" t="s">
        <v>48</v>
      </c>
      <c r="AA488" s="112" t="s">
        <v>19</v>
      </c>
    </row>
    <row r="489" spans="1:29" x14ac:dyDescent="0.25">
      <c r="A489" s="329">
        <v>45914</v>
      </c>
      <c r="B489" s="5">
        <v>4</v>
      </c>
      <c r="D489" s="5" t="s">
        <v>227</v>
      </c>
      <c r="E489" s="6">
        <v>1.59</v>
      </c>
      <c r="G489" s="362">
        <v>2</v>
      </c>
      <c r="H489" s="362">
        <v>0</v>
      </c>
      <c r="I489" s="8">
        <v>1.0900000000000001</v>
      </c>
      <c r="L489" s="5" t="s">
        <v>70</v>
      </c>
      <c r="N489" s="345">
        <v>51</v>
      </c>
      <c r="O489" s="38" t="s">
        <v>70</v>
      </c>
      <c r="P489" s="5" t="s">
        <v>74</v>
      </c>
      <c r="Q489" s="5" t="s">
        <v>75</v>
      </c>
      <c r="R489" s="5" t="s">
        <v>685</v>
      </c>
      <c r="S489" s="479">
        <v>60</v>
      </c>
      <c r="T489" s="5" t="s">
        <v>41</v>
      </c>
      <c r="U489" s="5" t="s">
        <v>45</v>
      </c>
      <c r="V489" s="57" t="s">
        <v>10</v>
      </c>
      <c r="W489" s="51">
        <v>0.1</v>
      </c>
      <c r="X489" s="357">
        <v>0.12</v>
      </c>
      <c r="Z489" s="5" t="s">
        <v>48</v>
      </c>
      <c r="AA489" s="112" t="s">
        <v>19</v>
      </c>
    </row>
    <row r="490" spans="1:29" x14ac:dyDescent="0.25">
      <c r="A490" s="329">
        <v>45914</v>
      </c>
      <c r="B490" s="5">
        <v>4</v>
      </c>
      <c r="D490" s="5" t="s">
        <v>227</v>
      </c>
      <c r="E490" s="6">
        <v>1.59</v>
      </c>
      <c r="G490" s="362">
        <v>2</v>
      </c>
      <c r="H490" s="362">
        <v>0</v>
      </c>
      <c r="I490" s="8">
        <v>1.0900000000000001</v>
      </c>
      <c r="L490" s="5" t="s">
        <v>70</v>
      </c>
      <c r="N490" s="345">
        <v>55</v>
      </c>
      <c r="O490" s="38" t="s">
        <v>70</v>
      </c>
      <c r="P490" s="5" t="s">
        <v>83</v>
      </c>
      <c r="Q490" s="5" t="s">
        <v>84</v>
      </c>
      <c r="R490" s="5" t="s">
        <v>713</v>
      </c>
      <c r="S490" s="479">
        <v>70</v>
      </c>
      <c r="T490" s="5" t="s">
        <v>47</v>
      </c>
      <c r="U490" s="5" t="s">
        <v>45</v>
      </c>
      <c r="V490" s="57" t="s">
        <v>20</v>
      </c>
      <c r="W490" s="51">
        <v>0.14000000000000001</v>
      </c>
      <c r="X490" s="357">
        <v>0.66</v>
      </c>
      <c r="Z490" s="5" t="s">
        <v>48</v>
      </c>
      <c r="AA490" s="112" t="s">
        <v>19</v>
      </c>
    </row>
    <row r="491" spans="1:29" x14ac:dyDescent="0.25">
      <c r="A491" s="329">
        <v>45914</v>
      </c>
      <c r="B491" s="5">
        <v>4</v>
      </c>
      <c r="D491" s="5" t="s">
        <v>227</v>
      </c>
      <c r="E491" s="6">
        <v>1.59</v>
      </c>
      <c r="G491" s="362">
        <v>2</v>
      </c>
      <c r="H491" s="362">
        <v>0</v>
      </c>
      <c r="I491" s="8">
        <v>1.0900000000000001</v>
      </c>
      <c r="L491" s="5" t="s">
        <v>70</v>
      </c>
      <c r="N491" s="476">
        <v>77</v>
      </c>
      <c r="O491" s="477" t="s">
        <v>227</v>
      </c>
      <c r="P491" s="478" t="s">
        <v>402</v>
      </c>
      <c r="Q491" s="478" t="s">
        <v>403</v>
      </c>
      <c r="R491" s="478" t="s">
        <v>696</v>
      </c>
      <c r="S491" s="479">
        <v>69</v>
      </c>
      <c r="T491" s="478" t="s">
        <v>44</v>
      </c>
      <c r="U491" s="478" t="s">
        <v>43</v>
      </c>
      <c r="V491" s="480" t="s">
        <v>18</v>
      </c>
      <c r="W491" s="51">
        <v>0.59</v>
      </c>
      <c r="X491" s="357">
        <v>0.65</v>
      </c>
      <c r="Y491" s="351" t="s">
        <v>353</v>
      </c>
      <c r="Z491" s="5" t="s">
        <v>8</v>
      </c>
      <c r="AA491" s="112" t="s">
        <v>24</v>
      </c>
      <c r="AB491" s="108" t="s">
        <v>135</v>
      </c>
      <c r="AC491" s="57" t="s">
        <v>661</v>
      </c>
    </row>
    <row r="492" spans="1:29" x14ac:dyDescent="0.25">
      <c r="A492" s="329">
        <v>45914</v>
      </c>
      <c r="B492" s="5">
        <v>4</v>
      </c>
      <c r="D492" s="5" t="s">
        <v>227</v>
      </c>
      <c r="E492" s="6">
        <v>1.59</v>
      </c>
      <c r="G492" s="362">
        <v>2</v>
      </c>
      <c r="H492" s="362">
        <v>0</v>
      </c>
      <c r="I492" s="8">
        <v>1.0900000000000001</v>
      </c>
      <c r="L492" s="5" t="s">
        <v>70</v>
      </c>
      <c r="N492" s="345">
        <v>90</v>
      </c>
      <c r="O492" s="38" t="s">
        <v>70</v>
      </c>
      <c r="P492" s="5" t="s">
        <v>53</v>
      </c>
      <c r="Q492" s="5" t="s">
        <v>405</v>
      </c>
      <c r="R492" s="5" t="s">
        <v>696</v>
      </c>
      <c r="S492" s="479">
        <v>62</v>
      </c>
      <c r="T492" s="5" t="s">
        <v>41</v>
      </c>
      <c r="U492" s="5" t="s">
        <v>42</v>
      </c>
      <c r="V492" s="57" t="s">
        <v>10</v>
      </c>
      <c r="W492" s="51">
        <v>0.12</v>
      </c>
      <c r="X492" s="357" t="s">
        <v>53</v>
      </c>
      <c r="Z492" s="5" t="s">
        <v>52</v>
      </c>
      <c r="AA492" s="112" t="s">
        <v>24</v>
      </c>
    </row>
    <row r="493" spans="1:29" x14ac:dyDescent="0.25">
      <c r="A493" s="329">
        <v>45914</v>
      </c>
      <c r="B493" s="5">
        <v>4</v>
      </c>
      <c r="D493" s="5" t="s">
        <v>227</v>
      </c>
      <c r="E493" s="6">
        <v>1.59</v>
      </c>
      <c r="G493" s="362">
        <v>2</v>
      </c>
      <c r="H493" s="362">
        <v>0</v>
      </c>
      <c r="I493" s="8">
        <v>1.0900000000000001</v>
      </c>
      <c r="L493" s="5" t="s">
        <v>70</v>
      </c>
      <c r="N493" s="476" t="s">
        <v>35</v>
      </c>
      <c r="O493" s="477" t="s">
        <v>227</v>
      </c>
      <c r="P493" s="478" t="s">
        <v>328</v>
      </c>
      <c r="Q493" s="478" t="s">
        <v>75</v>
      </c>
      <c r="R493" s="478" t="s">
        <v>696</v>
      </c>
      <c r="S493" s="479">
        <v>69</v>
      </c>
      <c r="T493" s="478" t="s">
        <v>41</v>
      </c>
      <c r="U493" s="478" t="s">
        <v>42</v>
      </c>
      <c r="V493" s="480" t="s">
        <v>18</v>
      </c>
      <c r="W493" s="51">
        <v>0.11</v>
      </c>
      <c r="X493" s="357" t="s">
        <v>53</v>
      </c>
      <c r="Z493" s="5" t="s">
        <v>52</v>
      </c>
      <c r="AA493" s="112" t="s">
        <v>24</v>
      </c>
    </row>
    <row r="494" spans="1:29" ht="15.75" thickBot="1" x14ac:dyDescent="0.3">
      <c r="A494" s="330">
        <v>45914</v>
      </c>
      <c r="B494" s="9">
        <v>4</v>
      </c>
      <c r="C494" s="122"/>
      <c r="D494" s="9" t="s">
        <v>227</v>
      </c>
      <c r="E494" s="10">
        <v>1.59</v>
      </c>
      <c r="F494" s="10"/>
      <c r="G494" s="383">
        <v>2</v>
      </c>
      <c r="H494" s="383">
        <v>0</v>
      </c>
      <c r="I494" s="12">
        <v>1.0900000000000001</v>
      </c>
      <c r="J494" s="12"/>
      <c r="K494" s="122"/>
      <c r="L494" s="9" t="s">
        <v>70</v>
      </c>
      <c r="M494" s="45"/>
      <c r="N494" s="346" t="s">
        <v>31</v>
      </c>
      <c r="O494" s="454" t="s">
        <v>70</v>
      </c>
      <c r="P494" s="9" t="s">
        <v>76</v>
      </c>
      <c r="Q494" s="9" t="s">
        <v>77</v>
      </c>
      <c r="R494" s="9" t="s">
        <v>686</v>
      </c>
      <c r="S494" s="479">
        <v>62</v>
      </c>
      <c r="T494" s="9" t="s">
        <v>44</v>
      </c>
      <c r="U494" s="9" t="s">
        <v>43</v>
      </c>
      <c r="V494" s="58" t="s">
        <v>20</v>
      </c>
      <c r="W494" s="52">
        <v>0.02</v>
      </c>
      <c r="X494" s="358">
        <v>0.24</v>
      </c>
      <c r="Y494" s="352"/>
      <c r="Z494" s="9" t="s">
        <v>48</v>
      </c>
      <c r="AA494" s="113" t="s">
        <v>24</v>
      </c>
      <c r="AB494" s="109"/>
      <c r="AC494" s="58"/>
    </row>
    <row r="495" spans="1:29" ht="15.75" thickBot="1" x14ac:dyDescent="0.3">
      <c r="A495" s="326">
        <v>45914</v>
      </c>
      <c r="B495" s="207">
        <v>4</v>
      </c>
      <c r="C495" s="208"/>
      <c r="D495" s="207" t="s">
        <v>227</v>
      </c>
      <c r="E495" s="209">
        <v>1.59</v>
      </c>
      <c r="F495" s="209"/>
      <c r="G495" s="460">
        <v>2</v>
      </c>
      <c r="H495" s="460">
        <v>0</v>
      </c>
      <c r="I495" s="211">
        <v>1.0900000000000001</v>
      </c>
      <c r="J495" s="211"/>
      <c r="K495" s="208"/>
      <c r="L495" s="207" t="s">
        <v>70</v>
      </c>
      <c r="M495" s="235"/>
      <c r="N495" s="347"/>
      <c r="O495" s="343" t="s">
        <v>227</v>
      </c>
      <c r="P495" s="199" t="s">
        <v>733</v>
      </c>
      <c r="Q495" s="199" t="s">
        <v>86</v>
      </c>
      <c r="R495" s="199" t="s">
        <v>707</v>
      </c>
      <c r="S495" s="479">
        <v>78</v>
      </c>
      <c r="T495" s="199"/>
      <c r="U495" s="199"/>
      <c r="V495" s="201"/>
      <c r="W495" s="202"/>
      <c r="X495" s="359"/>
      <c r="Y495" s="353">
        <f>H495</f>
        <v>0</v>
      </c>
      <c r="Z495" s="199"/>
      <c r="AA495" s="204"/>
      <c r="AB495" s="205"/>
      <c r="AC495" s="201"/>
    </row>
    <row r="496" spans="1:29" ht="15.75" thickBot="1" x14ac:dyDescent="0.3">
      <c r="A496" s="326">
        <v>45914</v>
      </c>
      <c r="B496" s="207">
        <v>4</v>
      </c>
      <c r="C496" s="208"/>
      <c r="D496" s="207" t="s">
        <v>227</v>
      </c>
      <c r="E496" s="209">
        <v>1.59</v>
      </c>
      <c r="F496" s="209"/>
      <c r="G496" s="460">
        <v>2</v>
      </c>
      <c r="H496" s="460">
        <v>0</v>
      </c>
      <c r="I496" s="211">
        <v>1.0900000000000001</v>
      </c>
      <c r="J496" s="211"/>
      <c r="K496" s="208"/>
      <c r="L496" s="207" t="s">
        <v>70</v>
      </c>
      <c r="M496" s="235"/>
      <c r="N496" s="347"/>
      <c r="O496" s="343" t="s">
        <v>70</v>
      </c>
      <c r="P496" s="199" t="s">
        <v>714</v>
      </c>
      <c r="Q496" s="199" t="s">
        <v>715</v>
      </c>
      <c r="R496" s="199" t="s">
        <v>707</v>
      </c>
      <c r="S496" s="479">
        <v>65</v>
      </c>
      <c r="T496" s="199"/>
      <c r="U496" s="199"/>
      <c r="V496" s="201"/>
      <c r="W496" s="202"/>
      <c r="X496" s="359"/>
      <c r="Y496" s="353">
        <f>G495</f>
        <v>2</v>
      </c>
      <c r="Z496" s="199"/>
      <c r="AA496" s="204"/>
      <c r="AB496" s="205"/>
      <c r="AC496" s="201"/>
    </row>
    <row r="497" spans="1:29" x14ac:dyDescent="0.25">
      <c r="A497" s="328">
        <v>45914</v>
      </c>
      <c r="B497" s="17">
        <v>4</v>
      </c>
      <c r="C497" s="123" t="s">
        <v>693</v>
      </c>
      <c r="D497" s="17" t="s">
        <v>113</v>
      </c>
      <c r="E497" s="18">
        <v>4.0199999999999996</v>
      </c>
      <c r="F497" s="18"/>
      <c r="G497" s="461">
        <v>6</v>
      </c>
      <c r="H497" s="461">
        <v>0</v>
      </c>
      <c r="I497" s="20">
        <v>0.18</v>
      </c>
      <c r="J497" s="20"/>
      <c r="K497" s="123" t="s">
        <v>701</v>
      </c>
      <c r="L497" s="17" t="s">
        <v>145</v>
      </c>
      <c r="M497" s="46"/>
      <c r="N497" s="507">
        <v>5</v>
      </c>
      <c r="O497" s="508" t="s">
        <v>113</v>
      </c>
      <c r="P497" s="509" t="s">
        <v>267</v>
      </c>
      <c r="Q497" s="509" t="s">
        <v>75</v>
      </c>
      <c r="R497" s="509" t="s">
        <v>713</v>
      </c>
      <c r="S497" s="479">
        <v>74</v>
      </c>
      <c r="T497" s="509" t="s">
        <v>47</v>
      </c>
      <c r="U497" s="509" t="s">
        <v>45</v>
      </c>
      <c r="V497" s="510" t="s">
        <v>20</v>
      </c>
      <c r="W497" s="53">
        <v>0.1</v>
      </c>
      <c r="X497" s="360" t="s">
        <v>53</v>
      </c>
      <c r="Y497" s="354"/>
      <c r="Z497" s="17" t="s">
        <v>13</v>
      </c>
      <c r="AA497" s="114" t="s">
        <v>28</v>
      </c>
      <c r="AB497" s="110"/>
      <c r="AC497" s="60"/>
    </row>
    <row r="498" spans="1:29" x14ac:dyDescent="0.25">
      <c r="A498" s="329">
        <v>45914</v>
      </c>
      <c r="B498" s="5">
        <v>4</v>
      </c>
      <c r="D498" s="5" t="s">
        <v>113</v>
      </c>
      <c r="E498" s="6">
        <v>4.0199999999999996</v>
      </c>
      <c r="G498" s="362">
        <v>6</v>
      </c>
      <c r="H498" s="362">
        <v>0</v>
      </c>
      <c r="I498" s="8">
        <v>0.18</v>
      </c>
      <c r="L498" s="5" t="s">
        <v>145</v>
      </c>
      <c r="N498" s="476">
        <v>10</v>
      </c>
      <c r="O498" s="477" t="s">
        <v>113</v>
      </c>
      <c r="P498" s="478" t="s">
        <v>118</v>
      </c>
      <c r="Q498" s="478" t="s">
        <v>119</v>
      </c>
      <c r="R498" s="478" t="s">
        <v>684</v>
      </c>
      <c r="S498" s="481">
        <v>75</v>
      </c>
      <c r="T498" s="478" t="s">
        <v>41</v>
      </c>
      <c r="U498" s="478" t="s">
        <v>42</v>
      </c>
      <c r="V498" s="480" t="s">
        <v>10</v>
      </c>
      <c r="W498" s="51">
        <v>0.68</v>
      </c>
      <c r="X498" s="357" t="s">
        <v>53</v>
      </c>
      <c r="Y498" s="351" t="s">
        <v>353</v>
      </c>
      <c r="Z498" s="5" t="s">
        <v>55</v>
      </c>
      <c r="AA498" s="112" t="s">
        <v>28</v>
      </c>
    </row>
    <row r="499" spans="1:29" x14ac:dyDescent="0.25">
      <c r="A499" s="329">
        <v>45914</v>
      </c>
      <c r="B499" s="5">
        <v>4</v>
      </c>
      <c r="D499" s="5" t="s">
        <v>113</v>
      </c>
      <c r="E499" s="6">
        <v>4.0199999999999996</v>
      </c>
      <c r="G499" s="362">
        <v>6</v>
      </c>
      <c r="H499" s="362">
        <v>0</v>
      </c>
      <c r="I499" s="8">
        <v>0.18</v>
      </c>
      <c r="L499" s="5" t="s">
        <v>145</v>
      </c>
      <c r="N499" s="476">
        <v>19</v>
      </c>
      <c r="O499" s="477" t="s">
        <v>113</v>
      </c>
      <c r="P499" s="478" t="s">
        <v>118</v>
      </c>
      <c r="Q499" s="478" t="s">
        <v>119</v>
      </c>
      <c r="R499" s="478" t="s">
        <v>684</v>
      </c>
      <c r="S499" s="481">
        <v>75</v>
      </c>
      <c r="T499" s="478" t="s">
        <v>41</v>
      </c>
      <c r="U499" s="478" t="s">
        <v>42</v>
      </c>
      <c r="V499" s="480" t="s">
        <v>10</v>
      </c>
      <c r="W499" s="51">
        <v>0.12</v>
      </c>
      <c r="X499" s="357" t="s">
        <v>53</v>
      </c>
      <c r="Z499" s="5" t="s">
        <v>52</v>
      </c>
      <c r="AA499" s="112" t="s">
        <v>28</v>
      </c>
    </row>
    <row r="500" spans="1:29" x14ac:dyDescent="0.25">
      <c r="A500" s="329">
        <v>45914</v>
      </c>
      <c r="B500" s="5">
        <v>4</v>
      </c>
      <c r="D500" s="5" t="s">
        <v>113</v>
      </c>
      <c r="E500" s="6">
        <v>4.0199999999999996</v>
      </c>
      <c r="G500" s="362">
        <v>6</v>
      </c>
      <c r="H500" s="362">
        <v>0</v>
      </c>
      <c r="I500" s="8">
        <v>0.18</v>
      </c>
      <c r="L500" s="5" t="s">
        <v>145</v>
      </c>
      <c r="N500" s="476">
        <v>29</v>
      </c>
      <c r="O500" s="477" t="s">
        <v>113</v>
      </c>
      <c r="P500" s="478" t="s">
        <v>406</v>
      </c>
      <c r="Q500" s="478" t="s">
        <v>150</v>
      </c>
      <c r="R500" s="478" t="s">
        <v>699</v>
      </c>
      <c r="S500" s="479">
        <v>100</v>
      </c>
      <c r="T500" s="478" t="s">
        <v>41</v>
      </c>
      <c r="U500" s="478" t="s">
        <v>42</v>
      </c>
      <c r="V500" s="480" t="s">
        <v>10</v>
      </c>
      <c r="W500" s="51">
        <v>0.13</v>
      </c>
      <c r="X500" s="357">
        <v>0.13</v>
      </c>
      <c r="Z500" s="5" t="s">
        <v>8</v>
      </c>
      <c r="AA500" s="112" t="s">
        <v>19</v>
      </c>
      <c r="AB500" s="108" t="s">
        <v>118</v>
      </c>
      <c r="AC500" s="57" t="s">
        <v>119</v>
      </c>
    </row>
    <row r="501" spans="1:29" x14ac:dyDescent="0.25">
      <c r="A501" s="329">
        <v>45914</v>
      </c>
      <c r="B501" s="5">
        <v>4</v>
      </c>
      <c r="D501" s="5" t="s">
        <v>113</v>
      </c>
      <c r="E501" s="6">
        <v>4.0199999999999996</v>
      </c>
      <c r="G501" s="362">
        <v>6</v>
      </c>
      <c r="H501" s="362">
        <v>0</v>
      </c>
      <c r="I501" s="8">
        <v>0.18</v>
      </c>
      <c r="L501" s="5" t="s">
        <v>145</v>
      </c>
      <c r="N501" s="476">
        <v>48</v>
      </c>
      <c r="O501" s="477" t="s">
        <v>113</v>
      </c>
      <c r="P501" s="478" t="s">
        <v>118</v>
      </c>
      <c r="Q501" s="478" t="s">
        <v>119</v>
      </c>
      <c r="R501" s="478" t="s">
        <v>684</v>
      </c>
      <c r="S501" s="479">
        <v>75</v>
      </c>
      <c r="T501" s="478" t="s">
        <v>41</v>
      </c>
      <c r="U501" s="478" t="s">
        <v>42</v>
      </c>
      <c r="V501" s="480" t="s">
        <v>10</v>
      </c>
      <c r="W501" s="51">
        <v>0.41</v>
      </c>
      <c r="X501" s="357" t="s">
        <v>53</v>
      </c>
      <c r="Y501" s="351" t="s">
        <v>353</v>
      </c>
      <c r="Z501" s="5" t="s">
        <v>17</v>
      </c>
      <c r="AA501" s="112" t="s">
        <v>19</v>
      </c>
    </row>
    <row r="502" spans="1:29" x14ac:dyDescent="0.25">
      <c r="A502" s="329">
        <v>45914</v>
      </c>
      <c r="B502" s="5">
        <v>4</v>
      </c>
      <c r="D502" s="5" t="s">
        <v>113</v>
      </c>
      <c r="E502" s="6">
        <v>4.0199999999999996</v>
      </c>
      <c r="G502" s="362">
        <v>6</v>
      </c>
      <c r="H502" s="362">
        <v>0</v>
      </c>
      <c r="I502" s="8">
        <v>0.18</v>
      </c>
      <c r="L502" s="5" t="s">
        <v>145</v>
      </c>
      <c r="N502" s="476">
        <v>53</v>
      </c>
      <c r="O502" s="477" t="s">
        <v>113</v>
      </c>
      <c r="P502" s="478" t="s">
        <v>118</v>
      </c>
      <c r="Q502" s="478" t="s">
        <v>119</v>
      </c>
      <c r="R502" s="478" t="s">
        <v>684</v>
      </c>
      <c r="S502" s="479">
        <v>75</v>
      </c>
      <c r="T502" s="478" t="s">
        <v>41</v>
      </c>
      <c r="U502" s="478" t="s">
        <v>43</v>
      </c>
      <c r="V502" s="480" t="s">
        <v>10</v>
      </c>
      <c r="W502" s="51">
        <v>0.23</v>
      </c>
      <c r="X502" s="357">
        <v>0.24</v>
      </c>
      <c r="Y502" s="351" t="s">
        <v>353</v>
      </c>
      <c r="Z502" s="5" t="s">
        <v>48</v>
      </c>
      <c r="AA502" s="112" t="s">
        <v>19</v>
      </c>
    </row>
    <row r="503" spans="1:29" x14ac:dyDescent="0.25">
      <c r="A503" s="329">
        <v>45914</v>
      </c>
      <c r="B503" s="5">
        <v>4</v>
      </c>
      <c r="D503" s="5" t="s">
        <v>113</v>
      </c>
      <c r="E503" s="6">
        <v>4.0199999999999996</v>
      </c>
      <c r="G503" s="362">
        <v>6</v>
      </c>
      <c r="H503" s="362">
        <v>0</v>
      </c>
      <c r="I503" s="8">
        <v>0.18</v>
      </c>
      <c r="L503" s="5" t="s">
        <v>145</v>
      </c>
      <c r="N503" s="476">
        <v>53</v>
      </c>
      <c r="O503" s="477" t="s">
        <v>113</v>
      </c>
      <c r="P503" s="478" t="s">
        <v>53</v>
      </c>
      <c r="Q503" s="478" t="s">
        <v>117</v>
      </c>
      <c r="R503" s="478" t="s">
        <v>696</v>
      </c>
      <c r="S503" s="479">
        <v>84</v>
      </c>
      <c r="T503" s="478" t="s">
        <v>47</v>
      </c>
      <c r="U503" s="478" t="s">
        <v>42</v>
      </c>
      <c r="V503" s="480" t="s">
        <v>10</v>
      </c>
      <c r="W503" s="51">
        <v>0.56000000000000005</v>
      </c>
      <c r="X503" s="357">
        <v>0.78</v>
      </c>
      <c r="Y503" s="351" t="s">
        <v>353</v>
      </c>
      <c r="Z503" s="5" t="s">
        <v>8</v>
      </c>
      <c r="AA503" s="112" t="s">
        <v>24</v>
      </c>
      <c r="AB503" s="108" t="s">
        <v>468</v>
      </c>
      <c r="AC503" s="57" t="s">
        <v>469</v>
      </c>
    </row>
    <row r="504" spans="1:29" x14ac:dyDescent="0.25">
      <c r="A504" s="329">
        <v>45914</v>
      </c>
      <c r="B504" s="5">
        <v>4</v>
      </c>
      <c r="D504" s="5" t="s">
        <v>113</v>
      </c>
      <c r="E504" s="6">
        <v>4.0199999999999996</v>
      </c>
      <c r="G504" s="362">
        <v>6</v>
      </c>
      <c r="H504" s="362">
        <v>0</v>
      </c>
      <c r="I504" s="8">
        <v>0.18</v>
      </c>
      <c r="L504" s="5" t="s">
        <v>145</v>
      </c>
      <c r="N504" s="476">
        <v>56</v>
      </c>
      <c r="O504" s="477" t="s">
        <v>113</v>
      </c>
      <c r="P504" s="478" t="s">
        <v>406</v>
      </c>
      <c r="Q504" s="478" t="s">
        <v>150</v>
      </c>
      <c r="R504" s="478" t="s">
        <v>699</v>
      </c>
      <c r="S504" s="479">
        <v>100</v>
      </c>
      <c r="T504" s="478" t="s">
        <v>354</v>
      </c>
      <c r="U504" s="478" t="s">
        <v>43</v>
      </c>
      <c r="V504" s="480" t="s">
        <v>10</v>
      </c>
      <c r="W504" s="51">
        <v>0.02</v>
      </c>
      <c r="X504" s="357">
        <v>0.04</v>
      </c>
      <c r="Z504" s="5" t="s">
        <v>8</v>
      </c>
      <c r="AA504" s="112" t="s">
        <v>27</v>
      </c>
      <c r="AB504" s="108" t="s">
        <v>337</v>
      </c>
      <c r="AC504" s="57" t="s">
        <v>662</v>
      </c>
    </row>
    <row r="505" spans="1:29" x14ac:dyDescent="0.25">
      <c r="A505" s="329">
        <v>45914</v>
      </c>
      <c r="B505" s="5">
        <v>4</v>
      </c>
      <c r="D505" s="5" t="s">
        <v>113</v>
      </c>
      <c r="E505" s="6">
        <v>4.0199999999999996</v>
      </c>
      <c r="G505" s="362">
        <v>6</v>
      </c>
      <c r="H505" s="362">
        <v>0</v>
      </c>
      <c r="I505" s="8">
        <v>0.18</v>
      </c>
      <c r="L505" s="5" t="s">
        <v>145</v>
      </c>
      <c r="N505" s="476">
        <v>66</v>
      </c>
      <c r="O505" s="477" t="s">
        <v>113</v>
      </c>
      <c r="P505" s="478" t="s">
        <v>53</v>
      </c>
      <c r="Q505" s="478" t="s">
        <v>117</v>
      </c>
      <c r="R505" s="478" t="s">
        <v>696</v>
      </c>
      <c r="S505" s="479">
        <v>84</v>
      </c>
      <c r="T505" s="478" t="s">
        <v>41</v>
      </c>
      <c r="U505" s="478" t="s">
        <v>43</v>
      </c>
      <c r="V505" s="480" t="s">
        <v>540</v>
      </c>
      <c r="W505" s="51">
        <v>0.05</v>
      </c>
      <c r="X505" s="357">
        <v>7.0000000000000007E-2</v>
      </c>
      <c r="Z505" s="5" t="s">
        <v>8</v>
      </c>
      <c r="AA505" s="112" t="s">
        <v>32</v>
      </c>
    </row>
    <row r="506" spans="1:29" x14ac:dyDescent="0.25">
      <c r="A506" s="329">
        <v>45914</v>
      </c>
      <c r="B506" s="5">
        <v>4</v>
      </c>
      <c r="D506" s="5" t="s">
        <v>113</v>
      </c>
      <c r="E506" s="6">
        <v>4.0199999999999996</v>
      </c>
      <c r="G506" s="362">
        <v>6</v>
      </c>
      <c r="H506" s="362">
        <v>0</v>
      </c>
      <c r="I506" s="8">
        <v>0.18</v>
      </c>
      <c r="L506" s="5" t="s">
        <v>145</v>
      </c>
      <c r="N506" s="476">
        <v>70</v>
      </c>
      <c r="O506" s="477" t="s">
        <v>113</v>
      </c>
      <c r="P506" s="478" t="s">
        <v>53</v>
      </c>
      <c r="Q506" s="478" t="s">
        <v>117</v>
      </c>
      <c r="R506" s="478" t="s">
        <v>696</v>
      </c>
      <c r="S506" s="479">
        <v>84</v>
      </c>
      <c r="T506" s="478" t="s">
        <v>41</v>
      </c>
      <c r="U506" s="478" t="s">
        <v>43</v>
      </c>
      <c r="V506" s="480" t="s">
        <v>10</v>
      </c>
      <c r="W506" s="51">
        <v>0.11</v>
      </c>
      <c r="X506" s="357" t="s">
        <v>53</v>
      </c>
      <c r="Z506" s="5" t="s">
        <v>13</v>
      </c>
      <c r="AA506" s="112" t="s">
        <v>32</v>
      </c>
    </row>
    <row r="507" spans="1:29" x14ac:dyDescent="0.25">
      <c r="A507" s="329">
        <v>45914</v>
      </c>
      <c r="B507" s="5">
        <v>4</v>
      </c>
      <c r="D507" s="5" t="s">
        <v>113</v>
      </c>
      <c r="E507" s="6">
        <v>4.0199999999999996</v>
      </c>
      <c r="G507" s="362">
        <v>6</v>
      </c>
      <c r="H507" s="362">
        <v>0</v>
      </c>
      <c r="I507" s="8">
        <v>0.18</v>
      </c>
      <c r="L507" s="5" t="s">
        <v>145</v>
      </c>
      <c r="N507" s="345">
        <v>71</v>
      </c>
      <c r="O507" s="38" t="s">
        <v>145</v>
      </c>
      <c r="P507" s="5" t="s">
        <v>315</v>
      </c>
      <c r="Q507" s="5" t="s">
        <v>409</v>
      </c>
      <c r="R507" s="5" t="s">
        <v>696</v>
      </c>
      <c r="S507" s="479">
        <v>59</v>
      </c>
      <c r="T507" s="5" t="s">
        <v>41</v>
      </c>
      <c r="U507" s="5" t="s">
        <v>43</v>
      </c>
      <c r="V507" s="57" t="s">
        <v>10</v>
      </c>
      <c r="W507" s="51">
        <v>0.11</v>
      </c>
      <c r="X507" s="357">
        <v>0.28999999999999998</v>
      </c>
      <c r="Z507" s="5" t="s">
        <v>48</v>
      </c>
      <c r="AA507" s="112" t="s">
        <v>32</v>
      </c>
    </row>
    <row r="508" spans="1:29" x14ac:dyDescent="0.25">
      <c r="A508" s="329">
        <v>45914</v>
      </c>
      <c r="B508" s="5">
        <v>4</v>
      </c>
      <c r="D508" s="5" t="s">
        <v>113</v>
      </c>
      <c r="E508" s="6">
        <v>4.0199999999999996</v>
      </c>
      <c r="G508" s="362">
        <v>6</v>
      </c>
      <c r="H508" s="362">
        <v>0</v>
      </c>
      <c r="I508" s="8">
        <v>0.18</v>
      </c>
      <c r="L508" s="5" t="s">
        <v>145</v>
      </c>
      <c r="N508" s="476">
        <v>76</v>
      </c>
      <c r="O508" s="477" t="s">
        <v>113</v>
      </c>
      <c r="P508" s="478" t="s">
        <v>178</v>
      </c>
      <c r="Q508" s="478" t="s">
        <v>407</v>
      </c>
      <c r="R508" s="478" t="s">
        <v>696</v>
      </c>
      <c r="S508" s="479">
        <v>79</v>
      </c>
      <c r="T508" s="478" t="s">
        <v>41</v>
      </c>
      <c r="U508" s="478" t="s">
        <v>42</v>
      </c>
      <c r="V508" s="480" t="s">
        <v>10</v>
      </c>
      <c r="W508" s="51">
        <v>0.62</v>
      </c>
      <c r="X508" s="357">
        <v>0.86</v>
      </c>
      <c r="Y508" s="351" t="s">
        <v>353</v>
      </c>
      <c r="Z508" s="5" t="s">
        <v>8</v>
      </c>
      <c r="AA508" s="112" t="s">
        <v>285</v>
      </c>
      <c r="AB508" s="108" t="s">
        <v>124</v>
      </c>
      <c r="AC508" s="57" t="s">
        <v>125</v>
      </c>
    </row>
    <row r="509" spans="1:29" ht="15.75" thickBot="1" x14ac:dyDescent="0.3">
      <c r="A509" s="330">
        <v>45914</v>
      </c>
      <c r="B509" s="9">
        <v>4</v>
      </c>
      <c r="C509" s="122"/>
      <c r="D509" s="9" t="s">
        <v>113</v>
      </c>
      <c r="E509" s="10">
        <v>4.0199999999999996</v>
      </c>
      <c r="F509" s="10"/>
      <c r="G509" s="383">
        <v>6</v>
      </c>
      <c r="H509" s="383">
        <v>0</v>
      </c>
      <c r="I509" s="12">
        <v>0.18</v>
      </c>
      <c r="J509" s="12"/>
      <c r="K509" s="122"/>
      <c r="L509" s="9" t="s">
        <v>145</v>
      </c>
      <c r="M509" s="45"/>
      <c r="N509" s="511">
        <v>86</v>
      </c>
      <c r="O509" s="512" t="s">
        <v>113</v>
      </c>
      <c r="P509" s="513" t="s">
        <v>178</v>
      </c>
      <c r="Q509" s="513" t="s">
        <v>407</v>
      </c>
      <c r="R509" s="513" t="s">
        <v>696</v>
      </c>
      <c r="S509" s="479">
        <v>79</v>
      </c>
      <c r="T509" s="513" t="s">
        <v>41</v>
      </c>
      <c r="U509" s="513" t="s">
        <v>42</v>
      </c>
      <c r="V509" s="514" t="s">
        <v>10</v>
      </c>
      <c r="W509" s="52">
        <v>0.57999999999999996</v>
      </c>
      <c r="X509" s="358">
        <v>0.37</v>
      </c>
      <c r="Y509" s="352" t="s">
        <v>353</v>
      </c>
      <c r="Z509" s="9" t="s">
        <v>8</v>
      </c>
      <c r="AA509" s="113" t="s">
        <v>408</v>
      </c>
      <c r="AB509" s="109" t="s">
        <v>337</v>
      </c>
      <c r="AC509" s="58" t="s">
        <v>663</v>
      </c>
    </row>
    <row r="510" spans="1:29" ht="15.75" thickBot="1" x14ac:dyDescent="0.3">
      <c r="A510" s="326">
        <v>45914</v>
      </c>
      <c r="B510" s="207">
        <v>4</v>
      </c>
      <c r="C510" s="208"/>
      <c r="D510" s="207" t="s">
        <v>113</v>
      </c>
      <c r="E510" s="209">
        <v>4.0199999999999996</v>
      </c>
      <c r="F510" s="209"/>
      <c r="G510" s="460">
        <v>6</v>
      </c>
      <c r="H510" s="460">
        <v>0</v>
      </c>
      <c r="I510" s="211">
        <v>0.18</v>
      </c>
      <c r="J510" s="211"/>
      <c r="K510" s="208"/>
      <c r="L510" s="207" t="s">
        <v>145</v>
      </c>
      <c r="M510" s="235"/>
      <c r="N510" s="347"/>
      <c r="O510" s="343" t="s">
        <v>113</v>
      </c>
      <c r="P510" s="199" t="s">
        <v>475</v>
      </c>
      <c r="Q510" s="199" t="s">
        <v>75</v>
      </c>
      <c r="R510" s="199" t="s">
        <v>707</v>
      </c>
      <c r="S510" s="7">
        <v>70</v>
      </c>
      <c r="T510" s="199"/>
      <c r="U510" s="199"/>
      <c r="V510" s="201"/>
      <c r="W510" s="202"/>
      <c r="X510" s="359"/>
      <c r="Y510" s="353">
        <f>H510</f>
        <v>0</v>
      </c>
      <c r="Z510" s="199"/>
      <c r="AA510" s="204"/>
      <c r="AB510" s="205"/>
      <c r="AC510" s="201"/>
    </row>
    <row r="511" spans="1:29" ht="15.75" thickBot="1" x14ac:dyDescent="0.3">
      <c r="A511" s="326">
        <v>45914</v>
      </c>
      <c r="B511" s="207">
        <v>4</v>
      </c>
      <c r="C511" s="208"/>
      <c r="D511" s="207" t="s">
        <v>113</v>
      </c>
      <c r="E511" s="209">
        <v>4.0199999999999996</v>
      </c>
      <c r="F511" s="209"/>
      <c r="G511" s="460">
        <v>6</v>
      </c>
      <c r="H511" s="460">
        <v>0</v>
      </c>
      <c r="I511" s="211">
        <v>0.18</v>
      </c>
      <c r="J511" s="211"/>
      <c r="K511" s="208"/>
      <c r="L511" s="207" t="s">
        <v>145</v>
      </c>
      <c r="M511" s="235"/>
      <c r="N511" s="347"/>
      <c r="O511" s="343" t="s">
        <v>145</v>
      </c>
      <c r="P511" s="199" t="s">
        <v>482</v>
      </c>
      <c r="Q511" s="199" t="s">
        <v>483</v>
      </c>
      <c r="R511" s="199" t="s">
        <v>707</v>
      </c>
      <c r="S511" s="7">
        <v>56</v>
      </c>
      <c r="T511" s="199"/>
      <c r="U511" s="199"/>
      <c r="V511" s="201"/>
      <c r="W511" s="202"/>
      <c r="X511" s="359"/>
      <c r="Y511" s="353">
        <f>G510</f>
        <v>6</v>
      </c>
      <c r="Z511" s="199"/>
      <c r="AA511" s="204"/>
      <c r="AB511" s="205"/>
      <c r="AC511" s="201"/>
    </row>
    <row r="512" spans="1:29" x14ac:dyDescent="0.25">
      <c r="A512" s="331">
        <v>45915</v>
      </c>
      <c r="B512" s="13">
        <v>4</v>
      </c>
      <c r="C512" s="124" t="s">
        <v>704</v>
      </c>
      <c r="D512" s="13" t="s">
        <v>192</v>
      </c>
      <c r="E512" s="14">
        <v>2.46</v>
      </c>
      <c r="F512" s="14"/>
      <c r="G512" s="375">
        <v>3</v>
      </c>
      <c r="H512" s="375">
        <v>2</v>
      </c>
      <c r="I512" s="16">
        <v>2.23</v>
      </c>
      <c r="J512" s="16"/>
      <c r="K512" s="124" t="s">
        <v>701</v>
      </c>
      <c r="L512" s="13" t="s">
        <v>112</v>
      </c>
      <c r="M512" s="268" t="s">
        <v>734</v>
      </c>
      <c r="N512" s="556">
        <v>21</v>
      </c>
      <c r="O512" s="557" t="s">
        <v>192</v>
      </c>
      <c r="P512" s="558" t="s">
        <v>198</v>
      </c>
      <c r="Q512" s="558" t="s">
        <v>199</v>
      </c>
      <c r="R512" s="558" t="s">
        <v>699</v>
      </c>
      <c r="S512" s="479">
        <v>61</v>
      </c>
      <c r="T512" s="558" t="s">
        <v>47</v>
      </c>
      <c r="U512" s="558" t="s">
        <v>43</v>
      </c>
      <c r="V512" s="559" t="s">
        <v>10</v>
      </c>
      <c r="W512" s="54">
        <v>0.27</v>
      </c>
      <c r="X512" s="361">
        <v>0.56999999999999995</v>
      </c>
      <c r="Y512" s="355" t="s">
        <v>353</v>
      </c>
      <c r="Z512" s="13" t="s">
        <v>8</v>
      </c>
      <c r="AA512" s="115" t="s">
        <v>19</v>
      </c>
      <c r="AB512" s="110" t="s">
        <v>46</v>
      </c>
      <c r="AC512" s="60" t="s">
        <v>191</v>
      </c>
    </row>
    <row r="513" spans="1:29" x14ac:dyDescent="0.25">
      <c r="A513" s="329">
        <v>45915</v>
      </c>
      <c r="B513" s="5">
        <v>4</v>
      </c>
      <c r="D513" s="5" t="s">
        <v>192</v>
      </c>
      <c r="E513" s="6">
        <v>2.46</v>
      </c>
      <c r="G513" s="362">
        <v>3</v>
      </c>
      <c r="H513" s="362">
        <v>2</v>
      </c>
      <c r="I513" s="8">
        <v>2.23</v>
      </c>
      <c r="L513" s="5" t="s">
        <v>112</v>
      </c>
      <c r="M513" s="268" t="s">
        <v>734</v>
      </c>
      <c r="N513" s="476">
        <v>29</v>
      </c>
      <c r="O513" s="477" t="s">
        <v>192</v>
      </c>
      <c r="P513" s="478" t="s">
        <v>198</v>
      </c>
      <c r="Q513" s="478" t="s">
        <v>199</v>
      </c>
      <c r="R513" s="478" t="s">
        <v>699</v>
      </c>
      <c r="S513" s="479">
        <v>61</v>
      </c>
      <c r="T513" s="478" t="s">
        <v>354</v>
      </c>
      <c r="U513" s="478" t="s">
        <v>43</v>
      </c>
      <c r="V513" s="480" t="s">
        <v>10</v>
      </c>
      <c r="W513" s="51">
        <v>0.02</v>
      </c>
      <c r="X513" s="357" t="s">
        <v>53</v>
      </c>
      <c r="Z513" s="5" t="s">
        <v>22</v>
      </c>
      <c r="AA513" s="112" t="s">
        <v>19</v>
      </c>
    </row>
    <row r="514" spans="1:29" x14ac:dyDescent="0.25">
      <c r="A514" s="329">
        <v>45915</v>
      </c>
      <c r="B514" s="5">
        <v>4</v>
      </c>
      <c r="D514" s="5" t="s">
        <v>192</v>
      </c>
      <c r="E514" s="6">
        <v>2.46</v>
      </c>
      <c r="G514" s="362">
        <v>3</v>
      </c>
      <c r="H514" s="362">
        <v>2</v>
      </c>
      <c r="I514" s="8">
        <v>2.23</v>
      </c>
      <c r="L514" s="5" t="s">
        <v>112</v>
      </c>
      <c r="M514" s="268" t="s">
        <v>734</v>
      </c>
      <c r="N514" s="476">
        <v>34</v>
      </c>
      <c r="O514" s="477" t="s">
        <v>192</v>
      </c>
      <c r="P514" s="478" t="s">
        <v>410</v>
      </c>
      <c r="Q514" s="478" t="s">
        <v>361</v>
      </c>
      <c r="R514" s="478" t="s">
        <v>684</v>
      </c>
      <c r="S514" s="479">
        <v>71</v>
      </c>
      <c r="T514" s="478" t="s">
        <v>47</v>
      </c>
      <c r="U514" s="478" t="s">
        <v>42</v>
      </c>
      <c r="V514" s="480" t="s">
        <v>10</v>
      </c>
      <c r="W514" s="51">
        <v>0.71</v>
      </c>
      <c r="X514" s="357">
        <v>0.99</v>
      </c>
      <c r="Y514" s="351" t="s">
        <v>353</v>
      </c>
      <c r="Z514" s="5" t="s">
        <v>8</v>
      </c>
      <c r="AA514" s="112" t="s">
        <v>24</v>
      </c>
      <c r="AB514" s="108" t="s">
        <v>280</v>
      </c>
      <c r="AC514" s="57" t="s">
        <v>281</v>
      </c>
    </row>
    <row r="515" spans="1:29" x14ac:dyDescent="0.25">
      <c r="A515" s="329">
        <v>45915</v>
      </c>
      <c r="B515" s="5">
        <v>4</v>
      </c>
      <c r="D515" s="5" t="s">
        <v>192</v>
      </c>
      <c r="E515" s="6">
        <v>2.46</v>
      </c>
      <c r="G515" s="362">
        <v>3</v>
      </c>
      <c r="H515" s="362">
        <v>2</v>
      </c>
      <c r="I515" s="8">
        <v>2.23</v>
      </c>
      <c r="L515" s="5" t="s">
        <v>112</v>
      </c>
      <c r="M515" s="268" t="s">
        <v>734</v>
      </c>
      <c r="N515" s="345">
        <v>45</v>
      </c>
      <c r="O515" s="38" t="s">
        <v>112</v>
      </c>
      <c r="P515" s="5" t="s">
        <v>114</v>
      </c>
      <c r="Q515" s="5" t="s">
        <v>115</v>
      </c>
      <c r="R515" s="5" t="s">
        <v>718</v>
      </c>
      <c r="S515" s="481">
        <v>94</v>
      </c>
      <c r="T515" s="5" t="s">
        <v>41</v>
      </c>
      <c r="U515" s="5" t="s">
        <v>43</v>
      </c>
      <c r="V515" s="57" t="s">
        <v>7</v>
      </c>
      <c r="W515" s="51">
        <v>0.79</v>
      </c>
      <c r="X515" s="357">
        <v>0.81</v>
      </c>
      <c r="Y515" s="351" t="s">
        <v>353</v>
      </c>
      <c r="Z515" s="5" t="s">
        <v>8</v>
      </c>
      <c r="AA515" s="112" t="s">
        <v>34</v>
      </c>
    </row>
    <row r="516" spans="1:29" x14ac:dyDescent="0.25">
      <c r="A516" s="329">
        <v>45915</v>
      </c>
      <c r="B516" s="5">
        <v>4</v>
      </c>
      <c r="D516" s="5" t="s">
        <v>192</v>
      </c>
      <c r="E516" s="6">
        <v>2.46</v>
      </c>
      <c r="G516" s="362">
        <v>3</v>
      </c>
      <c r="H516" s="362">
        <v>2</v>
      </c>
      <c r="I516" s="8">
        <v>2.23</v>
      </c>
      <c r="L516" s="5" t="s">
        <v>112</v>
      </c>
      <c r="M516" s="268" t="s">
        <v>734</v>
      </c>
      <c r="N516" s="345">
        <v>51</v>
      </c>
      <c r="O516" s="38" t="s">
        <v>112</v>
      </c>
      <c r="P516" s="5" t="s">
        <v>243</v>
      </c>
      <c r="Q516" s="5" t="s">
        <v>244</v>
      </c>
      <c r="R516" s="5" t="s">
        <v>717</v>
      </c>
      <c r="S516" s="459">
        <v>71</v>
      </c>
      <c r="T516" s="5" t="s">
        <v>354</v>
      </c>
      <c r="U516" s="5" t="s">
        <v>42</v>
      </c>
      <c r="V516" s="57" t="s">
        <v>10</v>
      </c>
      <c r="W516" s="51">
        <v>0.03</v>
      </c>
      <c r="X516" s="357">
        <v>0.12</v>
      </c>
      <c r="Z516" s="5" t="s">
        <v>48</v>
      </c>
      <c r="AA516" s="112" t="s">
        <v>34</v>
      </c>
    </row>
    <row r="517" spans="1:29" x14ac:dyDescent="0.25">
      <c r="A517" s="329">
        <v>45915</v>
      </c>
      <c r="B517" s="5">
        <v>4</v>
      </c>
      <c r="D517" s="5" t="s">
        <v>192</v>
      </c>
      <c r="E517" s="6">
        <v>2.46</v>
      </c>
      <c r="G517" s="362">
        <v>3</v>
      </c>
      <c r="H517" s="362">
        <v>2</v>
      </c>
      <c r="I517" s="8">
        <v>2.23</v>
      </c>
      <c r="L517" s="5" t="s">
        <v>112</v>
      </c>
      <c r="M517" s="268" t="s">
        <v>734</v>
      </c>
      <c r="N517" s="345">
        <v>57</v>
      </c>
      <c r="O517" s="38" t="s">
        <v>112</v>
      </c>
      <c r="P517" s="5" t="s">
        <v>413</v>
      </c>
      <c r="Q517" s="5" t="s">
        <v>414</v>
      </c>
      <c r="R517" s="5" t="s">
        <v>688</v>
      </c>
      <c r="S517" s="7">
        <v>65</v>
      </c>
      <c r="T517" s="5" t="s">
        <v>354</v>
      </c>
      <c r="U517" s="5" t="s">
        <v>42</v>
      </c>
      <c r="V517" s="57" t="s">
        <v>20</v>
      </c>
      <c r="W517" s="51">
        <v>0.03</v>
      </c>
      <c r="X517" s="357">
        <v>0.19</v>
      </c>
      <c r="Z517" s="5" t="s">
        <v>48</v>
      </c>
      <c r="AA517" s="112" t="s">
        <v>34</v>
      </c>
    </row>
    <row r="518" spans="1:29" x14ac:dyDescent="0.25">
      <c r="A518" s="329">
        <v>45915</v>
      </c>
      <c r="B518" s="5">
        <v>4</v>
      </c>
      <c r="D518" s="5" t="s">
        <v>192</v>
      </c>
      <c r="E518" s="6">
        <v>2.46</v>
      </c>
      <c r="G518" s="362">
        <v>3</v>
      </c>
      <c r="H518" s="362">
        <v>2</v>
      </c>
      <c r="I518" s="8">
        <v>2.23</v>
      </c>
      <c r="L518" s="5" t="s">
        <v>112</v>
      </c>
      <c r="M518" s="268" t="s">
        <v>734</v>
      </c>
      <c r="N518" s="476">
        <v>60</v>
      </c>
      <c r="O518" s="477" t="s">
        <v>192</v>
      </c>
      <c r="P518" s="478" t="s">
        <v>411</v>
      </c>
      <c r="Q518" s="478" t="s">
        <v>412</v>
      </c>
      <c r="R518" s="478" t="s">
        <v>696</v>
      </c>
      <c r="S518" s="479">
        <v>63</v>
      </c>
      <c r="T518" s="478" t="s">
        <v>354</v>
      </c>
      <c r="U518" s="478" t="s">
        <v>42</v>
      </c>
      <c r="V518" s="480" t="s">
        <v>10</v>
      </c>
      <c r="W518" s="51">
        <v>0.03</v>
      </c>
      <c r="X518" s="357" t="s">
        <v>53</v>
      </c>
      <c r="Z518" s="5" t="s">
        <v>55</v>
      </c>
      <c r="AA518" s="112" t="s">
        <v>34</v>
      </c>
    </row>
    <row r="519" spans="1:29" x14ac:dyDescent="0.25">
      <c r="A519" s="329">
        <v>45915</v>
      </c>
      <c r="B519" s="5">
        <v>4</v>
      </c>
      <c r="D519" s="5" t="s">
        <v>192</v>
      </c>
      <c r="E519" s="6">
        <v>2.46</v>
      </c>
      <c r="G519" s="362">
        <v>3</v>
      </c>
      <c r="H519" s="362">
        <v>2</v>
      </c>
      <c r="I519" s="8">
        <v>2.23</v>
      </c>
      <c r="L519" s="5" t="s">
        <v>112</v>
      </c>
      <c r="M519" s="268" t="s">
        <v>734</v>
      </c>
      <c r="N519" s="345">
        <v>65</v>
      </c>
      <c r="O519" s="38" t="s">
        <v>112</v>
      </c>
      <c r="P519" s="5" t="s">
        <v>114</v>
      </c>
      <c r="Q519" s="5" t="s">
        <v>115</v>
      </c>
      <c r="R519" s="5" t="s">
        <v>718</v>
      </c>
      <c r="S519" s="479">
        <v>94</v>
      </c>
      <c r="T519" s="5" t="s">
        <v>47</v>
      </c>
      <c r="U519" s="5" t="s">
        <v>45</v>
      </c>
      <c r="V519" s="57" t="s">
        <v>20</v>
      </c>
      <c r="W519" s="51">
        <v>0.13</v>
      </c>
      <c r="X519" s="357" t="s">
        <v>53</v>
      </c>
      <c r="Z519" s="5" t="s">
        <v>52</v>
      </c>
      <c r="AA519" s="112" t="s">
        <v>34</v>
      </c>
    </row>
    <row r="520" spans="1:29" x14ac:dyDescent="0.25">
      <c r="A520" s="329">
        <v>45915</v>
      </c>
      <c r="B520" s="5">
        <v>4</v>
      </c>
      <c r="D520" s="5" t="s">
        <v>192</v>
      </c>
      <c r="E520" s="6">
        <v>2.46</v>
      </c>
      <c r="G520" s="362">
        <v>3</v>
      </c>
      <c r="H520" s="362">
        <v>2</v>
      </c>
      <c r="I520" s="8">
        <v>2.23</v>
      </c>
      <c r="L520" s="5" t="s">
        <v>112</v>
      </c>
      <c r="M520" s="268" t="s">
        <v>734</v>
      </c>
      <c r="N520" s="345">
        <v>65</v>
      </c>
      <c r="O520" s="38" t="s">
        <v>112</v>
      </c>
      <c r="P520" s="5" t="s">
        <v>114</v>
      </c>
      <c r="Q520" s="5" t="s">
        <v>115</v>
      </c>
      <c r="R520" s="5" t="s">
        <v>718</v>
      </c>
      <c r="S520" s="479">
        <v>94</v>
      </c>
      <c r="T520" s="5" t="s">
        <v>47</v>
      </c>
      <c r="U520" s="5" t="s">
        <v>45</v>
      </c>
      <c r="V520" s="57" t="s">
        <v>10</v>
      </c>
      <c r="W520" s="51">
        <v>0.14000000000000001</v>
      </c>
      <c r="X520" s="357">
        <v>0.62</v>
      </c>
      <c r="Y520" s="351" t="s">
        <v>353</v>
      </c>
      <c r="Z520" s="5" t="s">
        <v>8</v>
      </c>
      <c r="AA520" s="112" t="s">
        <v>189</v>
      </c>
      <c r="AB520" s="108" t="s">
        <v>100</v>
      </c>
      <c r="AC520" s="57" t="s">
        <v>664</v>
      </c>
    </row>
    <row r="521" spans="1:29" x14ac:dyDescent="0.25">
      <c r="A521" s="329">
        <v>45915</v>
      </c>
      <c r="B521" s="5">
        <v>4</v>
      </c>
      <c r="D521" s="5" t="s">
        <v>192</v>
      </c>
      <c r="E521" s="6">
        <v>2.46</v>
      </c>
      <c r="G521" s="362">
        <v>3</v>
      </c>
      <c r="H521" s="362">
        <v>2</v>
      </c>
      <c r="I521" s="8">
        <v>2.23</v>
      </c>
      <c r="L521" s="5" t="s">
        <v>112</v>
      </c>
      <c r="M521" s="268" t="s">
        <v>734</v>
      </c>
      <c r="N521" s="476">
        <v>69</v>
      </c>
      <c r="O521" s="477" t="s">
        <v>192</v>
      </c>
      <c r="P521" s="478" t="s">
        <v>194</v>
      </c>
      <c r="Q521" s="478" t="s">
        <v>195</v>
      </c>
      <c r="R521" s="478" t="s">
        <v>712</v>
      </c>
      <c r="S521" s="479">
        <v>68</v>
      </c>
      <c r="T521" s="478" t="s">
        <v>47</v>
      </c>
      <c r="U521" s="478" t="s">
        <v>45</v>
      </c>
      <c r="V521" s="480" t="s">
        <v>33</v>
      </c>
      <c r="W521" s="51">
        <v>0.45</v>
      </c>
      <c r="X521" s="357" t="s">
        <v>53</v>
      </c>
      <c r="Y521" s="351" t="s">
        <v>353</v>
      </c>
      <c r="Z521" s="5" t="s">
        <v>17</v>
      </c>
      <c r="AA521" s="112" t="s">
        <v>189</v>
      </c>
    </row>
    <row r="522" spans="1:29" x14ac:dyDescent="0.25">
      <c r="A522" s="329">
        <v>45915</v>
      </c>
      <c r="B522" s="5">
        <v>4</v>
      </c>
      <c r="D522" s="5" t="s">
        <v>192</v>
      </c>
      <c r="E522" s="6">
        <v>2.46</v>
      </c>
      <c r="G522" s="362">
        <v>3</v>
      </c>
      <c r="H522" s="362">
        <v>2</v>
      </c>
      <c r="I522" s="8">
        <v>2.23</v>
      </c>
      <c r="L522" s="5" t="s">
        <v>112</v>
      </c>
      <c r="M522" s="268" t="s">
        <v>734</v>
      </c>
      <c r="N522" s="476">
        <v>81</v>
      </c>
      <c r="O522" s="477" t="s">
        <v>192</v>
      </c>
      <c r="P522" s="478" t="s">
        <v>196</v>
      </c>
      <c r="Q522" s="478" t="s">
        <v>75</v>
      </c>
      <c r="R522" s="478" t="s">
        <v>696</v>
      </c>
      <c r="S522" s="481">
        <v>66</v>
      </c>
      <c r="T522" s="478" t="s">
        <v>41</v>
      </c>
      <c r="U522" s="478" t="s">
        <v>42</v>
      </c>
      <c r="V522" s="480" t="s">
        <v>7</v>
      </c>
      <c r="W522" s="51">
        <v>0.79</v>
      </c>
      <c r="X522" s="357">
        <v>0.63</v>
      </c>
      <c r="Y522" s="351" t="s">
        <v>353</v>
      </c>
      <c r="Z522" s="5" t="s">
        <v>8</v>
      </c>
      <c r="AA522" s="112" t="s">
        <v>180</v>
      </c>
    </row>
    <row r="523" spans="1:29" x14ac:dyDescent="0.25">
      <c r="A523" s="329">
        <v>45915</v>
      </c>
      <c r="B523" s="5">
        <v>4</v>
      </c>
      <c r="D523" s="5" t="s">
        <v>192</v>
      </c>
      <c r="E523" s="6">
        <v>2.46</v>
      </c>
      <c r="G523" s="362">
        <v>3</v>
      </c>
      <c r="H523" s="362">
        <v>2</v>
      </c>
      <c r="I523" s="8">
        <v>2.23</v>
      </c>
      <c r="L523" s="5" t="s">
        <v>112</v>
      </c>
      <c r="M523" s="268" t="s">
        <v>734</v>
      </c>
      <c r="N523" s="345">
        <v>84</v>
      </c>
      <c r="O523" s="38" t="s">
        <v>112</v>
      </c>
      <c r="P523" s="5" t="s">
        <v>114</v>
      </c>
      <c r="Q523" s="5" t="s">
        <v>115</v>
      </c>
      <c r="R523" s="5" t="s">
        <v>718</v>
      </c>
      <c r="S523" s="481">
        <v>94</v>
      </c>
      <c r="T523" s="5" t="s">
        <v>41</v>
      </c>
      <c r="U523" s="5" t="s">
        <v>43</v>
      </c>
      <c r="V523" s="57" t="s">
        <v>20</v>
      </c>
      <c r="W523" s="51">
        <v>0.06</v>
      </c>
      <c r="X523" s="357" t="s">
        <v>53</v>
      </c>
      <c r="Z523" s="5" t="s">
        <v>22</v>
      </c>
      <c r="AA523" s="112" t="s">
        <v>180</v>
      </c>
    </row>
    <row r="524" spans="1:29" x14ac:dyDescent="0.25">
      <c r="A524" s="329">
        <v>45915</v>
      </c>
      <c r="B524" s="5">
        <v>4</v>
      </c>
      <c r="D524" s="5" t="s">
        <v>192</v>
      </c>
      <c r="E524" s="6">
        <v>2.46</v>
      </c>
      <c r="G524" s="362">
        <v>3</v>
      </c>
      <c r="H524" s="362">
        <v>2</v>
      </c>
      <c r="I524" s="8">
        <v>2.23</v>
      </c>
      <c r="L524" s="5" t="s">
        <v>112</v>
      </c>
      <c r="M524" s="268" t="s">
        <v>734</v>
      </c>
      <c r="N524" s="345" t="s">
        <v>415</v>
      </c>
      <c r="O524" s="38" t="s">
        <v>112</v>
      </c>
      <c r="P524" s="5" t="s">
        <v>416</v>
      </c>
      <c r="Q524" s="5" t="s">
        <v>417</v>
      </c>
      <c r="R524" s="5" t="s">
        <v>696</v>
      </c>
      <c r="S524" s="481">
        <v>64</v>
      </c>
      <c r="T524" s="5" t="s">
        <v>47</v>
      </c>
      <c r="U524" s="5" t="s">
        <v>43</v>
      </c>
      <c r="V524" s="57" t="s">
        <v>10</v>
      </c>
      <c r="W524" s="51">
        <v>0.1</v>
      </c>
      <c r="X524" s="357" t="s">
        <v>53</v>
      </c>
      <c r="Z524" s="5" t="s">
        <v>52</v>
      </c>
      <c r="AA524" s="112" t="s">
        <v>180</v>
      </c>
    </row>
    <row r="525" spans="1:29" ht="15.75" thickBot="1" x14ac:dyDescent="0.3">
      <c r="A525" s="330">
        <v>45915</v>
      </c>
      <c r="B525" s="9">
        <v>4</v>
      </c>
      <c r="C525" s="122"/>
      <c r="D525" s="9" t="s">
        <v>192</v>
      </c>
      <c r="E525" s="10">
        <v>2.46</v>
      </c>
      <c r="F525" s="10"/>
      <c r="G525" s="383">
        <v>3</v>
      </c>
      <c r="H525" s="383">
        <v>2</v>
      </c>
      <c r="I525" s="12">
        <v>2.23</v>
      </c>
      <c r="J525" s="12"/>
      <c r="K525" s="122"/>
      <c r="L525" s="9" t="s">
        <v>112</v>
      </c>
      <c r="M525" s="268" t="s">
        <v>734</v>
      </c>
      <c r="N525" s="346" t="s">
        <v>415</v>
      </c>
      <c r="O525" s="454" t="s">
        <v>112</v>
      </c>
      <c r="P525" s="9" t="s">
        <v>365</v>
      </c>
      <c r="Q525" s="9" t="s">
        <v>418</v>
      </c>
      <c r="R525" s="9" t="s">
        <v>713</v>
      </c>
      <c r="S525" s="479">
        <v>60</v>
      </c>
      <c r="T525" s="9" t="s">
        <v>41</v>
      </c>
      <c r="U525" s="9" t="s">
        <v>42</v>
      </c>
      <c r="V525" s="58" t="s">
        <v>10</v>
      </c>
      <c r="W525" s="52">
        <v>0.1</v>
      </c>
      <c r="X525" s="358" t="s">
        <v>53</v>
      </c>
      <c r="Y525" s="352"/>
      <c r="Z525" s="9" t="s">
        <v>52</v>
      </c>
      <c r="AA525" s="113" t="s">
        <v>180</v>
      </c>
      <c r="AB525" s="109"/>
      <c r="AC525" s="58"/>
    </row>
    <row r="526" spans="1:29" ht="15.75" thickBot="1" x14ac:dyDescent="0.3">
      <c r="A526" s="326">
        <v>45915</v>
      </c>
      <c r="B526" s="207">
        <v>4</v>
      </c>
      <c r="C526" s="208"/>
      <c r="D526" s="207" t="s">
        <v>192</v>
      </c>
      <c r="E526" s="209">
        <v>2.46</v>
      </c>
      <c r="F526" s="209"/>
      <c r="G526" s="460">
        <v>3</v>
      </c>
      <c r="H526" s="460">
        <v>2</v>
      </c>
      <c r="I526" s="211">
        <v>2.23</v>
      </c>
      <c r="J526" s="211"/>
      <c r="K526" s="208"/>
      <c r="L526" s="207" t="s">
        <v>112</v>
      </c>
      <c r="M526" s="235"/>
      <c r="N526" s="347"/>
      <c r="O526" s="343" t="s">
        <v>192</v>
      </c>
      <c r="P526" s="199" t="s">
        <v>723</v>
      </c>
      <c r="Q526" s="199" t="s">
        <v>724</v>
      </c>
      <c r="R526" s="199" t="s">
        <v>707</v>
      </c>
      <c r="S526" s="7">
        <v>75</v>
      </c>
      <c r="T526" s="199"/>
      <c r="U526" s="199"/>
      <c r="V526" s="201"/>
      <c r="W526" s="202"/>
      <c r="X526" s="359"/>
      <c r="Y526" s="353">
        <f>H526</f>
        <v>2</v>
      </c>
      <c r="Z526" s="199"/>
      <c r="AA526" s="204"/>
      <c r="AB526" s="205"/>
      <c r="AC526" s="201"/>
    </row>
    <row r="527" spans="1:29" ht="15.75" thickBot="1" x14ac:dyDescent="0.3">
      <c r="A527" s="326">
        <v>45915</v>
      </c>
      <c r="B527" s="207">
        <v>4</v>
      </c>
      <c r="C527" s="208"/>
      <c r="D527" s="207" t="s">
        <v>192</v>
      </c>
      <c r="E527" s="209">
        <v>2.46</v>
      </c>
      <c r="F527" s="209"/>
      <c r="G527" s="460">
        <v>3</v>
      </c>
      <c r="H527" s="460">
        <v>2</v>
      </c>
      <c r="I527" s="211">
        <v>2.23</v>
      </c>
      <c r="J527" s="211"/>
      <c r="K527" s="208"/>
      <c r="L527" s="207" t="s">
        <v>112</v>
      </c>
      <c r="M527" s="235"/>
      <c r="N527" s="347"/>
      <c r="O527" s="343" t="s">
        <v>112</v>
      </c>
      <c r="P527" s="199" t="s">
        <v>60</v>
      </c>
      <c r="Q527" s="199" t="s">
        <v>464</v>
      </c>
      <c r="R527" s="199" t="s">
        <v>707</v>
      </c>
      <c r="S527" s="479">
        <v>46</v>
      </c>
      <c r="T527" s="199"/>
      <c r="U527" s="199"/>
      <c r="V527" s="201"/>
      <c r="W527" s="202"/>
      <c r="X527" s="359"/>
      <c r="Y527" s="353">
        <f>G526</f>
        <v>3</v>
      </c>
      <c r="Z527" s="199"/>
      <c r="AA527" s="204"/>
      <c r="AB527" s="205"/>
      <c r="AC527" s="201"/>
    </row>
    <row r="528" spans="1:29" x14ac:dyDescent="0.25">
      <c r="A528" s="331">
        <v>45919</v>
      </c>
      <c r="B528" s="13">
        <v>5</v>
      </c>
      <c r="C528" s="124" t="s">
        <v>693</v>
      </c>
      <c r="D528" s="13" t="s">
        <v>209</v>
      </c>
      <c r="E528" s="14">
        <v>2.25</v>
      </c>
      <c r="F528" s="14"/>
      <c r="G528" s="375">
        <v>3</v>
      </c>
      <c r="H528" s="375">
        <v>1</v>
      </c>
      <c r="I528" s="16">
        <v>0.67</v>
      </c>
      <c r="J528" s="16"/>
      <c r="K528" s="124" t="s">
        <v>697</v>
      </c>
      <c r="L528" s="13" t="s">
        <v>146</v>
      </c>
      <c r="M528" s="47"/>
      <c r="N528" s="556">
        <v>5</v>
      </c>
      <c r="O528" s="557" t="s">
        <v>209</v>
      </c>
      <c r="P528" s="558" t="s">
        <v>220</v>
      </c>
      <c r="Q528" s="558" t="s">
        <v>221</v>
      </c>
      <c r="R528" s="558" t="s">
        <v>684</v>
      </c>
      <c r="S528" s="479">
        <v>82</v>
      </c>
      <c r="T528" s="558" t="s">
        <v>41</v>
      </c>
      <c r="U528" s="558" t="s">
        <v>42</v>
      </c>
      <c r="V528" s="559" t="s">
        <v>540</v>
      </c>
      <c r="W528" s="54">
        <v>7.0000000000000007E-2</v>
      </c>
      <c r="X528" s="361">
        <v>0.51</v>
      </c>
      <c r="Y528" s="355"/>
      <c r="Z528" s="13" t="s">
        <v>48</v>
      </c>
      <c r="AA528" s="115" t="s">
        <v>28</v>
      </c>
      <c r="AB528" s="110"/>
      <c r="AC528" s="60"/>
    </row>
    <row r="529" spans="1:29" x14ac:dyDescent="0.25">
      <c r="A529" s="329">
        <v>45919</v>
      </c>
      <c r="B529" s="5">
        <v>5</v>
      </c>
      <c r="D529" s="5" t="s">
        <v>209</v>
      </c>
      <c r="E529" s="6">
        <v>2.25</v>
      </c>
      <c r="G529" s="362">
        <v>3</v>
      </c>
      <c r="H529" s="362">
        <v>1</v>
      </c>
      <c r="I529" s="8">
        <v>0.67</v>
      </c>
      <c r="L529" s="5" t="s">
        <v>146</v>
      </c>
      <c r="N529" s="476">
        <v>7</v>
      </c>
      <c r="O529" s="477" t="s">
        <v>209</v>
      </c>
      <c r="P529" s="478" t="s">
        <v>220</v>
      </c>
      <c r="Q529" s="478" t="s">
        <v>221</v>
      </c>
      <c r="R529" s="478" t="s">
        <v>684</v>
      </c>
      <c r="S529" s="479">
        <v>82</v>
      </c>
      <c r="T529" s="478" t="s">
        <v>41</v>
      </c>
      <c r="U529" s="478" t="s">
        <v>42</v>
      </c>
      <c r="V529" s="480" t="s">
        <v>10</v>
      </c>
      <c r="W529" s="51">
        <v>0.18</v>
      </c>
      <c r="X529" s="357">
        <v>0.79</v>
      </c>
      <c r="Z529" s="5" t="s">
        <v>8</v>
      </c>
      <c r="AA529" s="112" t="s">
        <v>19</v>
      </c>
      <c r="AB529" s="108" t="s">
        <v>222</v>
      </c>
      <c r="AC529" s="57" t="s">
        <v>665</v>
      </c>
    </row>
    <row r="530" spans="1:29" x14ac:dyDescent="0.25">
      <c r="A530" s="329">
        <v>45919</v>
      </c>
      <c r="B530" s="5">
        <v>5</v>
      </c>
      <c r="D530" s="5" t="s">
        <v>209</v>
      </c>
      <c r="E530" s="6">
        <v>2.25</v>
      </c>
      <c r="G530" s="362">
        <v>3</v>
      </c>
      <c r="H530" s="362">
        <v>1</v>
      </c>
      <c r="I530" s="8">
        <v>0.67</v>
      </c>
      <c r="L530" s="5" t="s">
        <v>146</v>
      </c>
      <c r="N530" s="345">
        <v>13</v>
      </c>
      <c r="O530" s="38" t="s">
        <v>146</v>
      </c>
      <c r="P530" s="5" t="s">
        <v>153</v>
      </c>
      <c r="Q530" s="5" t="s">
        <v>154</v>
      </c>
      <c r="R530" s="5" t="s">
        <v>695</v>
      </c>
      <c r="S530" s="479">
        <v>79</v>
      </c>
      <c r="T530" s="5" t="s">
        <v>41</v>
      </c>
      <c r="U530" s="5" t="s">
        <v>43</v>
      </c>
      <c r="V530" s="57" t="s">
        <v>10</v>
      </c>
      <c r="W530" s="51">
        <v>0.08</v>
      </c>
      <c r="X530" s="357">
        <v>0.54</v>
      </c>
      <c r="Z530" s="5" t="s">
        <v>8</v>
      </c>
      <c r="AA530" s="112" t="s">
        <v>51</v>
      </c>
      <c r="AB530" s="108" t="s">
        <v>274</v>
      </c>
      <c r="AC530" s="57" t="s">
        <v>275</v>
      </c>
    </row>
    <row r="531" spans="1:29" x14ac:dyDescent="0.25">
      <c r="A531" s="329">
        <v>45919</v>
      </c>
      <c r="B531" s="5">
        <v>5</v>
      </c>
      <c r="D531" s="5" t="s">
        <v>209</v>
      </c>
      <c r="E531" s="6">
        <v>2.25</v>
      </c>
      <c r="G531" s="362">
        <v>3</v>
      </c>
      <c r="H531" s="362">
        <v>1</v>
      </c>
      <c r="I531" s="8">
        <v>0.67</v>
      </c>
      <c r="L531" s="5" t="s">
        <v>146</v>
      </c>
      <c r="N531" s="476">
        <v>27</v>
      </c>
      <c r="O531" s="477" t="s">
        <v>209</v>
      </c>
      <c r="P531" s="478" t="s">
        <v>53</v>
      </c>
      <c r="Q531" s="478" t="s">
        <v>395</v>
      </c>
      <c r="R531" s="478" t="s">
        <v>686</v>
      </c>
      <c r="S531" s="479">
        <v>73</v>
      </c>
      <c r="T531" s="478" t="s">
        <v>41</v>
      </c>
      <c r="U531" s="478" t="s">
        <v>43</v>
      </c>
      <c r="V531" s="480" t="s">
        <v>10</v>
      </c>
      <c r="W531" s="51">
        <v>0.16</v>
      </c>
      <c r="X531" s="357" t="s">
        <v>53</v>
      </c>
      <c r="Z531" s="5" t="s">
        <v>52</v>
      </c>
      <c r="AA531" s="112" t="s">
        <v>51</v>
      </c>
    </row>
    <row r="532" spans="1:29" x14ac:dyDescent="0.25">
      <c r="A532" s="329">
        <v>45919</v>
      </c>
      <c r="B532" s="5">
        <v>5</v>
      </c>
      <c r="D532" s="5" t="s">
        <v>209</v>
      </c>
      <c r="E532" s="6">
        <v>2.25</v>
      </c>
      <c r="G532" s="362">
        <v>3</v>
      </c>
      <c r="H532" s="362">
        <v>1</v>
      </c>
      <c r="I532" s="8">
        <v>0.67</v>
      </c>
      <c r="L532" s="5" t="s">
        <v>146</v>
      </c>
      <c r="N532" s="345">
        <v>37</v>
      </c>
      <c r="O532" s="38" t="s">
        <v>146</v>
      </c>
      <c r="P532" s="5" t="s">
        <v>241</v>
      </c>
      <c r="Q532" s="5" t="s">
        <v>284</v>
      </c>
      <c r="R532" s="5" t="s">
        <v>695</v>
      </c>
      <c r="S532" s="7">
        <v>62</v>
      </c>
      <c r="T532" s="5" t="s">
        <v>47</v>
      </c>
      <c r="U532" s="5" t="s">
        <v>42</v>
      </c>
      <c r="V532" s="57" t="s">
        <v>20</v>
      </c>
      <c r="W532" s="51">
        <v>0.06</v>
      </c>
      <c r="X532" s="357">
        <v>0.12</v>
      </c>
      <c r="Z532" s="5" t="s">
        <v>48</v>
      </c>
      <c r="AA532" s="112" t="s">
        <v>51</v>
      </c>
    </row>
    <row r="533" spans="1:29" x14ac:dyDescent="0.25">
      <c r="A533" s="329">
        <v>45919</v>
      </c>
      <c r="B533" s="5">
        <v>5</v>
      </c>
      <c r="D533" s="5" t="s">
        <v>209</v>
      </c>
      <c r="E533" s="6">
        <v>2.25</v>
      </c>
      <c r="G533" s="362">
        <v>3</v>
      </c>
      <c r="H533" s="362">
        <v>1</v>
      </c>
      <c r="I533" s="8">
        <v>0.67</v>
      </c>
      <c r="L533" s="5" t="s">
        <v>146</v>
      </c>
      <c r="N533" s="345">
        <v>45</v>
      </c>
      <c r="O533" s="38" t="s">
        <v>146</v>
      </c>
      <c r="P533" s="5" t="s">
        <v>241</v>
      </c>
      <c r="Q533" s="5" t="s">
        <v>284</v>
      </c>
      <c r="R533" s="5" t="s">
        <v>695</v>
      </c>
      <c r="S533" s="7">
        <v>62</v>
      </c>
      <c r="T533" s="5" t="s">
        <v>41</v>
      </c>
      <c r="U533" s="5" t="s">
        <v>42</v>
      </c>
      <c r="V533" s="57" t="s">
        <v>540</v>
      </c>
      <c r="W533" s="51">
        <v>0.15</v>
      </c>
      <c r="X533" s="357" t="s">
        <v>53</v>
      </c>
      <c r="Z533" s="5" t="s">
        <v>52</v>
      </c>
      <c r="AA533" s="112" t="s">
        <v>51</v>
      </c>
    </row>
    <row r="534" spans="1:29" x14ac:dyDescent="0.25">
      <c r="A534" s="329">
        <v>45919</v>
      </c>
      <c r="B534" s="5">
        <v>5</v>
      </c>
      <c r="D534" s="5" t="s">
        <v>209</v>
      </c>
      <c r="E534" s="6">
        <v>2.25</v>
      </c>
      <c r="G534" s="362">
        <v>3</v>
      </c>
      <c r="H534" s="362">
        <v>1</v>
      </c>
      <c r="I534" s="8">
        <v>0.67</v>
      </c>
      <c r="L534" s="5" t="s">
        <v>146</v>
      </c>
      <c r="N534" s="345" t="s">
        <v>68</v>
      </c>
      <c r="O534" s="38" t="s">
        <v>146</v>
      </c>
      <c r="P534" s="5" t="s">
        <v>135</v>
      </c>
      <c r="Q534" s="5" t="s">
        <v>273</v>
      </c>
      <c r="R534" s="5" t="s">
        <v>689</v>
      </c>
      <c r="S534" s="7">
        <v>66</v>
      </c>
      <c r="T534" s="5" t="s">
        <v>47</v>
      </c>
      <c r="U534" s="5" t="s">
        <v>45</v>
      </c>
      <c r="V534" s="57" t="s">
        <v>20</v>
      </c>
      <c r="W534" s="51">
        <v>7.0000000000000007E-2</v>
      </c>
      <c r="X534" s="357" t="s">
        <v>53</v>
      </c>
      <c r="Z534" s="5" t="s">
        <v>55</v>
      </c>
      <c r="AA534" s="112" t="s">
        <v>51</v>
      </c>
    </row>
    <row r="535" spans="1:29" x14ac:dyDescent="0.25">
      <c r="A535" s="329">
        <v>45919</v>
      </c>
      <c r="B535" s="5">
        <v>5</v>
      </c>
      <c r="D535" s="5" t="s">
        <v>209</v>
      </c>
      <c r="E535" s="6">
        <v>2.25</v>
      </c>
      <c r="G535" s="362">
        <v>3</v>
      </c>
      <c r="H535" s="362">
        <v>1</v>
      </c>
      <c r="I535" s="8">
        <v>0.67</v>
      </c>
      <c r="L535" s="5" t="s">
        <v>146</v>
      </c>
      <c r="N535" s="345" t="s">
        <v>428</v>
      </c>
      <c r="O535" s="38" t="s">
        <v>146</v>
      </c>
      <c r="P535" s="5" t="s">
        <v>159</v>
      </c>
      <c r="Q535" s="5" t="s">
        <v>160</v>
      </c>
      <c r="R535" s="5" t="s">
        <v>684</v>
      </c>
      <c r="S535" s="479">
        <v>68</v>
      </c>
      <c r="T535" s="5" t="s">
        <v>41</v>
      </c>
      <c r="U535" s="5" t="s">
        <v>45</v>
      </c>
      <c r="V535" s="57" t="s">
        <v>10</v>
      </c>
      <c r="W535" s="51">
        <v>7.0000000000000007E-2</v>
      </c>
      <c r="X535" s="357" t="s">
        <v>53</v>
      </c>
      <c r="Z535" s="5" t="s">
        <v>16</v>
      </c>
      <c r="AA535" s="112" t="s">
        <v>51</v>
      </c>
    </row>
    <row r="536" spans="1:29" x14ac:dyDescent="0.25">
      <c r="A536" s="329">
        <v>45919</v>
      </c>
      <c r="B536" s="5">
        <v>5</v>
      </c>
      <c r="D536" s="5" t="s">
        <v>209</v>
      </c>
      <c r="E536" s="6">
        <v>2.25</v>
      </c>
      <c r="G536" s="362">
        <v>3</v>
      </c>
      <c r="H536" s="362">
        <v>1</v>
      </c>
      <c r="I536" s="8">
        <v>0.67</v>
      </c>
      <c r="L536" s="5" t="s">
        <v>146</v>
      </c>
      <c r="N536" s="345">
        <v>49</v>
      </c>
      <c r="O536" s="38" t="s">
        <v>146</v>
      </c>
      <c r="P536" s="5" t="s">
        <v>176</v>
      </c>
      <c r="Q536" s="5" t="s">
        <v>423</v>
      </c>
      <c r="R536" s="5" t="s">
        <v>707</v>
      </c>
      <c r="S536" s="7">
        <v>54</v>
      </c>
      <c r="T536" s="5" t="s">
        <v>47</v>
      </c>
      <c r="U536" s="5" t="s">
        <v>541</v>
      </c>
      <c r="V536" s="57" t="s">
        <v>20</v>
      </c>
      <c r="W536" s="51" t="s">
        <v>53</v>
      </c>
      <c r="X536" s="357" t="s">
        <v>53</v>
      </c>
      <c r="Z536" s="130" t="s">
        <v>23</v>
      </c>
      <c r="AA536" s="134" t="s">
        <v>34</v>
      </c>
    </row>
    <row r="537" spans="1:29" x14ac:dyDescent="0.25">
      <c r="A537" s="329">
        <v>45919</v>
      </c>
      <c r="B537" s="5">
        <v>5</v>
      </c>
      <c r="D537" s="5" t="s">
        <v>209</v>
      </c>
      <c r="E537" s="6">
        <v>2.25</v>
      </c>
      <c r="G537" s="362">
        <v>3</v>
      </c>
      <c r="H537" s="362">
        <v>1</v>
      </c>
      <c r="I537" s="8">
        <v>0.67</v>
      </c>
      <c r="L537" s="5" t="s">
        <v>146</v>
      </c>
      <c r="N537" s="476">
        <v>53</v>
      </c>
      <c r="O537" s="477" t="s">
        <v>209</v>
      </c>
      <c r="P537" s="478" t="s">
        <v>424</v>
      </c>
      <c r="Q537" s="478" t="s">
        <v>425</v>
      </c>
      <c r="R537" s="478" t="s">
        <v>685</v>
      </c>
      <c r="S537" s="479">
        <v>82</v>
      </c>
      <c r="T537" s="478" t="s">
        <v>41</v>
      </c>
      <c r="U537" s="478" t="s">
        <v>42</v>
      </c>
      <c r="V537" s="480" t="s">
        <v>18</v>
      </c>
      <c r="W537" s="51">
        <v>0.1</v>
      </c>
      <c r="X537" s="357" t="s">
        <v>53</v>
      </c>
      <c r="Z537" s="5" t="s">
        <v>52</v>
      </c>
      <c r="AA537" s="112" t="s">
        <v>34</v>
      </c>
    </row>
    <row r="538" spans="1:29" x14ac:dyDescent="0.25">
      <c r="A538" s="329">
        <v>45919</v>
      </c>
      <c r="B538" s="5">
        <v>5</v>
      </c>
      <c r="D538" s="5" t="s">
        <v>209</v>
      </c>
      <c r="E538" s="6">
        <v>2.25</v>
      </c>
      <c r="G538" s="362">
        <v>3</v>
      </c>
      <c r="H538" s="362">
        <v>1</v>
      </c>
      <c r="I538" s="8">
        <v>0.67</v>
      </c>
      <c r="L538" s="5" t="s">
        <v>146</v>
      </c>
      <c r="N538" s="476">
        <v>53</v>
      </c>
      <c r="O538" s="477" t="s">
        <v>209</v>
      </c>
      <c r="P538" s="478" t="s">
        <v>222</v>
      </c>
      <c r="Q538" s="478" t="s">
        <v>223</v>
      </c>
      <c r="R538" s="478" t="s">
        <v>699</v>
      </c>
      <c r="S538" s="479">
        <v>81</v>
      </c>
      <c r="T538" s="478" t="s">
        <v>41</v>
      </c>
      <c r="U538" s="478" t="s">
        <v>43</v>
      </c>
      <c r="V538" s="480" t="s">
        <v>20</v>
      </c>
      <c r="W538" s="51">
        <v>0.13</v>
      </c>
      <c r="X538" s="357" t="s">
        <v>53</v>
      </c>
      <c r="Z538" s="5" t="s">
        <v>52</v>
      </c>
      <c r="AA538" s="112" t="s">
        <v>34</v>
      </c>
    </row>
    <row r="539" spans="1:29" x14ac:dyDescent="0.25">
      <c r="A539" s="329">
        <v>45919</v>
      </c>
      <c r="B539" s="5">
        <v>5</v>
      </c>
      <c r="D539" s="5" t="s">
        <v>209</v>
      </c>
      <c r="E539" s="6">
        <v>2.25</v>
      </c>
      <c r="G539" s="362">
        <v>3</v>
      </c>
      <c r="H539" s="362">
        <v>1</v>
      </c>
      <c r="I539" s="8">
        <v>0.67</v>
      </c>
      <c r="L539" s="5" t="s">
        <v>146</v>
      </c>
      <c r="N539" s="476">
        <v>57</v>
      </c>
      <c r="O539" s="477" t="s">
        <v>209</v>
      </c>
      <c r="P539" s="478" t="s">
        <v>53</v>
      </c>
      <c r="Q539" s="478" t="s">
        <v>395</v>
      </c>
      <c r="R539" s="478" t="s">
        <v>686</v>
      </c>
      <c r="S539" s="479">
        <v>73</v>
      </c>
      <c r="T539" s="478" t="s">
        <v>41</v>
      </c>
      <c r="U539" s="478" t="s">
        <v>42</v>
      </c>
      <c r="V539" s="480" t="s">
        <v>18</v>
      </c>
      <c r="W539" s="51">
        <v>0.37</v>
      </c>
      <c r="X539" s="357" t="s">
        <v>53</v>
      </c>
      <c r="Y539" s="351" t="s">
        <v>353</v>
      </c>
      <c r="Z539" s="5" t="s">
        <v>13</v>
      </c>
      <c r="AA539" s="112" t="s">
        <v>34</v>
      </c>
    </row>
    <row r="540" spans="1:29" x14ac:dyDescent="0.25">
      <c r="A540" s="329">
        <v>45919</v>
      </c>
      <c r="B540" s="5">
        <v>5</v>
      </c>
      <c r="D540" s="5" t="s">
        <v>209</v>
      </c>
      <c r="E540" s="6">
        <v>2.25</v>
      </c>
      <c r="G540" s="362">
        <v>3</v>
      </c>
      <c r="H540" s="362">
        <v>1</v>
      </c>
      <c r="I540" s="8">
        <v>0.67</v>
      </c>
      <c r="L540" s="5" t="s">
        <v>146</v>
      </c>
      <c r="N540" s="476">
        <v>59</v>
      </c>
      <c r="O540" s="477" t="s">
        <v>209</v>
      </c>
      <c r="P540" s="478" t="s">
        <v>53</v>
      </c>
      <c r="Q540" s="478" t="s">
        <v>395</v>
      </c>
      <c r="R540" s="478" t="s">
        <v>686</v>
      </c>
      <c r="S540" s="479">
        <v>73</v>
      </c>
      <c r="T540" s="478" t="s">
        <v>354</v>
      </c>
      <c r="U540" s="478" t="s">
        <v>43</v>
      </c>
      <c r="V540" s="480" t="s">
        <v>540</v>
      </c>
      <c r="W540" s="51">
        <v>0.04</v>
      </c>
      <c r="X540" s="357">
        <v>0.17</v>
      </c>
      <c r="Z540" s="5" t="s">
        <v>48</v>
      </c>
      <c r="AA540" s="112" t="s">
        <v>34</v>
      </c>
    </row>
    <row r="541" spans="1:29" x14ac:dyDescent="0.25">
      <c r="A541" s="329">
        <v>45919</v>
      </c>
      <c r="B541" s="5">
        <v>5</v>
      </c>
      <c r="D541" s="5" t="s">
        <v>209</v>
      </c>
      <c r="E541" s="6">
        <v>2.25</v>
      </c>
      <c r="G541" s="362">
        <v>3</v>
      </c>
      <c r="H541" s="362">
        <v>1</v>
      </c>
      <c r="I541" s="8">
        <v>0.67</v>
      </c>
      <c r="L541" s="5" t="s">
        <v>146</v>
      </c>
      <c r="N541" s="476">
        <v>61</v>
      </c>
      <c r="O541" s="477" t="s">
        <v>209</v>
      </c>
      <c r="P541" s="478" t="s">
        <v>53</v>
      </c>
      <c r="Q541" s="478" t="s">
        <v>426</v>
      </c>
      <c r="R541" s="478" t="s">
        <v>712</v>
      </c>
      <c r="S541" s="479">
        <v>69</v>
      </c>
      <c r="T541" s="478" t="s">
        <v>41</v>
      </c>
      <c r="U541" s="478" t="s">
        <v>45</v>
      </c>
      <c r="V541" s="480" t="s">
        <v>20</v>
      </c>
      <c r="W541" s="51">
        <v>7.0000000000000007E-2</v>
      </c>
      <c r="X541" s="357">
        <v>0.6</v>
      </c>
      <c r="Z541" s="5" t="s">
        <v>48</v>
      </c>
      <c r="AA541" s="112" t="s">
        <v>34</v>
      </c>
    </row>
    <row r="542" spans="1:29" x14ac:dyDescent="0.25">
      <c r="A542" s="329">
        <v>45919</v>
      </c>
      <c r="B542" s="5">
        <v>5</v>
      </c>
      <c r="D542" s="5" t="s">
        <v>209</v>
      </c>
      <c r="E542" s="6">
        <v>2.25</v>
      </c>
      <c r="G542" s="362">
        <v>3</v>
      </c>
      <c r="H542" s="362">
        <v>1</v>
      </c>
      <c r="I542" s="8">
        <v>0.67</v>
      </c>
      <c r="L542" s="5" t="s">
        <v>146</v>
      </c>
      <c r="N542" s="476">
        <v>61</v>
      </c>
      <c r="O542" s="477" t="s">
        <v>209</v>
      </c>
      <c r="P542" s="478" t="s">
        <v>424</v>
      </c>
      <c r="Q542" s="478" t="s">
        <v>425</v>
      </c>
      <c r="R542" s="478" t="s">
        <v>685</v>
      </c>
      <c r="S542" s="481">
        <v>82</v>
      </c>
      <c r="T542" s="478" t="s">
        <v>41</v>
      </c>
      <c r="U542" s="478" t="s">
        <v>43</v>
      </c>
      <c r="V542" s="480" t="s">
        <v>540</v>
      </c>
      <c r="W542" s="51">
        <v>0.1</v>
      </c>
      <c r="X542" s="357" t="s">
        <v>53</v>
      </c>
      <c r="Z542" s="5" t="s">
        <v>13</v>
      </c>
      <c r="AA542" s="112" t="s">
        <v>34</v>
      </c>
    </row>
    <row r="543" spans="1:29" x14ac:dyDescent="0.25">
      <c r="A543" s="329">
        <v>45919</v>
      </c>
      <c r="B543" s="5">
        <v>5</v>
      </c>
      <c r="D543" s="5" t="s">
        <v>209</v>
      </c>
      <c r="E543" s="6">
        <v>2.25</v>
      </c>
      <c r="G543" s="362">
        <v>3</v>
      </c>
      <c r="H543" s="362">
        <v>1</v>
      </c>
      <c r="I543" s="8">
        <v>0.67</v>
      </c>
      <c r="L543" s="5" t="s">
        <v>146</v>
      </c>
      <c r="N543" s="345">
        <v>63</v>
      </c>
      <c r="O543" s="38" t="s">
        <v>146</v>
      </c>
      <c r="P543" s="5" t="s">
        <v>153</v>
      </c>
      <c r="Q543" s="5" t="s">
        <v>154</v>
      </c>
      <c r="R543" s="5" t="s">
        <v>695</v>
      </c>
      <c r="S543" s="481">
        <v>79</v>
      </c>
      <c r="T543" s="5" t="s">
        <v>354</v>
      </c>
      <c r="U543" s="5" t="s">
        <v>43</v>
      </c>
      <c r="V543" s="57" t="s">
        <v>540</v>
      </c>
      <c r="W543" s="51">
        <v>0.05</v>
      </c>
      <c r="X543" s="357">
        <v>0.54</v>
      </c>
      <c r="Z543" s="5" t="s">
        <v>48</v>
      </c>
      <c r="AA543" s="112" t="s">
        <v>34</v>
      </c>
    </row>
    <row r="544" spans="1:29" x14ac:dyDescent="0.25">
      <c r="A544" s="329">
        <v>45919</v>
      </c>
      <c r="B544" s="5">
        <v>5</v>
      </c>
      <c r="D544" s="5" t="s">
        <v>209</v>
      </c>
      <c r="E544" s="6">
        <v>2.25</v>
      </c>
      <c r="G544" s="362">
        <v>3</v>
      </c>
      <c r="H544" s="362">
        <v>1</v>
      </c>
      <c r="I544" s="8">
        <v>0.67</v>
      </c>
      <c r="L544" s="5" t="s">
        <v>146</v>
      </c>
      <c r="N544" s="476">
        <v>69</v>
      </c>
      <c r="O544" s="477" t="s">
        <v>209</v>
      </c>
      <c r="P544" s="478" t="s">
        <v>241</v>
      </c>
      <c r="Q544" s="478" t="s">
        <v>396</v>
      </c>
      <c r="R544" s="478" t="s">
        <v>687</v>
      </c>
      <c r="S544" s="479">
        <v>80</v>
      </c>
      <c r="T544" s="478" t="s">
        <v>41</v>
      </c>
      <c r="U544" s="478" t="s">
        <v>42</v>
      </c>
      <c r="V544" s="480" t="s">
        <v>10</v>
      </c>
      <c r="W544" s="51">
        <v>0.16</v>
      </c>
      <c r="X544" s="357">
        <v>0.64</v>
      </c>
      <c r="Y544" s="351" t="s">
        <v>353</v>
      </c>
      <c r="Z544" s="5" t="s">
        <v>8</v>
      </c>
      <c r="AA544" s="112" t="s">
        <v>427</v>
      </c>
      <c r="AB544" s="108" t="s">
        <v>216</v>
      </c>
      <c r="AC544" s="57" t="s">
        <v>217</v>
      </c>
    </row>
    <row r="545" spans="1:29" x14ac:dyDescent="0.25">
      <c r="A545" s="329">
        <v>45919</v>
      </c>
      <c r="B545" s="5">
        <v>5</v>
      </c>
      <c r="D545" s="5" t="s">
        <v>209</v>
      </c>
      <c r="E545" s="6">
        <v>2.25</v>
      </c>
      <c r="G545" s="362">
        <v>3</v>
      </c>
      <c r="H545" s="362">
        <v>1</v>
      </c>
      <c r="I545" s="8">
        <v>0.67</v>
      </c>
      <c r="L545" s="5" t="s">
        <v>146</v>
      </c>
      <c r="N545" s="476">
        <v>72</v>
      </c>
      <c r="O545" s="477" t="s">
        <v>209</v>
      </c>
      <c r="P545" s="478" t="s">
        <v>424</v>
      </c>
      <c r="Q545" s="478" t="s">
        <v>425</v>
      </c>
      <c r="R545" s="478" t="s">
        <v>685</v>
      </c>
      <c r="S545" s="479">
        <v>82</v>
      </c>
      <c r="T545" s="478" t="s">
        <v>354</v>
      </c>
      <c r="U545" s="478" t="s">
        <v>42</v>
      </c>
      <c r="V545" s="480" t="s">
        <v>10</v>
      </c>
      <c r="W545" s="51">
        <v>0.05</v>
      </c>
      <c r="X545" s="357" t="s">
        <v>53</v>
      </c>
      <c r="Z545" s="5" t="s">
        <v>17</v>
      </c>
      <c r="AA545" s="112" t="s">
        <v>427</v>
      </c>
    </row>
    <row r="546" spans="1:29" x14ac:dyDescent="0.25">
      <c r="A546" s="329">
        <v>45919</v>
      </c>
      <c r="B546" s="5">
        <v>5</v>
      </c>
      <c r="D546" s="5" t="s">
        <v>209</v>
      </c>
      <c r="E546" s="6">
        <v>2.25</v>
      </c>
      <c r="G546" s="362">
        <v>3</v>
      </c>
      <c r="H546" s="362">
        <v>1</v>
      </c>
      <c r="I546" s="8">
        <v>0.67</v>
      </c>
      <c r="L546" s="5" t="s">
        <v>146</v>
      </c>
      <c r="N546" s="476">
        <v>90</v>
      </c>
      <c r="O546" s="477" t="s">
        <v>209</v>
      </c>
      <c r="P546" s="478" t="s">
        <v>424</v>
      </c>
      <c r="Q546" s="478" t="s">
        <v>425</v>
      </c>
      <c r="R546" s="478" t="s">
        <v>685</v>
      </c>
      <c r="S546" s="479">
        <v>82</v>
      </c>
      <c r="T546" s="478" t="s">
        <v>41</v>
      </c>
      <c r="U546" s="478" t="s">
        <v>43</v>
      </c>
      <c r="V546" s="480" t="s">
        <v>18</v>
      </c>
      <c r="W546" s="51">
        <v>0.05</v>
      </c>
      <c r="X546" s="357">
        <v>0.35</v>
      </c>
      <c r="Z546" s="5" t="s">
        <v>48</v>
      </c>
      <c r="AA546" s="112" t="s">
        <v>427</v>
      </c>
    </row>
    <row r="547" spans="1:29" x14ac:dyDescent="0.25">
      <c r="A547" s="329">
        <v>45919</v>
      </c>
      <c r="B547" s="5">
        <v>5</v>
      </c>
      <c r="D547" s="5" t="s">
        <v>209</v>
      </c>
      <c r="E547" s="6">
        <v>2.25</v>
      </c>
      <c r="G547" s="362">
        <v>3</v>
      </c>
      <c r="H547" s="362">
        <v>1</v>
      </c>
      <c r="I547" s="8">
        <v>0.67</v>
      </c>
      <c r="L547" s="5" t="s">
        <v>146</v>
      </c>
      <c r="N547" s="345" t="s">
        <v>31</v>
      </c>
      <c r="O547" s="38" t="s">
        <v>146</v>
      </c>
      <c r="P547" s="5" t="s">
        <v>429</v>
      </c>
      <c r="Q547" s="5" t="s">
        <v>430</v>
      </c>
      <c r="R547" s="5" t="s">
        <v>696</v>
      </c>
      <c r="S547" s="7">
        <v>58</v>
      </c>
      <c r="T547" s="5" t="s">
        <v>41</v>
      </c>
      <c r="U547" s="5" t="s">
        <v>42</v>
      </c>
      <c r="V547" s="57" t="s">
        <v>10</v>
      </c>
      <c r="W547" s="51">
        <v>0.12</v>
      </c>
      <c r="X547" s="357">
        <v>0.17</v>
      </c>
      <c r="Y547" s="351" t="s">
        <v>353</v>
      </c>
      <c r="Z547" s="5" t="s">
        <v>48</v>
      </c>
      <c r="AA547" s="112" t="s">
        <v>427</v>
      </c>
    </row>
    <row r="548" spans="1:29" ht="15.75" thickBot="1" x14ac:dyDescent="0.3">
      <c r="A548" s="330">
        <v>45919</v>
      </c>
      <c r="B548" s="9">
        <v>5</v>
      </c>
      <c r="C548" s="122"/>
      <c r="D548" s="9" t="s">
        <v>209</v>
      </c>
      <c r="E548" s="10">
        <v>2.25</v>
      </c>
      <c r="F548" s="10"/>
      <c r="G548" s="383">
        <v>3</v>
      </c>
      <c r="H548" s="383">
        <v>1</v>
      </c>
      <c r="I548" s="12">
        <v>0.67</v>
      </c>
      <c r="J548" s="12"/>
      <c r="K548" s="122"/>
      <c r="L548" s="9" t="s">
        <v>146</v>
      </c>
      <c r="M548" s="45"/>
      <c r="N548" s="511" t="s">
        <v>415</v>
      </c>
      <c r="O548" s="512" t="s">
        <v>209</v>
      </c>
      <c r="P548" s="513" t="s">
        <v>241</v>
      </c>
      <c r="Q548" s="513" t="s">
        <v>75</v>
      </c>
      <c r="R548" s="513" t="s">
        <v>696</v>
      </c>
      <c r="S548" s="479">
        <v>62</v>
      </c>
      <c r="T548" s="513" t="s">
        <v>47</v>
      </c>
      <c r="U548" s="513" t="s">
        <v>43</v>
      </c>
      <c r="V548" s="514" t="s">
        <v>18</v>
      </c>
      <c r="W548" s="52">
        <v>0.48</v>
      </c>
      <c r="X548" s="358" t="s">
        <v>53</v>
      </c>
      <c r="Y548" s="352" t="s">
        <v>353</v>
      </c>
      <c r="Z548" s="9" t="s">
        <v>13</v>
      </c>
      <c r="AA548" s="113" t="s">
        <v>427</v>
      </c>
      <c r="AB548" s="109"/>
      <c r="AC548" s="58"/>
    </row>
    <row r="549" spans="1:29" ht="15.75" thickBot="1" x14ac:dyDescent="0.3">
      <c r="A549" s="326">
        <v>45919</v>
      </c>
      <c r="B549" s="207">
        <v>5</v>
      </c>
      <c r="C549" s="208"/>
      <c r="D549" s="207" t="s">
        <v>209</v>
      </c>
      <c r="E549" s="209">
        <v>2.25</v>
      </c>
      <c r="F549" s="209"/>
      <c r="G549" s="460">
        <v>3</v>
      </c>
      <c r="H549" s="460">
        <v>1</v>
      </c>
      <c r="I549" s="211">
        <v>0.67</v>
      </c>
      <c r="J549" s="211"/>
      <c r="K549" s="208"/>
      <c r="L549" s="207" t="s">
        <v>146</v>
      </c>
      <c r="M549" s="235"/>
      <c r="N549" s="347"/>
      <c r="O549" s="343" t="s">
        <v>209</v>
      </c>
      <c r="P549" s="199" t="s">
        <v>447</v>
      </c>
      <c r="Q549" s="199" t="s">
        <v>150</v>
      </c>
      <c r="R549" s="199" t="s">
        <v>707</v>
      </c>
      <c r="S549" s="7">
        <v>70</v>
      </c>
      <c r="T549" s="199"/>
      <c r="U549" s="199"/>
      <c r="V549" s="201"/>
      <c r="W549" s="202"/>
      <c r="X549" s="359"/>
      <c r="Y549" s="353">
        <f>H549</f>
        <v>1</v>
      </c>
      <c r="Z549" s="199"/>
      <c r="AA549" s="204"/>
      <c r="AB549" s="205"/>
      <c r="AC549" s="201"/>
    </row>
    <row r="550" spans="1:29" ht="15.75" thickBot="1" x14ac:dyDescent="0.3">
      <c r="A550" s="326">
        <v>45919</v>
      </c>
      <c r="B550" s="207">
        <v>5</v>
      </c>
      <c r="C550" s="208"/>
      <c r="D550" s="207" t="s">
        <v>209</v>
      </c>
      <c r="E550" s="209">
        <v>2.25</v>
      </c>
      <c r="F550" s="209"/>
      <c r="G550" s="460">
        <v>3</v>
      </c>
      <c r="H550" s="460">
        <v>1</v>
      </c>
      <c r="I550" s="211">
        <v>0.67</v>
      </c>
      <c r="J550" s="211"/>
      <c r="K550" s="208"/>
      <c r="L550" s="207" t="s">
        <v>146</v>
      </c>
      <c r="M550" s="235"/>
      <c r="N550" s="347"/>
      <c r="O550" s="343" t="s">
        <v>146</v>
      </c>
      <c r="P550" s="199" t="s">
        <v>176</v>
      </c>
      <c r="Q550" s="199" t="s">
        <v>423</v>
      </c>
      <c r="R550" s="199" t="s">
        <v>707</v>
      </c>
      <c r="S550" s="7">
        <v>54</v>
      </c>
      <c r="T550" s="199"/>
      <c r="U550" s="199"/>
      <c r="V550" s="201"/>
      <c r="W550" s="202"/>
      <c r="X550" s="359"/>
      <c r="Y550" s="353">
        <f>G549</f>
        <v>3</v>
      </c>
      <c r="Z550" s="199"/>
      <c r="AA550" s="204"/>
      <c r="AB550" s="205"/>
      <c r="AC550" s="201"/>
    </row>
    <row r="551" spans="1:29" x14ac:dyDescent="0.25">
      <c r="A551" s="331">
        <v>45920</v>
      </c>
      <c r="B551" s="13">
        <v>5</v>
      </c>
      <c r="C551" s="124" t="s">
        <v>708</v>
      </c>
      <c r="D551" s="13" t="s">
        <v>69</v>
      </c>
      <c r="E551" s="14">
        <v>0.5</v>
      </c>
      <c r="F551" s="14"/>
      <c r="G551" s="375">
        <v>0</v>
      </c>
      <c r="H551" s="375">
        <v>4</v>
      </c>
      <c r="I551" s="16">
        <v>2.88</v>
      </c>
      <c r="J551" s="16"/>
      <c r="K551" s="124" t="s">
        <v>694</v>
      </c>
      <c r="L551" s="13" t="s">
        <v>129</v>
      </c>
      <c r="M551" s="268" t="s">
        <v>439</v>
      </c>
      <c r="N551" s="556">
        <v>4</v>
      </c>
      <c r="O551" s="557" t="s">
        <v>69</v>
      </c>
      <c r="P551" s="560" t="s">
        <v>87</v>
      </c>
      <c r="Q551" s="560" t="s">
        <v>88</v>
      </c>
      <c r="R551" s="560" t="s">
        <v>685</v>
      </c>
      <c r="S551" s="479">
        <v>61</v>
      </c>
      <c r="T551" s="558" t="s">
        <v>41</v>
      </c>
      <c r="U551" s="558" t="s">
        <v>43</v>
      </c>
      <c r="V551" s="559" t="s">
        <v>10</v>
      </c>
      <c r="W551" s="54">
        <v>0.04</v>
      </c>
      <c r="X551" s="361" t="s">
        <v>53</v>
      </c>
      <c r="Y551" s="355"/>
      <c r="Z551" s="13" t="s">
        <v>16</v>
      </c>
      <c r="AA551" s="115" t="s">
        <v>28</v>
      </c>
      <c r="AB551" s="110"/>
      <c r="AC551" s="60"/>
    </row>
    <row r="552" spans="1:29" x14ac:dyDescent="0.25">
      <c r="A552" s="329">
        <v>45920</v>
      </c>
      <c r="B552" s="5">
        <v>5</v>
      </c>
      <c r="D552" s="5" t="s">
        <v>69</v>
      </c>
      <c r="E552" s="6">
        <v>0.5</v>
      </c>
      <c r="G552" s="362">
        <v>0</v>
      </c>
      <c r="H552" s="362">
        <v>4</v>
      </c>
      <c r="I552" s="8">
        <v>2.88</v>
      </c>
      <c r="L552" s="5" t="s">
        <v>129</v>
      </c>
      <c r="M552" s="242" t="s">
        <v>439</v>
      </c>
      <c r="N552" s="345">
        <v>39</v>
      </c>
      <c r="O552" s="38" t="s">
        <v>129</v>
      </c>
      <c r="P552" s="5" t="s">
        <v>141</v>
      </c>
      <c r="Q552" s="5" t="s">
        <v>142</v>
      </c>
      <c r="R552" s="5" t="s">
        <v>685</v>
      </c>
      <c r="S552" s="479">
        <v>76</v>
      </c>
      <c r="T552" s="5" t="s">
        <v>41</v>
      </c>
      <c r="U552" s="5" t="s">
        <v>45</v>
      </c>
      <c r="V552" s="57" t="s">
        <v>20</v>
      </c>
      <c r="W552" s="51">
        <v>0.08</v>
      </c>
      <c r="X552" s="357" t="s">
        <v>53</v>
      </c>
      <c r="Z552" s="5" t="s">
        <v>17</v>
      </c>
      <c r="AA552" s="112" t="s">
        <v>28</v>
      </c>
    </row>
    <row r="553" spans="1:29" x14ac:dyDescent="0.25">
      <c r="A553" s="329">
        <v>45920</v>
      </c>
      <c r="B553" s="5">
        <v>5</v>
      </c>
      <c r="D553" s="5" t="s">
        <v>69</v>
      </c>
      <c r="E553" s="6">
        <v>0.5</v>
      </c>
      <c r="G553" s="362">
        <v>0</v>
      </c>
      <c r="H553" s="362">
        <v>4</v>
      </c>
      <c r="I553" s="8">
        <v>2.88</v>
      </c>
      <c r="L553" s="5" t="s">
        <v>129</v>
      </c>
      <c r="M553" s="242" t="s">
        <v>439</v>
      </c>
      <c r="N553" s="345">
        <v>39</v>
      </c>
      <c r="O553" s="38" t="s">
        <v>129</v>
      </c>
      <c r="P553" s="5" t="s">
        <v>104</v>
      </c>
      <c r="Q553" s="5" t="s">
        <v>105</v>
      </c>
      <c r="R553" s="5" t="s">
        <v>718</v>
      </c>
      <c r="S553" s="481">
        <v>81</v>
      </c>
      <c r="T553" s="5" t="s">
        <v>47</v>
      </c>
      <c r="U553" s="5" t="s">
        <v>42</v>
      </c>
      <c r="V553" s="57" t="s">
        <v>20</v>
      </c>
      <c r="W553" s="51">
        <v>0.26</v>
      </c>
      <c r="X553" s="357" t="s">
        <v>53</v>
      </c>
      <c r="Y553" s="351" t="s">
        <v>353</v>
      </c>
      <c r="Z553" s="5" t="s">
        <v>13</v>
      </c>
      <c r="AA553" s="112" t="s">
        <v>28</v>
      </c>
    </row>
    <row r="554" spans="1:29" x14ac:dyDescent="0.25">
      <c r="A554" s="329">
        <v>45920</v>
      </c>
      <c r="B554" s="5">
        <v>5</v>
      </c>
      <c r="D554" s="5" t="s">
        <v>69</v>
      </c>
      <c r="E554" s="6">
        <v>0.5</v>
      </c>
      <c r="G554" s="362">
        <v>0</v>
      </c>
      <c r="H554" s="362">
        <v>4</v>
      </c>
      <c r="I554" s="8">
        <v>2.88</v>
      </c>
      <c r="L554" s="5" t="s">
        <v>129</v>
      </c>
      <c r="M554" s="242" t="s">
        <v>439</v>
      </c>
      <c r="N554" s="476">
        <v>42</v>
      </c>
      <c r="O554" s="477" t="s">
        <v>69</v>
      </c>
      <c r="P554" s="478" t="s">
        <v>322</v>
      </c>
      <c r="Q554" s="478" t="s">
        <v>323</v>
      </c>
      <c r="R554" s="478" t="s">
        <v>686</v>
      </c>
      <c r="S554" s="481">
        <v>63</v>
      </c>
      <c r="T554" s="478" t="s">
        <v>354</v>
      </c>
      <c r="U554" s="478" t="s">
        <v>43</v>
      </c>
      <c r="V554" s="480" t="s">
        <v>15</v>
      </c>
      <c r="W554" s="51">
        <v>0.12</v>
      </c>
      <c r="X554" s="357" t="s">
        <v>53</v>
      </c>
      <c r="Z554" s="5" t="s">
        <v>13</v>
      </c>
      <c r="AA554" s="112" t="s">
        <v>28</v>
      </c>
    </row>
    <row r="555" spans="1:29" x14ac:dyDescent="0.25">
      <c r="A555" s="329">
        <v>45920</v>
      </c>
      <c r="B555" s="5">
        <v>5</v>
      </c>
      <c r="D555" s="5" t="s">
        <v>69</v>
      </c>
      <c r="E555" s="6">
        <v>0.5</v>
      </c>
      <c r="G555" s="362">
        <v>0</v>
      </c>
      <c r="H555" s="362">
        <v>4</v>
      </c>
      <c r="I555" s="8">
        <v>2.88</v>
      </c>
      <c r="L555" s="5" t="s">
        <v>129</v>
      </c>
      <c r="M555" s="242" t="s">
        <v>439</v>
      </c>
      <c r="N555" s="345">
        <v>43</v>
      </c>
      <c r="O555" s="38" t="s">
        <v>129</v>
      </c>
      <c r="P555" s="5" t="s">
        <v>104</v>
      </c>
      <c r="Q555" s="5" t="s">
        <v>105</v>
      </c>
      <c r="R555" s="5" t="s">
        <v>718</v>
      </c>
      <c r="S555" s="479">
        <v>81</v>
      </c>
      <c r="T555" s="5" t="s">
        <v>41</v>
      </c>
      <c r="U555" s="5" t="s">
        <v>45</v>
      </c>
      <c r="V555" s="57" t="s">
        <v>10</v>
      </c>
      <c r="W555" s="51">
        <v>0.11</v>
      </c>
      <c r="X555" s="357">
        <v>0.75</v>
      </c>
      <c r="Y555" s="351" t="s">
        <v>353</v>
      </c>
      <c r="Z555" s="5" t="s">
        <v>8</v>
      </c>
      <c r="AA555" s="112" t="s">
        <v>9</v>
      </c>
      <c r="AB555" s="108" t="s">
        <v>143</v>
      </c>
      <c r="AC555" s="57" t="s">
        <v>144</v>
      </c>
    </row>
    <row r="556" spans="1:29" x14ac:dyDescent="0.25">
      <c r="A556" s="329">
        <v>45920</v>
      </c>
      <c r="B556" s="5">
        <v>5</v>
      </c>
      <c r="D556" s="5" t="s">
        <v>69</v>
      </c>
      <c r="E556" s="6">
        <v>0.5</v>
      </c>
      <c r="G556" s="362">
        <v>0</v>
      </c>
      <c r="H556" s="362">
        <v>4</v>
      </c>
      <c r="I556" s="8">
        <v>2.88</v>
      </c>
      <c r="L556" s="5" t="s">
        <v>129</v>
      </c>
      <c r="M556" s="242" t="s">
        <v>439</v>
      </c>
      <c r="N556" s="345">
        <v>49</v>
      </c>
      <c r="O556" s="38" t="s">
        <v>129</v>
      </c>
      <c r="P556" s="5" t="s">
        <v>46</v>
      </c>
      <c r="Q556" s="5" t="s">
        <v>201</v>
      </c>
      <c r="R556" s="5" t="s">
        <v>686</v>
      </c>
      <c r="S556" s="479">
        <v>84</v>
      </c>
      <c r="T556" s="5" t="s">
        <v>354</v>
      </c>
      <c r="U556" s="5" t="s">
        <v>43</v>
      </c>
      <c r="V556" s="57" t="s">
        <v>15</v>
      </c>
      <c r="W556" s="51">
        <v>0.1</v>
      </c>
      <c r="X556" s="357">
        <v>0.15</v>
      </c>
      <c r="Z556" s="5" t="s">
        <v>8</v>
      </c>
      <c r="AA556" s="112" t="s">
        <v>11</v>
      </c>
    </row>
    <row r="557" spans="1:29" x14ac:dyDescent="0.25">
      <c r="A557" s="329">
        <v>45920</v>
      </c>
      <c r="B557" s="5">
        <v>5</v>
      </c>
      <c r="D557" s="5" t="s">
        <v>69</v>
      </c>
      <c r="E557" s="6">
        <v>0.5</v>
      </c>
      <c r="G557" s="362">
        <v>0</v>
      </c>
      <c r="H557" s="362">
        <v>4</v>
      </c>
      <c r="I557" s="8">
        <v>2.88</v>
      </c>
      <c r="L557" s="5" t="s">
        <v>129</v>
      </c>
      <c r="M557" s="242" t="s">
        <v>439</v>
      </c>
      <c r="N557" s="345">
        <v>54</v>
      </c>
      <c r="O557" s="38" t="s">
        <v>129</v>
      </c>
      <c r="P557" s="5" t="s">
        <v>141</v>
      </c>
      <c r="Q557" s="5" t="s">
        <v>142</v>
      </c>
      <c r="R557" s="5" t="s">
        <v>685</v>
      </c>
      <c r="S557" s="479">
        <v>76</v>
      </c>
      <c r="T557" s="5" t="s">
        <v>41</v>
      </c>
      <c r="U557" s="5" t="s">
        <v>42</v>
      </c>
      <c r="V557" s="57" t="s">
        <v>10</v>
      </c>
      <c r="W557" s="51">
        <v>0.23</v>
      </c>
      <c r="X557" s="357" t="s">
        <v>53</v>
      </c>
      <c r="Y557" s="351" t="s">
        <v>353</v>
      </c>
      <c r="Z557" s="5" t="s">
        <v>52</v>
      </c>
      <c r="AA557" s="112" t="s">
        <v>11</v>
      </c>
    </row>
    <row r="558" spans="1:29" x14ac:dyDescent="0.25">
      <c r="A558" s="329">
        <v>45920</v>
      </c>
      <c r="B558" s="5">
        <v>5</v>
      </c>
      <c r="D558" s="5" t="s">
        <v>69</v>
      </c>
      <c r="E558" s="6">
        <v>0.5</v>
      </c>
      <c r="G558" s="362">
        <v>0</v>
      </c>
      <c r="H558" s="362">
        <v>4</v>
      </c>
      <c r="I558" s="8">
        <v>2.88</v>
      </c>
      <c r="L558" s="5" t="s">
        <v>129</v>
      </c>
      <c r="M558" s="242" t="s">
        <v>439</v>
      </c>
      <c r="N558" s="345">
        <v>56</v>
      </c>
      <c r="O558" s="38" t="s">
        <v>129</v>
      </c>
      <c r="P558" s="5" t="s">
        <v>59</v>
      </c>
      <c r="Q558" s="5" t="s">
        <v>191</v>
      </c>
      <c r="R558" s="5" t="s">
        <v>717</v>
      </c>
      <c r="S558" s="479">
        <v>79</v>
      </c>
      <c r="T558" s="5" t="s">
        <v>41</v>
      </c>
      <c r="U558" s="5" t="s">
        <v>42</v>
      </c>
      <c r="V558" s="57" t="s">
        <v>10</v>
      </c>
      <c r="W558" s="51">
        <v>0.43</v>
      </c>
      <c r="X558" s="357" t="s">
        <v>53</v>
      </c>
      <c r="Y558" s="351" t="s">
        <v>353</v>
      </c>
      <c r="Z558" s="5" t="s">
        <v>17</v>
      </c>
      <c r="AA558" s="112" t="s">
        <v>11</v>
      </c>
    </row>
    <row r="559" spans="1:29" x14ac:dyDescent="0.25">
      <c r="A559" s="329">
        <v>45920</v>
      </c>
      <c r="B559" s="5">
        <v>5</v>
      </c>
      <c r="D559" s="5" t="s">
        <v>69</v>
      </c>
      <c r="E559" s="6">
        <v>0.5</v>
      </c>
      <c r="G559" s="362">
        <v>0</v>
      </c>
      <c r="H559" s="362">
        <v>4</v>
      </c>
      <c r="I559" s="8">
        <v>2.88</v>
      </c>
      <c r="L559" s="5" t="s">
        <v>129</v>
      </c>
      <c r="M559" s="242" t="s">
        <v>439</v>
      </c>
      <c r="N559" s="345">
        <v>59</v>
      </c>
      <c r="O559" s="38" t="s">
        <v>129</v>
      </c>
      <c r="P559" s="5" t="s">
        <v>46</v>
      </c>
      <c r="Q559" s="5" t="s">
        <v>201</v>
      </c>
      <c r="R559" s="5" t="s">
        <v>686</v>
      </c>
      <c r="S559" s="479">
        <v>84</v>
      </c>
      <c r="T559" s="5" t="s">
        <v>41</v>
      </c>
      <c r="U559" s="5" t="s">
        <v>42</v>
      </c>
      <c r="V559" s="57" t="s">
        <v>29</v>
      </c>
      <c r="W559" s="51">
        <v>0.17</v>
      </c>
      <c r="X559" s="357" t="s">
        <v>53</v>
      </c>
      <c r="Z559" s="5" t="s">
        <v>744</v>
      </c>
      <c r="AA559" s="112" t="s">
        <v>11</v>
      </c>
      <c r="AB559" s="108" t="s">
        <v>176</v>
      </c>
      <c r="AC559" s="57" t="s">
        <v>99</v>
      </c>
    </row>
    <row r="560" spans="1:29" x14ac:dyDescent="0.25">
      <c r="A560" s="329">
        <v>45920</v>
      </c>
      <c r="B560" s="5">
        <v>5</v>
      </c>
      <c r="D560" s="5" t="s">
        <v>69</v>
      </c>
      <c r="E560" s="6">
        <v>0.5</v>
      </c>
      <c r="G560" s="362">
        <v>0</v>
      </c>
      <c r="H560" s="362">
        <v>4</v>
      </c>
      <c r="I560" s="8">
        <v>2.88</v>
      </c>
      <c r="L560" s="5" t="s">
        <v>129</v>
      </c>
      <c r="M560" s="242" t="s">
        <v>439</v>
      </c>
      <c r="N560" s="345">
        <v>64</v>
      </c>
      <c r="O560" s="38" t="s">
        <v>129</v>
      </c>
      <c r="P560" s="5" t="s">
        <v>46</v>
      </c>
      <c r="Q560" s="5" t="s">
        <v>201</v>
      </c>
      <c r="R560" s="5" t="s">
        <v>686</v>
      </c>
      <c r="S560" s="7">
        <v>84</v>
      </c>
      <c r="T560" s="5" t="s">
        <v>44</v>
      </c>
      <c r="U560" s="5" t="s">
        <v>43</v>
      </c>
      <c r="V560" s="57" t="s">
        <v>10</v>
      </c>
      <c r="W560" s="51">
        <v>0.06</v>
      </c>
      <c r="X560" s="357">
        <v>0.37</v>
      </c>
      <c r="Z560" s="5" t="s">
        <v>48</v>
      </c>
      <c r="AA560" s="112" t="s">
        <v>11</v>
      </c>
    </row>
    <row r="561" spans="1:29" x14ac:dyDescent="0.25">
      <c r="A561" s="329">
        <v>45920</v>
      </c>
      <c r="B561" s="5">
        <v>5</v>
      </c>
      <c r="D561" s="5" t="s">
        <v>69</v>
      </c>
      <c r="E561" s="6">
        <v>0.5</v>
      </c>
      <c r="G561" s="362">
        <v>0</v>
      </c>
      <c r="H561" s="362">
        <v>4</v>
      </c>
      <c r="I561" s="8">
        <v>2.88</v>
      </c>
      <c r="L561" s="5" t="s">
        <v>129</v>
      </c>
      <c r="M561" s="242" t="s">
        <v>439</v>
      </c>
      <c r="N561" s="476">
        <v>67</v>
      </c>
      <c r="O561" s="477" t="s">
        <v>69</v>
      </c>
      <c r="P561" s="478" t="s">
        <v>437</v>
      </c>
      <c r="Q561" s="478" t="s">
        <v>438</v>
      </c>
      <c r="R561" s="478" t="s">
        <v>696</v>
      </c>
      <c r="S561" s="479">
        <v>62</v>
      </c>
      <c r="T561" s="478" t="s">
        <v>41</v>
      </c>
      <c r="U561" s="478" t="s">
        <v>42</v>
      </c>
      <c r="V561" s="480" t="s">
        <v>10</v>
      </c>
      <c r="W561" s="51">
        <v>0.06</v>
      </c>
      <c r="X561" s="357">
        <v>0.76</v>
      </c>
      <c r="Z561" s="5" t="s">
        <v>48</v>
      </c>
      <c r="AA561" s="112" t="s">
        <v>11</v>
      </c>
    </row>
    <row r="562" spans="1:29" x14ac:dyDescent="0.25">
      <c r="A562" s="329">
        <v>45920</v>
      </c>
      <c r="B562" s="5">
        <v>5</v>
      </c>
      <c r="D562" s="5" t="s">
        <v>69</v>
      </c>
      <c r="E562" s="6">
        <v>0.5</v>
      </c>
      <c r="G562" s="362">
        <v>0</v>
      </c>
      <c r="H562" s="362">
        <v>4</v>
      </c>
      <c r="I562" s="8">
        <v>2.88</v>
      </c>
      <c r="L562" s="5" t="s">
        <v>129</v>
      </c>
      <c r="M562" s="242" t="s">
        <v>439</v>
      </c>
      <c r="N562" s="345">
        <v>70</v>
      </c>
      <c r="O562" s="38" t="s">
        <v>129</v>
      </c>
      <c r="P562" s="5" t="s">
        <v>59</v>
      </c>
      <c r="Q562" s="5" t="s">
        <v>191</v>
      </c>
      <c r="R562" s="5" t="s">
        <v>717</v>
      </c>
      <c r="S562" s="479">
        <v>79</v>
      </c>
      <c r="T562" s="5" t="s">
        <v>47</v>
      </c>
      <c r="U562" s="5" t="s">
        <v>42</v>
      </c>
      <c r="V562" s="57" t="s">
        <v>10</v>
      </c>
      <c r="W562" s="51">
        <v>0.53</v>
      </c>
      <c r="X562" s="357">
        <v>0.97</v>
      </c>
      <c r="Y562" s="351" t="s">
        <v>353</v>
      </c>
      <c r="Z562" s="5" t="s">
        <v>8</v>
      </c>
      <c r="AA562" s="112" t="s">
        <v>14</v>
      </c>
      <c r="AB562" s="108" t="s">
        <v>104</v>
      </c>
      <c r="AC562" s="57" t="s">
        <v>105</v>
      </c>
    </row>
    <row r="563" spans="1:29" x14ac:dyDescent="0.25">
      <c r="A563" s="329">
        <v>45920</v>
      </c>
      <c r="B563" s="5">
        <v>5</v>
      </c>
      <c r="D563" s="5" t="s">
        <v>69</v>
      </c>
      <c r="E563" s="6">
        <v>0.5</v>
      </c>
      <c r="G563" s="362">
        <v>0</v>
      </c>
      <c r="H563" s="362">
        <v>4</v>
      </c>
      <c r="I563" s="8">
        <v>2.88</v>
      </c>
      <c r="L563" s="5" t="s">
        <v>129</v>
      </c>
      <c r="M563" s="242" t="s">
        <v>439</v>
      </c>
      <c r="N563" s="345">
        <v>74</v>
      </c>
      <c r="O563" s="38" t="s">
        <v>129</v>
      </c>
      <c r="P563" s="5" t="s">
        <v>433</v>
      </c>
      <c r="Q563" s="5" t="s">
        <v>99</v>
      </c>
      <c r="R563" s="5" t="s">
        <v>712</v>
      </c>
      <c r="S563" s="479">
        <v>72</v>
      </c>
      <c r="T563" s="5" t="s">
        <v>47</v>
      </c>
      <c r="U563" s="5" t="s">
        <v>45</v>
      </c>
      <c r="V563" s="57" t="s">
        <v>20</v>
      </c>
      <c r="W563" s="51">
        <v>0.27</v>
      </c>
      <c r="X563" s="357" t="s">
        <v>53</v>
      </c>
      <c r="Y563" s="351" t="s">
        <v>353</v>
      </c>
      <c r="Z563" s="5" t="s">
        <v>17</v>
      </c>
      <c r="AA563" s="112" t="s">
        <v>14</v>
      </c>
    </row>
    <row r="564" spans="1:29" x14ac:dyDescent="0.25">
      <c r="A564" s="329">
        <v>45920</v>
      </c>
      <c r="B564" s="5">
        <v>5</v>
      </c>
      <c r="D564" s="5" t="s">
        <v>69</v>
      </c>
      <c r="E564" s="6">
        <v>0.5</v>
      </c>
      <c r="G564" s="362">
        <v>0</v>
      </c>
      <c r="H564" s="362">
        <v>4</v>
      </c>
      <c r="I564" s="8">
        <v>2.88</v>
      </c>
      <c r="L564" s="5" t="s">
        <v>129</v>
      </c>
      <c r="M564" s="242" t="s">
        <v>439</v>
      </c>
      <c r="N564" s="345">
        <v>81</v>
      </c>
      <c r="O564" s="38" t="s">
        <v>129</v>
      </c>
      <c r="P564" s="5" t="s">
        <v>241</v>
      </c>
      <c r="Q564" s="5" t="s">
        <v>131</v>
      </c>
      <c r="R564" s="5" t="s">
        <v>696</v>
      </c>
      <c r="S564" s="479">
        <v>66</v>
      </c>
      <c r="T564" s="5" t="s">
        <v>41</v>
      </c>
      <c r="U564" s="5" t="s">
        <v>42</v>
      </c>
      <c r="V564" s="57" t="s">
        <v>18</v>
      </c>
      <c r="W564" s="51">
        <v>0.18</v>
      </c>
      <c r="X564" s="357">
        <v>0.68</v>
      </c>
      <c r="Y564" s="351" t="s">
        <v>353</v>
      </c>
      <c r="Z564" s="5" t="s">
        <v>48</v>
      </c>
      <c r="AA564" s="112" t="s">
        <v>14</v>
      </c>
    </row>
    <row r="565" spans="1:29" ht="15.75" thickBot="1" x14ac:dyDescent="0.3">
      <c r="A565" s="330">
        <v>45920</v>
      </c>
      <c r="B565" s="9">
        <v>5</v>
      </c>
      <c r="C565" s="122"/>
      <c r="D565" s="9" t="s">
        <v>69</v>
      </c>
      <c r="E565" s="10">
        <v>0.5</v>
      </c>
      <c r="F565" s="10"/>
      <c r="G565" s="383">
        <v>0</v>
      </c>
      <c r="H565" s="383">
        <v>4</v>
      </c>
      <c r="I565" s="12">
        <v>2.88</v>
      </c>
      <c r="J565" s="12"/>
      <c r="K565" s="122"/>
      <c r="L565" s="9" t="s">
        <v>129</v>
      </c>
      <c r="M565" s="445" t="s">
        <v>439</v>
      </c>
      <c r="N565" s="346" t="s">
        <v>35</v>
      </c>
      <c r="O565" s="454" t="s">
        <v>129</v>
      </c>
      <c r="P565" s="9" t="s">
        <v>434</v>
      </c>
      <c r="Q565" s="9" t="s">
        <v>435</v>
      </c>
      <c r="R565" s="9" t="s">
        <v>696</v>
      </c>
      <c r="S565" s="7">
        <v>71</v>
      </c>
      <c r="T565" s="9" t="s">
        <v>47</v>
      </c>
      <c r="U565" s="9" t="s">
        <v>42</v>
      </c>
      <c r="V565" s="58" t="s">
        <v>540</v>
      </c>
      <c r="W565" s="52">
        <v>0.38</v>
      </c>
      <c r="X565" s="358">
        <v>0.64</v>
      </c>
      <c r="Y565" s="352" t="s">
        <v>353</v>
      </c>
      <c r="Z565" s="9" t="s">
        <v>8</v>
      </c>
      <c r="AA565" s="113" t="s">
        <v>436</v>
      </c>
      <c r="AB565" s="109"/>
      <c r="AC565" s="58"/>
    </row>
    <row r="566" spans="1:29" ht="15.75" thickBot="1" x14ac:dyDescent="0.3">
      <c r="A566" s="326">
        <v>45920</v>
      </c>
      <c r="B566" s="207">
        <v>5</v>
      </c>
      <c r="C566" s="208"/>
      <c r="D566" s="207" t="s">
        <v>69</v>
      </c>
      <c r="E566" s="209">
        <v>0.5</v>
      </c>
      <c r="F566" s="209"/>
      <c r="G566" s="460">
        <v>0</v>
      </c>
      <c r="H566" s="460">
        <v>4</v>
      </c>
      <c r="I566" s="211">
        <v>2.88</v>
      </c>
      <c r="J566" s="211"/>
      <c r="K566" s="208"/>
      <c r="L566" s="207" t="s">
        <v>129</v>
      </c>
      <c r="M566" s="235"/>
      <c r="N566" s="347"/>
      <c r="O566" s="343" t="s">
        <v>69</v>
      </c>
      <c r="P566" s="199" t="s">
        <v>478</v>
      </c>
      <c r="Q566" s="199" t="s">
        <v>479</v>
      </c>
      <c r="R566" s="199" t="s">
        <v>707</v>
      </c>
      <c r="S566" s="479">
        <v>54</v>
      </c>
      <c r="T566" s="199"/>
      <c r="U566" s="199"/>
      <c r="V566" s="201"/>
      <c r="W566" s="202"/>
      <c r="X566" s="359"/>
      <c r="Y566" s="353">
        <f>H566</f>
        <v>4</v>
      </c>
      <c r="Z566" s="199"/>
      <c r="AA566" s="204"/>
      <c r="AB566" s="205"/>
      <c r="AC566" s="201"/>
    </row>
    <row r="567" spans="1:29" ht="15.75" thickBot="1" x14ac:dyDescent="0.3">
      <c r="A567" s="326">
        <v>45920</v>
      </c>
      <c r="B567" s="207">
        <v>5</v>
      </c>
      <c r="C567" s="208"/>
      <c r="D567" s="207" t="s">
        <v>69</v>
      </c>
      <c r="E567" s="209">
        <v>0.5</v>
      </c>
      <c r="F567" s="209"/>
      <c r="G567" s="460">
        <v>0</v>
      </c>
      <c r="H567" s="460">
        <v>4</v>
      </c>
      <c r="I567" s="211">
        <v>2.88</v>
      </c>
      <c r="J567" s="211"/>
      <c r="K567" s="208"/>
      <c r="L567" s="207" t="s">
        <v>129</v>
      </c>
      <c r="M567" s="235"/>
      <c r="N567" s="347"/>
      <c r="O567" s="343" t="s">
        <v>129</v>
      </c>
      <c r="P567" s="199" t="s">
        <v>731</v>
      </c>
      <c r="Q567" s="199" t="s">
        <v>732</v>
      </c>
      <c r="R567" s="199" t="s">
        <v>707</v>
      </c>
      <c r="S567" s="481">
        <v>70</v>
      </c>
      <c r="T567" s="199"/>
      <c r="U567" s="199"/>
      <c r="V567" s="201"/>
      <c r="W567" s="202"/>
      <c r="X567" s="359"/>
      <c r="Y567" s="353">
        <f>G566</f>
        <v>0</v>
      </c>
      <c r="Z567" s="199"/>
      <c r="AA567" s="204"/>
      <c r="AB567" s="205"/>
      <c r="AC567" s="201"/>
    </row>
    <row r="568" spans="1:29" x14ac:dyDescent="0.25">
      <c r="A568" s="331">
        <v>45920</v>
      </c>
      <c r="B568" s="13">
        <v>5</v>
      </c>
      <c r="C568" s="124" t="s">
        <v>694</v>
      </c>
      <c r="D568" s="13" t="s">
        <v>226</v>
      </c>
      <c r="E568" s="14">
        <v>1.18</v>
      </c>
      <c r="F568" s="14"/>
      <c r="G568" s="375">
        <v>2</v>
      </c>
      <c r="H568" s="375">
        <v>0</v>
      </c>
      <c r="I568" s="16">
        <v>0.96</v>
      </c>
      <c r="J568" s="16"/>
      <c r="K568" s="124" t="s">
        <v>693</v>
      </c>
      <c r="L568" s="13" t="s">
        <v>192</v>
      </c>
      <c r="M568" s="47"/>
      <c r="N568" s="349">
        <v>1</v>
      </c>
      <c r="O568" s="458" t="s">
        <v>192</v>
      </c>
      <c r="P568" s="13" t="s">
        <v>276</v>
      </c>
      <c r="Q568" s="13" t="s">
        <v>277</v>
      </c>
      <c r="R568" s="13" t="s">
        <v>699</v>
      </c>
      <c r="S568" s="481">
        <v>61</v>
      </c>
      <c r="T568" s="13" t="s">
        <v>354</v>
      </c>
      <c r="U568" s="13" t="s">
        <v>42</v>
      </c>
      <c r="V568" s="60" t="s">
        <v>10</v>
      </c>
      <c r="W568" s="54">
        <v>0.05</v>
      </c>
      <c r="X568" s="361">
        <v>0.18</v>
      </c>
      <c r="Y568" s="355"/>
      <c r="Z568" s="13" t="s">
        <v>48</v>
      </c>
      <c r="AA568" s="115" t="s">
        <v>28</v>
      </c>
      <c r="AB568" s="110"/>
      <c r="AC568" s="60"/>
    </row>
    <row r="569" spans="1:29" x14ac:dyDescent="0.25">
      <c r="A569" s="329">
        <v>45920</v>
      </c>
      <c r="B569" s="5">
        <v>5</v>
      </c>
      <c r="D569" s="5" t="s">
        <v>226</v>
      </c>
      <c r="E569" s="6">
        <v>1.18</v>
      </c>
      <c r="G569" s="362">
        <v>2</v>
      </c>
      <c r="H569" s="362">
        <v>0</v>
      </c>
      <c r="I569" s="8">
        <v>0.96</v>
      </c>
      <c r="L569" s="5" t="s">
        <v>192</v>
      </c>
      <c r="N569" s="345">
        <v>15</v>
      </c>
      <c r="O569" s="38" t="s">
        <v>192</v>
      </c>
      <c r="P569" s="5" t="s">
        <v>410</v>
      </c>
      <c r="Q569" s="5" t="s">
        <v>361</v>
      </c>
      <c r="R569" s="5" t="s">
        <v>684</v>
      </c>
      <c r="S569" s="7">
        <v>61</v>
      </c>
      <c r="T569" s="5" t="s">
        <v>41</v>
      </c>
      <c r="U569" s="5" t="s">
        <v>42</v>
      </c>
      <c r="V569" s="57" t="s">
        <v>10</v>
      </c>
      <c r="W569" s="51">
        <v>0.12</v>
      </c>
      <c r="X569" s="357" t="s">
        <v>53</v>
      </c>
      <c r="Z569" s="5" t="s">
        <v>52</v>
      </c>
      <c r="AA569" s="112" t="s">
        <v>28</v>
      </c>
    </row>
    <row r="570" spans="1:29" x14ac:dyDescent="0.25">
      <c r="A570" s="329">
        <v>45920</v>
      </c>
      <c r="B570" s="5">
        <v>5</v>
      </c>
      <c r="D570" s="5" t="s">
        <v>226</v>
      </c>
      <c r="E570" s="6">
        <v>1.18</v>
      </c>
      <c r="G570" s="362">
        <v>2</v>
      </c>
      <c r="H570" s="362">
        <v>0</v>
      </c>
      <c r="I570" s="8">
        <v>0.96</v>
      </c>
      <c r="L570" s="5" t="s">
        <v>192</v>
      </c>
      <c r="N570" s="476">
        <v>22</v>
      </c>
      <c r="O570" s="477" t="s">
        <v>226</v>
      </c>
      <c r="P570" s="478" t="s">
        <v>372</v>
      </c>
      <c r="Q570" s="478" t="s">
        <v>373</v>
      </c>
      <c r="R570" s="478" t="s">
        <v>712</v>
      </c>
      <c r="S570" s="479">
        <v>84</v>
      </c>
      <c r="T570" s="478" t="s">
        <v>354</v>
      </c>
      <c r="U570" s="478" t="s">
        <v>42</v>
      </c>
      <c r="V570" s="480" t="s">
        <v>10</v>
      </c>
      <c r="W570" s="51">
        <v>0.03</v>
      </c>
      <c r="X570" s="357">
        <v>0.08</v>
      </c>
      <c r="Z570" s="5" t="s">
        <v>8</v>
      </c>
      <c r="AA570" s="112" t="s">
        <v>19</v>
      </c>
      <c r="AB570" s="108" t="s">
        <v>287</v>
      </c>
      <c r="AC570" s="57" t="s">
        <v>288</v>
      </c>
    </row>
    <row r="571" spans="1:29" x14ac:dyDescent="0.25">
      <c r="A571" s="329">
        <v>45920</v>
      </c>
      <c r="B571" s="5">
        <v>5</v>
      </c>
      <c r="D571" s="5" t="s">
        <v>226</v>
      </c>
      <c r="E571" s="6">
        <v>1.18</v>
      </c>
      <c r="G571" s="362">
        <v>2</v>
      </c>
      <c r="H571" s="362">
        <v>0</v>
      </c>
      <c r="I571" s="8">
        <v>0.96</v>
      </c>
      <c r="L571" s="5" t="s">
        <v>192</v>
      </c>
      <c r="N571" s="476">
        <v>27</v>
      </c>
      <c r="O571" s="477" t="s">
        <v>226</v>
      </c>
      <c r="P571" s="478" t="s">
        <v>374</v>
      </c>
      <c r="Q571" s="478" t="s">
        <v>375</v>
      </c>
      <c r="R571" s="478" t="s">
        <v>689</v>
      </c>
      <c r="S571" s="479">
        <v>72</v>
      </c>
      <c r="T571" s="478" t="s">
        <v>41</v>
      </c>
      <c r="U571" s="478" t="s">
        <v>43</v>
      </c>
      <c r="V571" s="480" t="s">
        <v>10</v>
      </c>
      <c r="W571" s="51">
        <v>0.13</v>
      </c>
      <c r="X571" s="357" t="s">
        <v>53</v>
      </c>
      <c r="Z571" s="5" t="s">
        <v>52</v>
      </c>
      <c r="AA571" s="112" t="s">
        <v>19</v>
      </c>
    </row>
    <row r="572" spans="1:29" x14ac:dyDescent="0.25">
      <c r="A572" s="329">
        <v>45920</v>
      </c>
      <c r="B572" s="5">
        <v>5</v>
      </c>
      <c r="D572" s="5" t="s">
        <v>226</v>
      </c>
      <c r="E572" s="6">
        <v>1.18</v>
      </c>
      <c r="G572" s="362">
        <v>2</v>
      </c>
      <c r="H572" s="362">
        <v>0</v>
      </c>
      <c r="I572" s="8">
        <v>0.96</v>
      </c>
      <c r="L572" s="5" t="s">
        <v>192</v>
      </c>
      <c r="N572" s="476">
        <v>41</v>
      </c>
      <c r="O572" s="477" t="s">
        <v>226</v>
      </c>
      <c r="P572" s="478" t="s">
        <v>231</v>
      </c>
      <c r="Q572" s="478" t="s">
        <v>232</v>
      </c>
      <c r="R572" s="478" t="s">
        <v>717</v>
      </c>
      <c r="S572" s="479">
        <v>79</v>
      </c>
      <c r="T572" s="478" t="s">
        <v>41</v>
      </c>
      <c r="U572" s="478" t="s">
        <v>42</v>
      </c>
      <c r="V572" s="480" t="s">
        <v>10</v>
      </c>
      <c r="W572" s="51">
        <v>0.03</v>
      </c>
      <c r="X572" s="357" t="s">
        <v>53</v>
      </c>
      <c r="Z572" s="5" t="s">
        <v>22</v>
      </c>
      <c r="AA572" s="112" t="s">
        <v>19</v>
      </c>
    </row>
    <row r="573" spans="1:29" x14ac:dyDescent="0.25">
      <c r="A573" s="329">
        <v>45920</v>
      </c>
      <c r="B573" s="5">
        <v>5</v>
      </c>
      <c r="D573" s="5" t="s">
        <v>226</v>
      </c>
      <c r="E573" s="6">
        <v>1.18</v>
      </c>
      <c r="G573" s="362">
        <v>2</v>
      </c>
      <c r="H573" s="362">
        <v>0</v>
      </c>
      <c r="I573" s="8">
        <v>0.96</v>
      </c>
      <c r="L573" s="5" t="s">
        <v>192</v>
      </c>
      <c r="N573" s="345">
        <v>45</v>
      </c>
      <c r="O573" s="38" t="s">
        <v>192</v>
      </c>
      <c r="P573" s="5" t="s">
        <v>282</v>
      </c>
      <c r="Q573" s="5" t="s">
        <v>283</v>
      </c>
      <c r="R573" s="5" t="s">
        <v>713</v>
      </c>
      <c r="S573" s="479">
        <v>60</v>
      </c>
      <c r="T573" s="5" t="s">
        <v>47</v>
      </c>
      <c r="U573" s="5" t="s">
        <v>43</v>
      </c>
      <c r="V573" s="57" t="s">
        <v>33</v>
      </c>
      <c r="W573" s="51">
        <v>0.56000000000000005</v>
      </c>
      <c r="X573" s="357" t="s">
        <v>53</v>
      </c>
      <c r="Y573" s="351" t="s">
        <v>353</v>
      </c>
      <c r="Z573" s="5" t="s">
        <v>13</v>
      </c>
      <c r="AA573" s="112" t="s">
        <v>19</v>
      </c>
    </row>
    <row r="574" spans="1:29" x14ac:dyDescent="0.25">
      <c r="A574" s="329">
        <v>45920</v>
      </c>
      <c r="B574" s="5">
        <v>5</v>
      </c>
      <c r="D574" s="5" t="s">
        <v>226</v>
      </c>
      <c r="E574" s="6">
        <v>1.18</v>
      </c>
      <c r="G574" s="362">
        <v>2</v>
      </c>
      <c r="H574" s="362">
        <v>0</v>
      </c>
      <c r="I574" s="8">
        <v>0.96</v>
      </c>
      <c r="L574" s="5" t="s">
        <v>192</v>
      </c>
      <c r="N574" s="476" t="s">
        <v>122</v>
      </c>
      <c r="O574" s="477" t="s">
        <v>226</v>
      </c>
      <c r="P574" s="478" t="s">
        <v>231</v>
      </c>
      <c r="Q574" s="478" t="s">
        <v>232</v>
      </c>
      <c r="R574" s="478" t="s">
        <v>717</v>
      </c>
      <c r="S574" s="479">
        <v>79</v>
      </c>
      <c r="T574" s="478" t="s">
        <v>41</v>
      </c>
      <c r="U574" s="478" t="s">
        <v>42</v>
      </c>
      <c r="V574" s="480" t="s">
        <v>18</v>
      </c>
      <c r="W574" s="51">
        <v>0.28000000000000003</v>
      </c>
      <c r="X574" s="357" t="s">
        <v>53</v>
      </c>
      <c r="Y574" s="351" t="s">
        <v>353</v>
      </c>
      <c r="Z574" s="5" t="s">
        <v>22</v>
      </c>
      <c r="AA574" s="112" t="s">
        <v>19</v>
      </c>
    </row>
    <row r="575" spans="1:29" x14ac:dyDescent="0.25">
      <c r="A575" s="329">
        <v>45920</v>
      </c>
      <c r="B575" s="5">
        <v>5</v>
      </c>
      <c r="D575" s="5" t="s">
        <v>226</v>
      </c>
      <c r="E575" s="6">
        <v>1.18</v>
      </c>
      <c r="G575" s="362">
        <v>2</v>
      </c>
      <c r="H575" s="362">
        <v>0</v>
      </c>
      <c r="I575" s="8">
        <v>0.96</v>
      </c>
      <c r="L575" s="5" t="s">
        <v>192</v>
      </c>
      <c r="N575" s="476">
        <v>47</v>
      </c>
      <c r="O575" s="477" t="s">
        <v>226</v>
      </c>
      <c r="P575" s="478" t="s">
        <v>231</v>
      </c>
      <c r="Q575" s="478" t="s">
        <v>232</v>
      </c>
      <c r="R575" s="478" t="s">
        <v>717</v>
      </c>
      <c r="S575" s="479">
        <v>79</v>
      </c>
      <c r="T575" s="478" t="s">
        <v>354</v>
      </c>
      <c r="U575" s="478" t="s">
        <v>42</v>
      </c>
      <c r="V575" s="480" t="s">
        <v>10</v>
      </c>
      <c r="W575" s="51">
        <v>0.02</v>
      </c>
      <c r="X575" s="357">
        <v>0.18</v>
      </c>
      <c r="Z575" s="5" t="s">
        <v>8</v>
      </c>
      <c r="AA575" s="112" t="s">
        <v>24</v>
      </c>
      <c r="AB575" s="108" t="s">
        <v>289</v>
      </c>
      <c r="AC575" s="57" t="s">
        <v>54</v>
      </c>
    </row>
    <row r="576" spans="1:29" x14ac:dyDescent="0.25">
      <c r="A576" s="329">
        <v>45920</v>
      </c>
      <c r="B576" s="5">
        <v>5</v>
      </c>
      <c r="D576" s="5" t="s">
        <v>226</v>
      </c>
      <c r="E576" s="6">
        <v>1.18</v>
      </c>
      <c r="G576" s="362">
        <v>2</v>
      </c>
      <c r="H576" s="362">
        <v>0</v>
      </c>
      <c r="I576" s="8">
        <v>0.96</v>
      </c>
      <c r="L576" s="5" t="s">
        <v>192</v>
      </c>
      <c r="N576" s="476">
        <v>52</v>
      </c>
      <c r="O576" s="477" t="s">
        <v>226</v>
      </c>
      <c r="P576" s="478" t="s">
        <v>231</v>
      </c>
      <c r="Q576" s="478" t="s">
        <v>232</v>
      </c>
      <c r="R576" s="478" t="s">
        <v>717</v>
      </c>
      <c r="S576" s="479">
        <v>79</v>
      </c>
      <c r="T576" s="478" t="s">
        <v>47</v>
      </c>
      <c r="U576" s="478" t="s">
        <v>42</v>
      </c>
      <c r="V576" s="480" t="s">
        <v>10</v>
      </c>
      <c r="W576" s="51">
        <v>0.11</v>
      </c>
      <c r="X576" s="357" t="s">
        <v>53</v>
      </c>
      <c r="Z576" s="5" t="s">
        <v>55</v>
      </c>
      <c r="AA576" s="112" t="s">
        <v>24</v>
      </c>
    </row>
    <row r="577" spans="1:29" x14ac:dyDescent="0.25">
      <c r="A577" s="329">
        <v>45920</v>
      </c>
      <c r="B577" s="5">
        <v>5</v>
      </c>
      <c r="D577" s="5" t="s">
        <v>226</v>
      </c>
      <c r="E577" s="6">
        <v>1.18</v>
      </c>
      <c r="G577" s="362">
        <v>2</v>
      </c>
      <c r="H577" s="362">
        <v>0</v>
      </c>
      <c r="I577" s="8">
        <v>0.96</v>
      </c>
      <c r="L577" s="5" t="s">
        <v>192</v>
      </c>
      <c r="N577" s="476">
        <v>66</v>
      </c>
      <c r="O577" s="477" t="s">
        <v>226</v>
      </c>
      <c r="P577" s="478" t="s">
        <v>231</v>
      </c>
      <c r="Q577" s="478" t="s">
        <v>232</v>
      </c>
      <c r="R577" s="478" t="s">
        <v>717</v>
      </c>
      <c r="S577" s="479">
        <v>79</v>
      </c>
      <c r="T577" s="478" t="s">
        <v>47</v>
      </c>
      <c r="U577" s="478" t="s">
        <v>42</v>
      </c>
      <c r="V577" s="480" t="s">
        <v>540</v>
      </c>
      <c r="W577" s="51">
        <v>0.18</v>
      </c>
      <c r="X577" s="357">
        <v>0.5</v>
      </c>
      <c r="Y577" s="351" t="s">
        <v>353</v>
      </c>
      <c r="Z577" s="5" t="s">
        <v>48</v>
      </c>
      <c r="AA577" s="112" t="s">
        <v>24</v>
      </c>
    </row>
    <row r="578" spans="1:29" x14ac:dyDescent="0.25">
      <c r="A578" s="329">
        <v>45920</v>
      </c>
      <c r="B578" s="5">
        <v>5</v>
      </c>
      <c r="D578" s="5" t="s">
        <v>226</v>
      </c>
      <c r="E578" s="6">
        <v>1.18</v>
      </c>
      <c r="G578" s="362">
        <v>2</v>
      </c>
      <c r="H578" s="362">
        <v>0</v>
      </c>
      <c r="I578" s="8">
        <v>0.96</v>
      </c>
      <c r="L578" s="5" t="s">
        <v>192</v>
      </c>
      <c r="N578" s="476">
        <v>66</v>
      </c>
      <c r="O578" s="477" t="s">
        <v>226</v>
      </c>
      <c r="P578" s="478" t="s">
        <v>289</v>
      </c>
      <c r="Q578" s="478" t="s">
        <v>54</v>
      </c>
      <c r="R578" s="478" t="s">
        <v>685</v>
      </c>
      <c r="S578" s="479">
        <v>77</v>
      </c>
      <c r="T578" s="478" t="s">
        <v>47</v>
      </c>
      <c r="U578" s="478" t="s">
        <v>43</v>
      </c>
      <c r="V578" s="480" t="s">
        <v>540</v>
      </c>
      <c r="W578" s="51">
        <v>0.16</v>
      </c>
      <c r="X578" s="357" t="s">
        <v>53</v>
      </c>
      <c r="Y578" s="351" t="s">
        <v>353</v>
      </c>
      <c r="Z578" s="5" t="s">
        <v>17</v>
      </c>
      <c r="AA578" s="112" t="s">
        <v>24</v>
      </c>
    </row>
    <row r="579" spans="1:29" x14ac:dyDescent="0.25">
      <c r="A579" s="329">
        <v>45920</v>
      </c>
      <c r="B579" s="5">
        <v>5</v>
      </c>
      <c r="D579" s="5" t="s">
        <v>226</v>
      </c>
      <c r="E579" s="6">
        <v>1.18</v>
      </c>
      <c r="G579" s="362">
        <v>2</v>
      </c>
      <c r="H579" s="362">
        <v>0</v>
      </c>
      <c r="I579" s="8">
        <v>0.96</v>
      </c>
      <c r="L579" s="5" t="s">
        <v>192</v>
      </c>
      <c r="N579" s="476">
        <v>72</v>
      </c>
      <c r="O579" s="477" t="s">
        <v>226</v>
      </c>
      <c r="P579" s="478" t="s">
        <v>289</v>
      </c>
      <c r="Q579" s="478" t="s">
        <v>54</v>
      </c>
      <c r="R579" s="478" t="s">
        <v>685</v>
      </c>
      <c r="S579" s="479">
        <v>77</v>
      </c>
      <c r="T579" s="478" t="s">
        <v>354</v>
      </c>
      <c r="U579" s="478" t="s">
        <v>42</v>
      </c>
      <c r="V579" s="480" t="s">
        <v>540</v>
      </c>
      <c r="W579" s="51">
        <v>0.03</v>
      </c>
      <c r="X579" s="357">
        <v>0.24</v>
      </c>
      <c r="Z579" s="5" t="s">
        <v>48</v>
      </c>
      <c r="AA579" s="112" t="s">
        <v>24</v>
      </c>
    </row>
    <row r="580" spans="1:29" ht="15.75" thickBot="1" x14ac:dyDescent="0.3">
      <c r="A580" s="330">
        <v>45920</v>
      </c>
      <c r="B580" s="9">
        <v>5</v>
      </c>
      <c r="C580" s="122"/>
      <c r="D580" s="9" t="s">
        <v>226</v>
      </c>
      <c r="E580" s="10">
        <v>1.18</v>
      </c>
      <c r="F580" s="10"/>
      <c r="G580" s="383">
        <v>2</v>
      </c>
      <c r="H580" s="383">
        <v>0</v>
      </c>
      <c r="I580" s="12">
        <v>0.96</v>
      </c>
      <c r="J580" s="12"/>
      <c r="K580" s="122"/>
      <c r="L580" s="9" t="s">
        <v>192</v>
      </c>
      <c r="M580" s="45"/>
      <c r="N580" s="346" t="s">
        <v>415</v>
      </c>
      <c r="O580" s="454" t="s">
        <v>192</v>
      </c>
      <c r="P580" s="9" t="s">
        <v>194</v>
      </c>
      <c r="Q580" s="9" t="s">
        <v>195</v>
      </c>
      <c r="R580" s="9" t="s">
        <v>712</v>
      </c>
      <c r="S580" s="7">
        <v>59</v>
      </c>
      <c r="T580" s="9" t="s">
        <v>41</v>
      </c>
      <c r="U580" s="9" t="s">
        <v>45</v>
      </c>
      <c r="V580" s="58" t="s">
        <v>20</v>
      </c>
      <c r="W580" s="52">
        <v>0.1</v>
      </c>
      <c r="X580" s="358" t="s">
        <v>53</v>
      </c>
      <c r="Y580" s="352"/>
      <c r="Z580" s="9" t="s">
        <v>13</v>
      </c>
      <c r="AA580" s="113" t="s">
        <v>24</v>
      </c>
      <c r="AB580" s="109"/>
      <c r="AC580" s="58"/>
    </row>
    <row r="581" spans="1:29" ht="15.75" thickBot="1" x14ac:dyDescent="0.3">
      <c r="A581" s="326">
        <v>45920</v>
      </c>
      <c r="B581" s="207">
        <v>5</v>
      </c>
      <c r="C581" s="208"/>
      <c r="D581" s="207" t="s">
        <v>226</v>
      </c>
      <c r="E581" s="209">
        <v>1.18</v>
      </c>
      <c r="F581" s="209"/>
      <c r="G581" s="460">
        <v>2</v>
      </c>
      <c r="H581" s="460">
        <v>0</v>
      </c>
      <c r="I581" s="211">
        <v>0.96</v>
      </c>
      <c r="J581" s="211"/>
      <c r="K581" s="208"/>
      <c r="L581" s="207" t="s">
        <v>192</v>
      </c>
      <c r="M581" s="235"/>
      <c r="N581" s="347"/>
      <c r="O581" s="343" t="s">
        <v>226</v>
      </c>
      <c r="P581" s="199" t="s">
        <v>726</v>
      </c>
      <c r="Q581" s="199" t="s">
        <v>727</v>
      </c>
      <c r="R581" s="199" t="s">
        <v>707</v>
      </c>
      <c r="S581" s="7">
        <v>70</v>
      </c>
      <c r="T581" s="199"/>
      <c r="U581" s="199"/>
      <c r="V581" s="201"/>
      <c r="W581" s="202"/>
      <c r="X581" s="359"/>
      <c r="Y581" s="353">
        <f>H581</f>
        <v>0</v>
      </c>
      <c r="Z581" s="199"/>
      <c r="AA581" s="204"/>
      <c r="AB581" s="205"/>
      <c r="AC581" s="201"/>
    </row>
    <row r="582" spans="1:29" ht="15.75" thickBot="1" x14ac:dyDescent="0.3">
      <c r="A582" s="326">
        <v>45920</v>
      </c>
      <c r="B582" s="207">
        <v>5</v>
      </c>
      <c r="C582" s="208"/>
      <c r="D582" s="207" t="s">
        <v>226</v>
      </c>
      <c r="E582" s="209">
        <v>1.18</v>
      </c>
      <c r="F582" s="209"/>
      <c r="G582" s="460">
        <v>2</v>
      </c>
      <c r="H582" s="460">
        <v>0</v>
      </c>
      <c r="I582" s="211">
        <v>0.96</v>
      </c>
      <c r="J582" s="211"/>
      <c r="K582" s="208"/>
      <c r="L582" s="207" t="s">
        <v>192</v>
      </c>
      <c r="M582" s="235"/>
      <c r="N582" s="347"/>
      <c r="O582" s="343" t="s">
        <v>192</v>
      </c>
      <c r="P582" s="199" t="s">
        <v>723</v>
      </c>
      <c r="Q582" s="199" t="s">
        <v>724</v>
      </c>
      <c r="R582" s="199" t="s">
        <v>707</v>
      </c>
      <c r="S582" s="479">
        <v>59</v>
      </c>
      <c r="T582" s="199"/>
      <c r="U582" s="199"/>
      <c r="V582" s="201"/>
      <c r="W582" s="202"/>
      <c r="X582" s="359"/>
      <c r="Y582" s="353">
        <f>G581</f>
        <v>2</v>
      </c>
      <c r="Z582" s="199"/>
      <c r="AA582" s="204"/>
      <c r="AB582" s="205"/>
      <c r="AC582" s="201"/>
    </row>
    <row r="583" spans="1:29" x14ac:dyDescent="0.25">
      <c r="A583" s="331">
        <v>45920</v>
      </c>
      <c r="B583" s="13">
        <v>5</v>
      </c>
      <c r="C583" s="124" t="s">
        <v>692</v>
      </c>
      <c r="D583" s="13" t="s">
        <v>128</v>
      </c>
      <c r="E583" s="14">
        <v>0.95</v>
      </c>
      <c r="F583" s="14"/>
      <c r="G583" s="375">
        <v>1</v>
      </c>
      <c r="H583" s="375">
        <v>2</v>
      </c>
      <c r="I583" s="16">
        <v>0.48</v>
      </c>
      <c r="J583" s="16"/>
      <c r="K583" s="124" t="s">
        <v>702</v>
      </c>
      <c r="L583" s="13" t="s">
        <v>171</v>
      </c>
      <c r="M583" s="47"/>
      <c r="N583" s="349">
        <v>8</v>
      </c>
      <c r="O583" s="458" t="s">
        <v>171</v>
      </c>
      <c r="P583" s="13" t="s">
        <v>326</v>
      </c>
      <c r="Q583" s="13" t="s">
        <v>327</v>
      </c>
      <c r="R583" s="13" t="s">
        <v>685</v>
      </c>
      <c r="S583" s="481">
        <v>62</v>
      </c>
      <c r="T583" s="13" t="s">
        <v>41</v>
      </c>
      <c r="U583" s="13" t="s">
        <v>42</v>
      </c>
      <c r="V583" s="60" t="s">
        <v>10</v>
      </c>
      <c r="W583" s="54">
        <v>7.0000000000000007E-2</v>
      </c>
      <c r="X583" s="361">
        <v>0.54</v>
      </c>
      <c r="Y583" s="355" t="s">
        <v>353</v>
      </c>
      <c r="Z583" s="13" t="s">
        <v>48</v>
      </c>
      <c r="AA583" s="115" t="s">
        <v>28</v>
      </c>
      <c r="AB583" s="110"/>
      <c r="AC583" s="60"/>
    </row>
    <row r="584" spans="1:29" x14ac:dyDescent="0.25">
      <c r="A584" s="329">
        <v>45920</v>
      </c>
      <c r="B584" s="5">
        <v>5</v>
      </c>
      <c r="D584" s="5" t="s">
        <v>128</v>
      </c>
      <c r="E584" s="6">
        <v>0.95</v>
      </c>
      <c r="G584" s="362">
        <v>1</v>
      </c>
      <c r="H584" s="362">
        <v>2</v>
      </c>
      <c r="I584" s="8">
        <v>0.48</v>
      </c>
      <c r="L584" s="5" t="s">
        <v>171</v>
      </c>
      <c r="N584" s="345">
        <v>10</v>
      </c>
      <c r="O584" s="38" t="s">
        <v>171</v>
      </c>
      <c r="P584" s="5" t="s">
        <v>328</v>
      </c>
      <c r="Q584" s="5" t="s">
        <v>329</v>
      </c>
      <c r="R584" s="5" t="s">
        <v>686</v>
      </c>
      <c r="S584" s="481">
        <v>74</v>
      </c>
      <c r="T584" s="5" t="s">
        <v>44</v>
      </c>
      <c r="U584" s="5" t="s">
        <v>43</v>
      </c>
      <c r="V584" s="57" t="s">
        <v>18</v>
      </c>
      <c r="W584" s="51">
        <v>0.11</v>
      </c>
      <c r="X584" s="357">
        <v>0.52</v>
      </c>
      <c r="Z584" s="5" t="s">
        <v>8</v>
      </c>
      <c r="AA584" s="112" t="s">
        <v>9</v>
      </c>
    </row>
    <row r="585" spans="1:29" x14ac:dyDescent="0.25">
      <c r="A585" s="329">
        <v>45920</v>
      </c>
      <c r="B585" s="5">
        <v>5</v>
      </c>
      <c r="D585" s="5" t="s">
        <v>128</v>
      </c>
      <c r="E585" s="6">
        <v>0.95</v>
      </c>
      <c r="G585" s="362">
        <v>1</v>
      </c>
      <c r="H585" s="362">
        <v>2</v>
      </c>
      <c r="I585" s="8">
        <v>0.48</v>
      </c>
      <c r="L585" s="5" t="s">
        <v>171</v>
      </c>
      <c r="N585" s="519">
        <v>17</v>
      </c>
      <c r="O585" s="520" t="s">
        <v>128</v>
      </c>
      <c r="P585" s="506" t="s">
        <v>46</v>
      </c>
      <c r="Q585" s="506" t="s">
        <v>132</v>
      </c>
      <c r="R585" s="506" t="s">
        <v>686</v>
      </c>
      <c r="S585" s="479">
        <v>73</v>
      </c>
      <c r="T585" s="506" t="s">
        <v>41</v>
      </c>
      <c r="U585" s="506" t="s">
        <v>42</v>
      </c>
      <c r="V585" s="521" t="s">
        <v>7</v>
      </c>
      <c r="W585" s="51">
        <v>0.79</v>
      </c>
      <c r="X585" s="357">
        <v>0.77</v>
      </c>
      <c r="Y585" s="351" t="s">
        <v>353</v>
      </c>
      <c r="Z585" s="5" t="s">
        <v>8</v>
      </c>
      <c r="AA585" s="112" t="s">
        <v>51</v>
      </c>
    </row>
    <row r="586" spans="1:29" x14ac:dyDescent="0.25">
      <c r="A586" s="329">
        <v>45920</v>
      </c>
      <c r="B586" s="5">
        <v>5</v>
      </c>
      <c r="D586" s="5" t="s">
        <v>128</v>
      </c>
      <c r="E586" s="6">
        <v>0.95</v>
      </c>
      <c r="G586" s="362">
        <v>1</v>
      </c>
      <c r="H586" s="362">
        <v>2</v>
      </c>
      <c r="I586" s="8">
        <v>0.48</v>
      </c>
      <c r="L586" s="5" t="s">
        <v>171</v>
      </c>
      <c r="N586" s="345">
        <v>57</v>
      </c>
      <c r="O586" s="38" t="s">
        <v>171</v>
      </c>
      <c r="P586" s="5" t="s">
        <v>441</v>
      </c>
      <c r="Q586" s="5" t="s">
        <v>442</v>
      </c>
      <c r="R586" s="5" t="s">
        <v>689</v>
      </c>
      <c r="S586" s="479">
        <v>73</v>
      </c>
      <c r="T586" s="5" t="s">
        <v>41</v>
      </c>
      <c r="U586" s="5" t="s">
        <v>42</v>
      </c>
      <c r="V586" s="57" t="s">
        <v>10</v>
      </c>
      <c r="W586" s="51">
        <v>0.03</v>
      </c>
      <c r="X586" s="357" t="s">
        <v>53</v>
      </c>
      <c r="Y586" s="351" t="s">
        <v>353</v>
      </c>
      <c r="Z586" s="5" t="s">
        <v>52</v>
      </c>
      <c r="AA586" s="112" t="s">
        <v>51</v>
      </c>
    </row>
    <row r="587" spans="1:29" ht="15.75" thickBot="1" x14ac:dyDescent="0.3">
      <c r="A587" s="330">
        <v>45920</v>
      </c>
      <c r="B587" s="9">
        <v>5</v>
      </c>
      <c r="C587" s="122"/>
      <c r="D587" s="9" t="s">
        <v>128</v>
      </c>
      <c r="E587" s="10">
        <v>0.95</v>
      </c>
      <c r="F587" s="10"/>
      <c r="G587" s="383">
        <v>1</v>
      </c>
      <c r="H587" s="383">
        <v>2</v>
      </c>
      <c r="I587" s="12">
        <v>0.48</v>
      </c>
      <c r="J587" s="12"/>
      <c r="K587" s="122"/>
      <c r="L587" s="9" t="s">
        <v>171</v>
      </c>
      <c r="M587" s="45"/>
      <c r="N587" s="346">
        <v>67</v>
      </c>
      <c r="O587" s="454" t="s">
        <v>171</v>
      </c>
      <c r="P587" s="9" t="s">
        <v>440</v>
      </c>
      <c r="Q587" s="9" t="s">
        <v>21</v>
      </c>
      <c r="R587" s="9" t="s">
        <v>696</v>
      </c>
      <c r="S587" s="479">
        <v>71</v>
      </c>
      <c r="T587" s="9" t="s">
        <v>41</v>
      </c>
      <c r="U587" s="9" t="s">
        <v>42</v>
      </c>
      <c r="V587" s="58" t="s">
        <v>10</v>
      </c>
      <c r="W587" s="52">
        <v>0.12</v>
      </c>
      <c r="X587" s="358">
        <v>0.46</v>
      </c>
      <c r="Y587" s="352"/>
      <c r="Z587" s="9" t="s">
        <v>8</v>
      </c>
      <c r="AA587" s="113" t="s">
        <v>67</v>
      </c>
      <c r="AB587" s="109" t="s">
        <v>441</v>
      </c>
      <c r="AC587" s="58" t="s">
        <v>442</v>
      </c>
    </row>
    <row r="588" spans="1:29" ht="15.75" thickBot="1" x14ac:dyDescent="0.3">
      <c r="A588" s="326">
        <v>45920</v>
      </c>
      <c r="B588" s="207">
        <v>5</v>
      </c>
      <c r="C588" s="208"/>
      <c r="D588" s="207" t="s">
        <v>128</v>
      </c>
      <c r="E588" s="209">
        <v>0.95</v>
      </c>
      <c r="F588" s="209"/>
      <c r="G588" s="460">
        <v>1</v>
      </c>
      <c r="H588" s="460">
        <v>2</v>
      </c>
      <c r="I588" s="211">
        <v>0.48</v>
      </c>
      <c r="J588" s="211"/>
      <c r="K588" s="208"/>
      <c r="L588" s="207" t="s">
        <v>171</v>
      </c>
      <c r="M588" s="235"/>
      <c r="N588" s="347"/>
      <c r="O588" s="343" t="s">
        <v>128</v>
      </c>
      <c r="P588" s="199" t="s">
        <v>127</v>
      </c>
      <c r="Q588" s="199" t="s">
        <v>476</v>
      </c>
      <c r="R588" s="199" t="s">
        <v>707</v>
      </c>
      <c r="S588" s="7">
        <v>57</v>
      </c>
      <c r="T588" s="199"/>
      <c r="U588" s="199"/>
      <c r="V588" s="201"/>
      <c r="W588" s="202"/>
      <c r="X588" s="359"/>
      <c r="Y588" s="353">
        <f>H588</f>
        <v>2</v>
      </c>
      <c r="Z588" s="199"/>
      <c r="AA588" s="204"/>
      <c r="AB588" s="205"/>
      <c r="AC588" s="201"/>
    </row>
    <row r="589" spans="1:29" ht="15.75" thickBot="1" x14ac:dyDescent="0.3">
      <c r="A589" s="326">
        <v>45920</v>
      </c>
      <c r="B589" s="207">
        <v>5</v>
      </c>
      <c r="C589" s="208"/>
      <c r="D589" s="207" t="s">
        <v>128</v>
      </c>
      <c r="E589" s="209">
        <v>0.95</v>
      </c>
      <c r="F589" s="209"/>
      <c r="G589" s="460">
        <v>1</v>
      </c>
      <c r="H589" s="460">
        <v>2</v>
      </c>
      <c r="I589" s="211">
        <v>0.48</v>
      </c>
      <c r="J589" s="211"/>
      <c r="K589" s="208"/>
      <c r="L589" s="207" t="s">
        <v>171</v>
      </c>
      <c r="M589" s="235"/>
      <c r="N589" s="347"/>
      <c r="O589" s="343" t="s">
        <v>171</v>
      </c>
      <c r="P589" s="199" t="s">
        <v>524</v>
      </c>
      <c r="Q589" s="199" t="s">
        <v>525</v>
      </c>
      <c r="R589" s="199" t="s">
        <v>707</v>
      </c>
      <c r="S589" s="479">
        <v>64</v>
      </c>
      <c r="T589" s="199"/>
      <c r="U589" s="199"/>
      <c r="V589" s="201"/>
      <c r="W589" s="202"/>
      <c r="X589" s="359"/>
      <c r="Y589" s="353">
        <f>G588</f>
        <v>1</v>
      </c>
      <c r="Z589" s="199"/>
      <c r="AA589" s="204"/>
      <c r="AB589" s="205"/>
      <c r="AC589" s="201"/>
    </row>
    <row r="590" spans="1:29" x14ac:dyDescent="0.25">
      <c r="A590" s="331">
        <v>45920</v>
      </c>
      <c r="B590" s="13">
        <v>5</v>
      </c>
      <c r="C590" s="124" t="s">
        <v>694</v>
      </c>
      <c r="D590" s="13" t="s">
        <v>91</v>
      </c>
      <c r="E590" s="14">
        <v>2.5499999999999998</v>
      </c>
      <c r="F590" s="14"/>
      <c r="G590" s="375">
        <v>2</v>
      </c>
      <c r="H590" s="375">
        <v>1</v>
      </c>
      <c r="I590" s="16">
        <v>1.8</v>
      </c>
      <c r="J590" s="16"/>
      <c r="K590" s="124" t="s">
        <v>700</v>
      </c>
      <c r="L590" s="13" t="s">
        <v>227</v>
      </c>
      <c r="M590" s="268" t="s">
        <v>451</v>
      </c>
      <c r="N590" s="349">
        <v>3</v>
      </c>
      <c r="O590" s="458" t="s">
        <v>227</v>
      </c>
      <c r="P590" s="13" t="s">
        <v>65</v>
      </c>
      <c r="Q590" s="13" t="s">
        <v>450</v>
      </c>
      <c r="R590" s="13" t="s">
        <v>712</v>
      </c>
      <c r="S590" s="479">
        <v>65</v>
      </c>
      <c r="T590" s="13" t="s">
        <v>41</v>
      </c>
      <c r="U590" s="13" t="s">
        <v>43</v>
      </c>
      <c r="V590" s="60" t="s">
        <v>33</v>
      </c>
      <c r="W590" s="54">
        <v>0.39</v>
      </c>
      <c r="X590" s="361" t="s">
        <v>53</v>
      </c>
      <c r="Y590" s="355" t="s">
        <v>353</v>
      </c>
      <c r="Z590" s="13" t="s">
        <v>13</v>
      </c>
      <c r="AA590" s="115" t="s">
        <v>28</v>
      </c>
      <c r="AB590" s="110"/>
      <c r="AC590" s="60"/>
    </row>
    <row r="591" spans="1:29" x14ac:dyDescent="0.25">
      <c r="A591" s="329">
        <v>45920</v>
      </c>
      <c r="B591" s="5">
        <v>5</v>
      </c>
      <c r="D591" s="5" t="s">
        <v>91</v>
      </c>
      <c r="E591" s="6">
        <v>2.5499999999999998</v>
      </c>
      <c r="G591" s="362">
        <v>2</v>
      </c>
      <c r="H591" s="362">
        <v>1</v>
      </c>
      <c r="I591" s="8">
        <v>1.8</v>
      </c>
      <c r="L591" s="5" t="s">
        <v>227</v>
      </c>
      <c r="M591" s="242" t="s">
        <v>451</v>
      </c>
      <c r="N591" s="476">
        <v>7</v>
      </c>
      <c r="O591" s="477" t="s">
        <v>91</v>
      </c>
      <c r="P591" s="478" t="s">
        <v>96</v>
      </c>
      <c r="Q591" s="478" t="s">
        <v>97</v>
      </c>
      <c r="R591" s="478" t="s">
        <v>718</v>
      </c>
      <c r="S591" s="479">
        <v>75</v>
      </c>
      <c r="T591" s="478" t="s">
        <v>41</v>
      </c>
      <c r="U591" s="478" t="s">
        <v>43</v>
      </c>
      <c r="V591" s="480" t="s">
        <v>540</v>
      </c>
      <c r="W591" s="51">
        <v>0.12</v>
      </c>
      <c r="X591" s="357" t="s">
        <v>53</v>
      </c>
      <c r="Z591" s="5" t="s">
        <v>13</v>
      </c>
      <c r="AA591" s="112" t="s">
        <v>28</v>
      </c>
    </row>
    <row r="592" spans="1:29" x14ac:dyDescent="0.25">
      <c r="A592" s="329">
        <v>45920</v>
      </c>
      <c r="B592" s="5">
        <v>5</v>
      </c>
      <c r="D592" s="5" t="s">
        <v>91</v>
      </c>
      <c r="E592" s="6">
        <v>2.5499999999999998</v>
      </c>
      <c r="G592" s="362">
        <v>2</v>
      </c>
      <c r="H592" s="362">
        <v>1</v>
      </c>
      <c r="I592" s="8">
        <v>1.8</v>
      </c>
      <c r="L592" s="5" t="s">
        <v>227</v>
      </c>
      <c r="M592" s="242" t="s">
        <v>451</v>
      </c>
      <c r="N592" s="345">
        <v>19</v>
      </c>
      <c r="O592" s="38" t="s">
        <v>227</v>
      </c>
      <c r="P592" s="5" t="s">
        <v>25</v>
      </c>
      <c r="Q592" s="5" t="s">
        <v>397</v>
      </c>
      <c r="R592" s="5" t="s">
        <v>685</v>
      </c>
      <c r="S592" s="7">
        <v>66</v>
      </c>
      <c r="T592" s="5" t="s">
        <v>41</v>
      </c>
      <c r="U592" s="5" t="s">
        <v>42</v>
      </c>
      <c r="V592" s="57" t="s">
        <v>10</v>
      </c>
      <c r="W592" s="51">
        <v>0.11</v>
      </c>
      <c r="X592" s="357" t="s">
        <v>53</v>
      </c>
      <c r="Z592" s="5" t="s">
        <v>13</v>
      </c>
      <c r="AA592" s="112" t="s">
        <v>28</v>
      </c>
    </row>
    <row r="593" spans="1:29" x14ac:dyDescent="0.25">
      <c r="A593" s="329">
        <v>45920</v>
      </c>
      <c r="B593" s="5">
        <v>5</v>
      </c>
      <c r="D593" s="5" t="s">
        <v>91</v>
      </c>
      <c r="E593" s="6">
        <v>2.5499999999999998</v>
      </c>
      <c r="G593" s="362">
        <v>2</v>
      </c>
      <c r="H593" s="362">
        <v>1</v>
      </c>
      <c r="I593" s="8">
        <v>1.8</v>
      </c>
      <c r="L593" s="5" t="s">
        <v>227</v>
      </c>
      <c r="M593" s="242" t="s">
        <v>451</v>
      </c>
      <c r="N593" s="476">
        <v>26</v>
      </c>
      <c r="O593" s="477" t="s">
        <v>91</v>
      </c>
      <c r="P593" s="478" t="s">
        <v>443</v>
      </c>
      <c r="Q593" s="478" t="s">
        <v>444</v>
      </c>
      <c r="R593" s="478" t="s">
        <v>717</v>
      </c>
      <c r="S593" s="479">
        <v>76</v>
      </c>
      <c r="T593" s="478" t="s">
        <v>44</v>
      </c>
      <c r="U593" s="478" t="s">
        <v>42</v>
      </c>
      <c r="V593" s="480" t="s">
        <v>10</v>
      </c>
      <c r="W593" s="51">
        <v>0.06</v>
      </c>
      <c r="X593" s="357" t="s">
        <v>53</v>
      </c>
      <c r="Z593" s="5" t="s">
        <v>16</v>
      </c>
      <c r="AA593" s="112" t="s">
        <v>28</v>
      </c>
    </row>
    <row r="594" spans="1:29" x14ac:dyDescent="0.25">
      <c r="A594" s="329">
        <v>45920</v>
      </c>
      <c r="B594" s="5">
        <v>5</v>
      </c>
      <c r="D594" s="5" t="s">
        <v>91</v>
      </c>
      <c r="E594" s="6">
        <v>2.5499999999999998</v>
      </c>
      <c r="G594" s="362">
        <v>2</v>
      </c>
      <c r="H594" s="362">
        <v>1</v>
      </c>
      <c r="I594" s="8">
        <v>1.8</v>
      </c>
      <c r="L594" s="5" t="s">
        <v>227</v>
      </c>
      <c r="M594" s="242" t="s">
        <v>451</v>
      </c>
      <c r="N594" s="476">
        <v>33</v>
      </c>
      <c r="O594" s="477" t="s">
        <v>91</v>
      </c>
      <c r="P594" s="478" t="s">
        <v>445</v>
      </c>
      <c r="Q594" s="478" t="s">
        <v>446</v>
      </c>
      <c r="R594" s="478" t="s">
        <v>686</v>
      </c>
      <c r="S594" s="479">
        <v>63</v>
      </c>
      <c r="T594" s="478" t="s">
        <v>41</v>
      </c>
      <c r="U594" s="478" t="s">
        <v>42</v>
      </c>
      <c r="V594" s="480" t="s">
        <v>10</v>
      </c>
      <c r="W594" s="51">
        <v>0.33</v>
      </c>
      <c r="X594" s="357">
        <v>0.49</v>
      </c>
      <c r="Y594" s="351" t="s">
        <v>353</v>
      </c>
      <c r="Z594" s="5" t="s">
        <v>48</v>
      </c>
      <c r="AA594" s="112" t="s">
        <v>28</v>
      </c>
    </row>
    <row r="595" spans="1:29" x14ac:dyDescent="0.25">
      <c r="A595" s="329">
        <v>45920</v>
      </c>
      <c r="B595" s="5">
        <v>5</v>
      </c>
      <c r="D595" s="5" t="s">
        <v>91</v>
      </c>
      <c r="E595" s="6">
        <v>2.5499999999999998</v>
      </c>
      <c r="G595" s="362">
        <v>2</v>
      </c>
      <c r="H595" s="362">
        <v>1</v>
      </c>
      <c r="I595" s="8">
        <v>1.8</v>
      </c>
      <c r="L595" s="5" t="s">
        <v>227</v>
      </c>
      <c r="M595" s="242" t="s">
        <v>451</v>
      </c>
      <c r="N595" s="476">
        <v>35</v>
      </c>
      <c r="O595" s="477" t="s">
        <v>91</v>
      </c>
      <c r="P595" s="478" t="s">
        <v>443</v>
      </c>
      <c r="Q595" s="478" t="s">
        <v>444</v>
      </c>
      <c r="R595" s="478" t="s">
        <v>717</v>
      </c>
      <c r="S595" s="479">
        <v>76</v>
      </c>
      <c r="T595" s="478" t="s">
        <v>41</v>
      </c>
      <c r="U595" s="478" t="s">
        <v>43</v>
      </c>
      <c r="V595" s="480" t="s">
        <v>33</v>
      </c>
      <c r="W595" s="51">
        <v>0.23</v>
      </c>
      <c r="X595" s="357">
        <v>0.83</v>
      </c>
      <c r="Y595" s="351" t="s">
        <v>353</v>
      </c>
      <c r="Z595" s="5" t="s">
        <v>48</v>
      </c>
      <c r="AA595" s="112" t="s">
        <v>28</v>
      </c>
    </row>
    <row r="596" spans="1:29" x14ac:dyDescent="0.25">
      <c r="A596" s="329">
        <v>45920</v>
      </c>
      <c r="B596" s="5">
        <v>5</v>
      </c>
      <c r="D596" s="5" t="s">
        <v>91</v>
      </c>
      <c r="E596" s="6">
        <v>2.5499999999999998</v>
      </c>
      <c r="G596" s="362">
        <v>2</v>
      </c>
      <c r="H596" s="362">
        <v>1</v>
      </c>
      <c r="I596" s="8">
        <v>1.8</v>
      </c>
      <c r="L596" s="5" t="s">
        <v>227</v>
      </c>
      <c r="M596" s="242" t="s">
        <v>451</v>
      </c>
      <c r="N596" s="345" t="s">
        <v>123</v>
      </c>
      <c r="O596" s="38" t="s">
        <v>227</v>
      </c>
      <c r="P596" s="5" t="s">
        <v>238</v>
      </c>
      <c r="Q596" s="5" t="s">
        <v>239</v>
      </c>
      <c r="R596" s="5" t="s">
        <v>684</v>
      </c>
      <c r="S596" s="481">
        <v>71</v>
      </c>
      <c r="T596" s="5" t="s">
        <v>41</v>
      </c>
      <c r="U596" s="5" t="s">
        <v>43</v>
      </c>
      <c r="V596" s="57" t="s">
        <v>7</v>
      </c>
      <c r="W596" s="51">
        <v>0.79</v>
      </c>
      <c r="X596" s="357">
        <v>0.81</v>
      </c>
      <c r="Y596" s="351" t="s">
        <v>353</v>
      </c>
      <c r="Z596" s="5" t="s">
        <v>8</v>
      </c>
      <c r="AA596" s="112" t="s">
        <v>9</v>
      </c>
    </row>
    <row r="597" spans="1:29" x14ac:dyDescent="0.25">
      <c r="A597" s="329">
        <v>45920</v>
      </c>
      <c r="B597" s="5">
        <v>5</v>
      </c>
      <c r="D597" s="5" t="s">
        <v>91</v>
      </c>
      <c r="E597" s="6">
        <v>2.5499999999999998</v>
      </c>
      <c r="G597" s="362">
        <v>2</v>
      </c>
      <c r="H597" s="362">
        <v>1</v>
      </c>
      <c r="I597" s="8">
        <v>1.8</v>
      </c>
      <c r="L597" s="5" t="s">
        <v>227</v>
      </c>
      <c r="M597" s="242" t="s">
        <v>451</v>
      </c>
      <c r="N597" s="476">
        <v>51</v>
      </c>
      <c r="O597" s="477" t="s">
        <v>91</v>
      </c>
      <c r="P597" s="478" t="s">
        <v>447</v>
      </c>
      <c r="Q597" s="478" t="s">
        <v>179</v>
      </c>
      <c r="R597" s="478" t="s">
        <v>689</v>
      </c>
      <c r="S597" s="481">
        <v>68</v>
      </c>
      <c r="T597" s="478" t="s">
        <v>354</v>
      </c>
      <c r="U597" s="478" t="s">
        <v>42</v>
      </c>
      <c r="V597" s="480" t="s">
        <v>540</v>
      </c>
      <c r="W597" s="51">
        <v>0.02</v>
      </c>
      <c r="X597" s="357">
        <v>0.31</v>
      </c>
      <c r="Z597" s="5" t="s">
        <v>48</v>
      </c>
      <c r="AA597" s="112" t="s">
        <v>9</v>
      </c>
    </row>
    <row r="598" spans="1:29" x14ac:dyDescent="0.25">
      <c r="A598" s="329">
        <v>45920</v>
      </c>
      <c r="B598" s="5">
        <v>5</v>
      </c>
      <c r="D598" s="5" t="s">
        <v>91</v>
      </c>
      <c r="E598" s="6">
        <v>2.5499999999999998</v>
      </c>
      <c r="G598" s="362">
        <v>2</v>
      </c>
      <c r="H598" s="362">
        <v>1</v>
      </c>
      <c r="I598" s="8">
        <v>1.8</v>
      </c>
      <c r="L598" s="5" t="s">
        <v>227</v>
      </c>
      <c r="M598" s="242" t="s">
        <v>451</v>
      </c>
      <c r="N598" s="476">
        <v>55</v>
      </c>
      <c r="O598" s="477" t="s">
        <v>91</v>
      </c>
      <c r="P598" s="478" t="s">
        <v>96</v>
      </c>
      <c r="Q598" s="478" t="s">
        <v>97</v>
      </c>
      <c r="R598" s="478" t="s">
        <v>718</v>
      </c>
      <c r="S598" s="479">
        <v>75</v>
      </c>
      <c r="T598" s="478" t="s">
        <v>41</v>
      </c>
      <c r="U598" s="478" t="s">
        <v>45</v>
      </c>
      <c r="V598" s="480" t="s">
        <v>10</v>
      </c>
      <c r="W598" s="51">
        <v>0.04</v>
      </c>
      <c r="X598" s="357" t="s">
        <v>53</v>
      </c>
      <c r="Z598" s="5" t="s">
        <v>22</v>
      </c>
      <c r="AA598" s="112" t="s">
        <v>9</v>
      </c>
    </row>
    <row r="599" spans="1:29" x14ac:dyDescent="0.25">
      <c r="A599" s="329">
        <v>45920</v>
      </c>
      <c r="B599" s="5">
        <v>5</v>
      </c>
      <c r="D599" s="5" t="s">
        <v>91</v>
      </c>
      <c r="E599" s="6">
        <v>2.5499999999999998</v>
      </c>
      <c r="G599" s="362">
        <v>2</v>
      </c>
      <c r="H599" s="362">
        <v>1</v>
      </c>
      <c r="I599" s="8">
        <v>1.8</v>
      </c>
      <c r="L599" s="5" t="s">
        <v>227</v>
      </c>
      <c r="M599" s="242" t="s">
        <v>451</v>
      </c>
      <c r="N599" s="476">
        <v>61</v>
      </c>
      <c r="O599" s="477" t="s">
        <v>91</v>
      </c>
      <c r="P599" s="478" t="s">
        <v>443</v>
      </c>
      <c r="Q599" s="478" t="s">
        <v>444</v>
      </c>
      <c r="R599" s="478" t="s">
        <v>717</v>
      </c>
      <c r="S599" s="479">
        <v>76</v>
      </c>
      <c r="T599" s="478" t="s">
        <v>41</v>
      </c>
      <c r="U599" s="478" t="s">
        <v>43</v>
      </c>
      <c r="V599" s="480" t="s">
        <v>10</v>
      </c>
      <c r="W599" s="51">
        <v>0.14000000000000001</v>
      </c>
      <c r="X599" s="357" t="s">
        <v>53</v>
      </c>
      <c r="Z599" s="5" t="s">
        <v>52</v>
      </c>
      <c r="AA599" s="112" t="s">
        <v>9</v>
      </c>
    </row>
    <row r="600" spans="1:29" x14ac:dyDescent="0.25">
      <c r="A600" s="329">
        <v>45920</v>
      </c>
      <c r="B600" s="5">
        <v>5</v>
      </c>
      <c r="D600" s="5" t="s">
        <v>91</v>
      </c>
      <c r="E600" s="6">
        <v>2.5499999999999998</v>
      </c>
      <c r="G600" s="362">
        <v>2</v>
      </c>
      <c r="H600" s="362">
        <v>1</v>
      </c>
      <c r="I600" s="8">
        <v>1.8</v>
      </c>
      <c r="L600" s="5" t="s">
        <v>227</v>
      </c>
      <c r="M600" s="242" t="s">
        <v>451</v>
      </c>
      <c r="N600" s="476">
        <v>62</v>
      </c>
      <c r="O600" s="477" t="s">
        <v>91</v>
      </c>
      <c r="P600" s="478" t="s">
        <v>49</v>
      </c>
      <c r="Q600" s="478" t="s">
        <v>50</v>
      </c>
      <c r="R600" s="478" t="s">
        <v>695</v>
      </c>
      <c r="S600" s="479">
        <v>79</v>
      </c>
      <c r="T600" s="478" t="s">
        <v>41</v>
      </c>
      <c r="U600" s="478" t="s">
        <v>45</v>
      </c>
      <c r="V600" s="480" t="s">
        <v>10</v>
      </c>
      <c r="W600" s="51">
        <v>0.12</v>
      </c>
      <c r="X600" s="357" t="s">
        <v>53</v>
      </c>
      <c r="Y600" s="351" t="s">
        <v>353</v>
      </c>
      <c r="Z600" s="5" t="s">
        <v>55</v>
      </c>
      <c r="AA600" s="112" t="s">
        <v>9</v>
      </c>
    </row>
    <row r="601" spans="1:29" x14ac:dyDescent="0.25">
      <c r="A601" s="329">
        <v>45920</v>
      </c>
      <c r="B601" s="5">
        <v>5</v>
      </c>
      <c r="D601" s="5" t="s">
        <v>91</v>
      </c>
      <c r="E601" s="6">
        <v>2.5499999999999998</v>
      </c>
      <c r="G601" s="362">
        <v>2</v>
      </c>
      <c r="H601" s="362">
        <v>1</v>
      </c>
      <c r="I601" s="8">
        <v>1.8</v>
      </c>
      <c r="L601" s="5" t="s">
        <v>227</v>
      </c>
      <c r="M601" s="242" t="s">
        <v>451</v>
      </c>
      <c r="N601" s="476">
        <v>69</v>
      </c>
      <c r="O601" s="477" t="s">
        <v>91</v>
      </c>
      <c r="P601" s="478" t="s">
        <v>443</v>
      </c>
      <c r="Q601" s="478" t="s">
        <v>444</v>
      </c>
      <c r="R601" s="478" t="s">
        <v>717</v>
      </c>
      <c r="S601" s="479">
        <v>76</v>
      </c>
      <c r="T601" s="478" t="s">
        <v>41</v>
      </c>
      <c r="U601" s="478" t="s">
        <v>45</v>
      </c>
      <c r="V601" s="480" t="s">
        <v>10</v>
      </c>
      <c r="W601" s="51">
        <v>0.19</v>
      </c>
      <c r="X601" s="357">
        <v>0.68</v>
      </c>
      <c r="Y601" s="351" t="s">
        <v>353</v>
      </c>
      <c r="Z601" s="5" t="s">
        <v>8</v>
      </c>
      <c r="AA601" s="112" t="s">
        <v>51</v>
      </c>
      <c r="AB601" s="108" t="s">
        <v>495</v>
      </c>
      <c r="AC601" s="57" t="s">
        <v>496</v>
      </c>
    </row>
    <row r="602" spans="1:29" x14ac:dyDescent="0.25">
      <c r="A602" s="329">
        <v>45920</v>
      </c>
      <c r="B602" s="5">
        <v>5</v>
      </c>
      <c r="D602" s="5" t="s">
        <v>91</v>
      </c>
      <c r="E602" s="6">
        <v>2.5499999999999998</v>
      </c>
      <c r="G602" s="362">
        <v>2</v>
      </c>
      <c r="H602" s="362">
        <v>1</v>
      </c>
      <c r="I602" s="8">
        <v>1.8</v>
      </c>
      <c r="L602" s="5" t="s">
        <v>227</v>
      </c>
      <c r="M602" s="242" t="s">
        <v>451</v>
      </c>
      <c r="N602" s="476">
        <v>79</v>
      </c>
      <c r="O602" s="477" t="s">
        <v>91</v>
      </c>
      <c r="P602" s="478" t="s">
        <v>443</v>
      </c>
      <c r="Q602" s="478" t="s">
        <v>444</v>
      </c>
      <c r="R602" s="478" t="s">
        <v>717</v>
      </c>
      <c r="S602" s="479">
        <v>76</v>
      </c>
      <c r="T602" s="478" t="s">
        <v>47</v>
      </c>
      <c r="U602" s="478" t="s">
        <v>42</v>
      </c>
      <c r="V602" s="480" t="s">
        <v>10</v>
      </c>
      <c r="W602" s="51">
        <v>0.46</v>
      </c>
      <c r="X602" s="357" t="s">
        <v>53</v>
      </c>
      <c r="Y602" s="351" t="s">
        <v>353</v>
      </c>
      <c r="Z602" s="5" t="s">
        <v>55</v>
      </c>
      <c r="AA602" s="112" t="s">
        <v>51</v>
      </c>
    </row>
    <row r="603" spans="1:29" x14ac:dyDescent="0.25">
      <c r="A603" s="329">
        <v>45920</v>
      </c>
      <c r="B603" s="5">
        <v>5</v>
      </c>
      <c r="D603" s="5" t="s">
        <v>91</v>
      </c>
      <c r="E603" s="6">
        <v>2.5499999999999998</v>
      </c>
      <c r="G603" s="362">
        <v>2</v>
      </c>
      <c r="H603" s="362">
        <v>1</v>
      </c>
      <c r="I603" s="8">
        <v>1.8</v>
      </c>
      <c r="L603" s="5" t="s">
        <v>227</v>
      </c>
      <c r="M603" s="242" t="s">
        <v>451</v>
      </c>
      <c r="N603" s="476">
        <v>85</v>
      </c>
      <c r="O603" s="477" t="s">
        <v>91</v>
      </c>
      <c r="P603" s="478" t="s">
        <v>49</v>
      </c>
      <c r="Q603" s="478" t="s">
        <v>50</v>
      </c>
      <c r="R603" s="478" t="s">
        <v>695</v>
      </c>
      <c r="S603" s="479">
        <v>79</v>
      </c>
      <c r="T603" s="478" t="s">
        <v>44</v>
      </c>
      <c r="U603" s="478" t="s">
        <v>541</v>
      </c>
      <c r="V603" s="480" t="s">
        <v>10</v>
      </c>
      <c r="W603" s="51">
        <v>0.02</v>
      </c>
      <c r="X603" s="357">
        <v>0.17</v>
      </c>
      <c r="Z603" s="5" t="s">
        <v>8</v>
      </c>
      <c r="AA603" s="112" t="s">
        <v>34</v>
      </c>
      <c r="AB603" s="108" t="s">
        <v>448</v>
      </c>
      <c r="AC603" s="57" t="s">
        <v>449</v>
      </c>
    </row>
    <row r="604" spans="1:29" x14ac:dyDescent="0.25">
      <c r="A604" s="329">
        <v>45920</v>
      </c>
      <c r="B604" s="5">
        <v>5</v>
      </c>
      <c r="D604" s="5" t="s">
        <v>91</v>
      </c>
      <c r="E604" s="6">
        <v>2.5499999999999998</v>
      </c>
      <c r="G604" s="362">
        <v>2</v>
      </c>
      <c r="H604" s="362">
        <v>1</v>
      </c>
      <c r="I604" s="8">
        <v>1.8</v>
      </c>
      <c r="L604" s="5" t="s">
        <v>227</v>
      </c>
      <c r="M604" s="242" t="s">
        <v>451</v>
      </c>
      <c r="N604" s="345">
        <v>88</v>
      </c>
      <c r="O604" s="38" t="s">
        <v>227</v>
      </c>
      <c r="P604" s="5" t="s">
        <v>398</v>
      </c>
      <c r="Q604" s="5" t="s">
        <v>399</v>
      </c>
      <c r="R604" s="5" t="s">
        <v>696</v>
      </c>
      <c r="S604" s="7">
        <v>60</v>
      </c>
      <c r="T604" s="5" t="s">
        <v>47</v>
      </c>
      <c r="U604" s="5" t="s">
        <v>42</v>
      </c>
      <c r="V604" s="57" t="s">
        <v>33</v>
      </c>
      <c r="W604" s="51">
        <v>0.32</v>
      </c>
      <c r="X604" s="357">
        <v>0.74</v>
      </c>
      <c r="Y604" s="351" t="s">
        <v>353</v>
      </c>
      <c r="Z604" s="5" t="s">
        <v>48</v>
      </c>
      <c r="AA604" s="112" t="s">
        <v>34</v>
      </c>
    </row>
    <row r="605" spans="1:29" x14ac:dyDescent="0.25">
      <c r="A605" s="329">
        <v>45920</v>
      </c>
      <c r="B605" s="5">
        <v>5</v>
      </c>
      <c r="D605" s="5" t="s">
        <v>91</v>
      </c>
      <c r="E605" s="6">
        <v>2.5499999999999998</v>
      </c>
      <c r="G605" s="362">
        <v>2</v>
      </c>
      <c r="H605" s="362">
        <v>1</v>
      </c>
      <c r="I605" s="8">
        <v>1.8</v>
      </c>
      <c r="L605" s="5" t="s">
        <v>227</v>
      </c>
      <c r="M605" s="242" t="s">
        <v>451</v>
      </c>
      <c r="N605" s="476" t="s">
        <v>31</v>
      </c>
      <c r="O605" s="477" t="s">
        <v>91</v>
      </c>
      <c r="P605" s="478" t="s">
        <v>448</v>
      </c>
      <c r="Q605" s="478" t="s">
        <v>449</v>
      </c>
      <c r="R605" s="478" t="s">
        <v>696</v>
      </c>
      <c r="S605" s="479">
        <v>65</v>
      </c>
      <c r="T605" s="478" t="s">
        <v>41</v>
      </c>
      <c r="U605" s="478" t="s">
        <v>43</v>
      </c>
      <c r="V605" s="480" t="s">
        <v>10</v>
      </c>
      <c r="W605" s="51">
        <v>0.37</v>
      </c>
      <c r="X605" s="357">
        <v>0.83</v>
      </c>
      <c r="Y605" s="351" t="s">
        <v>353</v>
      </c>
      <c r="Z605" s="5" t="s">
        <v>48</v>
      </c>
      <c r="AA605" s="112" t="s">
        <v>34</v>
      </c>
    </row>
    <row r="606" spans="1:29" x14ac:dyDescent="0.25">
      <c r="A606" s="329">
        <v>45920</v>
      </c>
      <c r="B606" s="5">
        <v>5</v>
      </c>
      <c r="D606" s="5" t="s">
        <v>91</v>
      </c>
      <c r="E606" s="6">
        <v>2.5499999999999998</v>
      </c>
      <c r="G606" s="362">
        <v>2</v>
      </c>
      <c r="H606" s="362">
        <v>1</v>
      </c>
      <c r="I606" s="8">
        <v>1.8</v>
      </c>
      <c r="L606" s="5" t="s">
        <v>227</v>
      </c>
      <c r="M606" s="242" t="s">
        <v>451</v>
      </c>
      <c r="N606" s="476" t="s">
        <v>31</v>
      </c>
      <c r="O606" s="477" t="s">
        <v>91</v>
      </c>
      <c r="P606" s="478" t="s">
        <v>49</v>
      </c>
      <c r="Q606" s="478" t="s">
        <v>50</v>
      </c>
      <c r="R606" s="478" t="s">
        <v>695</v>
      </c>
      <c r="S606" s="479">
        <v>79</v>
      </c>
      <c r="T606" s="478" t="s">
        <v>41</v>
      </c>
      <c r="U606" s="478" t="s">
        <v>42</v>
      </c>
      <c r="V606" s="480" t="s">
        <v>10</v>
      </c>
      <c r="W606" s="51">
        <v>0.04</v>
      </c>
      <c r="X606" s="357" t="s">
        <v>53</v>
      </c>
      <c r="Z606" s="5" t="s">
        <v>22</v>
      </c>
      <c r="AA606" s="112" t="s">
        <v>34</v>
      </c>
    </row>
    <row r="607" spans="1:29" ht="15.75" thickBot="1" x14ac:dyDescent="0.3">
      <c r="A607" s="330">
        <v>45920</v>
      </c>
      <c r="B607" s="9">
        <v>5</v>
      </c>
      <c r="C607" s="122"/>
      <c r="D607" s="9" t="s">
        <v>91</v>
      </c>
      <c r="E607" s="10">
        <v>2.5499999999999998</v>
      </c>
      <c r="F607" s="10"/>
      <c r="G607" s="383">
        <v>2</v>
      </c>
      <c r="H607" s="383">
        <v>1</v>
      </c>
      <c r="I607" s="12">
        <v>1.8</v>
      </c>
      <c r="J607" s="12"/>
      <c r="K607" s="122"/>
      <c r="L607" s="9" t="s">
        <v>227</v>
      </c>
      <c r="M607" s="445" t="s">
        <v>451</v>
      </c>
      <c r="N607" s="346" t="s">
        <v>36</v>
      </c>
      <c r="O607" s="454" t="s">
        <v>227</v>
      </c>
      <c r="P607" s="9" t="s">
        <v>398</v>
      </c>
      <c r="Q607" s="9" t="s">
        <v>399</v>
      </c>
      <c r="R607" s="9" t="s">
        <v>696</v>
      </c>
      <c r="S607" s="479">
        <v>60</v>
      </c>
      <c r="T607" s="9" t="s">
        <v>41</v>
      </c>
      <c r="U607" s="9" t="s">
        <v>42</v>
      </c>
      <c r="V607" s="58" t="s">
        <v>29</v>
      </c>
      <c r="W607" s="52">
        <v>0.14000000000000001</v>
      </c>
      <c r="X607" s="358">
        <v>0.31</v>
      </c>
      <c r="Y607" s="352"/>
      <c r="Z607" s="9" t="s">
        <v>48</v>
      </c>
      <c r="AA607" s="113" t="s">
        <v>34</v>
      </c>
      <c r="AB607" s="109"/>
      <c r="AC607" s="58"/>
    </row>
    <row r="608" spans="1:29" ht="15.75" thickBot="1" x14ac:dyDescent="0.3">
      <c r="A608" s="326">
        <v>45920</v>
      </c>
      <c r="B608" s="207">
        <v>5</v>
      </c>
      <c r="C608" s="208"/>
      <c r="D608" s="207" t="s">
        <v>91</v>
      </c>
      <c r="E608" s="209">
        <v>2.5499999999999998</v>
      </c>
      <c r="F608" s="209"/>
      <c r="G608" s="460">
        <v>2</v>
      </c>
      <c r="H608" s="460">
        <v>1</v>
      </c>
      <c r="I608" s="211">
        <v>1.8</v>
      </c>
      <c r="J608" s="211"/>
      <c r="K608" s="208"/>
      <c r="L608" s="207" t="s">
        <v>227</v>
      </c>
      <c r="M608" s="235"/>
      <c r="N608" s="347"/>
      <c r="O608" s="343" t="s">
        <v>91</v>
      </c>
      <c r="P608" s="199" t="s">
        <v>351</v>
      </c>
      <c r="Q608" s="199" t="s">
        <v>54</v>
      </c>
      <c r="R608" s="199" t="s">
        <v>707</v>
      </c>
      <c r="S608" s="7">
        <v>66</v>
      </c>
      <c r="T608" s="199"/>
      <c r="U608" s="199"/>
      <c r="V608" s="201"/>
      <c r="W608" s="202"/>
      <c r="X608" s="359"/>
      <c r="Y608" s="353">
        <f>H608</f>
        <v>1</v>
      </c>
      <c r="Z608" s="199"/>
      <c r="AA608" s="204"/>
      <c r="AB608" s="205"/>
      <c r="AC608" s="201"/>
    </row>
    <row r="609" spans="1:29" ht="15.75" thickBot="1" x14ac:dyDescent="0.3">
      <c r="A609" s="326">
        <v>45920</v>
      </c>
      <c r="B609" s="207">
        <v>5</v>
      </c>
      <c r="C609" s="208"/>
      <c r="D609" s="207" t="s">
        <v>91</v>
      </c>
      <c r="E609" s="209">
        <v>2.5499999999999998</v>
      </c>
      <c r="F609" s="209"/>
      <c r="G609" s="460">
        <v>2</v>
      </c>
      <c r="H609" s="460">
        <v>1</v>
      </c>
      <c r="I609" s="211">
        <v>1.8</v>
      </c>
      <c r="J609" s="211"/>
      <c r="K609" s="208"/>
      <c r="L609" s="207" t="s">
        <v>227</v>
      </c>
      <c r="M609" s="235"/>
      <c r="N609" s="347"/>
      <c r="O609" s="343" t="s">
        <v>227</v>
      </c>
      <c r="P609" s="199" t="s">
        <v>298</v>
      </c>
      <c r="Q609" s="199" t="s">
        <v>86</v>
      </c>
      <c r="R609" s="199" t="s">
        <v>707</v>
      </c>
      <c r="S609" s="479">
        <v>73</v>
      </c>
      <c r="T609" s="199"/>
      <c r="U609" s="199"/>
      <c r="V609" s="201"/>
      <c r="W609" s="202"/>
      <c r="X609" s="359"/>
      <c r="Y609" s="353">
        <f>G608</f>
        <v>2</v>
      </c>
      <c r="Z609" s="199"/>
      <c r="AA609" s="204"/>
      <c r="AB609" s="205"/>
      <c r="AC609" s="201"/>
    </row>
    <row r="610" spans="1:29" x14ac:dyDescent="0.25">
      <c r="A610" s="331">
        <v>45920</v>
      </c>
      <c r="B610" s="13">
        <v>5</v>
      </c>
      <c r="C610" s="124" t="s">
        <v>694</v>
      </c>
      <c r="D610" s="13" t="s">
        <v>145</v>
      </c>
      <c r="E610" s="14">
        <v>1.88</v>
      </c>
      <c r="F610" s="14"/>
      <c r="G610" s="375">
        <v>2</v>
      </c>
      <c r="H610" s="375">
        <v>0</v>
      </c>
      <c r="I610" s="16">
        <v>0.49</v>
      </c>
      <c r="J610" s="16"/>
      <c r="K610" s="124" t="s">
        <v>693</v>
      </c>
      <c r="L610" s="13" t="s">
        <v>170</v>
      </c>
      <c r="M610" s="242" t="s">
        <v>455</v>
      </c>
      <c r="N610" s="349">
        <v>26</v>
      </c>
      <c r="O610" s="458" t="s">
        <v>170</v>
      </c>
      <c r="P610" s="13" t="s">
        <v>296</v>
      </c>
      <c r="Q610" s="13" t="s">
        <v>297</v>
      </c>
      <c r="R610" s="13" t="s">
        <v>699</v>
      </c>
      <c r="S610" s="459">
        <v>65</v>
      </c>
      <c r="T610" s="13" t="s">
        <v>354</v>
      </c>
      <c r="U610" s="13" t="s">
        <v>42</v>
      </c>
      <c r="V610" s="60" t="s">
        <v>10</v>
      </c>
      <c r="W610" s="54">
        <v>7.0000000000000007E-2</v>
      </c>
      <c r="X610" s="361">
        <v>0.32</v>
      </c>
      <c r="Y610" s="355"/>
      <c r="Z610" s="13" t="s">
        <v>48</v>
      </c>
      <c r="AA610" s="115" t="s">
        <v>28</v>
      </c>
      <c r="AB610" s="110"/>
      <c r="AC610" s="60"/>
    </row>
    <row r="611" spans="1:29" x14ac:dyDescent="0.25">
      <c r="A611" s="329">
        <v>45920</v>
      </c>
      <c r="B611" s="5">
        <v>5</v>
      </c>
      <c r="D611" s="5" t="s">
        <v>145</v>
      </c>
      <c r="E611" s="6">
        <v>1.88</v>
      </c>
      <c r="G611" s="362">
        <v>2</v>
      </c>
      <c r="H611" s="362">
        <v>0</v>
      </c>
      <c r="I611" s="8">
        <v>0.49</v>
      </c>
      <c r="L611" s="5" t="s">
        <v>170</v>
      </c>
      <c r="M611" s="242" t="s">
        <v>455</v>
      </c>
      <c r="N611" s="345">
        <v>30</v>
      </c>
      <c r="O611" s="38" t="s">
        <v>170</v>
      </c>
      <c r="P611" s="5" t="s">
        <v>295</v>
      </c>
      <c r="Q611" s="5" t="s">
        <v>175</v>
      </c>
      <c r="R611" s="5" t="s">
        <v>684</v>
      </c>
      <c r="S611" s="459">
        <v>62</v>
      </c>
      <c r="T611" s="5" t="s">
        <v>41</v>
      </c>
      <c r="U611" s="5" t="s">
        <v>43</v>
      </c>
      <c r="V611" s="57" t="s">
        <v>18</v>
      </c>
      <c r="W611" s="51">
        <v>0.08</v>
      </c>
      <c r="X611" s="357">
        <v>0.17</v>
      </c>
      <c r="Z611" s="5" t="s">
        <v>48</v>
      </c>
      <c r="AA611" s="112" t="s">
        <v>28</v>
      </c>
    </row>
    <row r="612" spans="1:29" x14ac:dyDescent="0.25">
      <c r="A612" s="329">
        <v>45920</v>
      </c>
      <c r="B612" s="5">
        <v>5</v>
      </c>
      <c r="D612" s="5" t="s">
        <v>145</v>
      </c>
      <c r="E612" s="6">
        <v>1.88</v>
      </c>
      <c r="G612" s="362">
        <v>2</v>
      </c>
      <c r="H612" s="362">
        <v>0</v>
      </c>
      <c r="I612" s="8">
        <v>0.49</v>
      </c>
      <c r="L612" s="5" t="s">
        <v>170</v>
      </c>
      <c r="M612" s="242" t="s">
        <v>455</v>
      </c>
      <c r="N612" s="476">
        <v>52</v>
      </c>
      <c r="O612" s="477" t="s">
        <v>145</v>
      </c>
      <c r="P612" s="478" t="s">
        <v>315</v>
      </c>
      <c r="Q612" s="478" t="s">
        <v>409</v>
      </c>
      <c r="R612" s="478" t="s">
        <v>686</v>
      </c>
      <c r="S612" s="479">
        <v>66</v>
      </c>
      <c r="T612" s="478" t="s">
        <v>41</v>
      </c>
      <c r="U612" s="478" t="s">
        <v>43</v>
      </c>
      <c r="V612" s="480" t="s">
        <v>10</v>
      </c>
      <c r="W612" s="51">
        <v>0.14000000000000001</v>
      </c>
      <c r="X612" s="357" t="s">
        <v>53</v>
      </c>
      <c r="Z612" s="5" t="s">
        <v>13</v>
      </c>
      <c r="AA612" s="112" t="s">
        <v>28</v>
      </c>
    </row>
    <row r="613" spans="1:29" x14ac:dyDescent="0.25">
      <c r="A613" s="329">
        <v>45920</v>
      </c>
      <c r="B613" s="5">
        <v>5</v>
      </c>
      <c r="D613" s="5" t="s">
        <v>145</v>
      </c>
      <c r="E613" s="6">
        <v>1.88</v>
      </c>
      <c r="G613" s="362">
        <v>2</v>
      </c>
      <c r="H613" s="362">
        <v>0</v>
      </c>
      <c r="I613" s="8">
        <v>0.49</v>
      </c>
      <c r="L613" s="5" t="s">
        <v>170</v>
      </c>
      <c r="M613" s="242" t="s">
        <v>455</v>
      </c>
      <c r="N613" s="476">
        <v>62</v>
      </c>
      <c r="O613" s="477" t="s">
        <v>145</v>
      </c>
      <c r="P613" s="478" t="s">
        <v>310</v>
      </c>
      <c r="Q613" s="478" t="s">
        <v>311</v>
      </c>
      <c r="R613" s="478" t="s">
        <v>712</v>
      </c>
      <c r="S613" s="479">
        <v>75</v>
      </c>
      <c r="T613" s="478" t="s">
        <v>41</v>
      </c>
      <c r="U613" s="478" t="s">
        <v>45</v>
      </c>
      <c r="V613" s="480" t="s">
        <v>33</v>
      </c>
      <c r="W613" s="51">
        <v>0.08</v>
      </c>
      <c r="X613" s="357">
        <v>0.13</v>
      </c>
      <c r="Z613" s="5" t="s">
        <v>48</v>
      </c>
      <c r="AA613" s="112" t="s">
        <v>28</v>
      </c>
    </row>
    <row r="614" spans="1:29" x14ac:dyDescent="0.25">
      <c r="A614" s="329">
        <v>45920</v>
      </c>
      <c r="B614" s="5">
        <v>5</v>
      </c>
      <c r="D614" s="5" t="s">
        <v>145</v>
      </c>
      <c r="E614" s="6">
        <v>1.88</v>
      </c>
      <c r="G614" s="362">
        <v>2</v>
      </c>
      <c r="H614" s="362">
        <v>0</v>
      </c>
      <c r="I614" s="8">
        <v>0.49</v>
      </c>
      <c r="L614" s="5" t="s">
        <v>170</v>
      </c>
      <c r="M614" s="242" t="s">
        <v>455</v>
      </c>
      <c r="N614" s="476">
        <v>73</v>
      </c>
      <c r="O614" s="477" t="s">
        <v>145</v>
      </c>
      <c r="P614" s="478" t="s">
        <v>308</v>
      </c>
      <c r="Q614" s="478" t="s">
        <v>309</v>
      </c>
      <c r="R614" s="478" t="s">
        <v>695</v>
      </c>
      <c r="S614" s="479">
        <v>86</v>
      </c>
      <c r="T614" s="478" t="s">
        <v>47</v>
      </c>
      <c r="U614" s="478" t="s">
        <v>45</v>
      </c>
      <c r="V614" s="480" t="s">
        <v>20</v>
      </c>
      <c r="W614" s="51">
        <v>0.18</v>
      </c>
      <c r="X614" s="357">
        <v>0.82</v>
      </c>
      <c r="Y614" s="351" t="s">
        <v>353</v>
      </c>
      <c r="Z614" s="5" t="s">
        <v>8</v>
      </c>
      <c r="AA614" s="112" t="s">
        <v>19</v>
      </c>
      <c r="AB614" s="108" t="s">
        <v>278</v>
      </c>
      <c r="AC614" s="57" t="s">
        <v>452</v>
      </c>
    </row>
    <row r="615" spans="1:29" x14ac:dyDescent="0.25">
      <c r="A615" s="329">
        <v>45920</v>
      </c>
      <c r="B615" s="5">
        <v>5</v>
      </c>
      <c r="D615" s="5" t="s">
        <v>145</v>
      </c>
      <c r="E615" s="6">
        <v>1.88</v>
      </c>
      <c r="G615" s="362">
        <v>2</v>
      </c>
      <c r="H615" s="362">
        <v>0</v>
      </c>
      <c r="I615" s="8">
        <v>0.49</v>
      </c>
      <c r="L615" s="5" t="s">
        <v>170</v>
      </c>
      <c r="M615" s="242" t="s">
        <v>455</v>
      </c>
      <c r="N615" s="476">
        <v>90</v>
      </c>
      <c r="O615" s="477" t="s">
        <v>145</v>
      </c>
      <c r="P615" s="478" t="s">
        <v>251</v>
      </c>
      <c r="Q615" s="478" t="s">
        <v>452</v>
      </c>
      <c r="R615" s="478" t="s">
        <v>695</v>
      </c>
      <c r="S615" s="479">
        <v>78</v>
      </c>
      <c r="T615" s="478" t="s">
        <v>41</v>
      </c>
      <c r="U615" s="478" t="s">
        <v>42</v>
      </c>
      <c r="V615" s="480" t="s">
        <v>18</v>
      </c>
      <c r="W615" s="51">
        <v>0.17</v>
      </c>
      <c r="X615" s="357">
        <v>0.47</v>
      </c>
      <c r="Y615" s="351" t="s">
        <v>353</v>
      </c>
      <c r="Z615" s="5" t="s">
        <v>48</v>
      </c>
      <c r="AA615" s="112" t="s">
        <v>19</v>
      </c>
    </row>
    <row r="616" spans="1:29" x14ac:dyDescent="0.25">
      <c r="A616" s="329">
        <v>45920</v>
      </c>
      <c r="B616" s="5">
        <v>5</v>
      </c>
      <c r="D616" s="5" t="s">
        <v>145</v>
      </c>
      <c r="E616" s="6">
        <v>1.88</v>
      </c>
      <c r="G616" s="362">
        <v>2</v>
      </c>
      <c r="H616" s="362">
        <v>0</v>
      </c>
      <c r="I616" s="8">
        <v>0.49</v>
      </c>
      <c r="L616" s="5" t="s">
        <v>170</v>
      </c>
      <c r="M616" s="242" t="s">
        <v>455</v>
      </c>
      <c r="N616" s="476" t="s">
        <v>268</v>
      </c>
      <c r="O616" s="477" t="s">
        <v>145</v>
      </c>
      <c r="P616" s="478" t="s">
        <v>310</v>
      </c>
      <c r="Q616" s="478" t="s">
        <v>311</v>
      </c>
      <c r="R616" s="478" t="s">
        <v>712</v>
      </c>
      <c r="S616" s="479">
        <v>75</v>
      </c>
      <c r="T616" s="478" t="s">
        <v>41</v>
      </c>
      <c r="U616" s="478" t="s">
        <v>42</v>
      </c>
      <c r="V616" s="480" t="s">
        <v>20</v>
      </c>
      <c r="W616" s="51">
        <v>0.12</v>
      </c>
      <c r="X616" s="357" t="s">
        <v>53</v>
      </c>
      <c r="Z616" s="5" t="s">
        <v>13</v>
      </c>
      <c r="AA616" s="112" t="s">
        <v>19</v>
      </c>
    </row>
    <row r="617" spans="1:29" x14ac:dyDescent="0.25">
      <c r="A617" s="329">
        <v>45920</v>
      </c>
      <c r="B617" s="5">
        <v>5</v>
      </c>
      <c r="D617" s="5" t="s">
        <v>145</v>
      </c>
      <c r="E617" s="6">
        <v>1.88</v>
      </c>
      <c r="G617" s="362">
        <v>2</v>
      </c>
      <c r="H617" s="362">
        <v>0</v>
      </c>
      <c r="I617" s="8">
        <v>0.49</v>
      </c>
      <c r="L617" s="5" t="s">
        <v>170</v>
      </c>
      <c r="M617" s="242" t="s">
        <v>455</v>
      </c>
      <c r="N617" s="476" t="s">
        <v>31</v>
      </c>
      <c r="O617" s="477" t="s">
        <v>145</v>
      </c>
      <c r="P617" s="478" t="s">
        <v>147</v>
      </c>
      <c r="Q617" s="478" t="s">
        <v>148</v>
      </c>
      <c r="R617" s="478" t="s">
        <v>696</v>
      </c>
      <c r="S617" s="479">
        <v>73</v>
      </c>
      <c r="T617" s="478" t="s">
        <v>47</v>
      </c>
      <c r="U617" s="478" t="s">
        <v>43</v>
      </c>
      <c r="V617" s="480" t="s">
        <v>10</v>
      </c>
      <c r="W617" s="51">
        <v>0.79</v>
      </c>
      <c r="X617" s="357">
        <v>0.99</v>
      </c>
      <c r="Y617" s="351" t="s">
        <v>353</v>
      </c>
      <c r="Z617" s="5" t="s">
        <v>8</v>
      </c>
      <c r="AA617" s="112" t="s">
        <v>24</v>
      </c>
      <c r="AB617" s="108" t="s">
        <v>308</v>
      </c>
      <c r="AC617" s="57" t="s">
        <v>309</v>
      </c>
    </row>
    <row r="618" spans="1:29" ht="15.75" thickBot="1" x14ac:dyDescent="0.3">
      <c r="A618" s="330">
        <v>45920</v>
      </c>
      <c r="B618" s="9">
        <v>5</v>
      </c>
      <c r="C618" s="122"/>
      <c r="D618" s="9" t="s">
        <v>145</v>
      </c>
      <c r="E618" s="10">
        <v>1.88</v>
      </c>
      <c r="F618" s="10"/>
      <c r="G618" s="383">
        <v>2</v>
      </c>
      <c r="H618" s="383">
        <v>0</v>
      </c>
      <c r="I618" s="12">
        <v>0.49</v>
      </c>
      <c r="J618" s="12"/>
      <c r="K618" s="122"/>
      <c r="L618" s="9" t="s">
        <v>170</v>
      </c>
      <c r="M618" s="445" t="s">
        <v>455</v>
      </c>
      <c r="N618" s="511" t="s">
        <v>82</v>
      </c>
      <c r="O618" s="512" t="s">
        <v>145</v>
      </c>
      <c r="P618" s="513" t="s">
        <v>453</v>
      </c>
      <c r="Q618" s="513" t="s">
        <v>454</v>
      </c>
      <c r="R618" s="513" t="s">
        <v>696</v>
      </c>
      <c r="S618" s="479">
        <v>60</v>
      </c>
      <c r="T618" s="513" t="s">
        <v>41</v>
      </c>
      <c r="U618" s="513" t="s">
        <v>42</v>
      </c>
      <c r="V618" s="514" t="s">
        <v>10</v>
      </c>
      <c r="W618" s="52">
        <v>0.16</v>
      </c>
      <c r="X618" s="358" t="s">
        <v>53</v>
      </c>
      <c r="Y618" s="352" t="s">
        <v>353</v>
      </c>
      <c r="Z618" s="9" t="s">
        <v>13</v>
      </c>
      <c r="AA618" s="113" t="s">
        <v>24</v>
      </c>
      <c r="AB618" s="109"/>
      <c r="AC618" s="58"/>
    </row>
    <row r="619" spans="1:29" ht="15.75" thickBot="1" x14ac:dyDescent="0.3">
      <c r="A619" s="326">
        <v>45920</v>
      </c>
      <c r="B619" s="207">
        <v>5</v>
      </c>
      <c r="C619" s="208"/>
      <c r="D619" s="207" t="s">
        <v>145</v>
      </c>
      <c r="E619" s="209">
        <v>1.88</v>
      </c>
      <c r="F619" s="209"/>
      <c r="G619" s="460">
        <v>2</v>
      </c>
      <c r="H619" s="460">
        <v>0</v>
      </c>
      <c r="I619" s="211">
        <v>0.49</v>
      </c>
      <c r="J619" s="211"/>
      <c r="K619" s="208"/>
      <c r="L619" s="207" t="s">
        <v>170</v>
      </c>
      <c r="M619" s="235"/>
      <c r="N619" s="347"/>
      <c r="O619" s="343" t="s">
        <v>145</v>
      </c>
      <c r="P619" s="199" t="s">
        <v>482</v>
      </c>
      <c r="Q619" s="199" t="s">
        <v>483</v>
      </c>
      <c r="R619" s="199" t="s">
        <v>707</v>
      </c>
      <c r="S619" s="7">
        <v>81</v>
      </c>
      <c r="T619" s="199"/>
      <c r="U619" s="199"/>
      <c r="V619" s="201"/>
      <c r="W619" s="202"/>
      <c r="X619" s="359"/>
      <c r="Y619" s="353">
        <f>H619</f>
        <v>0</v>
      </c>
      <c r="Z619" s="199"/>
      <c r="AA619" s="204"/>
      <c r="AB619" s="205"/>
      <c r="AC619" s="201"/>
    </row>
    <row r="620" spans="1:29" ht="15.75" thickBot="1" x14ac:dyDescent="0.3">
      <c r="A620" s="326">
        <v>45920</v>
      </c>
      <c r="B620" s="207">
        <v>5</v>
      </c>
      <c r="C620" s="208"/>
      <c r="D620" s="207" t="s">
        <v>145</v>
      </c>
      <c r="E620" s="209">
        <v>1.88</v>
      </c>
      <c r="F620" s="209"/>
      <c r="G620" s="460">
        <v>2</v>
      </c>
      <c r="H620" s="460">
        <v>0</v>
      </c>
      <c r="I620" s="211">
        <v>0.49</v>
      </c>
      <c r="J620" s="211"/>
      <c r="K620" s="208"/>
      <c r="L620" s="207" t="s">
        <v>170</v>
      </c>
      <c r="M620" s="235"/>
      <c r="N620" s="347"/>
      <c r="O620" s="343" t="s">
        <v>170</v>
      </c>
      <c r="P620" s="199" t="s">
        <v>269</v>
      </c>
      <c r="Q620" s="199" t="s">
        <v>722</v>
      </c>
      <c r="R620" s="199" t="s">
        <v>707</v>
      </c>
      <c r="S620" s="479">
        <v>63</v>
      </c>
      <c r="T620" s="199"/>
      <c r="U620" s="199"/>
      <c r="V620" s="201"/>
      <c r="W620" s="202"/>
      <c r="X620" s="359"/>
      <c r="Y620" s="353">
        <f>G619</f>
        <v>2</v>
      </c>
      <c r="Z620" s="199"/>
      <c r="AA620" s="204"/>
      <c r="AB620" s="205"/>
      <c r="AC620" s="201"/>
    </row>
    <row r="621" spans="1:29" x14ac:dyDescent="0.25">
      <c r="A621" s="331">
        <v>45921</v>
      </c>
      <c r="B621" s="13">
        <v>5</v>
      </c>
      <c r="C621" s="124" t="s">
        <v>694</v>
      </c>
      <c r="D621" s="13" t="s">
        <v>70</v>
      </c>
      <c r="E621" s="14">
        <v>1.08</v>
      </c>
      <c r="F621" s="14"/>
      <c r="G621" s="375">
        <v>1</v>
      </c>
      <c r="H621" s="375">
        <v>1</v>
      </c>
      <c r="I621" s="16">
        <v>0.81</v>
      </c>
      <c r="J621" s="16"/>
      <c r="K621" s="124" t="s">
        <v>700</v>
      </c>
      <c r="L621" s="13" t="s">
        <v>456</v>
      </c>
      <c r="M621" s="47"/>
      <c r="N621" s="349">
        <v>9</v>
      </c>
      <c r="O621" s="458" t="s">
        <v>456</v>
      </c>
      <c r="P621" s="13" t="s">
        <v>313</v>
      </c>
      <c r="Q621" s="13" t="s">
        <v>301</v>
      </c>
      <c r="R621" s="13" t="s">
        <v>684</v>
      </c>
      <c r="S621" s="479">
        <v>72</v>
      </c>
      <c r="T621" s="13" t="s">
        <v>47</v>
      </c>
      <c r="U621" s="13" t="s">
        <v>42</v>
      </c>
      <c r="V621" s="60" t="s">
        <v>10</v>
      </c>
      <c r="W621" s="54">
        <v>0.37</v>
      </c>
      <c r="X621" s="361">
        <v>0.66</v>
      </c>
      <c r="Y621" s="355" t="s">
        <v>353</v>
      </c>
      <c r="Z621" s="13" t="s">
        <v>48</v>
      </c>
      <c r="AA621" s="115" t="s">
        <v>28</v>
      </c>
      <c r="AB621" s="110"/>
      <c r="AC621" s="60"/>
    </row>
    <row r="622" spans="1:29" x14ac:dyDescent="0.25">
      <c r="A622" s="329">
        <v>45921</v>
      </c>
      <c r="B622" s="5">
        <v>5</v>
      </c>
      <c r="D622" s="5" t="s">
        <v>70</v>
      </c>
      <c r="E622" s="6">
        <v>1.08</v>
      </c>
      <c r="G622" s="362">
        <v>1</v>
      </c>
      <c r="H622" s="362">
        <v>1</v>
      </c>
      <c r="I622" s="8">
        <v>0.81</v>
      </c>
      <c r="L622" s="5" t="s">
        <v>456</v>
      </c>
      <c r="N622" s="476">
        <v>16</v>
      </c>
      <c r="O622" s="477" t="s">
        <v>70</v>
      </c>
      <c r="P622" s="478" t="s">
        <v>457</v>
      </c>
      <c r="Q622" s="478" t="s">
        <v>138</v>
      </c>
      <c r="R622" s="478" t="s">
        <v>695</v>
      </c>
      <c r="S622" s="479">
        <v>62</v>
      </c>
      <c r="T622" s="478" t="s">
        <v>354</v>
      </c>
      <c r="U622" s="478" t="s">
        <v>42</v>
      </c>
      <c r="V622" s="480" t="s">
        <v>10</v>
      </c>
      <c r="W622" s="51">
        <v>0.02</v>
      </c>
      <c r="X622" s="357" t="s">
        <v>53</v>
      </c>
      <c r="Z622" s="5" t="s">
        <v>55</v>
      </c>
      <c r="AA622" s="112" t="s">
        <v>28</v>
      </c>
    </row>
    <row r="623" spans="1:29" x14ac:dyDescent="0.25">
      <c r="A623" s="329">
        <v>45921</v>
      </c>
      <c r="B623" s="5">
        <v>5</v>
      </c>
      <c r="D623" s="5" t="s">
        <v>70</v>
      </c>
      <c r="E623" s="6">
        <v>1.08</v>
      </c>
      <c r="G623" s="362">
        <v>1</v>
      </c>
      <c r="H623" s="362">
        <v>1</v>
      </c>
      <c r="I623" s="8">
        <v>0.81</v>
      </c>
      <c r="L623" s="5" t="s">
        <v>456</v>
      </c>
      <c r="N623" s="476">
        <v>47</v>
      </c>
      <c r="O623" s="477" t="s">
        <v>70</v>
      </c>
      <c r="P623" s="478" t="s">
        <v>74</v>
      </c>
      <c r="Q623" s="478" t="s">
        <v>75</v>
      </c>
      <c r="R623" s="478" t="s">
        <v>685</v>
      </c>
      <c r="S623" s="481">
        <v>71</v>
      </c>
      <c r="T623" s="478" t="s">
        <v>41</v>
      </c>
      <c r="U623" s="478" t="s">
        <v>43</v>
      </c>
      <c r="V623" s="480" t="s">
        <v>10</v>
      </c>
      <c r="W623" s="51">
        <v>0.03</v>
      </c>
      <c r="X623" s="357">
        <v>0.11</v>
      </c>
      <c r="Z623" s="5" t="s">
        <v>48</v>
      </c>
      <c r="AA623" s="112" t="s">
        <v>28</v>
      </c>
    </row>
    <row r="624" spans="1:29" x14ac:dyDescent="0.25">
      <c r="A624" s="329">
        <v>45921</v>
      </c>
      <c r="B624" s="5">
        <v>5</v>
      </c>
      <c r="D624" s="5" t="s">
        <v>70</v>
      </c>
      <c r="E624" s="6">
        <v>1.08</v>
      </c>
      <c r="G624" s="362">
        <v>1</v>
      </c>
      <c r="H624" s="362">
        <v>1</v>
      </c>
      <c r="I624" s="8">
        <v>0.81</v>
      </c>
      <c r="L624" s="5" t="s">
        <v>456</v>
      </c>
      <c r="N624" s="476">
        <v>47</v>
      </c>
      <c r="O624" s="477" t="s">
        <v>70</v>
      </c>
      <c r="P624" s="478" t="s">
        <v>298</v>
      </c>
      <c r="Q624" s="478" t="s">
        <v>299</v>
      </c>
      <c r="R624" s="478" t="s">
        <v>718</v>
      </c>
      <c r="S624" s="481">
        <v>67</v>
      </c>
      <c r="T624" s="478" t="s">
        <v>41</v>
      </c>
      <c r="U624" s="478" t="s">
        <v>43</v>
      </c>
      <c r="V624" s="480" t="s">
        <v>540</v>
      </c>
      <c r="W624" s="51">
        <v>0.02</v>
      </c>
      <c r="X624" s="357" t="s">
        <v>53</v>
      </c>
      <c r="Z624" s="5" t="s">
        <v>17</v>
      </c>
      <c r="AA624" s="112" t="s">
        <v>28</v>
      </c>
    </row>
    <row r="625" spans="1:29" x14ac:dyDescent="0.25">
      <c r="A625" s="329">
        <v>45921</v>
      </c>
      <c r="B625" s="5">
        <v>5</v>
      </c>
      <c r="D625" s="5" t="s">
        <v>70</v>
      </c>
      <c r="E625" s="6">
        <v>1.08</v>
      </c>
      <c r="G625" s="362">
        <v>1</v>
      </c>
      <c r="H625" s="362">
        <v>1</v>
      </c>
      <c r="I625" s="8">
        <v>0.81</v>
      </c>
      <c r="L625" s="5" t="s">
        <v>456</v>
      </c>
      <c r="N625" s="476">
        <v>47</v>
      </c>
      <c r="O625" s="477" t="s">
        <v>70</v>
      </c>
      <c r="P625" s="478" t="s">
        <v>72</v>
      </c>
      <c r="Q625" s="478" t="s">
        <v>73</v>
      </c>
      <c r="R625" s="478" t="s">
        <v>686</v>
      </c>
      <c r="S625" s="479">
        <v>76</v>
      </c>
      <c r="T625" s="478" t="s">
        <v>41</v>
      </c>
      <c r="U625" s="478" t="s">
        <v>42</v>
      </c>
      <c r="V625" s="480" t="s">
        <v>10</v>
      </c>
      <c r="W625" s="51">
        <v>0.01</v>
      </c>
      <c r="X625" s="357" t="s">
        <v>53</v>
      </c>
      <c r="Z625" s="5" t="s">
        <v>22</v>
      </c>
      <c r="AA625" s="112" t="s">
        <v>28</v>
      </c>
    </row>
    <row r="626" spans="1:29" x14ac:dyDescent="0.25">
      <c r="A626" s="329">
        <v>45921</v>
      </c>
      <c r="B626" s="5">
        <v>5</v>
      </c>
      <c r="D626" s="5" t="s">
        <v>70</v>
      </c>
      <c r="E626" s="6">
        <v>1.08</v>
      </c>
      <c r="G626" s="362">
        <v>1</v>
      </c>
      <c r="H626" s="362">
        <v>1</v>
      </c>
      <c r="I626" s="8">
        <v>0.81</v>
      </c>
      <c r="L626" s="5" t="s">
        <v>456</v>
      </c>
      <c r="N626" s="345">
        <v>49</v>
      </c>
      <c r="O626" s="38" t="s">
        <v>456</v>
      </c>
      <c r="P626" s="5" t="s">
        <v>164</v>
      </c>
      <c r="Q626" s="5" t="s">
        <v>165</v>
      </c>
      <c r="R626" s="5" t="s">
        <v>685</v>
      </c>
      <c r="S626" s="479">
        <v>66</v>
      </c>
      <c r="T626" s="5" t="s">
        <v>354</v>
      </c>
      <c r="U626" s="5" t="s">
        <v>42</v>
      </c>
      <c r="V626" s="57" t="s">
        <v>10</v>
      </c>
      <c r="W626" s="51">
        <v>0.04</v>
      </c>
      <c r="X626" s="357">
        <v>0.33</v>
      </c>
      <c r="Z626" s="5" t="s">
        <v>48</v>
      </c>
      <c r="AA626" s="112" t="s">
        <v>28</v>
      </c>
    </row>
    <row r="627" spans="1:29" x14ac:dyDescent="0.25">
      <c r="A627" s="329">
        <v>45921</v>
      </c>
      <c r="B627" s="5">
        <v>5</v>
      </c>
      <c r="D627" s="5" t="s">
        <v>70</v>
      </c>
      <c r="E627" s="6">
        <v>1.08</v>
      </c>
      <c r="G627" s="362">
        <v>1</v>
      </c>
      <c r="H627" s="362">
        <v>1</v>
      </c>
      <c r="I627" s="8">
        <v>0.81</v>
      </c>
      <c r="L627" s="5" t="s">
        <v>456</v>
      </c>
      <c r="N627" s="345">
        <v>49</v>
      </c>
      <c r="O627" s="38" t="s">
        <v>456</v>
      </c>
      <c r="P627" s="5" t="s">
        <v>313</v>
      </c>
      <c r="Q627" s="5" t="s">
        <v>301</v>
      </c>
      <c r="R627" s="5" t="s">
        <v>684</v>
      </c>
      <c r="S627" s="7">
        <v>72</v>
      </c>
      <c r="T627" s="5" t="s">
        <v>41</v>
      </c>
      <c r="U627" s="5" t="s">
        <v>43</v>
      </c>
      <c r="V627" s="57" t="s">
        <v>20</v>
      </c>
      <c r="W627" s="51">
        <v>0.3</v>
      </c>
      <c r="X627" s="357">
        <v>0.87</v>
      </c>
      <c r="Y627" s="351" t="s">
        <v>353</v>
      </c>
      <c r="Z627" s="5" t="s">
        <v>8</v>
      </c>
      <c r="AA627" s="112" t="s">
        <v>9</v>
      </c>
      <c r="AB627" s="108" t="s">
        <v>278</v>
      </c>
      <c r="AC627" s="57" t="s">
        <v>252</v>
      </c>
    </row>
    <row r="628" spans="1:29" x14ac:dyDescent="0.25">
      <c r="A628" s="329">
        <v>45921</v>
      </c>
      <c r="B628" s="5">
        <v>5</v>
      </c>
      <c r="D628" s="5" t="s">
        <v>70</v>
      </c>
      <c r="E628" s="6">
        <v>1.08</v>
      </c>
      <c r="G628" s="362">
        <v>1</v>
      </c>
      <c r="H628" s="362">
        <v>1</v>
      </c>
      <c r="I628" s="8">
        <v>0.81</v>
      </c>
      <c r="L628" s="5" t="s">
        <v>456</v>
      </c>
      <c r="N628" s="345">
        <v>61</v>
      </c>
      <c r="O628" s="38" t="s">
        <v>456</v>
      </c>
      <c r="P628" s="5" t="s">
        <v>164</v>
      </c>
      <c r="Q628" s="5" t="s">
        <v>165</v>
      </c>
      <c r="R628" s="5" t="s">
        <v>685</v>
      </c>
      <c r="S628" s="479">
        <v>66</v>
      </c>
      <c r="T628" s="5" t="s">
        <v>41</v>
      </c>
      <c r="U628" s="5" t="s">
        <v>42</v>
      </c>
      <c r="V628" s="57" t="s">
        <v>10</v>
      </c>
      <c r="W628" s="51">
        <v>0.04</v>
      </c>
      <c r="X628" s="357">
        <v>0.15</v>
      </c>
      <c r="Z628" s="5" t="s">
        <v>48</v>
      </c>
      <c r="AA628" s="112" t="s">
        <v>9</v>
      </c>
    </row>
    <row r="629" spans="1:29" x14ac:dyDescent="0.25">
      <c r="A629" s="329">
        <v>45921</v>
      </c>
      <c r="B629" s="5">
        <v>5</v>
      </c>
      <c r="D629" s="5" t="s">
        <v>70</v>
      </c>
      <c r="E629" s="6">
        <v>1.08</v>
      </c>
      <c r="G629" s="362">
        <v>1</v>
      </c>
      <c r="H629" s="362">
        <v>1</v>
      </c>
      <c r="I629" s="8">
        <v>0.81</v>
      </c>
      <c r="L629" s="5" t="s">
        <v>456</v>
      </c>
      <c r="N629" s="476">
        <v>65</v>
      </c>
      <c r="O629" s="477" t="s">
        <v>70</v>
      </c>
      <c r="P629" s="478" t="s">
        <v>72</v>
      </c>
      <c r="Q629" s="478" t="s">
        <v>73</v>
      </c>
      <c r="R629" s="478" t="s">
        <v>686</v>
      </c>
      <c r="S629" s="479">
        <v>76</v>
      </c>
      <c r="T629" s="478" t="s">
        <v>41</v>
      </c>
      <c r="U629" s="478" t="s">
        <v>42</v>
      </c>
      <c r="V629" s="480" t="s">
        <v>10</v>
      </c>
      <c r="W629" s="51">
        <v>0.17</v>
      </c>
      <c r="X629" s="357">
        <v>0.23</v>
      </c>
      <c r="Y629" s="351" t="s">
        <v>353</v>
      </c>
      <c r="Z629" s="5" t="s">
        <v>8</v>
      </c>
      <c r="AA629" s="112" t="s">
        <v>51</v>
      </c>
      <c r="AB629" s="108" t="s">
        <v>74</v>
      </c>
      <c r="AC629" s="57" t="s">
        <v>75</v>
      </c>
    </row>
    <row r="630" spans="1:29" x14ac:dyDescent="0.25">
      <c r="A630" s="329">
        <v>45921</v>
      </c>
      <c r="B630" s="5">
        <v>5</v>
      </c>
      <c r="D630" s="5" t="s">
        <v>70</v>
      </c>
      <c r="E630" s="6">
        <v>1.08</v>
      </c>
      <c r="G630" s="362">
        <v>1</v>
      </c>
      <c r="H630" s="362">
        <v>1</v>
      </c>
      <c r="I630" s="8">
        <v>0.81</v>
      </c>
      <c r="L630" s="5" t="s">
        <v>456</v>
      </c>
      <c r="N630" s="476">
        <v>67</v>
      </c>
      <c r="O630" s="477" t="s">
        <v>70</v>
      </c>
      <c r="P630" s="478" t="s">
        <v>74</v>
      </c>
      <c r="Q630" s="478" t="s">
        <v>75</v>
      </c>
      <c r="R630" s="478" t="s">
        <v>685</v>
      </c>
      <c r="S630" s="479">
        <v>71</v>
      </c>
      <c r="T630" s="478" t="s">
        <v>41</v>
      </c>
      <c r="U630" s="478" t="s">
        <v>43</v>
      </c>
      <c r="V630" s="480" t="s">
        <v>10</v>
      </c>
      <c r="W630" s="51">
        <v>7.0000000000000007E-2</v>
      </c>
      <c r="X630" s="357">
        <v>0.17</v>
      </c>
      <c r="Y630" s="351" t="s">
        <v>353</v>
      </c>
      <c r="Z630" s="5" t="s">
        <v>48</v>
      </c>
      <c r="AA630" s="112" t="s">
        <v>51</v>
      </c>
    </row>
    <row r="631" spans="1:29" x14ac:dyDescent="0.25">
      <c r="A631" s="329">
        <v>45921</v>
      </c>
      <c r="B631" s="5">
        <v>5</v>
      </c>
      <c r="D631" s="5" t="s">
        <v>70</v>
      </c>
      <c r="E631" s="6">
        <v>1.08</v>
      </c>
      <c r="G631" s="362">
        <v>1</v>
      </c>
      <c r="H631" s="362">
        <v>1</v>
      </c>
      <c r="I631" s="8">
        <v>0.81</v>
      </c>
      <c r="L631" s="5" t="s">
        <v>456</v>
      </c>
      <c r="N631" s="476">
        <v>83</v>
      </c>
      <c r="O631" s="477" t="s">
        <v>70</v>
      </c>
      <c r="P631" s="478" t="s">
        <v>72</v>
      </c>
      <c r="Q631" s="478" t="s">
        <v>73</v>
      </c>
      <c r="R631" s="478" t="s">
        <v>686</v>
      </c>
      <c r="S631" s="479">
        <v>76</v>
      </c>
      <c r="T631" s="478" t="s">
        <v>41</v>
      </c>
      <c r="U631" s="478" t="s">
        <v>42</v>
      </c>
      <c r="V631" s="480" t="s">
        <v>540</v>
      </c>
      <c r="W631" s="51">
        <v>0.53</v>
      </c>
      <c r="X631" s="357">
        <v>0.24</v>
      </c>
      <c r="Y631" s="351" t="s">
        <v>353</v>
      </c>
      <c r="Z631" s="5" t="s">
        <v>48</v>
      </c>
      <c r="AA631" s="112" t="s">
        <v>51</v>
      </c>
    </row>
    <row r="632" spans="1:29" x14ac:dyDescent="0.25">
      <c r="A632" s="329">
        <v>45921</v>
      </c>
      <c r="B632" s="5">
        <v>5</v>
      </c>
      <c r="D632" s="5" t="s">
        <v>70</v>
      </c>
      <c r="E632" s="6">
        <v>1.08</v>
      </c>
      <c r="G632" s="362">
        <v>1</v>
      </c>
      <c r="H632" s="362">
        <v>1</v>
      </c>
      <c r="I632" s="8">
        <v>0.81</v>
      </c>
      <c r="L632" s="5" t="s">
        <v>456</v>
      </c>
      <c r="N632" s="345">
        <v>89</v>
      </c>
      <c r="O632" s="38" t="s">
        <v>456</v>
      </c>
      <c r="P632" s="5" t="s">
        <v>118</v>
      </c>
      <c r="Q632" s="5" t="s">
        <v>357</v>
      </c>
      <c r="R632" s="5" t="s">
        <v>696</v>
      </c>
      <c r="S632" s="459">
        <v>61</v>
      </c>
      <c r="T632" s="5" t="s">
        <v>41</v>
      </c>
      <c r="U632" s="5" t="s">
        <v>42</v>
      </c>
      <c r="V632" s="57" t="s">
        <v>10</v>
      </c>
      <c r="W632" s="51">
        <v>0.06</v>
      </c>
      <c r="X632" s="357">
        <v>0.1</v>
      </c>
      <c r="Y632" s="351" t="s">
        <v>353</v>
      </c>
      <c r="Z632" s="5" t="s">
        <v>48</v>
      </c>
      <c r="AA632" s="112" t="s">
        <v>51</v>
      </c>
    </row>
    <row r="633" spans="1:29" ht="15.75" thickBot="1" x14ac:dyDescent="0.3">
      <c r="A633" s="330">
        <v>45921</v>
      </c>
      <c r="B633" s="9">
        <v>5</v>
      </c>
      <c r="C633" s="122"/>
      <c r="D633" s="9" t="s">
        <v>70</v>
      </c>
      <c r="E633" s="10">
        <v>1.08</v>
      </c>
      <c r="F633" s="10"/>
      <c r="G633" s="383">
        <v>1</v>
      </c>
      <c r="H633" s="383">
        <v>1</v>
      </c>
      <c r="I633" s="12">
        <v>0.81</v>
      </c>
      <c r="J633" s="12"/>
      <c r="K633" s="122"/>
      <c r="L633" s="9" t="s">
        <v>456</v>
      </c>
      <c r="M633" s="45"/>
      <c r="N633" s="511" t="s">
        <v>57</v>
      </c>
      <c r="O633" s="512" t="s">
        <v>70</v>
      </c>
      <c r="P633" s="513" t="s">
        <v>269</v>
      </c>
      <c r="Q633" s="513" t="s">
        <v>150</v>
      </c>
      <c r="R633" s="513" t="s">
        <v>696</v>
      </c>
      <c r="S633" s="481">
        <v>62</v>
      </c>
      <c r="T633" s="513" t="s">
        <v>354</v>
      </c>
      <c r="U633" s="513" t="s">
        <v>42</v>
      </c>
      <c r="V633" s="514" t="s">
        <v>10</v>
      </c>
      <c r="W633" s="52">
        <v>0.03</v>
      </c>
      <c r="X633" s="358" t="s">
        <v>53</v>
      </c>
      <c r="Y633" s="352"/>
      <c r="Z633" s="9" t="s">
        <v>16</v>
      </c>
      <c r="AA633" s="113" t="s">
        <v>51</v>
      </c>
      <c r="AB633" s="109"/>
      <c r="AC633" s="58"/>
    </row>
    <row r="634" spans="1:29" ht="15.75" thickBot="1" x14ac:dyDescent="0.3">
      <c r="A634" s="326">
        <v>45921</v>
      </c>
      <c r="B634" s="207">
        <v>5</v>
      </c>
      <c r="C634" s="208"/>
      <c r="D634" s="207" t="s">
        <v>70</v>
      </c>
      <c r="E634" s="209">
        <v>1.08</v>
      </c>
      <c r="F634" s="209"/>
      <c r="G634" s="460">
        <v>1</v>
      </c>
      <c r="H634" s="460">
        <v>1</v>
      </c>
      <c r="I634" s="211">
        <v>0.81</v>
      </c>
      <c r="J634" s="211"/>
      <c r="K634" s="208"/>
      <c r="L634" s="207" t="s">
        <v>456</v>
      </c>
      <c r="M634" s="235"/>
      <c r="N634" s="347"/>
      <c r="O634" s="343" t="s">
        <v>70</v>
      </c>
      <c r="P634" s="199" t="s">
        <v>714</v>
      </c>
      <c r="Q634" s="199" t="s">
        <v>715</v>
      </c>
      <c r="R634" s="199" t="s">
        <v>707</v>
      </c>
      <c r="S634" s="479">
        <v>73</v>
      </c>
      <c r="T634" s="199"/>
      <c r="U634" s="199"/>
      <c r="V634" s="201"/>
      <c r="W634" s="202"/>
      <c r="X634" s="359"/>
      <c r="Y634" s="353">
        <f>H634</f>
        <v>1</v>
      </c>
      <c r="Z634" s="199"/>
      <c r="AA634" s="204"/>
      <c r="AB634" s="205"/>
      <c r="AC634" s="201"/>
    </row>
    <row r="635" spans="1:29" ht="15.75" thickBot="1" x14ac:dyDescent="0.3">
      <c r="A635" s="326">
        <v>45921</v>
      </c>
      <c r="B635" s="207">
        <v>5</v>
      </c>
      <c r="C635" s="208"/>
      <c r="D635" s="207" t="s">
        <v>70</v>
      </c>
      <c r="E635" s="209">
        <v>1.08</v>
      </c>
      <c r="F635" s="209"/>
      <c r="G635" s="460">
        <v>1</v>
      </c>
      <c r="H635" s="460">
        <v>1</v>
      </c>
      <c r="I635" s="211">
        <v>0.81</v>
      </c>
      <c r="J635" s="211"/>
      <c r="K635" s="208"/>
      <c r="L635" s="207" t="s">
        <v>456</v>
      </c>
      <c r="M635" s="235"/>
      <c r="N635" s="347"/>
      <c r="O635" s="343" t="s">
        <v>456</v>
      </c>
      <c r="P635" s="199" t="s">
        <v>719</v>
      </c>
      <c r="Q635" s="199" t="s">
        <v>720</v>
      </c>
      <c r="R635" s="199" t="s">
        <v>707</v>
      </c>
      <c r="S635" s="7">
        <v>70</v>
      </c>
      <c r="T635" s="199"/>
      <c r="U635" s="199"/>
      <c r="V635" s="201"/>
      <c r="W635" s="202"/>
      <c r="X635" s="359"/>
      <c r="Y635" s="353">
        <f>G634</f>
        <v>1</v>
      </c>
      <c r="Z635" s="199"/>
      <c r="AA635" s="204"/>
      <c r="AB635" s="205"/>
      <c r="AC635" s="201"/>
    </row>
    <row r="636" spans="1:29" x14ac:dyDescent="0.25">
      <c r="A636" s="331">
        <v>45921</v>
      </c>
      <c r="B636" s="13">
        <v>5</v>
      </c>
      <c r="C636" s="124" t="s">
        <v>701</v>
      </c>
      <c r="D636" s="13" t="s">
        <v>112</v>
      </c>
      <c r="E636" s="14">
        <v>0.6</v>
      </c>
      <c r="F636" s="14"/>
      <c r="G636" s="375">
        <v>1</v>
      </c>
      <c r="H636" s="375">
        <v>1</v>
      </c>
      <c r="I636" s="16">
        <v>2.2599999999999998</v>
      </c>
      <c r="J636" s="16"/>
      <c r="K636" s="124" t="s">
        <v>694</v>
      </c>
      <c r="L636" s="13" t="s">
        <v>193</v>
      </c>
      <c r="M636" s="268" t="s">
        <v>463</v>
      </c>
      <c r="N636" s="349">
        <v>7</v>
      </c>
      <c r="O636" s="458" t="s">
        <v>193</v>
      </c>
      <c r="P636" s="13" t="s">
        <v>241</v>
      </c>
      <c r="Q636" s="13" t="s">
        <v>382</v>
      </c>
      <c r="R636" s="13" t="s">
        <v>695</v>
      </c>
      <c r="S636" s="7">
        <v>71</v>
      </c>
      <c r="T636" s="13" t="s">
        <v>354</v>
      </c>
      <c r="U636" s="13" t="s">
        <v>42</v>
      </c>
      <c r="V636" s="60" t="s">
        <v>10</v>
      </c>
      <c r="W636" s="54">
        <v>0.01</v>
      </c>
      <c r="X636" s="361">
        <v>0.16</v>
      </c>
      <c r="Y636" s="355"/>
      <c r="Z636" s="13" t="s">
        <v>48</v>
      </c>
      <c r="AA636" s="115" t="s">
        <v>28</v>
      </c>
      <c r="AB636" s="110"/>
      <c r="AC636" s="60"/>
    </row>
    <row r="637" spans="1:29" x14ac:dyDescent="0.25">
      <c r="A637" s="329">
        <v>45921</v>
      </c>
      <c r="B637" s="5">
        <v>5</v>
      </c>
      <c r="D637" s="5" t="s">
        <v>112</v>
      </c>
      <c r="E637" s="6">
        <v>0.6</v>
      </c>
      <c r="G637" s="362">
        <v>1</v>
      </c>
      <c r="H637" s="362">
        <v>1</v>
      </c>
      <c r="I637" s="8">
        <v>2.2599999999999998</v>
      </c>
      <c r="L637" s="5" t="s">
        <v>193</v>
      </c>
      <c r="M637" s="242" t="s">
        <v>463</v>
      </c>
      <c r="N637" s="345">
        <v>12</v>
      </c>
      <c r="O637" s="38" t="s">
        <v>193</v>
      </c>
      <c r="P637" s="5" t="s">
        <v>316</v>
      </c>
      <c r="Q637" s="5" t="s">
        <v>317</v>
      </c>
      <c r="R637" s="5" t="s">
        <v>688</v>
      </c>
      <c r="S637" s="7">
        <v>59</v>
      </c>
      <c r="T637" s="5" t="s">
        <v>41</v>
      </c>
      <c r="U637" s="5" t="s">
        <v>43</v>
      </c>
      <c r="V637" s="57" t="s">
        <v>540</v>
      </c>
      <c r="W637" s="51">
        <v>0.08</v>
      </c>
      <c r="X637" s="357" t="s">
        <v>53</v>
      </c>
      <c r="Y637" s="351" t="s">
        <v>353</v>
      </c>
      <c r="Z637" s="5" t="s">
        <v>52</v>
      </c>
      <c r="AA637" s="112" t="s">
        <v>28</v>
      </c>
    </row>
    <row r="638" spans="1:29" x14ac:dyDescent="0.25">
      <c r="A638" s="329">
        <v>45921</v>
      </c>
      <c r="B638" s="5">
        <v>5</v>
      </c>
      <c r="D638" s="5" t="s">
        <v>112</v>
      </c>
      <c r="E638" s="6">
        <v>0.6</v>
      </c>
      <c r="G638" s="362">
        <v>1</v>
      </c>
      <c r="H638" s="362">
        <v>1</v>
      </c>
      <c r="I638" s="8">
        <v>2.2599999999999998</v>
      </c>
      <c r="L638" s="5" t="s">
        <v>193</v>
      </c>
      <c r="M638" s="242" t="s">
        <v>463</v>
      </c>
      <c r="N638" s="345">
        <v>14</v>
      </c>
      <c r="O638" s="38" t="s">
        <v>193</v>
      </c>
      <c r="P638" s="5" t="s">
        <v>200</v>
      </c>
      <c r="Q638" s="5" t="s">
        <v>201</v>
      </c>
      <c r="R638" s="5" t="s">
        <v>718</v>
      </c>
      <c r="S638" s="479">
        <v>57</v>
      </c>
      <c r="T638" s="5" t="s">
        <v>41</v>
      </c>
      <c r="U638" s="5" t="s">
        <v>42</v>
      </c>
      <c r="V638" s="57" t="s">
        <v>7</v>
      </c>
      <c r="W638" s="51">
        <v>0.79</v>
      </c>
      <c r="X638" s="357">
        <v>0.88</v>
      </c>
      <c r="Y638" s="351" t="s">
        <v>353</v>
      </c>
      <c r="Z638" s="5" t="s">
        <v>48</v>
      </c>
      <c r="AA638" s="112" t="s">
        <v>28</v>
      </c>
    </row>
    <row r="639" spans="1:29" x14ac:dyDescent="0.25">
      <c r="A639" s="329">
        <v>45921</v>
      </c>
      <c r="B639" s="5">
        <v>5</v>
      </c>
      <c r="D639" s="5" t="s">
        <v>112</v>
      </c>
      <c r="E639" s="6">
        <v>0.6</v>
      </c>
      <c r="G639" s="362">
        <v>1</v>
      </c>
      <c r="H639" s="362">
        <v>1</v>
      </c>
      <c r="I639" s="8">
        <v>2.2599999999999998</v>
      </c>
      <c r="L639" s="5" t="s">
        <v>193</v>
      </c>
      <c r="M639" s="242" t="s">
        <v>463</v>
      </c>
      <c r="N639" s="345">
        <v>40</v>
      </c>
      <c r="O639" s="38" t="s">
        <v>193</v>
      </c>
      <c r="P639" s="5" t="s">
        <v>96</v>
      </c>
      <c r="Q639" s="5" t="s">
        <v>327</v>
      </c>
      <c r="R639" s="5" t="s">
        <v>685</v>
      </c>
      <c r="S639" s="7">
        <v>72</v>
      </c>
      <c r="T639" s="5" t="s">
        <v>354</v>
      </c>
      <c r="U639" s="5" t="s">
        <v>42</v>
      </c>
      <c r="V639" s="57" t="s">
        <v>10</v>
      </c>
      <c r="W639" s="51">
        <v>0.04</v>
      </c>
      <c r="X639" s="357">
        <v>0.23</v>
      </c>
      <c r="Z639" s="5" t="s">
        <v>48</v>
      </c>
      <c r="AA639" s="112" t="s">
        <v>28</v>
      </c>
    </row>
    <row r="640" spans="1:29" x14ac:dyDescent="0.25">
      <c r="A640" s="329">
        <v>45921</v>
      </c>
      <c r="B640" s="5">
        <v>5</v>
      </c>
      <c r="D640" s="5" t="s">
        <v>112</v>
      </c>
      <c r="E640" s="6">
        <v>0.6</v>
      </c>
      <c r="G640" s="362">
        <v>1</v>
      </c>
      <c r="H640" s="362">
        <v>1</v>
      </c>
      <c r="I640" s="8">
        <v>2.2599999999999998</v>
      </c>
      <c r="L640" s="5" t="s">
        <v>193</v>
      </c>
      <c r="M640" s="242" t="s">
        <v>463</v>
      </c>
      <c r="N640" s="345">
        <v>52</v>
      </c>
      <c r="O640" s="38" t="s">
        <v>193</v>
      </c>
      <c r="P640" s="5" t="s">
        <v>204</v>
      </c>
      <c r="Q640" s="5" t="s">
        <v>205</v>
      </c>
      <c r="R640" s="5" t="s">
        <v>686</v>
      </c>
      <c r="S640" s="479">
        <v>64</v>
      </c>
      <c r="T640" s="5" t="s">
        <v>41</v>
      </c>
      <c r="U640" s="5" t="s">
        <v>42</v>
      </c>
      <c r="V640" s="57" t="s">
        <v>10</v>
      </c>
      <c r="W640" s="51">
        <v>0.3</v>
      </c>
      <c r="X640" s="357" t="s">
        <v>53</v>
      </c>
      <c r="Y640" s="351" t="s">
        <v>353</v>
      </c>
      <c r="Z640" s="5" t="s">
        <v>13</v>
      </c>
      <c r="AA640" s="112" t="s">
        <v>28</v>
      </c>
    </row>
    <row r="641" spans="1:29" x14ac:dyDescent="0.25">
      <c r="A641" s="329">
        <v>45921</v>
      </c>
      <c r="B641" s="5">
        <v>5</v>
      </c>
      <c r="D641" s="5" t="s">
        <v>112</v>
      </c>
      <c r="E641" s="6">
        <v>0.6</v>
      </c>
      <c r="G641" s="362">
        <v>1</v>
      </c>
      <c r="H641" s="362">
        <v>1</v>
      </c>
      <c r="I641" s="8">
        <v>2.2599999999999998</v>
      </c>
      <c r="L641" s="5" t="s">
        <v>193</v>
      </c>
      <c r="M641" s="242" t="s">
        <v>463</v>
      </c>
      <c r="N641" s="345">
        <v>53</v>
      </c>
      <c r="O641" s="38" t="s">
        <v>193</v>
      </c>
      <c r="P641" s="5" t="s">
        <v>200</v>
      </c>
      <c r="Q641" s="5" t="s">
        <v>201</v>
      </c>
      <c r="R641" s="5" t="s">
        <v>718</v>
      </c>
      <c r="S641" s="7">
        <v>57</v>
      </c>
      <c r="T641" s="5" t="s">
        <v>41</v>
      </c>
      <c r="U641" s="5" t="s">
        <v>43</v>
      </c>
      <c r="V641" s="57" t="s">
        <v>10</v>
      </c>
      <c r="W641" s="51">
        <v>0.3</v>
      </c>
      <c r="X641" s="357">
        <v>0.83</v>
      </c>
      <c r="Z641" s="5" t="s">
        <v>48</v>
      </c>
      <c r="AA641" s="112" t="s">
        <v>28</v>
      </c>
    </row>
    <row r="642" spans="1:29" x14ac:dyDescent="0.25">
      <c r="A642" s="329">
        <v>45921</v>
      </c>
      <c r="B642" s="5">
        <v>5</v>
      </c>
      <c r="D642" s="5" t="s">
        <v>112</v>
      </c>
      <c r="E642" s="6">
        <v>0.6</v>
      </c>
      <c r="G642" s="362">
        <v>1</v>
      </c>
      <c r="H642" s="362">
        <v>1</v>
      </c>
      <c r="I642" s="8">
        <v>2.2599999999999998</v>
      </c>
      <c r="L642" s="5" t="s">
        <v>193</v>
      </c>
      <c r="M642" s="242" t="s">
        <v>463</v>
      </c>
      <c r="N642" s="476">
        <v>61</v>
      </c>
      <c r="O642" s="477" t="s">
        <v>112</v>
      </c>
      <c r="P642" s="478" t="s">
        <v>461</v>
      </c>
      <c r="Q642" s="478" t="s">
        <v>462</v>
      </c>
      <c r="R642" s="478" t="s">
        <v>718</v>
      </c>
      <c r="S642" s="479">
        <v>60</v>
      </c>
      <c r="T642" s="478" t="s">
        <v>41</v>
      </c>
      <c r="U642" s="478" t="s">
        <v>45</v>
      </c>
      <c r="V642" s="480" t="s">
        <v>10</v>
      </c>
      <c r="W642" s="51">
        <v>0.12</v>
      </c>
      <c r="X642" s="357" t="s">
        <v>53</v>
      </c>
      <c r="Z642" s="5" t="s">
        <v>13</v>
      </c>
      <c r="AA642" s="112" t="s">
        <v>28</v>
      </c>
    </row>
    <row r="643" spans="1:29" x14ac:dyDescent="0.25">
      <c r="A643" s="329">
        <v>45921</v>
      </c>
      <c r="B643" s="5">
        <v>5</v>
      </c>
      <c r="D643" s="5" t="s">
        <v>112</v>
      </c>
      <c r="E643" s="6">
        <v>0.6</v>
      </c>
      <c r="G643" s="362">
        <v>1</v>
      </c>
      <c r="H643" s="362">
        <v>1</v>
      </c>
      <c r="I643" s="8">
        <v>2.2599999999999998</v>
      </c>
      <c r="L643" s="5" t="s">
        <v>193</v>
      </c>
      <c r="M643" s="242" t="s">
        <v>463</v>
      </c>
      <c r="N643" s="345">
        <v>69</v>
      </c>
      <c r="O643" s="38" t="s">
        <v>193</v>
      </c>
      <c r="P643" s="5" t="s">
        <v>206</v>
      </c>
      <c r="Q643" s="5" t="s">
        <v>207</v>
      </c>
      <c r="R643" s="5" t="s">
        <v>696</v>
      </c>
      <c r="S643" s="7">
        <v>64</v>
      </c>
      <c r="T643" s="5" t="s">
        <v>41</v>
      </c>
      <c r="U643" s="5" t="s">
        <v>43</v>
      </c>
      <c r="V643" s="57" t="s">
        <v>10</v>
      </c>
      <c r="W643" s="51">
        <v>0.18</v>
      </c>
      <c r="X643" s="357">
        <v>0.16</v>
      </c>
      <c r="Z643" s="5" t="s">
        <v>48</v>
      </c>
      <c r="AA643" s="112" t="s">
        <v>28</v>
      </c>
    </row>
    <row r="644" spans="1:29" x14ac:dyDescent="0.25">
      <c r="A644" s="329">
        <v>45921</v>
      </c>
      <c r="B644" s="5">
        <v>5</v>
      </c>
      <c r="D644" s="5" t="s">
        <v>112</v>
      </c>
      <c r="E644" s="6">
        <v>0.6</v>
      </c>
      <c r="G644" s="362">
        <v>1</v>
      </c>
      <c r="H644" s="362">
        <v>1</v>
      </c>
      <c r="I644" s="8">
        <v>2.2599999999999998</v>
      </c>
      <c r="L644" s="5" t="s">
        <v>193</v>
      </c>
      <c r="M644" s="242" t="s">
        <v>463</v>
      </c>
      <c r="N644" s="345">
        <v>79</v>
      </c>
      <c r="O644" s="38" t="s">
        <v>193</v>
      </c>
      <c r="P644" s="5" t="s">
        <v>259</v>
      </c>
      <c r="Q644" s="5" t="s">
        <v>260</v>
      </c>
      <c r="R644" s="5" t="s">
        <v>689</v>
      </c>
      <c r="S644" s="7">
        <v>65</v>
      </c>
      <c r="T644" s="5" t="s">
        <v>41</v>
      </c>
      <c r="U644" s="5" t="s">
        <v>42</v>
      </c>
      <c r="V644" s="57" t="s">
        <v>18</v>
      </c>
      <c r="W644" s="51">
        <v>0.19</v>
      </c>
      <c r="X644" s="357">
        <v>0.46</v>
      </c>
      <c r="Z644" s="5" t="s">
        <v>48</v>
      </c>
      <c r="AA644" s="112" t="s">
        <v>28</v>
      </c>
    </row>
    <row r="645" spans="1:29" x14ac:dyDescent="0.25">
      <c r="A645" s="329">
        <v>45921</v>
      </c>
      <c r="B645" s="5">
        <v>5</v>
      </c>
      <c r="D645" s="5" t="s">
        <v>112</v>
      </c>
      <c r="E645" s="6">
        <v>0.6</v>
      </c>
      <c r="G645" s="362">
        <v>1</v>
      </c>
      <c r="H645" s="362">
        <v>1</v>
      </c>
      <c r="I645" s="8">
        <v>2.2599999999999998</v>
      </c>
      <c r="L645" s="5" t="s">
        <v>193</v>
      </c>
      <c r="M645" s="242" t="s">
        <v>463</v>
      </c>
      <c r="N645" s="345">
        <v>79</v>
      </c>
      <c r="O645" s="38" t="s">
        <v>193</v>
      </c>
      <c r="P645" s="5" t="s">
        <v>459</v>
      </c>
      <c r="Q645" s="5" t="s">
        <v>460</v>
      </c>
      <c r="R645" s="5" t="s">
        <v>696</v>
      </c>
      <c r="S645" s="459">
        <v>59</v>
      </c>
      <c r="T645" s="5" t="s">
        <v>41</v>
      </c>
      <c r="U645" s="5" t="s">
        <v>43</v>
      </c>
      <c r="V645" s="57" t="s">
        <v>18</v>
      </c>
      <c r="W645" s="51">
        <v>0.36</v>
      </c>
      <c r="X645" s="357">
        <v>0.45</v>
      </c>
      <c r="Y645" s="351" t="s">
        <v>353</v>
      </c>
      <c r="Z645" s="5" t="s">
        <v>8</v>
      </c>
      <c r="AA645" s="112" t="s">
        <v>9</v>
      </c>
    </row>
    <row r="646" spans="1:29" ht="15.75" thickBot="1" x14ac:dyDescent="0.3">
      <c r="A646" s="330">
        <v>45921</v>
      </c>
      <c r="B646" s="9">
        <v>5</v>
      </c>
      <c r="C646" s="122"/>
      <c r="D646" s="9" t="s">
        <v>112</v>
      </c>
      <c r="E646" s="10">
        <v>0.6</v>
      </c>
      <c r="F646" s="10"/>
      <c r="G646" s="383">
        <v>1</v>
      </c>
      <c r="H646" s="383">
        <v>1</v>
      </c>
      <c r="I646" s="12">
        <v>2.2599999999999998</v>
      </c>
      <c r="J646" s="12"/>
      <c r="K646" s="122"/>
      <c r="L646" s="9" t="s">
        <v>193</v>
      </c>
      <c r="M646" s="445" t="s">
        <v>463</v>
      </c>
      <c r="N646" s="511">
        <v>85</v>
      </c>
      <c r="O646" s="512" t="s">
        <v>112</v>
      </c>
      <c r="P646" s="513" t="s">
        <v>114</v>
      </c>
      <c r="Q646" s="513" t="s">
        <v>115</v>
      </c>
      <c r="R646" s="513" t="s">
        <v>717</v>
      </c>
      <c r="S646" s="481">
        <v>77</v>
      </c>
      <c r="T646" s="513" t="s">
        <v>41</v>
      </c>
      <c r="U646" s="513" t="s">
        <v>45</v>
      </c>
      <c r="V646" s="514" t="s">
        <v>10</v>
      </c>
      <c r="W646" s="52">
        <v>0.36</v>
      </c>
      <c r="X646" s="358">
        <v>0.9</v>
      </c>
      <c r="Y646" s="352" t="s">
        <v>353</v>
      </c>
      <c r="Z646" s="9" t="s">
        <v>8</v>
      </c>
      <c r="AA646" s="113" t="s">
        <v>51</v>
      </c>
      <c r="AB646" s="109" t="s">
        <v>580</v>
      </c>
      <c r="AC646" s="58" t="s">
        <v>666</v>
      </c>
    </row>
    <row r="647" spans="1:29" ht="15.75" thickBot="1" x14ac:dyDescent="0.3">
      <c r="A647" s="326">
        <v>45921</v>
      </c>
      <c r="B647" s="207">
        <v>5</v>
      </c>
      <c r="C647" s="208"/>
      <c r="D647" s="207" t="s">
        <v>112</v>
      </c>
      <c r="E647" s="209">
        <v>0.6</v>
      </c>
      <c r="F647" s="209"/>
      <c r="G647" s="460">
        <v>1</v>
      </c>
      <c r="H647" s="460">
        <v>1</v>
      </c>
      <c r="I647" s="211">
        <v>2.2599999999999998</v>
      </c>
      <c r="J647" s="211"/>
      <c r="K647" s="208"/>
      <c r="L647" s="207" t="s">
        <v>193</v>
      </c>
      <c r="M647" s="235"/>
      <c r="N647" s="347"/>
      <c r="O647" s="343" t="s">
        <v>112</v>
      </c>
      <c r="P647" s="199" t="s">
        <v>60</v>
      </c>
      <c r="Q647" s="199" t="s">
        <v>464</v>
      </c>
      <c r="R647" s="199" t="s">
        <v>707</v>
      </c>
      <c r="S647" s="479">
        <v>89</v>
      </c>
      <c r="T647" s="199"/>
      <c r="U647" s="199"/>
      <c r="V647" s="201"/>
      <c r="W647" s="202"/>
      <c r="X647" s="359"/>
      <c r="Y647" s="353">
        <f>H647</f>
        <v>1</v>
      </c>
      <c r="Z647" s="199"/>
      <c r="AA647" s="204"/>
      <c r="AB647" s="205"/>
      <c r="AC647" s="201"/>
    </row>
    <row r="648" spans="1:29" ht="15.75" thickBot="1" x14ac:dyDescent="0.3">
      <c r="A648" s="326">
        <v>45921</v>
      </c>
      <c r="B648" s="207">
        <v>5</v>
      </c>
      <c r="C648" s="208"/>
      <c r="D648" s="207" t="s">
        <v>112</v>
      </c>
      <c r="E648" s="209">
        <v>0.6</v>
      </c>
      <c r="F648" s="209"/>
      <c r="G648" s="460">
        <v>1</v>
      </c>
      <c r="H648" s="460">
        <v>1</v>
      </c>
      <c r="I648" s="211">
        <v>2.2599999999999998</v>
      </c>
      <c r="J648" s="211"/>
      <c r="K648" s="208"/>
      <c r="L648" s="207" t="s">
        <v>193</v>
      </c>
      <c r="M648" s="235"/>
      <c r="N648" s="347"/>
      <c r="O648" s="343" t="s">
        <v>193</v>
      </c>
      <c r="P648" s="199" t="s">
        <v>580</v>
      </c>
      <c r="Q648" s="199" t="s">
        <v>581</v>
      </c>
      <c r="R648" s="199" t="s">
        <v>707</v>
      </c>
      <c r="S648" s="7">
        <v>59</v>
      </c>
      <c r="T648" s="199"/>
      <c r="U648" s="199"/>
      <c r="V648" s="201"/>
      <c r="W648" s="202"/>
      <c r="X648" s="359"/>
      <c r="Y648" s="353">
        <f>G647</f>
        <v>1</v>
      </c>
      <c r="Z648" s="199"/>
      <c r="AA648" s="204"/>
      <c r="AB648" s="205"/>
      <c r="AC648" s="201"/>
    </row>
    <row r="649" spans="1:29" x14ac:dyDescent="0.25">
      <c r="A649" s="331">
        <v>45921</v>
      </c>
      <c r="B649" s="13">
        <v>5</v>
      </c>
      <c r="C649" s="124" t="s">
        <v>705</v>
      </c>
      <c r="D649" s="13" t="s">
        <v>208</v>
      </c>
      <c r="E649" s="14">
        <v>1.55</v>
      </c>
      <c r="F649" s="14"/>
      <c r="G649" s="375">
        <v>1</v>
      </c>
      <c r="H649" s="375">
        <v>0</v>
      </c>
      <c r="I649" s="16">
        <v>1.0900000000000001</v>
      </c>
      <c r="J649" s="16"/>
      <c r="K649" s="124" t="s">
        <v>693</v>
      </c>
      <c r="L649" s="13" t="s">
        <v>92</v>
      </c>
      <c r="M649" s="47"/>
      <c r="N649" s="349">
        <v>1</v>
      </c>
      <c r="O649" s="458" t="s">
        <v>92</v>
      </c>
      <c r="P649" s="13" t="s">
        <v>108</v>
      </c>
      <c r="Q649" s="13" t="s">
        <v>109</v>
      </c>
      <c r="R649" s="13" t="s">
        <v>684</v>
      </c>
      <c r="S649" s="7">
        <v>66</v>
      </c>
      <c r="T649" s="13" t="s">
        <v>44</v>
      </c>
      <c r="U649" s="13" t="s">
        <v>42</v>
      </c>
      <c r="V649" s="60" t="s">
        <v>540</v>
      </c>
      <c r="W649" s="54">
        <v>0.11</v>
      </c>
      <c r="X649" s="361" t="s">
        <v>53</v>
      </c>
      <c r="Y649" s="355" t="s">
        <v>353</v>
      </c>
      <c r="Z649" s="13" t="s">
        <v>13</v>
      </c>
      <c r="AA649" s="115" t="s">
        <v>28</v>
      </c>
      <c r="AB649" s="110"/>
      <c r="AC649" s="60"/>
    </row>
    <row r="650" spans="1:29" x14ac:dyDescent="0.25">
      <c r="A650" s="329">
        <v>45921</v>
      </c>
      <c r="B650" s="5">
        <v>5</v>
      </c>
      <c r="D650" s="5" t="s">
        <v>208</v>
      </c>
      <c r="E650" s="6">
        <v>1.55</v>
      </c>
      <c r="G650" s="362">
        <v>1</v>
      </c>
      <c r="H650" s="362">
        <v>0</v>
      </c>
      <c r="I650" s="8">
        <v>1.0900000000000001</v>
      </c>
      <c r="L650" s="5" t="s">
        <v>92</v>
      </c>
      <c r="N650" s="476">
        <v>4</v>
      </c>
      <c r="O650" s="477" t="s">
        <v>208</v>
      </c>
      <c r="P650" s="478" t="s">
        <v>53</v>
      </c>
      <c r="Q650" s="478" t="s">
        <v>465</v>
      </c>
      <c r="R650" s="478" t="s">
        <v>689</v>
      </c>
      <c r="S650" s="479">
        <v>68</v>
      </c>
      <c r="T650" s="478" t="s">
        <v>47</v>
      </c>
      <c r="U650" s="478" t="s">
        <v>42</v>
      </c>
      <c r="V650" s="480" t="s">
        <v>10</v>
      </c>
      <c r="W650" s="51">
        <v>0.12</v>
      </c>
      <c r="X650" s="357" t="s">
        <v>53</v>
      </c>
      <c r="Z650" s="5" t="s">
        <v>52</v>
      </c>
      <c r="AA650" s="112" t="s">
        <v>28</v>
      </c>
    </row>
    <row r="651" spans="1:29" x14ac:dyDescent="0.25">
      <c r="A651" s="329">
        <v>45921</v>
      </c>
      <c r="B651" s="5">
        <v>5</v>
      </c>
      <c r="D651" s="5" t="s">
        <v>208</v>
      </c>
      <c r="E651" s="6">
        <v>1.55</v>
      </c>
      <c r="G651" s="362">
        <v>1</v>
      </c>
      <c r="H651" s="362">
        <v>0</v>
      </c>
      <c r="I651" s="8">
        <v>1.0900000000000001</v>
      </c>
      <c r="L651" s="5" t="s">
        <v>92</v>
      </c>
      <c r="N651" s="476">
        <v>9</v>
      </c>
      <c r="O651" s="477" t="s">
        <v>208</v>
      </c>
      <c r="P651" s="478" t="s">
        <v>362</v>
      </c>
      <c r="Q651" s="478" t="s">
        <v>363</v>
      </c>
      <c r="R651" s="478" t="s">
        <v>718</v>
      </c>
      <c r="S651" s="479">
        <v>72</v>
      </c>
      <c r="T651" s="478" t="s">
        <v>47</v>
      </c>
      <c r="U651" s="478" t="s">
        <v>42</v>
      </c>
      <c r="V651" s="480" t="s">
        <v>540</v>
      </c>
      <c r="W651" s="51">
        <v>0.76</v>
      </c>
      <c r="X651" s="357">
        <v>0.98</v>
      </c>
      <c r="Y651" s="351" t="s">
        <v>353</v>
      </c>
      <c r="Z651" s="5" t="s">
        <v>8</v>
      </c>
      <c r="AA651" s="112" t="s">
        <v>19</v>
      </c>
    </row>
    <row r="652" spans="1:29" x14ac:dyDescent="0.25">
      <c r="A652" s="329">
        <v>45921</v>
      </c>
      <c r="B652" s="5">
        <v>5</v>
      </c>
      <c r="D652" s="5" t="s">
        <v>208</v>
      </c>
      <c r="E652" s="6">
        <v>1.55</v>
      </c>
      <c r="G652" s="362">
        <v>1</v>
      </c>
      <c r="H652" s="362">
        <v>0</v>
      </c>
      <c r="I652" s="8">
        <v>1.0900000000000001</v>
      </c>
      <c r="L652" s="5" t="s">
        <v>92</v>
      </c>
      <c r="N652" s="476">
        <v>41</v>
      </c>
      <c r="O652" s="477" t="s">
        <v>208</v>
      </c>
      <c r="P652" s="478" t="s">
        <v>466</v>
      </c>
      <c r="Q652" s="478" t="s">
        <v>467</v>
      </c>
      <c r="R652" s="478" t="s">
        <v>695</v>
      </c>
      <c r="S652" s="479">
        <v>73</v>
      </c>
      <c r="T652" s="478" t="s">
        <v>354</v>
      </c>
      <c r="U652" s="478" t="s">
        <v>42</v>
      </c>
      <c r="V652" s="480" t="s">
        <v>10</v>
      </c>
      <c r="W652" s="51">
        <v>0.03</v>
      </c>
      <c r="X652" s="357" t="s">
        <v>53</v>
      </c>
      <c r="Z652" s="5" t="s">
        <v>16</v>
      </c>
      <c r="AA652" s="112" t="s">
        <v>19</v>
      </c>
    </row>
    <row r="653" spans="1:29" x14ac:dyDescent="0.25">
      <c r="A653" s="329">
        <v>45921</v>
      </c>
      <c r="B653" s="5">
        <v>5</v>
      </c>
      <c r="D653" s="5" t="s">
        <v>208</v>
      </c>
      <c r="E653" s="6">
        <v>1.55</v>
      </c>
      <c r="G653" s="362">
        <v>1</v>
      </c>
      <c r="H653" s="362">
        <v>0</v>
      </c>
      <c r="I653" s="8">
        <v>1.0900000000000001</v>
      </c>
      <c r="L653" s="5" t="s">
        <v>92</v>
      </c>
      <c r="N653" s="476">
        <v>49</v>
      </c>
      <c r="O653" s="477" t="s">
        <v>208</v>
      </c>
      <c r="P653" s="478" t="s">
        <v>61</v>
      </c>
      <c r="Q653" s="478" t="s">
        <v>261</v>
      </c>
      <c r="R653" s="478" t="s">
        <v>717</v>
      </c>
      <c r="S653" s="479">
        <v>65</v>
      </c>
      <c r="T653" s="478" t="s">
        <v>41</v>
      </c>
      <c r="U653" s="478" t="s">
        <v>42</v>
      </c>
      <c r="V653" s="480" t="s">
        <v>10</v>
      </c>
      <c r="W653" s="51">
        <v>7.0000000000000007E-2</v>
      </c>
      <c r="X653" s="357">
        <v>0.12</v>
      </c>
      <c r="Z653" s="5" t="s">
        <v>48</v>
      </c>
      <c r="AA653" s="112" t="s">
        <v>19</v>
      </c>
    </row>
    <row r="654" spans="1:29" x14ac:dyDescent="0.25">
      <c r="A654" s="329">
        <v>45921</v>
      </c>
      <c r="B654" s="5">
        <v>5</v>
      </c>
      <c r="D654" s="5" t="s">
        <v>208</v>
      </c>
      <c r="E654" s="6">
        <v>1.55</v>
      </c>
      <c r="G654" s="362">
        <v>1</v>
      </c>
      <c r="H654" s="362">
        <v>0</v>
      </c>
      <c r="I654" s="8">
        <v>1.0900000000000001</v>
      </c>
      <c r="L654" s="5" t="s">
        <v>92</v>
      </c>
      <c r="N654" s="345">
        <v>50</v>
      </c>
      <c r="O654" s="38" t="s">
        <v>92</v>
      </c>
      <c r="P654" s="5" t="s">
        <v>292</v>
      </c>
      <c r="Q654" s="5" t="s">
        <v>293</v>
      </c>
      <c r="R654" s="5" t="s">
        <v>686</v>
      </c>
      <c r="S654" s="479">
        <v>64</v>
      </c>
      <c r="T654" s="5" t="s">
        <v>41</v>
      </c>
      <c r="U654" s="5" t="s">
        <v>43</v>
      </c>
      <c r="V654" s="57" t="s">
        <v>10</v>
      </c>
      <c r="W654" s="51">
        <v>0.06</v>
      </c>
      <c r="X654" s="357" t="s">
        <v>53</v>
      </c>
      <c r="Z654" s="5" t="s">
        <v>22</v>
      </c>
      <c r="AA654" s="112" t="s">
        <v>19</v>
      </c>
    </row>
    <row r="655" spans="1:29" x14ac:dyDescent="0.25">
      <c r="A655" s="329">
        <v>45921</v>
      </c>
      <c r="B655" s="5">
        <v>5</v>
      </c>
      <c r="D655" s="5" t="s">
        <v>208</v>
      </c>
      <c r="E655" s="6">
        <v>1.55</v>
      </c>
      <c r="G655" s="362">
        <v>1</v>
      </c>
      <c r="H655" s="362">
        <v>0</v>
      </c>
      <c r="I655" s="8">
        <v>1.0900000000000001</v>
      </c>
      <c r="L655" s="5" t="s">
        <v>92</v>
      </c>
      <c r="N655" s="476">
        <v>51</v>
      </c>
      <c r="O655" s="477" t="s">
        <v>208</v>
      </c>
      <c r="P655" s="478" t="s">
        <v>466</v>
      </c>
      <c r="Q655" s="478" t="s">
        <v>467</v>
      </c>
      <c r="R655" s="478" t="s">
        <v>695</v>
      </c>
      <c r="S655" s="479">
        <v>73</v>
      </c>
      <c r="T655" s="478" t="s">
        <v>41</v>
      </c>
      <c r="U655" s="478" t="s">
        <v>43</v>
      </c>
      <c r="V655" s="480" t="s">
        <v>10</v>
      </c>
      <c r="W655" s="51">
        <v>0.09</v>
      </c>
      <c r="X655" s="357">
        <v>0.19</v>
      </c>
      <c r="Z655" s="5" t="s">
        <v>48</v>
      </c>
      <c r="AA655" s="112" t="s">
        <v>19</v>
      </c>
    </row>
    <row r="656" spans="1:29" x14ac:dyDescent="0.25">
      <c r="A656" s="329">
        <v>45921</v>
      </c>
      <c r="B656" s="5">
        <v>5</v>
      </c>
      <c r="D656" s="5" t="s">
        <v>208</v>
      </c>
      <c r="E656" s="6">
        <v>1.55</v>
      </c>
      <c r="G656" s="362">
        <v>1</v>
      </c>
      <c r="H656" s="362">
        <v>0</v>
      </c>
      <c r="I656" s="8">
        <v>1.0900000000000001</v>
      </c>
      <c r="L656" s="5" t="s">
        <v>92</v>
      </c>
      <c r="N656" s="476">
        <v>51</v>
      </c>
      <c r="O656" s="477" t="s">
        <v>208</v>
      </c>
      <c r="P656" s="478" t="s">
        <v>61</v>
      </c>
      <c r="Q656" s="478" t="s">
        <v>261</v>
      </c>
      <c r="R656" s="478" t="s">
        <v>717</v>
      </c>
      <c r="S656" s="479">
        <v>65</v>
      </c>
      <c r="T656" s="478" t="s">
        <v>41</v>
      </c>
      <c r="U656" s="478" t="s">
        <v>43</v>
      </c>
      <c r="V656" s="480" t="s">
        <v>540</v>
      </c>
      <c r="W656" s="51">
        <v>7.0000000000000007E-2</v>
      </c>
      <c r="X656" s="357">
        <v>0.14000000000000001</v>
      </c>
      <c r="Z656" s="5" t="s">
        <v>48</v>
      </c>
      <c r="AA656" s="112" t="s">
        <v>19</v>
      </c>
    </row>
    <row r="657" spans="1:29" x14ac:dyDescent="0.25">
      <c r="A657" s="329">
        <v>45921</v>
      </c>
      <c r="B657" s="5">
        <v>5</v>
      </c>
      <c r="D657" s="5" t="s">
        <v>208</v>
      </c>
      <c r="E657" s="6">
        <v>1.55</v>
      </c>
      <c r="G657" s="362">
        <v>1</v>
      </c>
      <c r="H657" s="362">
        <v>0</v>
      </c>
      <c r="I657" s="8">
        <v>1.0900000000000001</v>
      </c>
      <c r="L657" s="5" t="s">
        <v>92</v>
      </c>
      <c r="N657" s="476">
        <v>52</v>
      </c>
      <c r="O657" s="477" t="s">
        <v>208</v>
      </c>
      <c r="P657" s="478" t="s">
        <v>61</v>
      </c>
      <c r="Q657" s="478" t="s">
        <v>261</v>
      </c>
      <c r="R657" s="478" t="s">
        <v>717</v>
      </c>
      <c r="S657" s="479">
        <v>65</v>
      </c>
      <c r="T657" s="478" t="s">
        <v>41</v>
      </c>
      <c r="U657" s="478" t="s">
        <v>42</v>
      </c>
      <c r="V657" s="480" t="s">
        <v>10</v>
      </c>
      <c r="W657" s="51">
        <v>7.0000000000000007E-2</v>
      </c>
      <c r="X657" s="357" t="s">
        <v>53</v>
      </c>
      <c r="Z657" s="5" t="s">
        <v>17</v>
      </c>
      <c r="AA657" s="112" t="s">
        <v>19</v>
      </c>
    </row>
    <row r="658" spans="1:29" x14ac:dyDescent="0.25">
      <c r="A658" s="329">
        <v>45921</v>
      </c>
      <c r="B658" s="5">
        <v>5</v>
      </c>
      <c r="D658" s="5" t="s">
        <v>208</v>
      </c>
      <c r="E658" s="6">
        <v>1.55</v>
      </c>
      <c r="G658" s="362">
        <v>1</v>
      </c>
      <c r="H658" s="362">
        <v>0</v>
      </c>
      <c r="I658" s="8">
        <v>1.0900000000000001</v>
      </c>
      <c r="L658" s="5" t="s">
        <v>92</v>
      </c>
      <c r="N658" s="345">
        <v>59</v>
      </c>
      <c r="O658" s="38" t="s">
        <v>92</v>
      </c>
      <c r="P658" s="5" t="s">
        <v>320</v>
      </c>
      <c r="Q658" s="5" t="s">
        <v>321</v>
      </c>
      <c r="R658" s="5" t="s">
        <v>687</v>
      </c>
      <c r="S658" s="479">
        <v>65</v>
      </c>
      <c r="T658" s="5" t="s">
        <v>44</v>
      </c>
      <c r="U658" s="5" t="s">
        <v>42</v>
      </c>
      <c r="V658" s="57" t="s">
        <v>10</v>
      </c>
      <c r="W658" s="51">
        <v>0.1</v>
      </c>
      <c r="X658" s="357" t="s">
        <v>53</v>
      </c>
      <c r="Z658" s="5" t="s">
        <v>52</v>
      </c>
      <c r="AA658" s="112" t="s">
        <v>19</v>
      </c>
    </row>
    <row r="659" spans="1:29" x14ac:dyDescent="0.25">
      <c r="A659" s="329">
        <v>45921</v>
      </c>
      <c r="B659" s="5">
        <v>5</v>
      </c>
      <c r="D659" s="5" t="s">
        <v>208</v>
      </c>
      <c r="E659" s="6">
        <v>1.55</v>
      </c>
      <c r="G659" s="362">
        <v>1</v>
      </c>
      <c r="H659" s="362">
        <v>0</v>
      </c>
      <c r="I659" s="8">
        <v>1.0900000000000001</v>
      </c>
      <c r="L659" s="5" t="s">
        <v>92</v>
      </c>
      <c r="N659" s="345">
        <v>64</v>
      </c>
      <c r="O659" s="38" t="s">
        <v>92</v>
      </c>
      <c r="P659" s="5" t="s">
        <v>108</v>
      </c>
      <c r="Q659" s="5" t="s">
        <v>109</v>
      </c>
      <c r="R659" s="5" t="s">
        <v>684</v>
      </c>
      <c r="S659" s="479">
        <v>66</v>
      </c>
      <c r="T659" s="5" t="s">
        <v>47</v>
      </c>
      <c r="U659" s="5" t="s">
        <v>42</v>
      </c>
      <c r="V659" s="57" t="s">
        <v>540</v>
      </c>
      <c r="W659" s="51">
        <v>0.38</v>
      </c>
      <c r="X659" s="357" t="s">
        <v>53</v>
      </c>
      <c r="Y659" s="351" t="s">
        <v>353</v>
      </c>
      <c r="Z659" s="5" t="s">
        <v>16</v>
      </c>
      <c r="AA659" s="112" t="s">
        <v>19</v>
      </c>
    </row>
    <row r="660" spans="1:29" x14ac:dyDescent="0.25">
      <c r="A660" s="329">
        <v>45921</v>
      </c>
      <c r="B660" s="5">
        <v>5</v>
      </c>
      <c r="D660" s="5" t="s">
        <v>208</v>
      </c>
      <c r="E660" s="6">
        <v>1.55</v>
      </c>
      <c r="G660" s="362">
        <v>1</v>
      </c>
      <c r="H660" s="362">
        <v>0</v>
      </c>
      <c r="I660" s="8">
        <v>1.0900000000000001</v>
      </c>
      <c r="L660" s="5" t="s">
        <v>92</v>
      </c>
      <c r="N660" s="345">
        <v>68</v>
      </c>
      <c r="O660" s="38" t="s">
        <v>92</v>
      </c>
      <c r="P660" s="5" t="s">
        <v>445</v>
      </c>
      <c r="Q660" s="5" t="s">
        <v>111</v>
      </c>
      <c r="R660" s="5" t="s">
        <v>696</v>
      </c>
      <c r="S660" s="481">
        <v>62</v>
      </c>
      <c r="T660" s="5" t="s">
        <v>44</v>
      </c>
      <c r="U660" s="5" t="s">
        <v>42</v>
      </c>
      <c r="V660" s="57" t="s">
        <v>10</v>
      </c>
      <c r="W660" s="51">
        <v>0.01</v>
      </c>
      <c r="X660" s="357" t="s">
        <v>53</v>
      </c>
      <c r="Z660" s="5" t="s">
        <v>55</v>
      </c>
      <c r="AA660" s="112" t="s">
        <v>19</v>
      </c>
    </row>
    <row r="661" spans="1:29" x14ac:dyDescent="0.25">
      <c r="A661" s="329">
        <v>45921</v>
      </c>
      <c r="B661" s="5">
        <v>5</v>
      </c>
      <c r="D661" s="5" t="s">
        <v>208</v>
      </c>
      <c r="E661" s="6">
        <v>1.55</v>
      </c>
      <c r="G661" s="362">
        <v>1</v>
      </c>
      <c r="H661" s="362">
        <v>0</v>
      </c>
      <c r="I661" s="8">
        <v>1.0900000000000001</v>
      </c>
      <c r="L661" s="5" t="s">
        <v>92</v>
      </c>
      <c r="N661" s="345">
        <v>73</v>
      </c>
      <c r="O661" s="38" t="s">
        <v>92</v>
      </c>
      <c r="P661" s="5" t="s">
        <v>176</v>
      </c>
      <c r="Q661" s="5" t="s">
        <v>368</v>
      </c>
      <c r="R661" s="5" t="s">
        <v>696</v>
      </c>
      <c r="S661" s="481">
        <v>63</v>
      </c>
      <c r="T661" s="5" t="s">
        <v>44</v>
      </c>
      <c r="U661" s="5" t="s">
        <v>42</v>
      </c>
      <c r="V661" s="57" t="s">
        <v>10</v>
      </c>
      <c r="W661" s="51">
        <v>0.04</v>
      </c>
      <c r="X661" s="357">
        <v>0.11</v>
      </c>
      <c r="Z661" s="5" t="s">
        <v>48</v>
      </c>
      <c r="AA661" s="112" t="s">
        <v>19</v>
      </c>
    </row>
    <row r="662" spans="1:29" x14ac:dyDescent="0.25">
      <c r="A662" s="329">
        <v>45921</v>
      </c>
      <c r="B662" s="5">
        <v>5</v>
      </c>
      <c r="D662" s="5" t="s">
        <v>208</v>
      </c>
      <c r="E662" s="6">
        <v>1.55</v>
      </c>
      <c r="G662" s="362">
        <v>1</v>
      </c>
      <c r="H662" s="362">
        <v>0</v>
      </c>
      <c r="I662" s="8">
        <v>1.0900000000000001</v>
      </c>
      <c r="L662" s="5" t="s">
        <v>92</v>
      </c>
      <c r="N662" s="345">
        <v>83</v>
      </c>
      <c r="O662" s="38" t="s">
        <v>92</v>
      </c>
      <c r="P662" s="5" t="s">
        <v>108</v>
      </c>
      <c r="Q662" s="5" t="s">
        <v>109</v>
      </c>
      <c r="R662" s="5" t="s">
        <v>684</v>
      </c>
      <c r="S662" s="479">
        <v>66</v>
      </c>
      <c r="T662" s="5" t="s">
        <v>41</v>
      </c>
      <c r="U662" s="5" t="s">
        <v>42</v>
      </c>
      <c r="V662" s="57" t="s">
        <v>540</v>
      </c>
      <c r="W662" s="51">
        <v>0.12</v>
      </c>
      <c r="X662" s="357">
        <v>0.22</v>
      </c>
      <c r="Z662" s="5" t="s">
        <v>48</v>
      </c>
      <c r="AA662" s="112" t="s">
        <v>19</v>
      </c>
    </row>
    <row r="663" spans="1:29" ht="15.75" thickBot="1" x14ac:dyDescent="0.3">
      <c r="A663" s="330">
        <v>45921</v>
      </c>
      <c r="B663" s="9">
        <v>5</v>
      </c>
      <c r="C663" s="122"/>
      <c r="D663" s="9" t="s">
        <v>208</v>
      </c>
      <c r="E663" s="10">
        <v>1.55</v>
      </c>
      <c r="F663" s="10"/>
      <c r="G663" s="383">
        <v>1</v>
      </c>
      <c r="H663" s="383">
        <v>0</v>
      </c>
      <c r="I663" s="12">
        <v>1.0900000000000001</v>
      </c>
      <c r="J663" s="12"/>
      <c r="K663" s="122"/>
      <c r="L663" s="9" t="s">
        <v>92</v>
      </c>
      <c r="M663" s="45"/>
      <c r="N663" s="346">
        <v>89</v>
      </c>
      <c r="O663" s="454" t="s">
        <v>92</v>
      </c>
      <c r="P663" s="9" t="s">
        <v>176</v>
      </c>
      <c r="Q663" s="9" t="s">
        <v>368</v>
      </c>
      <c r="R663" s="9" t="s">
        <v>696</v>
      </c>
      <c r="S663" s="479">
        <v>63</v>
      </c>
      <c r="T663" s="9" t="s">
        <v>41</v>
      </c>
      <c r="U663" s="9" t="s">
        <v>42</v>
      </c>
      <c r="V663" s="58" t="s">
        <v>10</v>
      </c>
      <c r="W663" s="52">
        <v>0.09</v>
      </c>
      <c r="X663" s="358">
        <v>0.17</v>
      </c>
      <c r="Y663" s="352"/>
      <c r="Z663" s="9" t="s">
        <v>48</v>
      </c>
      <c r="AA663" s="113" t="s">
        <v>19</v>
      </c>
      <c r="AB663" s="109"/>
      <c r="AC663" s="58"/>
    </row>
    <row r="664" spans="1:29" ht="15.75" thickBot="1" x14ac:dyDescent="0.3">
      <c r="A664" s="326">
        <v>45921</v>
      </c>
      <c r="B664" s="207">
        <v>5</v>
      </c>
      <c r="C664" s="208"/>
      <c r="D664" s="207" t="s">
        <v>208</v>
      </c>
      <c r="E664" s="209">
        <v>1.55</v>
      </c>
      <c r="F664" s="209"/>
      <c r="G664" s="460">
        <v>1</v>
      </c>
      <c r="H664" s="460">
        <v>0</v>
      </c>
      <c r="I664" s="211">
        <v>1.0900000000000001</v>
      </c>
      <c r="J664" s="211"/>
      <c r="K664" s="208"/>
      <c r="L664" s="207" t="s">
        <v>92</v>
      </c>
      <c r="M664" s="235"/>
      <c r="N664" s="347"/>
      <c r="O664" s="343" t="s">
        <v>208</v>
      </c>
      <c r="P664" s="199" t="s">
        <v>295</v>
      </c>
      <c r="Q664" s="199" t="s">
        <v>735</v>
      </c>
      <c r="R664" s="199" t="s">
        <v>707</v>
      </c>
      <c r="S664" s="7">
        <v>72</v>
      </c>
      <c r="T664" s="199"/>
      <c r="U664" s="199"/>
      <c r="V664" s="201"/>
      <c r="W664" s="202"/>
      <c r="X664" s="359"/>
      <c r="Y664" s="353">
        <f>H664</f>
        <v>0</v>
      </c>
      <c r="Z664" s="199"/>
      <c r="AA664" s="204"/>
      <c r="AB664" s="205"/>
      <c r="AC664" s="201"/>
    </row>
    <row r="665" spans="1:29" ht="15.75" thickBot="1" x14ac:dyDescent="0.3">
      <c r="A665" s="326">
        <v>45921</v>
      </c>
      <c r="B665" s="207">
        <v>5</v>
      </c>
      <c r="C665" s="208"/>
      <c r="D665" s="207" t="s">
        <v>208</v>
      </c>
      <c r="E665" s="209">
        <v>1.55</v>
      </c>
      <c r="F665" s="209"/>
      <c r="G665" s="460">
        <v>1</v>
      </c>
      <c r="H665" s="460">
        <v>0</v>
      </c>
      <c r="I665" s="211">
        <v>1.0900000000000001</v>
      </c>
      <c r="J665" s="211"/>
      <c r="K665" s="208"/>
      <c r="L665" s="207" t="s">
        <v>92</v>
      </c>
      <c r="M665" s="235"/>
      <c r="N665" s="347"/>
      <c r="O665" s="343" t="s">
        <v>92</v>
      </c>
      <c r="P665" s="199" t="s">
        <v>432</v>
      </c>
      <c r="Q665" s="199" t="s">
        <v>472</v>
      </c>
      <c r="R665" s="199" t="s">
        <v>707</v>
      </c>
      <c r="S665" s="7">
        <v>69</v>
      </c>
      <c r="T665" s="199"/>
      <c r="U665" s="199"/>
      <c r="V665" s="201"/>
      <c r="W665" s="202"/>
      <c r="X665" s="359"/>
      <c r="Y665" s="353">
        <f>G664</f>
        <v>1</v>
      </c>
      <c r="Z665" s="199"/>
      <c r="AA665" s="204"/>
      <c r="AB665" s="205"/>
      <c r="AC665" s="201"/>
    </row>
    <row r="666" spans="1:29" x14ac:dyDescent="0.25">
      <c r="A666" s="328">
        <v>45921</v>
      </c>
      <c r="B666" s="17">
        <v>5</v>
      </c>
      <c r="C666" s="123" t="s">
        <v>692</v>
      </c>
      <c r="D666" s="17" t="s">
        <v>113</v>
      </c>
      <c r="E666" s="18">
        <v>1.97</v>
      </c>
      <c r="F666" s="18"/>
      <c r="G666" s="461">
        <v>3</v>
      </c>
      <c r="H666" s="461">
        <v>0</v>
      </c>
      <c r="I666" s="20">
        <v>0.27</v>
      </c>
      <c r="J666" s="20"/>
      <c r="K666" s="123" t="s">
        <v>701</v>
      </c>
      <c r="L666" s="17" t="s">
        <v>161</v>
      </c>
      <c r="M666" s="46"/>
      <c r="N666" s="507">
        <v>15</v>
      </c>
      <c r="O666" s="508" t="s">
        <v>113</v>
      </c>
      <c r="P666" s="509" t="s">
        <v>118</v>
      </c>
      <c r="Q666" s="509" t="s">
        <v>119</v>
      </c>
      <c r="R666" s="509" t="s">
        <v>685</v>
      </c>
      <c r="S666" s="479">
        <v>84</v>
      </c>
      <c r="T666" s="509" t="s">
        <v>41</v>
      </c>
      <c r="U666" s="509" t="s">
        <v>42</v>
      </c>
      <c r="V666" s="510" t="s">
        <v>10</v>
      </c>
      <c r="W666" s="53">
        <v>0.34</v>
      </c>
      <c r="X666" s="360">
        <v>0.8</v>
      </c>
      <c r="Y666" s="354" t="s">
        <v>353</v>
      </c>
      <c r="Z666" s="17" t="s">
        <v>8</v>
      </c>
      <c r="AA666" s="114" t="s">
        <v>19</v>
      </c>
      <c r="AB666" s="110" t="s">
        <v>124</v>
      </c>
      <c r="AC666" s="60" t="s">
        <v>125</v>
      </c>
    </row>
    <row r="667" spans="1:29" x14ac:dyDescent="0.25">
      <c r="A667" s="329">
        <v>45921</v>
      </c>
      <c r="B667" s="5">
        <v>5</v>
      </c>
      <c r="D667" s="5" t="s">
        <v>113</v>
      </c>
      <c r="E667" s="6">
        <v>1.97</v>
      </c>
      <c r="G667" s="362">
        <v>3</v>
      </c>
      <c r="H667" s="362">
        <v>0</v>
      </c>
      <c r="I667" s="8">
        <v>0.27</v>
      </c>
      <c r="L667" s="5" t="s">
        <v>161</v>
      </c>
      <c r="N667" s="476">
        <v>28</v>
      </c>
      <c r="O667" s="477" t="s">
        <v>113</v>
      </c>
      <c r="P667" s="478" t="s">
        <v>178</v>
      </c>
      <c r="Q667" s="478" t="s">
        <v>407</v>
      </c>
      <c r="R667" s="478" t="s">
        <v>684</v>
      </c>
      <c r="S667" s="479">
        <v>66</v>
      </c>
      <c r="T667" s="478" t="s">
        <v>47</v>
      </c>
      <c r="U667" s="478" t="s">
        <v>42</v>
      </c>
      <c r="V667" s="480" t="s">
        <v>10</v>
      </c>
      <c r="W667" s="51">
        <v>0.4</v>
      </c>
      <c r="X667" s="357" t="s">
        <v>53</v>
      </c>
      <c r="Y667" s="351" t="s">
        <v>353</v>
      </c>
      <c r="Z667" s="5" t="s">
        <v>13</v>
      </c>
      <c r="AA667" s="112" t="s">
        <v>19</v>
      </c>
    </row>
    <row r="668" spans="1:29" x14ac:dyDescent="0.25">
      <c r="A668" s="329">
        <v>45921</v>
      </c>
      <c r="B668" s="5">
        <v>5</v>
      </c>
      <c r="D668" s="5" t="s">
        <v>113</v>
      </c>
      <c r="E668" s="6">
        <v>1.97</v>
      </c>
      <c r="G668" s="362">
        <v>3</v>
      </c>
      <c r="H668" s="362">
        <v>0</v>
      </c>
      <c r="I668" s="8">
        <v>0.27</v>
      </c>
      <c r="L668" s="5" t="s">
        <v>161</v>
      </c>
      <c r="N668" s="476">
        <v>34</v>
      </c>
      <c r="O668" s="477" t="s">
        <v>113</v>
      </c>
      <c r="P668" s="478" t="s">
        <v>118</v>
      </c>
      <c r="Q668" s="478" t="s">
        <v>119</v>
      </c>
      <c r="R668" s="478" t="s">
        <v>685</v>
      </c>
      <c r="S668" s="479">
        <v>84</v>
      </c>
      <c r="T668" s="478" t="s">
        <v>44</v>
      </c>
      <c r="U668" s="478" t="s">
        <v>42</v>
      </c>
      <c r="V668" s="480" t="s">
        <v>18</v>
      </c>
      <c r="W668" s="51">
        <v>0.32</v>
      </c>
      <c r="X668" s="357">
        <v>0.79</v>
      </c>
      <c r="Y668" s="351" t="s">
        <v>353</v>
      </c>
      <c r="Z668" s="5" t="s">
        <v>8</v>
      </c>
      <c r="AA668" s="112" t="s">
        <v>24</v>
      </c>
      <c r="AB668" s="108" t="s">
        <v>53</v>
      </c>
      <c r="AC668" s="57" t="s">
        <v>117</v>
      </c>
    </row>
    <row r="669" spans="1:29" x14ac:dyDescent="0.25">
      <c r="A669" s="329">
        <v>45921</v>
      </c>
      <c r="B669" s="5">
        <v>5</v>
      </c>
      <c r="D669" s="5" t="s">
        <v>113</v>
      </c>
      <c r="E669" s="6">
        <v>1.97</v>
      </c>
      <c r="G669" s="362">
        <v>3</v>
      </c>
      <c r="H669" s="362">
        <v>0</v>
      </c>
      <c r="I669" s="8">
        <v>0.27</v>
      </c>
      <c r="L669" s="5" t="s">
        <v>161</v>
      </c>
      <c r="N669" s="476">
        <v>41</v>
      </c>
      <c r="O669" s="477" t="s">
        <v>113</v>
      </c>
      <c r="P669" s="478" t="s">
        <v>178</v>
      </c>
      <c r="Q669" s="478" t="s">
        <v>407</v>
      </c>
      <c r="R669" s="478" t="s">
        <v>684</v>
      </c>
      <c r="S669" s="479">
        <v>66</v>
      </c>
      <c r="T669" s="478" t="s">
        <v>44</v>
      </c>
      <c r="U669" s="478" t="s">
        <v>42</v>
      </c>
      <c r="V669" s="480" t="s">
        <v>10</v>
      </c>
      <c r="W669" s="51">
        <v>0.05</v>
      </c>
      <c r="X669" s="357">
        <v>0.13</v>
      </c>
      <c r="Z669" s="5" t="s">
        <v>48</v>
      </c>
      <c r="AA669" s="112" t="s">
        <v>24</v>
      </c>
    </row>
    <row r="670" spans="1:29" x14ac:dyDescent="0.25">
      <c r="A670" s="329">
        <v>45921</v>
      </c>
      <c r="B670" s="5">
        <v>5</v>
      </c>
      <c r="D670" s="5" t="s">
        <v>113</v>
      </c>
      <c r="E670" s="6">
        <v>1.97</v>
      </c>
      <c r="G670" s="362">
        <v>3</v>
      </c>
      <c r="H670" s="362">
        <v>0</v>
      </c>
      <c r="I670" s="8">
        <v>0.27</v>
      </c>
      <c r="L670" s="5" t="s">
        <v>161</v>
      </c>
      <c r="N670" s="476">
        <v>43</v>
      </c>
      <c r="O670" s="477" t="s">
        <v>113</v>
      </c>
      <c r="P670" s="478" t="s">
        <v>118</v>
      </c>
      <c r="Q670" s="478" t="s">
        <v>119</v>
      </c>
      <c r="R670" s="478" t="s">
        <v>685</v>
      </c>
      <c r="S670" s="479">
        <v>84</v>
      </c>
      <c r="T670" s="478" t="s">
        <v>41</v>
      </c>
      <c r="U670" s="478" t="s">
        <v>42</v>
      </c>
      <c r="V670" s="480" t="s">
        <v>10</v>
      </c>
      <c r="W670" s="51">
        <v>0.26</v>
      </c>
      <c r="X670" s="357" t="s">
        <v>53</v>
      </c>
      <c r="Y670" s="351" t="s">
        <v>353</v>
      </c>
      <c r="Z670" s="5" t="s">
        <v>17</v>
      </c>
      <c r="AA670" s="112" t="s">
        <v>24</v>
      </c>
    </row>
    <row r="671" spans="1:29" x14ac:dyDescent="0.25">
      <c r="A671" s="329">
        <v>45921</v>
      </c>
      <c r="B671" s="5">
        <v>5</v>
      </c>
      <c r="D671" s="5" t="s">
        <v>113</v>
      </c>
      <c r="E671" s="6">
        <v>1.97</v>
      </c>
      <c r="G671" s="362">
        <v>3</v>
      </c>
      <c r="H671" s="362">
        <v>0</v>
      </c>
      <c r="I671" s="8">
        <v>0.27</v>
      </c>
      <c r="L671" s="5" t="s">
        <v>161</v>
      </c>
      <c r="N671" s="345">
        <v>48</v>
      </c>
      <c r="O671" s="38" t="s">
        <v>161</v>
      </c>
      <c r="P671" s="5" t="s">
        <v>251</v>
      </c>
      <c r="Q671" s="5" t="s">
        <v>397</v>
      </c>
      <c r="R671" s="5" t="s">
        <v>696</v>
      </c>
      <c r="S671" s="7">
        <v>59</v>
      </c>
      <c r="T671" s="5" t="s">
        <v>44</v>
      </c>
      <c r="U671" s="5" t="s">
        <v>42</v>
      </c>
      <c r="V671" s="57" t="s">
        <v>540</v>
      </c>
      <c r="W671" s="51">
        <v>0.05</v>
      </c>
      <c r="X671" s="357" t="s">
        <v>53</v>
      </c>
      <c r="Z671" s="5" t="s">
        <v>16</v>
      </c>
      <c r="AA671" s="112" t="s">
        <v>24</v>
      </c>
    </row>
    <row r="672" spans="1:29" x14ac:dyDescent="0.25">
      <c r="A672" s="329">
        <v>45921</v>
      </c>
      <c r="B672" s="5">
        <v>5</v>
      </c>
      <c r="D672" s="5" t="s">
        <v>113</v>
      </c>
      <c r="E672" s="6">
        <v>1.97</v>
      </c>
      <c r="G672" s="362">
        <v>3</v>
      </c>
      <c r="H672" s="362">
        <v>0</v>
      </c>
      <c r="I672" s="8">
        <v>0.27</v>
      </c>
      <c r="L672" s="5" t="s">
        <v>161</v>
      </c>
      <c r="N672" s="476">
        <v>60</v>
      </c>
      <c r="O672" s="477" t="s">
        <v>113</v>
      </c>
      <c r="P672" s="478" t="s">
        <v>124</v>
      </c>
      <c r="Q672" s="478" t="s">
        <v>125</v>
      </c>
      <c r="R672" s="478" t="s">
        <v>691</v>
      </c>
      <c r="S672" s="479">
        <v>85</v>
      </c>
      <c r="T672" s="478" t="s">
        <v>354</v>
      </c>
      <c r="U672" s="478" t="s">
        <v>42</v>
      </c>
      <c r="V672" s="480" t="s">
        <v>15</v>
      </c>
      <c r="W672" s="51">
        <v>0.04</v>
      </c>
      <c r="X672" s="357" t="s">
        <v>53</v>
      </c>
      <c r="Z672" s="5" t="s">
        <v>55</v>
      </c>
      <c r="AA672" s="112" t="s">
        <v>24</v>
      </c>
    </row>
    <row r="673" spans="1:29" x14ac:dyDescent="0.25">
      <c r="A673" s="329">
        <v>45921</v>
      </c>
      <c r="B673" s="5">
        <v>5</v>
      </c>
      <c r="D673" s="5" t="s">
        <v>113</v>
      </c>
      <c r="E673" s="6">
        <v>1.97</v>
      </c>
      <c r="G673" s="362">
        <v>3</v>
      </c>
      <c r="H673" s="362">
        <v>0</v>
      </c>
      <c r="I673" s="8">
        <v>0.27</v>
      </c>
      <c r="L673" s="5" t="s">
        <v>161</v>
      </c>
      <c r="N673" s="476">
        <v>62</v>
      </c>
      <c r="O673" s="477" t="s">
        <v>113</v>
      </c>
      <c r="P673" s="478" t="s">
        <v>124</v>
      </c>
      <c r="Q673" s="478" t="s">
        <v>125</v>
      </c>
      <c r="R673" s="478" t="s">
        <v>709</v>
      </c>
      <c r="S673" s="479">
        <v>85</v>
      </c>
      <c r="T673" s="478" t="s">
        <v>41</v>
      </c>
      <c r="U673" s="478" t="s">
        <v>42</v>
      </c>
      <c r="V673" s="480" t="s">
        <v>540</v>
      </c>
      <c r="W673" s="51">
        <v>0.14000000000000001</v>
      </c>
      <c r="X673" s="357">
        <v>0.93</v>
      </c>
      <c r="Y673" s="351" t="s">
        <v>353</v>
      </c>
      <c r="Z673" s="5" t="s">
        <v>8</v>
      </c>
      <c r="AA673" s="112" t="s">
        <v>27</v>
      </c>
    </row>
    <row r="674" spans="1:29" x14ac:dyDescent="0.25">
      <c r="A674" s="329">
        <v>45921</v>
      </c>
      <c r="B674" s="5">
        <v>5</v>
      </c>
      <c r="D674" s="5" t="s">
        <v>113</v>
      </c>
      <c r="E674" s="6">
        <v>1.97</v>
      </c>
      <c r="G674" s="362">
        <v>3</v>
      </c>
      <c r="H674" s="362">
        <v>0</v>
      </c>
      <c r="I674" s="8">
        <v>0.27</v>
      </c>
      <c r="L674" s="5" t="s">
        <v>161</v>
      </c>
      <c r="N674" s="476">
        <v>68</v>
      </c>
      <c r="O674" s="477" t="s">
        <v>113</v>
      </c>
      <c r="P674" s="478" t="s">
        <v>468</v>
      </c>
      <c r="Q674" s="478" t="s">
        <v>469</v>
      </c>
      <c r="R674" s="478" t="s">
        <v>696</v>
      </c>
      <c r="S674" s="479">
        <v>63</v>
      </c>
      <c r="T674" s="478" t="s">
        <v>41</v>
      </c>
      <c r="U674" s="478" t="s">
        <v>43</v>
      </c>
      <c r="V674" s="480" t="s">
        <v>10</v>
      </c>
      <c r="W674" s="51">
        <v>0.02</v>
      </c>
      <c r="X674" s="357">
        <v>0.2</v>
      </c>
      <c r="Z674" s="5" t="s">
        <v>48</v>
      </c>
      <c r="AA674" s="112" t="s">
        <v>27</v>
      </c>
    </row>
    <row r="675" spans="1:29" x14ac:dyDescent="0.25">
      <c r="A675" s="329">
        <v>45921</v>
      </c>
      <c r="B675" s="5">
        <v>5</v>
      </c>
      <c r="D675" s="5" t="s">
        <v>113</v>
      </c>
      <c r="E675" s="6">
        <v>1.97</v>
      </c>
      <c r="G675" s="362">
        <v>3</v>
      </c>
      <c r="H675" s="362">
        <v>0</v>
      </c>
      <c r="I675" s="8">
        <v>0.27</v>
      </c>
      <c r="L675" s="5" t="s">
        <v>161</v>
      </c>
      <c r="N675" s="345">
        <v>88</v>
      </c>
      <c r="O675" s="38" t="s">
        <v>161</v>
      </c>
      <c r="P675" s="5" t="s">
        <v>53</v>
      </c>
      <c r="Q675" s="5" t="s">
        <v>470</v>
      </c>
      <c r="R675" s="5" t="s">
        <v>696</v>
      </c>
      <c r="S675" s="481">
        <v>66</v>
      </c>
      <c r="T675" s="5" t="s">
        <v>41</v>
      </c>
      <c r="U675" s="5" t="s">
        <v>43</v>
      </c>
      <c r="V675" s="57" t="s">
        <v>540</v>
      </c>
      <c r="W675" s="51">
        <v>0.12</v>
      </c>
      <c r="X675" s="357">
        <v>0.08</v>
      </c>
      <c r="Z675" s="5" t="s">
        <v>48</v>
      </c>
      <c r="AA675" s="112" t="s">
        <v>27</v>
      </c>
    </row>
    <row r="676" spans="1:29" ht="15.75" thickBot="1" x14ac:dyDescent="0.3">
      <c r="A676" s="330">
        <v>45921</v>
      </c>
      <c r="B676" s="9">
        <v>5</v>
      </c>
      <c r="C676" s="122"/>
      <c r="D676" s="9" t="s">
        <v>113</v>
      </c>
      <c r="E676" s="10">
        <v>1.97</v>
      </c>
      <c r="F676" s="10"/>
      <c r="G676" s="383">
        <v>3</v>
      </c>
      <c r="H676" s="383">
        <v>0</v>
      </c>
      <c r="I676" s="12">
        <v>0.27</v>
      </c>
      <c r="J676" s="12"/>
      <c r="K676" s="122"/>
      <c r="L676" s="9" t="s">
        <v>161</v>
      </c>
      <c r="M676" s="45"/>
      <c r="N676" s="511" t="s">
        <v>35</v>
      </c>
      <c r="O676" s="512" t="s">
        <v>113</v>
      </c>
      <c r="P676" s="513" t="s">
        <v>468</v>
      </c>
      <c r="Q676" s="513" t="s">
        <v>469</v>
      </c>
      <c r="R676" s="513" t="s">
        <v>696</v>
      </c>
      <c r="S676" s="481">
        <v>63</v>
      </c>
      <c r="T676" s="513" t="s">
        <v>41</v>
      </c>
      <c r="U676" s="513" t="s">
        <v>42</v>
      </c>
      <c r="V676" s="514" t="s">
        <v>10</v>
      </c>
      <c r="W676" s="52">
        <v>0.15</v>
      </c>
      <c r="X676" s="358">
        <v>0.41</v>
      </c>
      <c r="Y676" s="352"/>
      <c r="Z676" s="9" t="s">
        <v>48</v>
      </c>
      <c r="AA676" s="113" t="s">
        <v>27</v>
      </c>
      <c r="AB676" s="109"/>
      <c r="AC676" s="58"/>
    </row>
    <row r="677" spans="1:29" ht="15.75" thickBot="1" x14ac:dyDescent="0.3">
      <c r="A677" s="326">
        <v>45921</v>
      </c>
      <c r="B677" s="207">
        <v>5</v>
      </c>
      <c r="C677" s="208"/>
      <c r="D677" s="207" t="s">
        <v>113</v>
      </c>
      <c r="E677" s="209">
        <v>1.97</v>
      </c>
      <c r="F677" s="209"/>
      <c r="G677" s="460">
        <v>3</v>
      </c>
      <c r="H677" s="460">
        <v>0</v>
      </c>
      <c r="I677" s="211">
        <v>0.27</v>
      </c>
      <c r="J677" s="211"/>
      <c r="K677" s="208"/>
      <c r="L677" s="207" t="s">
        <v>161</v>
      </c>
      <c r="M677" s="235"/>
      <c r="N677" s="347"/>
      <c r="O677" s="343" t="s">
        <v>736</v>
      </c>
      <c r="P677" s="199" t="s">
        <v>475</v>
      </c>
      <c r="Q677" s="199" t="s">
        <v>75</v>
      </c>
      <c r="R677" s="199" t="s">
        <v>707</v>
      </c>
      <c r="S677" s="479">
        <v>75</v>
      </c>
      <c r="T677" s="199"/>
      <c r="U677" s="199"/>
      <c r="V677" s="201"/>
      <c r="W677" s="202"/>
      <c r="X677" s="359"/>
      <c r="Y677" s="353">
        <f>H677</f>
        <v>0</v>
      </c>
      <c r="Z677" s="199"/>
      <c r="AA677" s="204"/>
      <c r="AB677" s="205"/>
      <c r="AC677" s="201"/>
    </row>
    <row r="678" spans="1:29" ht="15.75" thickBot="1" x14ac:dyDescent="0.3">
      <c r="A678" s="326">
        <v>45921</v>
      </c>
      <c r="B678" s="207">
        <v>5</v>
      </c>
      <c r="C678" s="208"/>
      <c r="D678" s="207" t="s">
        <v>113</v>
      </c>
      <c r="E678" s="209">
        <v>1.97</v>
      </c>
      <c r="F678" s="209"/>
      <c r="G678" s="460">
        <v>3</v>
      </c>
      <c r="H678" s="460">
        <v>0</v>
      </c>
      <c r="I678" s="211">
        <v>0.27</v>
      </c>
      <c r="J678" s="211"/>
      <c r="K678" s="208"/>
      <c r="L678" s="207" t="s">
        <v>161</v>
      </c>
      <c r="M678" s="235"/>
      <c r="N678" s="347"/>
      <c r="O678" s="343" t="s">
        <v>161</v>
      </c>
      <c r="P678" s="199" t="s">
        <v>316</v>
      </c>
      <c r="Q678" s="199" t="s">
        <v>721</v>
      </c>
      <c r="R678" s="199" t="s">
        <v>707</v>
      </c>
      <c r="S678" s="7">
        <v>63</v>
      </c>
      <c r="T678" s="199"/>
      <c r="U678" s="199"/>
      <c r="V678" s="201"/>
      <c r="W678" s="202"/>
      <c r="X678" s="359"/>
      <c r="Y678" s="353">
        <f>G677</f>
        <v>3</v>
      </c>
      <c r="Z678" s="199"/>
      <c r="AA678" s="204"/>
      <c r="AB678" s="205"/>
      <c r="AC678" s="201"/>
    </row>
    <row r="679" spans="1:29" x14ac:dyDescent="0.25">
      <c r="A679" s="328">
        <v>45923</v>
      </c>
      <c r="B679" s="17">
        <v>6</v>
      </c>
      <c r="C679" s="123" t="s">
        <v>693</v>
      </c>
      <c r="D679" s="17" t="s">
        <v>170</v>
      </c>
      <c r="E679" s="18">
        <v>1.46</v>
      </c>
      <c r="F679" s="18"/>
      <c r="G679" s="461">
        <v>1</v>
      </c>
      <c r="H679" s="461">
        <v>1</v>
      </c>
      <c r="I679" s="20">
        <v>0.76</v>
      </c>
      <c r="J679" s="20"/>
      <c r="K679" s="123" t="s">
        <v>693</v>
      </c>
      <c r="L679" s="17" t="s">
        <v>69</v>
      </c>
      <c r="M679" s="46"/>
      <c r="N679" s="348">
        <v>8</v>
      </c>
      <c r="O679" s="456" t="s">
        <v>69</v>
      </c>
      <c r="P679" s="17" t="s">
        <v>389</v>
      </c>
      <c r="Q679" s="17" t="s">
        <v>390</v>
      </c>
      <c r="R679" s="17" t="s">
        <v>684</v>
      </c>
      <c r="S679" s="479">
        <v>61</v>
      </c>
      <c r="T679" s="17" t="s">
        <v>41</v>
      </c>
      <c r="U679" s="17" t="s">
        <v>43</v>
      </c>
      <c r="V679" s="59" t="s">
        <v>10</v>
      </c>
      <c r="W679" s="53">
        <v>0.5</v>
      </c>
      <c r="X679" s="360" t="s">
        <v>53</v>
      </c>
      <c r="Y679" s="354" t="s">
        <v>353</v>
      </c>
      <c r="Z679" s="17" t="s">
        <v>22</v>
      </c>
      <c r="AA679" s="114" t="s">
        <v>28</v>
      </c>
      <c r="AB679" s="110"/>
      <c r="AC679" s="60"/>
    </row>
    <row r="680" spans="1:29" x14ac:dyDescent="0.25">
      <c r="A680" s="331">
        <v>45923</v>
      </c>
      <c r="B680" s="5">
        <v>6</v>
      </c>
      <c r="D680" s="5" t="s">
        <v>170</v>
      </c>
      <c r="E680" s="6">
        <v>1.46</v>
      </c>
      <c r="G680" s="362">
        <v>1</v>
      </c>
      <c r="H680" s="362">
        <v>1</v>
      </c>
      <c r="I680" s="8">
        <v>0.76</v>
      </c>
      <c r="L680" s="5" t="s">
        <v>69</v>
      </c>
      <c r="N680" s="345">
        <v>9</v>
      </c>
      <c r="O680" s="38" t="s">
        <v>69</v>
      </c>
      <c r="P680" s="5" t="s">
        <v>480</v>
      </c>
      <c r="Q680" s="5" t="s">
        <v>481</v>
      </c>
      <c r="R680" s="5" t="s">
        <v>685</v>
      </c>
      <c r="S680" s="479">
        <v>90</v>
      </c>
      <c r="T680" s="5" t="s">
        <v>41</v>
      </c>
      <c r="U680" s="5" t="s">
        <v>42</v>
      </c>
      <c r="V680" s="57" t="s">
        <v>10</v>
      </c>
      <c r="W680" s="51">
        <v>0.05</v>
      </c>
      <c r="X680" s="357">
        <v>0.51</v>
      </c>
      <c r="Y680" s="351" t="s">
        <v>353</v>
      </c>
      <c r="Z680" s="5" t="s">
        <v>8</v>
      </c>
      <c r="AA680" s="112" t="s">
        <v>9</v>
      </c>
      <c r="AB680" s="108" t="s">
        <v>164</v>
      </c>
      <c r="AC680" s="57" t="s">
        <v>669</v>
      </c>
    </row>
    <row r="681" spans="1:29" x14ac:dyDescent="0.25">
      <c r="A681" s="331">
        <v>45923</v>
      </c>
      <c r="B681" s="5">
        <v>6</v>
      </c>
      <c r="D681" s="5" t="s">
        <v>170</v>
      </c>
      <c r="E681" s="6">
        <v>1.46</v>
      </c>
      <c r="G681" s="362">
        <v>1</v>
      </c>
      <c r="H681" s="362">
        <v>1</v>
      </c>
      <c r="I681" s="8">
        <v>0.76</v>
      </c>
      <c r="L681" s="5" t="s">
        <v>69</v>
      </c>
      <c r="N681" s="476">
        <v>26</v>
      </c>
      <c r="O681" s="477" t="s">
        <v>170</v>
      </c>
      <c r="P681" s="478" t="s">
        <v>379</v>
      </c>
      <c r="Q681" s="478" t="s">
        <v>380</v>
      </c>
      <c r="R681" s="478" t="s">
        <v>684</v>
      </c>
      <c r="S681" s="479">
        <v>63</v>
      </c>
      <c r="T681" s="478" t="s">
        <v>41</v>
      </c>
      <c r="U681" s="478" t="s">
        <v>42</v>
      </c>
      <c r="V681" s="480" t="s">
        <v>540</v>
      </c>
      <c r="W681" s="51">
        <v>7.0000000000000007E-2</v>
      </c>
      <c r="X681" s="357">
        <v>0.08</v>
      </c>
      <c r="Y681" s="351" t="s">
        <v>353</v>
      </c>
      <c r="Z681" s="5" t="s">
        <v>48</v>
      </c>
      <c r="AA681" s="112" t="s">
        <v>9</v>
      </c>
    </row>
    <row r="682" spans="1:29" x14ac:dyDescent="0.25">
      <c r="A682" s="331">
        <v>45923</v>
      </c>
      <c r="B682" s="5">
        <v>6</v>
      </c>
      <c r="D682" s="5" t="s">
        <v>170</v>
      </c>
      <c r="E682" s="6">
        <v>1.46</v>
      </c>
      <c r="G682" s="362">
        <v>1</v>
      </c>
      <c r="H682" s="362">
        <v>1</v>
      </c>
      <c r="I682" s="8">
        <v>0.76</v>
      </c>
      <c r="L682" s="5" t="s">
        <v>69</v>
      </c>
      <c r="N682" s="345">
        <v>45</v>
      </c>
      <c r="O682" s="38" t="s">
        <v>69</v>
      </c>
      <c r="P682" s="5" t="s">
        <v>53</v>
      </c>
      <c r="Q682" s="5" t="s">
        <v>324</v>
      </c>
      <c r="R682" s="5" t="s">
        <v>696</v>
      </c>
      <c r="S682" s="479">
        <v>62</v>
      </c>
      <c r="T682" s="5" t="s">
        <v>41</v>
      </c>
      <c r="U682" s="5" t="s">
        <v>42</v>
      </c>
      <c r="V682" s="57" t="s">
        <v>10</v>
      </c>
      <c r="W682" s="51">
        <v>0.1</v>
      </c>
      <c r="X682" s="357">
        <v>0.64</v>
      </c>
      <c r="Z682" s="5" t="s">
        <v>48</v>
      </c>
      <c r="AA682" s="112" t="s">
        <v>9</v>
      </c>
    </row>
    <row r="683" spans="1:29" x14ac:dyDescent="0.25">
      <c r="A683" s="331">
        <v>45923</v>
      </c>
      <c r="B683" s="5">
        <v>6</v>
      </c>
      <c r="D683" s="5" t="s">
        <v>170</v>
      </c>
      <c r="E683" s="6">
        <v>1.46</v>
      </c>
      <c r="G683" s="362">
        <v>1</v>
      </c>
      <c r="H683" s="362">
        <v>1</v>
      </c>
      <c r="I683" s="8">
        <v>0.76</v>
      </c>
      <c r="L683" s="5" t="s">
        <v>69</v>
      </c>
      <c r="N683" s="476">
        <v>48</v>
      </c>
      <c r="O683" s="477" t="s">
        <v>170</v>
      </c>
      <c r="P683" s="478" t="s">
        <v>159</v>
      </c>
      <c r="Q683" s="478" t="s">
        <v>381</v>
      </c>
      <c r="R683" s="478" t="s">
        <v>687</v>
      </c>
      <c r="S683" s="479">
        <v>81</v>
      </c>
      <c r="T683" s="478" t="s">
        <v>44</v>
      </c>
      <c r="U683" s="478" t="s">
        <v>42</v>
      </c>
      <c r="V683" s="480" t="s">
        <v>540</v>
      </c>
      <c r="W683" s="51">
        <v>0.1</v>
      </c>
      <c r="X683" s="357">
        <v>0.52</v>
      </c>
      <c r="Z683" s="5" t="s">
        <v>8</v>
      </c>
      <c r="AA683" s="112" t="s">
        <v>51</v>
      </c>
    </row>
    <row r="684" spans="1:29" x14ac:dyDescent="0.25">
      <c r="A684" s="331">
        <v>45923</v>
      </c>
      <c r="B684" s="5">
        <v>6</v>
      </c>
      <c r="D684" s="5" t="s">
        <v>170</v>
      </c>
      <c r="E684" s="6">
        <v>1.46</v>
      </c>
      <c r="G684" s="362">
        <v>1</v>
      </c>
      <c r="H684" s="362">
        <v>1</v>
      </c>
      <c r="I684" s="8">
        <v>0.76</v>
      </c>
      <c r="L684" s="5" t="s">
        <v>69</v>
      </c>
      <c r="N684" s="476">
        <v>51</v>
      </c>
      <c r="O684" s="477" t="s">
        <v>170</v>
      </c>
      <c r="P684" s="478" t="s">
        <v>306</v>
      </c>
      <c r="Q684" s="478" t="s">
        <v>471</v>
      </c>
      <c r="R684" s="478" t="s">
        <v>696</v>
      </c>
      <c r="S684" s="479">
        <v>66</v>
      </c>
      <c r="T684" s="478" t="s">
        <v>44</v>
      </c>
      <c r="U684" s="478" t="s">
        <v>42</v>
      </c>
      <c r="V684" s="480" t="s">
        <v>10</v>
      </c>
      <c r="W684" s="51">
        <v>0.03</v>
      </c>
      <c r="X684" s="357" t="s">
        <v>53</v>
      </c>
      <c r="Z684" s="5" t="s">
        <v>16</v>
      </c>
      <c r="AA684" s="112" t="s">
        <v>51</v>
      </c>
    </row>
    <row r="685" spans="1:29" x14ac:dyDescent="0.25">
      <c r="A685" s="331">
        <v>45923</v>
      </c>
      <c r="B685" s="5">
        <v>6</v>
      </c>
      <c r="D685" s="5" t="s">
        <v>170</v>
      </c>
      <c r="E685" s="6">
        <v>1.46</v>
      </c>
      <c r="G685" s="362">
        <v>1</v>
      </c>
      <c r="H685" s="362">
        <v>1</v>
      </c>
      <c r="I685" s="8">
        <v>0.76</v>
      </c>
      <c r="L685" s="5" t="s">
        <v>69</v>
      </c>
      <c r="N685" s="476">
        <v>69</v>
      </c>
      <c r="O685" s="477" t="s">
        <v>170</v>
      </c>
      <c r="P685" s="478" t="s">
        <v>379</v>
      </c>
      <c r="Q685" s="478" t="s">
        <v>380</v>
      </c>
      <c r="R685" s="478" t="s">
        <v>684</v>
      </c>
      <c r="S685" s="479">
        <v>63</v>
      </c>
      <c r="T685" s="478" t="s">
        <v>41</v>
      </c>
      <c r="U685" s="478" t="s">
        <v>42</v>
      </c>
      <c r="V685" s="480" t="s">
        <v>10</v>
      </c>
      <c r="W685" s="51">
        <v>0.27</v>
      </c>
      <c r="X685" s="357" t="s">
        <v>53</v>
      </c>
      <c r="Y685" s="351" t="s">
        <v>353</v>
      </c>
      <c r="Z685" s="5" t="s">
        <v>13</v>
      </c>
      <c r="AA685" s="112" t="s">
        <v>51</v>
      </c>
    </row>
    <row r="686" spans="1:29" x14ac:dyDescent="0.25">
      <c r="A686" s="331">
        <v>45923</v>
      </c>
      <c r="B686" s="5">
        <v>6</v>
      </c>
      <c r="D686" s="5" t="s">
        <v>170</v>
      </c>
      <c r="E686" s="6">
        <v>1.46</v>
      </c>
      <c r="G686" s="362">
        <v>1</v>
      </c>
      <c r="H686" s="362">
        <v>1</v>
      </c>
      <c r="I686" s="8">
        <v>0.76</v>
      </c>
      <c r="L686" s="5" t="s">
        <v>69</v>
      </c>
      <c r="N686" s="476">
        <v>70</v>
      </c>
      <c r="O686" s="477" t="s">
        <v>170</v>
      </c>
      <c r="P686" s="478" t="s">
        <v>214</v>
      </c>
      <c r="Q686" s="478" t="s">
        <v>339</v>
      </c>
      <c r="R686" s="478" t="s">
        <v>713</v>
      </c>
      <c r="S686" s="479">
        <v>66</v>
      </c>
      <c r="T686" s="478" t="s">
        <v>41</v>
      </c>
      <c r="U686" s="478" t="s">
        <v>45</v>
      </c>
      <c r="V686" s="480" t="s">
        <v>20</v>
      </c>
      <c r="W686" s="51">
        <v>0.1</v>
      </c>
      <c r="X686" s="357">
        <v>0.54</v>
      </c>
      <c r="Y686" s="351" t="s">
        <v>353</v>
      </c>
      <c r="Z686" s="5" t="s">
        <v>48</v>
      </c>
      <c r="AA686" s="112" t="s">
        <v>51</v>
      </c>
    </row>
    <row r="687" spans="1:29" x14ac:dyDescent="0.25">
      <c r="A687" s="331">
        <v>45923</v>
      </c>
      <c r="B687" s="5">
        <v>6</v>
      </c>
      <c r="D687" s="5" t="s">
        <v>170</v>
      </c>
      <c r="E687" s="6">
        <v>1.46</v>
      </c>
      <c r="G687" s="362">
        <v>1</v>
      </c>
      <c r="H687" s="362">
        <v>1</v>
      </c>
      <c r="I687" s="8">
        <v>0.76</v>
      </c>
      <c r="L687" s="5" t="s">
        <v>69</v>
      </c>
      <c r="N687" s="476">
        <v>74</v>
      </c>
      <c r="O687" s="477" t="s">
        <v>170</v>
      </c>
      <c r="P687" s="478" t="s">
        <v>176</v>
      </c>
      <c r="Q687" s="478" t="s">
        <v>177</v>
      </c>
      <c r="R687" s="478" t="s">
        <v>696</v>
      </c>
      <c r="S687" s="479">
        <v>72</v>
      </c>
      <c r="T687" s="478" t="s">
        <v>41</v>
      </c>
      <c r="U687" s="478" t="s">
        <v>43</v>
      </c>
      <c r="V687" s="480" t="s">
        <v>540</v>
      </c>
      <c r="W687" s="51">
        <v>0.35</v>
      </c>
      <c r="X687" s="357">
        <v>0.27</v>
      </c>
      <c r="Y687" s="351" t="s">
        <v>353</v>
      </c>
      <c r="Z687" s="5" t="s">
        <v>48</v>
      </c>
      <c r="AA687" s="112" t="s">
        <v>51</v>
      </c>
    </row>
    <row r="688" spans="1:29" ht="15.75" thickBot="1" x14ac:dyDescent="0.3">
      <c r="A688" s="336">
        <v>45923</v>
      </c>
      <c r="B688" s="9">
        <v>6</v>
      </c>
      <c r="C688" s="122"/>
      <c r="D688" s="9" t="s">
        <v>170</v>
      </c>
      <c r="E688" s="10">
        <v>1.46</v>
      </c>
      <c r="F688" s="10"/>
      <c r="G688" s="383">
        <v>1</v>
      </c>
      <c r="H688" s="383">
        <v>1</v>
      </c>
      <c r="I688" s="12">
        <v>0.76</v>
      </c>
      <c r="J688" s="12"/>
      <c r="K688" s="122"/>
      <c r="L688" s="9" t="s">
        <v>69</v>
      </c>
      <c r="M688" s="45"/>
      <c r="N688" s="511">
        <v>83</v>
      </c>
      <c r="O688" s="512" t="s">
        <v>170</v>
      </c>
      <c r="P688" s="513" t="s">
        <v>178</v>
      </c>
      <c r="Q688" s="513" t="s">
        <v>179</v>
      </c>
      <c r="R688" s="513" t="s">
        <v>696</v>
      </c>
      <c r="S688" s="479">
        <v>60</v>
      </c>
      <c r="T688" s="513" t="s">
        <v>41</v>
      </c>
      <c r="U688" s="513" t="s">
        <v>42</v>
      </c>
      <c r="V688" s="514" t="s">
        <v>10</v>
      </c>
      <c r="W688" s="52">
        <v>0.19</v>
      </c>
      <c r="X688" s="358" t="s">
        <v>53</v>
      </c>
      <c r="Y688" s="352"/>
      <c r="Z688" s="9" t="s">
        <v>13</v>
      </c>
      <c r="AA688" s="113" t="s">
        <v>51</v>
      </c>
      <c r="AB688" s="109"/>
      <c r="AC688" s="58"/>
    </row>
    <row r="689" spans="1:29" ht="15.75" thickBot="1" x14ac:dyDescent="0.3">
      <c r="A689" s="334">
        <v>45923</v>
      </c>
      <c r="B689" s="207">
        <v>6</v>
      </c>
      <c r="C689" s="208"/>
      <c r="D689" s="207" t="s">
        <v>170</v>
      </c>
      <c r="E689" s="209">
        <v>1.46</v>
      </c>
      <c r="F689" s="209"/>
      <c r="G689" s="460">
        <v>1</v>
      </c>
      <c r="H689" s="460">
        <v>1</v>
      </c>
      <c r="I689" s="211">
        <v>0.76</v>
      </c>
      <c r="J689" s="211"/>
      <c r="K689" s="208"/>
      <c r="L689" s="207" t="s">
        <v>69</v>
      </c>
      <c r="M689" s="235"/>
      <c r="N689" s="347"/>
      <c r="O689" s="343" t="s">
        <v>170</v>
      </c>
      <c r="P689" s="199" t="s">
        <v>269</v>
      </c>
      <c r="Q689" s="199" t="s">
        <v>722</v>
      </c>
      <c r="R689" s="199" t="s">
        <v>707</v>
      </c>
      <c r="S689" s="7">
        <v>64</v>
      </c>
      <c r="T689" s="199"/>
      <c r="U689" s="199"/>
      <c r="V689" s="201"/>
      <c r="W689" s="202"/>
      <c r="X689" s="359"/>
      <c r="Y689" s="353">
        <f>H689</f>
        <v>1</v>
      </c>
      <c r="Z689" s="199"/>
      <c r="AA689" s="204"/>
      <c r="AB689" s="205"/>
      <c r="AC689" s="201"/>
    </row>
    <row r="690" spans="1:29" ht="15.75" thickBot="1" x14ac:dyDescent="0.3">
      <c r="A690" s="334">
        <v>45923</v>
      </c>
      <c r="B690" s="207">
        <v>6</v>
      </c>
      <c r="C690" s="208"/>
      <c r="D690" s="207" t="s">
        <v>170</v>
      </c>
      <c r="E690" s="209">
        <v>1.46</v>
      </c>
      <c r="F690" s="209"/>
      <c r="G690" s="460">
        <v>1</v>
      </c>
      <c r="H690" s="460">
        <v>1</v>
      </c>
      <c r="I690" s="211">
        <v>0.76</v>
      </c>
      <c r="J690" s="211"/>
      <c r="K690" s="208"/>
      <c r="L690" s="207" t="s">
        <v>69</v>
      </c>
      <c r="M690" s="235"/>
      <c r="N690" s="347"/>
      <c r="O690" s="343" t="s">
        <v>69</v>
      </c>
      <c r="P690" s="199" t="s">
        <v>478</v>
      </c>
      <c r="Q690" s="199" t="s">
        <v>479</v>
      </c>
      <c r="R690" s="199" t="s">
        <v>707</v>
      </c>
      <c r="S690" s="479">
        <v>72</v>
      </c>
      <c r="T690" s="199"/>
      <c r="U690" s="199"/>
      <c r="V690" s="201"/>
      <c r="W690" s="202"/>
      <c r="X690" s="359"/>
      <c r="Y690" s="353">
        <f>G689</f>
        <v>1</v>
      </c>
      <c r="Z690" s="199"/>
      <c r="AA690" s="204"/>
      <c r="AB690" s="205"/>
      <c r="AC690" s="201"/>
    </row>
    <row r="691" spans="1:29" x14ac:dyDescent="0.25">
      <c r="A691" s="331">
        <v>45923</v>
      </c>
      <c r="B691" s="13">
        <v>6</v>
      </c>
      <c r="C691" s="124" t="s">
        <v>693</v>
      </c>
      <c r="D691" s="13" t="s">
        <v>192</v>
      </c>
      <c r="E691" s="14">
        <v>2.57</v>
      </c>
      <c r="F691" s="14"/>
      <c r="G691" s="375">
        <v>2</v>
      </c>
      <c r="H691" s="375">
        <v>2</v>
      </c>
      <c r="I691" s="16">
        <v>0.74</v>
      </c>
      <c r="J691" s="16"/>
      <c r="K691" s="124" t="s">
        <v>694</v>
      </c>
      <c r="L691" s="13" t="s">
        <v>145</v>
      </c>
      <c r="M691" s="47"/>
      <c r="N691" s="349">
        <v>15</v>
      </c>
      <c r="O691" s="458" t="s">
        <v>145</v>
      </c>
      <c r="P691" s="13" t="s">
        <v>271</v>
      </c>
      <c r="Q691" s="13" t="s">
        <v>272</v>
      </c>
      <c r="R691" s="13" t="s">
        <v>684</v>
      </c>
      <c r="S691" s="479">
        <v>75</v>
      </c>
      <c r="T691" s="13" t="s">
        <v>47</v>
      </c>
      <c r="U691" s="13" t="s">
        <v>42</v>
      </c>
      <c r="V691" s="60" t="s">
        <v>10</v>
      </c>
      <c r="W691" s="54">
        <v>0.56999999999999995</v>
      </c>
      <c r="X691" s="361">
        <v>0.98</v>
      </c>
      <c r="Y691" s="355" t="s">
        <v>353</v>
      </c>
      <c r="Z691" s="13" t="s">
        <v>8</v>
      </c>
      <c r="AA691" s="115" t="s">
        <v>9</v>
      </c>
      <c r="AB691" s="110" t="s">
        <v>315</v>
      </c>
      <c r="AC691" s="60" t="s">
        <v>409</v>
      </c>
    </row>
    <row r="692" spans="1:29" x14ac:dyDescent="0.25">
      <c r="A692" s="331">
        <v>45923</v>
      </c>
      <c r="B692" s="5">
        <v>6</v>
      </c>
      <c r="D692" s="5" t="s">
        <v>192</v>
      </c>
      <c r="E692" s="6">
        <v>2.57</v>
      </c>
      <c r="G692" s="362">
        <v>2</v>
      </c>
      <c r="H692" s="362">
        <v>2</v>
      </c>
      <c r="I692" s="8">
        <v>0.74</v>
      </c>
      <c r="L692" s="5" t="s">
        <v>145</v>
      </c>
      <c r="N692" s="476">
        <v>32</v>
      </c>
      <c r="O692" s="477" t="s">
        <v>192</v>
      </c>
      <c r="P692" s="478" t="s">
        <v>196</v>
      </c>
      <c r="Q692" s="478" t="s">
        <v>75</v>
      </c>
      <c r="R692" s="478" t="s">
        <v>684</v>
      </c>
      <c r="S692" s="479">
        <v>70</v>
      </c>
      <c r="T692" s="478" t="s">
        <v>47</v>
      </c>
      <c r="U692" s="478" t="s">
        <v>43</v>
      </c>
      <c r="V692" s="480" t="s">
        <v>540</v>
      </c>
      <c r="W692" s="51">
        <v>7.0000000000000007E-2</v>
      </c>
      <c r="X692" s="357">
        <v>0.14000000000000001</v>
      </c>
      <c r="Z692" s="5" t="s">
        <v>48</v>
      </c>
      <c r="AA692" s="112" t="s">
        <v>9</v>
      </c>
    </row>
    <row r="693" spans="1:29" x14ac:dyDescent="0.25">
      <c r="A693" s="331">
        <v>45923</v>
      </c>
      <c r="B693" s="5">
        <v>6</v>
      </c>
      <c r="D693" s="5" t="s">
        <v>192</v>
      </c>
      <c r="E693" s="6">
        <v>2.57</v>
      </c>
      <c r="G693" s="362">
        <v>2</v>
      </c>
      <c r="H693" s="362">
        <v>2</v>
      </c>
      <c r="I693" s="8">
        <v>0.74</v>
      </c>
      <c r="L693" s="5" t="s">
        <v>145</v>
      </c>
      <c r="N693" s="476">
        <v>37</v>
      </c>
      <c r="O693" s="477" t="s">
        <v>192</v>
      </c>
      <c r="P693" s="478" t="s">
        <v>278</v>
      </c>
      <c r="Q693" s="478" t="s">
        <v>279</v>
      </c>
      <c r="R693" s="478" t="s">
        <v>685</v>
      </c>
      <c r="S693" s="481">
        <v>73</v>
      </c>
      <c r="T693" s="478" t="s">
        <v>41</v>
      </c>
      <c r="U693" s="478" t="s">
        <v>43</v>
      </c>
      <c r="V693" s="480" t="s">
        <v>20</v>
      </c>
      <c r="W693" s="51">
        <v>0.23</v>
      </c>
      <c r="X693" s="357" t="s">
        <v>53</v>
      </c>
      <c r="Y693" s="351" t="s">
        <v>353</v>
      </c>
      <c r="Z693" s="5" t="s">
        <v>744</v>
      </c>
      <c r="AA693" s="112" t="s">
        <v>9</v>
      </c>
      <c r="AB693" s="108" t="s">
        <v>555</v>
      </c>
      <c r="AC693" s="57" t="s">
        <v>556</v>
      </c>
    </row>
    <row r="694" spans="1:29" x14ac:dyDescent="0.25">
      <c r="A694" s="331">
        <v>45923</v>
      </c>
      <c r="B694" s="5">
        <v>6</v>
      </c>
      <c r="D694" s="5" t="s">
        <v>192</v>
      </c>
      <c r="E694" s="6">
        <v>2.57</v>
      </c>
      <c r="G694" s="362">
        <v>2</v>
      </c>
      <c r="H694" s="362">
        <v>2</v>
      </c>
      <c r="I694" s="8">
        <v>0.74</v>
      </c>
      <c r="L694" s="5" t="s">
        <v>145</v>
      </c>
      <c r="N694" s="476">
        <v>37</v>
      </c>
      <c r="O694" s="477" t="s">
        <v>192</v>
      </c>
      <c r="P694" s="478" t="s">
        <v>278</v>
      </c>
      <c r="Q694" s="478" t="s">
        <v>279</v>
      </c>
      <c r="R694" s="478" t="s">
        <v>685</v>
      </c>
      <c r="S694" s="481">
        <v>73</v>
      </c>
      <c r="T694" s="478" t="s">
        <v>41</v>
      </c>
      <c r="U694" s="478" t="s">
        <v>43</v>
      </c>
      <c r="V694" s="480" t="s">
        <v>20</v>
      </c>
      <c r="W694" s="51">
        <v>0.32</v>
      </c>
      <c r="X694" s="357" t="s">
        <v>53</v>
      </c>
      <c r="Y694" s="351" t="s">
        <v>353</v>
      </c>
      <c r="Z694" s="5" t="s">
        <v>22</v>
      </c>
      <c r="AA694" s="112" t="s">
        <v>9</v>
      </c>
    </row>
    <row r="695" spans="1:29" x14ac:dyDescent="0.25">
      <c r="A695" s="331">
        <v>45923</v>
      </c>
      <c r="B695" s="5">
        <v>6</v>
      </c>
      <c r="D695" s="5" t="s">
        <v>192</v>
      </c>
      <c r="E695" s="6">
        <v>2.57</v>
      </c>
      <c r="G695" s="362">
        <v>2</v>
      </c>
      <c r="H695" s="362">
        <v>2</v>
      </c>
      <c r="I695" s="8">
        <v>0.74</v>
      </c>
      <c r="L695" s="5" t="s">
        <v>145</v>
      </c>
      <c r="N695" s="476">
        <v>37</v>
      </c>
      <c r="O695" s="477" t="s">
        <v>192</v>
      </c>
      <c r="P695" s="478" t="s">
        <v>411</v>
      </c>
      <c r="Q695" s="478" t="s">
        <v>412</v>
      </c>
      <c r="R695" s="478" t="s">
        <v>699</v>
      </c>
      <c r="S695" s="479">
        <v>60</v>
      </c>
      <c r="T695" s="478" t="s">
        <v>47</v>
      </c>
      <c r="U695" s="478" t="s">
        <v>45</v>
      </c>
      <c r="V695" s="480" t="s">
        <v>20</v>
      </c>
      <c r="W695" s="51">
        <v>0.09</v>
      </c>
      <c r="X695" s="357" t="s">
        <v>53</v>
      </c>
      <c r="Y695" s="351" t="s">
        <v>353</v>
      </c>
      <c r="Z695" s="5" t="s">
        <v>744</v>
      </c>
      <c r="AA695" s="112" t="s">
        <v>9</v>
      </c>
      <c r="AB695" s="108" t="s">
        <v>555</v>
      </c>
      <c r="AC695" s="57" t="s">
        <v>556</v>
      </c>
    </row>
    <row r="696" spans="1:29" x14ac:dyDescent="0.25">
      <c r="A696" s="331">
        <v>45923</v>
      </c>
      <c r="B696" s="5">
        <v>6</v>
      </c>
      <c r="D696" s="5" t="s">
        <v>192</v>
      </c>
      <c r="E696" s="6">
        <v>2.57</v>
      </c>
      <c r="G696" s="362">
        <v>2</v>
      </c>
      <c r="H696" s="362">
        <v>2</v>
      </c>
      <c r="I696" s="8">
        <v>0.74</v>
      </c>
      <c r="L696" s="5" t="s">
        <v>145</v>
      </c>
      <c r="N696" s="476">
        <v>39</v>
      </c>
      <c r="O696" s="477" t="s">
        <v>192</v>
      </c>
      <c r="P696" s="478" t="s">
        <v>194</v>
      </c>
      <c r="Q696" s="478" t="s">
        <v>195</v>
      </c>
      <c r="R696" s="478" t="s">
        <v>712</v>
      </c>
      <c r="S696" s="479">
        <v>80</v>
      </c>
      <c r="T696" s="478" t="s">
        <v>41</v>
      </c>
      <c r="U696" s="478" t="s">
        <v>45</v>
      </c>
      <c r="V696" s="480" t="s">
        <v>20</v>
      </c>
      <c r="W696" s="51">
        <v>0.03</v>
      </c>
      <c r="X696" s="357" t="s">
        <v>53</v>
      </c>
      <c r="Z696" s="5" t="s">
        <v>55</v>
      </c>
      <c r="AA696" s="112" t="s">
        <v>9</v>
      </c>
    </row>
    <row r="697" spans="1:29" x14ac:dyDescent="0.25">
      <c r="A697" s="331">
        <v>45923</v>
      </c>
      <c r="B697" s="5">
        <v>6</v>
      </c>
      <c r="D697" s="5" t="s">
        <v>192</v>
      </c>
      <c r="E697" s="6">
        <v>2.57</v>
      </c>
      <c r="G697" s="362">
        <v>2</v>
      </c>
      <c r="H697" s="362">
        <v>2</v>
      </c>
      <c r="I697" s="8">
        <v>0.74</v>
      </c>
      <c r="L697" s="5" t="s">
        <v>145</v>
      </c>
      <c r="N697" s="476">
        <v>41</v>
      </c>
      <c r="O697" s="477" t="s">
        <v>192</v>
      </c>
      <c r="P697" s="478" t="s">
        <v>280</v>
      </c>
      <c r="Q697" s="478" t="s">
        <v>281</v>
      </c>
      <c r="R697" s="478" t="s">
        <v>686</v>
      </c>
      <c r="S697" s="479">
        <v>61</v>
      </c>
      <c r="T697" s="478" t="s">
        <v>41</v>
      </c>
      <c r="U697" s="478" t="s">
        <v>42</v>
      </c>
      <c r="V697" s="480" t="s">
        <v>10</v>
      </c>
      <c r="W697" s="51">
        <v>0.02</v>
      </c>
      <c r="X697" s="357">
        <v>0.12</v>
      </c>
      <c r="Z697" s="5" t="s">
        <v>48</v>
      </c>
      <c r="AA697" s="112" t="s">
        <v>9</v>
      </c>
    </row>
    <row r="698" spans="1:29" x14ac:dyDescent="0.25">
      <c r="A698" s="331">
        <v>45923</v>
      </c>
      <c r="B698" s="5">
        <v>6</v>
      </c>
      <c r="D698" s="5" t="s">
        <v>192</v>
      </c>
      <c r="E698" s="6">
        <v>2.57</v>
      </c>
      <c r="G698" s="362">
        <v>2</v>
      </c>
      <c r="H698" s="362">
        <v>2</v>
      </c>
      <c r="I698" s="8">
        <v>0.74</v>
      </c>
      <c r="L698" s="5" t="s">
        <v>145</v>
      </c>
      <c r="N698" s="476">
        <v>45</v>
      </c>
      <c r="O698" s="477" t="s">
        <v>192</v>
      </c>
      <c r="P698" s="478" t="s">
        <v>194</v>
      </c>
      <c r="Q698" s="478" t="s">
        <v>195</v>
      </c>
      <c r="R698" s="478" t="s">
        <v>712</v>
      </c>
      <c r="S698" s="479">
        <v>80</v>
      </c>
      <c r="T698" s="478" t="s">
        <v>41</v>
      </c>
      <c r="U698" s="478" t="s">
        <v>45</v>
      </c>
      <c r="V698" s="480" t="s">
        <v>20</v>
      </c>
      <c r="W698" s="51">
        <v>0.03</v>
      </c>
      <c r="X698" s="357" t="s">
        <v>53</v>
      </c>
      <c r="Z698" s="5" t="s">
        <v>55</v>
      </c>
      <c r="AA698" s="112" t="s">
        <v>9</v>
      </c>
    </row>
    <row r="699" spans="1:29" x14ac:dyDescent="0.25">
      <c r="A699" s="331">
        <v>45923</v>
      </c>
      <c r="B699" s="5">
        <v>6</v>
      </c>
      <c r="D699" s="5" t="s">
        <v>192</v>
      </c>
      <c r="E699" s="6">
        <v>2.57</v>
      </c>
      <c r="G699" s="362">
        <v>2</v>
      </c>
      <c r="H699" s="362">
        <v>2</v>
      </c>
      <c r="I699" s="8">
        <v>0.74</v>
      </c>
      <c r="L699" s="5" t="s">
        <v>145</v>
      </c>
      <c r="N699" s="476">
        <v>59</v>
      </c>
      <c r="O699" s="477" t="s">
        <v>192</v>
      </c>
      <c r="P699" s="478" t="s">
        <v>194</v>
      </c>
      <c r="Q699" s="478" t="s">
        <v>195</v>
      </c>
      <c r="R699" s="478" t="s">
        <v>712</v>
      </c>
      <c r="S699" s="479">
        <v>80</v>
      </c>
      <c r="T699" s="478" t="s">
        <v>47</v>
      </c>
      <c r="U699" s="478" t="s">
        <v>45</v>
      </c>
      <c r="V699" s="480" t="s">
        <v>20</v>
      </c>
      <c r="W699" s="51">
        <v>0.16</v>
      </c>
      <c r="X699" s="357">
        <v>0.65</v>
      </c>
      <c r="Z699" s="5" t="s">
        <v>8</v>
      </c>
      <c r="AA699" s="112" t="s">
        <v>51</v>
      </c>
      <c r="AB699" s="108" t="s">
        <v>276</v>
      </c>
      <c r="AC699" s="57" t="s">
        <v>277</v>
      </c>
    </row>
    <row r="700" spans="1:29" x14ac:dyDescent="0.25">
      <c r="A700" s="331">
        <v>45923</v>
      </c>
      <c r="B700" s="5">
        <v>6</v>
      </c>
      <c r="D700" s="5" t="s">
        <v>192</v>
      </c>
      <c r="E700" s="6">
        <v>2.57</v>
      </c>
      <c r="G700" s="362">
        <v>2</v>
      </c>
      <c r="H700" s="362">
        <v>2</v>
      </c>
      <c r="I700" s="8">
        <v>0.74</v>
      </c>
      <c r="L700" s="5" t="s">
        <v>145</v>
      </c>
      <c r="N700" s="345">
        <v>62</v>
      </c>
      <c r="O700" s="38" t="s">
        <v>145</v>
      </c>
      <c r="P700" s="5" t="s">
        <v>147</v>
      </c>
      <c r="Q700" s="5" t="s">
        <v>148</v>
      </c>
      <c r="R700" s="5" t="s">
        <v>684</v>
      </c>
      <c r="S700" s="7">
        <v>75</v>
      </c>
      <c r="T700" s="5" t="s">
        <v>41</v>
      </c>
      <c r="U700" s="5" t="s">
        <v>45</v>
      </c>
      <c r="V700" s="57" t="s">
        <v>20</v>
      </c>
      <c r="W700" s="51">
        <v>0.19</v>
      </c>
      <c r="X700" s="357">
        <v>0.44</v>
      </c>
      <c r="Y700" s="351" t="s">
        <v>353</v>
      </c>
      <c r="Z700" s="5" t="s">
        <v>8</v>
      </c>
      <c r="AA700" s="112" t="s">
        <v>67</v>
      </c>
      <c r="AB700" s="108" t="s">
        <v>667</v>
      </c>
      <c r="AC700" s="57" t="s">
        <v>668</v>
      </c>
    </row>
    <row r="701" spans="1:29" x14ac:dyDescent="0.25">
      <c r="A701" s="331">
        <v>45923</v>
      </c>
      <c r="B701" s="5">
        <v>6</v>
      </c>
      <c r="D701" s="5" t="s">
        <v>192</v>
      </c>
      <c r="E701" s="6">
        <v>2.57</v>
      </c>
      <c r="G701" s="362">
        <v>2</v>
      </c>
      <c r="H701" s="362">
        <v>2</v>
      </c>
      <c r="I701" s="8">
        <v>0.74</v>
      </c>
      <c r="L701" s="5" t="s">
        <v>145</v>
      </c>
      <c r="N701" s="476">
        <v>66</v>
      </c>
      <c r="O701" s="477" t="s">
        <v>192</v>
      </c>
      <c r="P701" s="478" t="s">
        <v>280</v>
      </c>
      <c r="Q701" s="478" t="s">
        <v>281</v>
      </c>
      <c r="R701" s="478" t="s">
        <v>686</v>
      </c>
      <c r="S701" s="479">
        <v>61</v>
      </c>
      <c r="T701" s="478" t="s">
        <v>41</v>
      </c>
      <c r="U701" s="478" t="s">
        <v>43</v>
      </c>
      <c r="V701" s="480" t="s">
        <v>10</v>
      </c>
      <c r="W701" s="51">
        <v>0.16</v>
      </c>
      <c r="X701" s="357" t="s">
        <v>53</v>
      </c>
      <c r="Z701" s="5" t="s">
        <v>52</v>
      </c>
      <c r="AA701" s="112" t="s">
        <v>67</v>
      </c>
    </row>
    <row r="702" spans="1:29" x14ac:dyDescent="0.25">
      <c r="A702" s="331">
        <v>45923</v>
      </c>
      <c r="B702" s="5">
        <v>6</v>
      </c>
      <c r="D702" s="5" t="s">
        <v>192</v>
      </c>
      <c r="E702" s="6">
        <v>2.57</v>
      </c>
      <c r="G702" s="362">
        <v>2</v>
      </c>
      <c r="H702" s="362">
        <v>2</v>
      </c>
      <c r="I702" s="8">
        <v>0.74</v>
      </c>
      <c r="L702" s="5" t="s">
        <v>145</v>
      </c>
      <c r="N702" s="476">
        <v>66</v>
      </c>
      <c r="O702" s="477" t="s">
        <v>192</v>
      </c>
      <c r="P702" s="478" t="s">
        <v>410</v>
      </c>
      <c r="Q702" s="478" t="s">
        <v>361</v>
      </c>
      <c r="R702" s="478" t="s">
        <v>696</v>
      </c>
      <c r="S702" s="479">
        <v>75</v>
      </c>
      <c r="T702" s="478" t="s">
        <v>47</v>
      </c>
      <c r="U702" s="478" t="s">
        <v>43</v>
      </c>
      <c r="V702" s="480" t="s">
        <v>540</v>
      </c>
      <c r="W702" s="51">
        <v>0.11</v>
      </c>
      <c r="X702" s="357" t="s">
        <v>53</v>
      </c>
      <c r="Z702" s="5" t="s">
        <v>52</v>
      </c>
      <c r="AA702" s="112" t="s">
        <v>67</v>
      </c>
    </row>
    <row r="703" spans="1:29" x14ac:dyDescent="0.25">
      <c r="A703" s="331">
        <v>45923</v>
      </c>
      <c r="B703" s="5">
        <v>6</v>
      </c>
      <c r="D703" s="5" t="s">
        <v>192</v>
      </c>
      <c r="E703" s="6">
        <v>2.57</v>
      </c>
      <c r="G703" s="362">
        <v>2</v>
      </c>
      <c r="H703" s="362">
        <v>2</v>
      </c>
      <c r="I703" s="8">
        <v>0.74</v>
      </c>
      <c r="L703" s="5" t="s">
        <v>145</v>
      </c>
      <c r="N703" s="476">
        <v>69</v>
      </c>
      <c r="O703" s="477" t="s">
        <v>192</v>
      </c>
      <c r="P703" s="478" t="s">
        <v>276</v>
      </c>
      <c r="Q703" s="478" t="s">
        <v>277</v>
      </c>
      <c r="R703" s="478" t="s">
        <v>687</v>
      </c>
      <c r="S703" s="479">
        <v>81</v>
      </c>
      <c r="T703" s="478" t="s">
        <v>44</v>
      </c>
      <c r="U703" s="478" t="s">
        <v>42</v>
      </c>
      <c r="V703" s="480" t="s">
        <v>540</v>
      </c>
      <c r="W703" s="51">
        <v>0.02</v>
      </c>
      <c r="X703" s="357">
        <v>0.11</v>
      </c>
      <c r="Z703" s="5" t="s">
        <v>48</v>
      </c>
      <c r="AA703" s="112" t="s">
        <v>67</v>
      </c>
    </row>
    <row r="704" spans="1:29" x14ac:dyDescent="0.25">
      <c r="A704" s="331">
        <v>45923</v>
      </c>
      <c r="B704" s="5">
        <v>6</v>
      </c>
      <c r="D704" s="5" t="s">
        <v>192</v>
      </c>
      <c r="E704" s="6">
        <v>2.57</v>
      </c>
      <c r="G704" s="362">
        <v>2</v>
      </c>
      <c r="H704" s="362">
        <v>2</v>
      </c>
      <c r="I704" s="8">
        <v>0.74</v>
      </c>
      <c r="L704" s="5" t="s">
        <v>145</v>
      </c>
      <c r="N704" s="476">
        <v>69</v>
      </c>
      <c r="O704" s="477" t="s">
        <v>192</v>
      </c>
      <c r="P704" s="478" t="s">
        <v>276</v>
      </c>
      <c r="Q704" s="478" t="s">
        <v>277</v>
      </c>
      <c r="R704" s="478" t="s">
        <v>687</v>
      </c>
      <c r="S704" s="479">
        <v>81</v>
      </c>
      <c r="T704" s="478" t="s">
        <v>44</v>
      </c>
      <c r="U704" s="478" t="s">
        <v>42</v>
      </c>
      <c r="V704" s="480" t="s">
        <v>10</v>
      </c>
      <c r="W704" s="51">
        <v>0.06</v>
      </c>
      <c r="X704" s="357">
        <v>0.11</v>
      </c>
      <c r="Z704" s="5" t="s">
        <v>48</v>
      </c>
      <c r="AA704" s="112" t="s">
        <v>67</v>
      </c>
    </row>
    <row r="705" spans="1:29" x14ac:dyDescent="0.25">
      <c r="A705" s="331">
        <v>45923</v>
      </c>
      <c r="B705" s="5">
        <v>6</v>
      </c>
      <c r="D705" s="5" t="s">
        <v>192</v>
      </c>
      <c r="E705" s="6">
        <v>2.57</v>
      </c>
      <c r="G705" s="362">
        <v>2</v>
      </c>
      <c r="H705" s="362">
        <v>2</v>
      </c>
      <c r="I705" s="8">
        <v>0.74</v>
      </c>
      <c r="L705" s="5" t="s">
        <v>145</v>
      </c>
      <c r="N705" s="476">
        <v>77</v>
      </c>
      <c r="O705" s="477" t="s">
        <v>192</v>
      </c>
      <c r="P705" s="478" t="s">
        <v>196</v>
      </c>
      <c r="Q705" s="478" t="s">
        <v>75</v>
      </c>
      <c r="R705" s="478" t="s">
        <v>684</v>
      </c>
      <c r="S705" s="479">
        <v>70</v>
      </c>
      <c r="T705" s="478" t="s">
        <v>41</v>
      </c>
      <c r="U705" s="478" t="s">
        <v>43</v>
      </c>
      <c r="V705" s="480" t="s">
        <v>10</v>
      </c>
      <c r="W705" s="51">
        <v>0.31</v>
      </c>
      <c r="X705" s="357" t="s">
        <v>53</v>
      </c>
      <c r="Y705" s="351" t="s">
        <v>353</v>
      </c>
      <c r="Z705" s="5" t="s">
        <v>22</v>
      </c>
      <c r="AA705" s="112" t="s">
        <v>67</v>
      </c>
    </row>
    <row r="706" spans="1:29" x14ac:dyDescent="0.25">
      <c r="A706" s="331">
        <v>45923</v>
      </c>
      <c r="B706" s="5">
        <v>6</v>
      </c>
      <c r="D706" s="5" t="s">
        <v>192</v>
      </c>
      <c r="E706" s="6">
        <v>2.57</v>
      </c>
      <c r="G706" s="362">
        <v>2</v>
      </c>
      <c r="H706" s="362">
        <v>2</v>
      </c>
      <c r="I706" s="8">
        <v>0.74</v>
      </c>
      <c r="L706" s="5" t="s">
        <v>145</v>
      </c>
      <c r="N706" s="476">
        <v>85</v>
      </c>
      <c r="O706" s="477" t="s">
        <v>192</v>
      </c>
      <c r="P706" s="478" t="s">
        <v>276</v>
      </c>
      <c r="Q706" s="478" t="s">
        <v>277</v>
      </c>
      <c r="R706" s="478" t="s">
        <v>687</v>
      </c>
      <c r="S706" s="479">
        <v>81</v>
      </c>
      <c r="T706" s="478" t="s">
        <v>47</v>
      </c>
      <c r="U706" s="478" t="s">
        <v>42</v>
      </c>
      <c r="V706" s="480" t="s">
        <v>10</v>
      </c>
      <c r="W706" s="51">
        <v>0.24</v>
      </c>
      <c r="X706" s="357" t="s">
        <v>53</v>
      </c>
      <c r="Y706" s="351" t="s">
        <v>353</v>
      </c>
      <c r="Z706" s="5" t="s">
        <v>13</v>
      </c>
      <c r="AA706" s="112" t="s">
        <v>67</v>
      </c>
    </row>
    <row r="707" spans="1:29" x14ac:dyDescent="0.25">
      <c r="A707" s="331">
        <v>45923</v>
      </c>
      <c r="B707" s="5">
        <v>6</v>
      </c>
      <c r="D707" s="5" t="s">
        <v>192</v>
      </c>
      <c r="E707" s="6">
        <v>2.57</v>
      </c>
      <c r="G707" s="362">
        <v>2</v>
      </c>
      <c r="H707" s="362">
        <v>2</v>
      </c>
      <c r="I707" s="8">
        <v>0.74</v>
      </c>
      <c r="L707" s="5" t="s">
        <v>145</v>
      </c>
      <c r="N707" s="476" t="s">
        <v>35</v>
      </c>
      <c r="O707" s="477" t="s">
        <v>192</v>
      </c>
      <c r="P707" s="478" t="s">
        <v>278</v>
      </c>
      <c r="Q707" s="478" t="s">
        <v>279</v>
      </c>
      <c r="R707" s="478" t="s">
        <v>685</v>
      </c>
      <c r="S707" s="479">
        <v>73</v>
      </c>
      <c r="T707" s="478" t="s">
        <v>41</v>
      </c>
      <c r="U707" s="478" t="s">
        <v>43</v>
      </c>
      <c r="V707" s="480" t="s">
        <v>10</v>
      </c>
      <c r="W707" s="51">
        <v>0.54</v>
      </c>
      <c r="X707" s="357">
        <v>0.48</v>
      </c>
      <c r="Y707" s="351" t="s">
        <v>353</v>
      </c>
      <c r="Z707" s="5" t="s">
        <v>48</v>
      </c>
      <c r="AA707" s="112" t="s">
        <v>67</v>
      </c>
    </row>
    <row r="708" spans="1:29" ht="15.75" thickBot="1" x14ac:dyDescent="0.3">
      <c r="A708" s="330">
        <v>45923</v>
      </c>
      <c r="B708" s="9">
        <v>6</v>
      </c>
      <c r="C708" s="122"/>
      <c r="D708" s="9" t="s">
        <v>192</v>
      </c>
      <c r="E708" s="10">
        <v>2.57</v>
      </c>
      <c r="F708" s="10"/>
      <c r="G708" s="383">
        <v>2</v>
      </c>
      <c r="H708" s="383">
        <v>2</v>
      </c>
      <c r="I708" s="12">
        <v>0.74</v>
      </c>
      <c r="J708" s="12"/>
      <c r="K708" s="122"/>
      <c r="L708" s="9" t="s">
        <v>145</v>
      </c>
      <c r="M708" s="45"/>
      <c r="N708" s="511" t="s">
        <v>57</v>
      </c>
      <c r="O708" s="512" t="s">
        <v>192</v>
      </c>
      <c r="P708" s="513" t="s">
        <v>278</v>
      </c>
      <c r="Q708" s="513" t="s">
        <v>279</v>
      </c>
      <c r="R708" s="513" t="s">
        <v>685</v>
      </c>
      <c r="S708" s="479">
        <v>73</v>
      </c>
      <c r="T708" s="513" t="s">
        <v>47</v>
      </c>
      <c r="U708" s="513" t="s">
        <v>45</v>
      </c>
      <c r="V708" s="514" t="s">
        <v>33</v>
      </c>
      <c r="W708" s="52">
        <v>0.17</v>
      </c>
      <c r="X708" s="358">
        <v>0.8</v>
      </c>
      <c r="Y708" s="352" t="s">
        <v>353</v>
      </c>
      <c r="Z708" s="9" t="s">
        <v>8</v>
      </c>
      <c r="AA708" s="113" t="s">
        <v>189</v>
      </c>
      <c r="AB708" s="109" t="s">
        <v>410</v>
      </c>
      <c r="AC708" s="58" t="s">
        <v>361</v>
      </c>
    </row>
    <row r="709" spans="1:29" ht="15.75" thickBot="1" x14ac:dyDescent="0.3">
      <c r="A709" s="326">
        <v>45923</v>
      </c>
      <c r="B709" s="207">
        <v>6</v>
      </c>
      <c r="C709" s="208"/>
      <c r="D709" s="207" t="s">
        <v>192</v>
      </c>
      <c r="E709" s="209">
        <v>2.57</v>
      </c>
      <c r="F709" s="209"/>
      <c r="G709" s="460">
        <v>2</v>
      </c>
      <c r="H709" s="460">
        <v>2</v>
      </c>
      <c r="I709" s="211">
        <v>0.74</v>
      </c>
      <c r="J709" s="211"/>
      <c r="K709" s="208"/>
      <c r="L709" s="207" t="s">
        <v>145</v>
      </c>
      <c r="M709" s="235"/>
      <c r="N709" s="347"/>
      <c r="O709" s="343" t="s">
        <v>192</v>
      </c>
      <c r="P709" s="199" t="s">
        <v>723</v>
      </c>
      <c r="Q709" s="199" t="s">
        <v>724</v>
      </c>
      <c r="R709" s="199" t="s">
        <v>707</v>
      </c>
      <c r="S709" s="7">
        <v>59</v>
      </c>
      <c r="T709" s="199"/>
      <c r="U709" s="199"/>
      <c r="V709" s="201"/>
      <c r="W709" s="202"/>
      <c r="X709" s="359"/>
      <c r="Y709" s="353">
        <f>H709</f>
        <v>2</v>
      </c>
      <c r="Z709" s="199"/>
      <c r="AA709" s="204"/>
      <c r="AB709" s="205"/>
      <c r="AC709" s="201"/>
    </row>
    <row r="710" spans="1:29" ht="15.75" thickBot="1" x14ac:dyDescent="0.3">
      <c r="A710" s="326">
        <v>45923</v>
      </c>
      <c r="B710" s="207">
        <v>6</v>
      </c>
      <c r="C710" s="208"/>
      <c r="D710" s="207" t="s">
        <v>192</v>
      </c>
      <c r="E710" s="209">
        <v>2.57</v>
      </c>
      <c r="F710" s="209"/>
      <c r="G710" s="460">
        <v>2</v>
      </c>
      <c r="H710" s="460">
        <v>2</v>
      </c>
      <c r="I710" s="211">
        <v>0.74</v>
      </c>
      <c r="J710" s="211"/>
      <c r="K710" s="208"/>
      <c r="L710" s="207" t="s">
        <v>145</v>
      </c>
      <c r="M710" s="235"/>
      <c r="N710" s="347"/>
      <c r="O710" s="343" t="s">
        <v>145</v>
      </c>
      <c r="P710" s="199" t="s">
        <v>482</v>
      </c>
      <c r="Q710" s="199" t="s">
        <v>483</v>
      </c>
      <c r="R710" s="199" t="s">
        <v>707</v>
      </c>
      <c r="S710" s="479">
        <v>80</v>
      </c>
      <c r="T710" s="199"/>
      <c r="U710" s="199"/>
      <c r="V710" s="201"/>
      <c r="W710" s="202"/>
      <c r="X710" s="359"/>
      <c r="Y710" s="353">
        <f>G709</f>
        <v>2</v>
      </c>
      <c r="Z710" s="199"/>
      <c r="AA710" s="204"/>
      <c r="AB710" s="205"/>
      <c r="AC710" s="201"/>
    </row>
    <row r="711" spans="1:29" x14ac:dyDescent="0.25">
      <c r="A711" s="331">
        <v>45923</v>
      </c>
      <c r="B711" s="13">
        <v>6</v>
      </c>
      <c r="C711" s="124" t="s">
        <v>694</v>
      </c>
      <c r="D711" s="13" t="s">
        <v>129</v>
      </c>
      <c r="E711" s="14">
        <v>1.8</v>
      </c>
      <c r="F711" s="14"/>
      <c r="G711" s="375">
        <v>1</v>
      </c>
      <c r="H711" s="375">
        <v>4</v>
      </c>
      <c r="I711" s="16">
        <v>3.94</v>
      </c>
      <c r="J711" s="16"/>
      <c r="K711" s="124" t="s">
        <v>702</v>
      </c>
      <c r="L711" s="13" t="s">
        <v>226</v>
      </c>
      <c r="M711" s="47"/>
      <c r="N711" s="556">
        <v>4</v>
      </c>
      <c r="O711" s="557" t="s">
        <v>129</v>
      </c>
      <c r="P711" s="558" t="s">
        <v>59</v>
      </c>
      <c r="Q711" s="558" t="s">
        <v>191</v>
      </c>
      <c r="R711" s="558" t="s">
        <v>717</v>
      </c>
      <c r="S711" s="479">
        <v>62</v>
      </c>
      <c r="T711" s="558" t="s">
        <v>41</v>
      </c>
      <c r="U711" s="558" t="s">
        <v>42</v>
      </c>
      <c r="V711" s="559" t="s">
        <v>10</v>
      </c>
      <c r="W711" s="54">
        <v>0.24</v>
      </c>
      <c r="X711" s="361" t="s">
        <v>53</v>
      </c>
      <c r="Y711" s="355" t="s">
        <v>353</v>
      </c>
      <c r="Z711" s="13" t="s">
        <v>16</v>
      </c>
      <c r="AA711" s="115" t="s">
        <v>28</v>
      </c>
      <c r="AB711" s="110"/>
      <c r="AC711" s="60"/>
    </row>
    <row r="712" spans="1:29" x14ac:dyDescent="0.25">
      <c r="A712" s="329">
        <v>45923</v>
      </c>
      <c r="B712" s="5">
        <v>6</v>
      </c>
      <c r="D712" s="5" t="s">
        <v>129</v>
      </c>
      <c r="E712" s="6">
        <v>1.8</v>
      </c>
      <c r="G712" s="362">
        <v>1</v>
      </c>
      <c r="H712" s="362">
        <v>4</v>
      </c>
      <c r="I712" s="8">
        <v>3.94</v>
      </c>
      <c r="L712" s="5" t="s">
        <v>226</v>
      </c>
      <c r="N712" s="345">
        <v>8</v>
      </c>
      <c r="O712" s="38" t="s">
        <v>226</v>
      </c>
      <c r="P712" s="5" t="s">
        <v>236</v>
      </c>
      <c r="Q712" s="5" t="s">
        <v>237</v>
      </c>
      <c r="R712" s="5" t="s">
        <v>689</v>
      </c>
      <c r="S712" s="459">
        <v>77</v>
      </c>
      <c r="T712" s="5" t="s">
        <v>44</v>
      </c>
      <c r="U712" s="5" t="s">
        <v>43</v>
      </c>
      <c r="V712" s="57" t="s">
        <v>20</v>
      </c>
      <c r="W712" s="51">
        <v>0.03</v>
      </c>
      <c r="X712" s="357" t="s">
        <v>53</v>
      </c>
      <c r="Z712" s="5" t="s">
        <v>16</v>
      </c>
      <c r="AA712" s="112" t="s">
        <v>28</v>
      </c>
    </row>
    <row r="713" spans="1:29" x14ac:dyDescent="0.25">
      <c r="A713" s="329">
        <v>45923</v>
      </c>
      <c r="B713" s="5">
        <v>6</v>
      </c>
      <c r="D713" s="5" t="s">
        <v>129</v>
      </c>
      <c r="E713" s="6">
        <v>1.8</v>
      </c>
      <c r="G713" s="362">
        <v>1</v>
      </c>
      <c r="H713" s="362">
        <v>4</v>
      </c>
      <c r="I713" s="8">
        <v>3.94</v>
      </c>
      <c r="L713" s="5" t="s">
        <v>226</v>
      </c>
      <c r="N713" s="476">
        <v>13</v>
      </c>
      <c r="O713" s="477" t="s">
        <v>129</v>
      </c>
      <c r="P713" s="478" t="s">
        <v>168</v>
      </c>
      <c r="Q713" s="478" t="s">
        <v>263</v>
      </c>
      <c r="R713" s="478" t="s">
        <v>712</v>
      </c>
      <c r="S713" s="481">
        <v>59</v>
      </c>
      <c r="T713" s="478" t="s">
        <v>41</v>
      </c>
      <c r="U713" s="478" t="s">
        <v>45</v>
      </c>
      <c r="V713" s="480" t="s">
        <v>20</v>
      </c>
      <c r="W713" s="51">
        <v>0.15</v>
      </c>
      <c r="X713" s="357" t="s">
        <v>53</v>
      </c>
      <c r="Y713" s="351" t="s">
        <v>353</v>
      </c>
      <c r="Z713" s="5" t="s">
        <v>22</v>
      </c>
      <c r="AA713" s="112" t="s">
        <v>28</v>
      </c>
    </row>
    <row r="714" spans="1:29" x14ac:dyDescent="0.25">
      <c r="A714" s="329">
        <v>45923</v>
      </c>
      <c r="B714" s="5">
        <v>6</v>
      </c>
      <c r="D714" s="5" t="s">
        <v>129</v>
      </c>
      <c r="E714" s="6">
        <v>1.8</v>
      </c>
      <c r="G714" s="362">
        <v>1</v>
      </c>
      <c r="H714" s="362">
        <v>4</v>
      </c>
      <c r="I714" s="8">
        <v>3.94</v>
      </c>
      <c r="L714" s="5" t="s">
        <v>226</v>
      </c>
      <c r="N714" s="345">
        <v>18</v>
      </c>
      <c r="O714" s="38" t="s">
        <v>226</v>
      </c>
      <c r="P714" s="5" t="s">
        <v>124</v>
      </c>
      <c r="Q714" s="5" t="s">
        <v>484</v>
      </c>
      <c r="R714" s="5" t="s">
        <v>695</v>
      </c>
      <c r="S714" s="7">
        <v>77</v>
      </c>
      <c r="T714" s="5" t="s">
        <v>44</v>
      </c>
      <c r="U714" s="5" t="s">
        <v>42</v>
      </c>
      <c r="V714" s="57" t="s">
        <v>20</v>
      </c>
      <c r="W714" s="51">
        <v>0.02</v>
      </c>
      <c r="X714" s="357" t="s">
        <v>53</v>
      </c>
      <c r="Z714" s="5" t="s">
        <v>22</v>
      </c>
      <c r="AA714" s="112" t="s">
        <v>28</v>
      </c>
    </row>
    <row r="715" spans="1:29" x14ac:dyDescent="0.25">
      <c r="A715" s="329">
        <v>45923</v>
      </c>
      <c r="B715" s="5">
        <v>6</v>
      </c>
      <c r="D715" s="5" t="s">
        <v>129</v>
      </c>
      <c r="E715" s="6">
        <v>1.8</v>
      </c>
      <c r="G715" s="362">
        <v>1</v>
      </c>
      <c r="H715" s="362">
        <v>4</v>
      </c>
      <c r="I715" s="8">
        <v>3.94</v>
      </c>
      <c r="L715" s="5" t="s">
        <v>226</v>
      </c>
      <c r="N715" s="345">
        <v>21</v>
      </c>
      <c r="O715" s="38" t="s">
        <v>226</v>
      </c>
      <c r="P715" s="5" t="s">
        <v>289</v>
      </c>
      <c r="Q715" s="5" t="s">
        <v>54</v>
      </c>
      <c r="R715" s="5" t="s">
        <v>685</v>
      </c>
      <c r="S715" s="479">
        <v>93</v>
      </c>
      <c r="T715" s="5" t="s">
        <v>354</v>
      </c>
      <c r="U715" s="5" t="s">
        <v>42</v>
      </c>
      <c r="V715" s="57" t="s">
        <v>10</v>
      </c>
      <c r="W715" s="51">
        <v>0.02</v>
      </c>
      <c r="X715" s="357">
        <v>0.12</v>
      </c>
      <c r="Z715" s="5" t="s">
        <v>48</v>
      </c>
      <c r="AA715" s="112" t="s">
        <v>28</v>
      </c>
    </row>
    <row r="716" spans="1:29" x14ac:dyDescent="0.25">
      <c r="A716" s="329">
        <v>45923</v>
      </c>
      <c r="B716" s="5">
        <v>6</v>
      </c>
      <c r="D716" s="5" t="s">
        <v>129</v>
      </c>
      <c r="E716" s="6">
        <v>1.8</v>
      </c>
      <c r="G716" s="362">
        <v>1</v>
      </c>
      <c r="H716" s="362">
        <v>4</v>
      </c>
      <c r="I716" s="8">
        <v>3.94</v>
      </c>
      <c r="L716" s="5" t="s">
        <v>226</v>
      </c>
      <c r="N716" s="345">
        <v>21</v>
      </c>
      <c r="O716" s="38" t="s">
        <v>226</v>
      </c>
      <c r="P716" s="5" t="s">
        <v>236</v>
      </c>
      <c r="Q716" s="5" t="s">
        <v>237</v>
      </c>
      <c r="R716" s="5" t="s">
        <v>689</v>
      </c>
      <c r="S716" s="479">
        <v>77</v>
      </c>
      <c r="T716" s="5" t="s">
        <v>41</v>
      </c>
      <c r="U716" s="5" t="s">
        <v>42</v>
      </c>
      <c r="V716" s="57" t="s">
        <v>540</v>
      </c>
      <c r="W716" s="51">
        <v>0.55000000000000004</v>
      </c>
      <c r="X716" s="357" t="s">
        <v>53</v>
      </c>
      <c r="Y716" s="351" t="s">
        <v>353</v>
      </c>
      <c r="Z716" s="5" t="s">
        <v>17</v>
      </c>
      <c r="AA716" s="112" t="s">
        <v>28</v>
      </c>
    </row>
    <row r="717" spans="1:29" x14ac:dyDescent="0.25">
      <c r="A717" s="329">
        <v>45923</v>
      </c>
      <c r="B717" s="5">
        <v>6</v>
      </c>
      <c r="D717" s="5" t="s">
        <v>129</v>
      </c>
      <c r="E717" s="6">
        <v>1.8</v>
      </c>
      <c r="G717" s="362">
        <v>1</v>
      </c>
      <c r="H717" s="362">
        <v>4</v>
      </c>
      <c r="I717" s="8">
        <v>3.94</v>
      </c>
      <c r="L717" s="5" t="s">
        <v>226</v>
      </c>
      <c r="N717" s="345">
        <v>23</v>
      </c>
      <c r="O717" s="38" t="s">
        <v>226</v>
      </c>
      <c r="P717" s="5" t="s">
        <v>289</v>
      </c>
      <c r="Q717" s="5" t="s">
        <v>54</v>
      </c>
      <c r="R717" s="5" t="s">
        <v>685</v>
      </c>
      <c r="S717" s="7">
        <v>93</v>
      </c>
      <c r="T717" s="5" t="s">
        <v>41</v>
      </c>
      <c r="U717" s="5" t="s">
        <v>42</v>
      </c>
      <c r="V717" s="57" t="s">
        <v>10</v>
      </c>
      <c r="W717" s="51">
        <v>0.08</v>
      </c>
      <c r="X717" s="357">
        <v>0.28999999999999998</v>
      </c>
      <c r="Z717" s="5" t="s">
        <v>48</v>
      </c>
      <c r="AA717" s="112" t="s">
        <v>28</v>
      </c>
    </row>
    <row r="718" spans="1:29" x14ac:dyDescent="0.25">
      <c r="A718" s="329">
        <v>45923</v>
      </c>
      <c r="B718" s="5">
        <v>6</v>
      </c>
      <c r="D718" s="5" t="s">
        <v>129</v>
      </c>
      <c r="E718" s="6">
        <v>1.8</v>
      </c>
      <c r="G718" s="362">
        <v>1</v>
      </c>
      <c r="H718" s="362">
        <v>4</v>
      </c>
      <c r="I718" s="8">
        <v>3.94</v>
      </c>
      <c r="L718" s="5" t="s">
        <v>226</v>
      </c>
      <c r="N718" s="345">
        <v>28</v>
      </c>
      <c r="O718" s="38" t="s">
        <v>226</v>
      </c>
      <c r="P718" s="5" t="s">
        <v>289</v>
      </c>
      <c r="Q718" s="5" t="s">
        <v>54</v>
      </c>
      <c r="R718" s="5" t="s">
        <v>685</v>
      </c>
      <c r="S718" s="7">
        <v>93</v>
      </c>
      <c r="T718" s="5" t="s">
        <v>41</v>
      </c>
      <c r="U718" s="5" t="s">
        <v>42</v>
      </c>
      <c r="V718" s="57" t="s">
        <v>10</v>
      </c>
      <c r="W718" s="51">
        <v>0.03</v>
      </c>
      <c r="X718" s="357">
        <v>0.16</v>
      </c>
      <c r="Z718" s="5" t="s">
        <v>8</v>
      </c>
      <c r="AA718" s="112" t="s">
        <v>9</v>
      </c>
      <c r="AB718" s="108" t="s">
        <v>287</v>
      </c>
      <c r="AC718" s="57" t="s">
        <v>288</v>
      </c>
    </row>
    <row r="719" spans="1:29" x14ac:dyDescent="0.25">
      <c r="A719" s="329">
        <v>45923</v>
      </c>
      <c r="B719" s="5">
        <v>6</v>
      </c>
      <c r="D719" s="5" t="s">
        <v>129</v>
      </c>
      <c r="E719" s="6">
        <v>1.8</v>
      </c>
      <c r="G719" s="362">
        <v>1</v>
      </c>
      <c r="H719" s="362">
        <v>4</v>
      </c>
      <c r="I719" s="8">
        <v>3.94</v>
      </c>
      <c r="L719" s="5" t="s">
        <v>226</v>
      </c>
      <c r="N719" s="345">
        <v>32</v>
      </c>
      <c r="O719" s="38" t="s">
        <v>226</v>
      </c>
      <c r="P719" s="5" t="s">
        <v>236</v>
      </c>
      <c r="Q719" s="5" t="s">
        <v>237</v>
      </c>
      <c r="R719" s="5" t="s">
        <v>689</v>
      </c>
      <c r="S719" s="479">
        <v>77</v>
      </c>
      <c r="T719" s="5" t="s">
        <v>44</v>
      </c>
      <c r="U719" s="5" t="s">
        <v>43</v>
      </c>
      <c r="V719" s="57" t="s">
        <v>10</v>
      </c>
      <c r="W719" s="51">
        <v>0.02</v>
      </c>
      <c r="X719" s="357" t="s">
        <v>53</v>
      </c>
      <c r="Z719" s="5" t="s">
        <v>22</v>
      </c>
      <c r="AA719" s="112" t="s">
        <v>9</v>
      </c>
    </row>
    <row r="720" spans="1:29" x14ac:dyDescent="0.25">
      <c r="A720" s="329">
        <v>45923</v>
      </c>
      <c r="B720" s="5">
        <v>6</v>
      </c>
      <c r="D720" s="5" t="s">
        <v>129</v>
      </c>
      <c r="E720" s="6">
        <v>1.8</v>
      </c>
      <c r="G720" s="362">
        <v>1</v>
      </c>
      <c r="H720" s="362">
        <v>4</v>
      </c>
      <c r="I720" s="8">
        <v>3.94</v>
      </c>
      <c r="L720" s="5" t="s">
        <v>226</v>
      </c>
      <c r="N720" s="345">
        <v>38</v>
      </c>
      <c r="O720" s="38" t="s">
        <v>226</v>
      </c>
      <c r="P720" s="5" t="s">
        <v>236</v>
      </c>
      <c r="Q720" s="5" t="s">
        <v>237</v>
      </c>
      <c r="R720" s="5" t="s">
        <v>689</v>
      </c>
      <c r="S720" s="479">
        <v>77</v>
      </c>
      <c r="T720" s="5" t="s">
        <v>41</v>
      </c>
      <c r="U720" s="5" t="s">
        <v>42</v>
      </c>
      <c r="V720" s="57" t="s">
        <v>18</v>
      </c>
      <c r="W720" s="51">
        <v>0.12</v>
      </c>
      <c r="X720" s="357">
        <v>0.73</v>
      </c>
      <c r="Z720" s="5" t="s">
        <v>8</v>
      </c>
      <c r="AA720" s="112" t="s">
        <v>11</v>
      </c>
      <c r="AB720" s="108" t="s">
        <v>289</v>
      </c>
      <c r="AC720" s="57" t="s">
        <v>54</v>
      </c>
    </row>
    <row r="721" spans="1:29" x14ac:dyDescent="0.25">
      <c r="A721" s="329">
        <v>45923</v>
      </c>
      <c r="B721" s="5">
        <v>6</v>
      </c>
      <c r="D721" s="5" t="s">
        <v>129</v>
      </c>
      <c r="E721" s="6">
        <v>1.8</v>
      </c>
      <c r="G721" s="362">
        <v>1</v>
      </c>
      <c r="H721" s="362">
        <v>4</v>
      </c>
      <c r="I721" s="8">
        <v>3.94</v>
      </c>
      <c r="L721" s="5" t="s">
        <v>226</v>
      </c>
      <c r="N721" s="345">
        <v>41</v>
      </c>
      <c r="O721" s="38" t="s">
        <v>226</v>
      </c>
      <c r="P721" s="5" t="s">
        <v>289</v>
      </c>
      <c r="Q721" s="5" t="s">
        <v>54</v>
      </c>
      <c r="R721" s="5" t="s">
        <v>685</v>
      </c>
      <c r="S721" s="479">
        <v>93</v>
      </c>
      <c r="T721" s="5" t="s">
        <v>41</v>
      </c>
      <c r="U721" s="5" t="s">
        <v>42</v>
      </c>
      <c r="V721" s="57" t="s">
        <v>10</v>
      </c>
      <c r="W721" s="51">
        <v>0.28000000000000003</v>
      </c>
      <c r="X721" s="357">
        <v>0.34</v>
      </c>
      <c r="Y721" s="351" t="s">
        <v>353</v>
      </c>
      <c r="Z721" s="5" t="s">
        <v>48</v>
      </c>
      <c r="AA721" s="112" t="s">
        <v>11</v>
      </c>
    </row>
    <row r="722" spans="1:29" x14ac:dyDescent="0.25">
      <c r="A722" s="329">
        <v>45923</v>
      </c>
      <c r="B722" s="5">
        <v>6</v>
      </c>
      <c r="D722" s="5" t="s">
        <v>129</v>
      </c>
      <c r="E722" s="6">
        <v>1.8</v>
      </c>
      <c r="G722" s="362">
        <v>1</v>
      </c>
      <c r="H722" s="362">
        <v>4</v>
      </c>
      <c r="I722" s="8">
        <v>3.94</v>
      </c>
      <c r="L722" s="5" t="s">
        <v>226</v>
      </c>
      <c r="N722" s="345">
        <v>41</v>
      </c>
      <c r="O722" s="38" t="s">
        <v>226</v>
      </c>
      <c r="P722" s="5" t="s">
        <v>236</v>
      </c>
      <c r="Q722" s="5" t="s">
        <v>237</v>
      </c>
      <c r="R722" s="5" t="s">
        <v>689</v>
      </c>
      <c r="S722" s="479">
        <v>77</v>
      </c>
      <c r="T722" s="5" t="s">
        <v>41</v>
      </c>
      <c r="U722" s="5" t="s">
        <v>43</v>
      </c>
      <c r="V722" s="57" t="s">
        <v>540</v>
      </c>
      <c r="W722" s="51">
        <v>0.11</v>
      </c>
      <c r="X722" s="357" t="s">
        <v>53</v>
      </c>
      <c r="Z722" s="5" t="s">
        <v>52</v>
      </c>
      <c r="AA722" s="112" t="s">
        <v>11</v>
      </c>
    </row>
    <row r="723" spans="1:29" x14ac:dyDescent="0.25">
      <c r="A723" s="329">
        <v>45923</v>
      </c>
      <c r="B723" s="5">
        <v>6</v>
      </c>
      <c r="D723" s="5" t="s">
        <v>129</v>
      </c>
      <c r="E723" s="6">
        <v>1.8</v>
      </c>
      <c r="G723" s="362">
        <v>1</v>
      </c>
      <c r="H723" s="362">
        <v>4</v>
      </c>
      <c r="I723" s="8">
        <v>3.94</v>
      </c>
      <c r="L723" s="5" t="s">
        <v>226</v>
      </c>
      <c r="N723" s="476">
        <v>54</v>
      </c>
      <c r="O723" s="477" t="s">
        <v>129</v>
      </c>
      <c r="P723" s="478" t="s">
        <v>104</v>
      </c>
      <c r="Q723" s="478" t="s">
        <v>105</v>
      </c>
      <c r="R723" s="478" t="s">
        <v>718</v>
      </c>
      <c r="S723" s="479">
        <v>70</v>
      </c>
      <c r="T723" s="478" t="s">
        <v>47</v>
      </c>
      <c r="U723" s="478" t="s">
        <v>45</v>
      </c>
      <c r="V723" s="480" t="s">
        <v>540</v>
      </c>
      <c r="W723" s="51">
        <v>0.78</v>
      </c>
      <c r="X723" s="357">
        <v>0.99</v>
      </c>
      <c r="Y723" s="351" t="s">
        <v>353</v>
      </c>
      <c r="Z723" s="5" t="s">
        <v>8</v>
      </c>
      <c r="AA723" s="112" t="s">
        <v>67</v>
      </c>
    </row>
    <row r="724" spans="1:29" x14ac:dyDescent="0.25">
      <c r="A724" s="329">
        <v>45923</v>
      </c>
      <c r="B724" s="5">
        <v>6</v>
      </c>
      <c r="D724" s="5" t="s">
        <v>129</v>
      </c>
      <c r="E724" s="6">
        <v>1.8</v>
      </c>
      <c r="G724" s="362">
        <v>1</v>
      </c>
      <c r="H724" s="362">
        <v>4</v>
      </c>
      <c r="I724" s="8">
        <v>3.94</v>
      </c>
      <c r="L724" s="5" t="s">
        <v>226</v>
      </c>
      <c r="N724" s="476">
        <v>57</v>
      </c>
      <c r="O724" s="477" t="s">
        <v>129</v>
      </c>
      <c r="P724" s="478" t="s">
        <v>46</v>
      </c>
      <c r="Q724" s="478" t="s">
        <v>201</v>
      </c>
      <c r="R724" s="478" t="s">
        <v>686</v>
      </c>
      <c r="S724" s="481">
        <v>56</v>
      </c>
      <c r="T724" s="478" t="s">
        <v>41</v>
      </c>
      <c r="U724" s="478" t="s">
        <v>45</v>
      </c>
      <c r="V724" s="480" t="s">
        <v>33</v>
      </c>
      <c r="W724" s="51">
        <v>0.11</v>
      </c>
      <c r="X724" s="357">
        <v>0.1</v>
      </c>
      <c r="Z724" s="5" t="s">
        <v>48</v>
      </c>
      <c r="AA724" s="112" t="s">
        <v>67</v>
      </c>
    </row>
    <row r="725" spans="1:29" x14ac:dyDescent="0.25">
      <c r="A725" s="329">
        <v>45923</v>
      </c>
      <c r="B725" s="5">
        <v>6</v>
      </c>
      <c r="D725" s="5" t="s">
        <v>129</v>
      </c>
      <c r="E725" s="6">
        <v>1.8</v>
      </c>
      <c r="G725" s="362">
        <v>1</v>
      </c>
      <c r="H725" s="362">
        <v>4</v>
      </c>
      <c r="I725" s="8">
        <v>3.94</v>
      </c>
      <c r="L725" s="5" t="s">
        <v>226</v>
      </c>
      <c r="N725" s="476">
        <v>62</v>
      </c>
      <c r="O725" s="477" t="s">
        <v>129</v>
      </c>
      <c r="P725" s="478" t="s">
        <v>46</v>
      </c>
      <c r="Q725" s="478" t="s">
        <v>201</v>
      </c>
      <c r="R725" s="478" t="s">
        <v>686</v>
      </c>
      <c r="S725" s="481">
        <v>56</v>
      </c>
      <c r="T725" s="478" t="s">
        <v>41</v>
      </c>
      <c r="U725" s="478" t="s">
        <v>43</v>
      </c>
      <c r="V725" s="480" t="s">
        <v>10</v>
      </c>
      <c r="W725" s="51">
        <v>0.1</v>
      </c>
      <c r="X725" s="357" t="s">
        <v>53</v>
      </c>
      <c r="Y725" s="38"/>
      <c r="Z725" s="5" t="s">
        <v>52</v>
      </c>
      <c r="AA725" s="112" t="s">
        <v>67</v>
      </c>
    </row>
    <row r="726" spans="1:29" x14ac:dyDescent="0.25">
      <c r="A726" s="329">
        <v>45923</v>
      </c>
      <c r="B726" s="5">
        <v>6</v>
      </c>
      <c r="D726" s="5" t="s">
        <v>129</v>
      </c>
      <c r="E726" s="6">
        <v>1.8</v>
      </c>
      <c r="G726" s="362">
        <v>1</v>
      </c>
      <c r="H726" s="362">
        <v>4</v>
      </c>
      <c r="I726" s="8">
        <v>3.94</v>
      </c>
      <c r="L726" s="5" t="s">
        <v>226</v>
      </c>
      <c r="N726" s="345">
        <v>64</v>
      </c>
      <c r="O726" s="38" t="s">
        <v>226</v>
      </c>
      <c r="P726" s="5" t="s">
        <v>231</v>
      </c>
      <c r="Q726" s="5" t="s">
        <v>232</v>
      </c>
      <c r="R726" s="5" t="s">
        <v>684</v>
      </c>
      <c r="S726" s="479">
        <v>89</v>
      </c>
      <c r="T726" s="5" t="s">
        <v>41</v>
      </c>
      <c r="U726" s="5" t="s">
        <v>42</v>
      </c>
      <c r="V726" s="57" t="s">
        <v>7</v>
      </c>
      <c r="W726" s="51">
        <v>0.79</v>
      </c>
      <c r="X726" s="357">
        <v>0.94</v>
      </c>
      <c r="Y726" s="351" t="s">
        <v>353</v>
      </c>
      <c r="Z726" s="5" t="s">
        <v>8</v>
      </c>
      <c r="AA726" s="112" t="s">
        <v>58</v>
      </c>
    </row>
    <row r="727" spans="1:29" x14ac:dyDescent="0.25">
      <c r="A727" s="329">
        <v>45923</v>
      </c>
      <c r="B727" s="5">
        <v>6</v>
      </c>
      <c r="D727" s="5" t="s">
        <v>129</v>
      </c>
      <c r="E727" s="6">
        <v>1.8</v>
      </c>
      <c r="G727" s="362">
        <v>1</v>
      </c>
      <c r="H727" s="362">
        <v>4</v>
      </c>
      <c r="I727" s="8">
        <v>3.94</v>
      </c>
      <c r="L727" s="5" t="s">
        <v>226</v>
      </c>
      <c r="N727" s="345">
        <v>66</v>
      </c>
      <c r="O727" s="38" t="s">
        <v>226</v>
      </c>
      <c r="P727" s="5" t="s">
        <v>231</v>
      </c>
      <c r="Q727" s="5" t="s">
        <v>232</v>
      </c>
      <c r="R727" s="5" t="s">
        <v>684</v>
      </c>
      <c r="S727" s="7">
        <v>89</v>
      </c>
      <c r="T727" s="5" t="s">
        <v>41</v>
      </c>
      <c r="U727" s="5" t="s">
        <v>42</v>
      </c>
      <c r="V727" s="57" t="s">
        <v>10</v>
      </c>
      <c r="W727" s="51">
        <v>0.83</v>
      </c>
      <c r="X727" s="357">
        <v>0.87</v>
      </c>
      <c r="Y727" s="351" t="s">
        <v>353</v>
      </c>
      <c r="Z727" s="5" t="s">
        <v>8</v>
      </c>
      <c r="AA727" s="112" t="s">
        <v>485</v>
      </c>
      <c r="AB727" s="108" t="s">
        <v>56</v>
      </c>
      <c r="AC727" s="57" t="s">
        <v>235</v>
      </c>
    </row>
    <row r="728" spans="1:29" x14ac:dyDescent="0.25">
      <c r="A728" s="329">
        <v>45923</v>
      </c>
      <c r="B728" s="5">
        <v>6</v>
      </c>
      <c r="D728" s="5" t="s">
        <v>129</v>
      </c>
      <c r="E728" s="6">
        <v>1.8</v>
      </c>
      <c r="G728" s="362">
        <v>1</v>
      </c>
      <c r="H728" s="362">
        <v>4</v>
      </c>
      <c r="I728" s="8">
        <v>3.94</v>
      </c>
      <c r="L728" s="5" t="s">
        <v>226</v>
      </c>
      <c r="N728" s="345">
        <v>79</v>
      </c>
      <c r="O728" s="38" t="s">
        <v>226</v>
      </c>
      <c r="P728" s="5" t="s">
        <v>486</v>
      </c>
      <c r="Q728" s="5" t="s">
        <v>487</v>
      </c>
      <c r="R728" s="5" t="s">
        <v>696</v>
      </c>
      <c r="S728" s="479">
        <v>61</v>
      </c>
      <c r="T728" s="5" t="s">
        <v>41</v>
      </c>
      <c r="U728" s="5" t="s">
        <v>43</v>
      </c>
      <c r="V728" s="57" t="s">
        <v>10</v>
      </c>
      <c r="W728" s="51">
        <v>0.25</v>
      </c>
      <c r="X728" s="357" t="s">
        <v>53</v>
      </c>
      <c r="Y728" s="351" t="s">
        <v>353</v>
      </c>
      <c r="Z728" s="5" t="s">
        <v>13</v>
      </c>
      <c r="AA728" s="112" t="s">
        <v>485</v>
      </c>
    </row>
    <row r="729" spans="1:29" x14ac:dyDescent="0.25">
      <c r="A729" s="329">
        <v>45923</v>
      </c>
      <c r="B729" s="5">
        <v>6</v>
      </c>
      <c r="D729" s="5" t="s">
        <v>129</v>
      </c>
      <c r="E729" s="6">
        <v>1.8</v>
      </c>
      <c r="G729" s="362">
        <v>1</v>
      </c>
      <c r="H729" s="362">
        <v>4</v>
      </c>
      <c r="I729" s="8">
        <v>3.94</v>
      </c>
      <c r="L729" s="5" t="s">
        <v>226</v>
      </c>
      <c r="N729" s="345" t="s">
        <v>35</v>
      </c>
      <c r="O729" s="38" t="s">
        <v>226</v>
      </c>
      <c r="P729" s="5" t="s">
        <v>289</v>
      </c>
      <c r="Q729" s="5" t="s">
        <v>54</v>
      </c>
      <c r="R729" s="5" t="s">
        <v>685</v>
      </c>
      <c r="S729" s="7">
        <v>93</v>
      </c>
      <c r="T729" s="5" t="s">
        <v>41</v>
      </c>
      <c r="U729" s="5" t="s">
        <v>42</v>
      </c>
      <c r="V729" s="57" t="s">
        <v>10</v>
      </c>
      <c r="W729" s="51">
        <v>0.34</v>
      </c>
      <c r="X729" s="357">
        <v>0.53</v>
      </c>
      <c r="Y729" s="351" t="s">
        <v>353</v>
      </c>
      <c r="Z729" s="5" t="s">
        <v>48</v>
      </c>
      <c r="AA729" s="112" t="s">
        <v>485</v>
      </c>
    </row>
    <row r="730" spans="1:29" ht="15.75" thickBot="1" x14ac:dyDescent="0.3">
      <c r="A730" s="330">
        <v>45923</v>
      </c>
      <c r="B730" s="9">
        <v>6</v>
      </c>
      <c r="C730" s="122"/>
      <c r="D730" s="9" t="s">
        <v>129</v>
      </c>
      <c r="E730" s="10">
        <v>1.8</v>
      </c>
      <c r="F730" s="10"/>
      <c r="G730" s="383">
        <v>1</v>
      </c>
      <c r="H730" s="383">
        <v>4</v>
      </c>
      <c r="I730" s="12">
        <v>3.94</v>
      </c>
      <c r="J730" s="12"/>
      <c r="K730" s="122"/>
      <c r="L730" s="9" t="s">
        <v>226</v>
      </c>
      <c r="M730" s="45"/>
      <c r="N730" s="346" t="s">
        <v>36</v>
      </c>
      <c r="O730" s="454" t="s">
        <v>226</v>
      </c>
      <c r="P730" s="9" t="s">
        <v>53</v>
      </c>
      <c r="Q730" s="9" t="s">
        <v>286</v>
      </c>
      <c r="R730" s="9" t="s">
        <v>696</v>
      </c>
      <c r="S730" s="479">
        <v>63</v>
      </c>
      <c r="T730" s="9" t="s">
        <v>41</v>
      </c>
      <c r="U730" s="9" t="s">
        <v>42</v>
      </c>
      <c r="V730" s="58" t="s">
        <v>10</v>
      </c>
      <c r="W730" s="52">
        <v>0.1</v>
      </c>
      <c r="X730" s="358" t="s">
        <v>53</v>
      </c>
      <c r="Y730" s="352"/>
      <c r="Z730" s="9" t="s">
        <v>13</v>
      </c>
      <c r="AA730" s="113" t="s">
        <v>485</v>
      </c>
      <c r="AB730" s="109"/>
      <c r="AC730" s="58"/>
    </row>
    <row r="731" spans="1:29" ht="15.75" thickBot="1" x14ac:dyDescent="0.3">
      <c r="A731" s="326">
        <v>45923</v>
      </c>
      <c r="B731" s="207">
        <v>6</v>
      </c>
      <c r="C731" s="208"/>
      <c r="D731" s="207" t="s">
        <v>129</v>
      </c>
      <c r="E731" s="209">
        <v>1.8</v>
      </c>
      <c r="F731" s="209"/>
      <c r="G731" s="460">
        <v>1</v>
      </c>
      <c r="H731" s="460">
        <v>4</v>
      </c>
      <c r="I731" s="211">
        <v>3.94</v>
      </c>
      <c r="J731" s="211"/>
      <c r="K731" s="208"/>
      <c r="L731" s="207" t="s">
        <v>226</v>
      </c>
      <c r="M731" s="235"/>
      <c r="N731" s="347"/>
      <c r="O731" s="343" t="s">
        <v>129</v>
      </c>
      <c r="P731" s="199" t="s">
        <v>731</v>
      </c>
      <c r="Q731" s="199" t="s">
        <v>732</v>
      </c>
      <c r="R731" s="199" t="s">
        <v>707</v>
      </c>
      <c r="S731" s="479">
        <v>65</v>
      </c>
      <c r="T731" s="199"/>
      <c r="U731" s="199"/>
      <c r="V731" s="201"/>
      <c r="W731" s="202"/>
      <c r="X731" s="359"/>
      <c r="Y731" s="353">
        <f>H731</f>
        <v>4</v>
      </c>
      <c r="Z731" s="199"/>
      <c r="AA731" s="204"/>
      <c r="AB731" s="205"/>
      <c r="AC731" s="201"/>
    </row>
    <row r="732" spans="1:29" ht="15.75" thickBot="1" x14ac:dyDescent="0.3">
      <c r="A732" s="326">
        <v>45923</v>
      </c>
      <c r="B732" s="207">
        <v>6</v>
      </c>
      <c r="C732" s="208"/>
      <c r="D732" s="207" t="s">
        <v>129</v>
      </c>
      <c r="E732" s="209">
        <v>1.8</v>
      </c>
      <c r="F732" s="209"/>
      <c r="G732" s="460">
        <v>1</v>
      </c>
      <c r="H732" s="460">
        <v>4</v>
      </c>
      <c r="I732" s="211">
        <v>3.94</v>
      </c>
      <c r="J732" s="211"/>
      <c r="K732" s="208"/>
      <c r="L732" s="207" t="s">
        <v>226</v>
      </c>
      <c r="M732" s="235"/>
      <c r="N732" s="347"/>
      <c r="O732" s="343" t="s">
        <v>226</v>
      </c>
      <c r="P732" s="199" t="s">
        <v>726</v>
      </c>
      <c r="Q732" s="199" t="s">
        <v>727</v>
      </c>
      <c r="R732" s="199" t="s">
        <v>707</v>
      </c>
      <c r="S732" s="479">
        <v>62</v>
      </c>
      <c r="T732" s="199"/>
      <c r="U732" s="199"/>
      <c r="V732" s="201"/>
      <c r="W732" s="202"/>
      <c r="X732" s="359"/>
      <c r="Y732" s="353">
        <f>G731</f>
        <v>1</v>
      </c>
      <c r="Z732" s="199"/>
      <c r="AA732" s="204"/>
      <c r="AB732" s="205"/>
      <c r="AC732" s="201"/>
    </row>
    <row r="733" spans="1:29" x14ac:dyDescent="0.25">
      <c r="A733" s="331">
        <v>45923</v>
      </c>
      <c r="B733" s="13">
        <v>6</v>
      </c>
      <c r="C733" s="124" t="s">
        <v>700</v>
      </c>
      <c r="D733" s="13" t="s">
        <v>171</v>
      </c>
      <c r="E733" s="14">
        <v>0.97</v>
      </c>
      <c r="F733" s="14"/>
      <c r="G733" s="375">
        <v>1</v>
      </c>
      <c r="H733" s="375">
        <v>2</v>
      </c>
      <c r="I733" s="16">
        <v>1.92</v>
      </c>
      <c r="J733" s="16"/>
      <c r="K733" s="124" t="s">
        <v>692</v>
      </c>
      <c r="L733" s="13" t="s">
        <v>91</v>
      </c>
      <c r="M733" s="47"/>
      <c r="N733" s="556">
        <v>11</v>
      </c>
      <c r="O733" s="557" t="s">
        <v>171</v>
      </c>
      <c r="P733" s="558" t="s">
        <v>196</v>
      </c>
      <c r="Q733" s="558" t="s">
        <v>488</v>
      </c>
      <c r="R733" s="558" t="s">
        <v>712</v>
      </c>
      <c r="S733" s="479">
        <v>67</v>
      </c>
      <c r="T733" s="558" t="s">
        <v>41</v>
      </c>
      <c r="U733" s="558" t="s">
        <v>45</v>
      </c>
      <c r="V733" s="559" t="s">
        <v>29</v>
      </c>
      <c r="W733" s="54">
        <v>0.02</v>
      </c>
      <c r="X733" s="361" t="s">
        <v>53</v>
      </c>
      <c r="Y733" s="355"/>
      <c r="Z733" s="13" t="s">
        <v>22</v>
      </c>
      <c r="AA733" s="115" t="s">
        <v>28</v>
      </c>
      <c r="AB733" s="110"/>
      <c r="AC733" s="60"/>
    </row>
    <row r="734" spans="1:29" x14ac:dyDescent="0.25">
      <c r="A734" s="329">
        <v>45923</v>
      </c>
      <c r="B734" s="5">
        <v>6</v>
      </c>
      <c r="D734" s="5" t="s">
        <v>171</v>
      </c>
      <c r="E734" s="6">
        <v>0.97</v>
      </c>
      <c r="G734" s="362">
        <v>1</v>
      </c>
      <c r="H734" s="362">
        <v>2</v>
      </c>
      <c r="I734" s="8">
        <v>1.92</v>
      </c>
      <c r="L734" s="5" t="s">
        <v>91</v>
      </c>
      <c r="N734" s="345">
        <v>12</v>
      </c>
      <c r="O734" s="38" t="s">
        <v>91</v>
      </c>
      <c r="P734" s="5" t="s">
        <v>448</v>
      </c>
      <c r="Q734" s="5" t="s">
        <v>449</v>
      </c>
      <c r="R734" s="5" t="s">
        <v>684</v>
      </c>
      <c r="S734" s="479">
        <v>72</v>
      </c>
      <c r="T734" s="5" t="s">
        <v>41</v>
      </c>
      <c r="U734" s="5" t="s">
        <v>43</v>
      </c>
      <c r="V734" s="57" t="s">
        <v>540</v>
      </c>
      <c r="W734" s="51">
        <v>0.28000000000000003</v>
      </c>
      <c r="X734" s="357">
        <v>0.51</v>
      </c>
      <c r="Y734" s="351" t="s">
        <v>353</v>
      </c>
      <c r="Z734" s="5" t="s">
        <v>48</v>
      </c>
      <c r="AA734" s="112" t="s">
        <v>28</v>
      </c>
    </row>
    <row r="735" spans="1:29" x14ac:dyDescent="0.25">
      <c r="A735" s="329">
        <v>45923</v>
      </c>
      <c r="B735" s="5">
        <v>6</v>
      </c>
      <c r="D735" s="5" t="s">
        <v>171</v>
      </c>
      <c r="E735" s="6">
        <v>0.97</v>
      </c>
      <c r="G735" s="362">
        <v>1</v>
      </c>
      <c r="H735" s="362">
        <v>2</v>
      </c>
      <c r="I735" s="8">
        <v>1.92</v>
      </c>
      <c r="L735" s="5" t="s">
        <v>91</v>
      </c>
      <c r="N735" s="345">
        <v>17</v>
      </c>
      <c r="O735" s="38" t="s">
        <v>91</v>
      </c>
      <c r="P735" s="5" t="s">
        <v>448</v>
      </c>
      <c r="Q735" s="5" t="s">
        <v>449</v>
      </c>
      <c r="R735" s="5" t="s">
        <v>684</v>
      </c>
      <c r="S735" s="7">
        <v>72</v>
      </c>
      <c r="T735" s="5" t="s">
        <v>41</v>
      </c>
      <c r="U735" s="5" t="s">
        <v>42</v>
      </c>
      <c r="V735" s="57" t="s">
        <v>10</v>
      </c>
      <c r="W735" s="51">
        <v>0.39</v>
      </c>
      <c r="X735" s="357">
        <v>0.62</v>
      </c>
      <c r="Y735" s="351" t="s">
        <v>353</v>
      </c>
      <c r="Z735" s="5" t="s">
        <v>8</v>
      </c>
      <c r="AA735" s="112" t="s">
        <v>9</v>
      </c>
      <c r="AB735" s="108" t="s">
        <v>100</v>
      </c>
      <c r="AC735" s="57" t="s">
        <v>101</v>
      </c>
    </row>
    <row r="736" spans="1:29" x14ac:dyDescent="0.25">
      <c r="A736" s="329">
        <v>45923</v>
      </c>
      <c r="B736" s="5">
        <v>6</v>
      </c>
      <c r="D736" s="5" t="s">
        <v>171</v>
      </c>
      <c r="E736" s="6">
        <v>0.97</v>
      </c>
      <c r="G736" s="362">
        <v>1</v>
      </c>
      <c r="H736" s="362">
        <v>2</v>
      </c>
      <c r="I736" s="8">
        <v>1.92</v>
      </c>
      <c r="L736" s="5" t="s">
        <v>91</v>
      </c>
      <c r="N736" s="345">
        <v>19</v>
      </c>
      <c r="O736" s="38" t="s">
        <v>91</v>
      </c>
      <c r="P736" s="5" t="s">
        <v>493</v>
      </c>
      <c r="Q736" s="5" t="s">
        <v>494</v>
      </c>
      <c r="R736" s="5" t="s">
        <v>689</v>
      </c>
      <c r="S736" s="7">
        <v>72</v>
      </c>
      <c r="T736" s="5" t="s">
        <v>41</v>
      </c>
      <c r="U736" s="5" t="s">
        <v>42</v>
      </c>
      <c r="V736" s="57" t="s">
        <v>29</v>
      </c>
      <c r="W736" s="51">
        <v>7.0000000000000007E-2</v>
      </c>
      <c r="X736" s="357" t="s">
        <v>53</v>
      </c>
      <c r="Z736" s="5" t="s">
        <v>22</v>
      </c>
      <c r="AA736" s="112" t="s">
        <v>9</v>
      </c>
    </row>
    <row r="737" spans="1:29" x14ac:dyDescent="0.25">
      <c r="A737" s="329">
        <v>45923</v>
      </c>
      <c r="B737" s="5">
        <v>6</v>
      </c>
      <c r="D737" s="5" t="s">
        <v>171</v>
      </c>
      <c r="E737" s="6">
        <v>0.97</v>
      </c>
      <c r="G737" s="362">
        <v>1</v>
      </c>
      <c r="H737" s="362">
        <v>2</v>
      </c>
      <c r="I737" s="8">
        <v>1.92</v>
      </c>
      <c r="L737" s="5" t="s">
        <v>91</v>
      </c>
      <c r="N737" s="476">
        <v>22</v>
      </c>
      <c r="O737" s="477" t="s">
        <v>171</v>
      </c>
      <c r="P737" s="478" t="s">
        <v>300</v>
      </c>
      <c r="Q737" s="478" t="s">
        <v>21</v>
      </c>
      <c r="R737" s="478" t="s">
        <v>689</v>
      </c>
      <c r="S737" s="479">
        <v>70</v>
      </c>
      <c r="T737" s="478" t="s">
        <v>41</v>
      </c>
      <c r="U737" s="478" t="s">
        <v>42</v>
      </c>
      <c r="V737" s="480" t="s">
        <v>10</v>
      </c>
      <c r="W737" s="51">
        <v>0.11</v>
      </c>
      <c r="X737" s="357" t="s">
        <v>53</v>
      </c>
      <c r="Z737" s="5" t="s">
        <v>52</v>
      </c>
      <c r="AA737" s="112" t="s">
        <v>9</v>
      </c>
    </row>
    <row r="738" spans="1:29" x14ac:dyDescent="0.25">
      <c r="A738" s="329">
        <v>45923</v>
      </c>
      <c r="B738" s="5">
        <v>6</v>
      </c>
      <c r="D738" s="5" t="s">
        <v>171</v>
      </c>
      <c r="E738" s="6">
        <v>0.97</v>
      </c>
      <c r="G738" s="362">
        <v>1</v>
      </c>
      <c r="H738" s="362">
        <v>2</v>
      </c>
      <c r="I738" s="8">
        <v>1.92</v>
      </c>
      <c r="L738" s="5" t="s">
        <v>91</v>
      </c>
      <c r="N738" s="345">
        <v>26</v>
      </c>
      <c r="O738" s="38" t="s">
        <v>91</v>
      </c>
      <c r="P738" s="5" t="s">
        <v>332</v>
      </c>
      <c r="Q738" s="5" t="s">
        <v>333</v>
      </c>
      <c r="R738" s="5" t="s">
        <v>685</v>
      </c>
      <c r="S738" s="479">
        <v>68</v>
      </c>
      <c r="T738" s="5" t="s">
        <v>41</v>
      </c>
      <c r="U738" s="5" t="s">
        <v>42</v>
      </c>
      <c r="V738" s="57" t="s">
        <v>10</v>
      </c>
      <c r="W738" s="51">
        <v>0.17</v>
      </c>
      <c r="X738" s="357" t="s">
        <v>53</v>
      </c>
      <c r="Z738" s="5" t="s">
        <v>55</v>
      </c>
      <c r="AA738" s="112" t="s">
        <v>9</v>
      </c>
    </row>
    <row r="739" spans="1:29" x14ac:dyDescent="0.25">
      <c r="A739" s="329">
        <v>45923</v>
      </c>
      <c r="B739" s="5">
        <v>6</v>
      </c>
      <c r="D739" s="5" t="s">
        <v>171</v>
      </c>
      <c r="E739" s="6">
        <v>0.97</v>
      </c>
      <c r="G739" s="362">
        <v>1</v>
      </c>
      <c r="H739" s="362">
        <v>2</v>
      </c>
      <c r="I739" s="8">
        <v>1.92</v>
      </c>
      <c r="L739" s="5" t="s">
        <v>91</v>
      </c>
      <c r="N739" s="345">
        <v>27</v>
      </c>
      <c r="O739" s="38" t="s">
        <v>91</v>
      </c>
      <c r="P739" s="5" t="s">
        <v>448</v>
      </c>
      <c r="Q739" s="5" t="s">
        <v>449</v>
      </c>
      <c r="R739" s="5" t="s">
        <v>684</v>
      </c>
      <c r="S739" s="7">
        <v>72</v>
      </c>
      <c r="T739" s="5" t="s">
        <v>41</v>
      </c>
      <c r="U739" s="5" t="s">
        <v>43</v>
      </c>
      <c r="V739" s="57" t="s">
        <v>18</v>
      </c>
      <c r="W739" s="51">
        <v>0.12</v>
      </c>
      <c r="X739" s="357" t="s">
        <v>53</v>
      </c>
      <c r="Y739" s="351" t="s">
        <v>353</v>
      </c>
      <c r="Z739" s="5" t="s">
        <v>55</v>
      </c>
      <c r="AA739" s="112" t="s">
        <v>9</v>
      </c>
    </row>
    <row r="740" spans="1:29" x14ac:dyDescent="0.25">
      <c r="A740" s="329">
        <v>45923</v>
      </c>
      <c r="B740" s="5">
        <v>6</v>
      </c>
      <c r="D740" s="5" t="s">
        <v>171</v>
      </c>
      <c r="E740" s="6">
        <v>0.97</v>
      </c>
      <c r="G740" s="362">
        <v>1</v>
      </c>
      <c r="H740" s="362">
        <v>2</v>
      </c>
      <c r="I740" s="8">
        <v>1.92</v>
      </c>
      <c r="L740" s="5" t="s">
        <v>91</v>
      </c>
      <c r="N740" s="476">
        <v>30</v>
      </c>
      <c r="O740" s="477" t="s">
        <v>171</v>
      </c>
      <c r="P740" s="478" t="s">
        <v>181</v>
      </c>
      <c r="Q740" s="478" t="s">
        <v>182</v>
      </c>
      <c r="R740" s="478" t="s">
        <v>684</v>
      </c>
      <c r="S740" s="479">
        <v>62</v>
      </c>
      <c r="T740" s="478" t="s">
        <v>41</v>
      </c>
      <c r="U740" s="478" t="s">
        <v>45</v>
      </c>
      <c r="V740" s="480" t="s">
        <v>10</v>
      </c>
      <c r="W740" s="51">
        <v>0.16</v>
      </c>
      <c r="X740" s="357" t="s">
        <v>53</v>
      </c>
      <c r="Y740" s="351" t="s">
        <v>353</v>
      </c>
      <c r="Z740" s="5" t="s">
        <v>13</v>
      </c>
      <c r="AA740" s="112" t="s">
        <v>9</v>
      </c>
    </row>
    <row r="741" spans="1:29" x14ac:dyDescent="0.25">
      <c r="A741" s="329">
        <v>45923</v>
      </c>
      <c r="B741" s="5">
        <v>6</v>
      </c>
      <c r="D741" s="5" t="s">
        <v>171</v>
      </c>
      <c r="E741" s="6">
        <v>0.97</v>
      </c>
      <c r="G741" s="362">
        <v>1</v>
      </c>
      <c r="H741" s="362">
        <v>2</v>
      </c>
      <c r="I741" s="8">
        <v>1.92</v>
      </c>
      <c r="L741" s="5" t="s">
        <v>91</v>
      </c>
      <c r="N741" s="476">
        <v>51</v>
      </c>
      <c r="O741" s="477" t="s">
        <v>171</v>
      </c>
      <c r="P741" s="478" t="s">
        <v>489</v>
      </c>
      <c r="Q741" s="478" t="s">
        <v>490</v>
      </c>
      <c r="R741" s="478" t="s">
        <v>695</v>
      </c>
      <c r="S741" s="479">
        <v>74</v>
      </c>
      <c r="T741" s="478" t="s">
        <v>41</v>
      </c>
      <c r="U741" s="478" t="s">
        <v>43</v>
      </c>
      <c r="V741" s="480" t="s">
        <v>540</v>
      </c>
      <c r="W741" s="51">
        <v>7.0000000000000007E-2</v>
      </c>
      <c r="X741" s="357">
        <v>0.34</v>
      </c>
      <c r="Z741" s="5" t="s">
        <v>8</v>
      </c>
      <c r="AA741" s="112" t="s">
        <v>51</v>
      </c>
    </row>
    <row r="742" spans="1:29" x14ac:dyDescent="0.25">
      <c r="A742" s="329">
        <v>45923</v>
      </c>
      <c r="B742" s="5">
        <v>6</v>
      </c>
      <c r="D742" s="5" t="s">
        <v>171</v>
      </c>
      <c r="E742" s="6">
        <v>0.97</v>
      </c>
      <c r="G742" s="362">
        <v>1</v>
      </c>
      <c r="H742" s="362">
        <v>2</v>
      </c>
      <c r="I742" s="8">
        <v>1.92</v>
      </c>
      <c r="L742" s="5" t="s">
        <v>91</v>
      </c>
      <c r="N742" s="476">
        <v>63</v>
      </c>
      <c r="O742" s="477" t="s">
        <v>171</v>
      </c>
      <c r="P742" s="478" t="s">
        <v>181</v>
      </c>
      <c r="Q742" s="478" t="s">
        <v>182</v>
      </c>
      <c r="R742" s="478" t="s">
        <v>684</v>
      </c>
      <c r="S742" s="479">
        <v>62</v>
      </c>
      <c r="T742" s="478" t="s">
        <v>41</v>
      </c>
      <c r="U742" s="478" t="s">
        <v>42</v>
      </c>
      <c r="V742" s="480" t="s">
        <v>10</v>
      </c>
      <c r="W742" s="51">
        <v>0.13</v>
      </c>
      <c r="X742" s="357" t="s">
        <v>53</v>
      </c>
      <c r="Z742" s="5" t="s">
        <v>52</v>
      </c>
      <c r="AA742" s="112" t="s">
        <v>51</v>
      </c>
    </row>
    <row r="743" spans="1:29" x14ac:dyDescent="0.25">
      <c r="A743" s="329">
        <v>45923</v>
      </c>
      <c r="B743" s="5">
        <v>6</v>
      </c>
      <c r="D743" s="5" t="s">
        <v>171</v>
      </c>
      <c r="E743" s="6">
        <v>0.97</v>
      </c>
      <c r="G743" s="362">
        <v>1</v>
      </c>
      <c r="H743" s="362">
        <v>2</v>
      </c>
      <c r="I743" s="8">
        <v>1.92</v>
      </c>
      <c r="L743" s="5" t="s">
        <v>91</v>
      </c>
      <c r="N743" s="345">
        <v>75</v>
      </c>
      <c r="O743" s="38" t="s">
        <v>91</v>
      </c>
      <c r="P743" s="5" t="s">
        <v>96</v>
      </c>
      <c r="Q743" s="5" t="s">
        <v>97</v>
      </c>
      <c r="R743" s="5" t="s">
        <v>696</v>
      </c>
      <c r="S743" s="479">
        <v>64</v>
      </c>
      <c r="T743" s="5" t="s">
        <v>41</v>
      </c>
      <c r="U743" s="5" t="s">
        <v>43</v>
      </c>
      <c r="V743" s="57" t="s">
        <v>18</v>
      </c>
      <c r="W743" s="51">
        <v>0.36</v>
      </c>
      <c r="X743" s="357">
        <v>0.33</v>
      </c>
      <c r="Y743" s="351" t="s">
        <v>353</v>
      </c>
      <c r="Z743" s="5" t="s">
        <v>48</v>
      </c>
      <c r="AA743" s="112" t="s">
        <v>51</v>
      </c>
    </row>
    <row r="744" spans="1:29" x14ac:dyDescent="0.25">
      <c r="A744" s="329">
        <v>45923</v>
      </c>
      <c r="B744" s="5">
        <v>6</v>
      </c>
      <c r="D744" s="5" t="s">
        <v>171</v>
      </c>
      <c r="E744" s="6">
        <v>0.97</v>
      </c>
      <c r="G744" s="362">
        <v>1</v>
      </c>
      <c r="H744" s="362">
        <v>2</v>
      </c>
      <c r="I744" s="8">
        <v>1.92</v>
      </c>
      <c r="L744" s="5" t="s">
        <v>91</v>
      </c>
      <c r="N744" s="345">
        <v>86</v>
      </c>
      <c r="O744" s="38" t="s">
        <v>91</v>
      </c>
      <c r="P744" s="5" t="s">
        <v>495</v>
      </c>
      <c r="Q744" s="5" t="s">
        <v>496</v>
      </c>
      <c r="R744" s="5" t="s">
        <v>696</v>
      </c>
      <c r="S744" s="479">
        <v>68</v>
      </c>
      <c r="T744" s="5" t="s">
        <v>41</v>
      </c>
      <c r="U744" s="5" t="s">
        <v>43</v>
      </c>
      <c r="V744" s="57" t="s">
        <v>18</v>
      </c>
      <c r="W744" s="51">
        <v>0.39</v>
      </c>
      <c r="X744" s="357">
        <v>0.24</v>
      </c>
      <c r="Y744" s="351" t="s">
        <v>353</v>
      </c>
      <c r="Z744" s="5" t="s">
        <v>8</v>
      </c>
      <c r="AA744" s="112" t="s">
        <v>67</v>
      </c>
      <c r="AB744" s="108" t="s">
        <v>443</v>
      </c>
      <c r="AC744" s="57" t="s">
        <v>444</v>
      </c>
    </row>
    <row r="745" spans="1:29" ht="15.75" thickBot="1" x14ac:dyDescent="0.3">
      <c r="A745" s="330">
        <v>45923</v>
      </c>
      <c r="B745" s="9">
        <v>6</v>
      </c>
      <c r="C745" s="122"/>
      <c r="D745" s="9" t="s">
        <v>171</v>
      </c>
      <c r="E745" s="10">
        <v>0.97</v>
      </c>
      <c r="F745" s="10"/>
      <c r="G745" s="383">
        <v>1</v>
      </c>
      <c r="H745" s="383">
        <v>2</v>
      </c>
      <c r="I745" s="12">
        <v>1.92</v>
      </c>
      <c r="J745" s="12"/>
      <c r="K745" s="122"/>
      <c r="L745" s="9" t="s">
        <v>91</v>
      </c>
      <c r="M745" s="45"/>
      <c r="N745" s="511" t="s">
        <v>31</v>
      </c>
      <c r="O745" s="512" t="s">
        <v>171</v>
      </c>
      <c r="P745" s="513" t="s">
        <v>491</v>
      </c>
      <c r="Q745" s="513" t="s">
        <v>492</v>
      </c>
      <c r="R745" s="513" t="s">
        <v>696</v>
      </c>
      <c r="S745" s="481">
        <v>64</v>
      </c>
      <c r="T745" s="513" t="s">
        <v>44</v>
      </c>
      <c r="U745" s="513" t="s">
        <v>43</v>
      </c>
      <c r="V745" s="514" t="s">
        <v>10</v>
      </c>
      <c r="W745" s="52">
        <v>0.05</v>
      </c>
      <c r="X745" s="358">
        <v>0.11</v>
      </c>
      <c r="Y745" s="352"/>
      <c r="Z745" s="9" t="s">
        <v>48</v>
      </c>
      <c r="AA745" s="113" t="s">
        <v>67</v>
      </c>
      <c r="AB745" s="109"/>
      <c r="AC745" s="58"/>
    </row>
    <row r="746" spans="1:29" ht="15.75" thickBot="1" x14ac:dyDescent="0.3">
      <c r="A746" s="326">
        <v>45923</v>
      </c>
      <c r="B746" s="207">
        <v>6</v>
      </c>
      <c r="C746" s="208"/>
      <c r="D746" s="207" t="s">
        <v>171</v>
      </c>
      <c r="E746" s="209">
        <v>0.97</v>
      </c>
      <c r="F746" s="209"/>
      <c r="G746" s="460">
        <v>1</v>
      </c>
      <c r="H746" s="460">
        <v>2</v>
      </c>
      <c r="I746" s="211">
        <v>1.92</v>
      </c>
      <c r="J746" s="211"/>
      <c r="K746" s="208"/>
      <c r="L746" s="207" t="s">
        <v>91</v>
      </c>
      <c r="M746" s="235"/>
      <c r="N746" s="347"/>
      <c r="O746" s="343" t="s">
        <v>171</v>
      </c>
      <c r="P746" s="199" t="s">
        <v>524</v>
      </c>
      <c r="Q746" s="199" t="s">
        <v>525</v>
      </c>
      <c r="R746" s="199" t="s">
        <v>707</v>
      </c>
      <c r="S746" s="481">
        <v>62</v>
      </c>
      <c r="T746" s="199"/>
      <c r="U746" s="199"/>
      <c r="V746" s="201"/>
      <c r="W746" s="202"/>
      <c r="X746" s="359"/>
      <c r="Y746" s="353">
        <f>H746</f>
        <v>2</v>
      </c>
      <c r="Z746" s="199"/>
      <c r="AA746" s="204"/>
      <c r="AB746" s="205"/>
      <c r="AC746" s="201"/>
    </row>
    <row r="747" spans="1:29" ht="15.75" thickBot="1" x14ac:dyDescent="0.3">
      <c r="A747" s="326">
        <v>45923</v>
      </c>
      <c r="B747" s="207">
        <v>6</v>
      </c>
      <c r="C747" s="208"/>
      <c r="D747" s="207" t="s">
        <v>171</v>
      </c>
      <c r="E747" s="209">
        <v>0.97</v>
      </c>
      <c r="F747" s="209"/>
      <c r="G747" s="460">
        <v>1</v>
      </c>
      <c r="H747" s="460">
        <v>2</v>
      </c>
      <c r="I747" s="211">
        <v>1.92</v>
      </c>
      <c r="J747" s="211"/>
      <c r="K747" s="208"/>
      <c r="L747" s="207" t="s">
        <v>91</v>
      </c>
      <c r="M747" s="235"/>
      <c r="N747" s="347"/>
      <c r="O747" s="343" t="s">
        <v>91</v>
      </c>
      <c r="P747" s="199" t="s">
        <v>271</v>
      </c>
      <c r="Q747" s="199" t="s">
        <v>737</v>
      </c>
      <c r="R747" s="199" t="s">
        <v>707</v>
      </c>
      <c r="S747" s="7">
        <v>62</v>
      </c>
      <c r="T747" s="199"/>
      <c r="U747" s="199"/>
      <c r="V747" s="201"/>
      <c r="W747" s="202"/>
      <c r="X747" s="359"/>
      <c r="Y747" s="353">
        <f>G746</f>
        <v>1</v>
      </c>
      <c r="Z747" s="199"/>
      <c r="AA747" s="204"/>
      <c r="AB747" s="205"/>
      <c r="AC747" s="201"/>
    </row>
    <row r="748" spans="1:29" x14ac:dyDescent="0.25">
      <c r="A748" s="331">
        <v>45924</v>
      </c>
      <c r="B748" s="13">
        <v>6</v>
      </c>
      <c r="C748" s="124" t="s">
        <v>708</v>
      </c>
      <c r="D748" s="13" t="s">
        <v>161</v>
      </c>
      <c r="E748" s="14">
        <v>0.24</v>
      </c>
      <c r="F748" s="14"/>
      <c r="G748" s="375">
        <v>1</v>
      </c>
      <c r="H748" s="375">
        <v>1</v>
      </c>
      <c r="I748" s="16">
        <v>0.56999999999999995</v>
      </c>
      <c r="J748" s="16"/>
      <c r="K748" s="124" t="s">
        <v>694</v>
      </c>
      <c r="L748" s="13" t="s">
        <v>128</v>
      </c>
      <c r="M748" s="47"/>
      <c r="N748" s="349">
        <v>38</v>
      </c>
      <c r="O748" s="458" t="s">
        <v>128</v>
      </c>
      <c r="P748" s="13" t="s">
        <v>497</v>
      </c>
      <c r="Q748" s="13" t="s">
        <v>498</v>
      </c>
      <c r="R748" s="13" t="s">
        <v>685</v>
      </c>
      <c r="S748" s="7">
        <v>65</v>
      </c>
      <c r="T748" s="13" t="s">
        <v>41</v>
      </c>
      <c r="U748" s="13" t="s">
        <v>42</v>
      </c>
      <c r="V748" s="60" t="s">
        <v>10</v>
      </c>
      <c r="W748" s="54">
        <v>0.2</v>
      </c>
      <c r="X748" s="361">
        <v>0.2</v>
      </c>
      <c r="Y748" s="355" t="s">
        <v>353</v>
      </c>
      <c r="Z748" s="13" t="s">
        <v>48</v>
      </c>
      <c r="AA748" s="115" t="s">
        <v>28</v>
      </c>
      <c r="AB748" s="110"/>
      <c r="AC748" s="60"/>
    </row>
    <row r="749" spans="1:29" x14ac:dyDescent="0.25">
      <c r="A749" s="329">
        <v>45924</v>
      </c>
      <c r="B749" s="5">
        <v>6</v>
      </c>
      <c r="D749" s="5" t="s">
        <v>161</v>
      </c>
      <c r="E749" s="6">
        <v>0.24</v>
      </c>
      <c r="G749" s="362">
        <v>1</v>
      </c>
      <c r="H749" s="362">
        <v>1</v>
      </c>
      <c r="I749" s="8">
        <v>0.56999999999999995</v>
      </c>
      <c r="L749" s="5" t="s">
        <v>128</v>
      </c>
      <c r="N749" s="476">
        <v>63</v>
      </c>
      <c r="O749" s="477" t="s">
        <v>161</v>
      </c>
      <c r="P749" s="478" t="s">
        <v>26</v>
      </c>
      <c r="Q749" s="478" t="s">
        <v>302</v>
      </c>
      <c r="R749" s="478" t="s">
        <v>695</v>
      </c>
      <c r="S749" s="479">
        <v>77</v>
      </c>
      <c r="T749" s="478" t="s">
        <v>41</v>
      </c>
      <c r="U749" s="478" t="s">
        <v>42</v>
      </c>
      <c r="V749" s="480" t="s">
        <v>10</v>
      </c>
      <c r="W749" s="51">
        <v>0.09</v>
      </c>
      <c r="X749" s="357">
        <v>0.46</v>
      </c>
      <c r="Y749" s="351" t="s">
        <v>353</v>
      </c>
      <c r="Z749" s="5" t="s">
        <v>8</v>
      </c>
      <c r="AA749" s="112" t="s">
        <v>19</v>
      </c>
      <c r="AB749" s="108" t="s">
        <v>313</v>
      </c>
      <c r="AC749" s="57" t="s">
        <v>314</v>
      </c>
    </row>
    <row r="750" spans="1:29" x14ac:dyDescent="0.25">
      <c r="A750" s="329">
        <v>45924</v>
      </c>
      <c r="B750" s="5">
        <v>6</v>
      </c>
      <c r="D750" s="5" t="s">
        <v>161</v>
      </c>
      <c r="E750" s="6">
        <v>0.24</v>
      </c>
      <c r="G750" s="362">
        <v>1</v>
      </c>
      <c r="H750" s="362">
        <v>1</v>
      </c>
      <c r="I750" s="8">
        <v>0.56999999999999995</v>
      </c>
      <c r="L750" s="5" t="s">
        <v>128</v>
      </c>
      <c r="N750" s="345">
        <v>68</v>
      </c>
      <c r="O750" s="38" t="s">
        <v>128</v>
      </c>
      <c r="P750" s="5" t="s">
        <v>130</v>
      </c>
      <c r="Q750" s="5" t="s">
        <v>131</v>
      </c>
      <c r="R750" s="5" t="s">
        <v>718</v>
      </c>
      <c r="S750" s="479">
        <v>71</v>
      </c>
      <c r="T750" s="5" t="s">
        <v>44</v>
      </c>
      <c r="U750" s="5" t="s">
        <v>42</v>
      </c>
      <c r="V750" s="57" t="s">
        <v>10</v>
      </c>
      <c r="W750" s="51">
        <v>0.03</v>
      </c>
      <c r="X750" s="357">
        <v>0.27</v>
      </c>
      <c r="Z750" s="5" t="s">
        <v>48</v>
      </c>
      <c r="AA750" s="112" t="s">
        <v>19</v>
      </c>
    </row>
    <row r="751" spans="1:29" x14ac:dyDescent="0.25">
      <c r="A751" s="329">
        <v>45924</v>
      </c>
      <c r="B751" s="5">
        <v>6</v>
      </c>
      <c r="D751" s="5" t="s">
        <v>161</v>
      </c>
      <c r="E751" s="6">
        <v>0.24</v>
      </c>
      <c r="G751" s="362">
        <v>1</v>
      </c>
      <c r="H751" s="362">
        <v>1</v>
      </c>
      <c r="I751" s="8">
        <v>0.56999999999999995</v>
      </c>
      <c r="L751" s="5" t="s">
        <v>128</v>
      </c>
      <c r="N751" s="345">
        <v>71</v>
      </c>
      <c r="O751" s="38" t="s">
        <v>128</v>
      </c>
      <c r="P751" s="5" t="s">
        <v>274</v>
      </c>
      <c r="Q751" s="5" t="s">
        <v>499</v>
      </c>
      <c r="R751" s="5" t="s">
        <v>695</v>
      </c>
      <c r="S751" s="7">
        <v>76</v>
      </c>
      <c r="T751" s="5" t="s">
        <v>41</v>
      </c>
      <c r="U751" s="5" t="s">
        <v>43</v>
      </c>
      <c r="V751" s="57" t="s">
        <v>20</v>
      </c>
      <c r="W751" s="51">
        <v>0.11</v>
      </c>
      <c r="X751" s="357">
        <v>0.15</v>
      </c>
      <c r="Y751" s="351" t="s">
        <v>353</v>
      </c>
      <c r="Z751" s="5" t="s">
        <v>8</v>
      </c>
      <c r="AA751" s="112" t="s">
        <v>51</v>
      </c>
      <c r="AB751" s="108" t="s">
        <v>130</v>
      </c>
      <c r="AC751" s="57" t="s">
        <v>131</v>
      </c>
    </row>
    <row r="752" spans="1:29" ht="15.75" thickBot="1" x14ac:dyDescent="0.3">
      <c r="A752" s="330">
        <v>45924</v>
      </c>
      <c r="B752" s="9">
        <v>6</v>
      </c>
      <c r="C752" s="122"/>
      <c r="D752" s="9" t="s">
        <v>161</v>
      </c>
      <c r="E752" s="10">
        <v>0.24</v>
      </c>
      <c r="F752" s="10"/>
      <c r="G752" s="383">
        <v>1</v>
      </c>
      <c r="H752" s="383">
        <v>1</v>
      </c>
      <c r="I752" s="12">
        <v>0.56999999999999995</v>
      </c>
      <c r="J752" s="12"/>
      <c r="K752" s="122"/>
      <c r="L752" s="9" t="s">
        <v>128</v>
      </c>
      <c r="M752" s="45"/>
      <c r="N752" s="511">
        <v>73</v>
      </c>
      <c r="O752" s="512" t="s">
        <v>161</v>
      </c>
      <c r="P752" s="513" t="s">
        <v>26</v>
      </c>
      <c r="Q752" s="513" t="s">
        <v>302</v>
      </c>
      <c r="R752" s="513" t="s">
        <v>695</v>
      </c>
      <c r="S752" s="479">
        <v>77</v>
      </c>
      <c r="T752" s="513" t="s">
        <v>41</v>
      </c>
      <c r="U752" s="513" t="s">
        <v>45</v>
      </c>
      <c r="V752" s="514" t="s">
        <v>20</v>
      </c>
      <c r="W752" s="52">
        <v>0.05</v>
      </c>
      <c r="X752" s="358" t="s">
        <v>53</v>
      </c>
      <c r="Y752" s="352"/>
      <c r="Z752" s="9" t="s">
        <v>16</v>
      </c>
      <c r="AA752" s="113" t="s">
        <v>51</v>
      </c>
      <c r="AB752" s="109"/>
      <c r="AC752" s="58"/>
    </row>
    <row r="753" spans="1:29" ht="15.75" thickBot="1" x14ac:dyDescent="0.3">
      <c r="A753" s="326">
        <v>45924</v>
      </c>
      <c r="B753" s="207">
        <v>6</v>
      </c>
      <c r="C753" s="208"/>
      <c r="D753" s="207" t="s">
        <v>161</v>
      </c>
      <c r="E753" s="209">
        <v>0.24</v>
      </c>
      <c r="F753" s="209"/>
      <c r="G753" s="460">
        <v>1</v>
      </c>
      <c r="H753" s="460">
        <v>1</v>
      </c>
      <c r="I753" s="211">
        <v>0.56999999999999995</v>
      </c>
      <c r="J753" s="211"/>
      <c r="K753" s="208"/>
      <c r="L753" s="207" t="s">
        <v>128</v>
      </c>
      <c r="M753" s="235"/>
      <c r="N753" s="347"/>
      <c r="O753" s="343" t="s">
        <v>161</v>
      </c>
      <c r="P753" s="199" t="s">
        <v>316</v>
      </c>
      <c r="Q753" s="199" t="s">
        <v>721</v>
      </c>
      <c r="R753" s="199" t="s">
        <v>707</v>
      </c>
      <c r="S753" s="7">
        <v>71</v>
      </c>
      <c r="T753" s="199"/>
      <c r="U753" s="199"/>
      <c r="V753" s="201"/>
      <c r="W753" s="202"/>
      <c r="X753" s="359"/>
      <c r="Y753" s="353">
        <f>H753</f>
        <v>1</v>
      </c>
      <c r="Z753" s="199"/>
      <c r="AA753" s="204"/>
      <c r="AB753" s="205"/>
      <c r="AC753" s="201"/>
    </row>
    <row r="754" spans="1:29" ht="15.75" thickBot="1" x14ac:dyDescent="0.3">
      <c r="A754" s="326">
        <v>45924</v>
      </c>
      <c r="B754" s="207">
        <v>6</v>
      </c>
      <c r="C754" s="208"/>
      <c r="D754" s="207" t="s">
        <v>161</v>
      </c>
      <c r="E754" s="209">
        <v>0.24</v>
      </c>
      <c r="F754" s="209"/>
      <c r="G754" s="460">
        <v>1</v>
      </c>
      <c r="H754" s="460">
        <v>1</v>
      </c>
      <c r="I754" s="211">
        <v>0.56999999999999995</v>
      </c>
      <c r="J754" s="211"/>
      <c r="K754" s="208"/>
      <c r="L754" s="207" t="s">
        <v>128</v>
      </c>
      <c r="M754" s="235"/>
      <c r="N754" s="347"/>
      <c r="O754" s="343" t="s">
        <v>128</v>
      </c>
      <c r="P754" s="199" t="s">
        <v>127</v>
      </c>
      <c r="Q754" s="199" t="s">
        <v>476</v>
      </c>
      <c r="R754" s="199" t="s">
        <v>707</v>
      </c>
      <c r="S754" s="479">
        <v>59</v>
      </c>
      <c r="T754" s="199"/>
      <c r="U754" s="199"/>
      <c r="V754" s="201"/>
      <c r="W754" s="202"/>
      <c r="X754" s="359"/>
      <c r="Y754" s="353">
        <f>G753</f>
        <v>1</v>
      </c>
      <c r="Z754" s="199"/>
      <c r="AA754" s="204"/>
      <c r="AB754" s="205"/>
      <c r="AC754" s="201"/>
    </row>
    <row r="755" spans="1:29" x14ac:dyDescent="0.25">
      <c r="A755" s="331">
        <v>45924</v>
      </c>
      <c r="B755" s="13">
        <v>6</v>
      </c>
      <c r="C755" s="124" t="s">
        <v>701</v>
      </c>
      <c r="D755" s="13" t="s">
        <v>193</v>
      </c>
      <c r="E755" s="14">
        <v>3.61</v>
      </c>
      <c r="F755" s="14"/>
      <c r="G755" s="375">
        <v>3</v>
      </c>
      <c r="H755" s="375">
        <v>2</v>
      </c>
      <c r="I755" s="16">
        <v>1.6</v>
      </c>
      <c r="J755" s="16"/>
      <c r="K755" s="124" t="s">
        <v>694</v>
      </c>
      <c r="L755" s="13" t="s">
        <v>70</v>
      </c>
      <c r="M755" s="47"/>
      <c r="N755" s="556">
        <v>12</v>
      </c>
      <c r="O755" s="557" t="s">
        <v>193</v>
      </c>
      <c r="P755" s="558" t="s">
        <v>206</v>
      </c>
      <c r="Q755" s="558" t="s">
        <v>207</v>
      </c>
      <c r="R755" s="558" t="s">
        <v>718</v>
      </c>
      <c r="S755" s="479">
        <v>65</v>
      </c>
      <c r="T755" s="558" t="s">
        <v>41</v>
      </c>
      <c r="U755" s="558" t="s">
        <v>42</v>
      </c>
      <c r="V755" s="559" t="s">
        <v>10</v>
      </c>
      <c r="W755" s="54">
        <v>0.09</v>
      </c>
      <c r="X755" s="361">
        <v>0.17</v>
      </c>
      <c r="Y755" s="355"/>
      <c r="Z755" s="13" t="s">
        <v>48</v>
      </c>
      <c r="AA755" s="115" t="s">
        <v>28</v>
      </c>
      <c r="AB755" s="110"/>
      <c r="AC755" s="60"/>
    </row>
    <row r="756" spans="1:29" x14ac:dyDescent="0.25">
      <c r="A756" s="329">
        <v>45924</v>
      </c>
      <c r="B756" s="5">
        <v>6</v>
      </c>
      <c r="D756" s="5" t="s">
        <v>193</v>
      </c>
      <c r="E756" s="6">
        <v>3.61</v>
      </c>
      <c r="G756" s="362">
        <v>3</v>
      </c>
      <c r="H756" s="362">
        <v>2</v>
      </c>
      <c r="I756" s="8">
        <v>1.6</v>
      </c>
      <c r="L756" s="5" t="s">
        <v>70</v>
      </c>
      <c r="N756" s="476">
        <v>15</v>
      </c>
      <c r="O756" s="477" t="s">
        <v>193</v>
      </c>
      <c r="P756" s="478" t="s">
        <v>200</v>
      </c>
      <c r="Q756" s="478" t="s">
        <v>201</v>
      </c>
      <c r="R756" s="478" t="s">
        <v>717</v>
      </c>
      <c r="S756" s="479">
        <v>96</v>
      </c>
      <c r="T756" s="478" t="s">
        <v>41</v>
      </c>
      <c r="U756" s="478" t="s">
        <v>43</v>
      </c>
      <c r="V756" s="480" t="s">
        <v>10</v>
      </c>
      <c r="W756" s="51">
        <v>0.34</v>
      </c>
      <c r="X756" s="357">
        <v>0.86</v>
      </c>
      <c r="Y756" s="351" t="s">
        <v>353</v>
      </c>
      <c r="Z756" s="5" t="s">
        <v>8</v>
      </c>
      <c r="AA756" s="112" t="s">
        <v>19</v>
      </c>
      <c r="AB756" s="108" t="s">
        <v>259</v>
      </c>
      <c r="AC756" s="57" t="s">
        <v>260</v>
      </c>
    </row>
    <row r="757" spans="1:29" x14ac:dyDescent="0.25">
      <c r="A757" s="329">
        <v>45924</v>
      </c>
      <c r="B757" s="5">
        <v>6</v>
      </c>
      <c r="D757" s="5" t="s">
        <v>193</v>
      </c>
      <c r="E757" s="6">
        <v>3.61</v>
      </c>
      <c r="G757" s="362">
        <v>3</v>
      </c>
      <c r="H757" s="362">
        <v>2</v>
      </c>
      <c r="I757" s="8">
        <v>1.6</v>
      </c>
      <c r="L757" s="5" t="s">
        <v>70</v>
      </c>
      <c r="N757" s="345">
        <v>32</v>
      </c>
      <c r="O757" s="38" t="s">
        <v>70</v>
      </c>
      <c r="P757" s="5" t="s">
        <v>76</v>
      </c>
      <c r="Q757" s="5" t="s">
        <v>77</v>
      </c>
      <c r="R757" s="5" t="s">
        <v>718</v>
      </c>
      <c r="S757" s="479">
        <v>73</v>
      </c>
      <c r="T757" s="5" t="s">
        <v>354</v>
      </c>
      <c r="U757" s="5" t="s">
        <v>43</v>
      </c>
      <c r="V757" s="57" t="s">
        <v>20</v>
      </c>
      <c r="W757" s="51">
        <v>0.01</v>
      </c>
      <c r="X757" s="357" t="s">
        <v>53</v>
      </c>
      <c r="Z757" s="5" t="s">
        <v>22</v>
      </c>
      <c r="AA757" s="112" t="s">
        <v>19</v>
      </c>
    </row>
    <row r="758" spans="1:29" x14ac:dyDescent="0.25">
      <c r="A758" s="329">
        <v>45924</v>
      </c>
      <c r="B758" s="5">
        <v>6</v>
      </c>
      <c r="D758" s="5" t="s">
        <v>193</v>
      </c>
      <c r="E758" s="6">
        <v>3.61</v>
      </c>
      <c r="G758" s="362">
        <v>3</v>
      </c>
      <c r="H758" s="362">
        <v>2</v>
      </c>
      <c r="I758" s="8">
        <v>1.6</v>
      </c>
      <c r="L758" s="5" t="s">
        <v>70</v>
      </c>
      <c r="N758" s="345">
        <v>35</v>
      </c>
      <c r="O758" s="38" t="s">
        <v>70</v>
      </c>
      <c r="P758" s="5" t="s">
        <v>53</v>
      </c>
      <c r="Q758" s="5" t="s">
        <v>405</v>
      </c>
      <c r="R758" s="5" t="s">
        <v>717</v>
      </c>
      <c r="S758" s="7">
        <v>58</v>
      </c>
      <c r="T758" s="5" t="s">
        <v>41</v>
      </c>
      <c r="U758" s="5" t="s">
        <v>42</v>
      </c>
      <c r="V758" s="57" t="s">
        <v>10</v>
      </c>
      <c r="W758" s="51">
        <v>0.6</v>
      </c>
      <c r="X758" s="357" t="s">
        <v>53</v>
      </c>
      <c r="Y758" s="351" t="s">
        <v>353</v>
      </c>
      <c r="Z758" s="5" t="s">
        <v>13</v>
      </c>
      <c r="AA758" s="112" t="s">
        <v>19</v>
      </c>
    </row>
    <row r="759" spans="1:29" x14ac:dyDescent="0.25">
      <c r="A759" s="329">
        <v>45924</v>
      </c>
      <c r="B759" s="5">
        <v>6</v>
      </c>
      <c r="D759" s="5" t="s">
        <v>193</v>
      </c>
      <c r="E759" s="6">
        <v>3.61</v>
      </c>
      <c r="G759" s="362">
        <v>3</v>
      </c>
      <c r="H759" s="362">
        <v>2</v>
      </c>
      <c r="I759" s="8">
        <v>1.6</v>
      </c>
      <c r="L759" s="5" t="s">
        <v>70</v>
      </c>
      <c r="N759" s="476">
        <v>39</v>
      </c>
      <c r="O759" s="477" t="s">
        <v>193</v>
      </c>
      <c r="P759" s="478" t="s">
        <v>200</v>
      </c>
      <c r="Q759" s="478" t="s">
        <v>201</v>
      </c>
      <c r="R759" s="478" t="s">
        <v>717</v>
      </c>
      <c r="S759" s="479">
        <v>96</v>
      </c>
      <c r="T759" s="478" t="s">
        <v>41</v>
      </c>
      <c r="U759" s="478" t="s">
        <v>43</v>
      </c>
      <c r="V759" s="480" t="s">
        <v>10</v>
      </c>
      <c r="W759" s="51">
        <v>0.52</v>
      </c>
      <c r="X759" s="357" t="s">
        <v>53</v>
      </c>
      <c r="Z759" s="5" t="s">
        <v>13</v>
      </c>
      <c r="AA759" s="112" t="s">
        <v>19</v>
      </c>
    </row>
    <row r="760" spans="1:29" x14ac:dyDescent="0.25">
      <c r="A760" s="329">
        <v>45924</v>
      </c>
      <c r="B760" s="5">
        <v>6</v>
      </c>
      <c r="D760" s="5" t="s">
        <v>193</v>
      </c>
      <c r="E760" s="6">
        <v>3.61</v>
      </c>
      <c r="G760" s="362">
        <v>3</v>
      </c>
      <c r="H760" s="362">
        <v>2</v>
      </c>
      <c r="I760" s="8">
        <v>1.6</v>
      </c>
      <c r="L760" s="5" t="s">
        <v>70</v>
      </c>
      <c r="N760" s="345" t="s">
        <v>68</v>
      </c>
      <c r="O760" s="38" t="s">
        <v>70</v>
      </c>
      <c r="P760" s="5" t="s">
        <v>80</v>
      </c>
      <c r="Q760" s="5" t="s">
        <v>81</v>
      </c>
      <c r="R760" s="5" t="s">
        <v>688</v>
      </c>
      <c r="S760" s="7">
        <v>77</v>
      </c>
      <c r="T760" s="5" t="s">
        <v>354</v>
      </c>
      <c r="U760" s="5" t="s">
        <v>43</v>
      </c>
      <c r="V760" s="57" t="s">
        <v>10</v>
      </c>
      <c r="W760" s="51">
        <v>0.01</v>
      </c>
      <c r="X760" s="357">
        <v>0.17</v>
      </c>
      <c r="Y760" s="351" t="s">
        <v>353</v>
      </c>
      <c r="Z760" s="5" t="s">
        <v>8</v>
      </c>
      <c r="AA760" s="112" t="s">
        <v>51</v>
      </c>
      <c r="AB760" s="108" t="s">
        <v>269</v>
      </c>
      <c r="AC760" s="57" t="s">
        <v>150</v>
      </c>
    </row>
    <row r="761" spans="1:29" x14ac:dyDescent="0.25">
      <c r="A761" s="329">
        <v>45924</v>
      </c>
      <c r="B761" s="5">
        <v>6</v>
      </c>
      <c r="D761" s="5" t="s">
        <v>193</v>
      </c>
      <c r="E761" s="6">
        <v>3.61</v>
      </c>
      <c r="G761" s="362">
        <v>3</v>
      </c>
      <c r="H761" s="362">
        <v>2</v>
      </c>
      <c r="I761" s="8">
        <v>1.6</v>
      </c>
      <c r="L761" s="5" t="s">
        <v>70</v>
      </c>
      <c r="N761" s="476">
        <v>50</v>
      </c>
      <c r="O761" s="477" t="s">
        <v>193</v>
      </c>
      <c r="P761" s="478" t="s">
        <v>259</v>
      </c>
      <c r="Q761" s="478" t="s">
        <v>260</v>
      </c>
      <c r="R761" s="478" t="s">
        <v>713</v>
      </c>
      <c r="S761" s="479">
        <v>75</v>
      </c>
      <c r="T761" s="478" t="s">
        <v>41</v>
      </c>
      <c r="U761" s="478" t="s">
        <v>43</v>
      </c>
      <c r="V761" s="480" t="s">
        <v>540</v>
      </c>
      <c r="W761" s="51">
        <v>0.1</v>
      </c>
      <c r="X761" s="357">
        <v>0.08</v>
      </c>
      <c r="Z761" s="5" t="s">
        <v>48</v>
      </c>
      <c r="AA761" s="112" t="s">
        <v>51</v>
      </c>
    </row>
    <row r="762" spans="1:29" x14ac:dyDescent="0.25">
      <c r="A762" s="329">
        <v>45924</v>
      </c>
      <c r="B762" s="5">
        <v>6</v>
      </c>
      <c r="D762" s="5" t="s">
        <v>193</v>
      </c>
      <c r="E762" s="6">
        <v>3.61</v>
      </c>
      <c r="G762" s="362">
        <v>3</v>
      </c>
      <c r="H762" s="362">
        <v>2</v>
      </c>
      <c r="I762" s="8">
        <v>1.6</v>
      </c>
      <c r="L762" s="5" t="s">
        <v>70</v>
      </c>
      <c r="N762" s="345">
        <v>53</v>
      </c>
      <c r="O762" s="38" t="s">
        <v>70</v>
      </c>
      <c r="P762" s="5" t="s">
        <v>76</v>
      </c>
      <c r="Q762" s="5" t="s">
        <v>77</v>
      </c>
      <c r="R762" s="5" t="s">
        <v>718</v>
      </c>
      <c r="S762" s="459">
        <v>73</v>
      </c>
      <c r="T762" s="5" t="s">
        <v>41</v>
      </c>
      <c r="U762" s="5" t="s">
        <v>43</v>
      </c>
      <c r="V762" s="57" t="s">
        <v>540</v>
      </c>
      <c r="W762" s="51">
        <v>0.32</v>
      </c>
      <c r="X762" s="357">
        <v>0.23</v>
      </c>
      <c r="Y762" s="351" t="s">
        <v>353</v>
      </c>
      <c r="Z762" s="5" t="s">
        <v>48</v>
      </c>
      <c r="AA762" s="112" t="s">
        <v>51</v>
      </c>
    </row>
    <row r="763" spans="1:29" x14ac:dyDescent="0.25">
      <c r="A763" s="329">
        <v>45924</v>
      </c>
      <c r="B763" s="5">
        <v>6</v>
      </c>
      <c r="D763" s="5" t="s">
        <v>193</v>
      </c>
      <c r="E763" s="6">
        <v>3.61</v>
      </c>
      <c r="G763" s="362">
        <v>3</v>
      </c>
      <c r="H763" s="362">
        <v>2</v>
      </c>
      <c r="I763" s="8">
        <v>1.6</v>
      </c>
      <c r="L763" s="5" t="s">
        <v>70</v>
      </c>
      <c r="N763" s="476">
        <v>59</v>
      </c>
      <c r="O763" s="477" t="s">
        <v>193</v>
      </c>
      <c r="P763" s="478" t="s">
        <v>96</v>
      </c>
      <c r="Q763" s="478" t="s">
        <v>327</v>
      </c>
      <c r="R763" s="478" t="s">
        <v>696</v>
      </c>
      <c r="S763" s="481">
        <v>64</v>
      </c>
      <c r="T763" s="478" t="s">
        <v>41</v>
      </c>
      <c r="U763" s="478" t="s">
        <v>45</v>
      </c>
      <c r="V763" s="480" t="s">
        <v>10</v>
      </c>
      <c r="W763" s="51">
        <v>0.18</v>
      </c>
      <c r="X763" s="357" t="s">
        <v>53</v>
      </c>
      <c r="Y763" s="351" t="s">
        <v>353</v>
      </c>
      <c r="Z763" s="5" t="s">
        <v>22</v>
      </c>
      <c r="AA763" s="112" t="s">
        <v>51</v>
      </c>
    </row>
    <row r="764" spans="1:29" x14ac:dyDescent="0.25">
      <c r="A764" s="329">
        <v>45924</v>
      </c>
      <c r="B764" s="5">
        <v>6</v>
      </c>
      <c r="D764" s="5" t="s">
        <v>193</v>
      </c>
      <c r="E764" s="6">
        <v>3.61</v>
      </c>
      <c r="G764" s="362">
        <v>3</v>
      </c>
      <c r="H764" s="362">
        <v>2</v>
      </c>
      <c r="I764" s="8">
        <v>1.6</v>
      </c>
      <c r="L764" s="5" t="s">
        <v>70</v>
      </c>
      <c r="N764" s="476">
        <v>67</v>
      </c>
      <c r="O764" s="477" t="s">
        <v>193</v>
      </c>
      <c r="P764" s="478" t="s">
        <v>204</v>
      </c>
      <c r="Q764" s="478" t="s">
        <v>205</v>
      </c>
      <c r="R764" s="478" t="s">
        <v>696</v>
      </c>
      <c r="S764" s="479">
        <v>70</v>
      </c>
      <c r="T764" s="478" t="s">
        <v>41</v>
      </c>
      <c r="U764" s="478" t="s">
        <v>42</v>
      </c>
      <c r="V764" s="480" t="s">
        <v>18</v>
      </c>
      <c r="W764" s="51">
        <v>0.2</v>
      </c>
      <c r="X764" s="357">
        <v>0.57999999999999996</v>
      </c>
      <c r="Z764" s="5" t="s">
        <v>48</v>
      </c>
      <c r="AA764" s="112" t="s">
        <v>51</v>
      </c>
    </row>
    <row r="765" spans="1:29" x14ac:dyDescent="0.25">
      <c r="A765" s="329">
        <v>45924</v>
      </c>
      <c r="B765" s="5">
        <v>6</v>
      </c>
      <c r="D765" s="5" t="s">
        <v>193</v>
      </c>
      <c r="E765" s="6">
        <v>3.61</v>
      </c>
      <c r="G765" s="362">
        <v>3</v>
      </c>
      <c r="H765" s="362">
        <v>2</v>
      </c>
      <c r="I765" s="8">
        <v>1.6</v>
      </c>
      <c r="L765" s="5" t="s">
        <v>70</v>
      </c>
      <c r="N765" s="345">
        <v>77</v>
      </c>
      <c r="O765" s="38" t="s">
        <v>70</v>
      </c>
      <c r="P765" s="5" t="s">
        <v>74</v>
      </c>
      <c r="Q765" s="5" t="s">
        <v>75</v>
      </c>
      <c r="R765" s="5" t="s">
        <v>696</v>
      </c>
      <c r="S765" s="7">
        <v>69</v>
      </c>
      <c r="T765" s="5" t="s">
        <v>41</v>
      </c>
      <c r="U765" s="5" t="s">
        <v>42</v>
      </c>
      <c r="V765" s="57" t="s">
        <v>18</v>
      </c>
      <c r="W765" s="51">
        <v>0.57999999999999996</v>
      </c>
      <c r="X765" s="357">
        <v>0.99</v>
      </c>
      <c r="Y765" s="351" t="s">
        <v>353</v>
      </c>
      <c r="Z765" s="5" t="s">
        <v>8</v>
      </c>
      <c r="AA765" s="112" t="s">
        <v>67</v>
      </c>
      <c r="AB765" s="108" t="s">
        <v>76</v>
      </c>
      <c r="AC765" s="57" t="s">
        <v>77</v>
      </c>
    </row>
    <row r="766" spans="1:29" x14ac:dyDescent="0.25">
      <c r="A766" s="329">
        <v>45924</v>
      </c>
      <c r="B766" s="5">
        <v>6</v>
      </c>
      <c r="D766" s="5" t="s">
        <v>193</v>
      </c>
      <c r="E766" s="6">
        <v>3.61</v>
      </c>
      <c r="G766" s="362">
        <v>3</v>
      </c>
      <c r="H766" s="362">
        <v>2</v>
      </c>
      <c r="I766" s="8">
        <v>1.6</v>
      </c>
      <c r="L766" s="5" t="s">
        <v>70</v>
      </c>
      <c r="N766" s="476">
        <v>80</v>
      </c>
      <c r="O766" s="477" t="s">
        <v>193</v>
      </c>
      <c r="P766" s="478" t="s">
        <v>204</v>
      </c>
      <c r="Q766" s="478" t="s">
        <v>205</v>
      </c>
      <c r="R766" s="478" t="s">
        <v>696</v>
      </c>
      <c r="S766" s="479">
        <v>70</v>
      </c>
      <c r="T766" s="478" t="s">
        <v>47</v>
      </c>
      <c r="U766" s="478" t="s">
        <v>45</v>
      </c>
      <c r="V766" s="480" t="s">
        <v>10</v>
      </c>
      <c r="W766" s="51">
        <v>0.06</v>
      </c>
      <c r="X766" s="357">
        <v>0.27</v>
      </c>
      <c r="Z766" s="5" t="s">
        <v>48</v>
      </c>
      <c r="AA766" s="112" t="s">
        <v>67</v>
      </c>
    </row>
    <row r="767" spans="1:29" x14ac:dyDescent="0.25">
      <c r="A767" s="329">
        <v>45924</v>
      </c>
      <c r="B767" s="5">
        <v>6</v>
      </c>
      <c r="D767" s="5" t="s">
        <v>193</v>
      </c>
      <c r="E767" s="6">
        <v>3.61</v>
      </c>
      <c r="G767" s="362">
        <v>3</v>
      </c>
      <c r="H767" s="362">
        <v>2</v>
      </c>
      <c r="I767" s="8">
        <v>1.6</v>
      </c>
      <c r="L767" s="5" t="s">
        <v>70</v>
      </c>
      <c r="N767" s="476">
        <v>80</v>
      </c>
      <c r="O767" s="477" t="s">
        <v>193</v>
      </c>
      <c r="P767" s="478" t="s">
        <v>200</v>
      </c>
      <c r="Q767" s="478" t="s">
        <v>201</v>
      </c>
      <c r="R767" s="478" t="s">
        <v>717</v>
      </c>
      <c r="S767" s="479">
        <v>96</v>
      </c>
      <c r="T767" s="478" t="s">
        <v>47</v>
      </c>
      <c r="U767" s="478" t="s">
        <v>42</v>
      </c>
      <c r="V767" s="480" t="s">
        <v>540</v>
      </c>
      <c r="W767" s="51">
        <v>0.27</v>
      </c>
      <c r="X767" s="357">
        <v>0.71</v>
      </c>
      <c r="Y767" s="351" t="s">
        <v>353</v>
      </c>
      <c r="Z767" s="5" t="s">
        <v>8</v>
      </c>
      <c r="AA767" s="112" t="s">
        <v>189</v>
      </c>
    </row>
    <row r="768" spans="1:29" x14ac:dyDescent="0.25">
      <c r="A768" s="329">
        <v>45924</v>
      </c>
      <c r="B768" s="5">
        <v>6</v>
      </c>
      <c r="D768" s="5" t="s">
        <v>193</v>
      </c>
      <c r="E768" s="6">
        <v>3.61</v>
      </c>
      <c r="G768" s="362">
        <v>3</v>
      </c>
      <c r="H768" s="362">
        <v>2</v>
      </c>
      <c r="I768" s="8">
        <v>1.6</v>
      </c>
      <c r="L768" s="5" t="s">
        <v>70</v>
      </c>
      <c r="N768" s="476">
        <v>83</v>
      </c>
      <c r="O768" s="477" t="s">
        <v>193</v>
      </c>
      <c r="P768" s="478" t="s">
        <v>204</v>
      </c>
      <c r="Q768" s="478" t="s">
        <v>205</v>
      </c>
      <c r="R768" s="478" t="s">
        <v>696</v>
      </c>
      <c r="S768" s="479">
        <v>70</v>
      </c>
      <c r="T768" s="478" t="s">
        <v>47</v>
      </c>
      <c r="U768" s="478" t="s">
        <v>42</v>
      </c>
      <c r="V768" s="480" t="s">
        <v>10</v>
      </c>
      <c r="W768" s="51">
        <v>0.43</v>
      </c>
      <c r="X768" s="357" t="s">
        <v>53</v>
      </c>
      <c r="Y768" s="351" t="s">
        <v>353</v>
      </c>
      <c r="Z768" s="5" t="s">
        <v>17</v>
      </c>
      <c r="AA768" s="112" t="s">
        <v>189</v>
      </c>
    </row>
    <row r="769" spans="1:29" x14ac:dyDescent="0.25">
      <c r="A769" s="329">
        <v>45924</v>
      </c>
      <c r="B769" s="5">
        <v>6</v>
      </c>
      <c r="D769" s="5" t="s">
        <v>193</v>
      </c>
      <c r="E769" s="6">
        <v>3.61</v>
      </c>
      <c r="G769" s="362">
        <v>3</v>
      </c>
      <c r="H769" s="362">
        <v>2</v>
      </c>
      <c r="I769" s="8">
        <v>1.6</v>
      </c>
      <c r="L769" s="5" t="s">
        <v>70</v>
      </c>
      <c r="N769" s="476">
        <v>83</v>
      </c>
      <c r="O769" s="477" t="s">
        <v>193</v>
      </c>
      <c r="P769" s="478" t="s">
        <v>316</v>
      </c>
      <c r="Q769" s="478" t="s">
        <v>317</v>
      </c>
      <c r="R769" s="478" t="s">
        <v>712</v>
      </c>
      <c r="S769" s="479">
        <v>69</v>
      </c>
      <c r="T769" s="478" t="s">
        <v>47</v>
      </c>
      <c r="U769" s="478" t="s">
        <v>45</v>
      </c>
      <c r="V769" s="480" t="s">
        <v>20</v>
      </c>
      <c r="W769" s="51">
        <v>0.18</v>
      </c>
      <c r="X769" s="357" t="s">
        <v>53</v>
      </c>
      <c r="Z769" s="5" t="s">
        <v>13</v>
      </c>
      <c r="AA769" s="112" t="s">
        <v>189</v>
      </c>
    </row>
    <row r="770" spans="1:29" x14ac:dyDescent="0.25">
      <c r="A770" s="329">
        <v>45924</v>
      </c>
      <c r="B770" s="5">
        <v>6</v>
      </c>
      <c r="D770" s="5" t="s">
        <v>193</v>
      </c>
      <c r="E770" s="6">
        <v>3.61</v>
      </c>
      <c r="G770" s="362">
        <v>3</v>
      </c>
      <c r="H770" s="362">
        <v>2</v>
      </c>
      <c r="I770" s="8">
        <v>1.6</v>
      </c>
      <c r="L770" s="5" t="s">
        <v>70</v>
      </c>
      <c r="N770" s="476">
        <v>84</v>
      </c>
      <c r="O770" s="477" t="s">
        <v>193</v>
      </c>
      <c r="P770" s="478" t="s">
        <v>318</v>
      </c>
      <c r="Q770" s="478" t="s">
        <v>319</v>
      </c>
      <c r="R770" s="478" t="s">
        <v>696</v>
      </c>
      <c r="S770" s="479">
        <v>63</v>
      </c>
      <c r="T770" s="478" t="s">
        <v>41</v>
      </c>
      <c r="U770" s="478" t="s">
        <v>42</v>
      </c>
      <c r="V770" s="480" t="s">
        <v>10</v>
      </c>
      <c r="W770" s="51">
        <v>0.38</v>
      </c>
      <c r="X770" s="357" t="s">
        <v>53</v>
      </c>
      <c r="Y770" s="351" t="s">
        <v>353</v>
      </c>
      <c r="Z770" s="5" t="s">
        <v>13</v>
      </c>
      <c r="AA770" s="112" t="s">
        <v>189</v>
      </c>
    </row>
    <row r="771" spans="1:29" x14ac:dyDescent="0.25">
      <c r="A771" s="329">
        <v>45924</v>
      </c>
      <c r="B771" s="5">
        <v>6</v>
      </c>
      <c r="D771" s="5" t="s">
        <v>193</v>
      </c>
      <c r="E771" s="6">
        <v>3.61</v>
      </c>
      <c r="G771" s="362">
        <v>3</v>
      </c>
      <c r="H771" s="362">
        <v>2</v>
      </c>
      <c r="I771" s="8">
        <v>1.6</v>
      </c>
      <c r="L771" s="5" t="s">
        <v>70</v>
      </c>
      <c r="N771" s="476">
        <v>88</v>
      </c>
      <c r="O771" s="477" t="s">
        <v>193</v>
      </c>
      <c r="P771" s="478" t="s">
        <v>200</v>
      </c>
      <c r="Q771" s="478" t="s">
        <v>201</v>
      </c>
      <c r="R771" s="478" t="s">
        <v>717</v>
      </c>
      <c r="S771" s="479">
        <v>96</v>
      </c>
      <c r="T771" s="478" t="s">
        <v>354</v>
      </c>
      <c r="U771" s="478" t="s">
        <v>43</v>
      </c>
      <c r="V771" s="480" t="s">
        <v>10</v>
      </c>
      <c r="W771" s="51">
        <v>0.04</v>
      </c>
      <c r="X771" s="357">
        <v>0.36</v>
      </c>
      <c r="Z771" s="5" t="s">
        <v>8</v>
      </c>
      <c r="AA771" s="112" t="s">
        <v>180</v>
      </c>
      <c r="AB771" s="108" t="s">
        <v>204</v>
      </c>
      <c r="AC771" s="57" t="s">
        <v>205</v>
      </c>
    </row>
    <row r="772" spans="1:29" ht="15.75" thickBot="1" x14ac:dyDescent="0.3">
      <c r="A772" s="330">
        <v>45924</v>
      </c>
      <c r="B772" s="9">
        <v>6</v>
      </c>
      <c r="C772" s="122"/>
      <c r="D772" s="9" t="s">
        <v>193</v>
      </c>
      <c r="E772" s="10">
        <v>3.61</v>
      </c>
      <c r="F772" s="10"/>
      <c r="G772" s="383">
        <v>3</v>
      </c>
      <c r="H772" s="383">
        <v>2</v>
      </c>
      <c r="I772" s="12">
        <v>1.6</v>
      </c>
      <c r="J772" s="12"/>
      <c r="K772" s="122"/>
      <c r="L772" s="9" t="s">
        <v>70</v>
      </c>
      <c r="M772" s="45"/>
      <c r="N772" s="511" t="s">
        <v>57</v>
      </c>
      <c r="O772" s="512" t="s">
        <v>193</v>
      </c>
      <c r="P772" s="513" t="s">
        <v>204</v>
      </c>
      <c r="Q772" s="513" t="s">
        <v>205</v>
      </c>
      <c r="R772" s="513" t="s">
        <v>696</v>
      </c>
      <c r="S772" s="479">
        <v>70</v>
      </c>
      <c r="T772" s="513" t="s">
        <v>41</v>
      </c>
      <c r="U772" s="513" t="s">
        <v>42</v>
      </c>
      <c r="V772" s="514" t="s">
        <v>10</v>
      </c>
      <c r="W772" s="52">
        <v>0.61</v>
      </c>
      <c r="X772" s="358" t="s">
        <v>53</v>
      </c>
      <c r="Y772" s="352" t="s">
        <v>353</v>
      </c>
      <c r="Z772" s="9" t="s">
        <v>13</v>
      </c>
      <c r="AA772" s="113" t="s">
        <v>180</v>
      </c>
      <c r="AB772" s="109"/>
      <c r="AC772" s="58"/>
    </row>
    <row r="773" spans="1:29" ht="15.75" thickBot="1" x14ac:dyDescent="0.3">
      <c r="A773" s="326">
        <v>45924</v>
      </c>
      <c r="B773" s="207">
        <v>6</v>
      </c>
      <c r="C773" s="208"/>
      <c r="D773" s="207" t="s">
        <v>193</v>
      </c>
      <c r="E773" s="209">
        <v>3.61</v>
      </c>
      <c r="F773" s="209"/>
      <c r="G773" s="460">
        <v>3</v>
      </c>
      <c r="H773" s="460">
        <v>2</v>
      </c>
      <c r="I773" s="211">
        <v>1.6</v>
      </c>
      <c r="J773" s="211"/>
      <c r="K773" s="208"/>
      <c r="L773" s="207" t="s">
        <v>70</v>
      </c>
      <c r="M773" s="235"/>
      <c r="N773" s="347"/>
      <c r="O773" s="343" t="s">
        <v>193</v>
      </c>
      <c r="P773" s="199" t="s">
        <v>580</v>
      </c>
      <c r="Q773" s="199" t="s">
        <v>581</v>
      </c>
      <c r="R773" s="199" t="s">
        <v>707</v>
      </c>
      <c r="S773" s="481">
        <v>60</v>
      </c>
      <c r="T773" s="199"/>
      <c r="U773" s="199"/>
      <c r="V773" s="201"/>
      <c r="W773" s="202"/>
      <c r="X773" s="359"/>
      <c r="Y773" s="353">
        <f>H773</f>
        <v>2</v>
      </c>
      <c r="Z773" s="199"/>
      <c r="AA773" s="204"/>
      <c r="AB773" s="205"/>
      <c r="AC773" s="201"/>
    </row>
    <row r="774" spans="1:29" ht="15.75" thickBot="1" x14ac:dyDescent="0.3">
      <c r="A774" s="326">
        <v>45924</v>
      </c>
      <c r="B774" s="207">
        <v>6</v>
      </c>
      <c r="C774" s="208"/>
      <c r="D774" s="207" t="s">
        <v>193</v>
      </c>
      <c r="E774" s="209">
        <v>3.61</v>
      </c>
      <c r="F774" s="209"/>
      <c r="G774" s="460">
        <v>3</v>
      </c>
      <c r="H774" s="460">
        <v>2</v>
      </c>
      <c r="I774" s="211">
        <v>1.6</v>
      </c>
      <c r="J774" s="211"/>
      <c r="K774" s="208"/>
      <c r="L774" s="207" t="s">
        <v>70</v>
      </c>
      <c r="M774" s="235"/>
      <c r="N774" s="347"/>
      <c r="O774" s="343" t="s">
        <v>70</v>
      </c>
      <c r="P774" s="199" t="s">
        <v>714</v>
      </c>
      <c r="Q774" s="199" t="s">
        <v>715</v>
      </c>
      <c r="R774" s="199" t="s">
        <v>707</v>
      </c>
      <c r="S774" s="481">
        <v>62</v>
      </c>
      <c r="T774" s="199"/>
      <c r="U774" s="199"/>
      <c r="V774" s="201"/>
      <c r="W774" s="202"/>
      <c r="X774" s="359"/>
      <c r="Y774" s="353">
        <f>G773</f>
        <v>3</v>
      </c>
      <c r="Z774" s="199"/>
      <c r="AA774" s="204"/>
      <c r="AB774" s="205"/>
      <c r="AC774" s="201"/>
    </row>
    <row r="775" spans="1:29" x14ac:dyDescent="0.25">
      <c r="A775" s="331">
        <v>45924</v>
      </c>
      <c r="B775" s="13">
        <v>6</v>
      </c>
      <c r="C775" s="124" t="s">
        <v>692</v>
      </c>
      <c r="D775" s="13" t="s">
        <v>146</v>
      </c>
      <c r="E775" s="14">
        <v>2.76</v>
      </c>
      <c r="F775" s="14"/>
      <c r="G775" s="375">
        <v>1</v>
      </c>
      <c r="H775" s="375">
        <v>0</v>
      </c>
      <c r="I775" s="16">
        <v>0.76</v>
      </c>
      <c r="J775" s="16"/>
      <c r="K775" s="124" t="s">
        <v>701</v>
      </c>
      <c r="L775" s="13" t="s">
        <v>112</v>
      </c>
      <c r="M775" s="47"/>
      <c r="N775" s="556">
        <v>3</v>
      </c>
      <c r="O775" s="557" t="s">
        <v>146</v>
      </c>
      <c r="P775" s="558" t="s">
        <v>159</v>
      </c>
      <c r="Q775" s="558" t="s">
        <v>160</v>
      </c>
      <c r="R775" s="558" t="s">
        <v>684</v>
      </c>
      <c r="S775" s="479">
        <v>75</v>
      </c>
      <c r="T775" s="558" t="s">
        <v>41</v>
      </c>
      <c r="U775" s="558" t="s">
        <v>42</v>
      </c>
      <c r="V775" s="559" t="s">
        <v>10</v>
      </c>
      <c r="W775" s="54">
        <v>0.1</v>
      </c>
      <c r="X775" s="361" t="s">
        <v>53</v>
      </c>
      <c r="Y775" s="355"/>
      <c r="Z775" s="13" t="s">
        <v>52</v>
      </c>
      <c r="AA775" s="115" t="s">
        <v>28</v>
      </c>
      <c r="AB775" s="110"/>
      <c r="AC775" s="60"/>
    </row>
    <row r="776" spans="1:29" x14ac:dyDescent="0.25">
      <c r="A776" s="329">
        <v>45924</v>
      </c>
      <c r="B776" s="5">
        <v>6</v>
      </c>
      <c r="D776" s="5" t="s">
        <v>146</v>
      </c>
      <c r="E776" s="6">
        <v>2.76</v>
      </c>
      <c r="G776" s="362">
        <v>1</v>
      </c>
      <c r="H776" s="362">
        <v>0</v>
      </c>
      <c r="I776" s="8">
        <v>0.76</v>
      </c>
      <c r="L776" s="5" t="s">
        <v>112</v>
      </c>
      <c r="N776" s="476">
        <v>18</v>
      </c>
      <c r="O776" s="477" t="s">
        <v>146</v>
      </c>
      <c r="P776" s="478" t="s">
        <v>274</v>
      </c>
      <c r="Q776" s="478" t="s">
        <v>275</v>
      </c>
      <c r="R776" s="478" t="s">
        <v>685</v>
      </c>
      <c r="S776" s="479">
        <v>78</v>
      </c>
      <c r="T776" s="478" t="s">
        <v>41</v>
      </c>
      <c r="U776" s="478" t="s">
        <v>43</v>
      </c>
      <c r="V776" s="480" t="s">
        <v>10</v>
      </c>
      <c r="W776" s="51">
        <v>0.18</v>
      </c>
      <c r="X776" s="357">
        <v>0.68</v>
      </c>
      <c r="Z776" s="5" t="s">
        <v>48</v>
      </c>
      <c r="AA776" s="112" t="s">
        <v>28</v>
      </c>
    </row>
    <row r="777" spans="1:29" x14ac:dyDescent="0.25">
      <c r="A777" s="329">
        <v>45924</v>
      </c>
      <c r="B777" s="5">
        <v>6</v>
      </c>
      <c r="D777" s="5" t="s">
        <v>146</v>
      </c>
      <c r="E777" s="6">
        <v>2.76</v>
      </c>
      <c r="G777" s="362">
        <v>1</v>
      </c>
      <c r="H777" s="362">
        <v>0</v>
      </c>
      <c r="I777" s="8">
        <v>0.76</v>
      </c>
      <c r="L777" s="5" t="s">
        <v>112</v>
      </c>
      <c r="N777" s="476">
        <v>19</v>
      </c>
      <c r="O777" s="477" t="s">
        <v>146</v>
      </c>
      <c r="P777" s="478" t="s">
        <v>135</v>
      </c>
      <c r="Q777" s="478" t="s">
        <v>273</v>
      </c>
      <c r="R777" s="478" t="s">
        <v>689</v>
      </c>
      <c r="S777" s="479">
        <v>70</v>
      </c>
      <c r="T777" s="478" t="s">
        <v>47</v>
      </c>
      <c r="U777" s="478" t="s">
        <v>45</v>
      </c>
      <c r="V777" s="480" t="s">
        <v>20</v>
      </c>
      <c r="W777" s="51">
        <v>0.53</v>
      </c>
      <c r="X777" s="357" t="s">
        <v>53</v>
      </c>
      <c r="Y777" s="351" t="s">
        <v>353</v>
      </c>
      <c r="Z777" s="5" t="s">
        <v>13</v>
      </c>
      <c r="AA777" s="112" t="s">
        <v>28</v>
      </c>
    </row>
    <row r="778" spans="1:29" x14ac:dyDescent="0.25">
      <c r="A778" s="329">
        <v>45924</v>
      </c>
      <c r="B778" s="5">
        <v>6</v>
      </c>
      <c r="D778" s="5" t="s">
        <v>146</v>
      </c>
      <c r="E778" s="6">
        <v>2.76</v>
      </c>
      <c r="G778" s="362">
        <v>1</v>
      </c>
      <c r="H778" s="362">
        <v>0</v>
      </c>
      <c r="I778" s="8">
        <v>0.76</v>
      </c>
      <c r="L778" s="5" t="s">
        <v>112</v>
      </c>
      <c r="N778" s="476">
        <v>22</v>
      </c>
      <c r="O778" s="477" t="s">
        <v>146</v>
      </c>
      <c r="P778" s="478" t="s">
        <v>274</v>
      </c>
      <c r="Q778" s="478" t="s">
        <v>275</v>
      </c>
      <c r="R778" s="478" t="s">
        <v>685</v>
      </c>
      <c r="S778" s="479">
        <v>78</v>
      </c>
      <c r="T778" s="478" t="s">
        <v>41</v>
      </c>
      <c r="U778" s="478" t="s">
        <v>43</v>
      </c>
      <c r="V778" s="480" t="s">
        <v>10</v>
      </c>
      <c r="W778" s="51">
        <v>0.21</v>
      </c>
      <c r="X778" s="357" t="s">
        <v>53</v>
      </c>
      <c r="Z778" s="5" t="s">
        <v>13</v>
      </c>
      <c r="AA778" s="112" t="s">
        <v>28</v>
      </c>
    </row>
    <row r="779" spans="1:29" x14ac:dyDescent="0.25">
      <c r="A779" s="329">
        <v>45924</v>
      </c>
      <c r="B779" s="5">
        <v>6</v>
      </c>
      <c r="D779" s="5" t="s">
        <v>146</v>
      </c>
      <c r="E779" s="6">
        <v>2.76</v>
      </c>
      <c r="G779" s="362">
        <v>1</v>
      </c>
      <c r="H779" s="362">
        <v>0</v>
      </c>
      <c r="I779" s="8">
        <v>0.76</v>
      </c>
      <c r="L779" s="5" t="s">
        <v>112</v>
      </c>
      <c r="N779" s="345">
        <v>25</v>
      </c>
      <c r="O779" s="38" t="s">
        <v>112</v>
      </c>
      <c r="P779" s="5" t="s">
        <v>243</v>
      </c>
      <c r="Q779" s="5" t="s">
        <v>244</v>
      </c>
      <c r="R779" s="5" t="s">
        <v>717</v>
      </c>
      <c r="S779" s="479">
        <v>60</v>
      </c>
      <c r="T779" s="5" t="s">
        <v>41</v>
      </c>
      <c r="U779" s="5" t="s">
        <v>43</v>
      </c>
      <c r="V779" s="57" t="s">
        <v>10</v>
      </c>
      <c r="W779" s="51">
        <v>0.04</v>
      </c>
      <c r="X779" s="357">
        <v>0.12</v>
      </c>
      <c r="Z779" s="5" t="s">
        <v>48</v>
      </c>
      <c r="AA779" s="112" t="s">
        <v>28</v>
      </c>
    </row>
    <row r="780" spans="1:29" x14ac:dyDescent="0.25">
      <c r="A780" s="329">
        <v>45924</v>
      </c>
      <c r="B780" s="5">
        <v>6</v>
      </c>
      <c r="D780" s="5" t="s">
        <v>146</v>
      </c>
      <c r="E780" s="6">
        <v>2.76</v>
      </c>
      <c r="G780" s="362">
        <v>1</v>
      </c>
      <c r="H780" s="362">
        <v>0</v>
      </c>
      <c r="I780" s="8">
        <v>0.76</v>
      </c>
      <c r="L780" s="5" t="s">
        <v>112</v>
      </c>
      <c r="N780" s="476">
        <v>41</v>
      </c>
      <c r="O780" s="477" t="s">
        <v>146</v>
      </c>
      <c r="P780" s="478" t="s">
        <v>274</v>
      </c>
      <c r="Q780" s="478" t="s">
        <v>275</v>
      </c>
      <c r="R780" s="478" t="s">
        <v>685</v>
      </c>
      <c r="S780" s="479">
        <v>78</v>
      </c>
      <c r="T780" s="478" t="s">
        <v>41</v>
      </c>
      <c r="U780" s="478" t="s">
        <v>42</v>
      </c>
      <c r="V780" s="480" t="s">
        <v>10</v>
      </c>
      <c r="W780" s="51">
        <v>0.24</v>
      </c>
      <c r="X780" s="357" t="s">
        <v>53</v>
      </c>
      <c r="Y780" s="351" t="s">
        <v>353</v>
      </c>
      <c r="Z780" s="5" t="s">
        <v>13</v>
      </c>
      <c r="AA780" s="112" t="s">
        <v>28</v>
      </c>
    </row>
    <row r="781" spans="1:29" x14ac:dyDescent="0.25">
      <c r="A781" s="329">
        <v>45924</v>
      </c>
      <c r="B781" s="5">
        <v>6</v>
      </c>
      <c r="D781" s="5" t="s">
        <v>146</v>
      </c>
      <c r="E781" s="6">
        <v>2.76</v>
      </c>
      <c r="G781" s="362">
        <v>1</v>
      </c>
      <c r="H781" s="362">
        <v>0</v>
      </c>
      <c r="I781" s="8">
        <v>0.76</v>
      </c>
      <c r="L781" s="5" t="s">
        <v>112</v>
      </c>
      <c r="N781" s="476">
        <v>49</v>
      </c>
      <c r="O781" s="477" t="s">
        <v>146</v>
      </c>
      <c r="P781" s="478" t="s">
        <v>159</v>
      </c>
      <c r="Q781" s="478" t="s">
        <v>160</v>
      </c>
      <c r="R781" s="478" t="s">
        <v>684</v>
      </c>
      <c r="S781" s="479">
        <v>75</v>
      </c>
      <c r="T781" s="478" t="s">
        <v>47</v>
      </c>
      <c r="U781" s="478" t="s">
        <v>42</v>
      </c>
      <c r="V781" s="480" t="s">
        <v>10</v>
      </c>
      <c r="W781" s="51">
        <v>0.9</v>
      </c>
      <c r="X781" s="357">
        <v>0.99</v>
      </c>
      <c r="Y781" s="351" t="s">
        <v>353</v>
      </c>
      <c r="Z781" s="5" t="s">
        <v>8</v>
      </c>
      <c r="AA781" s="112" t="s">
        <v>19</v>
      </c>
      <c r="AB781" s="108" t="s">
        <v>274</v>
      </c>
      <c r="AC781" s="57" t="s">
        <v>275</v>
      </c>
    </row>
    <row r="782" spans="1:29" x14ac:dyDescent="0.25">
      <c r="A782" s="329">
        <v>45924</v>
      </c>
      <c r="B782" s="5">
        <v>6</v>
      </c>
      <c r="D782" s="5" t="s">
        <v>146</v>
      </c>
      <c r="E782" s="6">
        <v>2.76</v>
      </c>
      <c r="G782" s="362">
        <v>1</v>
      </c>
      <c r="H782" s="362">
        <v>0</v>
      </c>
      <c r="I782" s="8">
        <v>0.76</v>
      </c>
      <c r="L782" s="5" t="s">
        <v>112</v>
      </c>
      <c r="N782" s="476">
        <v>60</v>
      </c>
      <c r="O782" s="477" t="s">
        <v>146</v>
      </c>
      <c r="P782" s="478" t="s">
        <v>46</v>
      </c>
      <c r="Q782" s="478" t="s">
        <v>376</v>
      </c>
      <c r="R782" s="478" t="s">
        <v>691</v>
      </c>
      <c r="S782" s="479">
        <v>66</v>
      </c>
      <c r="T782" s="478" t="s">
        <v>44</v>
      </c>
      <c r="U782" s="478" t="s">
        <v>42</v>
      </c>
      <c r="V782" s="480" t="s">
        <v>540</v>
      </c>
      <c r="W782" s="51">
        <v>0.04</v>
      </c>
      <c r="X782" s="357">
        <v>0.18</v>
      </c>
      <c r="Z782" s="5" t="s">
        <v>48</v>
      </c>
      <c r="AA782" s="112" t="s">
        <v>19</v>
      </c>
    </row>
    <row r="783" spans="1:29" x14ac:dyDescent="0.25">
      <c r="A783" s="329">
        <v>45924</v>
      </c>
      <c r="B783" s="5">
        <v>6</v>
      </c>
      <c r="D783" s="5" t="s">
        <v>146</v>
      </c>
      <c r="E783" s="6">
        <v>2.76</v>
      </c>
      <c r="G783" s="362">
        <v>1</v>
      </c>
      <c r="H783" s="362">
        <v>0</v>
      </c>
      <c r="I783" s="8">
        <v>0.76</v>
      </c>
      <c r="L783" s="5" t="s">
        <v>112</v>
      </c>
      <c r="N783" s="476">
        <v>67</v>
      </c>
      <c r="O783" s="477" t="s">
        <v>146</v>
      </c>
      <c r="P783" s="478" t="s">
        <v>377</v>
      </c>
      <c r="Q783" s="478" t="s">
        <v>378</v>
      </c>
      <c r="R783" s="478" t="s">
        <v>712</v>
      </c>
      <c r="S783" s="479">
        <v>68</v>
      </c>
      <c r="T783" s="478" t="s">
        <v>41</v>
      </c>
      <c r="U783" s="478" t="s">
        <v>45</v>
      </c>
      <c r="V783" s="480" t="s">
        <v>20</v>
      </c>
      <c r="W783" s="51">
        <v>0.16</v>
      </c>
      <c r="X783" s="357" t="s">
        <v>53</v>
      </c>
      <c r="Z783" s="5" t="s">
        <v>13</v>
      </c>
      <c r="AA783" s="112" t="s">
        <v>19</v>
      </c>
    </row>
    <row r="784" spans="1:29" x14ac:dyDescent="0.25">
      <c r="A784" s="329">
        <v>45924</v>
      </c>
      <c r="B784" s="5">
        <v>6</v>
      </c>
      <c r="D784" s="5" t="s">
        <v>146</v>
      </c>
      <c r="E784" s="6">
        <v>2.76</v>
      </c>
      <c r="G784" s="362">
        <v>1</v>
      </c>
      <c r="H784" s="362">
        <v>0</v>
      </c>
      <c r="I784" s="8">
        <v>0.76</v>
      </c>
      <c r="L784" s="5" t="s">
        <v>112</v>
      </c>
      <c r="N784" s="476">
        <v>69</v>
      </c>
      <c r="O784" s="477" t="s">
        <v>146</v>
      </c>
      <c r="P784" s="478" t="s">
        <v>155</v>
      </c>
      <c r="Q784" s="478" t="s">
        <v>156</v>
      </c>
      <c r="R784" s="478" t="s">
        <v>686</v>
      </c>
      <c r="S784" s="479">
        <v>69</v>
      </c>
      <c r="T784" s="478" t="s">
        <v>41</v>
      </c>
      <c r="U784" s="478" t="s">
        <v>43</v>
      </c>
      <c r="V784" s="480" t="s">
        <v>10</v>
      </c>
      <c r="W784" s="51">
        <v>0.15</v>
      </c>
      <c r="X784" s="357" t="s">
        <v>53</v>
      </c>
      <c r="Y784" s="351" t="s">
        <v>353</v>
      </c>
      <c r="Z784" s="5" t="s">
        <v>744</v>
      </c>
      <c r="AA784" s="112" t="s">
        <v>19</v>
      </c>
      <c r="AB784" s="108" t="s">
        <v>127</v>
      </c>
      <c r="AC784" s="57" t="s">
        <v>246</v>
      </c>
    </row>
    <row r="785" spans="1:29" ht="15.75" thickBot="1" x14ac:dyDescent="0.3">
      <c r="A785" s="330">
        <v>45924</v>
      </c>
      <c r="B785" s="9">
        <v>6</v>
      </c>
      <c r="C785" s="122"/>
      <c r="D785" s="9" t="s">
        <v>146</v>
      </c>
      <c r="E785" s="10">
        <v>2.76</v>
      </c>
      <c r="F785" s="10"/>
      <c r="G785" s="383">
        <v>1</v>
      </c>
      <c r="H785" s="383">
        <v>0</v>
      </c>
      <c r="I785" s="12">
        <v>0.76</v>
      </c>
      <c r="J785" s="12"/>
      <c r="K785" s="122"/>
      <c r="L785" s="9" t="s">
        <v>112</v>
      </c>
      <c r="M785" s="45"/>
      <c r="N785" s="346">
        <v>69</v>
      </c>
      <c r="O785" s="454" t="s">
        <v>112</v>
      </c>
      <c r="P785" s="9" t="s">
        <v>243</v>
      </c>
      <c r="Q785" s="9" t="s">
        <v>244</v>
      </c>
      <c r="R785" s="9" t="s">
        <v>717</v>
      </c>
      <c r="S785" s="7">
        <v>60</v>
      </c>
      <c r="T785" s="9" t="s">
        <v>41</v>
      </c>
      <c r="U785" s="9" t="s">
        <v>43</v>
      </c>
      <c r="V785" s="58" t="s">
        <v>18</v>
      </c>
      <c r="W785" s="52">
        <v>0.47</v>
      </c>
      <c r="X785" s="358" t="s">
        <v>53</v>
      </c>
      <c r="Y785" s="352" t="s">
        <v>353</v>
      </c>
      <c r="Z785" s="9" t="s">
        <v>13</v>
      </c>
      <c r="AA785" s="113" t="s">
        <v>19</v>
      </c>
      <c r="AB785" s="109"/>
      <c r="AC785" s="58"/>
    </row>
    <row r="786" spans="1:29" ht="15.75" thickBot="1" x14ac:dyDescent="0.3">
      <c r="A786" s="326">
        <v>45924</v>
      </c>
      <c r="B786" s="207">
        <v>6</v>
      </c>
      <c r="C786" s="208"/>
      <c r="D786" s="207" t="s">
        <v>146</v>
      </c>
      <c r="E786" s="209">
        <v>2.76</v>
      </c>
      <c r="F786" s="209"/>
      <c r="G786" s="460">
        <v>1</v>
      </c>
      <c r="H786" s="460">
        <v>0</v>
      </c>
      <c r="I786" s="211">
        <v>0.76</v>
      </c>
      <c r="J786" s="211"/>
      <c r="K786" s="208"/>
      <c r="L786" s="207" t="s">
        <v>112</v>
      </c>
      <c r="M786" s="235"/>
      <c r="N786" s="347"/>
      <c r="O786" s="343" t="s">
        <v>146</v>
      </c>
      <c r="P786" s="199" t="s">
        <v>176</v>
      </c>
      <c r="Q786" s="199" t="s">
        <v>423</v>
      </c>
      <c r="R786" s="199" t="s">
        <v>707</v>
      </c>
      <c r="S786" s="479">
        <v>72</v>
      </c>
      <c r="T786" s="199"/>
      <c r="U786" s="199"/>
      <c r="V786" s="201"/>
      <c r="W786" s="202"/>
      <c r="X786" s="359"/>
      <c r="Y786" s="353">
        <f>H786</f>
        <v>0</v>
      </c>
      <c r="Z786" s="199"/>
      <c r="AA786" s="204"/>
      <c r="AB786" s="205"/>
      <c r="AC786" s="201"/>
    </row>
    <row r="787" spans="1:29" ht="15.75" thickBot="1" x14ac:dyDescent="0.3">
      <c r="A787" s="326">
        <v>45924</v>
      </c>
      <c r="B787" s="207">
        <v>6</v>
      </c>
      <c r="C787" s="208"/>
      <c r="D787" s="207" t="s">
        <v>146</v>
      </c>
      <c r="E787" s="209">
        <v>2.76</v>
      </c>
      <c r="F787" s="209"/>
      <c r="G787" s="460">
        <v>1</v>
      </c>
      <c r="H787" s="460">
        <v>0</v>
      </c>
      <c r="I787" s="211">
        <v>0.76</v>
      </c>
      <c r="J787" s="211"/>
      <c r="K787" s="208"/>
      <c r="L787" s="207" t="s">
        <v>112</v>
      </c>
      <c r="M787" s="235"/>
      <c r="N787" s="347"/>
      <c r="O787" s="343" t="s">
        <v>112</v>
      </c>
      <c r="P787" s="199" t="s">
        <v>60</v>
      </c>
      <c r="Q787" s="199" t="s">
        <v>464</v>
      </c>
      <c r="R787" s="199" t="s">
        <v>707</v>
      </c>
      <c r="S787" s="479">
        <v>67</v>
      </c>
      <c r="T787" s="199"/>
      <c r="U787" s="199"/>
      <c r="V787" s="201"/>
      <c r="W787" s="202"/>
      <c r="X787" s="359"/>
      <c r="Y787" s="353">
        <f>G786</f>
        <v>1</v>
      </c>
      <c r="Z787" s="199"/>
      <c r="AA787" s="204"/>
      <c r="AB787" s="205"/>
      <c r="AC787" s="201"/>
    </row>
    <row r="788" spans="1:29" x14ac:dyDescent="0.25">
      <c r="A788" s="328">
        <v>45925</v>
      </c>
      <c r="B788" s="17">
        <v>6</v>
      </c>
      <c r="C788" s="123" t="s">
        <v>705</v>
      </c>
      <c r="D788" s="17" t="s">
        <v>227</v>
      </c>
      <c r="E788" s="18">
        <v>0.9</v>
      </c>
      <c r="F788" s="18"/>
      <c r="G788" s="461">
        <v>1</v>
      </c>
      <c r="H788" s="461">
        <v>1</v>
      </c>
      <c r="I788" s="20">
        <v>0.82</v>
      </c>
      <c r="J788" s="20"/>
      <c r="K788" s="123" t="s">
        <v>701</v>
      </c>
      <c r="L788" s="17" t="s">
        <v>208</v>
      </c>
      <c r="M788" s="46"/>
      <c r="N788" s="507">
        <v>10</v>
      </c>
      <c r="O788" s="508" t="s">
        <v>227</v>
      </c>
      <c r="P788" s="509" t="s">
        <v>25</v>
      </c>
      <c r="Q788" s="509" t="s">
        <v>397</v>
      </c>
      <c r="R788" s="509" t="s">
        <v>718</v>
      </c>
      <c r="S788" s="479">
        <v>75</v>
      </c>
      <c r="T788" s="509" t="s">
        <v>354</v>
      </c>
      <c r="U788" s="509" t="s">
        <v>42</v>
      </c>
      <c r="V788" s="510" t="s">
        <v>10</v>
      </c>
      <c r="W788" s="53">
        <v>0.04</v>
      </c>
      <c r="X788" s="360">
        <v>7.0000000000000007E-2</v>
      </c>
      <c r="Y788" s="354"/>
      <c r="Z788" s="17" t="s">
        <v>8</v>
      </c>
      <c r="AA788" s="114" t="s">
        <v>19</v>
      </c>
      <c r="AB788" s="110" t="s">
        <v>347</v>
      </c>
      <c r="AC788" s="60" t="s">
        <v>348</v>
      </c>
    </row>
    <row r="789" spans="1:29" x14ac:dyDescent="0.25">
      <c r="A789" s="329">
        <v>45925</v>
      </c>
      <c r="B789" s="5">
        <v>6</v>
      </c>
      <c r="D789" s="5" t="s">
        <v>227</v>
      </c>
      <c r="E789" s="6">
        <v>0.9</v>
      </c>
      <c r="G789" s="362">
        <v>1</v>
      </c>
      <c r="H789" s="362">
        <v>1</v>
      </c>
      <c r="I789" s="8">
        <v>0.82</v>
      </c>
      <c r="L789" s="5" t="s">
        <v>208</v>
      </c>
      <c r="N789" s="476">
        <v>16</v>
      </c>
      <c r="O789" s="477" t="s">
        <v>227</v>
      </c>
      <c r="P789" s="478" t="s">
        <v>504</v>
      </c>
      <c r="Q789" s="478" t="s">
        <v>505</v>
      </c>
      <c r="R789" s="478" t="s">
        <v>687</v>
      </c>
      <c r="S789" s="479">
        <v>70</v>
      </c>
      <c r="T789" s="478" t="s">
        <v>47</v>
      </c>
      <c r="U789" s="478" t="s">
        <v>45</v>
      </c>
      <c r="V789" s="480" t="s">
        <v>33</v>
      </c>
      <c r="W789" s="51">
        <v>0.27</v>
      </c>
      <c r="X789" s="357" t="s">
        <v>53</v>
      </c>
      <c r="Y789" s="351" t="s">
        <v>353</v>
      </c>
      <c r="Z789" s="5" t="s">
        <v>13</v>
      </c>
      <c r="AA789" s="112" t="s">
        <v>19</v>
      </c>
    </row>
    <row r="790" spans="1:29" x14ac:dyDescent="0.25">
      <c r="A790" s="329">
        <v>45925</v>
      </c>
      <c r="B790" s="5">
        <v>6</v>
      </c>
      <c r="D790" s="5" t="s">
        <v>227</v>
      </c>
      <c r="E790" s="6">
        <v>0.9</v>
      </c>
      <c r="G790" s="362">
        <v>1</v>
      </c>
      <c r="H790" s="362">
        <v>1</v>
      </c>
      <c r="I790" s="8">
        <v>0.82</v>
      </c>
      <c r="L790" s="5" t="s">
        <v>208</v>
      </c>
      <c r="N790" s="476">
        <v>22</v>
      </c>
      <c r="O790" s="477" t="s">
        <v>227</v>
      </c>
      <c r="P790" s="478" t="s">
        <v>25</v>
      </c>
      <c r="Q790" s="478" t="s">
        <v>397</v>
      </c>
      <c r="R790" s="478" t="s">
        <v>718</v>
      </c>
      <c r="S790" s="479">
        <v>75</v>
      </c>
      <c r="T790" s="478" t="s">
        <v>41</v>
      </c>
      <c r="U790" s="478" t="s">
        <v>42</v>
      </c>
      <c r="V790" s="480" t="s">
        <v>10</v>
      </c>
      <c r="W790" s="51">
        <v>0.05</v>
      </c>
      <c r="X790" s="357">
        <v>0.18</v>
      </c>
      <c r="Z790" s="5" t="s">
        <v>48</v>
      </c>
      <c r="AA790" s="112" t="s">
        <v>19</v>
      </c>
    </row>
    <row r="791" spans="1:29" x14ac:dyDescent="0.25">
      <c r="A791" s="329">
        <v>45925</v>
      </c>
      <c r="B791" s="5">
        <v>6</v>
      </c>
      <c r="D791" s="5" t="s">
        <v>227</v>
      </c>
      <c r="E791" s="6">
        <v>0.9</v>
      </c>
      <c r="G791" s="362">
        <v>1</v>
      </c>
      <c r="H791" s="362">
        <v>1</v>
      </c>
      <c r="I791" s="8">
        <v>0.82</v>
      </c>
      <c r="L791" s="5" t="s">
        <v>208</v>
      </c>
      <c r="N791" s="476">
        <v>45</v>
      </c>
      <c r="O791" s="477" t="s">
        <v>227</v>
      </c>
      <c r="P791" s="478" t="s">
        <v>400</v>
      </c>
      <c r="Q791" s="478" t="s">
        <v>401</v>
      </c>
      <c r="R791" s="478" t="s">
        <v>688</v>
      </c>
      <c r="S791" s="479">
        <v>65</v>
      </c>
      <c r="T791" s="478" t="s">
        <v>47</v>
      </c>
      <c r="U791" s="478" t="s">
        <v>45</v>
      </c>
      <c r="V791" s="480" t="s">
        <v>10</v>
      </c>
      <c r="W791" s="51">
        <v>0.14000000000000001</v>
      </c>
      <c r="X791" s="357" t="s">
        <v>53</v>
      </c>
      <c r="Z791" s="5" t="s">
        <v>16</v>
      </c>
      <c r="AA791" s="112" t="s">
        <v>19</v>
      </c>
    </row>
    <row r="792" spans="1:29" x14ac:dyDescent="0.25">
      <c r="A792" s="329">
        <v>45925</v>
      </c>
      <c r="B792" s="5">
        <v>6</v>
      </c>
      <c r="D792" s="5" t="s">
        <v>227</v>
      </c>
      <c r="E792" s="6">
        <v>0.9</v>
      </c>
      <c r="G792" s="362">
        <v>1</v>
      </c>
      <c r="H792" s="362">
        <v>1</v>
      </c>
      <c r="I792" s="8">
        <v>0.82</v>
      </c>
      <c r="L792" s="5" t="s">
        <v>208</v>
      </c>
      <c r="N792" s="345">
        <v>49</v>
      </c>
      <c r="O792" s="38" t="s">
        <v>208</v>
      </c>
      <c r="P792" s="5" t="s">
        <v>216</v>
      </c>
      <c r="Q792" s="5" t="s">
        <v>506</v>
      </c>
      <c r="R792" s="5" t="s">
        <v>688</v>
      </c>
      <c r="S792" s="7">
        <v>69</v>
      </c>
      <c r="T792" s="5" t="s">
        <v>41</v>
      </c>
      <c r="U792" s="5" t="s">
        <v>42</v>
      </c>
      <c r="V792" s="57" t="s">
        <v>10</v>
      </c>
      <c r="W792" s="51">
        <v>0.16</v>
      </c>
      <c r="X792" s="357">
        <v>0.12</v>
      </c>
      <c r="Y792" s="351" t="s">
        <v>353</v>
      </c>
      <c r="Z792" s="5" t="s">
        <v>48</v>
      </c>
      <c r="AA792" s="112" t="s">
        <v>19</v>
      </c>
    </row>
    <row r="793" spans="1:29" x14ac:dyDescent="0.25">
      <c r="A793" s="329">
        <v>45925</v>
      </c>
      <c r="B793" s="5">
        <v>6</v>
      </c>
      <c r="D793" s="5" t="s">
        <v>227</v>
      </c>
      <c r="E793" s="6">
        <v>0.9</v>
      </c>
      <c r="G793" s="362">
        <v>1</v>
      </c>
      <c r="H793" s="362">
        <v>1</v>
      </c>
      <c r="I793" s="8">
        <v>0.82</v>
      </c>
      <c r="L793" s="5" t="s">
        <v>208</v>
      </c>
      <c r="N793" s="345">
        <v>54</v>
      </c>
      <c r="O793" s="38" t="s">
        <v>208</v>
      </c>
      <c r="P793" s="5" t="s">
        <v>507</v>
      </c>
      <c r="Q793" s="5" t="s">
        <v>508</v>
      </c>
      <c r="R793" s="5" t="s">
        <v>695</v>
      </c>
      <c r="S793" s="459">
        <v>61</v>
      </c>
      <c r="T793" s="5" t="s">
        <v>41</v>
      </c>
      <c r="U793" s="5" t="s">
        <v>43</v>
      </c>
      <c r="V793" s="57" t="s">
        <v>540</v>
      </c>
      <c r="W793" s="51">
        <v>0.1</v>
      </c>
      <c r="X793" s="357" t="s">
        <v>53</v>
      </c>
      <c r="Z793" s="5" t="s">
        <v>52</v>
      </c>
      <c r="AA793" s="112" t="s">
        <v>19</v>
      </c>
    </row>
    <row r="794" spans="1:29" x14ac:dyDescent="0.25">
      <c r="A794" s="329">
        <v>45925</v>
      </c>
      <c r="B794" s="5">
        <v>6</v>
      </c>
      <c r="D794" s="5" t="s">
        <v>227</v>
      </c>
      <c r="E794" s="6">
        <v>0.9</v>
      </c>
      <c r="G794" s="362">
        <v>1</v>
      </c>
      <c r="H794" s="362">
        <v>1</v>
      </c>
      <c r="I794" s="8">
        <v>0.82</v>
      </c>
      <c r="L794" s="5" t="s">
        <v>208</v>
      </c>
      <c r="N794" s="476">
        <v>56</v>
      </c>
      <c r="O794" s="477" t="s">
        <v>227</v>
      </c>
      <c r="P794" s="478" t="s">
        <v>25</v>
      </c>
      <c r="Q794" s="478" t="s">
        <v>397</v>
      </c>
      <c r="R794" s="478" t="s">
        <v>718</v>
      </c>
      <c r="S794" s="481">
        <v>75</v>
      </c>
      <c r="T794" s="478" t="s">
        <v>41</v>
      </c>
      <c r="U794" s="478" t="s">
        <v>42</v>
      </c>
      <c r="V794" s="480" t="s">
        <v>18</v>
      </c>
      <c r="W794" s="51">
        <v>0.14000000000000001</v>
      </c>
      <c r="X794" s="357" t="s">
        <v>53</v>
      </c>
      <c r="Z794" s="5" t="s">
        <v>52</v>
      </c>
      <c r="AA794" s="112" t="s">
        <v>19</v>
      </c>
    </row>
    <row r="795" spans="1:29" x14ac:dyDescent="0.25">
      <c r="A795" s="329">
        <v>45925</v>
      </c>
      <c r="B795" s="5">
        <v>6</v>
      </c>
      <c r="D795" s="5" t="s">
        <v>227</v>
      </c>
      <c r="E795" s="6">
        <v>0.9</v>
      </c>
      <c r="G795" s="362">
        <v>1</v>
      </c>
      <c r="H795" s="362">
        <v>1</v>
      </c>
      <c r="I795" s="8">
        <v>0.82</v>
      </c>
      <c r="L795" s="5" t="s">
        <v>208</v>
      </c>
      <c r="N795" s="345">
        <v>63</v>
      </c>
      <c r="O795" s="38" t="s">
        <v>208</v>
      </c>
      <c r="P795" s="5" t="s">
        <v>61</v>
      </c>
      <c r="Q795" s="5" t="s">
        <v>261</v>
      </c>
      <c r="R795" s="5" t="s">
        <v>696</v>
      </c>
      <c r="S795" s="479">
        <v>63</v>
      </c>
      <c r="T795" s="5" t="s">
        <v>41</v>
      </c>
      <c r="U795" s="5" t="s">
        <v>43</v>
      </c>
      <c r="V795" s="57" t="s">
        <v>10</v>
      </c>
      <c r="W795" s="51">
        <v>0.2</v>
      </c>
      <c r="X795" s="357" t="s">
        <v>53</v>
      </c>
      <c r="Z795" s="5" t="s">
        <v>17</v>
      </c>
      <c r="AA795" s="112" t="s">
        <v>19</v>
      </c>
    </row>
    <row r="796" spans="1:29" x14ac:dyDescent="0.25">
      <c r="A796" s="329">
        <v>45925</v>
      </c>
      <c r="B796" s="5">
        <v>6</v>
      </c>
      <c r="D796" s="5" t="s">
        <v>227</v>
      </c>
      <c r="E796" s="6">
        <v>0.9</v>
      </c>
      <c r="G796" s="362">
        <v>1</v>
      </c>
      <c r="H796" s="362">
        <v>1</v>
      </c>
      <c r="I796" s="8">
        <v>0.82</v>
      </c>
      <c r="L796" s="5" t="s">
        <v>208</v>
      </c>
      <c r="N796" s="345">
        <v>73</v>
      </c>
      <c r="O796" s="38" t="s">
        <v>208</v>
      </c>
      <c r="P796" s="5" t="s">
        <v>74</v>
      </c>
      <c r="Q796" s="5" t="s">
        <v>211</v>
      </c>
      <c r="R796" s="5" t="s">
        <v>718</v>
      </c>
      <c r="S796" s="7">
        <v>67</v>
      </c>
      <c r="T796" s="5" t="s">
        <v>47</v>
      </c>
      <c r="U796" s="5" t="s">
        <v>45</v>
      </c>
      <c r="V796" s="57" t="s">
        <v>20</v>
      </c>
      <c r="W796" s="51">
        <v>0.06</v>
      </c>
      <c r="X796" s="357">
        <v>0.15</v>
      </c>
      <c r="Y796" s="351" t="s">
        <v>353</v>
      </c>
      <c r="Z796" s="5" t="s">
        <v>48</v>
      </c>
      <c r="AA796" s="112" t="s">
        <v>19</v>
      </c>
    </row>
    <row r="797" spans="1:29" x14ac:dyDescent="0.25">
      <c r="A797" s="329">
        <v>45925</v>
      </c>
      <c r="B797" s="5">
        <v>6</v>
      </c>
      <c r="D797" s="5" t="s">
        <v>227</v>
      </c>
      <c r="E797" s="6">
        <v>0.9</v>
      </c>
      <c r="G797" s="362">
        <v>1</v>
      </c>
      <c r="H797" s="362">
        <v>1</v>
      </c>
      <c r="I797" s="8">
        <v>0.82</v>
      </c>
      <c r="L797" s="5" t="s">
        <v>208</v>
      </c>
      <c r="N797" s="476">
        <v>81</v>
      </c>
      <c r="O797" s="477" t="s">
        <v>227</v>
      </c>
      <c r="P797" s="478" t="s">
        <v>398</v>
      </c>
      <c r="Q797" s="478" t="s">
        <v>399</v>
      </c>
      <c r="R797" s="478" t="s">
        <v>696</v>
      </c>
      <c r="S797" s="479">
        <v>62</v>
      </c>
      <c r="T797" s="478" t="s">
        <v>41</v>
      </c>
      <c r="U797" s="478" t="s">
        <v>43</v>
      </c>
      <c r="V797" s="480" t="s">
        <v>18</v>
      </c>
      <c r="W797" s="51">
        <v>0.14000000000000001</v>
      </c>
      <c r="X797" s="357" t="s">
        <v>53</v>
      </c>
      <c r="Z797" s="5" t="s">
        <v>16</v>
      </c>
      <c r="AA797" s="112" t="s">
        <v>19</v>
      </c>
    </row>
    <row r="798" spans="1:29" x14ac:dyDescent="0.25">
      <c r="A798" s="329">
        <v>45925</v>
      </c>
      <c r="B798" s="5">
        <v>6</v>
      </c>
      <c r="D798" s="5" t="s">
        <v>227</v>
      </c>
      <c r="E798" s="6">
        <v>0.9</v>
      </c>
      <c r="G798" s="362">
        <v>1</v>
      </c>
      <c r="H798" s="362">
        <v>1</v>
      </c>
      <c r="I798" s="8">
        <v>0.82</v>
      </c>
      <c r="L798" s="5" t="s">
        <v>208</v>
      </c>
      <c r="N798" s="345">
        <v>89</v>
      </c>
      <c r="O798" s="38" t="s">
        <v>208</v>
      </c>
      <c r="P798" s="5" t="s">
        <v>61</v>
      </c>
      <c r="Q798" s="5" t="s">
        <v>261</v>
      </c>
      <c r="R798" s="5" t="s">
        <v>696</v>
      </c>
      <c r="S798" s="479">
        <v>63</v>
      </c>
      <c r="T798" s="5" t="s">
        <v>354</v>
      </c>
      <c r="U798" s="5" t="s">
        <v>42</v>
      </c>
      <c r="V798" s="57" t="s">
        <v>20</v>
      </c>
      <c r="W798" s="51">
        <v>0.02</v>
      </c>
      <c r="X798" s="357" t="s">
        <v>53</v>
      </c>
      <c r="Z798" s="5" t="s">
        <v>22</v>
      </c>
      <c r="AA798" s="112" t="s">
        <v>19</v>
      </c>
    </row>
    <row r="799" spans="1:29" ht="15.75" thickBot="1" x14ac:dyDescent="0.3">
      <c r="A799" s="330">
        <v>45925</v>
      </c>
      <c r="B799" s="9">
        <v>6</v>
      </c>
      <c r="C799" s="122"/>
      <c r="D799" s="9" t="s">
        <v>227</v>
      </c>
      <c r="E799" s="10">
        <v>0.9</v>
      </c>
      <c r="F799" s="10"/>
      <c r="G799" s="383">
        <v>1</v>
      </c>
      <c r="H799" s="383">
        <v>1</v>
      </c>
      <c r="I799" s="12">
        <v>0.82</v>
      </c>
      <c r="J799" s="12"/>
      <c r="K799" s="122"/>
      <c r="L799" s="9" t="s">
        <v>208</v>
      </c>
      <c r="M799" s="45"/>
      <c r="N799" s="346" t="s">
        <v>35</v>
      </c>
      <c r="O799" s="454" t="s">
        <v>208</v>
      </c>
      <c r="P799" s="9" t="s">
        <v>509</v>
      </c>
      <c r="Q799" s="9" t="s">
        <v>510</v>
      </c>
      <c r="R799" s="9" t="s">
        <v>696</v>
      </c>
      <c r="S799" s="479">
        <v>70</v>
      </c>
      <c r="T799" s="9" t="s">
        <v>41</v>
      </c>
      <c r="U799" s="9" t="s">
        <v>43</v>
      </c>
      <c r="V799" s="58" t="s">
        <v>540</v>
      </c>
      <c r="W799" s="52">
        <v>0.12</v>
      </c>
      <c r="X799" s="358">
        <v>0.88</v>
      </c>
      <c r="Y799" s="352" t="s">
        <v>353</v>
      </c>
      <c r="Z799" s="9" t="s">
        <v>8</v>
      </c>
      <c r="AA799" s="113" t="s">
        <v>51</v>
      </c>
      <c r="AB799" s="109" t="s">
        <v>509</v>
      </c>
      <c r="AC799" s="58" t="s">
        <v>510</v>
      </c>
    </row>
    <row r="800" spans="1:29" ht="15.75" thickBot="1" x14ac:dyDescent="0.3">
      <c r="A800" s="326">
        <v>45925</v>
      </c>
      <c r="B800" s="207">
        <v>6</v>
      </c>
      <c r="C800" s="208"/>
      <c r="D800" s="207" t="s">
        <v>227</v>
      </c>
      <c r="E800" s="209">
        <v>0.9</v>
      </c>
      <c r="F800" s="209"/>
      <c r="G800" s="460">
        <v>1</v>
      </c>
      <c r="H800" s="460">
        <v>1</v>
      </c>
      <c r="I800" s="211">
        <v>0.82</v>
      </c>
      <c r="J800" s="211"/>
      <c r="K800" s="208"/>
      <c r="L800" s="207" t="s">
        <v>208</v>
      </c>
      <c r="M800" s="235"/>
      <c r="N800" s="347"/>
      <c r="O800" s="343" t="s">
        <v>227</v>
      </c>
      <c r="P800" s="199" t="s">
        <v>298</v>
      </c>
      <c r="Q800" s="199" t="s">
        <v>86</v>
      </c>
      <c r="R800" s="199" t="s">
        <v>707</v>
      </c>
      <c r="S800" s="479">
        <v>62</v>
      </c>
      <c r="T800" s="199"/>
      <c r="U800" s="199"/>
      <c r="V800" s="201"/>
      <c r="W800" s="202"/>
      <c r="X800" s="359"/>
      <c r="Y800" s="353">
        <f>H800</f>
        <v>1</v>
      </c>
      <c r="Z800" s="199"/>
      <c r="AA800" s="204"/>
      <c r="AB800" s="205"/>
      <c r="AC800" s="201"/>
    </row>
    <row r="801" spans="1:29" ht="15.75" thickBot="1" x14ac:dyDescent="0.3">
      <c r="A801" s="326">
        <v>45925</v>
      </c>
      <c r="B801" s="207">
        <v>6</v>
      </c>
      <c r="C801" s="208"/>
      <c r="D801" s="207" t="s">
        <v>227</v>
      </c>
      <c r="E801" s="209">
        <v>0.9</v>
      </c>
      <c r="F801" s="209"/>
      <c r="G801" s="460">
        <v>1</v>
      </c>
      <c r="H801" s="460">
        <v>1</v>
      </c>
      <c r="I801" s="211">
        <v>0.82</v>
      </c>
      <c r="J801" s="211"/>
      <c r="K801" s="208"/>
      <c r="L801" s="207" t="s">
        <v>208</v>
      </c>
      <c r="M801" s="235"/>
      <c r="N801" s="347"/>
      <c r="O801" s="343" t="s">
        <v>208</v>
      </c>
      <c r="P801" s="199" t="s">
        <v>295</v>
      </c>
      <c r="Q801" s="199" t="s">
        <v>735</v>
      </c>
      <c r="R801" s="199" t="s">
        <v>707</v>
      </c>
      <c r="S801" s="7">
        <v>60</v>
      </c>
      <c r="T801" s="199"/>
      <c r="U801" s="199"/>
      <c r="V801" s="201"/>
      <c r="W801" s="202"/>
      <c r="X801" s="359"/>
      <c r="Y801" s="353">
        <f>G800</f>
        <v>1</v>
      </c>
      <c r="Z801" s="199"/>
      <c r="AA801" s="204"/>
      <c r="AB801" s="205"/>
      <c r="AC801" s="201"/>
    </row>
    <row r="802" spans="1:29" x14ac:dyDescent="0.25">
      <c r="A802" s="331">
        <v>45925</v>
      </c>
      <c r="B802" s="13">
        <v>6</v>
      </c>
      <c r="C802" s="124" t="s">
        <v>704</v>
      </c>
      <c r="D802" s="13" t="s">
        <v>92</v>
      </c>
      <c r="E802" s="14">
        <v>1.04</v>
      </c>
      <c r="F802" s="14"/>
      <c r="G802" s="375">
        <v>1</v>
      </c>
      <c r="H802" s="375">
        <v>3</v>
      </c>
      <c r="I802" s="16">
        <v>2.0699999999999998</v>
      </c>
      <c r="J802" s="16"/>
      <c r="K802" s="124" t="s">
        <v>693</v>
      </c>
      <c r="L802" s="13" t="s">
        <v>113</v>
      </c>
      <c r="M802" s="47"/>
      <c r="N802" s="349">
        <v>3</v>
      </c>
      <c r="O802" s="458" t="s">
        <v>113</v>
      </c>
      <c r="P802" s="13" t="s">
        <v>124</v>
      </c>
      <c r="Q802" s="13" t="s">
        <v>125</v>
      </c>
      <c r="R802" s="13" t="s">
        <v>699</v>
      </c>
      <c r="S802" s="7">
        <v>72</v>
      </c>
      <c r="T802" s="13" t="s">
        <v>354</v>
      </c>
      <c r="U802" s="13" t="s">
        <v>42</v>
      </c>
      <c r="V802" s="60" t="s">
        <v>10</v>
      </c>
      <c r="W802" s="54">
        <v>0.01</v>
      </c>
      <c r="X802" s="361" t="s">
        <v>53</v>
      </c>
      <c r="Y802" s="355"/>
      <c r="Z802" s="13" t="s">
        <v>55</v>
      </c>
      <c r="AA802" s="115" t="s">
        <v>28</v>
      </c>
      <c r="AB802" s="110"/>
      <c r="AC802" s="60"/>
    </row>
    <row r="803" spans="1:29" x14ac:dyDescent="0.25">
      <c r="A803" s="329">
        <v>45925</v>
      </c>
      <c r="B803" s="5">
        <v>6</v>
      </c>
      <c r="D803" s="5" t="s">
        <v>92</v>
      </c>
      <c r="E803" s="6">
        <v>1.04</v>
      </c>
      <c r="G803" s="362">
        <v>1</v>
      </c>
      <c r="H803" s="362">
        <v>3</v>
      </c>
      <c r="I803" s="8">
        <v>2.0699999999999998</v>
      </c>
      <c r="L803" s="5" t="s">
        <v>113</v>
      </c>
      <c r="N803" s="476">
        <v>6</v>
      </c>
      <c r="O803" s="477" t="s">
        <v>92</v>
      </c>
      <c r="P803" s="478" t="s">
        <v>316</v>
      </c>
      <c r="Q803" s="478" t="s">
        <v>511</v>
      </c>
      <c r="R803" s="478" t="s">
        <v>712</v>
      </c>
      <c r="S803" s="479">
        <v>67</v>
      </c>
      <c r="T803" s="478" t="s">
        <v>47</v>
      </c>
      <c r="U803" s="478" t="s">
        <v>45</v>
      </c>
      <c r="V803" s="480" t="s">
        <v>20</v>
      </c>
      <c r="W803" s="51">
        <v>0.14000000000000001</v>
      </c>
      <c r="X803" s="357" t="s">
        <v>53</v>
      </c>
      <c r="Z803" s="5" t="s">
        <v>13</v>
      </c>
      <c r="AA803" s="112" t="s">
        <v>28</v>
      </c>
    </row>
    <row r="804" spans="1:29" x14ac:dyDescent="0.25">
      <c r="A804" s="329">
        <v>45925</v>
      </c>
      <c r="B804" s="5">
        <v>6</v>
      </c>
      <c r="D804" s="5" t="s">
        <v>92</v>
      </c>
      <c r="E804" s="6">
        <v>1.04</v>
      </c>
      <c r="G804" s="362">
        <v>1</v>
      </c>
      <c r="H804" s="362">
        <v>3</v>
      </c>
      <c r="I804" s="8">
        <v>2.0699999999999998</v>
      </c>
      <c r="L804" s="5" t="s">
        <v>113</v>
      </c>
      <c r="N804" s="476">
        <v>7</v>
      </c>
      <c r="O804" s="477" t="s">
        <v>92</v>
      </c>
      <c r="P804" s="478" t="s">
        <v>320</v>
      </c>
      <c r="Q804" s="478" t="s">
        <v>321</v>
      </c>
      <c r="R804" s="478" t="s">
        <v>695</v>
      </c>
      <c r="S804" s="479">
        <v>69</v>
      </c>
      <c r="T804" s="478" t="s">
        <v>47</v>
      </c>
      <c r="U804" s="478" t="s">
        <v>45</v>
      </c>
      <c r="V804" s="480" t="s">
        <v>20</v>
      </c>
      <c r="W804" s="51">
        <v>0.16</v>
      </c>
      <c r="X804" s="357" t="s">
        <v>53</v>
      </c>
      <c r="Z804" s="5" t="s">
        <v>52</v>
      </c>
      <c r="AA804" s="112" t="s">
        <v>28</v>
      </c>
    </row>
    <row r="805" spans="1:29" x14ac:dyDescent="0.25">
      <c r="A805" s="329">
        <v>45925</v>
      </c>
      <c r="B805" s="5">
        <v>6</v>
      </c>
      <c r="D805" s="5" t="s">
        <v>92</v>
      </c>
      <c r="E805" s="6">
        <v>1.04</v>
      </c>
      <c r="G805" s="362">
        <v>1</v>
      </c>
      <c r="H805" s="362">
        <v>3</v>
      </c>
      <c r="I805" s="8">
        <v>2.0699999999999998</v>
      </c>
      <c r="L805" s="5" t="s">
        <v>113</v>
      </c>
      <c r="N805" s="345">
        <v>10</v>
      </c>
      <c r="O805" s="38" t="s">
        <v>113</v>
      </c>
      <c r="P805" s="5" t="s">
        <v>468</v>
      </c>
      <c r="Q805" s="5" t="s">
        <v>469</v>
      </c>
      <c r="R805" s="5" t="s">
        <v>685</v>
      </c>
      <c r="S805" s="479">
        <v>76</v>
      </c>
      <c r="T805" s="5" t="s">
        <v>41</v>
      </c>
      <c r="U805" s="5" t="s">
        <v>42</v>
      </c>
      <c r="V805" s="57" t="s">
        <v>10</v>
      </c>
      <c r="W805" s="51">
        <v>0.12</v>
      </c>
      <c r="X805" s="357">
        <v>0.12</v>
      </c>
      <c r="Z805" s="5" t="s">
        <v>48</v>
      </c>
      <c r="AA805" s="112" t="s">
        <v>28</v>
      </c>
    </row>
    <row r="806" spans="1:29" x14ac:dyDescent="0.25">
      <c r="A806" s="329">
        <v>45925</v>
      </c>
      <c r="B806" s="5">
        <v>6</v>
      </c>
      <c r="D806" s="5" t="s">
        <v>92</v>
      </c>
      <c r="E806" s="6">
        <v>1.04</v>
      </c>
      <c r="G806" s="362">
        <v>1</v>
      </c>
      <c r="H806" s="362">
        <v>3</v>
      </c>
      <c r="I806" s="8">
        <v>2.0699999999999998</v>
      </c>
      <c r="L806" s="5" t="s">
        <v>113</v>
      </c>
      <c r="N806" s="476">
        <v>24</v>
      </c>
      <c r="O806" s="477" t="s">
        <v>92</v>
      </c>
      <c r="P806" s="478" t="s">
        <v>108</v>
      </c>
      <c r="Q806" s="478" t="s">
        <v>109</v>
      </c>
      <c r="R806" s="478" t="s">
        <v>684</v>
      </c>
      <c r="S806" s="479">
        <v>67</v>
      </c>
      <c r="T806" s="478" t="s">
        <v>47</v>
      </c>
      <c r="U806" s="478" t="s">
        <v>42</v>
      </c>
      <c r="V806" s="480" t="s">
        <v>29</v>
      </c>
      <c r="W806" s="51">
        <v>0.16</v>
      </c>
      <c r="X806" s="357" t="s">
        <v>53</v>
      </c>
      <c r="Y806" s="351" t="s">
        <v>353</v>
      </c>
      <c r="Z806" s="5" t="s">
        <v>52</v>
      </c>
      <c r="AA806" s="112" t="s">
        <v>28</v>
      </c>
    </row>
    <row r="807" spans="1:29" x14ac:dyDescent="0.25">
      <c r="A807" s="329">
        <v>45925</v>
      </c>
      <c r="B807" s="5">
        <v>6</v>
      </c>
      <c r="D807" s="5" t="s">
        <v>92</v>
      </c>
      <c r="E807" s="6">
        <v>1.04</v>
      </c>
      <c r="G807" s="362">
        <v>1</v>
      </c>
      <c r="H807" s="362">
        <v>3</v>
      </c>
      <c r="I807" s="8">
        <v>2.0699999999999998</v>
      </c>
      <c r="L807" s="5" t="s">
        <v>113</v>
      </c>
      <c r="N807" s="345">
        <v>32</v>
      </c>
      <c r="O807" s="38" t="s">
        <v>113</v>
      </c>
      <c r="P807" s="5" t="s">
        <v>53</v>
      </c>
      <c r="Q807" s="5" t="s">
        <v>117</v>
      </c>
      <c r="R807" s="5" t="s">
        <v>686</v>
      </c>
      <c r="S807" s="7">
        <v>69</v>
      </c>
      <c r="T807" s="5" t="s">
        <v>354</v>
      </c>
      <c r="U807" s="5" t="s">
        <v>43</v>
      </c>
      <c r="V807" s="57" t="s">
        <v>20</v>
      </c>
      <c r="W807" s="51">
        <v>0.01</v>
      </c>
      <c r="X807" s="357" t="s">
        <v>53</v>
      </c>
      <c r="Z807" s="5" t="s">
        <v>17</v>
      </c>
      <c r="AA807" s="112" t="s">
        <v>19</v>
      </c>
    </row>
    <row r="808" spans="1:29" x14ac:dyDescent="0.25">
      <c r="A808" s="329">
        <v>45925</v>
      </c>
      <c r="B808" s="5">
        <v>6</v>
      </c>
      <c r="D808" s="5" t="s">
        <v>92</v>
      </c>
      <c r="E808" s="6">
        <v>1.04</v>
      </c>
      <c r="G808" s="362">
        <v>1</v>
      </c>
      <c r="H808" s="362">
        <v>3</v>
      </c>
      <c r="I808" s="8">
        <v>2.0699999999999998</v>
      </c>
      <c r="L808" s="5" t="s">
        <v>113</v>
      </c>
      <c r="N808" s="476">
        <v>33</v>
      </c>
      <c r="O808" s="477" t="s">
        <v>92</v>
      </c>
      <c r="P808" s="478" t="s">
        <v>332</v>
      </c>
      <c r="Q808" s="478" t="s">
        <v>370</v>
      </c>
      <c r="R808" s="478" t="s">
        <v>695</v>
      </c>
      <c r="S808" s="481">
        <v>72</v>
      </c>
      <c r="T808" s="478" t="s">
        <v>354</v>
      </c>
      <c r="U808" s="478" t="s">
        <v>42</v>
      </c>
      <c r="V808" s="480" t="s">
        <v>540</v>
      </c>
      <c r="W808" s="51">
        <v>0.11</v>
      </c>
      <c r="X808" s="357">
        <v>0.87</v>
      </c>
      <c r="Z808" s="5" t="s">
        <v>8</v>
      </c>
      <c r="AA808" s="112" t="s">
        <v>19</v>
      </c>
    </row>
    <row r="809" spans="1:29" x14ac:dyDescent="0.25">
      <c r="A809" s="329">
        <v>45925</v>
      </c>
      <c r="B809" s="5">
        <v>6</v>
      </c>
      <c r="D809" s="5" t="s">
        <v>92</v>
      </c>
      <c r="E809" s="6">
        <v>1.04</v>
      </c>
      <c r="G809" s="362">
        <v>1</v>
      </c>
      <c r="H809" s="362">
        <v>3</v>
      </c>
      <c r="I809" s="8">
        <v>2.0699999999999998</v>
      </c>
      <c r="L809" s="5" t="s">
        <v>113</v>
      </c>
      <c r="N809" s="345">
        <v>55</v>
      </c>
      <c r="O809" s="38" t="s">
        <v>113</v>
      </c>
      <c r="P809" s="5" t="s">
        <v>124</v>
      </c>
      <c r="Q809" s="5" t="s">
        <v>125</v>
      </c>
      <c r="R809" s="5" t="s">
        <v>699</v>
      </c>
      <c r="S809" s="459">
        <v>72</v>
      </c>
      <c r="T809" s="5" t="s">
        <v>41</v>
      </c>
      <c r="U809" s="5" t="s">
        <v>42</v>
      </c>
      <c r="V809" s="57" t="s">
        <v>10</v>
      </c>
      <c r="W809" s="51">
        <v>0.12</v>
      </c>
      <c r="X809" s="357" t="s">
        <v>53</v>
      </c>
      <c r="Z809" s="5" t="s">
        <v>13</v>
      </c>
      <c r="AA809" s="112" t="s">
        <v>19</v>
      </c>
    </row>
    <row r="810" spans="1:29" x14ac:dyDescent="0.25">
      <c r="A810" s="329">
        <v>45925</v>
      </c>
      <c r="B810" s="5">
        <v>6</v>
      </c>
      <c r="D810" s="5" t="s">
        <v>92</v>
      </c>
      <c r="E810" s="6">
        <v>1.04</v>
      </c>
      <c r="G810" s="362">
        <v>1</v>
      </c>
      <c r="H810" s="362">
        <v>3</v>
      </c>
      <c r="I810" s="8">
        <v>2.0699999999999998</v>
      </c>
      <c r="L810" s="5" t="s">
        <v>113</v>
      </c>
      <c r="N810" s="345">
        <v>56</v>
      </c>
      <c r="O810" s="38" t="s">
        <v>113</v>
      </c>
      <c r="P810" s="5" t="s">
        <v>118</v>
      </c>
      <c r="Q810" s="5" t="s">
        <v>119</v>
      </c>
      <c r="R810" s="5" t="s">
        <v>684</v>
      </c>
      <c r="S810" s="479">
        <v>70</v>
      </c>
      <c r="T810" s="5" t="s">
        <v>41</v>
      </c>
      <c r="U810" s="5" t="s">
        <v>42</v>
      </c>
      <c r="V810" s="57" t="s">
        <v>20</v>
      </c>
      <c r="W810" s="51">
        <v>0.16</v>
      </c>
      <c r="X810" s="357">
        <v>0.17</v>
      </c>
      <c r="Z810" s="5" t="s">
        <v>48</v>
      </c>
      <c r="AA810" s="112" t="s">
        <v>19</v>
      </c>
    </row>
    <row r="811" spans="1:29" x14ac:dyDescent="0.25">
      <c r="A811" s="329">
        <v>45925</v>
      </c>
      <c r="B811" s="5">
        <v>6</v>
      </c>
      <c r="D811" s="5" t="s">
        <v>92</v>
      </c>
      <c r="E811" s="6">
        <v>1.04</v>
      </c>
      <c r="G811" s="362">
        <v>1</v>
      </c>
      <c r="H811" s="362">
        <v>3</v>
      </c>
      <c r="I811" s="8">
        <v>2.0699999999999998</v>
      </c>
      <c r="L811" s="5" t="s">
        <v>113</v>
      </c>
      <c r="N811" s="345">
        <v>56</v>
      </c>
      <c r="O811" s="38" t="s">
        <v>113</v>
      </c>
      <c r="P811" s="5" t="s">
        <v>267</v>
      </c>
      <c r="Q811" s="5" t="s">
        <v>75</v>
      </c>
      <c r="R811" s="5" t="s">
        <v>689</v>
      </c>
      <c r="S811" s="7">
        <v>78</v>
      </c>
      <c r="T811" s="5" t="s">
        <v>47</v>
      </c>
      <c r="U811" s="5" t="s">
        <v>43</v>
      </c>
      <c r="V811" s="57" t="s">
        <v>20</v>
      </c>
      <c r="W811" s="51">
        <v>0.79</v>
      </c>
      <c r="X811" s="357">
        <v>0.97</v>
      </c>
      <c r="Y811" s="351" t="s">
        <v>353</v>
      </c>
      <c r="Z811" s="5" t="s">
        <v>8</v>
      </c>
      <c r="AA811" s="112" t="s">
        <v>51</v>
      </c>
    </row>
    <row r="812" spans="1:29" x14ac:dyDescent="0.25">
      <c r="A812" s="329">
        <v>45925</v>
      </c>
      <c r="B812" s="5">
        <v>6</v>
      </c>
      <c r="D812" s="5" t="s">
        <v>92</v>
      </c>
      <c r="E812" s="6">
        <v>1.04</v>
      </c>
      <c r="G812" s="362">
        <v>1</v>
      </c>
      <c r="H812" s="362">
        <v>3</v>
      </c>
      <c r="I812" s="8">
        <v>2.0699999999999998</v>
      </c>
      <c r="L812" s="5" t="s">
        <v>113</v>
      </c>
      <c r="N812" s="345">
        <v>57</v>
      </c>
      <c r="O812" s="38" t="s">
        <v>113</v>
      </c>
      <c r="P812" s="5" t="s">
        <v>53</v>
      </c>
      <c r="Q812" s="5" t="s">
        <v>117</v>
      </c>
      <c r="R812" s="5" t="s">
        <v>686</v>
      </c>
      <c r="S812" s="7">
        <v>69</v>
      </c>
      <c r="T812" s="5" t="s">
        <v>41</v>
      </c>
      <c r="U812" s="5" t="s">
        <v>43</v>
      </c>
      <c r="V812" s="57" t="s">
        <v>10</v>
      </c>
      <c r="W812" s="51">
        <v>0.27</v>
      </c>
      <c r="X812" s="357">
        <v>0.22</v>
      </c>
      <c r="Z812" s="5" t="s">
        <v>48</v>
      </c>
      <c r="AA812" s="112" t="s">
        <v>51</v>
      </c>
    </row>
    <row r="813" spans="1:29" x14ac:dyDescent="0.25">
      <c r="A813" s="329">
        <v>45925</v>
      </c>
      <c r="B813" s="5">
        <v>6</v>
      </c>
      <c r="D813" s="5" t="s">
        <v>92</v>
      </c>
      <c r="E813" s="6">
        <v>1.04</v>
      </c>
      <c r="G813" s="362">
        <v>1</v>
      </c>
      <c r="H813" s="362">
        <v>3</v>
      </c>
      <c r="I813" s="8">
        <v>2.0699999999999998</v>
      </c>
      <c r="L813" s="5" t="s">
        <v>113</v>
      </c>
      <c r="N813" s="345">
        <v>58</v>
      </c>
      <c r="O813" s="38" t="s">
        <v>113</v>
      </c>
      <c r="P813" s="5" t="s">
        <v>118</v>
      </c>
      <c r="Q813" s="5" t="s">
        <v>119</v>
      </c>
      <c r="R813" s="5" t="s">
        <v>684</v>
      </c>
      <c r="S813" s="479">
        <v>70</v>
      </c>
      <c r="T813" s="5" t="s">
        <v>41</v>
      </c>
      <c r="U813" s="5" t="s">
        <v>45</v>
      </c>
      <c r="V813" s="57" t="s">
        <v>10</v>
      </c>
      <c r="W813" s="51">
        <v>7.0000000000000007E-2</v>
      </c>
      <c r="X813" s="357">
        <v>0.16</v>
      </c>
      <c r="Z813" s="5" t="s">
        <v>48</v>
      </c>
      <c r="AA813" s="112" t="s">
        <v>51</v>
      </c>
    </row>
    <row r="814" spans="1:29" x14ac:dyDescent="0.25">
      <c r="A814" s="329">
        <v>45925</v>
      </c>
      <c r="B814" s="5">
        <v>6</v>
      </c>
      <c r="D814" s="5" t="s">
        <v>92</v>
      </c>
      <c r="E814" s="6">
        <v>1.04</v>
      </c>
      <c r="G814" s="362">
        <v>1</v>
      </c>
      <c r="H814" s="362">
        <v>3</v>
      </c>
      <c r="I814" s="8">
        <v>2.0699999999999998</v>
      </c>
      <c r="L814" s="5" t="s">
        <v>113</v>
      </c>
      <c r="N814" s="345">
        <v>70</v>
      </c>
      <c r="O814" s="38" t="s">
        <v>113</v>
      </c>
      <c r="P814" s="5" t="s">
        <v>178</v>
      </c>
      <c r="Q814" s="5" t="s">
        <v>407</v>
      </c>
      <c r="R814" s="5" t="s">
        <v>696</v>
      </c>
      <c r="S814" s="479">
        <v>74</v>
      </c>
      <c r="T814" s="5" t="s">
        <v>41</v>
      </c>
      <c r="U814" s="5" t="s">
        <v>45</v>
      </c>
      <c r="V814" s="57" t="s">
        <v>29</v>
      </c>
      <c r="W814" s="51">
        <v>0.04</v>
      </c>
      <c r="X814" s="357">
        <v>0.22</v>
      </c>
      <c r="Z814" s="5" t="s">
        <v>8</v>
      </c>
      <c r="AA814" s="112" t="s">
        <v>67</v>
      </c>
      <c r="AB814" s="108" t="s">
        <v>670</v>
      </c>
      <c r="AC814" s="57" t="s">
        <v>671</v>
      </c>
    </row>
    <row r="815" spans="1:29" x14ac:dyDescent="0.25">
      <c r="A815" s="329">
        <v>45925</v>
      </c>
      <c r="B815" s="5">
        <v>6</v>
      </c>
      <c r="D815" s="5" t="s">
        <v>92</v>
      </c>
      <c r="E815" s="6">
        <v>1.04</v>
      </c>
      <c r="G815" s="362">
        <v>1</v>
      </c>
      <c r="H815" s="362">
        <v>3</v>
      </c>
      <c r="I815" s="8">
        <v>2.0699999999999998</v>
      </c>
      <c r="L815" s="5" t="s">
        <v>113</v>
      </c>
      <c r="N815" s="476">
        <v>77</v>
      </c>
      <c r="O815" s="477" t="s">
        <v>92</v>
      </c>
      <c r="P815" s="478" t="s">
        <v>108</v>
      </c>
      <c r="Q815" s="478" t="s">
        <v>109</v>
      </c>
      <c r="R815" s="478" t="s">
        <v>684</v>
      </c>
      <c r="S815" s="479">
        <v>67</v>
      </c>
      <c r="T815" s="478" t="s">
        <v>41</v>
      </c>
      <c r="U815" s="478" t="s">
        <v>42</v>
      </c>
      <c r="V815" s="480" t="s">
        <v>540</v>
      </c>
      <c r="W815" s="51">
        <v>0.28000000000000003</v>
      </c>
      <c r="X815" s="357" t="s">
        <v>53</v>
      </c>
      <c r="Z815" s="5" t="s">
        <v>52</v>
      </c>
      <c r="AA815" s="112" t="s">
        <v>67</v>
      </c>
    </row>
    <row r="816" spans="1:29" x14ac:dyDescent="0.25">
      <c r="A816" s="329">
        <v>45925</v>
      </c>
      <c r="B816" s="5">
        <v>6</v>
      </c>
      <c r="D816" s="5" t="s">
        <v>92</v>
      </c>
      <c r="E816" s="6">
        <v>1.04</v>
      </c>
      <c r="G816" s="362">
        <v>1</v>
      </c>
      <c r="H816" s="362">
        <v>3</v>
      </c>
      <c r="I816" s="8">
        <v>2.0699999999999998</v>
      </c>
      <c r="L816" s="5" t="s">
        <v>113</v>
      </c>
      <c r="N816" s="345">
        <v>88</v>
      </c>
      <c r="O816" s="38" t="s">
        <v>113</v>
      </c>
      <c r="P816" s="5" t="s">
        <v>500</v>
      </c>
      <c r="Q816" s="5" t="s">
        <v>501</v>
      </c>
      <c r="R816" s="5" t="s">
        <v>713</v>
      </c>
      <c r="S816" s="479">
        <v>76</v>
      </c>
      <c r="T816" s="5" t="s">
        <v>41</v>
      </c>
      <c r="U816" s="5" t="s">
        <v>45</v>
      </c>
      <c r="V816" s="57" t="s">
        <v>20</v>
      </c>
      <c r="W816" s="51">
        <v>0.1</v>
      </c>
      <c r="X816" s="357">
        <v>0.49</v>
      </c>
      <c r="Y816" s="351" t="s">
        <v>353</v>
      </c>
      <c r="Z816" s="5" t="s">
        <v>8</v>
      </c>
      <c r="AA816" s="112" t="s">
        <v>58</v>
      </c>
      <c r="AB816" s="108" t="s">
        <v>468</v>
      </c>
      <c r="AC816" s="57" t="s">
        <v>469</v>
      </c>
    </row>
    <row r="817" spans="1:29" ht="15.75" thickBot="1" x14ac:dyDescent="0.3">
      <c r="A817" s="330">
        <v>45925</v>
      </c>
      <c r="B817" s="9">
        <v>6</v>
      </c>
      <c r="C817" s="122"/>
      <c r="D817" s="9" t="s">
        <v>92</v>
      </c>
      <c r="E817" s="10">
        <v>1.04</v>
      </c>
      <c r="F817" s="10"/>
      <c r="G817" s="383">
        <v>1</v>
      </c>
      <c r="H817" s="383">
        <v>3</v>
      </c>
      <c r="I817" s="12">
        <v>2.0699999999999998</v>
      </c>
      <c r="J817" s="12"/>
      <c r="K817" s="122"/>
      <c r="L817" s="9" t="s">
        <v>113</v>
      </c>
      <c r="M817" s="45"/>
      <c r="N817" s="511">
        <v>90</v>
      </c>
      <c r="O817" s="512" t="s">
        <v>92</v>
      </c>
      <c r="P817" s="513" t="s">
        <v>504</v>
      </c>
      <c r="Q817" s="513" t="s">
        <v>512</v>
      </c>
      <c r="R817" s="513" t="s">
        <v>689</v>
      </c>
      <c r="S817" s="479">
        <v>60</v>
      </c>
      <c r="T817" s="513" t="s">
        <v>47</v>
      </c>
      <c r="U817" s="513" t="s">
        <v>42</v>
      </c>
      <c r="V817" s="514" t="s">
        <v>18</v>
      </c>
      <c r="W817" s="52">
        <v>0.14000000000000001</v>
      </c>
      <c r="X817" s="358">
        <v>0.12</v>
      </c>
      <c r="Y817" s="352" t="s">
        <v>353</v>
      </c>
      <c r="Z817" s="9" t="s">
        <v>48</v>
      </c>
      <c r="AA817" s="113" t="s">
        <v>58</v>
      </c>
      <c r="AB817" s="109"/>
      <c r="AC817" s="58"/>
    </row>
    <row r="818" spans="1:29" ht="15.75" thickBot="1" x14ac:dyDescent="0.3">
      <c r="A818" s="326">
        <v>45925</v>
      </c>
      <c r="B818" s="207">
        <v>6</v>
      </c>
      <c r="C818" s="208"/>
      <c r="D818" s="207" t="s">
        <v>92</v>
      </c>
      <c r="E818" s="209">
        <v>1.04</v>
      </c>
      <c r="F818" s="209"/>
      <c r="G818" s="460">
        <v>1</v>
      </c>
      <c r="H818" s="460">
        <v>3</v>
      </c>
      <c r="I818" s="211">
        <v>2.0699999999999998</v>
      </c>
      <c r="J818" s="211"/>
      <c r="K818" s="208"/>
      <c r="L818" s="207" t="s">
        <v>113</v>
      </c>
      <c r="M818" s="235"/>
      <c r="N818" s="347"/>
      <c r="O818" s="343" t="s">
        <v>92</v>
      </c>
      <c r="P818" s="199" t="s">
        <v>432</v>
      </c>
      <c r="Q818" s="199" t="s">
        <v>472</v>
      </c>
      <c r="R818" s="199" t="s">
        <v>707</v>
      </c>
      <c r="S818" s="479">
        <v>71</v>
      </c>
      <c r="T818" s="199"/>
      <c r="U818" s="199"/>
      <c r="V818" s="201"/>
      <c r="W818" s="202"/>
      <c r="X818" s="359"/>
      <c r="Y818" s="353">
        <f>H818</f>
        <v>3</v>
      </c>
      <c r="Z818" s="199"/>
      <c r="AA818" s="204"/>
      <c r="AB818" s="205"/>
      <c r="AC818" s="201"/>
    </row>
    <row r="819" spans="1:29" ht="15.75" thickBot="1" x14ac:dyDescent="0.3">
      <c r="A819" s="326">
        <v>45925</v>
      </c>
      <c r="B819" s="207">
        <v>6</v>
      </c>
      <c r="C819" s="208"/>
      <c r="D819" s="207" t="s">
        <v>92</v>
      </c>
      <c r="E819" s="209">
        <v>1.04</v>
      </c>
      <c r="F819" s="209"/>
      <c r="G819" s="460">
        <v>1</v>
      </c>
      <c r="H819" s="460">
        <v>3</v>
      </c>
      <c r="I819" s="211">
        <v>2.0699999999999998</v>
      </c>
      <c r="J819" s="211"/>
      <c r="K819" s="208"/>
      <c r="L819" s="207" t="s">
        <v>113</v>
      </c>
      <c r="M819" s="235"/>
      <c r="N819" s="347"/>
      <c r="O819" s="343" t="s">
        <v>113</v>
      </c>
      <c r="P819" s="199" t="s">
        <v>475</v>
      </c>
      <c r="Q819" s="199" t="s">
        <v>75</v>
      </c>
      <c r="R819" s="199" t="s">
        <v>707</v>
      </c>
      <c r="S819" s="479">
        <v>56</v>
      </c>
      <c r="T819" s="199"/>
      <c r="U819" s="199"/>
      <c r="V819" s="201"/>
      <c r="W819" s="202"/>
      <c r="X819" s="359"/>
      <c r="Y819" s="353">
        <f>G818</f>
        <v>1</v>
      </c>
      <c r="Z819" s="199"/>
      <c r="AA819" s="204"/>
      <c r="AB819" s="205"/>
      <c r="AC819" s="201"/>
    </row>
    <row r="820" spans="1:29" x14ac:dyDescent="0.25">
      <c r="A820" s="331">
        <v>45926</v>
      </c>
      <c r="B820" s="13">
        <v>7</v>
      </c>
      <c r="C820" s="124" t="s">
        <v>706</v>
      </c>
      <c r="D820" s="13" t="s">
        <v>69</v>
      </c>
      <c r="E820" s="14">
        <v>1.0900000000000001</v>
      </c>
      <c r="F820" s="14"/>
      <c r="G820" s="375">
        <v>0</v>
      </c>
      <c r="H820" s="375">
        <v>0</v>
      </c>
      <c r="I820" s="16">
        <v>1.17</v>
      </c>
      <c r="J820" s="16"/>
      <c r="K820" s="124" t="s">
        <v>694</v>
      </c>
      <c r="L820" s="13" t="s">
        <v>192</v>
      </c>
      <c r="M820" s="47"/>
      <c r="N820" s="349">
        <v>7</v>
      </c>
      <c r="O820" s="458" t="s">
        <v>192</v>
      </c>
      <c r="P820" s="13" t="s">
        <v>198</v>
      </c>
      <c r="Q820" s="13" t="s">
        <v>199</v>
      </c>
      <c r="R820" s="13" t="s">
        <v>685</v>
      </c>
      <c r="S820" s="479">
        <v>73</v>
      </c>
      <c r="T820" s="13" t="s">
        <v>41</v>
      </c>
      <c r="U820" s="13" t="s">
        <v>45</v>
      </c>
      <c r="V820" s="60" t="s">
        <v>10</v>
      </c>
      <c r="W820" s="54">
        <v>0.13</v>
      </c>
      <c r="X820" s="361" t="s">
        <v>53</v>
      </c>
      <c r="Y820" s="355"/>
      <c r="Z820" s="13" t="s">
        <v>13</v>
      </c>
      <c r="AA820" s="115" t="s">
        <v>28</v>
      </c>
      <c r="AB820" s="110"/>
      <c r="AC820" s="60"/>
    </row>
    <row r="821" spans="1:29" x14ac:dyDescent="0.25">
      <c r="A821" s="329">
        <v>45926</v>
      </c>
      <c r="B821" s="5">
        <v>7</v>
      </c>
      <c r="D821" s="5" t="s">
        <v>69</v>
      </c>
      <c r="E821" s="6">
        <v>1.0900000000000001</v>
      </c>
      <c r="G821" s="362">
        <v>0</v>
      </c>
      <c r="H821" s="362">
        <v>0</v>
      </c>
      <c r="I821" s="8">
        <v>1.17</v>
      </c>
      <c r="L821" s="5" t="s">
        <v>192</v>
      </c>
      <c r="N821" s="476">
        <v>12</v>
      </c>
      <c r="O821" s="477" t="s">
        <v>69</v>
      </c>
      <c r="P821" s="478" t="s">
        <v>59</v>
      </c>
      <c r="Q821" s="478" t="s">
        <v>365</v>
      </c>
      <c r="R821" s="478" t="s">
        <v>695</v>
      </c>
      <c r="S821" s="479">
        <v>71</v>
      </c>
      <c r="T821" s="478" t="s">
        <v>354</v>
      </c>
      <c r="U821" s="478" t="s">
        <v>43</v>
      </c>
      <c r="V821" s="480" t="s">
        <v>540</v>
      </c>
      <c r="W821" s="51">
        <v>0.03</v>
      </c>
      <c r="X821" s="357">
        <v>0.11</v>
      </c>
      <c r="Z821" s="5" t="s">
        <v>48</v>
      </c>
      <c r="AA821" s="112" t="s">
        <v>28</v>
      </c>
    </row>
    <row r="822" spans="1:29" x14ac:dyDescent="0.25">
      <c r="A822" s="329">
        <v>45926</v>
      </c>
      <c r="B822" s="5">
        <v>7</v>
      </c>
      <c r="D822" s="5" t="s">
        <v>69</v>
      </c>
      <c r="E822" s="6">
        <v>1.0900000000000001</v>
      </c>
      <c r="G822" s="362">
        <v>0</v>
      </c>
      <c r="H822" s="362">
        <v>0</v>
      </c>
      <c r="I822" s="8">
        <v>1.17</v>
      </c>
      <c r="L822" s="5" t="s">
        <v>192</v>
      </c>
      <c r="N822" s="345">
        <v>13</v>
      </c>
      <c r="O822" s="38" t="s">
        <v>192</v>
      </c>
      <c r="P822" s="5" t="s">
        <v>410</v>
      </c>
      <c r="Q822" s="5" t="s">
        <v>361</v>
      </c>
      <c r="R822" s="5" t="s">
        <v>717</v>
      </c>
      <c r="S822" s="479">
        <v>65</v>
      </c>
      <c r="T822" s="5" t="s">
        <v>41</v>
      </c>
      <c r="U822" s="5" t="s">
        <v>42</v>
      </c>
      <c r="V822" s="57" t="s">
        <v>18</v>
      </c>
      <c r="W822" s="51">
        <v>0.19</v>
      </c>
      <c r="X822" s="357">
        <v>0.85</v>
      </c>
      <c r="Z822" s="5" t="s">
        <v>48</v>
      </c>
      <c r="AA822" s="112" t="s">
        <v>28</v>
      </c>
    </row>
    <row r="823" spans="1:29" x14ac:dyDescent="0.25">
      <c r="A823" s="329">
        <v>45926</v>
      </c>
      <c r="B823" s="5">
        <v>7</v>
      </c>
      <c r="D823" s="5" t="s">
        <v>69</v>
      </c>
      <c r="E823" s="6">
        <v>1.0900000000000001</v>
      </c>
      <c r="G823" s="362">
        <v>0</v>
      </c>
      <c r="H823" s="362">
        <v>0</v>
      </c>
      <c r="I823" s="8">
        <v>1.17</v>
      </c>
      <c r="L823" s="5" t="s">
        <v>192</v>
      </c>
      <c r="N823" s="345">
        <v>28</v>
      </c>
      <c r="O823" s="38" t="s">
        <v>192</v>
      </c>
      <c r="P823" s="5" t="s">
        <v>280</v>
      </c>
      <c r="Q823" s="5" t="s">
        <v>281</v>
      </c>
      <c r="R823" s="5" t="s">
        <v>686</v>
      </c>
      <c r="S823" s="479">
        <v>74</v>
      </c>
      <c r="T823" s="5" t="s">
        <v>41</v>
      </c>
      <c r="U823" s="5" t="s">
        <v>42</v>
      </c>
      <c r="V823" s="57" t="s">
        <v>10</v>
      </c>
      <c r="W823" s="51">
        <v>0.13</v>
      </c>
      <c r="X823" s="357">
        <v>0.48</v>
      </c>
      <c r="Z823" s="5" t="s">
        <v>48</v>
      </c>
      <c r="AA823" s="112" t="s">
        <v>28</v>
      </c>
    </row>
    <row r="824" spans="1:29" x14ac:dyDescent="0.25">
      <c r="A824" s="329">
        <v>45926</v>
      </c>
      <c r="B824" s="5">
        <v>7</v>
      </c>
      <c r="D824" s="5" t="s">
        <v>69</v>
      </c>
      <c r="E824" s="6">
        <v>1.0900000000000001</v>
      </c>
      <c r="G824" s="362">
        <v>0</v>
      </c>
      <c r="H824" s="362">
        <v>0</v>
      </c>
      <c r="I824" s="8">
        <v>1.17</v>
      </c>
      <c r="L824" s="5" t="s">
        <v>192</v>
      </c>
      <c r="N824" s="476">
        <v>33</v>
      </c>
      <c r="O824" s="477" t="s">
        <v>69</v>
      </c>
      <c r="P824" s="478" t="s">
        <v>502</v>
      </c>
      <c r="Q824" s="478" t="s">
        <v>503</v>
      </c>
      <c r="R824" s="478" t="s">
        <v>695</v>
      </c>
      <c r="S824" s="479">
        <v>68</v>
      </c>
      <c r="T824" s="478" t="s">
        <v>41</v>
      </c>
      <c r="U824" s="478" t="s">
        <v>45</v>
      </c>
      <c r="V824" s="480" t="s">
        <v>10</v>
      </c>
      <c r="W824" s="51">
        <v>0.16</v>
      </c>
      <c r="X824" s="357" t="s">
        <v>53</v>
      </c>
      <c r="Z824" s="5" t="s">
        <v>52</v>
      </c>
      <c r="AA824" s="112" t="s">
        <v>28</v>
      </c>
    </row>
    <row r="825" spans="1:29" x14ac:dyDescent="0.25">
      <c r="A825" s="329">
        <v>45926</v>
      </c>
      <c r="B825" s="5">
        <v>7</v>
      </c>
      <c r="D825" s="5" t="s">
        <v>69</v>
      </c>
      <c r="E825" s="6">
        <v>1.0900000000000001</v>
      </c>
      <c r="G825" s="362">
        <v>0</v>
      </c>
      <c r="H825" s="362">
        <v>0</v>
      </c>
      <c r="I825" s="8">
        <v>1.17</v>
      </c>
      <c r="L825" s="5" t="s">
        <v>192</v>
      </c>
      <c r="N825" s="345">
        <v>41</v>
      </c>
      <c r="O825" s="38" t="s">
        <v>192</v>
      </c>
      <c r="P825" s="5" t="s">
        <v>198</v>
      </c>
      <c r="Q825" s="5" t="s">
        <v>199</v>
      </c>
      <c r="R825" s="5" t="s">
        <v>685</v>
      </c>
      <c r="S825" s="479">
        <v>73</v>
      </c>
      <c r="T825" s="5" t="s">
        <v>354</v>
      </c>
      <c r="U825" s="5" t="s">
        <v>43</v>
      </c>
      <c r="V825" s="57" t="s">
        <v>15</v>
      </c>
      <c r="W825" s="51">
        <v>0.05</v>
      </c>
      <c r="X825" s="357" t="s">
        <v>53</v>
      </c>
      <c r="Z825" s="5" t="s">
        <v>16</v>
      </c>
      <c r="AA825" s="112" t="s">
        <v>28</v>
      </c>
    </row>
    <row r="826" spans="1:29" x14ac:dyDescent="0.25">
      <c r="A826" s="329">
        <v>45926</v>
      </c>
      <c r="B826" s="5">
        <v>7</v>
      </c>
      <c r="D826" s="5" t="s">
        <v>69</v>
      </c>
      <c r="E826" s="6">
        <v>1.0900000000000001</v>
      </c>
      <c r="G826" s="362">
        <v>0</v>
      </c>
      <c r="H826" s="362">
        <v>0</v>
      </c>
      <c r="I826" s="8">
        <v>1.17</v>
      </c>
      <c r="L826" s="5" t="s">
        <v>192</v>
      </c>
      <c r="N826" s="476">
        <v>51</v>
      </c>
      <c r="O826" s="477" t="s">
        <v>69</v>
      </c>
      <c r="P826" s="478" t="s">
        <v>480</v>
      </c>
      <c r="Q826" s="478" t="s">
        <v>481</v>
      </c>
      <c r="R826" s="478" t="s">
        <v>695</v>
      </c>
      <c r="S826" s="481">
        <v>72</v>
      </c>
      <c r="T826" s="478" t="s">
        <v>44</v>
      </c>
      <c r="U826" s="478" t="s">
        <v>42</v>
      </c>
      <c r="V826" s="480" t="s">
        <v>10</v>
      </c>
      <c r="W826" s="51">
        <v>0.05</v>
      </c>
      <c r="X826" s="357">
        <v>0.11</v>
      </c>
      <c r="Z826" s="5" t="s">
        <v>48</v>
      </c>
      <c r="AA826" s="112" t="s">
        <v>28</v>
      </c>
    </row>
    <row r="827" spans="1:29" x14ac:dyDescent="0.25">
      <c r="A827" s="329">
        <v>45926</v>
      </c>
      <c r="B827" s="5">
        <v>7</v>
      </c>
      <c r="D827" s="5" t="s">
        <v>69</v>
      </c>
      <c r="E827" s="6">
        <v>1.0900000000000001</v>
      </c>
      <c r="G827" s="362">
        <v>0</v>
      </c>
      <c r="H827" s="362">
        <v>0</v>
      </c>
      <c r="I827" s="8">
        <v>1.17</v>
      </c>
      <c r="L827" s="5" t="s">
        <v>192</v>
      </c>
      <c r="N827" s="476">
        <v>52</v>
      </c>
      <c r="O827" s="477" t="s">
        <v>69</v>
      </c>
      <c r="P827" s="478" t="s">
        <v>389</v>
      </c>
      <c r="Q827" s="478" t="s">
        <v>390</v>
      </c>
      <c r="R827" s="478" t="s">
        <v>717</v>
      </c>
      <c r="S827" s="481">
        <v>61</v>
      </c>
      <c r="T827" s="478" t="s">
        <v>41</v>
      </c>
      <c r="U827" s="478" t="s">
        <v>43</v>
      </c>
      <c r="V827" s="480" t="s">
        <v>18</v>
      </c>
      <c r="W827" s="51">
        <v>0.55000000000000004</v>
      </c>
      <c r="X827" s="357">
        <v>0.68</v>
      </c>
      <c r="Y827" s="351" t="s">
        <v>353</v>
      </c>
      <c r="Z827" s="5" t="s">
        <v>48</v>
      </c>
      <c r="AA827" s="112" t="s">
        <v>28</v>
      </c>
    </row>
    <row r="828" spans="1:29" x14ac:dyDescent="0.25">
      <c r="A828" s="329">
        <v>45926</v>
      </c>
      <c r="B828" s="5">
        <v>7</v>
      </c>
      <c r="D828" s="5" t="s">
        <v>69</v>
      </c>
      <c r="E828" s="6">
        <v>1.0900000000000001</v>
      </c>
      <c r="G828" s="362">
        <v>0</v>
      </c>
      <c r="H828" s="362">
        <v>0</v>
      </c>
      <c r="I828" s="8">
        <v>1.17</v>
      </c>
      <c r="L828" s="5" t="s">
        <v>192</v>
      </c>
      <c r="N828" s="345">
        <v>62</v>
      </c>
      <c r="O828" s="38" t="s">
        <v>192</v>
      </c>
      <c r="P828" s="5" t="s">
        <v>278</v>
      </c>
      <c r="Q828" s="5" t="s">
        <v>279</v>
      </c>
      <c r="R828" s="5" t="s">
        <v>718</v>
      </c>
      <c r="S828" s="7">
        <v>65</v>
      </c>
      <c r="T828" s="5" t="s">
        <v>41</v>
      </c>
      <c r="U828" s="5" t="s">
        <v>43</v>
      </c>
      <c r="V828" s="57" t="s">
        <v>10</v>
      </c>
      <c r="W828" s="51">
        <v>0.06</v>
      </c>
      <c r="X828" s="357">
        <v>0.34</v>
      </c>
      <c r="Z828" s="5" t="s">
        <v>48</v>
      </c>
      <c r="AA828" s="112" t="s">
        <v>28</v>
      </c>
    </row>
    <row r="829" spans="1:29" x14ac:dyDescent="0.25">
      <c r="A829" s="329">
        <v>45926</v>
      </c>
      <c r="B829" s="5">
        <v>7</v>
      </c>
      <c r="D829" s="5" t="s">
        <v>69</v>
      </c>
      <c r="E829" s="6">
        <v>1.0900000000000001</v>
      </c>
      <c r="G829" s="362">
        <v>0</v>
      </c>
      <c r="H829" s="362">
        <v>0</v>
      </c>
      <c r="I829" s="8">
        <v>1.17</v>
      </c>
      <c r="L829" s="5" t="s">
        <v>192</v>
      </c>
      <c r="N829" s="476">
        <v>59</v>
      </c>
      <c r="O829" s="477" t="s">
        <v>69</v>
      </c>
      <c r="P829" s="478" t="s">
        <v>176</v>
      </c>
      <c r="Q829" s="478" t="s">
        <v>99</v>
      </c>
      <c r="R829" s="478" t="s">
        <v>688</v>
      </c>
      <c r="S829" s="479">
        <v>70</v>
      </c>
      <c r="T829" s="478" t="s">
        <v>354</v>
      </c>
      <c r="U829" s="478" t="s">
        <v>43</v>
      </c>
      <c r="V829" s="480" t="s">
        <v>20</v>
      </c>
      <c r="W829" s="51">
        <v>0.01</v>
      </c>
      <c r="X829" s="357" t="s">
        <v>53</v>
      </c>
      <c r="Z829" s="5" t="s">
        <v>16</v>
      </c>
      <c r="AA829" s="112" t="s">
        <v>28</v>
      </c>
    </row>
    <row r="830" spans="1:29" ht="15.75" thickBot="1" x14ac:dyDescent="0.3">
      <c r="A830" s="330">
        <v>45926</v>
      </c>
      <c r="B830" s="9">
        <v>7</v>
      </c>
      <c r="C830" s="122"/>
      <c r="D830" s="9" t="s">
        <v>69</v>
      </c>
      <c r="E830" s="10">
        <v>1.0900000000000001</v>
      </c>
      <c r="F830" s="10"/>
      <c r="G830" s="383">
        <v>0</v>
      </c>
      <c r="H830" s="383">
        <v>0</v>
      </c>
      <c r="I830" s="12">
        <v>1.17</v>
      </c>
      <c r="J830" s="12"/>
      <c r="K830" s="122"/>
      <c r="L830" s="9" t="s">
        <v>192</v>
      </c>
      <c r="M830" s="45"/>
      <c r="N830" s="346">
        <v>73</v>
      </c>
      <c r="O830" s="454" t="s">
        <v>192</v>
      </c>
      <c r="P830" s="9" t="s">
        <v>46</v>
      </c>
      <c r="Q830" s="9" t="s">
        <v>191</v>
      </c>
      <c r="R830" s="9" t="s">
        <v>688</v>
      </c>
      <c r="S830" s="7">
        <v>69</v>
      </c>
      <c r="T830" s="9" t="s">
        <v>44</v>
      </c>
      <c r="U830" s="9" t="s">
        <v>43</v>
      </c>
      <c r="V830" s="58" t="s">
        <v>540</v>
      </c>
      <c r="W830" s="52">
        <v>0.05</v>
      </c>
      <c r="X830" s="358" t="s">
        <v>53</v>
      </c>
      <c r="Y830" s="352"/>
      <c r="Z830" s="9" t="s">
        <v>22</v>
      </c>
      <c r="AA830" s="113" t="s">
        <v>28</v>
      </c>
      <c r="AB830" s="109"/>
      <c r="AC830" s="58"/>
    </row>
    <row r="831" spans="1:29" ht="15.75" thickBot="1" x14ac:dyDescent="0.3">
      <c r="A831" s="326">
        <v>45926</v>
      </c>
      <c r="B831" s="207">
        <v>7</v>
      </c>
      <c r="C831" s="208"/>
      <c r="D831" s="207" t="s">
        <v>69</v>
      </c>
      <c r="E831" s="209">
        <v>1.0900000000000001</v>
      </c>
      <c r="F831" s="209"/>
      <c r="G831" s="460">
        <v>0</v>
      </c>
      <c r="H831" s="460">
        <v>0</v>
      </c>
      <c r="I831" s="211">
        <v>1.17</v>
      </c>
      <c r="J831" s="211"/>
      <c r="K831" s="208"/>
      <c r="L831" s="207" t="s">
        <v>192</v>
      </c>
      <c r="M831" s="235"/>
      <c r="N831" s="347"/>
      <c r="O831" s="343" t="s">
        <v>69</v>
      </c>
      <c r="P831" s="199" t="s">
        <v>478</v>
      </c>
      <c r="Q831" s="199" t="s">
        <v>479</v>
      </c>
      <c r="R831" s="199" t="s">
        <v>707</v>
      </c>
      <c r="S831" s="479">
        <v>74</v>
      </c>
      <c r="T831" s="199"/>
      <c r="U831" s="199"/>
      <c r="V831" s="201"/>
      <c r="W831" s="202"/>
      <c r="X831" s="359"/>
      <c r="Y831" s="353">
        <f>H831</f>
        <v>0</v>
      </c>
      <c r="Z831" s="199"/>
      <c r="AA831" s="204"/>
      <c r="AB831" s="205"/>
      <c r="AC831" s="201"/>
    </row>
    <row r="832" spans="1:29" ht="15.75" thickBot="1" x14ac:dyDescent="0.3">
      <c r="A832" s="326">
        <v>45926</v>
      </c>
      <c r="B832" s="207">
        <v>7</v>
      </c>
      <c r="C832" s="208"/>
      <c r="D832" s="207" t="s">
        <v>69</v>
      </c>
      <c r="E832" s="209">
        <v>1.0900000000000001</v>
      </c>
      <c r="F832" s="209"/>
      <c r="G832" s="460">
        <v>0</v>
      </c>
      <c r="H832" s="460">
        <v>0</v>
      </c>
      <c r="I832" s="211">
        <v>1.17</v>
      </c>
      <c r="J832" s="211"/>
      <c r="K832" s="208"/>
      <c r="L832" s="207" t="s">
        <v>192</v>
      </c>
      <c r="M832" s="235"/>
      <c r="N832" s="347"/>
      <c r="O832" s="343" t="s">
        <v>192</v>
      </c>
      <c r="P832" s="199" t="s">
        <v>723</v>
      </c>
      <c r="Q832" s="199" t="s">
        <v>724</v>
      </c>
      <c r="R832" s="199" t="s">
        <v>707</v>
      </c>
      <c r="S832" s="479">
        <v>72</v>
      </c>
      <c r="T832" s="199"/>
      <c r="U832" s="199"/>
      <c r="V832" s="201"/>
      <c r="W832" s="202"/>
      <c r="X832" s="359"/>
      <c r="Y832" s="353">
        <f>G831</f>
        <v>0</v>
      </c>
      <c r="Z832" s="199"/>
      <c r="AA832" s="204"/>
      <c r="AB832" s="205"/>
      <c r="AC832" s="201"/>
    </row>
    <row r="833" spans="1:29" x14ac:dyDescent="0.25">
      <c r="A833" s="328">
        <v>45927</v>
      </c>
      <c r="B833" s="17">
        <v>7</v>
      </c>
      <c r="C833" s="123" t="s">
        <v>701</v>
      </c>
      <c r="D833" s="17" t="s">
        <v>161</v>
      </c>
      <c r="E833" s="18">
        <v>0.55000000000000004</v>
      </c>
      <c r="F833" s="18"/>
      <c r="G833" s="461">
        <v>1</v>
      </c>
      <c r="H833" s="461">
        <v>1</v>
      </c>
      <c r="I833" s="20">
        <v>0.59</v>
      </c>
      <c r="J833" s="20"/>
      <c r="K833" s="123" t="s">
        <v>694</v>
      </c>
      <c r="L833" s="17" t="s">
        <v>129</v>
      </c>
      <c r="M833" s="46"/>
      <c r="N833" s="348">
        <v>13</v>
      </c>
      <c r="O833" s="456" t="s">
        <v>129</v>
      </c>
      <c r="P833" s="17" t="s">
        <v>59</v>
      </c>
      <c r="Q833" s="17" t="s">
        <v>191</v>
      </c>
      <c r="R833" s="17" t="s">
        <v>717</v>
      </c>
      <c r="S833" s="479">
        <v>70</v>
      </c>
      <c r="T833" s="17" t="s">
        <v>41</v>
      </c>
      <c r="U833" s="17" t="s">
        <v>42</v>
      </c>
      <c r="V833" s="59" t="s">
        <v>540</v>
      </c>
      <c r="W833" s="53">
        <v>0.18</v>
      </c>
      <c r="X833" s="360">
        <v>0.4</v>
      </c>
      <c r="Y833" s="354" t="s">
        <v>353</v>
      </c>
      <c r="Z833" s="17" t="s">
        <v>48</v>
      </c>
      <c r="AA833" s="114" t="s">
        <v>28</v>
      </c>
      <c r="AB833" s="110"/>
      <c r="AC833" s="60"/>
    </row>
    <row r="834" spans="1:29" x14ac:dyDescent="0.25">
      <c r="A834" s="329">
        <v>45927</v>
      </c>
      <c r="B834" s="5">
        <v>7</v>
      </c>
      <c r="D834" s="5" t="s">
        <v>161</v>
      </c>
      <c r="E834" s="6">
        <v>0.55000000000000004</v>
      </c>
      <c r="G834" s="362">
        <v>1</v>
      </c>
      <c r="H834" s="362">
        <v>1</v>
      </c>
      <c r="I834" s="8">
        <v>0.59</v>
      </c>
      <c r="L834" s="5" t="s">
        <v>129</v>
      </c>
      <c r="N834" s="345">
        <v>26</v>
      </c>
      <c r="O834" s="38" t="s">
        <v>129</v>
      </c>
      <c r="P834" s="5" t="s">
        <v>59</v>
      </c>
      <c r="Q834" s="5" t="s">
        <v>191</v>
      </c>
      <c r="R834" s="5" t="s">
        <v>717</v>
      </c>
      <c r="S834" s="479">
        <v>70</v>
      </c>
      <c r="T834" s="5" t="s">
        <v>41</v>
      </c>
      <c r="U834" s="5" t="s">
        <v>42</v>
      </c>
      <c r="V834" s="57" t="s">
        <v>10</v>
      </c>
      <c r="W834" s="51">
        <v>0.05</v>
      </c>
      <c r="X834" s="357">
        <v>0.82</v>
      </c>
      <c r="Y834" s="351" t="s">
        <v>353</v>
      </c>
      <c r="Z834" s="5" t="s">
        <v>8</v>
      </c>
      <c r="AA834" s="112" t="s">
        <v>9</v>
      </c>
      <c r="AB834" s="108" t="s">
        <v>141</v>
      </c>
      <c r="AC834" s="57" t="s">
        <v>142</v>
      </c>
    </row>
    <row r="835" spans="1:29" x14ac:dyDescent="0.25">
      <c r="A835" s="329">
        <v>45927</v>
      </c>
      <c r="B835" s="5">
        <v>7</v>
      </c>
      <c r="D835" s="5" t="s">
        <v>161</v>
      </c>
      <c r="E835" s="6">
        <v>0.55000000000000004</v>
      </c>
      <c r="G835" s="362">
        <v>1</v>
      </c>
      <c r="H835" s="362">
        <v>1</v>
      </c>
      <c r="I835" s="8">
        <v>0.59</v>
      </c>
      <c r="L835" s="5" t="s">
        <v>129</v>
      </c>
      <c r="N835" s="345">
        <v>45</v>
      </c>
      <c r="O835" s="38" t="s">
        <v>129</v>
      </c>
      <c r="P835" s="5" t="s">
        <v>104</v>
      </c>
      <c r="Q835" s="5" t="s">
        <v>105</v>
      </c>
      <c r="R835" s="5" t="s">
        <v>717</v>
      </c>
      <c r="S835" s="7">
        <v>67</v>
      </c>
      <c r="T835" s="5" t="s">
        <v>41</v>
      </c>
      <c r="U835" s="5" t="s">
        <v>42</v>
      </c>
      <c r="V835" s="57" t="s">
        <v>10</v>
      </c>
      <c r="W835" s="51">
        <v>0.19</v>
      </c>
      <c r="X835" s="357" t="s">
        <v>53</v>
      </c>
      <c r="Y835" s="351" t="s">
        <v>353</v>
      </c>
      <c r="Z835" s="5" t="s">
        <v>13</v>
      </c>
      <c r="AA835" s="112" t="s">
        <v>9</v>
      </c>
    </row>
    <row r="836" spans="1:29" ht="15.75" thickBot="1" x14ac:dyDescent="0.3">
      <c r="A836" s="330">
        <v>45927</v>
      </c>
      <c r="B836" s="9">
        <v>7</v>
      </c>
      <c r="C836" s="122"/>
      <c r="D836" s="9" t="s">
        <v>161</v>
      </c>
      <c r="E836" s="10">
        <v>0.55000000000000004</v>
      </c>
      <c r="F836" s="10"/>
      <c r="G836" s="383">
        <v>1</v>
      </c>
      <c r="H836" s="383">
        <v>1</v>
      </c>
      <c r="I836" s="12">
        <v>0.59</v>
      </c>
      <c r="J836" s="12"/>
      <c r="K836" s="122"/>
      <c r="L836" s="9" t="s">
        <v>129</v>
      </c>
      <c r="M836" s="45"/>
      <c r="N836" s="511">
        <v>57</v>
      </c>
      <c r="O836" s="512" t="s">
        <v>161</v>
      </c>
      <c r="P836" s="513" t="s">
        <v>65</v>
      </c>
      <c r="Q836" s="513" t="s">
        <v>301</v>
      </c>
      <c r="R836" s="513" t="s">
        <v>689</v>
      </c>
      <c r="S836" s="479">
        <v>78</v>
      </c>
      <c r="T836" s="513" t="s">
        <v>47</v>
      </c>
      <c r="U836" s="513" t="s">
        <v>42</v>
      </c>
      <c r="V836" s="514" t="s">
        <v>20</v>
      </c>
      <c r="W836" s="52">
        <v>0.23</v>
      </c>
      <c r="X836" s="358">
        <v>0.74</v>
      </c>
      <c r="Y836" s="352" t="s">
        <v>353</v>
      </c>
      <c r="Z836" s="9" t="s">
        <v>8</v>
      </c>
      <c r="AA836" s="113" t="s">
        <v>51</v>
      </c>
      <c r="AB836" s="109" t="s">
        <v>672</v>
      </c>
      <c r="AC836" s="58" t="s">
        <v>546</v>
      </c>
    </row>
    <row r="837" spans="1:29" ht="15.75" thickBot="1" x14ac:dyDescent="0.3">
      <c r="A837" s="326">
        <v>45927</v>
      </c>
      <c r="B837" s="207">
        <v>7</v>
      </c>
      <c r="C837" s="208"/>
      <c r="D837" s="207" t="s">
        <v>161</v>
      </c>
      <c r="E837" s="209">
        <v>0.55000000000000004</v>
      </c>
      <c r="F837" s="209"/>
      <c r="G837" s="460">
        <v>1</v>
      </c>
      <c r="H837" s="460">
        <v>1</v>
      </c>
      <c r="I837" s="211">
        <v>0.59</v>
      </c>
      <c r="J837" s="211"/>
      <c r="K837" s="208"/>
      <c r="L837" s="207" t="s">
        <v>129</v>
      </c>
      <c r="M837" s="235"/>
      <c r="N837" s="347"/>
      <c r="O837" s="343" t="s">
        <v>161</v>
      </c>
      <c r="P837" s="199" t="s">
        <v>316</v>
      </c>
      <c r="Q837" s="199" t="s">
        <v>721</v>
      </c>
      <c r="R837" s="199" t="s">
        <v>707</v>
      </c>
      <c r="S837" s="479">
        <v>65</v>
      </c>
      <c r="T837" s="199"/>
      <c r="U837" s="199"/>
      <c r="V837" s="201"/>
      <c r="W837" s="202"/>
      <c r="X837" s="359"/>
      <c r="Y837" s="353">
        <f>H837</f>
        <v>1</v>
      </c>
      <c r="Z837" s="199"/>
      <c r="AA837" s="204"/>
      <c r="AB837" s="205"/>
      <c r="AC837" s="201"/>
    </row>
    <row r="838" spans="1:29" ht="15.75" thickBot="1" x14ac:dyDescent="0.3">
      <c r="A838" s="326">
        <v>45927</v>
      </c>
      <c r="B838" s="207">
        <v>7</v>
      </c>
      <c r="C838" s="208"/>
      <c r="D838" s="207" t="s">
        <v>161</v>
      </c>
      <c r="E838" s="209">
        <v>0.55000000000000004</v>
      </c>
      <c r="F838" s="209"/>
      <c r="G838" s="460">
        <v>1</v>
      </c>
      <c r="H838" s="460">
        <v>1</v>
      </c>
      <c r="I838" s="211">
        <v>0.59</v>
      </c>
      <c r="J838" s="211"/>
      <c r="K838" s="208"/>
      <c r="L838" s="207" t="s">
        <v>129</v>
      </c>
      <c r="M838" s="235"/>
      <c r="N838" s="347"/>
      <c r="O838" s="343" t="s">
        <v>129</v>
      </c>
      <c r="P838" s="199" t="s">
        <v>731</v>
      </c>
      <c r="Q838" s="199" t="s">
        <v>732</v>
      </c>
      <c r="R838" s="199" t="s">
        <v>707</v>
      </c>
      <c r="S838" s="479">
        <v>63</v>
      </c>
      <c r="T838" s="199"/>
      <c r="U838" s="199"/>
      <c r="V838" s="201"/>
      <c r="W838" s="202"/>
      <c r="X838" s="359"/>
      <c r="Y838" s="353">
        <f>G837</f>
        <v>1</v>
      </c>
      <c r="Z838" s="199"/>
      <c r="AA838" s="204"/>
      <c r="AB838" s="205"/>
      <c r="AC838" s="201"/>
    </row>
    <row r="839" spans="1:29" x14ac:dyDescent="0.25">
      <c r="A839" s="328">
        <v>45927</v>
      </c>
      <c r="B839" s="17">
        <v>7</v>
      </c>
      <c r="C839" s="123" t="s">
        <v>694</v>
      </c>
      <c r="D839" s="17" t="s">
        <v>193</v>
      </c>
      <c r="E839" s="18">
        <v>2.34</v>
      </c>
      <c r="F839" s="18"/>
      <c r="G839" s="461">
        <v>5</v>
      </c>
      <c r="H839" s="461">
        <v>2</v>
      </c>
      <c r="I839" s="20">
        <v>0.66</v>
      </c>
      <c r="J839" s="20"/>
      <c r="K839" s="123" t="s">
        <v>693</v>
      </c>
      <c r="L839" s="17" t="s">
        <v>226</v>
      </c>
      <c r="M839" s="46"/>
      <c r="N839" s="507">
        <v>14</v>
      </c>
      <c r="O839" s="508" t="s">
        <v>193</v>
      </c>
      <c r="P839" s="509" t="s">
        <v>513</v>
      </c>
      <c r="Q839" s="509" t="s">
        <v>514</v>
      </c>
      <c r="R839" s="509" t="s">
        <v>713</v>
      </c>
      <c r="S839" s="479">
        <v>64</v>
      </c>
      <c r="T839" s="509" t="s">
        <v>47</v>
      </c>
      <c r="U839" s="509" t="s">
        <v>45</v>
      </c>
      <c r="V839" s="510" t="s">
        <v>33</v>
      </c>
      <c r="W839" s="53">
        <v>0.26</v>
      </c>
      <c r="X839" s="360">
        <v>0.16</v>
      </c>
      <c r="Y839" s="354" t="s">
        <v>353</v>
      </c>
      <c r="Z839" s="17" t="s">
        <v>8</v>
      </c>
      <c r="AA839" s="114" t="s">
        <v>19</v>
      </c>
      <c r="AB839" s="110" t="s">
        <v>204</v>
      </c>
      <c r="AC839" s="60" t="s">
        <v>205</v>
      </c>
    </row>
    <row r="840" spans="1:29" x14ac:dyDescent="0.25">
      <c r="A840" s="329">
        <v>45927</v>
      </c>
      <c r="B840" s="5">
        <v>7</v>
      </c>
      <c r="D840" s="5" t="s">
        <v>193</v>
      </c>
      <c r="E840" s="6">
        <v>2.34</v>
      </c>
      <c r="G840" s="362">
        <v>5</v>
      </c>
      <c r="H840" s="362">
        <v>2</v>
      </c>
      <c r="I840" s="8">
        <v>0.66</v>
      </c>
      <c r="L840" s="5" t="s">
        <v>226</v>
      </c>
      <c r="N840" s="345">
        <v>25</v>
      </c>
      <c r="O840" s="38" t="s">
        <v>226</v>
      </c>
      <c r="P840" s="5" t="s">
        <v>231</v>
      </c>
      <c r="Q840" s="5" t="s">
        <v>232</v>
      </c>
      <c r="R840" s="5" t="s">
        <v>684</v>
      </c>
      <c r="S840" s="481">
        <v>76</v>
      </c>
      <c r="T840" s="5" t="s">
        <v>41</v>
      </c>
      <c r="U840" s="5" t="s">
        <v>42</v>
      </c>
      <c r="V840" s="57" t="s">
        <v>10</v>
      </c>
      <c r="W840" s="51">
        <v>0.17</v>
      </c>
      <c r="X840" s="357">
        <v>0.44</v>
      </c>
      <c r="Y840" s="351" t="s">
        <v>353</v>
      </c>
      <c r="Z840" s="5" t="s">
        <v>8</v>
      </c>
      <c r="AA840" s="112" t="s">
        <v>51</v>
      </c>
      <c r="AB840" s="108" t="s">
        <v>56</v>
      </c>
      <c r="AC840" s="57" t="s">
        <v>235</v>
      </c>
    </row>
    <row r="841" spans="1:29" x14ac:dyDescent="0.25">
      <c r="A841" s="329">
        <v>45927</v>
      </c>
      <c r="B841" s="5">
        <v>7</v>
      </c>
      <c r="D841" s="5" t="s">
        <v>193</v>
      </c>
      <c r="E841" s="6">
        <v>2.34</v>
      </c>
      <c r="G841" s="362">
        <v>5</v>
      </c>
      <c r="H841" s="362">
        <v>2</v>
      </c>
      <c r="I841" s="8">
        <v>0.66</v>
      </c>
      <c r="L841" s="5" t="s">
        <v>226</v>
      </c>
      <c r="N841" s="345">
        <v>36</v>
      </c>
      <c r="O841" s="38" t="s">
        <v>226</v>
      </c>
      <c r="P841" s="5" t="s">
        <v>56</v>
      </c>
      <c r="Q841" s="5" t="s">
        <v>235</v>
      </c>
      <c r="R841" s="5" t="s">
        <v>686</v>
      </c>
      <c r="S841" s="481">
        <v>73</v>
      </c>
      <c r="T841" s="5" t="s">
        <v>41</v>
      </c>
      <c r="U841" s="5" t="s">
        <v>43</v>
      </c>
      <c r="V841" s="57" t="s">
        <v>18</v>
      </c>
      <c r="W841" s="51">
        <v>0.32</v>
      </c>
      <c r="X841" s="357">
        <v>0.26</v>
      </c>
      <c r="Y841" s="351" t="s">
        <v>353</v>
      </c>
      <c r="Z841" s="5" t="s">
        <v>8</v>
      </c>
      <c r="AA841" s="112" t="s">
        <v>67</v>
      </c>
      <c r="AB841" s="108" t="s">
        <v>289</v>
      </c>
      <c r="AC841" s="57" t="s">
        <v>54</v>
      </c>
    </row>
    <row r="842" spans="1:29" x14ac:dyDescent="0.25">
      <c r="A842" s="329">
        <v>45927</v>
      </c>
      <c r="B842" s="5">
        <v>7</v>
      </c>
      <c r="D842" s="5" t="s">
        <v>193</v>
      </c>
      <c r="E842" s="6">
        <v>2.34</v>
      </c>
      <c r="G842" s="362">
        <v>5</v>
      </c>
      <c r="H842" s="362">
        <v>2</v>
      </c>
      <c r="I842" s="8">
        <v>0.66</v>
      </c>
      <c r="L842" s="5" t="s">
        <v>226</v>
      </c>
      <c r="N842" s="476">
        <v>39</v>
      </c>
      <c r="O842" s="477" t="s">
        <v>193</v>
      </c>
      <c r="P842" s="478" t="s">
        <v>200</v>
      </c>
      <c r="Q842" s="478" t="s">
        <v>201</v>
      </c>
      <c r="R842" s="478" t="s">
        <v>717</v>
      </c>
      <c r="S842" s="479">
        <v>88</v>
      </c>
      <c r="T842" s="478" t="s">
        <v>354</v>
      </c>
      <c r="U842" s="478" t="s">
        <v>42</v>
      </c>
      <c r="V842" s="480" t="s">
        <v>10</v>
      </c>
      <c r="W842" s="51">
        <v>0.02</v>
      </c>
      <c r="X842" s="357" t="s">
        <v>53</v>
      </c>
      <c r="Z842" s="5" t="s">
        <v>17</v>
      </c>
      <c r="AA842" s="112" t="s">
        <v>67</v>
      </c>
    </row>
    <row r="843" spans="1:29" x14ac:dyDescent="0.25">
      <c r="A843" s="329">
        <v>45927</v>
      </c>
      <c r="B843" s="5">
        <v>7</v>
      </c>
      <c r="D843" s="5" t="s">
        <v>193</v>
      </c>
      <c r="E843" s="6">
        <v>2.34</v>
      </c>
      <c r="G843" s="362">
        <v>5</v>
      </c>
      <c r="H843" s="362">
        <v>2</v>
      </c>
      <c r="I843" s="8">
        <v>0.66</v>
      </c>
      <c r="L843" s="5" t="s">
        <v>226</v>
      </c>
      <c r="N843" s="476" t="s">
        <v>428</v>
      </c>
      <c r="O843" s="477" t="s">
        <v>193</v>
      </c>
      <c r="P843" s="478" t="s">
        <v>257</v>
      </c>
      <c r="Q843" s="478" t="s">
        <v>258</v>
      </c>
      <c r="R843" s="478" t="s">
        <v>718</v>
      </c>
      <c r="S843" s="479">
        <v>73</v>
      </c>
      <c r="T843" s="478" t="s">
        <v>41</v>
      </c>
      <c r="U843" s="478" t="s">
        <v>45</v>
      </c>
      <c r="V843" s="480" t="s">
        <v>29</v>
      </c>
      <c r="W843" s="51">
        <v>0.23</v>
      </c>
      <c r="X843" s="357">
        <v>0.64</v>
      </c>
      <c r="Y843" s="351" t="s">
        <v>353</v>
      </c>
      <c r="Z843" s="5" t="s">
        <v>8</v>
      </c>
      <c r="AA843" s="112" t="s">
        <v>189</v>
      </c>
      <c r="AB843" s="108" t="s">
        <v>53</v>
      </c>
      <c r="AC843" s="57" t="s">
        <v>477</v>
      </c>
    </row>
    <row r="844" spans="1:29" x14ac:dyDescent="0.25">
      <c r="A844" s="329">
        <v>45927</v>
      </c>
      <c r="B844" s="5">
        <v>7</v>
      </c>
      <c r="D844" s="5" t="s">
        <v>193</v>
      </c>
      <c r="E844" s="6">
        <v>2.34</v>
      </c>
      <c r="G844" s="362">
        <v>5</v>
      </c>
      <c r="H844" s="362">
        <v>2</v>
      </c>
      <c r="I844" s="8">
        <v>0.66</v>
      </c>
      <c r="L844" s="5" t="s">
        <v>226</v>
      </c>
      <c r="N844" s="476">
        <v>51</v>
      </c>
      <c r="O844" s="477" t="s">
        <v>193</v>
      </c>
      <c r="P844" s="478" t="s">
        <v>200</v>
      </c>
      <c r="Q844" s="478" t="s">
        <v>201</v>
      </c>
      <c r="R844" s="478" t="s">
        <v>717</v>
      </c>
      <c r="S844" s="479">
        <v>88</v>
      </c>
      <c r="T844" s="478" t="s">
        <v>41</v>
      </c>
      <c r="U844" s="478" t="s">
        <v>42</v>
      </c>
      <c r="V844" s="480" t="s">
        <v>7</v>
      </c>
      <c r="W844" s="51">
        <v>0.79</v>
      </c>
      <c r="X844" s="357">
        <v>0.6</v>
      </c>
      <c r="Y844" s="351" t="s">
        <v>353</v>
      </c>
      <c r="Z844" s="5" t="s">
        <v>8</v>
      </c>
      <c r="AA844" s="112" t="s">
        <v>180</v>
      </c>
    </row>
    <row r="845" spans="1:29" x14ac:dyDescent="0.25">
      <c r="A845" s="329">
        <v>45927</v>
      </c>
      <c r="B845" s="5">
        <v>7</v>
      </c>
      <c r="D845" s="5" t="s">
        <v>193</v>
      </c>
      <c r="E845" s="6">
        <v>2.34</v>
      </c>
      <c r="G845" s="362">
        <v>5</v>
      </c>
      <c r="H845" s="362">
        <v>2</v>
      </c>
      <c r="I845" s="8">
        <v>0.66</v>
      </c>
      <c r="L845" s="5" t="s">
        <v>226</v>
      </c>
      <c r="N845" s="476">
        <v>59</v>
      </c>
      <c r="O845" s="477" t="s">
        <v>193</v>
      </c>
      <c r="P845" s="478" t="s">
        <v>200</v>
      </c>
      <c r="Q845" s="478" t="s">
        <v>201</v>
      </c>
      <c r="R845" s="478" t="s">
        <v>717</v>
      </c>
      <c r="S845" s="479">
        <v>88</v>
      </c>
      <c r="T845" s="478" t="s">
        <v>44</v>
      </c>
      <c r="U845" s="478" t="s">
        <v>42</v>
      </c>
      <c r="V845" s="480" t="s">
        <v>15</v>
      </c>
      <c r="W845" s="51">
        <v>0.05</v>
      </c>
      <c r="X845" s="357" t="s">
        <v>53</v>
      </c>
      <c r="Z845" s="5" t="s">
        <v>55</v>
      </c>
      <c r="AA845" s="112" t="s">
        <v>180</v>
      </c>
    </row>
    <row r="846" spans="1:29" x14ac:dyDescent="0.25">
      <c r="A846" s="329">
        <v>45927</v>
      </c>
      <c r="B846" s="5">
        <v>7</v>
      </c>
      <c r="D846" s="5" t="s">
        <v>193</v>
      </c>
      <c r="E846" s="6">
        <v>2.34</v>
      </c>
      <c r="G846" s="362">
        <v>5</v>
      </c>
      <c r="H846" s="362">
        <v>2</v>
      </c>
      <c r="I846" s="8">
        <v>0.66</v>
      </c>
      <c r="L846" s="5" t="s">
        <v>226</v>
      </c>
      <c r="N846" s="476">
        <v>62</v>
      </c>
      <c r="O846" s="477" t="s">
        <v>193</v>
      </c>
      <c r="P846" s="478" t="s">
        <v>257</v>
      </c>
      <c r="Q846" s="478" t="s">
        <v>258</v>
      </c>
      <c r="R846" s="478" t="s">
        <v>718</v>
      </c>
      <c r="S846" s="479">
        <v>73</v>
      </c>
      <c r="T846" s="478" t="s">
        <v>41</v>
      </c>
      <c r="U846" s="478" t="s">
        <v>43</v>
      </c>
      <c r="V846" s="480" t="s">
        <v>10</v>
      </c>
      <c r="W846" s="51">
        <v>0.25</v>
      </c>
      <c r="X846" s="357">
        <v>0.17</v>
      </c>
      <c r="Y846" s="351" t="s">
        <v>353</v>
      </c>
      <c r="Z846" s="5" t="s">
        <v>48</v>
      </c>
      <c r="AA846" s="112" t="s">
        <v>180</v>
      </c>
    </row>
    <row r="847" spans="1:29" x14ac:dyDescent="0.25">
      <c r="A847" s="329">
        <v>45927</v>
      </c>
      <c r="B847" s="5">
        <v>7</v>
      </c>
      <c r="D847" s="5" t="s">
        <v>193</v>
      </c>
      <c r="E847" s="6">
        <v>2.34</v>
      </c>
      <c r="G847" s="362">
        <v>5</v>
      </c>
      <c r="H847" s="362">
        <v>2</v>
      </c>
      <c r="I847" s="8">
        <v>0.66</v>
      </c>
      <c r="L847" s="5" t="s">
        <v>226</v>
      </c>
      <c r="N847" s="476">
        <v>64</v>
      </c>
      <c r="O847" s="477" t="s">
        <v>193</v>
      </c>
      <c r="P847" s="478" t="s">
        <v>200</v>
      </c>
      <c r="Q847" s="478" t="s">
        <v>201</v>
      </c>
      <c r="R847" s="478" t="s">
        <v>717</v>
      </c>
      <c r="S847" s="479">
        <v>88</v>
      </c>
      <c r="T847" s="478" t="s">
        <v>354</v>
      </c>
      <c r="U847" s="478" t="s">
        <v>42</v>
      </c>
      <c r="V847" s="480" t="s">
        <v>15</v>
      </c>
      <c r="W847" s="51">
        <v>0.05</v>
      </c>
      <c r="X847" s="357">
        <v>0.06</v>
      </c>
      <c r="Z847" s="5" t="s">
        <v>8</v>
      </c>
      <c r="AA847" s="112" t="s">
        <v>515</v>
      </c>
    </row>
    <row r="848" spans="1:29" ht="15.75" thickBot="1" x14ac:dyDescent="0.3">
      <c r="A848" s="330">
        <v>45927</v>
      </c>
      <c r="B848" s="9">
        <v>7</v>
      </c>
      <c r="C848" s="122"/>
      <c r="D848" s="9" t="s">
        <v>193</v>
      </c>
      <c r="E848" s="10">
        <v>2.34</v>
      </c>
      <c r="F848" s="10"/>
      <c r="G848" s="383">
        <v>5</v>
      </c>
      <c r="H848" s="383">
        <v>2</v>
      </c>
      <c r="I848" s="12">
        <v>0.66</v>
      </c>
      <c r="J848" s="12"/>
      <c r="K848" s="122"/>
      <c r="L848" s="9" t="s">
        <v>226</v>
      </c>
      <c r="M848" s="45"/>
      <c r="N848" s="527" t="s">
        <v>31</v>
      </c>
      <c r="O848" s="528" t="s">
        <v>193</v>
      </c>
      <c r="P848" s="529" t="s">
        <v>206</v>
      </c>
      <c r="Q848" s="529" t="s">
        <v>207</v>
      </c>
      <c r="R848" s="529" t="s">
        <v>696</v>
      </c>
      <c r="S848" s="549">
        <v>69</v>
      </c>
      <c r="T848" s="529" t="s">
        <v>41</v>
      </c>
      <c r="U848" s="529" t="s">
        <v>42</v>
      </c>
      <c r="V848" s="530" t="s">
        <v>10</v>
      </c>
      <c r="W848" s="531">
        <v>0.47</v>
      </c>
      <c r="X848" s="532">
        <v>0.38</v>
      </c>
      <c r="Y848" s="533" t="s">
        <v>353</v>
      </c>
      <c r="Z848" s="526" t="s">
        <v>8</v>
      </c>
      <c r="AA848" s="534" t="s">
        <v>516</v>
      </c>
      <c r="AB848" s="535" t="s">
        <v>176</v>
      </c>
      <c r="AC848" s="536" t="s">
        <v>673</v>
      </c>
    </row>
    <row r="849" spans="1:29" ht="15.75" thickBot="1" x14ac:dyDescent="0.3">
      <c r="A849" s="326">
        <v>45927</v>
      </c>
      <c r="B849" s="207">
        <v>7</v>
      </c>
      <c r="C849" s="208"/>
      <c r="D849" s="207" t="s">
        <v>193</v>
      </c>
      <c r="E849" s="209">
        <v>2.34</v>
      </c>
      <c r="F849" s="209"/>
      <c r="G849" s="460">
        <v>5</v>
      </c>
      <c r="H849" s="460">
        <v>2</v>
      </c>
      <c r="I849" s="211">
        <v>0.66</v>
      </c>
      <c r="J849" s="211"/>
      <c r="K849" s="208"/>
      <c r="L849" s="207" t="s">
        <v>226</v>
      </c>
      <c r="M849" s="235"/>
      <c r="N849" s="570"/>
      <c r="O849" s="585" t="s">
        <v>193</v>
      </c>
      <c r="P849" s="586" t="s">
        <v>580</v>
      </c>
      <c r="Q849" s="586" t="s">
        <v>581</v>
      </c>
      <c r="R849" s="586" t="s">
        <v>707</v>
      </c>
      <c r="S849" s="587">
        <v>59</v>
      </c>
      <c r="T849" s="586"/>
      <c r="U849" s="586"/>
      <c r="V849" s="588"/>
      <c r="W849" s="589"/>
      <c r="X849" s="590"/>
      <c r="Y849" s="572">
        <f>H849</f>
        <v>2</v>
      </c>
      <c r="Z849" s="571"/>
      <c r="AA849" s="573"/>
      <c r="AB849" s="568"/>
      <c r="AC849" s="569"/>
    </row>
    <row r="850" spans="1:29" ht="15.75" thickBot="1" x14ac:dyDescent="0.3">
      <c r="A850" s="561">
        <v>45927</v>
      </c>
      <c r="B850" s="562">
        <v>7</v>
      </c>
      <c r="C850" s="563"/>
      <c r="D850" s="562" t="s">
        <v>193</v>
      </c>
      <c r="E850" s="564">
        <v>2.34</v>
      </c>
      <c r="F850" s="564"/>
      <c r="G850" s="565">
        <v>5</v>
      </c>
      <c r="H850" s="565">
        <v>2</v>
      </c>
      <c r="I850" s="566">
        <v>0.66</v>
      </c>
      <c r="J850" s="566"/>
      <c r="K850" s="563"/>
      <c r="L850" s="562" t="s">
        <v>226</v>
      </c>
      <c r="M850" s="464"/>
      <c r="N850" s="579"/>
      <c r="O850" s="591" t="s">
        <v>226</v>
      </c>
      <c r="P850" s="586" t="s">
        <v>726</v>
      </c>
      <c r="Q850" s="586" t="s">
        <v>727</v>
      </c>
      <c r="R850" s="586" t="s">
        <v>707</v>
      </c>
      <c r="S850" s="587">
        <v>52</v>
      </c>
      <c r="T850" s="586"/>
      <c r="U850" s="586"/>
      <c r="V850" s="588"/>
      <c r="W850" s="589"/>
      <c r="X850" s="590"/>
      <c r="Y850" s="471">
        <f>G849</f>
        <v>5</v>
      </c>
      <c r="Z850" s="467"/>
      <c r="AA850" s="472"/>
      <c r="AB850" s="473"/>
      <c r="AC850" s="468"/>
    </row>
    <row r="851" spans="1:29" x14ac:dyDescent="0.25">
      <c r="A851" s="329">
        <v>45927</v>
      </c>
      <c r="B851" s="5">
        <v>7</v>
      </c>
      <c r="C851" s="121" t="s">
        <v>693</v>
      </c>
      <c r="D851" s="5" t="s">
        <v>112</v>
      </c>
      <c r="E851" s="6">
        <v>0.74</v>
      </c>
      <c r="G851" s="362">
        <v>1</v>
      </c>
      <c r="H851" s="362">
        <v>0</v>
      </c>
      <c r="I851" s="8">
        <v>0.78</v>
      </c>
      <c r="K851" s="121" t="s">
        <v>697</v>
      </c>
      <c r="L851" s="5" t="s">
        <v>128</v>
      </c>
      <c r="N851" s="580">
        <v>37</v>
      </c>
      <c r="O851" s="592" t="s">
        <v>112</v>
      </c>
      <c r="P851" s="509" t="s">
        <v>461</v>
      </c>
      <c r="Q851" s="509" t="s">
        <v>462</v>
      </c>
      <c r="R851" s="509" t="s">
        <v>685</v>
      </c>
      <c r="S851" s="550">
        <v>73</v>
      </c>
      <c r="T851" s="509" t="s">
        <v>41</v>
      </c>
      <c r="U851" s="509" t="s">
        <v>43</v>
      </c>
      <c r="V851" s="510" t="s">
        <v>10</v>
      </c>
      <c r="W851" s="351">
        <v>0.3</v>
      </c>
      <c r="X851" s="357">
        <v>0.71</v>
      </c>
      <c r="Y851" s="53" t="s">
        <v>353</v>
      </c>
      <c r="Z851" s="17" t="s">
        <v>8</v>
      </c>
      <c r="AA851" s="576" t="s">
        <v>19</v>
      </c>
      <c r="AB851" s="17" t="s">
        <v>337</v>
      </c>
      <c r="AC851" s="59" t="s">
        <v>674</v>
      </c>
    </row>
    <row r="852" spans="1:29" x14ac:dyDescent="0.25">
      <c r="A852" s="329">
        <v>45927</v>
      </c>
      <c r="B852" s="5">
        <v>7</v>
      </c>
      <c r="D852" s="5" t="s">
        <v>112</v>
      </c>
      <c r="E852" s="6">
        <v>0.74</v>
      </c>
      <c r="G852" s="362">
        <v>1</v>
      </c>
      <c r="H852" s="362">
        <v>0</v>
      </c>
      <c r="I852" s="8">
        <v>0.78</v>
      </c>
      <c r="L852" s="5" t="s">
        <v>128</v>
      </c>
      <c r="N852" s="581">
        <v>51</v>
      </c>
      <c r="O852" s="108" t="s">
        <v>128</v>
      </c>
      <c r="P852" s="5" t="s">
        <v>518</v>
      </c>
      <c r="Q852" s="5" t="s">
        <v>519</v>
      </c>
      <c r="R852" s="5" t="s">
        <v>695</v>
      </c>
      <c r="S852" s="479">
        <v>59</v>
      </c>
      <c r="T852" s="5" t="s">
        <v>41</v>
      </c>
      <c r="U852" s="5" t="s">
        <v>43</v>
      </c>
      <c r="V852" s="57" t="s">
        <v>18</v>
      </c>
      <c r="W852" s="351">
        <v>0.24</v>
      </c>
      <c r="X852" s="357" t="s">
        <v>53</v>
      </c>
      <c r="Y852" s="51"/>
      <c r="Z852" s="5" t="s">
        <v>13</v>
      </c>
      <c r="AA852" s="548" t="s">
        <v>19</v>
      </c>
      <c r="AB852" s="5"/>
    </row>
    <row r="853" spans="1:29" x14ac:dyDescent="0.25">
      <c r="A853" s="329">
        <v>45927</v>
      </c>
      <c r="B853" s="5">
        <v>7</v>
      </c>
      <c r="D853" s="5" t="s">
        <v>112</v>
      </c>
      <c r="E853" s="6">
        <v>0.74</v>
      </c>
      <c r="G853" s="362">
        <v>1</v>
      </c>
      <c r="H853" s="362">
        <v>0</v>
      </c>
      <c r="I853" s="8">
        <v>0.78</v>
      </c>
      <c r="L853" s="5" t="s">
        <v>128</v>
      </c>
      <c r="N853" s="581">
        <v>57</v>
      </c>
      <c r="O853" s="108" t="s">
        <v>128</v>
      </c>
      <c r="P853" s="5" t="s">
        <v>497</v>
      </c>
      <c r="Q853" s="5" t="s">
        <v>498</v>
      </c>
      <c r="R853" s="5" t="s">
        <v>685</v>
      </c>
      <c r="S853" s="7">
        <v>67</v>
      </c>
      <c r="T853" s="5" t="s">
        <v>41</v>
      </c>
      <c r="U853" s="5" t="s">
        <v>43</v>
      </c>
      <c r="V853" s="57" t="s">
        <v>10</v>
      </c>
      <c r="W853" s="351">
        <v>0.02</v>
      </c>
      <c r="X853" s="357">
        <v>0.19</v>
      </c>
      <c r="Y853" s="51"/>
      <c r="Z853" s="5" t="s">
        <v>48</v>
      </c>
      <c r="AA853" s="548" t="s">
        <v>19</v>
      </c>
      <c r="AB853" s="5"/>
    </row>
    <row r="854" spans="1:29" x14ac:dyDescent="0.25">
      <c r="A854" s="329">
        <v>45927</v>
      </c>
      <c r="B854" s="5">
        <v>7</v>
      </c>
      <c r="D854" s="5" t="s">
        <v>112</v>
      </c>
      <c r="E854" s="6">
        <v>0.74</v>
      </c>
      <c r="G854" s="362">
        <v>1</v>
      </c>
      <c r="H854" s="362">
        <v>0</v>
      </c>
      <c r="I854" s="8">
        <v>0.78</v>
      </c>
      <c r="L854" s="5" t="s">
        <v>128</v>
      </c>
      <c r="N854" s="581">
        <v>58</v>
      </c>
      <c r="O854" s="108" t="s">
        <v>128</v>
      </c>
      <c r="P854" s="5" t="s">
        <v>139</v>
      </c>
      <c r="Q854" s="5" t="s">
        <v>140</v>
      </c>
      <c r="R854" s="5" t="s">
        <v>713</v>
      </c>
      <c r="S854" s="7">
        <v>74</v>
      </c>
      <c r="T854" s="5" t="s">
        <v>41</v>
      </c>
      <c r="U854" s="5" t="s">
        <v>45</v>
      </c>
      <c r="V854" s="57" t="s">
        <v>20</v>
      </c>
      <c r="W854" s="351">
        <v>0.04</v>
      </c>
      <c r="X854" s="357" t="s">
        <v>53</v>
      </c>
      <c r="Y854" s="51"/>
      <c r="Z854" s="5" t="s">
        <v>17</v>
      </c>
      <c r="AA854" s="548" t="s">
        <v>19</v>
      </c>
      <c r="AB854" s="5"/>
    </row>
    <row r="855" spans="1:29" x14ac:dyDescent="0.25">
      <c r="A855" s="329">
        <v>45927</v>
      </c>
      <c r="B855" s="5">
        <v>7</v>
      </c>
      <c r="D855" s="5" t="s">
        <v>112</v>
      </c>
      <c r="E855" s="6">
        <v>0.74</v>
      </c>
      <c r="G855" s="362">
        <v>1</v>
      </c>
      <c r="H855" s="362">
        <v>0</v>
      </c>
      <c r="I855" s="8">
        <v>0.78</v>
      </c>
      <c r="L855" s="5" t="s">
        <v>128</v>
      </c>
      <c r="N855" s="581">
        <v>64</v>
      </c>
      <c r="O855" s="108" t="s">
        <v>128</v>
      </c>
      <c r="P855" s="5" t="s">
        <v>504</v>
      </c>
      <c r="Q855" s="5" t="s">
        <v>520</v>
      </c>
      <c r="R855" s="5" t="s">
        <v>684</v>
      </c>
      <c r="S855" s="479">
        <v>61</v>
      </c>
      <c r="T855" s="5" t="s">
        <v>47</v>
      </c>
      <c r="U855" s="5" t="s">
        <v>42</v>
      </c>
      <c r="V855" s="57" t="s">
        <v>10</v>
      </c>
      <c r="W855" s="351">
        <v>0.24</v>
      </c>
      <c r="X855" s="357" t="s">
        <v>53</v>
      </c>
      <c r="Y855" s="51"/>
      <c r="Z855" s="5" t="s">
        <v>13</v>
      </c>
      <c r="AA855" s="548" t="s">
        <v>19</v>
      </c>
      <c r="AB855" s="5"/>
    </row>
    <row r="856" spans="1:29" x14ac:dyDescent="0.25">
      <c r="A856" s="329">
        <v>45927</v>
      </c>
      <c r="B856" s="5">
        <v>7</v>
      </c>
      <c r="D856" s="5" t="s">
        <v>112</v>
      </c>
      <c r="E856" s="6">
        <v>0.74</v>
      </c>
      <c r="G856" s="362">
        <v>1</v>
      </c>
      <c r="H856" s="362">
        <v>0</v>
      </c>
      <c r="I856" s="8">
        <v>0.78</v>
      </c>
      <c r="L856" s="5" t="s">
        <v>128</v>
      </c>
      <c r="N856" s="581">
        <v>79</v>
      </c>
      <c r="O856" s="108" t="s">
        <v>128</v>
      </c>
      <c r="P856" s="5" t="s">
        <v>46</v>
      </c>
      <c r="Q856" s="5" t="s">
        <v>132</v>
      </c>
      <c r="R856" s="5" t="s">
        <v>686</v>
      </c>
      <c r="S856" s="7">
        <v>71</v>
      </c>
      <c r="T856" s="5" t="s">
        <v>41</v>
      </c>
      <c r="U856" s="5" t="s">
        <v>42</v>
      </c>
      <c r="V856" s="57" t="s">
        <v>540</v>
      </c>
      <c r="W856" s="351">
        <v>0.04</v>
      </c>
      <c r="X856" s="357">
        <v>0.17</v>
      </c>
      <c r="Y856" s="51"/>
      <c r="Z856" s="5" t="s">
        <v>48</v>
      </c>
      <c r="AA856" s="548" t="s">
        <v>19</v>
      </c>
      <c r="AB856" s="5"/>
    </row>
    <row r="857" spans="1:29" x14ac:dyDescent="0.25">
      <c r="A857" s="329">
        <v>45927</v>
      </c>
      <c r="B857" s="5">
        <v>7</v>
      </c>
      <c r="D857" s="5" t="s">
        <v>112</v>
      </c>
      <c r="E857" s="6">
        <v>0.74</v>
      </c>
      <c r="G857" s="362">
        <v>1</v>
      </c>
      <c r="H857" s="362">
        <v>0</v>
      </c>
      <c r="I857" s="8">
        <v>0.78</v>
      </c>
      <c r="L857" s="5" t="s">
        <v>128</v>
      </c>
      <c r="N857" s="582">
        <v>80</v>
      </c>
      <c r="O857" s="593" t="s">
        <v>112</v>
      </c>
      <c r="P857" s="478" t="s">
        <v>241</v>
      </c>
      <c r="Q857" s="478" t="s">
        <v>517</v>
      </c>
      <c r="R857" s="478" t="s">
        <v>689</v>
      </c>
      <c r="S857" s="481">
        <v>79</v>
      </c>
      <c r="T857" s="478" t="s">
        <v>354</v>
      </c>
      <c r="U857" s="478" t="s">
        <v>43</v>
      </c>
      <c r="V857" s="480" t="s">
        <v>18</v>
      </c>
      <c r="W857" s="351">
        <v>0.13</v>
      </c>
      <c r="X857" s="357" t="s">
        <v>53</v>
      </c>
      <c r="Y857" s="51"/>
      <c r="Z857" s="5" t="s">
        <v>22</v>
      </c>
      <c r="AA857" s="548" t="s">
        <v>19</v>
      </c>
      <c r="AB857" s="5"/>
    </row>
    <row r="858" spans="1:29" x14ac:dyDescent="0.25">
      <c r="A858" s="329">
        <v>45927</v>
      </c>
      <c r="B858" s="5">
        <v>7</v>
      </c>
      <c r="D858" s="5" t="s">
        <v>112</v>
      </c>
      <c r="E858" s="6">
        <v>0.74</v>
      </c>
      <c r="G858" s="362">
        <v>1</v>
      </c>
      <c r="H858" s="362">
        <v>0</v>
      </c>
      <c r="I858" s="8">
        <v>0.78</v>
      </c>
      <c r="L858" s="5" t="s">
        <v>128</v>
      </c>
      <c r="N858" s="582">
        <v>84</v>
      </c>
      <c r="O858" s="593" t="s">
        <v>112</v>
      </c>
      <c r="P858" s="478" t="s">
        <v>247</v>
      </c>
      <c r="Q858" s="478" t="s">
        <v>248</v>
      </c>
      <c r="R858" s="478" t="s">
        <v>696</v>
      </c>
      <c r="S858" s="481">
        <v>79</v>
      </c>
      <c r="T858" s="478" t="s">
        <v>41</v>
      </c>
      <c r="U858" s="478" t="s">
        <v>42</v>
      </c>
      <c r="V858" s="480" t="s">
        <v>20</v>
      </c>
      <c r="W858" s="351">
        <v>0.03</v>
      </c>
      <c r="X858" s="357" t="s">
        <v>53</v>
      </c>
      <c r="Y858" s="51"/>
      <c r="Z858" s="5" t="s">
        <v>744</v>
      </c>
      <c r="AA858" s="548" t="s">
        <v>19</v>
      </c>
      <c r="AB858" s="5" t="s">
        <v>135</v>
      </c>
      <c r="AC858" s="57" t="s">
        <v>840</v>
      </c>
    </row>
    <row r="859" spans="1:29" ht="15.75" thickBot="1" x14ac:dyDescent="0.3">
      <c r="A859" s="334">
        <v>45927</v>
      </c>
      <c r="B859" s="192">
        <v>7</v>
      </c>
      <c r="C859" s="193"/>
      <c r="D859" s="192" t="s">
        <v>112</v>
      </c>
      <c r="E859" s="194">
        <v>0.74</v>
      </c>
      <c r="F859" s="194"/>
      <c r="G859" s="463">
        <v>1</v>
      </c>
      <c r="H859" s="463">
        <v>0</v>
      </c>
      <c r="I859" s="196">
        <v>0.78</v>
      </c>
      <c r="J859" s="196"/>
      <c r="K859" s="193"/>
      <c r="L859" s="192" t="s">
        <v>128</v>
      </c>
      <c r="M859" s="537"/>
      <c r="N859" s="583"/>
      <c r="O859" s="547" t="s">
        <v>112</v>
      </c>
      <c r="P859" s="540" t="s">
        <v>60</v>
      </c>
      <c r="Q859" s="540" t="s">
        <v>464</v>
      </c>
      <c r="R859" s="540" t="s">
        <v>707</v>
      </c>
      <c r="S859" s="567">
        <v>71</v>
      </c>
      <c r="T859" s="540"/>
      <c r="U859" s="540"/>
      <c r="V859" s="542"/>
      <c r="W859" s="574"/>
      <c r="X859" s="544"/>
      <c r="Y859" s="577">
        <f>H859</f>
        <v>0</v>
      </c>
      <c r="Z859" s="540"/>
      <c r="AA859" s="546"/>
      <c r="AB859" s="547"/>
      <c r="AC859" s="542"/>
    </row>
    <row r="860" spans="1:29" ht="15.75" thickBot="1" x14ac:dyDescent="0.3">
      <c r="A860" s="326">
        <v>45927</v>
      </c>
      <c r="B860" s="207">
        <v>7</v>
      </c>
      <c r="C860" s="208"/>
      <c r="D860" s="207" t="s">
        <v>112</v>
      </c>
      <c r="E860" s="209">
        <v>0.74</v>
      </c>
      <c r="F860" s="209"/>
      <c r="G860" s="460">
        <v>1</v>
      </c>
      <c r="H860" s="460">
        <v>0</v>
      </c>
      <c r="I860" s="211">
        <v>0.78</v>
      </c>
      <c r="J860" s="211"/>
      <c r="K860" s="208"/>
      <c r="L860" s="207" t="s">
        <v>128</v>
      </c>
      <c r="M860" s="235"/>
      <c r="N860" s="584"/>
      <c r="O860" s="205" t="s">
        <v>128</v>
      </c>
      <c r="P860" s="199" t="s">
        <v>127</v>
      </c>
      <c r="Q860" s="199" t="s">
        <v>476</v>
      </c>
      <c r="R860" s="199" t="s">
        <v>707</v>
      </c>
      <c r="S860" s="11">
        <v>59</v>
      </c>
      <c r="T860" s="199"/>
      <c r="U860" s="199"/>
      <c r="V860" s="201"/>
      <c r="W860" s="575"/>
      <c r="X860" s="359"/>
      <c r="Y860" s="578">
        <f>G859</f>
        <v>1</v>
      </c>
      <c r="Z860" s="199"/>
      <c r="AA860" s="204"/>
      <c r="AB860" s="205"/>
      <c r="AC860" s="201"/>
    </row>
    <row r="861" spans="1:29" x14ac:dyDescent="0.25">
      <c r="A861" s="328">
        <v>45927</v>
      </c>
      <c r="B861" s="17">
        <v>7</v>
      </c>
      <c r="C861" s="123" t="s">
        <v>694</v>
      </c>
      <c r="D861" s="17" t="s">
        <v>91</v>
      </c>
      <c r="E861" s="18">
        <v>1.22</v>
      </c>
      <c r="F861" s="18"/>
      <c r="G861" s="461">
        <v>1</v>
      </c>
      <c r="H861" s="461">
        <v>0</v>
      </c>
      <c r="I861" s="20">
        <v>1.44</v>
      </c>
      <c r="J861" s="20"/>
      <c r="K861" s="123" t="s">
        <v>693</v>
      </c>
      <c r="L861" s="17" t="s">
        <v>170</v>
      </c>
      <c r="M861" s="46"/>
      <c r="N861" s="556">
        <v>3</v>
      </c>
      <c r="O861" s="557" t="s">
        <v>91</v>
      </c>
      <c r="P861" s="558" t="s">
        <v>493</v>
      </c>
      <c r="Q861" s="558" t="s">
        <v>494</v>
      </c>
      <c r="R861" s="558" t="s">
        <v>689</v>
      </c>
      <c r="S861" s="541">
        <v>79</v>
      </c>
      <c r="T861" s="558" t="s">
        <v>354</v>
      </c>
      <c r="U861" s="558" t="s">
        <v>42</v>
      </c>
      <c r="V861" s="559" t="s">
        <v>540</v>
      </c>
      <c r="W861" s="54">
        <v>0.01</v>
      </c>
      <c r="X861" s="361" t="s">
        <v>53</v>
      </c>
      <c r="Y861" s="355"/>
      <c r="Z861" s="13" t="s">
        <v>22</v>
      </c>
      <c r="AA861" s="115" t="s">
        <v>28</v>
      </c>
      <c r="AB861" s="110"/>
      <c r="AC861" s="60"/>
    </row>
    <row r="862" spans="1:29" x14ac:dyDescent="0.25">
      <c r="A862" s="329">
        <v>45927</v>
      </c>
      <c r="B862" s="5">
        <v>7</v>
      </c>
      <c r="D862" s="5" t="s">
        <v>91</v>
      </c>
      <c r="E862" s="6">
        <v>1.22</v>
      </c>
      <c r="G862" s="362">
        <v>1</v>
      </c>
      <c r="H862" s="362">
        <v>0</v>
      </c>
      <c r="I862" s="8">
        <v>1.44</v>
      </c>
      <c r="L862" s="5" t="s">
        <v>170</v>
      </c>
      <c r="N862" s="476">
        <v>5</v>
      </c>
      <c r="O862" s="477" t="s">
        <v>91</v>
      </c>
      <c r="P862" s="478" t="s">
        <v>96</v>
      </c>
      <c r="Q862" s="478" t="s">
        <v>97</v>
      </c>
      <c r="R862" s="478" t="s">
        <v>718</v>
      </c>
      <c r="S862" s="479">
        <v>75</v>
      </c>
      <c r="T862" s="478" t="s">
        <v>41</v>
      </c>
      <c r="U862" s="478" t="s">
        <v>43</v>
      </c>
      <c r="V862" s="480" t="s">
        <v>20</v>
      </c>
      <c r="W862" s="51">
        <v>0.05</v>
      </c>
      <c r="X862" s="357" t="s">
        <v>53</v>
      </c>
      <c r="Z862" s="5" t="s">
        <v>17</v>
      </c>
      <c r="AA862" s="112" t="s">
        <v>28</v>
      </c>
    </row>
    <row r="863" spans="1:29" x14ac:dyDescent="0.25">
      <c r="A863" s="329">
        <v>45927</v>
      </c>
      <c r="B863" s="5">
        <v>7</v>
      </c>
      <c r="D863" s="5" t="s">
        <v>91</v>
      </c>
      <c r="E863" s="6">
        <v>1.22</v>
      </c>
      <c r="G863" s="362">
        <v>1</v>
      </c>
      <c r="H863" s="362">
        <v>0</v>
      </c>
      <c r="I863" s="8">
        <v>1.44</v>
      </c>
      <c r="L863" s="5" t="s">
        <v>170</v>
      </c>
      <c r="N863" s="345">
        <v>17</v>
      </c>
      <c r="O863" s="38" t="s">
        <v>170</v>
      </c>
      <c r="P863" s="5" t="s">
        <v>296</v>
      </c>
      <c r="Q863" s="5" t="s">
        <v>297</v>
      </c>
      <c r="R863" s="5" t="s">
        <v>699</v>
      </c>
      <c r="S863" s="479">
        <v>60</v>
      </c>
      <c r="T863" s="5" t="s">
        <v>41</v>
      </c>
      <c r="U863" s="5" t="s">
        <v>42</v>
      </c>
      <c r="V863" s="57" t="s">
        <v>33</v>
      </c>
      <c r="W863" s="51">
        <v>0.45</v>
      </c>
      <c r="X863" s="357">
        <v>0.37</v>
      </c>
      <c r="Y863" s="351" t="s">
        <v>353</v>
      </c>
      <c r="Z863" s="5" t="s">
        <v>48</v>
      </c>
      <c r="AA863" s="112" t="s">
        <v>28</v>
      </c>
    </row>
    <row r="864" spans="1:29" x14ac:dyDescent="0.25">
      <c r="A864" s="329">
        <v>45927</v>
      </c>
      <c r="B864" s="5">
        <v>7</v>
      </c>
      <c r="D864" s="5" t="s">
        <v>91</v>
      </c>
      <c r="E864" s="6">
        <v>1.22</v>
      </c>
      <c r="G864" s="362">
        <v>1</v>
      </c>
      <c r="H864" s="362">
        <v>0</v>
      </c>
      <c r="I864" s="8">
        <v>1.44</v>
      </c>
      <c r="L864" s="5" t="s">
        <v>170</v>
      </c>
      <c r="N864" s="345">
        <v>17</v>
      </c>
      <c r="O864" s="38" t="s">
        <v>170</v>
      </c>
      <c r="P864" s="5" t="s">
        <v>296</v>
      </c>
      <c r="Q864" s="5" t="s">
        <v>297</v>
      </c>
      <c r="R864" s="5" t="s">
        <v>699</v>
      </c>
      <c r="S864" s="7">
        <v>60</v>
      </c>
      <c r="T864" s="5" t="s">
        <v>41</v>
      </c>
      <c r="U864" s="5" t="s">
        <v>42</v>
      </c>
      <c r="V864" s="57" t="s">
        <v>33</v>
      </c>
      <c r="W864" s="51">
        <v>0.12</v>
      </c>
      <c r="X864" s="357" t="s">
        <v>53</v>
      </c>
      <c r="Z864" s="5" t="s">
        <v>52</v>
      </c>
      <c r="AA864" s="112" t="s">
        <v>28</v>
      </c>
    </row>
    <row r="865" spans="1:29" x14ac:dyDescent="0.25">
      <c r="A865" s="329">
        <v>45927</v>
      </c>
      <c r="B865" s="5">
        <v>7</v>
      </c>
      <c r="D865" s="5" t="s">
        <v>91</v>
      </c>
      <c r="E865" s="6">
        <v>1.22</v>
      </c>
      <c r="G865" s="362">
        <v>1</v>
      </c>
      <c r="H865" s="362">
        <v>0</v>
      </c>
      <c r="I865" s="8">
        <v>1.44</v>
      </c>
      <c r="L865" s="5" t="s">
        <v>170</v>
      </c>
      <c r="N865" s="345">
        <v>17</v>
      </c>
      <c r="O865" s="38" t="s">
        <v>170</v>
      </c>
      <c r="P865" s="5" t="s">
        <v>374</v>
      </c>
      <c r="Q865" s="5" t="s">
        <v>521</v>
      </c>
      <c r="R865" s="5" t="s">
        <v>713</v>
      </c>
      <c r="S865" s="479">
        <v>70</v>
      </c>
      <c r="T865" s="5" t="s">
        <v>41</v>
      </c>
      <c r="U865" s="5" t="s">
        <v>42</v>
      </c>
      <c r="V865" s="57" t="s">
        <v>33</v>
      </c>
      <c r="W865" s="51">
        <v>0.14000000000000001</v>
      </c>
      <c r="X865" s="357" t="s">
        <v>53</v>
      </c>
      <c r="Z865" s="5" t="s">
        <v>13</v>
      </c>
      <c r="AA865" s="112" t="s">
        <v>28</v>
      </c>
    </row>
    <row r="866" spans="1:29" x14ac:dyDescent="0.25">
      <c r="A866" s="329">
        <v>45927</v>
      </c>
      <c r="B866" s="5">
        <v>7</v>
      </c>
      <c r="D866" s="5" t="s">
        <v>91</v>
      </c>
      <c r="E866" s="6">
        <v>1.22</v>
      </c>
      <c r="G866" s="362">
        <v>1</v>
      </c>
      <c r="H866" s="362">
        <v>0</v>
      </c>
      <c r="I866" s="8">
        <v>1.44</v>
      </c>
      <c r="L866" s="5" t="s">
        <v>170</v>
      </c>
      <c r="N866" s="345">
        <v>17</v>
      </c>
      <c r="O866" s="38" t="s">
        <v>170</v>
      </c>
      <c r="P866" s="5" t="s">
        <v>379</v>
      </c>
      <c r="Q866" s="5" t="s">
        <v>380</v>
      </c>
      <c r="R866" s="5" t="s">
        <v>684</v>
      </c>
      <c r="S866" s="479">
        <v>67</v>
      </c>
      <c r="T866" s="5" t="s">
        <v>41</v>
      </c>
      <c r="U866" s="5" t="s">
        <v>43</v>
      </c>
      <c r="V866" s="57" t="s">
        <v>33</v>
      </c>
      <c r="W866" s="51">
        <v>0.09</v>
      </c>
      <c r="X866" s="357">
        <v>0.22</v>
      </c>
      <c r="Z866" s="5" t="s">
        <v>48</v>
      </c>
      <c r="AA866" s="112" t="s">
        <v>28</v>
      </c>
    </row>
    <row r="867" spans="1:29" x14ac:dyDescent="0.25">
      <c r="A867" s="329">
        <v>45927</v>
      </c>
      <c r="B867" s="5">
        <v>7</v>
      </c>
      <c r="D867" s="5" t="s">
        <v>91</v>
      </c>
      <c r="E867" s="6">
        <v>1.22</v>
      </c>
      <c r="G867" s="362">
        <v>1</v>
      </c>
      <c r="H867" s="362">
        <v>0</v>
      </c>
      <c r="I867" s="8">
        <v>1.44</v>
      </c>
      <c r="L867" s="5" t="s">
        <v>170</v>
      </c>
      <c r="N867" s="476">
        <v>18</v>
      </c>
      <c r="O867" s="477" t="s">
        <v>91</v>
      </c>
      <c r="P867" s="478" t="s">
        <v>96</v>
      </c>
      <c r="Q867" s="478" t="s">
        <v>97</v>
      </c>
      <c r="R867" s="478" t="s">
        <v>718</v>
      </c>
      <c r="S867" s="479">
        <v>75</v>
      </c>
      <c r="T867" s="478" t="s">
        <v>47</v>
      </c>
      <c r="U867" s="478" t="s">
        <v>43</v>
      </c>
      <c r="V867" s="480" t="s">
        <v>10</v>
      </c>
      <c r="W867" s="51">
        <v>0.36</v>
      </c>
      <c r="X867" s="357">
        <v>0.27</v>
      </c>
      <c r="Y867" s="351" t="s">
        <v>353</v>
      </c>
      <c r="Z867" s="5" t="s">
        <v>48</v>
      </c>
      <c r="AA867" s="112" t="s">
        <v>28</v>
      </c>
    </row>
    <row r="868" spans="1:29" x14ac:dyDescent="0.25">
      <c r="A868" s="329">
        <v>45927</v>
      </c>
      <c r="B868" s="5">
        <v>7</v>
      </c>
      <c r="D868" s="5" t="s">
        <v>91</v>
      </c>
      <c r="E868" s="6">
        <v>1.22</v>
      </c>
      <c r="G868" s="362">
        <v>1</v>
      </c>
      <c r="H868" s="362">
        <v>0</v>
      </c>
      <c r="I868" s="8">
        <v>1.44</v>
      </c>
      <c r="L868" s="5" t="s">
        <v>170</v>
      </c>
      <c r="N868" s="345">
        <v>27</v>
      </c>
      <c r="O868" s="38" t="s">
        <v>170</v>
      </c>
      <c r="P868" s="5" t="s">
        <v>379</v>
      </c>
      <c r="Q868" s="5" t="s">
        <v>380</v>
      </c>
      <c r="R868" s="5" t="s">
        <v>684</v>
      </c>
      <c r="S868" s="7">
        <v>67</v>
      </c>
      <c r="T868" s="5" t="s">
        <v>41</v>
      </c>
      <c r="U868" s="5" t="s">
        <v>42</v>
      </c>
      <c r="V868" s="57" t="s">
        <v>10</v>
      </c>
      <c r="W868" s="51">
        <v>0.15</v>
      </c>
      <c r="X868" s="357">
        <v>0.12</v>
      </c>
      <c r="Z868" s="5" t="s">
        <v>48</v>
      </c>
      <c r="AA868" s="112" t="s">
        <v>28</v>
      </c>
    </row>
    <row r="869" spans="1:29" x14ac:dyDescent="0.25">
      <c r="A869" s="329">
        <v>45927</v>
      </c>
      <c r="B869" s="5">
        <v>7</v>
      </c>
      <c r="D869" s="5" t="s">
        <v>91</v>
      </c>
      <c r="E869" s="6">
        <v>1.22</v>
      </c>
      <c r="G869" s="362">
        <v>1</v>
      </c>
      <c r="H869" s="362">
        <v>0</v>
      </c>
      <c r="I869" s="8">
        <v>1.44</v>
      </c>
      <c r="L869" s="5" t="s">
        <v>170</v>
      </c>
      <c r="N869" s="476">
        <v>28</v>
      </c>
      <c r="O869" s="477" t="s">
        <v>91</v>
      </c>
      <c r="P869" s="478" t="s">
        <v>443</v>
      </c>
      <c r="Q869" s="478" t="s">
        <v>444</v>
      </c>
      <c r="R869" s="478" t="s">
        <v>717</v>
      </c>
      <c r="S869" s="479">
        <v>61</v>
      </c>
      <c r="T869" s="478" t="s">
        <v>47</v>
      </c>
      <c r="U869" s="478" t="s">
        <v>42</v>
      </c>
      <c r="V869" s="480" t="s">
        <v>10</v>
      </c>
      <c r="W869" s="51">
        <v>0.18</v>
      </c>
      <c r="X869" s="357">
        <v>0.56000000000000005</v>
      </c>
      <c r="Y869" s="351" t="s">
        <v>353</v>
      </c>
      <c r="Z869" s="5" t="s">
        <v>48</v>
      </c>
      <c r="AA869" s="112" t="s">
        <v>28</v>
      </c>
    </row>
    <row r="870" spans="1:29" x14ac:dyDescent="0.25">
      <c r="A870" s="329">
        <v>45927</v>
      </c>
      <c r="B870" s="5">
        <v>7</v>
      </c>
      <c r="D870" s="5" t="s">
        <v>91</v>
      </c>
      <c r="E870" s="6">
        <v>1.22</v>
      </c>
      <c r="G870" s="362">
        <v>1</v>
      </c>
      <c r="H870" s="362">
        <v>0</v>
      </c>
      <c r="I870" s="8">
        <v>1.44</v>
      </c>
      <c r="L870" s="5" t="s">
        <v>170</v>
      </c>
      <c r="N870" s="476">
        <v>56</v>
      </c>
      <c r="O870" s="477" t="s">
        <v>91</v>
      </c>
      <c r="P870" s="478" t="s">
        <v>96</v>
      </c>
      <c r="Q870" s="478" t="s">
        <v>97</v>
      </c>
      <c r="R870" s="478" t="s">
        <v>718</v>
      </c>
      <c r="S870" s="479">
        <v>75</v>
      </c>
      <c r="T870" s="478" t="s">
        <v>41</v>
      </c>
      <c r="U870" s="478" t="s">
        <v>43</v>
      </c>
      <c r="V870" s="480" t="s">
        <v>10</v>
      </c>
      <c r="W870" s="51">
        <v>0.11</v>
      </c>
      <c r="X870" s="357" t="s">
        <v>53</v>
      </c>
      <c r="Y870" s="351" t="s">
        <v>353</v>
      </c>
      <c r="Z870" s="5" t="s">
        <v>13</v>
      </c>
      <c r="AA870" s="112" t="s">
        <v>28</v>
      </c>
    </row>
    <row r="871" spans="1:29" x14ac:dyDescent="0.25">
      <c r="A871" s="329">
        <v>45927</v>
      </c>
      <c r="B871" s="5">
        <v>7</v>
      </c>
      <c r="D871" s="5" t="s">
        <v>91</v>
      </c>
      <c r="E871" s="6">
        <v>1.22</v>
      </c>
      <c r="G871" s="362">
        <v>1</v>
      </c>
      <c r="H871" s="362">
        <v>0</v>
      </c>
      <c r="I871" s="8">
        <v>1.44</v>
      </c>
      <c r="L871" s="5" t="s">
        <v>170</v>
      </c>
      <c r="N871" s="476">
        <v>58</v>
      </c>
      <c r="O871" s="477" t="s">
        <v>91</v>
      </c>
      <c r="P871" s="478" t="s">
        <v>61</v>
      </c>
      <c r="Q871" s="478" t="s">
        <v>284</v>
      </c>
      <c r="R871" s="478" t="s">
        <v>713</v>
      </c>
      <c r="S871" s="479">
        <v>77</v>
      </c>
      <c r="T871" s="478" t="s">
        <v>41</v>
      </c>
      <c r="U871" s="478" t="s">
        <v>42</v>
      </c>
      <c r="V871" s="480" t="s">
        <v>33</v>
      </c>
      <c r="W871" s="51">
        <v>0.04</v>
      </c>
      <c r="X871" s="357" t="s">
        <v>53</v>
      </c>
      <c r="Z871" s="5" t="s">
        <v>22</v>
      </c>
      <c r="AA871" s="112" t="s">
        <v>28</v>
      </c>
    </row>
    <row r="872" spans="1:29" x14ac:dyDescent="0.25">
      <c r="A872" s="329">
        <v>45927</v>
      </c>
      <c r="B872" s="5">
        <v>7</v>
      </c>
      <c r="D872" s="5" t="s">
        <v>91</v>
      </c>
      <c r="E872" s="6">
        <v>1.22</v>
      </c>
      <c r="G872" s="362">
        <v>1</v>
      </c>
      <c r="H872" s="362">
        <v>0</v>
      </c>
      <c r="I872" s="8">
        <v>1.44</v>
      </c>
      <c r="L872" s="5" t="s">
        <v>170</v>
      </c>
      <c r="N872" s="345">
        <v>60</v>
      </c>
      <c r="O872" s="38" t="s">
        <v>170</v>
      </c>
      <c r="P872" s="5" t="s">
        <v>296</v>
      </c>
      <c r="Q872" s="5" t="s">
        <v>297</v>
      </c>
      <c r="R872" s="5" t="s">
        <v>699</v>
      </c>
      <c r="S872" s="7">
        <v>60</v>
      </c>
      <c r="T872" s="5" t="s">
        <v>47</v>
      </c>
      <c r="U872" s="5" t="s">
        <v>42</v>
      </c>
      <c r="V872" s="57" t="s">
        <v>10</v>
      </c>
      <c r="W872" s="51">
        <v>0.2</v>
      </c>
      <c r="X872" s="357" t="s">
        <v>53</v>
      </c>
      <c r="Y872" s="351" t="s">
        <v>353</v>
      </c>
      <c r="Z872" s="5" t="s">
        <v>13</v>
      </c>
      <c r="AA872" s="112" t="s">
        <v>28</v>
      </c>
    </row>
    <row r="873" spans="1:29" x14ac:dyDescent="0.25">
      <c r="A873" s="329">
        <v>45927</v>
      </c>
      <c r="B873" s="5">
        <v>7</v>
      </c>
      <c r="D873" s="5" t="s">
        <v>91</v>
      </c>
      <c r="E873" s="6">
        <v>1.22</v>
      </c>
      <c r="G873" s="362">
        <v>1</v>
      </c>
      <c r="H873" s="362">
        <v>0</v>
      </c>
      <c r="I873" s="8">
        <v>1.44</v>
      </c>
      <c r="L873" s="5" t="s">
        <v>170</v>
      </c>
      <c r="N873" s="476">
        <v>77</v>
      </c>
      <c r="O873" s="477" t="s">
        <v>91</v>
      </c>
      <c r="P873" s="478" t="s">
        <v>332</v>
      </c>
      <c r="Q873" s="478" t="s">
        <v>333</v>
      </c>
      <c r="R873" s="478" t="s">
        <v>696</v>
      </c>
      <c r="S873" s="479">
        <v>72</v>
      </c>
      <c r="T873" s="478" t="s">
        <v>41</v>
      </c>
      <c r="U873" s="478" t="s">
        <v>42</v>
      </c>
      <c r="V873" s="480" t="s">
        <v>540</v>
      </c>
      <c r="W873" s="51">
        <v>0.14000000000000001</v>
      </c>
      <c r="X873" s="357">
        <v>0.67</v>
      </c>
      <c r="Z873" s="5" t="s">
        <v>8</v>
      </c>
      <c r="AA873" s="112" t="s">
        <v>19</v>
      </c>
    </row>
    <row r="874" spans="1:29" x14ac:dyDescent="0.25">
      <c r="A874" s="329">
        <v>45927</v>
      </c>
      <c r="B874" s="5">
        <v>7</v>
      </c>
      <c r="D874" s="5" t="s">
        <v>91</v>
      </c>
      <c r="E874" s="6">
        <v>1.22</v>
      </c>
      <c r="G874" s="362">
        <v>1</v>
      </c>
      <c r="H874" s="362">
        <v>0</v>
      </c>
      <c r="I874" s="8">
        <v>1.44</v>
      </c>
      <c r="L874" s="5" t="s">
        <v>170</v>
      </c>
      <c r="N874" s="345">
        <v>83</v>
      </c>
      <c r="O874" s="38" t="s">
        <v>170</v>
      </c>
      <c r="P874" s="5" t="s">
        <v>522</v>
      </c>
      <c r="Q874" s="5" t="s">
        <v>523</v>
      </c>
      <c r="R874" s="5" t="s">
        <v>696</v>
      </c>
      <c r="S874" s="479">
        <v>63</v>
      </c>
      <c r="T874" s="5" t="s">
        <v>354</v>
      </c>
      <c r="U874" s="5" t="s">
        <v>42</v>
      </c>
      <c r="V874" s="57" t="s">
        <v>540</v>
      </c>
      <c r="W874" s="51">
        <v>0.02</v>
      </c>
      <c r="X874" s="357" t="s">
        <v>53</v>
      </c>
      <c r="Z874" s="5" t="s">
        <v>17</v>
      </c>
      <c r="AA874" s="112" t="s">
        <v>19</v>
      </c>
    </row>
    <row r="875" spans="1:29" ht="15.75" thickBot="1" x14ac:dyDescent="0.3">
      <c r="A875" s="330">
        <v>45927</v>
      </c>
      <c r="B875" s="9">
        <v>7</v>
      </c>
      <c r="C875" s="122"/>
      <c r="D875" s="9" t="s">
        <v>91</v>
      </c>
      <c r="E875" s="10">
        <v>1.22</v>
      </c>
      <c r="F875" s="10"/>
      <c r="G875" s="383">
        <v>1</v>
      </c>
      <c r="H875" s="383">
        <v>0</v>
      </c>
      <c r="I875" s="12">
        <v>1.44</v>
      </c>
      <c r="J875" s="12"/>
      <c r="K875" s="122"/>
      <c r="L875" s="9" t="s">
        <v>170</v>
      </c>
      <c r="M875" s="45"/>
      <c r="N875" s="511">
        <v>88</v>
      </c>
      <c r="O875" s="512" t="s">
        <v>91</v>
      </c>
      <c r="P875" s="513" t="s">
        <v>96</v>
      </c>
      <c r="Q875" s="513" t="s">
        <v>97</v>
      </c>
      <c r="R875" s="513" t="s">
        <v>718</v>
      </c>
      <c r="S875" s="479">
        <v>75</v>
      </c>
      <c r="T875" s="513" t="s">
        <v>41</v>
      </c>
      <c r="U875" s="513" t="s">
        <v>43</v>
      </c>
      <c r="V875" s="514" t="s">
        <v>18</v>
      </c>
      <c r="W875" s="52">
        <v>0.14000000000000001</v>
      </c>
      <c r="X875" s="358" t="s">
        <v>53</v>
      </c>
      <c r="Y875" s="352"/>
      <c r="Z875" s="9" t="s">
        <v>52</v>
      </c>
      <c r="AA875" s="113" t="s">
        <v>19</v>
      </c>
      <c r="AB875" s="109"/>
      <c r="AC875" s="58"/>
    </row>
    <row r="876" spans="1:29" ht="15.75" thickBot="1" x14ac:dyDescent="0.3">
      <c r="A876" s="326">
        <v>45927</v>
      </c>
      <c r="B876" s="207">
        <v>7</v>
      </c>
      <c r="C876" s="208"/>
      <c r="D876" s="207" t="s">
        <v>91</v>
      </c>
      <c r="E876" s="209">
        <v>1.22</v>
      </c>
      <c r="F876" s="209"/>
      <c r="G876" s="460">
        <v>1</v>
      </c>
      <c r="H876" s="460">
        <v>0</v>
      </c>
      <c r="I876" s="211">
        <v>1.44</v>
      </c>
      <c r="J876" s="211"/>
      <c r="K876" s="208"/>
      <c r="L876" s="207" t="s">
        <v>170</v>
      </c>
      <c r="M876" s="235"/>
      <c r="N876" s="347"/>
      <c r="O876" s="343" t="s">
        <v>91</v>
      </c>
      <c r="P876" s="199" t="s">
        <v>351</v>
      </c>
      <c r="Q876" s="199" t="s">
        <v>54</v>
      </c>
      <c r="R876" s="199" t="s">
        <v>707</v>
      </c>
      <c r="S876" s="479">
        <v>78</v>
      </c>
      <c r="T876" s="199"/>
      <c r="U876" s="199"/>
      <c r="V876" s="201"/>
      <c r="W876" s="202"/>
      <c r="X876" s="359"/>
      <c r="Y876" s="353">
        <f>H876</f>
        <v>0</v>
      </c>
      <c r="Z876" s="199"/>
      <c r="AA876" s="204"/>
      <c r="AB876" s="205"/>
      <c r="AC876" s="201"/>
    </row>
    <row r="877" spans="1:29" ht="15.75" thickBot="1" x14ac:dyDescent="0.3">
      <c r="A877" s="326">
        <v>45927</v>
      </c>
      <c r="B877" s="207">
        <v>7</v>
      </c>
      <c r="C877" s="208"/>
      <c r="D877" s="207" t="s">
        <v>91</v>
      </c>
      <c r="E877" s="209">
        <v>1.22</v>
      </c>
      <c r="F877" s="209"/>
      <c r="G877" s="460">
        <v>1</v>
      </c>
      <c r="H877" s="460">
        <v>0</v>
      </c>
      <c r="I877" s="211">
        <v>1.44</v>
      </c>
      <c r="J877" s="211"/>
      <c r="K877" s="208"/>
      <c r="L877" s="207" t="s">
        <v>170</v>
      </c>
      <c r="M877" s="235"/>
      <c r="N877" s="347"/>
      <c r="O877" s="343" t="s">
        <v>170</v>
      </c>
      <c r="P877" s="199" t="s">
        <v>269</v>
      </c>
      <c r="Q877" s="199" t="s">
        <v>722</v>
      </c>
      <c r="R877" s="199" t="s">
        <v>707</v>
      </c>
      <c r="S877" s="479">
        <v>69</v>
      </c>
      <c r="T877" s="199"/>
      <c r="U877" s="199"/>
      <c r="V877" s="201"/>
      <c r="W877" s="202"/>
      <c r="X877" s="359"/>
      <c r="Y877" s="353">
        <f>G876</f>
        <v>1</v>
      </c>
      <c r="Z877" s="199"/>
      <c r="AA877" s="204"/>
      <c r="AB877" s="205"/>
      <c r="AC877" s="201"/>
    </row>
    <row r="878" spans="1:29" x14ac:dyDescent="0.25">
      <c r="A878" s="328">
        <v>45928</v>
      </c>
      <c r="B878" s="17">
        <v>7</v>
      </c>
      <c r="C878" s="123" t="s">
        <v>694</v>
      </c>
      <c r="D878" s="17" t="s">
        <v>70</v>
      </c>
      <c r="E878" s="18">
        <v>1.89</v>
      </c>
      <c r="F878" s="18"/>
      <c r="G878" s="461">
        <v>0</v>
      </c>
      <c r="H878" s="461">
        <v>1</v>
      </c>
      <c r="I878" s="20">
        <v>0.63</v>
      </c>
      <c r="J878" s="20"/>
      <c r="K878" s="123" t="s">
        <v>700</v>
      </c>
      <c r="L878" s="17" t="s">
        <v>171</v>
      </c>
      <c r="M878" s="597" t="s">
        <v>526</v>
      </c>
      <c r="N878" s="507">
        <v>23</v>
      </c>
      <c r="O878" s="508" t="s">
        <v>70</v>
      </c>
      <c r="P878" s="509" t="s">
        <v>83</v>
      </c>
      <c r="Q878" s="509" t="s">
        <v>84</v>
      </c>
      <c r="R878" s="509" t="s">
        <v>713</v>
      </c>
      <c r="S878" s="479">
        <v>65</v>
      </c>
      <c r="T878" s="509" t="s">
        <v>354</v>
      </c>
      <c r="U878" s="509" t="s">
        <v>42</v>
      </c>
      <c r="V878" s="510" t="s">
        <v>15</v>
      </c>
      <c r="W878" s="53">
        <v>0.01</v>
      </c>
      <c r="X878" s="360">
        <v>0.18</v>
      </c>
      <c r="Y878" s="354"/>
      <c r="Z878" s="17" t="s">
        <v>48</v>
      </c>
      <c r="AA878" s="114" t="s">
        <v>28</v>
      </c>
      <c r="AB878" s="110"/>
      <c r="AC878" s="60"/>
    </row>
    <row r="879" spans="1:29" x14ac:dyDescent="0.25">
      <c r="A879" s="329">
        <v>45928</v>
      </c>
      <c r="B879" s="5">
        <v>7</v>
      </c>
      <c r="D879" s="5" t="s">
        <v>70</v>
      </c>
      <c r="E879" s="6">
        <v>1.89</v>
      </c>
      <c r="G879" s="362">
        <v>0</v>
      </c>
      <c r="H879" s="362">
        <v>1</v>
      </c>
      <c r="I879" s="8">
        <v>0.63</v>
      </c>
      <c r="L879" s="5" t="s">
        <v>171</v>
      </c>
      <c r="M879" s="268" t="s">
        <v>526</v>
      </c>
      <c r="N879" s="476">
        <v>39</v>
      </c>
      <c r="O879" s="477" t="s">
        <v>70</v>
      </c>
      <c r="P879" s="478" t="s">
        <v>74</v>
      </c>
      <c r="Q879" s="478" t="s">
        <v>75</v>
      </c>
      <c r="R879" s="478" t="s">
        <v>685</v>
      </c>
      <c r="S879" s="479">
        <v>66</v>
      </c>
      <c r="T879" s="478" t="s">
        <v>41</v>
      </c>
      <c r="U879" s="478" t="s">
        <v>42</v>
      </c>
      <c r="V879" s="480" t="s">
        <v>18</v>
      </c>
      <c r="W879" s="51">
        <v>0.27</v>
      </c>
      <c r="X879" s="357">
        <v>0.77</v>
      </c>
      <c r="Z879" s="5" t="s">
        <v>48</v>
      </c>
      <c r="AA879" s="112" t="s">
        <v>28</v>
      </c>
    </row>
    <row r="880" spans="1:29" x14ac:dyDescent="0.25">
      <c r="A880" s="329">
        <v>45928</v>
      </c>
      <c r="B880" s="5">
        <v>7</v>
      </c>
      <c r="D880" s="5" t="s">
        <v>70</v>
      </c>
      <c r="E880" s="6">
        <v>1.89</v>
      </c>
      <c r="G880" s="362">
        <v>0</v>
      </c>
      <c r="H880" s="362">
        <v>1</v>
      </c>
      <c r="I880" s="8">
        <v>0.63</v>
      </c>
      <c r="L880" s="5" t="s">
        <v>171</v>
      </c>
      <c r="M880" s="268" t="s">
        <v>526</v>
      </c>
      <c r="N880" s="476">
        <v>48</v>
      </c>
      <c r="O880" s="477" t="s">
        <v>70</v>
      </c>
      <c r="P880" s="478" t="s">
        <v>53</v>
      </c>
      <c r="Q880" s="478" t="s">
        <v>405</v>
      </c>
      <c r="R880" s="478" t="s">
        <v>718</v>
      </c>
      <c r="S880" s="479">
        <v>68</v>
      </c>
      <c r="T880" s="478" t="s">
        <v>41</v>
      </c>
      <c r="U880" s="478" t="s">
        <v>42</v>
      </c>
      <c r="V880" s="480" t="s">
        <v>33</v>
      </c>
      <c r="W880" s="51">
        <v>7.0000000000000007E-2</v>
      </c>
      <c r="X880" s="357">
        <v>0.11</v>
      </c>
      <c r="Z880" s="5" t="s">
        <v>48</v>
      </c>
      <c r="AA880" s="112" t="s">
        <v>28</v>
      </c>
    </row>
    <row r="881" spans="1:29" x14ac:dyDescent="0.25">
      <c r="A881" s="329">
        <v>45928</v>
      </c>
      <c r="B881" s="5">
        <v>7</v>
      </c>
      <c r="D881" s="5" t="s">
        <v>70</v>
      </c>
      <c r="E881" s="6">
        <v>1.89</v>
      </c>
      <c r="G881" s="362">
        <v>0</v>
      </c>
      <c r="H881" s="362">
        <v>1</v>
      </c>
      <c r="I881" s="8">
        <v>0.63</v>
      </c>
      <c r="L881" s="5" t="s">
        <v>171</v>
      </c>
      <c r="M881" s="268" t="s">
        <v>526</v>
      </c>
      <c r="N881" s="476">
        <v>49</v>
      </c>
      <c r="O881" s="477" t="s">
        <v>70</v>
      </c>
      <c r="P881" s="478" t="s">
        <v>78</v>
      </c>
      <c r="Q881" s="478" t="s">
        <v>404</v>
      </c>
      <c r="R881" s="478" t="s">
        <v>712</v>
      </c>
      <c r="S881" s="479">
        <v>67</v>
      </c>
      <c r="T881" s="478" t="s">
        <v>41</v>
      </c>
      <c r="U881" s="478" t="s">
        <v>42</v>
      </c>
      <c r="V881" s="480" t="s">
        <v>29</v>
      </c>
      <c r="W881" s="51">
        <v>0.34</v>
      </c>
      <c r="X881" s="357">
        <v>0.16</v>
      </c>
      <c r="Y881" s="351" t="s">
        <v>353</v>
      </c>
      <c r="Z881" s="5" t="s">
        <v>48</v>
      </c>
      <c r="AA881" s="112" t="s">
        <v>28</v>
      </c>
    </row>
    <row r="882" spans="1:29" x14ac:dyDescent="0.25">
      <c r="A882" s="329">
        <v>45928</v>
      </c>
      <c r="B882" s="5">
        <v>7</v>
      </c>
      <c r="D882" s="5" t="s">
        <v>70</v>
      </c>
      <c r="E882" s="6">
        <v>1.89</v>
      </c>
      <c r="G882" s="362">
        <v>0</v>
      </c>
      <c r="H882" s="362">
        <v>1</v>
      </c>
      <c r="I882" s="8">
        <v>0.63</v>
      </c>
      <c r="L882" s="5" t="s">
        <v>171</v>
      </c>
      <c r="M882" s="268" t="s">
        <v>526</v>
      </c>
      <c r="N882" s="476">
        <v>66</v>
      </c>
      <c r="O882" s="477" t="s">
        <v>70</v>
      </c>
      <c r="P882" s="478" t="s">
        <v>53</v>
      </c>
      <c r="Q882" s="478" t="s">
        <v>405</v>
      </c>
      <c r="R882" s="478" t="s">
        <v>718</v>
      </c>
      <c r="S882" s="479">
        <v>68</v>
      </c>
      <c r="T882" s="478" t="s">
        <v>41</v>
      </c>
      <c r="U882" s="478" t="s">
        <v>45</v>
      </c>
      <c r="V882" s="480" t="s">
        <v>20</v>
      </c>
      <c r="W882" s="51">
        <v>0.1</v>
      </c>
      <c r="X882" s="357" t="s">
        <v>53</v>
      </c>
      <c r="Z882" s="5" t="s">
        <v>13</v>
      </c>
      <c r="AA882" s="112" t="s">
        <v>28</v>
      </c>
    </row>
    <row r="883" spans="1:29" x14ac:dyDescent="0.25">
      <c r="A883" s="329">
        <v>45928</v>
      </c>
      <c r="B883" s="5">
        <v>7</v>
      </c>
      <c r="D883" s="5" t="s">
        <v>70</v>
      </c>
      <c r="E883" s="6">
        <v>1.89</v>
      </c>
      <c r="G883" s="362">
        <v>0</v>
      </c>
      <c r="H883" s="362">
        <v>1</v>
      </c>
      <c r="I883" s="8">
        <v>0.63</v>
      </c>
      <c r="L883" s="5" t="s">
        <v>171</v>
      </c>
      <c r="M883" s="268" t="s">
        <v>526</v>
      </c>
      <c r="N883" s="476">
        <v>70</v>
      </c>
      <c r="O883" s="477" t="s">
        <v>70</v>
      </c>
      <c r="P883" s="478" t="s">
        <v>76</v>
      </c>
      <c r="Q883" s="478" t="s">
        <v>77</v>
      </c>
      <c r="R883" s="478" t="s">
        <v>717</v>
      </c>
      <c r="S883" s="479">
        <v>58</v>
      </c>
      <c r="T883" s="478" t="s">
        <v>41</v>
      </c>
      <c r="U883" s="478" t="s">
        <v>42</v>
      </c>
      <c r="V883" s="480" t="s">
        <v>10</v>
      </c>
      <c r="W883" s="51">
        <v>0.17</v>
      </c>
      <c r="X883" s="357" t="s">
        <v>53</v>
      </c>
      <c r="Z883" s="5" t="s">
        <v>13</v>
      </c>
      <c r="AA883" s="112" t="s">
        <v>28</v>
      </c>
    </row>
    <row r="884" spans="1:29" x14ac:dyDescent="0.25">
      <c r="A884" s="329">
        <v>45928</v>
      </c>
      <c r="B884" s="5">
        <v>7</v>
      </c>
      <c r="D884" s="5" t="s">
        <v>70</v>
      </c>
      <c r="E884" s="6">
        <v>1.89</v>
      </c>
      <c r="G884" s="362">
        <v>0</v>
      </c>
      <c r="H884" s="362">
        <v>1</v>
      </c>
      <c r="I884" s="8">
        <v>0.63</v>
      </c>
      <c r="L884" s="5" t="s">
        <v>171</v>
      </c>
      <c r="M884" s="268" t="s">
        <v>526</v>
      </c>
      <c r="N884" s="345">
        <v>87</v>
      </c>
      <c r="O884" s="38" t="s">
        <v>171</v>
      </c>
      <c r="P884" s="5" t="s">
        <v>181</v>
      </c>
      <c r="Q884" s="5" t="s">
        <v>182</v>
      </c>
      <c r="R884" s="5" t="s">
        <v>696</v>
      </c>
      <c r="S884" s="479">
        <v>69</v>
      </c>
      <c r="T884" s="5" t="s">
        <v>41</v>
      </c>
      <c r="U884" s="5" t="s">
        <v>42</v>
      </c>
      <c r="V884" s="57" t="s">
        <v>10</v>
      </c>
      <c r="W884" s="51">
        <v>0.42</v>
      </c>
      <c r="X884" s="357">
        <v>0.55000000000000004</v>
      </c>
      <c r="Y884" s="351" t="s">
        <v>353</v>
      </c>
      <c r="Z884" s="5" t="s">
        <v>8</v>
      </c>
      <c r="AA884" s="112" t="s">
        <v>9</v>
      </c>
      <c r="AB884" s="108" t="s">
        <v>441</v>
      </c>
      <c r="AC884" s="57" t="s">
        <v>442</v>
      </c>
    </row>
    <row r="885" spans="1:29" ht="15.75" thickBot="1" x14ac:dyDescent="0.3">
      <c r="A885" s="330">
        <v>45928</v>
      </c>
      <c r="B885" s="9">
        <v>7</v>
      </c>
      <c r="C885" s="122"/>
      <c r="D885" s="9" t="s">
        <v>70</v>
      </c>
      <c r="E885" s="10">
        <v>1.89</v>
      </c>
      <c r="F885" s="10"/>
      <c r="G885" s="383">
        <v>0</v>
      </c>
      <c r="H885" s="383">
        <v>1</v>
      </c>
      <c r="I885" s="12">
        <v>0.63</v>
      </c>
      <c r="J885" s="12"/>
      <c r="K885" s="122"/>
      <c r="L885" s="9" t="s">
        <v>171</v>
      </c>
      <c r="M885" s="444" t="s">
        <v>526</v>
      </c>
      <c r="N885" s="511" t="s">
        <v>36</v>
      </c>
      <c r="O885" s="512" t="s">
        <v>70</v>
      </c>
      <c r="P885" s="513" t="s">
        <v>298</v>
      </c>
      <c r="Q885" s="513" t="s">
        <v>299</v>
      </c>
      <c r="R885" s="513" t="s">
        <v>696</v>
      </c>
      <c r="S885" s="479">
        <v>49</v>
      </c>
      <c r="T885" s="513" t="s">
        <v>47</v>
      </c>
      <c r="U885" s="513" t="s">
        <v>42</v>
      </c>
      <c r="V885" s="514" t="s">
        <v>10</v>
      </c>
      <c r="W885" s="52">
        <v>0.42</v>
      </c>
      <c r="X885" s="358">
        <v>0.41</v>
      </c>
      <c r="Y885" s="352" t="s">
        <v>353</v>
      </c>
      <c r="Z885" s="9" t="s">
        <v>48</v>
      </c>
      <c r="AA885" s="113" t="s">
        <v>9</v>
      </c>
      <c r="AB885" s="109"/>
      <c r="AC885" s="58"/>
    </row>
    <row r="886" spans="1:29" ht="15.75" thickBot="1" x14ac:dyDescent="0.3">
      <c r="A886" s="326">
        <v>45928</v>
      </c>
      <c r="B886" s="207">
        <v>7</v>
      </c>
      <c r="C886" s="208"/>
      <c r="D886" s="207" t="s">
        <v>70</v>
      </c>
      <c r="E886" s="209">
        <v>1.89</v>
      </c>
      <c r="F886" s="209"/>
      <c r="G886" s="460">
        <v>0</v>
      </c>
      <c r="H886" s="460">
        <v>1</v>
      </c>
      <c r="I886" s="211">
        <v>0.63</v>
      </c>
      <c r="J886" s="211"/>
      <c r="K886" s="208"/>
      <c r="L886" s="207" t="s">
        <v>171</v>
      </c>
      <c r="M886" s="235"/>
      <c r="N886" s="347"/>
      <c r="O886" s="343" t="s">
        <v>70</v>
      </c>
      <c r="P886" s="199" t="s">
        <v>714</v>
      </c>
      <c r="Q886" s="199" t="s">
        <v>715</v>
      </c>
      <c r="R886" s="199" t="s">
        <v>707</v>
      </c>
      <c r="S886" s="7">
        <v>58</v>
      </c>
      <c r="T886" s="199"/>
      <c r="U886" s="199"/>
      <c r="V886" s="201"/>
      <c r="W886" s="202"/>
      <c r="X886" s="359"/>
      <c r="Y886" s="353">
        <f>H886</f>
        <v>1</v>
      </c>
      <c r="Z886" s="199"/>
      <c r="AA886" s="204"/>
      <c r="AB886" s="205"/>
      <c r="AC886" s="201"/>
    </row>
    <row r="887" spans="1:29" ht="15.75" thickBot="1" x14ac:dyDescent="0.3">
      <c r="A887" s="326">
        <v>45928</v>
      </c>
      <c r="B887" s="207">
        <v>7</v>
      </c>
      <c r="C887" s="208"/>
      <c r="D887" s="207" t="s">
        <v>70</v>
      </c>
      <c r="E887" s="209">
        <v>1.89</v>
      </c>
      <c r="F887" s="209"/>
      <c r="G887" s="460">
        <v>0</v>
      </c>
      <c r="H887" s="460">
        <v>1</v>
      </c>
      <c r="I887" s="211">
        <v>0.63</v>
      </c>
      <c r="J887" s="211"/>
      <c r="K887" s="208"/>
      <c r="L887" s="207" t="s">
        <v>171</v>
      </c>
      <c r="M887" s="235"/>
      <c r="N887" s="347"/>
      <c r="O887" s="343" t="s">
        <v>171</v>
      </c>
      <c r="P887" s="199" t="s">
        <v>524</v>
      </c>
      <c r="Q887" s="199" t="s">
        <v>525</v>
      </c>
      <c r="R887" s="199" t="s">
        <v>707</v>
      </c>
      <c r="S887" s="479">
        <v>85</v>
      </c>
      <c r="T887" s="199"/>
      <c r="U887" s="199"/>
      <c r="V887" s="201"/>
      <c r="W887" s="202"/>
      <c r="X887" s="359"/>
      <c r="Y887" s="353">
        <f>G886</f>
        <v>0</v>
      </c>
      <c r="Z887" s="199"/>
      <c r="AA887" s="204"/>
      <c r="AB887" s="205"/>
      <c r="AC887" s="201"/>
    </row>
    <row r="888" spans="1:29" x14ac:dyDescent="0.25">
      <c r="A888" s="328">
        <v>45928</v>
      </c>
      <c r="B888" s="17">
        <v>7</v>
      </c>
      <c r="C888" s="123" t="s">
        <v>701</v>
      </c>
      <c r="D888" s="17" t="s">
        <v>208</v>
      </c>
      <c r="E888" s="18">
        <v>3.58</v>
      </c>
      <c r="F888" s="18"/>
      <c r="G888" s="461">
        <v>2</v>
      </c>
      <c r="H888" s="461">
        <v>1</v>
      </c>
      <c r="I888" s="20">
        <v>0.77</v>
      </c>
      <c r="J888" s="20"/>
      <c r="K888" s="123" t="s">
        <v>692</v>
      </c>
      <c r="L888" s="17" t="s">
        <v>456</v>
      </c>
      <c r="M888" s="46"/>
      <c r="N888" s="348">
        <v>4</v>
      </c>
      <c r="O888" s="456" t="s">
        <v>456</v>
      </c>
      <c r="P888" s="17" t="s">
        <v>30</v>
      </c>
      <c r="Q888" s="17" t="s">
        <v>464</v>
      </c>
      <c r="R888" s="17" t="s">
        <v>690</v>
      </c>
      <c r="S888" s="7">
        <v>63</v>
      </c>
      <c r="T888" s="17" t="s">
        <v>41</v>
      </c>
      <c r="U888" s="17" t="s">
        <v>42</v>
      </c>
      <c r="V888" s="59" t="s">
        <v>10</v>
      </c>
      <c r="W888" s="53">
        <v>0.46</v>
      </c>
      <c r="X888" s="360" t="s">
        <v>53</v>
      </c>
      <c r="Y888" s="354" t="s">
        <v>353</v>
      </c>
      <c r="Z888" s="17" t="s">
        <v>13</v>
      </c>
      <c r="AA888" s="114" t="s">
        <v>28</v>
      </c>
      <c r="AB888" s="110"/>
      <c r="AC888" s="60"/>
    </row>
    <row r="889" spans="1:29" x14ac:dyDescent="0.25">
      <c r="A889" s="329">
        <v>45928</v>
      </c>
      <c r="B889" s="5">
        <v>7</v>
      </c>
      <c r="D889" s="5" t="s">
        <v>208</v>
      </c>
      <c r="E889" s="6">
        <v>3.58</v>
      </c>
      <c r="G889" s="362">
        <v>2</v>
      </c>
      <c r="H889" s="362">
        <v>1</v>
      </c>
      <c r="I889" s="8">
        <v>0.77</v>
      </c>
      <c r="L889" s="5" t="s">
        <v>456</v>
      </c>
      <c r="N889" s="476">
        <v>9</v>
      </c>
      <c r="O889" s="477" t="s">
        <v>208</v>
      </c>
      <c r="P889" s="478" t="s">
        <v>212</v>
      </c>
      <c r="Q889" s="478" t="s">
        <v>213</v>
      </c>
      <c r="R889" s="478" t="s">
        <v>695</v>
      </c>
      <c r="S889" s="479">
        <v>66</v>
      </c>
      <c r="T889" s="478" t="s">
        <v>41</v>
      </c>
      <c r="U889" s="478" t="s">
        <v>43</v>
      </c>
      <c r="V889" s="480" t="s">
        <v>10</v>
      </c>
      <c r="W889" s="51">
        <v>0.19</v>
      </c>
      <c r="X889" s="357" t="s">
        <v>53</v>
      </c>
      <c r="Z889" s="5" t="s">
        <v>52</v>
      </c>
      <c r="AA889" s="112" t="s">
        <v>28</v>
      </c>
    </row>
    <row r="890" spans="1:29" x14ac:dyDescent="0.25">
      <c r="A890" s="329">
        <v>45928</v>
      </c>
      <c r="B890" s="5">
        <v>7</v>
      </c>
      <c r="D890" s="5" t="s">
        <v>208</v>
      </c>
      <c r="E890" s="6">
        <v>3.58</v>
      </c>
      <c r="G890" s="362">
        <v>2</v>
      </c>
      <c r="H890" s="362">
        <v>1</v>
      </c>
      <c r="I890" s="8">
        <v>0.77</v>
      </c>
      <c r="L890" s="5" t="s">
        <v>456</v>
      </c>
      <c r="N890" s="476">
        <v>12</v>
      </c>
      <c r="O890" s="477" t="s">
        <v>208</v>
      </c>
      <c r="P890" s="478" t="s">
        <v>61</v>
      </c>
      <c r="Q890" s="478" t="s">
        <v>261</v>
      </c>
      <c r="R890" s="478" t="s">
        <v>718</v>
      </c>
      <c r="S890" s="479">
        <v>59</v>
      </c>
      <c r="T890" s="478" t="s">
        <v>41</v>
      </c>
      <c r="U890" s="478" t="s">
        <v>42</v>
      </c>
      <c r="V890" s="480" t="s">
        <v>20</v>
      </c>
      <c r="W890" s="51">
        <v>0.12</v>
      </c>
      <c r="X890" s="357">
        <v>0.12</v>
      </c>
      <c r="Z890" s="5" t="s">
        <v>48</v>
      </c>
      <c r="AA890" s="112" t="s">
        <v>28</v>
      </c>
    </row>
    <row r="891" spans="1:29" x14ac:dyDescent="0.25">
      <c r="A891" s="329">
        <v>45928</v>
      </c>
      <c r="B891" s="5">
        <v>7</v>
      </c>
      <c r="D891" s="5" t="s">
        <v>208</v>
      </c>
      <c r="E891" s="6">
        <v>3.58</v>
      </c>
      <c r="G891" s="362">
        <v>2</v>
      </c>
      <c r="H891" s="362">
        <v>1</v>
      </c>
      <c r="I891" s="8">
        <v>0.77</v>
      </c>
      <c r="L891" s="5" t="s">
        <v>456</v>
      </c>
      <c r="N891" s="476">
        <v>13</v>
      </c>
      <c r="O891" s="477" t="s">
        <v>208</v>
      </c>
      <c r="P891" s="478" t="s">
        <v>61</v>
      </c>
      <c r="Q891" s="478" t="s">
        <v>261</v>
      </c>
      <c r="R891" s="478" t="s">
        <v>718</v>
      </c>
      <c r="S891" s="479">
        <v>59</v>
      </c>
      <c r="T891" s="478" t="s">
        <v>41</v>
      </c>
      <c r="U891" s="478" t="s">
        <v>43</v>
      </c>
      <c r="V891" s="480" t="s">
        <v>540</v>
      </c>
      <c r="W891" s="51">
        <v>0.11</v>
      </c>
      <c r="X891" s="357" t="s">
        <v>53</v>
      </c>
      <c r="Y891" s="351" t="s">
        <v>353</v>
      </c>
      <c r="Z891" s="5" t="s">
        <v>16</v>
      </c>
      <c r="AA891" s="112" t="s">
        <v>28</v>
      </c>
    </row>
    <row r="892" spans="1:29" x14ac:dyDescent="0.25">
      <c r="A892" s="329">
        <v>45928</v>
      </c>
      <c r="B892" s="5">
        <v>7</v>
      </c>
      <c r="D892" s="5" t="s">
        <v>208</v>
      </c>
      <c r="E892" s="6">
        <v>3.58</v>
      </c>
      <c r="G892" s="362">
        <v>2</v>
      </c>
      <c r="H892" s="362">
        <v>1</v>
      </c>
      <c r="I892" s="8">
        <v>0.77</v>
      </c>
      <c r="L892" s="5" t="s">
        <v>456</v>
      </c>
      <c r="N892" s="476">
        <v>18</v>
      </c>
      <c r="O892" s="477" t="s">
        <v>208</v>
      </c>
      <c r="P892" s="478" t="s">
        <v>362</v>
      </c>
      <c r="Q892" s="478" t="s">
        <v>363</v>
      </c>
      <c r="R892" s="478" t="s">
        <v>717</v>
      </c>
      <c r="S892" s="481">
        <v>72</v>
      </c>
      <c r="T892" s="478" t="s">
        <v>47</v>
      </c>
      <c r="U892" s="478" t="s">
        <v>43</v>
      </c>
      <c r="V892" s="480" t="s">
        <v>10</v>
      </c>
      <c r="W892" s="51">
        <v>0.87</v>
      </c>
      <c r="X892" s="357">
        <v>0.99</v>
      </c>
      <c r="Y892" s="351" t="s">
        <v>353</v>
      </c>
      <c r="Z892" s="5" t="s">
        <v>8</v>
      </c>
      <c r="AA892" s="112" t="s">
        <v>19</v>
      </c>
      <c r="AB892" s="108" t="s">
        <v>53</v>
      </c>
      <c r="AC892" s="57" t="s">
        <v>465</v>
      </c>
    </row>
    <row r="893" spans="1:29" x14ac:dyDescent="0.25">
      <c r="A893" s="329">
        <v>45928</v>
      </c>
      <c r="B893" s="5">
        <v>7</v>
      </c>
      <c r="D893" s="5" t="s">
        <v>208</v>
      </c>
      <c r="E893" s="6">
        <v>3.58</v>
      </c>
      <c r="G893" s="362">
        <v>2</v>
      </c>
      <c r="H893" s="362">
        <v>1</v>
      </c>
      <c r="I893" s="8">
        <v>0.77</v>
      </c>
      <c r="L893" s="5" t="s">
        <v>456</v>
      </c>
      <c r="N893" s="345">
        <v>22</v>
      </c>
      <c r="O893" s="38" t="s">
        <v>456</v>
      </c>
      <c r="P893" s="5" t="s">
        <v>313</v>
      </c>
      <c r="Q893" s="5" t="s">
        <v>301</v>
      </c>
      <c r="R893" s="5" t="s">
        <v>684</v>
      </c>
      <c r="S893" s="481">
        <v>68</v>
      </c>
      <c r="T893" s="5" t="s">
        <v>44</v>
      </c>
      <c r="U893" s="5" t="s">
        <v>43</v>
      </c>
      <c r="V893" s="57" t="s">
        <v>10</v>
      </c>
      <c r="W893" s="51">
        <v>0.09</v>
      </c>
      <c r="X893" s="357">
        <v>0.16</v>
      </c>
      <c r="Y893" s="351" t="s">
        <v>353</v>
      </c>
      <c r="Z893" s="5" t="s">
        <v>8</v>
      </c>
      <c r="AA893" s="112" t="s">
        <v>51</v>
      </c>
      <c r="AB893" s="108" t="s">
        <v>249</v>
      </c>
      <c r="AC893" s="57" t="s">
        <v>250</v>
      </c>
    </row>
    <row r="894" spans="1:29" ht="14.25" customHeight="1" x14ac:dyDescent="0.25">
      <c r="A894" s="329">
        <v>45928</v>
      </c>
      <c r="B894" s="5">
        <v>7</v>
      </c>
      <c r="D894" s="5" t="s">
        <v>208</v>
      </c>
      <c r="E894" s="6">
        <v>3.58</v>
      </c>
      <c r="G894" s="362">
        <v>2</v>
      </c>
      <c r="H894" s="362">
        <v>1</v>
      </c>
      <c r="I894" s="8">
        <v>0.77</v>
      </c>
      <c r="L894" s="5" t="s">
        <v>456</v>
      </c>
      <c r="N894" s="476">
        <v>26</v>
      </c>
      <c r="O894" s="477" t="s">
        <v>208</v>
      </c>
      <c r="P894" s="478" t="s">
        <v>527</v>
      </c>
      <c r="Q894" s="478" t="s">
        <v>528</v>
      </c>
      <c r="R894" s="478" t="s">
        <v>695</v>
      </c>
      <c r="S894" s="479">
        <v>74</v>
      </c>
      <c r="T894" s="478" t="s">
        <v>41</v>
      </c>
      <c r="U894" s="478" t="s">
        <v>43</v>
      </c>
      <c r="V894" s="480" t="s">
        <v>540</v>
      </c>
      <c r="W894" s="51">
        <v>0.1</v>
      </c>
      <c r="X894" s="357" t="s">
        <v>53</v>
      </c>
      <c r="Z894" s="5" t="s">
        <v>52</v>
      </c>
      <c r="AA894" s="112" t="s">
        <v>51</v>
      </c>
    </row>
    <row r="895" spans="1:29" ht="14.25" customHeight="1" x14ac:dyDescent="0.25">
      <c r="A895" s="329">
        <v>45928</v>
      </c>
      <c r="B895" s="5">
        <v>7</v>
      </c>
      <c r="D895" s="5" t="s">
        <v>208</v>
      </c>
      <c r="E895" s="6">
        <v>3.58</v>
      </c>
      <c r="G895" s="362">
        <v>2</v>
      </c>
      <c r="H895" s="362">
        <v>1</v>
      </c>
      <c r="I895" s="8">
        <v>0.77</v>
      </c>
      <c r="L895" s="5" t="s">
        <v>456</v>
      </c>
      <c r="N895" s="345">
        <v>32</v>
      </c>
      <c r="O895" s="38" t="s">
        <v>456</v>
      </c>
      <c r="P895" s="5" t="s">
        <v>164</v>
      </c>
      <c r="Q895" s="5" t="s">
        <v>165</v>
      </c>
      <c r="R895" s="5" t="s">
        <v>686</v>
      </c>
      <c r="S895" s="479">
        <v>66</v>
      </c>
      <c r="T895" s="5" t="s">
        <v>41</v>
      </c>
      <c r="U895" s="5" t="s">
        <v>42</v>
      </c>
      <c r="V895" s="57" t="s">
        <v>10</v>
      </c>
      <c r="W895" s="51">
        <v>0.09</v>
      </c>
      <c r="X895" s="357">
        <v>0.11</v>
      </c>
      <c r="Z895" s="5" t="s">
        <v>48</v>
      </c>
      <c r="AA895" s="112" t="s">
        <v>51</v>
      </c>
    </row>
    <row r="896" spans="1:29" ht="14.25" customHeight="1" x14ac:dyDescent="0.25">
      <c r="A896" s="329">
        <v>45928</v>
      </c>
      <c r="B896" s="5">
        <v>7</v>
      </c>
      <c r="D896" s="5" t="s">
        <v>208</v>
      </c>
      <c r="E896" s="6">
        <v>3.58</v>
      </c>
      <c r="G896" s="362">
        <v>2</v>
      </c>
      <c r="H896" s="362">
        <v>1</v>
      </c>
      <c r="I896" s="8">
        <v>0.77</v>
      </c>
      <c r="L896" s="5" t="s">
        <v>456</v>
      </c>
      <c r="N896" s="476">
        <v>42</v>
      </c>
      <c r="O896" s="477" t="s">
        <v>208</v>
      </c>
      <c r="P896" s="478" t="s">
        <v>362</v>
      </c>
      <c r="Q896" s="478" t="s">
        <v>363</v>
      </c>
      <c r="R896" s="478" t="s">
        <v>717</v>
      </c>
      <c r="S896" s="479">
        <v>72</v>
      </c>
      <c r="T896" s="478" t="s">
        <v>41</v>
      </c>
      <c r="U896" s="478" t="s">
        <v>45</v>
      </c>
      <c r="V896" s="480" t="s">
        <v>10</v>
      </c>
      <c r="W896" s="51">
        <v>0.09</v>
      </c>
      <c r="X896" s="357">
        <v>0.04</v>
      </c>
      <c r="Y896" s="351" t="s">
        <v>353</v>
      </c>
      <c r="Z896" s="5" t="s">
        <v>48</v>
      </c>
      <c r="AA896" s="112" t="s">
        <v>51</v>
      </c>
    </row>
    <row r="897" spans="1:29" ht="14.25" customHeight="1" x14ac:dyDescent="0.25">
      <c r="A897" s="329">
        <v>45928</v>
      </c>
      <c r="B897" s="5">
        <v>7</v>
      </c>
      <c r="D897" s="5" t="s">
        <v>208</v>
      </c>
      <c r="E897" s="6">
        <v>3.58</v>
      </c>
      <c r="G897" s="362">
        <v>2</v>
      </c>
      <c r="H897" s="362">
        <v>1</v>
      </c>
      <c r="I897" s="8">
        <v>0.77</v>
      </c>
      <c r="L897" s="5" t="s">
        <v>456</v>
      </c>
      <c r="N897" s="345" t="s">
        <v>68</v>
      </c>
      <c r="O897" s="38" t="s">
        <v>456</v>
      </c>
      <c r="P897" s="5" t="s">
        <v>164</v>
      </c>
      <c r="Q897" s="5" t="s">
        <v>165</v>
      </c>
      <c r="R897" s="5" t="s">
        <v>686</v>
      </c>
      <c r="S897" s="7">
        <v>66</v>
      </c>
      <c r="T897" s="5" t="s">
        <v>41</v>
      </c>
      <c r="U897" s="5" t="s">
        <v>42</v>
      </c>
      <c r="V897" s="57" t="s">
        <v>10</v>
      </c>
      <c r="W897" s="51">
        <v>0.03</v>
      </c>
      <c r="X897" s="357" t="s">
        <v>53</v>
      </c>
      <c r="Z897" s="5" t="s">
        <v>22</v>
      </c>
      <c r="AA897" s="112" t="s">
        <v>51</v>
      </c>
    </row>
    <row r="898" spans="1:29" x14ac:dyDescent="0.25">
      <c r="A898" s="329">
        <v>45928</v>
      </c>
      <c r="B898" s="5">
        <v>7</v>
      </c>
      <c r="D898" s="5" t="s">
        <v>208</v>
      </c>
      <c r="E898" s="6">
        <v>3.58</v>
      </c>
      <c r="G898" s="362">
        <v>2</v>
      </c>
      <c r="H898" s="362">
        <v>1</v>
      </c>
      <c r="I898" s="8">
        <v>0.77</v>
      </c>
      <c r="L898" s="5" t="s">
        <v>456</v>
      </c>
      <c r="N898" s="476">
        <v>54</v>
      </c>
      <c r="O898" s="477" t="s">
        <v>208</v>
      </c>
      <c r="P898" s="478" t="s">
        <v>61</v>
      </c>
      <c r="Q898" s="478" t="s">
        <v>261</v>
      </c>
      <c r="R898" s="478" t="s">
        <v>718</v>
      </c>
      <c r="S898" s="479">
        <v>59</v>
      </c>
      <c r="T898" s="478" t="s">
        <v>41</v>
      </c>
      <c r="U898" s="478" t="s">
        <v>42</v>
      </c>
      <c r="V898" s="480" t="s">
        <v>7</v>
      </c>
      <c r="W898" s="51">
        <v>0.79</v>
      </c>
      <c r="X898" s="357">
        <v>0.67</v>
      </c>
      <c r="Y898" s="351" t="s">
        <v>353</v>
      </c>
      <c r="Z898" s="5" t="s">
        <v>48</v>
      </c>
      <c r="AA898" s="112" t="s">
        <v>51</v>
      </c>
    </row>
    <row r="899" spans="1:29" x14ac:dyDescent="0.25">
      <c r="A899" s="329">
        <v>45928</v>
      </c>
      <c r="B899" s="5">
        <v>7</v>
      </c>
      <c r="D899" s="5" t="s">
        <v>208</v>
      </c>
      <c r="E899" s="6">
        <v>3.58</v>
      </c>
      <c r="G899" s="362">
        <v>2</v>
      </c>
      <c r="H899" s="362">
        <v>1</v>
      </c>
      <c r="I899" s="8">
        <v>0.77</v>
      </c>
      <c r="L899" s="5" t="s">
        <v>456</v>
      </c>
      <c r="N899" s="476">
        <v>66</v>
      </c>
      <c r="O899" s="477" t="s">
        <v>208</v>
      </c>
      <c r="P899" s="478" t="s">
        <v>74</v>
      </c>
      <c r="Q899" s="478" t="s">
        <v>211</v>
      </c>
      <c r="R899" s="478" t="s">
        <v>696</v>
      </c>
      <c r="S899" s="479">
        <v>68</v>
      </c>
      <c r="T899" s="478" t="s">
        <v>47</v>
      </c>
      <c r="U899" s="478" t="s">
        <v>45</v>
      </c>
      <c r="V899" s="480" t="s">
        <v>10</v>
      </c>
      <c r="W899" s="51">
        <v>0.42</v>
      </c>
      <c r="X899" s="357">
        <v>0.28000000000000003</v>
      </c>
      <c r="Y899" s="351" t="s">
        <v>353</v>
      </c>
      <c r="Z899" s="5" t="s">
        <v>48</v>
      </c>
      <c r="AA899" s="112" t="s">
        <v>51</v>
      </c>
    </row>
    <row r="900" spans="1:29" x14ac:dyDescent="0.25">
      <c r="A900" s="329">
        <v>45928</v>
      </c>
      <c r="B900" s="5">
        <v>7</v>
      </c>
      <c r="D900" s="5" t="s">
        <v>208</v>
      </c>
      <c r="E900" s="6">
        <v>3.58</v>
      </c>
      <c r="G900" s="362">
        <v>2</v>
      </c>
      <c r="H900" s="362">
        <v>1</v>
      </c>
      <c r="I900" s="8">
        <v>0.77</v>
      </c>
      <c r="L900" s="5" t="s">
        <v>456</v>
      </c>
      <c r="N900" s="476">
        <v>68</v>
      </c>
      <c r="O900" s="477" t="s">
        <v>208</v>
      </c>
      <c r="P900" s="478" t="s">
        <v>74</v>
      </c>
      <c r="Q900" s="478" t="s">
        <v>211</v>
      </c>
      <c r="R900" s="478" t="s">
        <v>696</v>
      </c>
      <c r="S900" s="479">
        <v>68</v>
      </c>
      <c r="T900" s="478" t="s">
        <v>41</v>
      </c>
      <c r="U900" s="478" t="s">
        <v>42</v>
      </c>
      <c r="V900" s="480" t="s">
        <v>10</v>
      </c>
      <c r="W900" s="51">
        <v>0.3</v>
      </c>
      <c r="X900" s="357" t="s">
        <v>53</v>
      </c>
      <c r="Y900" s="351" t="s">
        <v>353</v>
      </c>
      <c r="Z900" s="5" t="s">
        <v>52</v>
      </c>
      <c r="AA900" s="112" t="s">
        <v>51</v>
      </c>
    </row>
    <row r="901" spans="1:29" ht="15.75" thickBot="1" x14ac:dyDescent="0.3">
      <c r="A901" s="330">
        <v>45928</v>
      </c>
      <c r="B901" s="9">
        <v>7</v>
      </c>
      <c r="C901" s="122"/>
      <c r="D901" s="9" t="s">
        <v>208</v>
      </c>
      <c r="E901" s="10">
        <v>3.58</v>
      </c>
      <c r="F901" s="10"/>
      <c r="G901" s="383">
        <v>2</v>
      </c>
      <c r="H901" s="383">
        <v>1</v>
      </c>
      <c r="I901" s="12">
        <v>0.77</v>
      </c>
      <c r="J901" s="12"/>
      <c r="K901" s="122"/>
      <c r="L901" s="9" t="s">
        <v>456</v>
      </c>
      <c r="M901" s="45"/>
      <c r="N901" s="511">
        <v>68</v>
      </c>
      <c r="O901" s="512" t="s">
        <v>208</v>
      </c>
      <c r="P901" s="513" t="s">
        <v>527</v>
      </c>
      <c r="Q901" s="513" t="s">
        <v>528</v>
      </c>
      <c r="R901" s="513" t="s">
        <v>695</v>
      </c>
      <c r="S901" s="479">
        <v>74</v>
      </c>
      <c r="T901" s="513" t="s">
        <v>41</v>
      </c>
      <c r="U901" s="513" t="s">
        <v>42</v>
      </c>
      <c r="V901" s="514" t="s">
        <v>540</v>
      </c>
      <c r="W901" s="52">
        <v>0.21</v>
      </c>
      <c r="X901" s="358">
        <v>0.73</v>
      </c>
      <c r="Y901" s="352" t="s">
        <v>353</v>
      </c>
      <c r="Z901" s="9" t="s">
        <v>8</v>
      </c>
      <c r="AA901" s="113" t="s">
        <v>34</v>
      </c>
      <c r="AB901" s="109"/>
      <c r="AC901" s="58"/>
    </row>
    <row r="902" spans="1:29" ht="15.75" thickBot="1" x14ac:dyDescent="0.3">
      <c r="A902" s="326">
        <v>45928</v>
      </c>
      <c r="B902" s="207">
        <v>7</v>
      </c>
      <c r="C902" s="208"/>
      <c r="D902" s="207" t="s">
        <v>208</v>
      </c>
      <c r="E902" s="209">
        <v>3.58</v>
      </c>
      <c r="F902" s="209"/>
      <c r="G902" s="460">
        <v>2</v>
      </c>
      <c r="H902" s="460">
        <v>1</v>
      </c>
      <c r="I902" s="211">
        <v>0.77</v>
      </c>
      <c r="J902" s="211"/>
      <c r="K902" s="208"/>
      <c r="L902" s="207" t="s">
        <v>456</v>
      </c>
      <c r="M902" s="235"/>
      <c r="N902" s="347"/>
      <c r="O902" s="343" t="s">
        <v>208</v>
      </c>
      <c r="P902" s="199" t="s">
        <v>433</v>
      </c>
      <c r="Q902" s="199" t="s">
        <v>725</v>
      </c>
      <c r="R902" s="199" t="s">
        <v>707</v>
      </c>
      <c r="S902" s="7">
        <v>60</v>
      </c>
      <c r="T902" s="199"/>
      <c r="U902" s="199"/>
      <c r="V902" s="201"/>
      <c r="W902" s="202"/>
      <c r="X902" s="359"/>
      <c r="Y902" s="353">
        <f>H902</f>
        <v>1</v>
      </c>
      <c r="Z902" s="199"/>
      <c r="AA902" s="204"/>
      <c r="AB902" s="205"/>
      <c r="AC902" s="201"/>
    </row>
    <row r="903" spans="1:29" ht="15.75" thickBot="1" x14ac:dyDescent="0.3">
      <c r="A903" s="326">
        <v>45928</v>
      </c>
      <c r="B903" s="207">
        <v>7</v>
      </c>
      <c r="C903" s="208"/>
      <c r="D903" s="207" t="s">
        <v>208</v>
      </c>
      <c r="E903" s="209">
        <v>3.58</v>
      </c>
      <c r="F903" s="209"/>
      <c r="G903" s="460">
        <v>2</v>
      </c>
      <c r="H903" s="460">
        <v>1</v>
      </c>
      <c r="I903" s="211">
        <v>0.77</v>
      </c>
      <c r="J903" s="211"/>
      <c r="K903" s="208"/>
      <c r="L903" s="207" t="s">
        <v>456</v>
      </c>
      <c r="M903" s="235"/>
      <c r="N903" s="347"/>
      <c r="O903" s="343" t="s">
        <v>456</v>
      </c>
      <c r="P903" s="199" t="s">
        <v>719</v>
      </c>
      <c r="Q903" s="199" t="s">
        <v>720</v>
      </c>
      <c r="R903" s="199" t="s">
        <v>707</v>
      </c>
      <c r="S903" s="479">
        <v>82</v>
      </c>
      <c r="T903" s="199"/>
      <c r="U903" s="199"/>
      <c r="V903" s="201"/>
      <c r="W903" s="202"/>
      <c r="X903" s="359"/>
      <c r="Y903" s="353">
        <f>G902</f>
        <v>2</v>
      </c>
      <c r="Z903" s="199"/>
      <c r="AA903" s="204"/>
      <c r="AB903" s="205"/>
      <c r="AC903" s="201"/>
    </row>
    <row r="904" spans="1:29" x14ac:dyDescent="0.25">
      <c r="A904" s="328">
        <v>45928</v>
      </c>
      <c r="B904" s="17">
        <v>7</v>
      </c>
      <c r="C904" s="123" t="s">
        <v>693</v>
      </c>
      <c r="D904" s="17" t="s">
        <v>113</v>
      </c>
      <c r="E904" s="18">
        <v>2.21</v>
      </c>
      <c r="F904" s="18"/>
      <c r="G904" s="461">
        <v>2</v>
      </c>
      <c r="H904" s="461">
        <v>1</v>
      </c>
      <c r="I904" s="20">
        <v>0.97</v>
      </c>
      <c r="J904" s="20"/>
      <c r="K904" s="123" t="s">
        <v>697</v>
      </c>
      <c r="L904" s="17" t="s">
        <v>146</v>
      </c>
      <c r="M904" s="46"/>
      <c r="N904" s="348">
        <v>31</v>
      </c>
      <c r="O904" s="456" t="s">
        <v>146</v>
      </c>
      <c r="P904" s="17" t="s">
        <v>74</v>
      </c>
      <c r="Q904" s="17" t="s">
        <v>533</v>
      </c>
      <c r="R904" s="17" t="s">
        <v>689</v>
      </c>
      <c r="S904" s="7">
        <v>75</v>
      </c>
      <c r="T904" s="17" t="s">
        <v>41</v>
      </c>
      <c r="U904" s="17" t="s">
        <v>42</v>
      </c>
      <c r="V904" s="59" t="s">
        <v>10</v>
      </c>
      <c r="W904" s="53">
        <v>0.56000000000000005</v>
      </c>
      <c r="X904" s="360">
        <v>0.83</v>
      </c>
      <c r="Y904" s="354" t="s">
        <v>353</v>
      </c>
      <c r="Z904" s="17" t="s">
        <v>8</v>
      </c>
      <c r="AA904" s="114" t="s">
        <v>9</v>
      </c>
      <c r="AB904" s="110" t="s">
        <v>274</v>
      </c>
      <c r="AC904" s="60" t="s">
        <v>275</v>
      </c>
    </row>
    <row r="905" spans="1:29" x14ac:dyDescent="0.25">
      <c r="A905" s="329">
        <v>45928</v>
      </c>
      <c r="B905" s="5">
        <v>7</v>
      </c>
      <c r="D905" s="5" t="s">
        <v>113</v>
      </c>
      <c r="E905" s="6">
        <v>2.21</v>
      </c>
      <c r="G905" s="362">
        <v>2</v>
      </c>
      <c r="H905" s="362">
        <v>1</v>
      </c>
      <c r="I905" s="8">
        <v>0.97</v>
      </c>
      <c r="L905" s="5" t="s">
        <v>146</v>
      </c>
      <c r="N905" s="476">
        <v>39</v>
      </c>
      <c r="O905" s="477" t="s">
        <v>113</v>
      </c>
      <c r="P905" s="478" t="s">
        <v>53</v>
      </c>
      <c r="Q905" s="478" t="s">
        <v>126</v>
      </c>
      <c r="R905" s="478" t="s">
        <v>687</v>
      </c>
      <c r="S905" s="479">
        <v>75</v>
      </c>
      <c r="T905" s="478" t="s">
        <v>47</v>
      </c>
      <c r="U905" s="478" t="s">
        <v>42</v>
      </c>
      <c r="V905" s="480" t="s">
        <v>540</v>
      </c>
      <c r="W905" s="51">
        <v>0.32</v>
      </c>
      <c r="X905" s="357" t="s">
        <v>53</v>
      </c>
      <c r="Y905" s="351" t="s">
        <v>353</v>
      </c>
      <c r="Z905" s="5" t="s">
        <v>744</v>
      </c>
      <c r="AA905" s="112" t="s">
        <v>9</v>
      </c>
      <c r="AB905" s="108" t="s">
        <v>841</v>
      </c>
      <c r="AC905" s="57" t="s">
        <v>842</v>
      </c>
    </row>
    <row r="906" spans="1:29" x14ac:dyDescent="0.25">
      <c r="A906" s="329">
        <v>45928</v>
      </c>
      <c r="B906" s="5">
        <v>7</v>
      </c>
      <c r="D906" s="5" t="s">
        <v>113</v>
      </c>
      <c r="E906" s="6">
        <v>2.21</v>
      </c>
      <c r="G906" s="362">
        <v>2</v>
      </c>
      <c r="H906" s="362">
        <v>1</v>
      </c>
      <c r="I906" s="8">
        <v>0.97</v>
      </c>
      <c r="L906" s="5" t="s">
        <v>146</v>
      </c>
      <c r="N906" s="476">
        <v>42</v>
      </c>
      <c r="O906" s="477" t="s">
        <v>113</v>
      </c>
      <c r="P906" s="478" t="s">
        <v>529</v>
      </c>
      <c r="Q906" s="478" t="s">
        <v>530</v>
      </c>
      <c r="R906" s="478" t="s">
        <v>686</v>
      </c>
      <c r="S906" s="479">
        <v>74</v>
      </c>
      <c r="T906" s="478" t="s">
        <v>41</v>
      </c>
      <c r="U906" s="478" t="s">
        <v>43</v>
      </c>
      <c r="V906" s="480" t="s">
        <v>10</v>
      </c>
      <c r="W906" s="51">
        <v>0.05</v>
      </c>
      <c r="X906" s="357">
        <v>0.22</v>
      </c>
      <c r="Z906" s="5" t="s">
        <v>48</v>
      </c>
      <c r="AA906" s="112" t="s">
        <v>9</v>
      </c>
    </row>
    <row r="907" spans="1:29" x14ac:dyDescent="0.25">
      <c r="A907" s="329">
        <v>45928</v>
      </c>
      <c r="B907" s="5">
        <v>7</v>
      </c>
      <c r="D907" s="5" t="s">
        <v>113</v>
      </c>
      <c r="E907" s="6">
        <v>2.21</v>
      </c>
      <c r="G907" s="362">
        <v>2</v>
      </c>
      <c r="H907" s="362">
        <v>1</v>
      </c>
      <c r="I907" s="8">
        <v>0.97</v>
      </c>
      <c r="L907" s="5" t="s">
        <v>146</v>
      </c>
      <c r="N907" s="476">
        <v>43</v>
      </c>
      <c r="O907" s="477" t="s">
        <v>113</v>
      </c>
      <c r="P907" s="478" t="s">
        <v>531</v>
      </c>
      <c r="Q907" s="478" t="s">
        <v>532</v>
      </c>
      <c r="R907" s="478" t="s">
        <v>689</v>
      </c>
      <c r="S907" s="479">
        <v>71</v>
      </c>
      <c r="T907" s="478" t="s">
        <v>47</v>
      </c>
      <c r="U907" s="478" t="s">
        <v>45</v>
      </c>
      <c r="V907" s="480" t="s">
        <v>20</v>
      </c>
      <c r="W907" s="51">
        <v>0.17</v>
      </c>
      <c r="X907" s="357">
        <v>0.57999999999999996</v>
      </c>
      <c r="Z907" s="5" t="s">
        <v>8</v>
      </c>
      <c r="AA907" s="112" t="s">
        <v>51</v>
      </c>
      <c r="AB907" s="108" t="s">
        <v>468</v>
      </c>
      <c r="AC907" s="57" t="s">
        <v>469</v>
      </c>
    </row>
    <row r="908" spans="1:29" x14ac:dyDescent="0.25">
      <c r="A908" s="329">
        <v>45928</v>
      </c>
      <c r="B908" s="5">
        <v>7</v>
      </c>
      <c r="D908" s="5" t="s">
        <v>113</v>
      </c>
      <c r="E908" s="6">
        <v>2.21</v>
      </c>
      <c r="G908" s="362">
        <v>2</v>
      </c>
      <c r="H908" s="362">
        <v>1</v>
      </c>
      <c r="I908" s="8">
        <v>0.97</v>
      </c>
      <c r="L908" s="5" t="s">
        <v>146</v>
      </c>
      <c r="N908" s="476">
        <v>47</v>
      </c>
      <c r="O908" s="477" t="s">
        <v>113</v>
      </c>
      <c r="P908" s="478" t="s">
        <v>98</v>
      </c>
      <c r="Q908" s="478" t="s">
        <v>365</v>
      </c>
      <c r="R908" s="478" t="s">
        <v>688</v>
      </c>
      <c r="S908" s="479">
        <v>69</v>
      </c>
      <c r="T908" s="478" t="s">
        <v>354</v>
      </c>
      <c r="U908" s="478" t="s">
        <v>43</v>
      </c>
      <c r="V908" s="480" t="s">
        <v>540</v>
      </c>
      <c r="W908" s="51">
        <v>0.01</v>
      </c>
      <c r="X908" s="357" t="s">
        <v>53</v>
      </c>
      <c r="Z908" s="5" t="s">
        <v>16</v>
      </c>
      <c r="AA908" s="112" t="s">
        <v>51</v>
      </c>
    </row>
    <row r="909" spans="1:29" x14ac:dyDescent="0.25">
      <c r="A909" s="329">
        <v>45928</v>
      </c>
      <c r="B909" s="5">
        <v>7</v>
      </c>
      <c r="D909" s="5" t="s">
        <v>113</v>
      </c>
      <c r="E909" s="6">
        <v>2.21</v>
      </c>
      <c r="G909" s="362">
        <v>2</v>
      </c>
      <c r="H909" s="362">
        <v>1</v>
      </c>
      <c r="I909" s="8">
        <v>0.97</v>
      </c>
      <c r="L909" s="5" t="s">
        <v>146</v>
      </c>
      <c r="N909" s="476">
        <v>59</v>
      </c>
      <c r="O909" s="477" t="s">
        <v>113</v>
      </c>
      <c r="P909" s="478" t="s">
        <v>178</v>
      </c>
      <c r="Q909" s="478" t="s">
        <v>407</v>
      </c>
      <c r="R909" s="478" t="s">
        <v>684</v>
      </c>
      <c r="S909" s="481">
        <v>74</v>
      </c>
      <c r="T909" s="478" t="s">
        <v>47</v>
      </c>
      <c r="U909" s="478" t="s">
        <v>45</v>
      </c>
      <c r="V909" s="480" t="s">
        <v>10</v>
      </c>
      <c r="W909" s="51">
        <v>0.3</v>
      </c>
      <c r="X909" s="357">
        <v>0.46</v>
      </c>
      <c r="Y909" s="351" t="s">
        <v>353</v>
      </c>
      <c r="Z909" s="5" t="s">
        <v>8</v>
      </c>
      <c r="AA909" s="112" t="s">
        <v>34</v>
      </c>
      <c r="AB909" s="108" t="s">
        <v>120</v>
      </c>
      <c r="AC909" s="57" t="s">
        <v>121</v>
      </c>
    </row>
    <row r="910" spans="1:29" x14ac:dyDescent="0.25">
      <c r="A910" s="329">
        <v>45928</v>
      </c>
      <c r="B910" s="5">
        <v>7</v>
      </c>
      <c r="D910" s="5" t="s">
        <v>113</v>
      </c>
      <c r="E910" s="6">
        <v>2.21</v>
      </c>
      <c r="G910" s="362">
        <v>2</v>
      </c>
      <c r="H910" s="362">
        <v>1</v>
      </c>
      <c r="I910" s="8">
        <v>0.97</v>
      </c>
      <c r="L910" s="5" t="s">
        <v>146</v>
      </c>
      <c r="N910" s="345">
        <v>62</v>
      </c>
      <c r="O910" s="38" t="s">
        <v>146</v>
      </c>
      <c r="P910" s="5" t="s">
        <v>159</v>
      </c>
      <c r="Q910" s="5" t="s">
        <v>160</v>
      </c>
      <c r="R910" s="5" t="s">
        <v>684</v>
      </c>
      <c r="S910" s="481">
        <v>64</v>
      </c>
      <c r="T910" s="5" t="s">
        <v>41</v>
      </c>
      <c r="U910" s="5" t="s">
        <v>43</v>
      </c>
      <c r="V910" s="57" t="s">
        <v>10</v>
      </c>
      <c r="W910" s="51">
        <v>0.13</v>
      </c>
      <c r="X910" s="357">
        <v>7.0000000000000007E-2</v>
      </c>
      <c r="Z910" s="5" t="s">
        <v>48</v>
      </c>
      <c r="AA910" s="112" t="s">
        <v>34</v>
      </c>
    </row>
    <row r="911" spans="1:29" x14ac:dyDescent="0.25">
      <c r="A911" s="329">
        <v>45928</v>
      </c>
      <c r="B911" s="5">
        <v>7</v>
      </c>
      <c r="D911" s="5" t="s">
        <v>113</v>
      </c>
      <c r="E911" s="6">
        <v>2.21</v>
      </c>
      <c r="G911" s="362">
        <v>2</v>
      </c>
      <c r="H911" s="362">
        <v>1</v>
      </c>
      <c r="I911" s="8">
        <v>0.97</v>
      </c>
      <c r="L911" s="5" t="s">
        <v>146</v>
      </c>
      <c r="N911" s="476">
        <v>68</v>
      </c>
      <c r="O911" s="477" t="s">
        <v>113</v>
      </c>
      <c r="P911" s="478" t="s">
        <v>178</v>
      </c>
      <c r="Q911" s="478" t="s">
        <v>407</v>
      </c>
      <c r="R911" s="478" t="s">
        <v>684</v>
      </c>
      <c r="S911" s="479">
        <v>74</v>
      </c>
      <c r="T911" s="478" t="s">
        <v>47</v>
      </c>
      <c r="U911" s="478" t="s">
        <v>43</v>
      </c>
      <c r="V911" s="480" t="s">
        <v>10</v>
      </c>
      <c r="W911" s="51">
        <v>0.1</v>
      </c>
      <c r="X911" s="357" t="s">
        <v>53</v>
      </c>
      <c r="Z911" s="5" t="s">
        <v>744</v>
      </c>
      <c r="AA911" s="112" t="s">
        <v>34</v>
      </c>
      <c r="AB911" s="108" t="s">
        <v>377</v>
      </c>
      <c r="AC911" s="57" t="s">
        <v>378</v>
      </c>
    </row>
    <row r="912" spans="1:29" x14ac:dyDescent="0.25">
      <c r="A912" s="329">
        <v>45928</v>
      </c>
      <c r="B912" s="5">
        <v>7</v>
      </c>
      <c r="D912" s="5" t="s">
        <v>113</v>
      </c>
      <c r="E912" s="6">
        <v>2.21</v>
      </c>
      <c r="G912" s="362">
        <v>2</v>
      </c>
      <c r="H912" s="362">
        <v>1</v>
      </c>
      <c r="I912" s="8">
        <v>0.97</v>
      </c>
      <c r="L912" s="5" t="s">
        <v>146</v>
      </c>
      <c r="N912" s="345">
        <v>84</v>
      </c>
      <c r="O912" s="38" t="s">
        <v>146</v>
      </c>
      <c r="P912" s="5" t="s">
        <v>155</v>
      </c>
      <c r="Q912" s="5" t="s">
        <v>156</v>
      </c>
      <c r="R912" s="5" t="s">
        <v>696</v>
      </c>
      <c r="S912" s="479">
        <v>65</v>
      </c>
      <c r="T912" s="5" t="s">
        <v>44</v>
      </c>
      <c r="U912" s="5" t="s">
        <v>43</v>
      </c>
      <c r="V912" s="57" t="s">
        <v>18</v>
      </c>
      <c r="W912" s="51">
        <v>0.14000000000000001</v>
      </c>
      <c r="X912" s="357" t="s">
        <v>53</v>
      </c>
      <c r="Z912" s="5" t="s">
        <v>17</v>
      </c>
      <c r="AA912" s="112" t="s">
        <v>34</v>
      </c>
    </row>
    <row r="913" spans="1:29" x14ac:dyDescent="0.25">
      <c r="A913" s="329">
        <v>45928</v>
      </c>
      <c r="B913" s="5">
        <v>7</v>
      </c>
      <c r="D913" s="5" t="s">
        <v>113</v>
      </c>
      <c r="E913" s="6">
        <v>2.21</v>
      </c>
      <c r="G913" s="362">
        <v>2</v>
      </c>
      <c r="H913" s="362">
        <v>1</v>
      </c>
      <c r="I913" s="8">
        <v>0.97</v>
      </c>
      <c r="L913" s="5" t="s">
        <v>146</v>
      </c>
      <c r="N913" s="476">
        <v>84</v>
      </c>
      <c r="O913" s="477" t="s">
        <v>113</v>
      </c>
      <c r="P913" s="478" t="s">
        <v>178</v>
      </c>
      <c r="Q913" s="478" t="s">
        <v>407</v>
      </c>
      <c r="R913" s="478" t="s">
        <v>684</v>
      </c>
      <c r="S913" s="479">
        <v>74</v>
      </c>
      <c r="T913" s="478" t="s">
        <v>41</v>
      </c>
      <c r="U913" s="478" t="s">
        <v>42</v>
      </c>
      <c r="V913" s="480" t="s">
        <v>18</v>
      </c>
      <c r="W913" s="51">
        <v>0.3</v>
      </c>
      <c r="X913" s="357" t="s">
        <v>53</v>
      </c>
      <c r="Y913" s="351" t="s">
        <v>353</v>
      </c>
      <c r="Z913" s="5" t="s">
        <v>17</v>
      </c>
      <c r="AA913" s="112" t="s">
        <v>34</v>
      </c>
    </row>
    <row r="914" spans="1:29" ht="15.75" thickBot="1" x14ac:dyDescent="0.3">
      <c r="A914" s="330">
        <v>45928</v>
      </c>
      <c r="B914" s="9">
        <v>7</v>
      </c>
      <c r="C914" s="122"/>
      <c r="D914" s="9" t="s">
        <v>113</v>
      </c>
      <c r="E914" s="10">
        <v>2.21</v>
      </c>
      <c r="F914" s="10"/>
      <c r="G914" s="383">
        <v>2</v>
      </c>
      <c r="H914" s="383">
        <v>1</v>
      </c>
      <c r="I914" s="12">
        <v>0.97</v>
      </c>
      <c r="J914" s="12"/>
      <c r="K914" s="122"/>
      <c r="L914" s="9" t="s">
        <v>146</v>
      </c>
      <c r="M914" s="45"/>
      <c r="N914" s="511">
        <v>85</v>
      </c>
      <c r="O914" s="512" t="s">
        <v>113</v>
      </c>
      <c r="P914" s="513" t="s">
        <v>178</v>
      </c>
      <c r="Q914" s="513" t="s">
        <v>407</v>
      </c>
      <c r="R914" s="513" t="s">
        <v>684</v>
      </c>
      <c r="S914" s="479">
        <v>74</v>
      </c>
      <c r="T914" s="513" t="s">
        <v>47</v>
      </c>
      <c r="U914" s="513" t="s">
        <v>42</v>
      </c>
      <c r="V914" s="514" t="s">
        <v>18</v>
      </c>
      <c r="W914" s="52">
        <v>0.61</v>
      </c>
      <c r="X914" s="358" t="s">
        <v>53</v>
      </c>
      <c r="Y914" s="352" t="s">
        <v>353</v>
      </c>
      <c r="Z914" s="9" t="s">
        <v>744</v>
      </c>
      <c r="AA914" s="113" t="s">
        <v>34</v>
      </c>
      <c r="AB914" s="109" t="s">
        <v>377</v>
      </c>
      <c r="AC914" s="58" t="s">
        <v>378</v>
      </c>
    </row>
    <row r="915" spans="1:29" ht="15.75" thickBot="1" x14ac:dyDescent="0.3">
      <c r="A915" s="326">
        <v>45928</v>
      </c>
      <c r="B915" s="207">
        <v>7</v>
      </c>
      <c r="C915" s="208"/>
      <c r="D915" s="207" t="s">
        <v>113</v>
      </c>
      <c r="E915" s="209">
        <v>2.21</v>
      </c>
      <c r="F915" s="209"/>
      <c r="G915" s="460">
        <v>2</v>
      </c>
      <c r="H915" s="460">
        <v>1</v>
      </c>
      <c r="I915" s="211">
        <v>0.97</v>
      </c>
      <c r="J915" s="211"/>
      <c r="K915" s="208"/>
      <c r="L915" s="207" t="s">
        <v>146</v>
      </c>
      <c r="M915" s="235"/>
      <c r="N915" s="347"/>
      <c r="O915" s="343" t="s">
        <v>113</v>
      </c>
      <c r="P915" s="199" t="s">
        <v>738</v>
      </c>
      <c r="Q915" s="199" t="s">
        <v>739</v>
      </c>
      <c r="R915" s="199" t="s">
        <v>707</v>
      </c>
      <c r="S915" s="7">
        <v>61</v>
      </c>
      <c r="T915" s="199"/>
      <c r="U915" s="199"/>
      <c r="V915" s="201"/>
      <c r="W915" s="202"/>
      <c r="X915" s="359"/>
      <c r="Y915" s="353">
        <f>H915</f>
        <v>1</v>
      </c>
      <c r="Z915" s="199"/>
      <c r="AA915" s="204"/>
      <c r="AB915" s="205"/>
      <c r="AC915" s="201"/>
    </row>
    <row r="916" spans="1:29" ht="15.75" thickBot="1" x14ac:dyDescent="0.3">
      <c r="A916" s="326">
        <v>45928</v>
      </c>
      <c r="B916" s="207">
        <v>7</v>
      </c>
      <c r="C916" s="208"/>
      <c r="D916" s="207" t="s">
        <v>113</v>
      </c>
      <c r="E916" s="209">
        <v>2.21</v>
      </c>
      <c r="F916" s="209"/>
      <c r="G916" s="460">
        <v>2</v>
      </c>
      <c r="H916" s="460">
        <v>1</v>
      </c>
      <c r="I916" s="211">
        <v>0.97</v>
      </c>
      <c r="J916" s="211"/>
      <c r="K916" s="208"/>
      <c r="L916" s="207" t="s">
        <v>146</v>
      </c>
      <c r="M916" s="235"/>
      <c r="N916" s="347"/>
      <c r="O916" s="343" t="s">
        <v>146</v>
      </c>
      <c r="P916" s="199" t="s">
        <v>176</v>
      </c>
      <c r="Q916" s="199" t="s">
        <v>423</v>
      </c>
      <c r="R916" s="199" t="s">
        <v>707</v>
      </c>
      <c r="S916" s="7">
        <v>78</v>
      </c>
      <c r="T916" s="199"/>
      <c r="U916" s="199"/>
      <c r="V916" s="201"/>
      <c r="W916" s="202"/>
      <c r="X916" s="359"/>
      <c r="Y916" s="353">
        <f>G915</f>
        <v>2</v>
      </c>
      <c r="Z916" s="199"/>
      <c r="AA916" s="204"/>
      <c r="AB916" s="205"/>
      <c r="AC916" s="201"/>
    </row>
    <row r="917" spans="1:29" x14ac:dyDescent="0.25">
      <c r="A917" s="328">
        <v>45928</v>
      </c>
      <c r="B917" s="17">
        <v>7</v>
      </c>
      <c r="C917" s="123" t="s">
        <v>693</v>
      </c>
      <c r="D917" s="17" t="s">
        <v>209</v>
      </c>
      <c r="E917" s="18">
        <v>0.76</v>
      </c>
      <c r="F917" s="18"/>
      <c r="G917" s="461">
        <v>2</v>
      </c>
      <c r="H917" s="461">
        <v>0</v>
      </c>
      <c r="I917" s="20">
        <v>0.7</v>
      </c>
      <c r="J917" s="20"/>
      <c r="K917" s="123" t="s">
        <v>706</v>
      </c>
      <c r="L917" s="17" t="s">
        <v>227</v>
      </c>
      <c r="M917" s="46"/>
      <c r="N917" s="507">
        <v>19</v>
      </c>
      <c r="O917" s="508" t="s">
        <v>209</v>
      </c>
      <c r="P917" s="509" t="s">
        <v>424</v>
      </c>
      <c r="Q917" s="509" t="s">
        <v>425</v>
      </c>
      <c r="R917" s="509" t="s">
        <v>685</v>
      </c>
      <c r="S917" s="479">
        <v>75</v>
      </c>
      <c r="T917" s="509" t="s">
        <v>41</v>
      </c>
      <c r="U917" s="509" t="s">
        <v>42</v>
      </c>
      <c r="V917" s="510" t="s">
        <v>10</v>
      </c>
      <c r="W917" s="53">
        <v>0.28000000000000003</v>
      </c>
      <c r="X917" s="360">
        <v>0.93</v>
      </c>
      <c r="Y917" s="354" t="s">
        <v>353</v>
      </c>
      <c r="Z917" s="17" t="s">
        <v>8</v>
      </c>
      <c r="AA917" s="114" t="s">
        <v>19</v>
      </c>
      <c r="AB917" s="110" t="s">
        <v>220</v>
      </c>
      <c r="AC917" s="60" t="s">
        <v>221</v>
      </c>
    </row>
    <row r="918" spans="1:29" x14ac:dyDescent="0.25">
      <c r="A918" s="329">
        <v>45928</v>
      </c>
      <c r="B918" s="5">
        <v>7</v>
      </c>
      <c r="D918" s="5" t="s">
        <v>209</v>
      </c>
      <c r="E918" s="6">
        <v>0.76</v>
      </c>
      <c r="G918" s="362">
        <v>2</v>
      </c>
      <c r="H918" s="362">
        <v>0</v>
      </c>
      <c r="I918" s="8">
        <v>0.7</v>
      </c>
      <c r="L918" s="5" t="s">
        <v>227</v>
      </c>
      <c r="N918" s="476">
        <v>33</v>
      </c>
      <c r="O918" s="477" t="s">
        <v>209</v>
      </c>
      <c r="P918" s="478" t="s">
        <v>424</v>
      </c>
      <c r="Q918" s="478" t="s">
        <v>425</v>
      </c>
      <c r="R918" s="478" t="s">
        <v>685</v>
      </c>
      <c r="S918" s="481">
        <v>75</v>
      </c>
      <c r="T918" s="478" t="s">
        <v>41</v>
      </c>
      <c r="U918" s="478" t="s">
        <v>43</v>
      </c>
      <c r="V918" s="480" t="s">
        <v>10</v>
      </c>
      <c r="W918" s="51">
        <v>0.05</v>
      </c>
      <c r="X918" s="357">
        <v>0.12</v>
      </c>
      <c r="Z918" s="5" t="s">
        <v>48</v>
      </c>
      <c r="AA918" s="112" t="s">
        <v>19</v>
      </c>
    </row>
    <row r="919" spans="1:29" x14ac:dyDescent="0.25">
      <c r="A919" s="329">
        <v>45928</v>
      </c>
      <c r="B919" s="5">
        <v>7</v>
      </c>
      <c r="D919" s="5" t="s">
        <v>209</v>
      </c>
      <c r="E919" s="6">
        <v>0.76</v>
      </c>
      <c r="G919" s="362">
        <v>2</v>
      </c>
      <c r="H919" s="362">
        <v>0</v>
      </c>
      <c r="I919" s="8">
        <v>0.7</v>
      </c>
      <c r="L919" s="5" t="s">
        <v>227</v>
      </c>
      <c r="N919" s="476">
        <v>38</v>
      </c>
      <c r="O919" s="477" t="s">
        <v>209</v>
      </c>
      <c r="P919" s="478" t="s">
        <v>220</v>
      </c>
      <c r="Q919" s="478" t="s">
        <v>221</v>
      </c>
      <c r="R919" s="478" t="s">
        <v>684</v>
      </c>
      <c r="S919" s="481">
        <v>82</v>
      </c>
      <c r="T919" s="478" t="s">
        <v>44</v>
      </c>
      <c r="U919" s="478" t="s">
        <v>42</v>
      </c>
      <c r="V919" s="480" t="s">
        <v>10</v>
      </c>
      <c r="W919" s="51">
        <v>0.04</v>
      </c>
      <c r="X919" s="357">
        <v>0.26</v>
      </c>
      <c r="Z919" s="5" t="s">
        <v>8</v>
      </c>
      <c r="AA919" s="112" t="s">
        <v>24</v>
      </c>
      <c r="AB919" s="108" t="s">
        <v>241</v>
      </c>
      <c r="AC919" s="57" t="s">
        <v>396</v>
      </c>
    </row>
    <row r="920" spans="1:29" x14ac:dyDescent="0.25">
      <c r="A920" s="329">
        <v>45928</v>
      </c>
      <c r="B920" s="5">
        <v>7</v>
      </c>
      <c r="D920" s="5" t="s">
        <v>209</v>
      </c>
      <c r="E920" s="6">
        <v>0.76</v>
      </c>
      <c r="G920" s="362">
        <v>2</v>
      </c>
      <c r="H920" s="362">
        <v>0</v>
      </c>
      <c r="I920" s="8">
        <v>0.7</v>
      </c>
      <c r="L920" s="5" t="s">
        <v>227</v>
      </c>
      <c r="N920" s="345">
        <v>44</v>
      </c>
      <c r="O920" s="38" t="s">
        <v>227</v>
      </c>
      <c r="P920" s="5" t="s">
        <v>238</v>
      </c>
      <c r="Q920" s="5" t="s">
        <v>239</v>
      </c>
      <c r="R920" s="5" t="s">
        <v>718</v>
      </c>
      <c r="S920" s="479">
        <v>62</v>
      </c>
      <c r="T920" s="5" t="s">
        <v>41</v>
      </c>
      <c r="U920" s="5" t="s">
        <v>541</v>
      </c>
      <c r="V920" s="57" t="s">
        <v>10</v>
      </c>
      <c r="W920" s="51">
        <v>0.02</v>
      </c>
      <c r="X920" s="357" t="s">
        <v>53</v>
      </c>
      <c r="Z920" s="5" t="s">
        <v>16</v>
      </c>
      <c r="AA920" s="112" t="s">
        <v>24</v>
      </c>
    </row>
    <row r="921" spans="1:29" x14ac:dyDescent="0.25">
      <c r="A921" s="329">
        <v>45928</v>
      </c>
      <c r="B921" s="5">
        <v>7</v>
      </c>
      <c r="D921" s="5" t="s">
        <v>209</v>
      </c>
      <c r="E921" s="6">
        <v>0.76</v>
      </c>
      <c r="G921" s="362">
        <v>2</v>
      </c>
      <c r="H921" s="362">
        <v>0</v>
      </c>
      <c r="I921" s="8">
        <v>0.7</v>
      </c>
      <c r="L921" s="5" t="s">
        <v>227</v>
      </c>
      <c r="N921" s="345">
        <v>46</v>
      </c>
      <c r="O921" s="38" t="s">
        <v>227</v>
      </c>
      <c r="P921" s="5" t="s">
        <v>238</v>
      </c>
      <c r="Q921" s="5" t="s">
        <v>239</v>
      </c>
      <c r="R921" s="5" t="s">
        <v>718</v>
      </c>
      <c r="S921" s="479">
        <v>62</v>
      </c>
      <c r="T921" s="5" t="s">
        <v>41</v>
      </c>
      <c r="U921" s="5" t="s">
        <v>42</v>
      </c>
      <c r="V921" s="57" t="s">
        <v>10</v>
      </c>
      <c r="W921" s="51">
        <v>0.16</v>
      </c>
      <c r="X921" s="357" t="s">
        <v>53</v>
      </c>
      <c r="Z921" s="5" t="s">
        <v>22</v>
      </c>
      <c r="AA921" s="112" t="s">
        <v>24</v>
      </c>
    </row>
    <row r="922" spans="1:29" x14ac:dyDescent="0.25">
      <c r="A922" s="329">
        <v>45928</v>
      </c>
      <c r="B922" s="5">
        <v>7</v>
      </c>
      <c r="D922" s="5" t="s">
        <v>209</v>
      </c>
      <c r="E922" s="6">
        <v>0.76</v>
      </c>
      <c r="G922" s="362">
        <v>2</v>
      </c>
      <c r="H922" s="362">
        <v>0</v>
      </c>
      <c r="I922" s="8">
        <v>0.7</v>
      </c>
      <c r="L922" s="5" t="s">
        <v>227</v>
      </c>
      <c r="N922" s="345">
        <v>49</v>
      </c>
      <c r="O922" s="38" t="s">
        <v>227</v>
      </c>
      <c r="P922" s="5" t="s">
        <v>25</v>
      </c>
      <c r="Q922" s="5" t="s">
        <v>397</v>
      </c>
      <c r="R922" s="5" t="s">
        <v>696</v>
      </c>
      <c r="S922" s="479">
        <v>62</v>
      </c>
      <c r="T922" s="5" t="s">
        <v>41</v>
      </c>
      <c r="U922" s="5" t="s">
        <v>42</v>
      </c>
      <c r="V922" s="57" t="s">
        <v>10</v>
      </c>
      <c r="W922" s="51">
        <v>0.11</v>
      </c>
      <c r="X922" s="357">
        <v>0.09</v>
      </c>
      <c r="Z922" s="5" t="s">
        <v>48</v>
      </c>
      <c r="AA922" s="112" t="s">
        <v>24</v>
      </c>
    </row>
    <row r="923" spans="1:29" ht="15.75" thickBot="1" x14ac:dyDescent="0.3">
      <c r="A923" s="330">
        <v>45928</v>
      </c>
      <c r="B923" s="9">
        <v>7</v>
      </c>
      <c r="C923" s="122"/>
      <c r="D923" s="9" t="s">
        <v>209</v>
      </c>
      <c r="E923" s="10">
        <v>0.76</v>
      </c>
      <c r="F923" s="10"/>
      <c r="G923" s="383">
        <v>2</v>
      </c>
      <c r="H923" s="383">
        <v>0</v>
      </c>
      <c r="I923" s="12">
        <v>0.7</v>
      </c>
      <c r="J923" s="12"/>
      <c r="K923" s="122"/>
      <c r="L923" s="9" t="s">
        <v>227</v>
      </c>
      <c r="M923" s="45"/>
      <c r="N923" s="511">
        <v>75</v>
      </c>
      <c r="O923" s="512" t="s">
        <v>209</v>
      </c>
      <c r="P923" s="513" t="s">
        <v>214</v>
      </c>
      <c r="Q923" s="513" t="s">
        <v>215</v>
      </c>
      <c r="R923" s="513" t="s">
        <v>696</v>
      </c>
      <c r="S923" s="479">
        <v>62</v>
      </c>
      <c r="T923" s="513" t="s">
        <v>41</v>
      </c>
      <c r="U923" s="513" t="s">
        <v>42</v>
      </c>
      <c r="V923" s="514" t="s">
        <v>18</v>
      </c>
      <c r="W923" s="52">
        <v>0.1</v>
      </c>
      <c r="X923" s="358" t="s">
        <v>53</v>
      </c>
      <c r="Y923" s="352"/>
      <c r="Z923" s="9" t="s">
        <v>52</v>
      </c>
      <c r="AA923" s="113" t="s">
        <v>24</v>
      </c>
      <c r="AB923" s="109"/>
      <c r="AC923" s="58"/>
    </row>
    <row r="924" spans="1:29" ht="15.75" thickBot="1" x14ac:dyDescent="0.3">
      <c r="A924" s="326">
        <v>45928</v>
      </c>
      <c r="B924" s="207">
        <v>7</v>
      </c>
      <c r="C924" s="208"/>
      <c r="D924" s="207" t="s">
        <v>209</v>
      </c>
      <c r="E924" s="209">
        <v>0.76</v>
      </c>
      <c r="F924" s="209"/>
      <c r="G924" s="460">
        <v>2</v>
      </c>
      <c r="H924" s="460">
        <v>0</v>
      </c>
      <c r="I924" s="211">
        <v>0.7</v>
      </c>
      <c r="J924" s="211"/>
      <c r="K924" s="208"/>
      <c r="L924" s="207" t="s">
        <v>227</v>
      </c>
      <c r="M924" s="235"/>
      <c r="N924" s="347"/>
      <c r="O924" s="343" t="s">
        <v>209</v>
      </c>
      <c r="P924" s="199" t="s">
        <v>447</v>
      </c>
      <c r="Q924" s="199" t="s">
        <v>150</v>
      </c>
      <c r="R924" s="199" t="s">
        <v>707</v>
      </c>
      <c r="S924" s="479">
        <v>72</v>
      </c>
      <c r="T924" s="199"/>
      <c r="U924" s="199"/>
      <c r="V924" s="201"/>
      <c r="W924" s="202"/>
      <c r="X924" s="359"/>
      <c r="Y924" s="353">
        <f>H924</f>
        <v>0</v>
      </c>
      <c r="Z924" s="199"/>
      <c r="AA924" s="204"/>
      <c r="AB924" s="205"/>
      <c r="AC924" s="201"/>
    </row>
    <row r="925" spans="1:29" ht="15.75" thickBot="1" x14ac:dyDescent="0.3">
      <c r="A925" s="326">
        <v>45928</v>
      </c>
      <c r="B925" s="207">
        <v>7</v>
      </c>
      <c r="C925" s="208"/>
      <c r="D925" s="207" t="s">
        <v>209</v>
      </c>
      <c r="E925" s="209">
        <v>0.76</v>
      </c>
      <c r="F925" s="209"/>
      <c r="G925" s="460">
        <v>2</v>
      </c>
      <c r="H925" s="460">
        <v>0</v>
      </c>
      <c r="I925" s="211">
        <v>0.7</v>
      </c>
      <c r="J925" s="211"/>
      <c r="K925" s="208"/>
      <c r="L925" s="207" t="s">
        <v>227</v>
      </c>
      <c r="M925" s="235"/>
      <c r="N925" s="347"/>
      <c r="O925" s="343" t="s">
        <v>227</v>
      </c>
      <c r="P925" s="199" t="s">
        <v>298</v>
      </c>
      <c r="Q925" s="199" t="s">
        <v>86</v>
      </c>
      <c r="R925" s="199" t="s">
        <v>707</v>
      </c>
      <c r="S925" s="479">
        <v>64</v>
      </c>
      <c r="T925" s="199"/>
      <c r="U925" s="199"/>
      <c r="V925" s="201"/>
      <c r="W925" s="202"/>
      <c r="X925" s="359"/>
      <c r="Y925" s="353">
        <f>G924</f>
        <v>2</v>
      </c>
      <c r="Z925" s="199"/>
      <c r="AA925" s="204"/>
      <c r="AB925" s="205"/>
      <c r="AC925" s="201"/>
    </row>
    <row r="926" spans="1:29" x14ac:dyDescent="0.25">
      <c r="A926" s="328">
        <v>45930</v>
      </c>
      <c r="B926" s="17">
        <v>7</v>
      </c>
      <c r="C926" s="123" t="s">
        <v>694</v>
      </c>
      <c r="D926" s="17" t="s">
        <v>145</v>
      </c>
      <c r="E926" s="18">
        <v>1.51</v>
      </c>
      <c r="F926" s="18"/>
      <c r="G926" s="461">
        <v>1</v>
      </c>
      <c r="H926" s="461">
        <v>2</v>
      </c>
      <c r="I926" s="20">
        <v>0.77</v>
      </c>
      <c r="J926" s="20"/>
      <c r="K926" s="123" t="s">
        <v>692</v>
      </c>
      <c r="L926" s="17" t="s">
        <v>92</v>
      </c>
      <c r="M926" s="597" t="s">
        <v>543</v>
      </c>
      <c r="N926" s="507">
        <v>4</v>
      </c>
      <c r="O926" s="508" t="s">
        <v>145</v>
      </c>
      <c r="P926" s="509" t="s">
        <v>271</v>
      </c>
      <c r="Q926" s="509" t="s">
        <v>272</v>
      </c>
      <c r="R926" s="509" t="s">
        <v>685</v>
      </c>
      <c r="S926" s="479">
        <v>66</v>
      </c>
      <c r="T926" s="509" t="s">
        <v>41</v>
      </c>
      <c r="U926" s="509" t="s">
        <v>42</v>
      </c>
      <c r="V926" s="510" t="s">
        <v>10</v>
      </c>
      <c r="W926" s="53">
        <v>0.11</v>
      </c>
      <c r="X926" s="360">
        <v>0.74</v>
      </c>
      <c r="Y926" s="354"/>
      <c r="Z926" s="17" t="s">
        <v>8</v>
      </c>
      <c r="AA926" s="114" t="s">
        <v>19</v>
      </c>
      <c r="AB926" s="110" t="s">
        <v>315</v>
      </c>
      <c r="AC926" s="60" t="s">
        <v>409</v>
      </c>
    </row>
    <row r="927" spans="1:29" x14ac:dyDescent="0.25">
      <c r="A927" s="329">
        <v>45930</v>
      </c>
      <c r="B927" s="5">
        <v>7</v>
      </c>
      <c r="D927" s="5" t="s">
        <v>145</v>
      </c>
      <c r="E927" s="6">
        <v>1.51</v>
      </c>
      <c r="G927" s="362">
        <v>1</v>
      </c>
      <c r="H927" s="362">
        <v>2</v>
      </c>
      <c r="I927" s="8">
        <v>0.77</v>
      </c>
      <c r="L927" s="5" t="s">
        <v>92</v>
      </c>
      <c r="M927" s="242" t="s">
        <v>543</v>
      </c>
      <c r="N927" s="476">
        <v>10</v>
      </c>
      <c r="O927" s="477" t="s">
        <v>145</v>
      </c>
      <c r="P927" s="478" t="s">
        <v>271</v>
      </c>
      <c r="Q927" s="478" t="s">
        <v>272</v>
      </c>
      <c r="R927" s="478" t="s">
        <v>685</v>
      </c>
      <c r="S927" s="479">
        <v>66</v>
      </c>
      <c r="T927" s="478" t="s">
        <v>41</v>
      </c>
      <c r="U927" s="478" t="s">
        <v>43</v>
      </c>
      <c r="V927" s="480" t="s">
        <v>10</v>
      </c>
      <c r="W927" s="51">
        <v>0.08</v>
      </c>
      <c r="X927" s="357">
        <v>0.1</v>
      </c>
      <c r="Z927" s="5" t="s">
        <v>48</v>
      </c>
      <c r="AA927" s="112" t="s">
        <v>19</v>
      </c>
    </row>
    <row r="928" spans="1:29" x14ac:dyDescent="0.25">
      <c r="A928" s="329">
        <v>45930</v>
      </c>
      <c r="B928" s="5">
        <v>7</v>
      </c>
      <c r="D928" s="5" t="s">
        <v>145</v>
      </c>
      <c r="E928" s="6">
        <v>1.51</v>
      </c>
      <c r="G928" s="362">
        <v>1</v>
      </c>
      <c r="H928" s="362">
        <v>2</v>
      </c>
      <c r="I928" s="8">
        <v>0.77</v>
      </c>
      <c r="L928" s="5" t="s">
        <v>92</v>
      </c>
      <c r="M928" s="242" t="s">
        <v>543</v>
      </c>
      <c r="N928" s="476">
        <v>10</v>
      </c>
      <c r="O928" s="477" t="s">
        <v>145</v>
      </c>
      <c r="P928" s="478" t="s">
        <v>147</v>
      </c>
      <c r="Q928" s="478" t="s">
        <v>148</v>
      </c>
      <c r="R928" s="478" t="s">
        <v>718</v>
      </c>
      <c r="S928" s="479">
        <v>62</v>
      </c>
      <c r="T928" s="478" t="s">
        <v>41</v>
      </c>
      <c r="U928" s="478" t="s">
        <v>45</v>
      </c>
      <c r="V928" s="480" t="s">
        <v>540</v>
      </c>
      <c r="W928" s="51">
        <v>7.0000000000000007E-2</v>
      </c>
      <c r="X928" s="357" t="s">
        <v>53</v>
      </c>
      <c r="Z928" s="5" t="s">
        <v>16</v>
      </c>
      <c r="AA928" s="112" t="s">
        <v>19</v>
      </c>
    </row>
    <row r="929" spans="1:29" x14ac:dyDescent="0.25">
      <c r="A929" s="329">
        <v>45930</v>
      </c>
      <c r="B929" s="5">
        <v>7</v>
      </c>
      <c r="D929" s="5" t="s">
        <v>145</v>
      </c>
      <c r="E929" s="6">
        <v>1.51</v>
      </c>
      <c r="G929" s="362">
        <v>1</v>
      </c>
      <c r="H929" s="362">
        <v>2</v>
      </c>
      <c r="I929" s="8">
        <v>0.77</v>
      </c>
      <c r="L929" s="5" t="s">
        <v>92</v>
      </c>
      <c r="M929" s="242" t="s">
        <v>543</v>
      </c>
      <c r="N929" s="345">
        <v>21</v>
      </c>
      <c r="O929" s="38" t="s">
        <v>92</v>
      </c>
      <c r="P929" s="5" t="s">
        <v>504</v>
      </c>
      <c r="Q929" s="5" t="s">
        <v>512</v>
      </c>
      <c r="R929" s="5" t="s">
        <v>689</v>
      </c>
      <c r="S929" s="479">
        <v>75</v>
      </c>
      <c r="T929" s="5" t="s">
        <v>44</v>
      </c>
      <c r="U929" s="5" t="s">
        <v>43</v>
      </c>
      <c r="V929" s="57" t="s">
        <v>20</v>
      </c>
      <c r="W929" s="51">
        <v>0.03</v>
      </c>
      <c r="X929" s="357" t="s">
        <v>53</v>
      </c>
      <c r="Z929" s="5" t="s">
        <v>22</v>
      </c>
      <c r="AA929" s="112" t="s">
        <v>19</v>
      </c>
    </row>
    <row r="930" spans="1:29" x14ac:dyDescent="0.25">
      <c r="A930" s="329">
        <v>45930</v>
      </c>
      <c r="B930" s="5">
        <v>7</v>
      </c>
      <c r="D930" s="5" t="s">
        <v>145</v>
      </c>
      <c r="E930" s="6">
        <v>1.51</v>
      </c>
      <c r="G930" s="362">
        <v>1</v>
      </c>
      <c r="H930" s="362">
        <v>2</v>
      </c>
      <c r="I930" s="8">
        <v>0.77</v>
      </c>
      <c r="L930" s="5" t="s">
        <v>92</v>
      </c>
      <c r="M930" s="242" t="s">
        <v>543</v>
      </c>
      <c r="N930" s="476">
        <v>27</v>
      </c>
      <c r="O930" s="477" t="s">
        <v>145</v>
      </c>
      <c r="P930" s="478" t="s">
        <v>308</v>
      </c>
      <c r="Q930" s="478" t="s">
        <v>309</v>
      </c>
      <c r="R930" s="478" t="s">
        <v>695</v>
      </c>
      <c r="S930" s="479">
        <v>65</v>
      </c>
      <c r="T930" s="478" t="s">
        <v>354</v>
      </c>
      <c r="U930" s="478" t="s">
        <v>42</v>
      </c>
      <c r="V930" s="480" t="s">
        <v>10</v>
      </c>
      <c r="W930" s="51">
        <v>0.02</v>
      </c>
      <c r="X930" s="357">
        <v>0.11</v>
      </c>
      <c r="Z930" s="5" t="s">
        <v>48</v>
      </c>
      <c r="AA930" s="112" t="s">
        <v>19</v>
      </c>
    </row>
    <row r="931" spans="1:29" x14ac:dyDescent="0.25">
      <c r="A931" s="329">
        <v>45930</v>
      </c>
      <c r="B931" s="5">
        <v>7</v>
      </c>
      <c r="D931" s="5" t="s">
        <v>145</v>
      </c>
      <c r="E931" s="6">
        <v>1.51</v>
      </c>
      <c r="G931" s="362">
        <v>1</v>
      </c>
      <c r="H931" s="362">
        <v>2</v>
      </c>
      <c r="I931" s="8">
        <v>0.77</v>
      </c>
      <c r="L931" s="5" t="s">
        <v>92</v>
      </c>
      <c r="M931" s="242" t="s">
        <v>543</v>
      </c>
      <c r="N931" s="345">
        <v>44</v>
      </c>
      <c r="O931" s="38" t="s">
        <v>92</v>
      </c>
      <c r="P931" s="5" t="s">
        <v>493</v>
      </c>
      <c r="Q931" s="5" t="s">
        <v>542</v>
      </c>
      <c r="R931" s="5" t="s">
        <v>691</v>
      </c>
      <c r="S931" s="481">
        <v>67</v>
      </c>
      <c r="T931" s="5" t="s">
        <v>41</v>
      </c>
      <c r="U931" s="5" t="s">
        <v>43</v>
      </c>
      <c r="V931" s="57" t="s">
        <v>10</v>
      </c>
      <c r="W931" s="51">
        <v>7.0000000000000007E-2</v>
      </c>
      <c r="X931" s="357">
        <v>0.55000000000000004</v>
      </c>
      <c r="Z931" s="5" t="s">
        <v>48</v>
      </c>
      <c r="AA931" s="112" t="s">
        <v>19</v>
      </c>
    </row>
    <row r="932" spans="1:29" x14ac:dyDescent="0.25">
      <c r="A932" s="329">
        <v>45930</v>
      </c>
      <c r="B932" s="5">
        <v>7</v>
      </c>
      <c r="D932" s="5" t="s">
        <v>145</v>
      </c>
      <c r="E932" s="6">
        <v>1.51</v>
      </c>
      <c r="G932" s="362">
        <v>1</v>
      </c>
      <c r="H932" s="362">
        <v>2</v>
      </c>
      <c r="I932" s="8">
        <v>0.77</v>
      </c>
      <c r="L932" s="5" t="s">
        <v>92</v>
      </c>
      <c r="M932" s="242" t="s">
        <v>543</v>
      </c>
      <c r="N932" s="476">
        <v>54</v>
      </c>
      <c r="O932" s="477" t="s">
        <v>145</v>
      </c>
      <c r="P932" s="478" t="s">
        <v>271</v>
      </c>
      <c r="Q932" s="478" t="s">
        <v>272</v>
      </c>
      <c r="R932" s="478" t="s">
        <v>685</v>
      </c>
      <c r="S932" s="481">
        <v>66</v>
      </c>
      <c r="T932" s="478" t="s">
        <v>41</v>
      </c>
      <c r="U932" s="478" t="s">
        <v>43</v>
      </c>
      <c r="V932" s="480" t="s">
        <v>18</v>
      </c>
      <c r="W932" s="51">
        <v>0.1</v>
      </c>
      <c r="X932" s="357" t="s">
        <v>53</v>
      </c>
      <c r="Y932" s="351" t="s">
        <v>353</v>
      </c>
      <c r="Z932" s="5" t="s">
        <v>13</v>
      </c>
      <c r="AA932" s="112" t="s">
        <v>19</v>
      </c>
    </row>
    <row r="933" spans="1:29" x14ac:dyDescent="0.25">
      <c r="A933" s="329">
        <v>45930</v>
      </c>
      <c r="B933" s="5">
        <v>7</v>
      </c>
      <c r="D933" s="5" t="s">
        <v>145</v>
      </c>
      <c r="E933" s="6">
        <v>1.51</v>
      </c>
      <c r="G933" s="362">
        <v>1</v>
      </c>
      <c r="H933" s="362">
        <v>2</v>
      </c>
      <c r="I933" s="8">
        <v>0.77</v>
      </c>
      <c r="L933" s="5" t="s">
        <v>92</v>
      </c>
      <c r="M933" s="242" t="s">
        <v>543</v>
      </c>
      <c r="N933" s="476">
        <v>65</v>
      </c>
      <c r="O933" s="477" t="s">
        <v>145</v>
      </c>
      <c r="P933" s="478" t="s">
        <v>271</v>
      </c>
      <c r="Q933" s="478" t="s">
        <v>272</v>
      </c>
      <c r="R933" s="478" t="s">
        <v>685</v>
      </c>
      <c r="S933" s="479">
        <v>66</v>
      </c>
      <c r="T933" s="478" t="s">
        <v>41</v>
      </c>
      <c r="U933" s="478" t="s">
        <v>43</v>
      </c>
      <c r="V933" s="480" t="s">
        <v>10</v>
      </c>
      <c r="W933" s="51">
        <v>0.05</v>
      </c>
      <c r="X933" s="357" t="s">
        <v>53</v>
      </c>
      <c r="Y933" s="351" t="s">
        <v>353</v>
      </c>
      <c r="Z933" s="5" t="s">
        <v>13</v>
      </c>
      <c r="AA933" s="112" t="s">
        <v>19</v>
      </c>
    </row>
    <row r="934" spans="1:29" x14ac:dyDescent="0.25">
      <c r="A934" s="329">
        <v>45930</v>
      </c>
      <c r="B934" s="5">
        <v>7</v>
      </c>
      <c r="D934" s="5" t="s">
        <v>145</v>
      </c>
      <c r="E934" s="6">
        <v>1.51</v>
      </c>
      <c r="G934" s="362">
        <v>1</v>
      </c>
      <c r="H934" s="362">
        <v>2</v>
      </c>
      <c r="I934" s="8">
        <v>0.77</v>
      </c>
      <c r="L934" s="5" t="s">
        <v>92</v>
      </c>
      <c r="M934" s="242" t="s">
        <v>543</v>
      </c>
      <c r="N934" s="476">
        <v>69</v>
      </c>
      <c r="O934" s="477" t="s">
        <v>145</v>
      </c>
      <c r="P934" s="478" t="s">
        <v>308</v>
      </c>
      <c r="Q934" s="478" t="s">
        <v>309</v>
      </c>
      <c r="R934" s="478" t="s">
        <v>695</v>
      </c>
      <c r="S934" s="479">
        <v>65</v>
      </c>
      <c r="T934" s="478" t="s">
        <v>354</v>
      </c>
      <c r="U934" s="478" t="s">
        <v>42</v>
      </c>
      <c r="V934" s="480" t="s">
        <v>10</v>
      </c>
      <c r="W934" s="51">
        <v>0.02</v>
      </c>
      <c r="X934" s="357" t="s">
        <v>53</v>
      </c>
      <c r="Z934" s="5" t="s">
        <v>16</v>
      </c>
      <c r="AA934" s="112" t="s">
        <v>19</v>
      </c>
    </row>
    <row r="935" spans="1:29" x14ac:dyDescent="0.25">
      <c r="A935" s="329">
        <v>45930</v>
      </c>
      <c r="B935" s="5">
        <v>7</v>
      </c>
      <c r="D935" s="5" t="s">
        <v>145</v>
      </c>
      <c r="E935" s="6">
        <v>1.51</v>
      </c>
      <c r="G935" s="362">
        <v>1</v>
      </c>
      <c r="H935" s="362">
        <v>2</v>
      </c>
      <c r="I935" s="8">
        <v>0.77</v>
      </c>
      <c r="L935" s="5" t="s">
        <v>92</v>
      </c>
      <c r="M935" s="242" t="s">
        <v>543</v>
      </c>
      <c r="N935" s="476">
        <v>76</v>
      </c>
      <c r="O935" s="477" t="s">
        <v>145</v>
      </c>
      <c r="P935" s="478" t="s">
        <v>271</v>
      </c>
      <c r="Q935" s="478" t="s">
        <v>272</v>
      </c>
      <c r="R935" s="478" t="s">
        <v>685</v>
      </c>
      <c r="S935" s="479">
        <v>66</v>
      </c>
      <c r="T935" s="478" t="s">
        <v>41</v>
      </c>
      <c r="U935" s="478" t="s">
        <v>42</v>
      </c>
      <c r="V935" s="480" t="s">
        <v>7</v>
      </c>
      <c r="W935" s="51">
        <v>0.79</v>
      </c>
      <c r="X935" s="357">
        <v>0.61</v>
      </c>
      <c r="Y935" s="351" t="s">
        <v>353</v>
      </c>
      <c r="Z935" s="5" t="s">
        <v>48</v>
      </c>
      <c r="AA935" s="112" t="s">
        <v>19</v>
      </c>
    </row>
    <row r="936" spans="1:29" x14ac:dyDescent="0.25">
      <c r="A936" s="329">
        <v>45930</v>
      </c>
      <c r="B936" s="5">
        <v>7</v>
      </c>
      <c r="D936" s="5" t="s">
        <v>145</v>
      </c>
      <c r="E936" s="6">
        <v>1.51</v>
      </c>
      <c r="G936" s="362">
        <v>1</v>
      </c>
      <c r="H936" s="362">
        <v>2</v>
      </c>
      <c r="I936" s="8">
        <v>0.77</v>
      </c>
      <c r="L936" s="5" t="s">
        <v>92</v>
      </c>
      <c r="M936" s="242" t="s">
        <v>543</v>
      </c>
      <c r="N936" s="345">
        <v>85</v>
      </c>
      <c r="O936" s="38" t="s">
        <v>92</v>
      </c>
      <c r="P936" s="5" t="s">
        <v>419</v>
      </c>
      <c r="Q936" s="5" t="s">
        <v>420</v>
      </c>
      <c r="R936" s="5" t="s">
        <v>696</v>
      </c>
      <c r="S936" s="7">
        <v>58</v>
      </c>
      <c r="T936" s="5" t="s">
        <v>47</v>
      </c>
      <c r="U936" s="5" t="s">
        <v>42</v>
      </c>
      <c r="V936" s="57" t="s">
        <v>20</v>
      </c>
      <c r="W936" s="51">
        <v>0.2</v>
      </c>
      <c r="X936" s="357">
        <v>0.19</v>
      </c>
      <c r="Y936" s="351" t="s">
        <v>353</v>
      </c>
      <c r="Z936" s="5" t="s">
        <v>8</v>
      </c>
      <c r="AA936" s="112" t="s">
        <v>51</v>
      </c>
    </row>
    <row r="937" spans="1:29" x14ac:dyDescent="0.25">
      <c r="A937" s="329">
        <v>45930</v>
      </c>
      <c r="B937" s="5">
        <v>7</v>
      </c>
      <c r="D937" s="5" t="s">
        <v>145</v>
      </c>
      <c r="E937" s="6">
        <v>1.51</v>
      </c>
      <c r="G937" s="362">
        <v>1</v>
      </c>
      <c r="H937" s="362">
        <v>2</v>
      </c>
      <c r="I937" s="8">
        <v>0.77</v>
      </c>
      <c r="L937" s="5" t="s">
        <v>92</v>
      </c>
      <c r="M937" s="242" t="s">
        <v>543</v>
      </c>
      <c r="N937" s="345">
        <v>86</v>
      </c>
      <c r="O937" s="38" t="s">
        <v>92</v>
      </c>
      <c r="P937" s="5" t="s">
        <v>108</v>
      </c>
      <c r="Q937" s="5" t="s">
        <v>109</v>
      </c>
      <c r="R937" s="5" t="s">
        <v>696</v>
      </c>
      <c r="S937" s="7">
        <v>73</v>
      </c>
      <c r="T937" s="5" t="s">
        <v>41</v>
      </c>
      <c r="U937" s="5" t="s">
        <v>42</v>
      </c>
      <c r="V937" s="57" t="s">
        <v>18</v>
      </c>
      <c r="W937" s="51">
        <v>0.23</v>
      </c>
      <c r="X937" s="357">
        <v>0.71</v>
      </c>
      <c r="Z937" s="5" t="s">
        <v>8</v>
      </c>
      <c r="AA937" s="112" t="s">
        <v>67</v>
      </c>
      <c r="AB937" s="108" t="s">
        <v>504</v>
      </c>
      <c r="AC937" s="57" t="s">
        <v>512</v>
      </c>
    </row>
    <row r="938" spans="1:29" ht="15.75" thickBot="1" x14ac:dyDescent="0.3">
      <c r="A938" s="330">
        <v>45930</v>
      </c>
      <c r="B938" s="9">
        <v>7</v>
      </c>
      <c r="C938" s="122"/>
      <c r="D938" s="9" t="s">
        <v>145</v>
      </c>
      <c r="E938" s="10">
        <v>1.51</v>
      </c>
      <c r="F938" s="10"/>
      <c r="G938" s="383">
        <v>1</v>
      </c>
      <c r="H938" s="383">
        <v>2</v>
      </c>
      <c r="I938" s="12">
        <v>0.77</v>
      </c>
      <c r="J938" s="12"/>
      <c r="K938" s="122"/>
      <c r="L938" s="9" t="s">
        <v>92</v>
      </c>
      <c r="M938" s="445" t="s">
        <v>543</v>
      </c>
      <c r="N938" s="511" t="s">
        <v>312</v>
      </c>
      <c r="O938" s="512" t="s">
        <v>145</v>
      </c>
      <c r="P938" s="513" t="s">
        <v>149</v>
      </c>
      <c r="Q938" s="513" t="s">
        <v>150</v>
      </c>
      <c r="R938" s="513" t="s">
        <v>696</v>
      </c>
      <c r="S938" s="479">
        <v>62</v>
      </c>
      <c r="T938" s="513" t="s">
        <v>44</v>
      </c>
      <c r="U938" s="513" t="s">
        <v>42</v>
      </c>
      <c r="V938" s="514" t="s">
        <v>10</v>
      </c>
      <c r="W938" s="52">
        <v>0.04</v>
      </c>
      <c r="X938" s="358" t="s">
        <v>53</v>
      </c>
      <c r="Y938" s="352"/>
      <c r="Z938" s="9" t="s">
        <v>22</v>
      </c>
      <c r="AA938" s="113" t="s">
        <v>67</v>
      </c>
      <c r="AB938" s="109"/>
      <c r="AC938" s="58"/>
    </row>
    <row r="939" spans="1:29" ht="15.75" thickBot="1" x14ac:dyDescent="0.3">
      <c r="A939" s="326">
        <v>45930</v>
      </c>
      <c r="B939" s="207">
        <v>7</v>
      </c>
      <c r="C939" s="208"/>
      <c r="D939" s="207" t="s">
        <v>145</v>
      </c>
      <c r="E939" s="209">
        <v>1.51</v>
      </c>
      <c r="F939" s="209"/>
      <c r="G939" s="460">
        <v>1</v>
      </c>
      <c r="H939" s="460">
        <v>2</v>
      </c>
      <c r="I939" s="211">
        <v>0.77</v>
      </c>
      <c r="J939" s="211"/>
      <c r="K939" s="208"/>
      <c r="L939" s="207" t="s">
        <v>92</v>
      </c>
      <c r="M939" s="235"/>
      <c r="N939" s="347"/>
      <c r="O939" s="343" t="s">
        <v>145</v>
      </c>
      <c r="P939" s="199" t="s">
        <v>482</v>
      </c>
      <c r="Q939" s="199" t="s">
        <v>483</v>
      </c>
      <c r="R939" s="199" t="s">
        <v>707</v>
      </c>
      <c r="S939" s="479">
        <v>65</v>
      </c>
      <c r="T939" s="199"/>
      <c r="U939" s="199"/>
      <c r="V939" s="201"/>
      <c r="W939" s="202"/>
      <c r="X939" s="359"/>
      <c r="Y939" s="353">
        <f>H939</f>
        <v>2</v>
      </c>
      <c r="Z939" s="199"/>
      <c r="AA939" s="204"/>
      <c r="AB939" s="205"/>
      <c r="AC939" s="201"/>
    </row>
    <row r="940" spans="1:29" ht="15.75" thickBot="1" x14ac:dyDescent="0.3">
      <c r="A940" s="326">
        <v>45930</v>
      </c>
      <c r="B940" s="207">
        <v>7</v>
      </c>
      <c r="C940" s="208"/>
      <c r="D940" s="207" t="s">
        <v>145</v>
      </c>
      <c r="E940" s="209">
        <v>1.51</v>
      </c>
      <c r="F940" s="209"/>
      <c r="G940" s="460">
        <v>1</v>
      </c>
      <c r="H940" s="460">
        <v>2</v>
      </c>
      <c r="I940" s="211">
        <v>0.77</v>
      </c>
      <c r="J940" s="211"/>
      <c r="K940" s="208"/>
      <c r="L940" s="207" t="s">
        <v>92</v>
      </c>
      <c r="M940" s="235"/>
      <c r="N940" s="347"/>
      <c r="O940" s="343" t="s">
        <v>92</v>
      </c>
      <c r="P940" s="199" t="s">
        <v>432</v>
      </c>
      <c r="Q940" s="199" t="s">
        <v>472</v>
      </c>
      <c r="R940" s="199" t="s">
        <v>707</v>
      </c>
      <c r="S940" s="479">
        <v>77</v>
      </c>
      <c r="T940" s="199"/>
      <c r="U940" s="199"/>
      <c r="V940" s="201"/>
      <c r="W940" s="202"/>
      <c r="X940" s="359"/>
      <c r="Y940" s="353">
        <f>G939</f>
        <v>1</v>
      </c>
      <c r="Z940" s="199"/>
      <c r="AA940" s="204"/>
      <c r="AB940" s="205"/>
      <c r="AC940" s="201"/>
    </row>
    <row r="941" spans="1:29" x14ac:dyDescent="0.25">
      <c r="A941" s="331">
        <v>45933</v>
      </c>
      <c r="B941" s="13">
        <v>8</v>
      </c>
      <c r="C941" s="124" t="s">
        <v>706</v>
      </c>
      <c r="D941" s="13" t="s">
        <v>227</v>
      </c>
      <c r="E941" s="14">
        <v>0.43</v>
      </c>
      <c r="F941" s="14"/>
      <c r="G941" s="375">
        <v>2</v>
      </c>
      <c r="H941" s="375">
        <v>1</v>
      </c>
      <c r="I941" s="16">
        <v>0.85</v>
      </c>
      <c r="J941" s="16"/>
      <c r="K941" s="124" t="s">
        <v>701</v>
      </c>
      <c r="L941" s="13" t="s">
        <v>161</v>
      </c>
      <c r="M941" s="47"/>
      <c r="N941" s="349">
        <v>23</v>
      </c>
      <c r="O941" s="458" t="s">
        <v>161</v>
      </c>
      <c r="P941" s="13" t="s">
        <v>313</v>
      </c>
      <c r="Q941" s="13" t="s">
        <v>314</v>
      </c>
      <c r="R941" s="13" t="s">
        <v>717</v>
      </c>
      <c r="S941" s="479">
        <v>69</v>
      </c>
      <c r="T941" s="13" t="s">
        <v>41</v>
      </c>
      <c r="U941" s="13" t="s">
        <v>42</v>
      </c>
      <c r="V941" s="60" t="s">
        <v>10</v>
      </c>
      <c r="W941" s="54">
        <v>0.45</v>
      </c>
      <c r="X941" s="361">
        <v>0.3</v>
      </c>
      <c r="Y941" s="355" t="s">
        <v>353</v>
      </c>
      <c r="Z941" s="13" t="s">
        <v>8</v>
      </c>
      <c r="AA941" s="115" t="s">
        <v>9</v>
      </c>
      <c r="AB941" s="110" t="s">
        <v>315</v>
      </c>
      <c r="AC941" s="60" t="s">
        <v>199</v>
      </c>
    </row>
    <row r="942" spans="1:29" x14ac:dyDescent="0.25">
      <c r="A942" s="329">
        <v>45933</v>
      </c>
      <c r="B942" s="5">
        <v>8</v>
      </c>
      <c r="D942" s="5" t="s">
        <v>227</v>
      </c>
      <c r="E942" s="6">
        <v>0.43</v>
      </c>
      <c r="G942" s="362">
        <v>2</v>
      </c>
      <c r="H942" s="362">
        <v>1</v>
      </c>
      <c r="I942" s="8">
        <v>0.85</v>
      </c>
      <c r="L942" s="5" t="s">
        <v>161</v>
      </c>
      <c r="N942" s="476" t="s">
        <v>428</v>
      </c>
      <c r="O942" s="477" t="s">
        <v>227</v>
      </c>
      <c r="P942" s="478" t="s">
        <v>400</v>
      </c>
      <c r="Q942" s="478" t="s">
        <v>401</v>
      </c>
      <c r="R942" s="478" t="s">
        <v>688</v>
      </c>
      <c r="S942" s="479">
        <v>76</v>
      </c>
      <c r="T942" s="478" t="s">
        <v>44</v>
      </c>
      <c r="U942" s="478" t="s">
        <v>43</v>
      </c>
      <c r="V942" s="480" t="s">
        <v>33</v>
      </c>
      <c r="W942" s="51">
        <v>0.03</v>
      </c>
      <c r="X942" s="357">
        <v>0.78</v>
      </c>
      <c r="Z942" s="5" t="s">
        <v>8</v>
      </c>
      <c r="AA942" s="112" t="s">
        <v>51</v>
      </c>
      <c r="AB942" s="108" t="s">
        <v>25</v>
      </c>
      <c r="AC942" s="57" t="s">
        <v>397</v>
      </c>
    </row>
    <row r="943" spans="1:29" x14ac:dyDescent="0.25">
      <c r="A943" s="329">
        <v>45933</v>
      </c>
      <c r="B943" s="5">
        <v>8</v>
      </c>
      <c r="D943" s="5" t="s">
        <v>227</v>
      </c>
      <c r="E943" s="6">
        <v>0.43</v>
      </c>
      <c r="G943" s="362">
        <v>2</v>
      </c>
      <c r="H943" s="362">
        <v>1</v>
      </c>
      <c r="I943" s="8">
        <v>0.85</v>
      </c>
      <c r="L943" s="5" t="s">
        <v>161</v>
      </c>
      <c r="N943" s="345" t="s">
        <v>12</v>
      </c>
      <c r="O943" s="38" t="s">
        <v>161</v>
      </c>
      <c r="P943" s="5" t="s">
        <v>545</v>
      </c>
      <c r="Q943" s="5" t="s">
        <v>546</v>
      </c>
      <c r="R943" s="5" t="s">
        <v>712</v>
      </c>
      <c r="S943" s="481">
        <v>60</v>
      </c>
      <c r="T943" s="5" t="s">
        <v>47</v>
      </c>
      <c r="U943" s="5" t="s">
        <v>45</v>
      </c>
      <c r="V943" s="57" t="s">
        <v>33</v>
      </c>
      <c r="W943" s="51">
        <v>0.03</v>
      </c>
      <c r="X943" s="357">
        <v>0.13</v>
      </c>
      <c r="Y943" s="351" t="s">
        <v>353</v>
      </c>
      <c r="Z943" s="5" t="s">
        <v>48</v>
      </c>
      <c r="AA943" s="112" t="s">
        <v>51</v>
      </c>
    </row>
    <row r="944" spans="1:29" x14ac:dyDescent="0.25">
      <c r="A944" s="329">
        <v>45933</v>
      </c>
      <c r="B944" s="5">
        <v>8</v>
      </c>
      <c r="D944" s="5" t="s">
        <v>227</v>
      </c>
      <c r="E944" s="6">
        <v>0.43</v>
      </c>
      <c r="G944" s="362">
        <v>2</v>
      </c>
      <c r="H944" s="362">
        <v>1</v>
      </c>
      <c r="I944" s="8">
        <v>0.85</v>
      </c>
      <c r="L944" s="5" t="s">
        <v>161</v>
      </c>
      <c r="N944" s="345">
        <v>54</v>
      </c>
      <c r="O944" s="38" t="s">
        <v>161</v>
      </c>
      <c r="P944" s="5" t="s">
        <v>547</v>
      </c>
      <c r="Q944" s="5" t="s">
        <v>548</v>
      </c>
      <c r="R944" s="5" t="s">
        <v>728</v>
      </c>
      <c r="S944" s="481">
        <v>73</v>
      </c>
      <c r="T944" s="5" t="s">
        <v>47</v>
      </c>
      <c r="U944" s="5" t="s">
        <v>45</v>
      </c>
      <c r="V944" s="57" t="s">
        <v>20</v>
      </c>
      <c r="W944" s="51">
        <v>0.18</v>
      </c>
      <c r="X944" s="357" t="s">
        <v>53</v>
      </c>
      <c r="Z944" s="5" t="s">
        <v>13</v>
      </c>
      <c r="AA944" s="112" t="s">
        <v>51</v>
      </c>
    </row>
    <row r="945" spans="1:29" x14ac:dyDescent="0.25">
      <c r="A945" s="329">
        <v>45933</v>
      </c>
      <c r="B945" s="5">
        <v>8</v>
      </c>
      <c r="D945" s="5" t="s">
        <v>227</v>
      </c>
      <c r="E945" s="6">
        <v>0.43</v>
      </c>
      <c r="G945" s="362">
        <v>2</v>
      </c>
      <c r="H945" s="362">
        <v>1</v>
      </c>
      <c r="I945" s="8">
        <v>0.85</v>
      </c>
      <c r="L945" s="5" t="s">
        <v>161</v>
      </c>
      <c r="N945" s="345">
        <v>88</v>
      </c>
      <c r="O945" s="38" t="s">
        <v>161</v>
      </c>
      <c r="P945" s="5" t="s">
        <v>547</v>
      </c>
      <c r="Q945" s="5" t="s">
        <v>548</v>
      </c>
      <c r="R945" s="5" t="s">
        <v>728</v>
      </c>
      <c r="S945" s="479">
        <v>73</v>
      </c>
      <c r="T945" s="5" t="s">
        <v>47</v>
      </c>
      <c r="U945" s="5" t="s">
        <v>45</v>
      </c>
      <c r="V945" s="57" t="s">
        <v>20</v>
      </c>
      <c r="W945" s="51">
        <v>0.1</v>
      </c>
      <c r="X945" s="357" t="s">
        <v>53</v>
      </c>
      <c r="Z945" s="5" t="s">
        <v>13</v>
      </c>
      <c r="AA945" s="112" t="s">
        <v>51</v>
      </c>
    </row>
    <row r="946" spans="1:29" ht="15.75" thickBot="1" x14ac:dyDescent="0.3">
      <c r="A946" s="330">
        <v>45933</v>
      </c>
      <c r="B946" s="9">
        <v>8</v>
      </c>
      <c r="C946" s="122"/>
      <c r="D946" s="9" t="s">
        <v>227</v>
      </c>
      <c r="E946" s="10">
        <v>0.43</v>
      </c>
      <c r="F946" s="10"/>
      <c r="G946" s="383">
        <v>2</v>
      </c>
      <c r="H946" s="383">
        <v>1</v>
      </c>
      <c r="I946" s="12">
        <v>0.85</v>
      </c>
      <c r="J946" s="12"/>
      <c r="K946" s="122"/>
      <c r="L946" s="9" t="s">
        <v>161</v>
      </c>
      <c r="M946" s="45"/>
      <c r="N946" s="511">
        <v>90</v>
      </c>
      <c r="O946" s="512" t="s">
        <v>227</v>
      </c>
      <c r="P946" s="513" t="s">
        <v>347</v>
      </c>
      <c r="Q946" s="513" t="s">
        <v>348</v>
      </c>
      <c r="R946" s="513" t="s">
        <v>728</v>
      </c>
      <c r="S946" s="479">
        <v>77</v>
      </c>
      <c r="T946" s="513" t="s">
        <v>47</v>
      </c>
      <c r="U946" s="513" t="s">
        <v>45</v>
      </c>
      <c r="V946" s="514" t="s">
        <v>20</v>
      </c>
      <c r="W946" s="52">
        <v>0.17</v>
      </c>
      <c r="X946" s="358">
        <v>0.83</v>
      </c>
      <c r="Y946" s="352" t="s">
        <v>353</v>
      </c>
      <c r="Z946" s="9" t="s">
        <v>8</v>
      </c>
      <c r="AA946" s="113" t="s">
        <v>34</v>
      </c>
      <c r="AB946" s="109" t="s">
        <v>328</v>
      </c>
      <c r="AC946" s="58" t="s">
        <v>75</v>
      </c>
    </row>
    <row r="947" spans="1:29" ht="15.75" thickBot="1" x14ac:dyDescent="0.3">
      <c r="A947" s="326">
        <v>45933</v>
      </c>
      <c r="B947" s="207">
        <v>8</v>
      </c>
      <c r="C947" s="208"/>
      <c r="D947" s="207" t="s">
        <v>227</v>
      </c>
      <c r="E947" s="209">
        <v>0.43</v>
      </c>
      <c r="F947" s="209"/>
      <c r="G947" s="460">
        <v>2</v>
      </c>
      <c r="H947" s="460">
        <v>1</v>
      </c>
      <c r="I947" s="211">
        <v>0.85</v>
      </c>
      <c r="J947" s="211"/>
      <c r="K947" s="208"/>
      <c r="L947" s="207" t="s">
        <v>161</v>
      </c>
      <c r="M947" s="235"/>
      <c r="N947" s="347"/>
      <c r="O947" s="343" t="s">
        <v>227</v>
      </c>
      <c r="P947" s="199" t="s">
        <v>298</v>
      </c>
      <c r="Q947" s="199" t="s">
        <v>86</v>
      </c>
      <c r="R947" s="199" t="s">
        <v>707</v>
      </c>
      <c r="S947" s="479">
        <v>62</v>
      </c>
      <c r="T947" s="199"/>
      <c r="U947" s="199"/>
      <c r="V947" s="201"/>
      <c r="W947" s="202"/>
      <c r="X947" s="359"/>
      <c r="Y947" s="353">
        <f>H947</f>
        <v>1</v>
      </c>
      <c r="Z947" s="199"/>
      <c r="AA947" s="204"/>
      <c r="AB947" s="205"/>
      <c r="AC947" s="201"/>
    </row>
    <row r="948" spans="1:29" ht="15.75" thickBot="1" x14ac:dyDescent="0.3">
      <c r="A948" s="326">
        <v>45933</v>
      </c>
      <c r="B948" s="207">
        <v>8</v>
      </c>
      <c r="C948" s="208"/>
      <c r="D948" s="207" t="s">
        <v>227</v>
      </c>
      <c r="E948" s="209">
        <v>0.43</v>
      </c>
      <c r="F948" s="209"/>
      <c r="G948" s="460">
        <v>2</v>
      </c>
      <c r="H948" s="460">
        <v>1</v>
      </c>
      <c r="I948" s="211">
        <v>0.85</v>
      </c>
      <c r="J948" s="211"/>
      <c r="K948" s="208"/>
      <c r="L948" s="207" t="s">
        <v>161</v>
      </c>
      <c r="M948" s="235"/>
      <c r="N948" s="347"/>
      <c r="O948" s="343" t="s">
        <v>161</v>
      </c>
      <c r="P948" s="199" t="s">
        <v>316</v>
      </c>
      <c r="Q948" s="199" t="s">
        <v>721</v>
      </c>
      <c r="R948" s="199" t="s">
        <v>707</v>
      </c>
      <c r="S948" s="7">
        <v>62</v>
      </c>
      <c r="T948" s="199"/>
      <c r="U948" s="199"/>
      <c r="V948" s="201"/>
      <c r="W948" s="202"/>
      <c r="X948" s="359"/>
      <c r="Y948" s="353">
        <f>G947</f>
        <v>2</v>
      </c>
      <c r="Z948" s="199"/>
      <c r="AA948" s="204"/>
      <c r="AB948" s="205"/>
      <c r="AC948" s="201"/>
    </row>
    <row r="949" spans="1:29" x14ac:dyDescent="0.25">
      <c r="A949" s="331">
        <v>45934</v>
      </c>
      <c r="B949" s="13">
        <v>8</v>
      </c>
      <c r="C949" s="124" t="s">
        <v>692</v>
      </c>
      <c r="D949" s="13" t="s">
        <v>92</v>
      </c>
      <c r="E949" s="14">
        <v>1.31</v>
      </c>
      <c r="F949" s="14"/>
      <c r="G949" s="375">
        <v>0</v>
      </c>
      <c r="H949" s="375">
        <v>2</v>
      </c>
      <c r="I949" s="16">
        <v>1.94</v>
      </c>
      <c r="J949" s="16"/>
      <c r="K949" s="124" t="s">
        <v>694</v>
      </c>
      <c r="L949" s="13" t="s">
        <v>129</v>
      </c>
      <c r="M949" s="47"/>
      <c r="N949" s="556">
        <v>7</v>
      </c>
      <c r="O949" s="557" t="s">
        <v>92</v>
      </c>
      <c r="P949" s="558" t="s">
        <v>108</v>
      </c>
      <c r="Q949" s="558" t="s">
        <v>109</v>
      </c>
      <c r="R949" s="558" t="s">
        <v>684</v>
      </c>
      <c r="S949" s="479">
        <v>61</v>
      </c>
      <c r="T949" s="558" t="s">
        <v>41</v>
      </c>
      <c r="U949" s="558" t="s">
        <v>45</v>
      </c>
      <c r="V949" s="559" t="s">
        <v>10</v>
      </c>
      <c r="W949" s="54">
        <v>0.03</v>
      </c>
      <c r="X949" s="361" t="s">
        <v>53</v>
      </c>
      <c r="Y949" s="355"/>
      <c r="Z949" s="13" t="s">
        <v>55</v>
      </c>
      <c r="AA949" s="115" t="s">
        <v>28</v>
      </c>
      <c r="AB949" s="110"/>
      <c r="AC949" s="60"/>
    </row>
    <row r="950" spans="1:29" x14ac:dyDescent="0.25">
      <c r="A950" s="329">
        <v>45934</v>
      </c>
      <c r="B950" s="5">
        <v>8</v>
      </c>
      <c r="D950" s="5" t="s">
        <v>92</v>
      </c>
      <c r="E950" s="6">
        <v>1.31</v>
      </c>
      <c r="G950" s="362">
        <v>0</v>
      </c>
      <c r="H950" s="362">
        <v>2</v>
      </c>
      <c r="I950" s="8">
        <v>1.94</v>
      </c>
      <c r="L950" s="5" t="s">
        <v>129</v>
      </c>
      <c r="N950" s="476">
        <v>12</v>
      </c>
      <c r="O950" s="477" t="s">
        <v>92</v>
      </c>
      <c r="P950" s="478" t="s">
        <v>549</v>
      </c>
      <c r="Q950" s="478" t="s">
        <v>550</v>
      </c>
      <c r="R950" s="478" t="s">
        <v>685</v>
      </c>
      <c r="S950" s="479">
        <v>59</v>
      </c>
      <c r="T950" s="478" t="s">
        <v>44</v>
      </c>
      <c r="U950" s="478" t="s">
        <v>42</v>
      </c>
      <c r="V950" s="480" t="s">
        <v>10</v>
      </c>
      <c r="W950" s="51">
        <v>0.04</v>
      </c>
      <c r="X950" s="357" t="s">
        <v>53</v>
      </c>
      <c r="Z950" s="5" t="s">
        <v>16</v>
      </c>
      <c r="AA950" s="112" t="s">
        <v>28</v>
      </c>
    </row>
    <row r="951" spans="1:29" x14ac:dyDescent="0.25">
      <c r="A951" s="329">
        <v>45934</v>
      </c>
      <c r="B951" s="5">
        <v>8</v>
      </c>
      <c r="D951" s="5" t="s">
        <v>92</v>
      </c>
      <c r="E951" s="6">
        <v>1.31</v>
      </c>
      <c r="G951" s="362">
        <v>0</v>
      </c>
      <c r="H951" s="362">
        <v>2</v>
      </c>
      <c r="I951" s="8">
        <v>1.94</v>
      </c>
      <c r="L951" s="5" t="s">
        <v>129</v>
      </c>
      <c r="N951" s="345">
        <v>13</v>
      </c>
      <c r="O951" s="38" t="s">
        <v>129</v>
      </c>
      <c r="P951" s="5" t="s">
        <v>168</v>
      </c>
      <c r="Q951" s="5" t="s">
        <v>263</v>
      </c>
      <c r="R951" s="5" t="s">
        <v>712</v>
      </c>
      <c r="S951" s="479">
        <v>71</v>
      </c>
      <c r="T951" s="5" t="s">
        <v>354</v>
      </c>
      <c r="U951" s="5" t="s">
        <v>42</v>
      </c>
      <c r="V951" s="57" t="s">
        <v>10</v>
      </c>
      <c r="W951" s="51">
        <v>0.02</v>
      </c>
      <c r="X951" s="357">
        <v>0.22</v>
      </c>
      <c r="Z951" s="5" t="s">
        <v>48</v>
      </c>
      <c r="AA951" s="112" t="s">
        <v>28</v>
      </c>
    </row>
    <row r="952" spans="1:29" x14ac:dyDescent="0.25">
      <c r="A952" s="329">
        <v>45934</v>
      </c>
      <c r="B952" s="5">
        <v>8</v>
      </c>
      <c r="D952" s="5" t="s">
        <v>92</v>
      </c>
      <c r="E952" s="6">
        <v>1.31</v>
      </c>
      <c r="G952" s="362">
        <v>0</v>
      </c>
      <c r="H952" s="362">
        <v>2</v>
      </c>
      <c r="I952" s="8">
        <v>1.94</v>
      </c>
      <c r="L952" s="5" t="s">
        <v>129</v>
      </c>
      <c r="N952" s="345">
        <v>30</v>
      </c>
      <c r="O952" s="38" t="s">
        <v>129</v>
      </c>
      <c r="P952" s="5" t="s">
        <v>46</v>
      </c>
      <c r="Q952" s="5" t="s">
        <v>201</v>
      </c>
      <c r="R952" s="5" t="s">
        <v>686</v>
      </c>
      <c r="S952" s="479">
        <v>79</v>
      </c>
      <c r="T952" s="5" t="s">
        <v>41</v>
      </c>
      <c r="U952" s="5" t="s">
        <v>43</v>
      </c>
      <c r="V952" s="57" t="s">
        <v>10</v>
      </c>
      <c r="W952" s="51">
        <v>0.14000000000000001</v>
      </c>
      <c r="X952" s="357">
        <v>0.77</v>
      </c>
      <c r="Z952" s="5" t="s">
        <v>8</v>
      </c>
      <c r="AA952" s="112" t="s">
        <v>9</v>
      </c>
      <c r="AB952" s="108" t="s">
        <v>675</v>
      </c>
      <c r="AC952" s="57" t="s">
        <v>21</v>
      </c>
    </row>
    <row r="953" spans="1:29" x14ac:dyDescent="0.25">
      <c r="A953" s="329">
        <v>45934</v>
      </c>
      <c r="B953" s="5">
        <v>8</v>
      </c>
      <c r="D953" s="5" t="s">
        <v>92</v>
      </c>
      <c r="E953" s="6">
        <v>1.31</v>
      </c>
      <c r="G953" s="362">
        <v>0</v>
      </c>
      <c r="H953" s="362">
        <v>2</v>
      </c>
      <c r="I953" s="8">
        <v>1.94</v>
      </c>
      <c r="L953" s="5" t="s">
        <v>129</v>
      </c>
      <c r="N953" s="345">
        <v>43</v>
      </c>
      <c r="O953" s="38" t="s">
        <v>129</v>
      </c>
      <c r="P953" s="5" t="s">
        <v>59</v>
      </c>
      <c r="Q953" s="5" t="s">
        <v>191</v>
      </c>
      <c r="R953" s="5" t="s">
        <v>717</v>
      </c>
      <c r="S953" s="479">
        <v>66</v>
      </c>
      <c r="T953" s="5" t="s">
        <v>41</v>
      </c>
      <c r="U953" s="5" t="s">
        <v>43</v>
      </c>
      <c r="V953" s="57" t="s">
        <v>10</v>
      </c>
      <c r="W953" s="51">
        <v>0.18</v>
      </c>
      <c r="X953" s="357" t="s">
        <v>53</v>
      </c>
      <c r="Z953" s="5" t="s">
        <v>52</v>
      </c>
      <c r="AA953" s="112" t="s">
        <v>9</v>
      </c>
    </row>
    <row r="954" spans="1:29" x14ac:dyDescent="0.25">
      <c r="A954" s="329">
        <v>45934</v>
      </c>
      <c r="B954" s="5">
        <v>8</v>
      </c>
      <c r="D954" s="5" t="s">
        <v>92</v>
      </c>
      <c r="E954" s="6">
        <v>1.31</v>
      </c>
      <c r="G954" s="362">
        <v>0</v>
      </c>
      <c r="H954" s="362">
        <v>2</v>
      </c>
      <c r="I954" s="8">
        <v>1.94</v>
      </c>
      <c r="L954" s="5" t="s">
        <v>129</v>
      </c>
      <c r="N954" s="345">
        <v>57</v>
      </c>
      <c r="O954" s="38" t="s">
        <v>129</v>
      </c>
      <c r="P954" s="5" t="s">
        <v>104</v>
      </c>
      <c r="Q954" s="5" t="s">
        <v>105</v>
      </c>
      <c r="R954" s="5" t="s">
        <v>718</v>
      </c>
      <c r="S954" s="479">
        <v>75</v>
      </c>
      <c r="T954" s="5" t="s">
        <v>41</v>
      </c>
      <c r="U954" s="5" t="s">
        <v>43</v>
      </c>
      <c r="V954" s="57" t="s">
        <v>18</v>
      </c>
      <c r="W954" s="51">
        <v>0.19</v>
      </c>
      <c r="X954" s="357" t="s">
        <v>53</v>
      </c>
      <c r="Z954" s="5" t="s">
        <v>52</v>
      </c>
      <c r="AA954" s="112" t="s">
        <v>9</v>
      </c>
    </row>
    <row r="955" spans="1:29" x14ac:dyDescent="0.25">
      <c r="A955" s="329">
        <v>45934</v>
      </c>
      <c r="B955" s="5">
        <v>8</v>
      </c>
      <c r="D955" s="5" t="s">
        <v>92</v>
      </c>
      <c r="E955" s="6">
        <v>1.31</v>
      </c>
      <c r="G955" s="362">
        <v>0</v>
      </c>
      <c r="H955" s="362">
        <v>2</v>
      </c>
      <c r="I955" s="8">
        <v>1.94</v>
      </c>
      <c r="L955" s="5" t="s">
        <v>129</v>
      </c>
      <c r="N955" s="476">
        <v>61</v>
      </c>
      <c r="O955" s="477" t="s">
        <v>92</v>
      </c>
      <c r="P955" s="478" t="s">
        <v>287</v>
      </c>
      <c r="Q955" s="478" t="s">
        <v>294</v>
      </c>
      <c r="R955" s="478" t="s">
        <v>696</v>
      </c>
      <c r="S955" s="479">
        <v>61</v>
      </c>
      <c r="T955" s="478" t="s">
        <v>47</v>
      </c>
      <c r="U955" s="478" t="s">
        <v>45</v>
      </c>
      <c r="V955" s="480" t="s">
        <v>29</v>
      </c>
      <c r="W955" s="51">
        <v>0.18</v>
      </c>
      <c r="X955" s="357" t="s">
        <v>53</v>
      </c>
      <c r="Y955" s="351" t="s">
        <v>353</v>
      </c>
      <c r="Z955" s="5" t="s">
        <v>13</v>
      </c>
      <c r="AA955" s="112" t="s">
        <v>9</v>
      </c>
    </row>
    <row r="956" spans="1:29" x14ac:dyDescent="0.25">
      <c r="A956" s="329">
        <v>45934</v>
      </c>
      <c r="B956" s="5">
        <v>8</v>
      </c>
      <c r="D956" s="5" t="s">
        <v>92</v>
      </c>
      <c r="E956" s="6">
        <v>1.31</v>
      </c>
      <c r="G956" s="362">
        <v>0</v>
      </c>
      <c r="H956" s="362">
        <v>2</v>
      </c>
      <c r="I956" s="8">
        <v>1.94</v>
      </c>
      <c r="L956" s="5" t="s">
        <v>129</v>
      </c>
      <c r="N956" s="476">
        <v>65</v>
      </c>
      <c r="O956" s="477" t="s">
        <v>92</v>
      </c>
      <c r="P956" s="478" t="s">
        <v>316</v>
      </c>
      <c r="Q956" s="478" t="s">
        <v>511</v>
      </c>
      <c r="R956" s="478" t="s">
        <v>712</v>
      </c>
      <c r="S956" s="479">
        <v>72</v>
      </c>
      <c r="T956" s="478" t="s">
        <v>47</v>
      </c>
      <c r="U956" s="478" t="s">
        <v>45</v>
      </c>
      <c r="V956" s="480" t="s">
        <v>20</v>
      </c>
      <c r="W956" s="51">
        <v>0.1</v>
      </c>
      <c r="X956" s="357">
        <v>0.21</v>
      </c>
      <c r="Z956" s="5" t="s">
        <v>48</v>
      </c>
      <c r="AA956" s="112" t="s">
        <v>9</v>
      </c>
    </row>
    <row r="957" spans="1:29" x14ac:dyDescent="0.25">
      <c r="A957" s="329">
        <v>45934</v>
      </c>
      <c r="B957" s="5">
        <v>8</v>
      </c>
      <c r="D957" s="5" t="s">
        <v>92</v>
      </c>
      <c r="E957" s="6">
        <v>1.31</v>
      </c>
      <c r="G957" s="362">
        <v>0</v>
      </c>
      <c r="H957" s="362">
        <v>2</v>
      </c>
      <c r="I957" s="8">
        <v>1.94</v>
      </c>
      <c r="L957" s="5" t="s">
        <v>129</v>
      </c>
      <c r="N957" s="345">
        <v>69</v>
      </c>
      <c r="O957" s="38" t="s">
        <v>129</v>
      </c>
      <c r="P957" s="5" t="s">
        <v>241</v>
      </c>
      <c r="Q957" s="5" t="s">
        <v>131</v>
      </c>
      <c r="R957" s="5" t="s">
        <v>696</v>
      </c>
      <c r="S957" s="7">
        <v>63</v>
      </c>
      <c r="T957" s="5" t="s">
        <v>41</v>
      </c>
      <c r="U957" s="5" t="s">
        <v>42</v>
      </c>
      <c r="V957" s="57" t="s">
        <v>10</v>
      </c>
      <c r="W957" s="51">
        <v>0.13</v>
      </c>
      <c r="X957" s="357" t="s">
        <v>53</v>
      </c>
      <c r="Z957" s="5" t="s">
        <v>52</v>
      </c>
      <c r="AA957" s="112" t="s">
        <v>9</v>
      </c>
    </row>
    <row r="958" spans="1:29" x14ac:dyDescent="0.25">
      <c r="A958" s="329">
        <v>45934</v>
      </c>
      <c r="B958" s="5">
        <v>8</v>
      </c>
      <c r="D958" s="5" t="s">
        <v>92</v>
      </c>
      <c r="E958" s="6">
        <v>1.31</v>
      </c>
      <c r="G958" s="362">
        <v>0</v>
      </c>
      <c r="H958" s="362">
        <v>2</v>
      </c>
      <c r="I958" s="8">
        <v>1.94</v>
      </c>
      <c r="L958" s="5" t="s">
        <v>129</v>
      </c>
      <c r="N958" s="476">
        <v>70</v>
      </c>
      <c r="O958" s="477" t="s">
        <v>92</v>
      </c>
      <c r="P958" s="478" t="s">
        <v>110</v>
      </c>
      <c r="Q958" s="478" t="s">
        <v>111</v>
      </c>
      <c r="R958" s="478" t="s">
        <v>696</v>
      </c>
      <c r="S958" s="479">
        <v>64</v>
      </c>
      <c r="T958" s="478" t="s">
        <v>44</v>
      </c>
      <c r="U958" s="478" t="s">
        <v>42</v>
      </c>
      <c r="V958" s="480" t="s">
        <v>540</v>
      </c>
      <c r="W958" s="51">
        <v>0.06</v>
      </c>
      <c r="X958" s="357" t="s">
        <v>53</v>
      </c>
      <c r="Z958" s="5" t="s">
        <v>17</v>
      </c>
      <c r="AA958" s="112" t="s">
        <v>9</v>
      </c>
    </row>
    <row r="959" spans="1:29" x14ac:dyDescent="0.25">
      <c r="A959" s="329">
        <v>45934</v>
      </c>
      <c r="B959" s="5">
        <v>8</v>
      </c>
      <c r="D959" s="5" t="s">
        <v>92</v>
      </c>
      <c r="E959" s="6">
        <v>1.31</v>
      </c>
      <c r="G959" s="362">
        <v>0</v>
      </c>
      <c r="H959" s="362">
        <v>2</v>
      </c>
      <c r="I959" s="8">
        <v>1.94</v>
      </c>
      <c r="L959" s="5" t="s">
        <v>129</v>
      </c>
      <c r="N959" s="345">
        <v>72</v>
      </c>
      <c r="O959" s="38" t="s">
        <v>129</v>
      </c>
      <c r="P959" s="5" t="s">
        <v>551</v>
      </c>
      <c r="Q959" s="5" t="s">
        <v>552</v>
      </c>
      <c r="R959" s="5" t="s">
        <v>696</v>
      </c>
      <c r="S959" s="479">
        <v>66</v>
      </c>
      <c r="T959" s="5" t="s">
        <v>354</v>
      </c>
      <c r="U959" s="5" t="s">
        <v>43</v>
      </c>
      <c r="V959" s="57" t="s">
        <v>20</v>
      </c>
      <c r="W959" s="51">
        <v>0.01</v>
      </c>
      <c r="X959" s="357">
        <v>0.2</v>
      </c>
      <c r="Z959" s="5" t="s">
        <v>48</v>
      </c>
      <c r="AA959" s="112" t="s">
        <v>9</v>
      </c>
    </row>
    <row r="960" spans="1:29" x14ac:dyDescent="0.25">
      <c r="A960" s="329">
        <v>45934</v>
      </c>
      <c r="B960" s="5">
        <v>8</v>
      </c>
      <c r="D960" s="5" t="s">
        <v>92</v>
      </c>
      <c r="E960" s="6">
        <v>1.31</v>
      </c>
      <c r="G960" s="362">
        <v>0</v>
      </c>
      <c r="H960" s="362">
        <v>2</v>
      </c>
      <c r="I960" s="8">
        <v>1.94</v>
      </c>
      <c r="L960" s="5" t="s">
        <v>129</v>
      </c>
      <c r="N960" s="345">
        <v>72</v>
      </c>
      <c r="O960" s="38" t="s">
        <v>129</v>
      </c>
      <c r="P960" s="5" t="s">
        <v>104</v>
      </c>
      <c r="Q960" s="5" t="s">
        <v>105</v>
      </c>
      <c r="R960" s="5" t="s">
        <v>718</v>
      </c>
      <c r="S960" s="479">
        <v>75</v>
      </c>
      <c r="T960" s="5" t="s">
        <v>47</v>
      </c>
      <c r="U960" s="5" t="s">
        <v>42</v>
      </c>
      <c r="V960" s="57" t="s">
        <v>20</v>
      </c>
      <c r="W960" s="51">
        <v>0.98</v>
      </c>
      <c r="X960" s="357">
        <v>0.99</v>
      </c>
      <c r="Y960" s="351" t="s">
        <v>353</v>
      </c>
      <c r="Z960" s="5" t="s">
        <v>8</v>
      </c>
      <c r="AA960" s="112" t="s">
        <v>11</v>
      </c>
    </row>
    <row r="961" spans="1:29" x14ac:dyDescent="0.25">
      <c r="A961" s="329">
        <v>45934</v>
      </c>
      <c r="B961" s="5">
        <v>8</v>
      </c>
      <c r="D961" s="5" t="s">
        <v>92</v>
      </c>
      <c r="E961" s="6">
        <v>1.31</v>
      </c>
      <c r="G961" s="362">
        <v>0</v>
      </c>
      <c r="H961" s="362">
        <v>2</v>
      </c>
      <c r="I961" s="8">
        <v>1.94</v>
      </c>
      <c r="L961" s="5" t="s">
        <v>129</v>
      </c>
      <c r="N961" s="476" t="s">
        <v>31</v>
      </c>
      <c r="O961" s="477" t="s">
        <v>92</v>
      </c>
      <c r="P961" s="478" t="s">
        <v>316</v>
      </c>
      <c r="Q961" s="478" t="s">
        <v>511</v>
      </c>
      <c r="R961" s="478" t="s">
        <v>712</v>
      </c>
      <c r="S961" s="479">
        <v>72</v>
      </c>
      <c r="T961" s="478" t="s">
        <v>47</v>
      </c>
      <c r="U961" s="478" t="s">
        <v>45</v>
      </c>
      <c r="V961" s="480" t="s">
        <v>20</v>
      </c>
      <c r="W961" s="51">
        <v>0.1</v>
      </c>
      <c r="X961" s="357" t="s">
        <v>53</v>
      </c>
      <c r="Z961" s="5" t="s">
        <v>52</v>
      </c>
      <c r="AA961" s="112" t="s">
        <v>11</v>
      </c>
    </row>
    <row r="962" spans="1:29" x14ac:dyDescent="0.25">
      <c r="A962" s="329">
        <v>45934</v>
      </c>
      <c r="B962" s="5">
        <v>8</v>
      </c>
      <c r="D962" s="5" t="s">
        <v>92</v>
      </c>
      <c r="E962" s="6">
        <v>1.31</v>
      </c>
      <c r="G962" s="362">
        <v>0</v>
      </c>
      <c r="H962" s="362">
        <v>2</v>
      </c>
      <c r="I962" s="8">
        <v>1.94</v>
      </c>
      <c r="L962" s="5" t="s">
        <v>129</v>
      </c>
      <c r="N962" s="476" t="s">
        <v>31</v>
      </c>
      <c r="O962" s="477" t="s">
        <v>92</v>
      </c>
      <c r="P962" s="478" t="s">
        <v>110</v>
      </c>
      <c r="Q962" s="478" t="s">
        <v>111</v>
      </c>
      <c r="R962" s="478" t="s">
        <v>696</v>
      </c>
      <c r="S962" s="479">
        <v>64</v>
      </c>
      <c r="T962" s="478" t="s">
        <v>47</v>
      </c>
      <c r="U962" s="478" t="s">
        <v>42</v>
      </c>
      <c r="V962" s="480" t="s">
        <v>20</v>
      </c>
      <c r="W962" s="51">
        <v>0.41</v>
      </c>
      <c r="X962" s="357">
        <v>0.26</v>
      </c>
      <c r="Y962" s="351" t="s">
        <v>353</v>
      </c>
      <c r="Z962" s="5" t="s">
        <v>48</v>
      </c>
      <c r="AA962" s="112" t="s">
        <v>11</v>
      </c>
    </row>
    <row r="963" spans="1:29" ht="15.75" thickBot="1" x14ac:dyDescent="0.3">
      <c r="A963" s="330">
        <v>45934</v>
      </c>
      <c r="B963" s="9">
        <v>8</v>
      </c>
      <c r="C963" s="122"/>
      <c r="D963" s="9" t="s">
        <v>92</v>
      </c>
      <c r="E963" s="10">
        <v>1.31</v>
      </c>
      <c r="F963" s="10"/>
      <c r="G963" s="383">
        <v>0</v>
      </c>
      <c r="H963" s="383">
        <v>2</v>
      </c>
      <c r="I963" s="12">
        <v>1.94</v>
      </c>
      <c r="J963" s="12"/>
      <c r="K963" s="122"/>
      <c r="L963" s="9" t="s">
        <v>129</v>
      </c>
      <c r="M963" s="45"/>
      <c r="N963" s="511" t="s">
        <v>31</v>
      </c>
      <c r="O963" s="512" t="s">
        <v>92</v>
      </c>
      <c r="P963" s="513" t="s">
        <v>176</v>
      </c>
      <c r="Q963" s="513" t="s">
        <v>368</v>
      </c>
      <c r="R963" s="513" t="s">
        <v>696</v>
      </c>
      <c r="S963" s="479">
        <v>60</v>
      </c>
      <c r="T963" s="513" t="s">
        <v>41</v>
      </c>
      <c r="U963" s="513" t="s">
        <v>42</v>
      </c>
      <c r="V963" s="514" t="s">
        <v>20</v>
      </c>
      <c r="W963" s="52">
        <v>0.11</v>
      </c>
      <c r="X963" s="358" t="s">
        <v>53</v>
      </c>
      <c r="Y963" s="352" t="s">
        <v>353</v>
      </c>
      <c r="Z963" s="9" t="s">
        <v>52</v>
      </c>
      <c r="AA963" s="113" t="s">
        <v>11</v>
      </c>
      <c r="AB963" s="109"/>
      <c r="AC963" s="58"/>
    </row>
    <row r="964" spans="1:29" ht="15.75" thickBot="1" x14ac:dyDescent="0.3">
      <c r="A964" s="326">
        <v>45934</v>
      </c>
      <c r="B964" s="207">
        <v>8</v>
      </c>
      <c r="C964" s="208"/>
      <c r="D964" s="207" t="s">
        <v>92</v>
      </c>
      <c r="E964" s="209">
        <v>1.31</v>
      </c>
      <c r="F964" s="209"/>
      <c r="G964" s="460">
        <v>0</v>
      </c>
      <c r="H964" s="460">
        <v>2</v>
      </c>
      <c r="I964" s="211">
        <v>1.94</v>
      </c>
      <c r="J964" s="211"/>
      <c r="K964" s="208"/>
      <c r="L964" s="207" t="s">
        <v>129</v>
      </c>
      <c r="M964" s="235"/>
      <c r="N964" s="347"/>
      <c r="O964" s="343" t="s">
        <v>92</v>
      </c>
      <c r="P964" s="199" t="s">
        <v>432</v>
      </c>
      <c r="Q964" s="199" t="s">
        <v>472</v>
      </c>
      <c r="R964" s="199" t="s">
        <v>707</v>
      </c>
      <c r="S964" s="481">
        <v>62</v>
      </c>
      <c r="T964" s="199"/>
      <c r="U964" s="199"/>
      <c r="V964" s="201"/>
      <c r="W964" s="202"/>
      <c r="X964" s="359"/>
      <c r="Y964" s="353">
        <f>H964</f>
        <v>2</v>
      </c>
      <c r="Z964" s="199"/>
      <c r="AA964" s="204"/>
      <c r="AB964" s="205"/>
      <c r="AC964" s="201"/>
    </row>
    <row r="965" spans="1:29" ht="15.75" thickBot="1" x14ac:dyDescent="0.3">
      <c r="A965" s="326">
        <v>45934</v>
      </c>
      <c r="B965" s="207">
        <v>8</v>
      </c>
      <c r="C965" s="208"/>
      <c r="D965" s="207" t="s">
        <v>92</v>
      </c>
      <c r="E965" s="209">
        <v>1.31</v>
      </c>
      <c r="F965" s="209"/>
      <c r="G965" s="460">
        <v>0</v>
      </c>
      <c r="H965" s="460">
        <v>2</v>
      </c>
      <c r="I965" s="211">
        <v>1.94</v>
      </c>
      <c r="J965" s="211"/>
      <c r="K965" s="208"/>
      <c r="L965" s="207" t="s">
        <v>129</v>
      </c>
      <c r="M965" s="235"/>
      <c r="N965" s="347"/>
      <c r="O965" s="343" t="s">
        <v>129</v>
      </c>
      <c r="P965" s="199" t="s">
        <v>731</v>
      </c>
      <c r="Q965" s="199" t="s">
        <v>732</v>
      </c>
      <c r="R965" s="199" t="s">
        <v>707</v>
      </c>
      <c r="S965" s="481">
        <v>71</v>
      </c>
      <c r="T965" s="199"/>
      <c r="U965" s="199"/>
      <c r="V965" s="201"/>
      <c r="W965" s="202"/>
      <c r="X965" s="359"/>
      <c r="Y965" s="353">
        <f>G964</f>
        <v>0</v>
      </c>
      <c r="Z965" s="199"/>
      <c r="AA965" s="204"/>
      <c r="AB965" s="205"/>
      <c r="AC965" s="201"/>
    </row>
    <row r="966" spans="1:29" x14ac:dyDescent="0.25">
      <c r="A966" s="331">
        <v>45934</v>
      </c>
      <c r="B966" s="13">
        <v>8</v>
      </c>
      <c r="C966" s="124" t="s">
        <v>700</v>
      </c>
      <c r="D966" s="13" t="s">
        <v>69</v>
      </c>
      <c r="E966" s="14">
        <v>1.02</v>
      </c>
      <c r="F966" s="14"/>
      <c r="G966" s="375">
        <v>2</v>
      </c>
      <c r="H966" s="375">
        <v>1</v>
      </c>
      <c r="I966" s="16">
        <v>1.1399999999999999</v>
      </c>
      <c r="J966" s="16"/>
      <c r="K966" s="124" t="s">
        <v>694</v>
      </c>
      <c r="L966" s="13" t="s">
        <v>145</v>
      </c>
      <c r="M966" s="237" t="s">
        <v>557</v>
      </c>
      <c r="N966" s="556">
        <v>3</v>
      </c>
      <c r="O966" s="557" t="s">
        <v>69</v>
      </c>
      <c r="P966" s="558" t="s">
        <v>53</v>
      </c>
      <c r="Q966" s="558" t="s">
        <v>324</v>
      </c>
      <c r="R966" s="558" t="s">
        <v>685</v>
      </c>
      <c r="S966" s="479">
        <v>61</v>
      </c>
      <c r="T966" s="558" t="s">
        <v>41</v>
      </c>
      <c r="U966" s="558" t="s">
        <v>42</v>
      </c>
      <c r="V966" s="559" t="s">
        <v>10</v>
      </c>
      <c r="W966" s="54">
        <v>0.25</v>
      </c>
      <c r="X966" s="361">
        <v>0.54</v>
      </c>
      <c r="Y966" s="355" t="s">
        <v>353</v>
      </c>
      <c r="Z966" s="13" t="s">
        <v>48</v>
      </c>
      <c r="AA966" s="115" t="s">
        <v>28</v>
      </c>
      <c r="AB966" s="110"/>
      <c r="AC966" s="60"/>
    </row>
    <row r="967" spans="1:29" x14ac:dyDescent="0.25">
      <c r="A967" s="329">
        <v>45934</v>
      </c>
      <c r="B967" s="5">
        <v>8</v>
      </c>
      <c r="D967" s="5" t="s">
        <v>69</v>
      </c>
      <c r="E967" s="6">
        <v>1.02</v>
      </c>
      <c r="G967" s="362">
        <v>2</v>
      </c>
      <c r="H967" s="362">
        <v>1</v>
      </c>
      <c r="I967" s="8">
        <v>1.1399999999999999</v>
      </c>
      <c r="L967" s="5" t="s">
        <v>145</v>
      </c>
      <c r="M967" s="237" t="s">
        <v>557</v>
      </c>
      <c r="N967" s="476">
        <v>18</v>
      </c>
      <c r="O967" s="477" t="s">
        <v>69</v>
      </c>
      <c r="P967" s="478" t="s">
        <v>389</v>
      </c>
      <c r="Q967" s="478" t="s">
        <v>390</v>
      </c>
      <c r="R967" s="478" t="s">
        <v>684</v>
      </c>
      <c r="S967" s="479">
        <v>75</v>
      </c>
      <c r="T967" s="478" t="s">
        <v>44</v>
      </c>
      <c r="U967" s="478" t="s">
        <v>42</v>
      </c>
      <c r="V967" s="480" t="s">
        <v>540</v>
      </c>
      <c r="W967" s="51">
        <v>0.09</v>
      </c>
      <c r="X967" s="357">
        <v>0.72</v>
      </c>
      <c r="Z967" s="5" t="s">
        <v>8</v>
      </c>
      <c r="AA967" s="112" t="s">
        <v>19</v>
      </c>
    </row>
    <row r="968" spans="1:29" x14ac:dyDescent="0.25">
      <c r="A968" s="329">
        <v>45934</v>
      </c>
      <c r="B968" s="5">
        <v>8</v>
      </c>
      <c r="D968" s="5" t="s">
        <v>69</v>
      </c>
      <c r="E968" s="6">
        <v>1.02</v>
      </c>
      <c r="G968" s="362">
        <v>2</v>
      </c>
      <c r="H968" s="362">
        <v>1</v>
      </c>
      <c r="I968" s="8">
        <v>1.1399999999999999</v>
      </c>
      <c r="L968" s="5" t="s">
        <v>145</v>
      </c>
      <c r="M968" s="237" t="s">
        <v>557</v>
      </c>
      <c r="N968" s="345">
        <v>32</v>
      </c>
      <c r="O968" s="38" t="s">
        <v>145</v>
      </c>
      <c r="P968" s="5" t="s">
        <v>306</v>
      </c>
      <c r="Q968" s="5" t="s">
        <v>307</v>
      </c>
      <c r="R968" s="5" t="s">
        <v>688</v>
      </c>
      <c r="S968" s="479">
        <v>64</v>
      </c>
      <c r="T968" s="5" t="s">
        <v>44</v>
      </c>
      <c r="U968" s="5" t="s">
        <v>43</v>
      </c>
      <c r="V968" s="57" t="s">
        <v>29</v>
      </c>
      <c r="W968" s="51">
        <v>0.08</v>
      </c>
      <c r="X968" s="357">
        <v>0.12</v>
      </c>
      <c r="Z968" s="5" t="s">
        <v>48</v>
      </c>
      <c r="AA968" s="112" t="s">
        <v>19</v>
      </c>
    </row>
    <row r="969" spans="1:29" x14ac:dyDescent="0.25">
      <c r="A969" s="329">
        <v>45934</v>
      </c>
      <c r="B969" s="5">
        <v>8</v>
      </c>
      <c r="D969" s="5" t="s">
        <v>69</v>
      </c>
      <c r="E969" s="6">
        <v>1.02</v>
      </c>
      <c r="G969" s="362">
        <v>2</v>
      </c>
      <c r="H969" s="362">
        <v>1</v>
      </c>
      <c r="I969" s="8">
        <v>1.1399999999999999</v>
      </c>
      <c r="L969" s="5" t="s">
        <v>145</v>
      </c>
      <c r="M969" s="237" t="s">
        <v>557</v>
      </c>
      <c r="N969" s="345">
        <v>42</v>
      </c>
      <c r="O969" s="38" t="s">
        <v>145</v>
      </c>
      <c r="P969" s="5" t="s">
        <v>271</v>
      </c>
      <c r="Q969" s="5" t="s">
        <v>272</v>
      </c>
      <c r="R969" s="5" t="s">
        <v>718</v>
      </c>
      <c r="S969" s="479">
        <v>69</v>
      </c>
      <c r="T969" s="5" t="s">
        <v>41</v>
      </c>
      <c r="U969" s="5" t="s">
        <v>43</v>
      </c>
      <c r="V969" s="57" t="s">
        <v>18</v>
      </c>
      <c r="W969" s="51">
        <v>0.04</v>
      </c>
      <c r="X969" s="357" t="s">
        <v>53</v>
      </c>
      <c r="Z969" s="5" t="s">
        <v>16</v>
      </c>
      <c r="AA969" s="112" t="s">
        <v>19</v>
      </c>
    </row>
    <row r="970" spans="1:29" x14ac:dyDescent="0.25">
      <c r="A970" s="329">
        <v>45934</v>
      </c>
      <c r="B970" s="5">
        <v>8</v>
      </c>
      <c r="D970" s="5" t="s">
        <v>69</v>
      </c>
      <c r="E970" s="6">
        <v>1.02</v>
      </c>
      <c r="G970" s="362">
        <v>2</v>
      </c>
      <c r="H970" s="362">
        <v>1</v>
      </c>
      <c r="I970" s="8">
        <v>1.1399999999999999</v>
      </c>
      <c r="L970" s="5" t="s">
        <v>145</v>
      </c>
      <c r="M970" s="237" t="s">
        <v>557</v>
      </c>
      <c r="N970" s="345" t="s">
        <v>122</v>
      </c>
      <c r="O970" s="38" t="s">
        <v>145</v>
      </c>
      <c r="P970" s="5" t="s">
        <v>53</v>
      </c>
      <c r="Q970" s="5" t="s">
        <v>554</v>
      </c>
      <c r="R970" s="5" t="s">
        <v>695</v>
      </c>
      <c r="S970" s="479">
        <v>69</v>
      </c>
      <c r="T970" s="5" t="s">
        <v>44</v>
      </c>
      <c r="U970" s="5" t="s">
        <v>42</v>
      </c>
      <c r="V970" s="57" t="s">
        <v>15</v>
      </c>
      <c r="W970" s="51">
        <v>0.1</v>
      </c>
      <c r="X970" s="357" t="s">
        <v>53</v>
      </c>
      <c r="Z970" s="5" t="s">
        <v>13</v>
      </c>
      <c r="AA970" s="112" t="s">
        <v>19</v>
      </c>
    </row>
    <row r="971" spans="1:29" x14ac:dyDescent="0.25">
      <c r="A971" s="329">
        <v>45934</v>
      </c>
      <c r="B971" s="5">
        <v>8</v>
      </c>
      <c r="D971" s="5" t="s">
        <v>69</v>
      </c>
      <c r="E971" s="6">
        <v>1.02</v>
      </c>
      <c r="G971" s="362">
        <v>2</v>
      </c>
      <c r="H971" s="362">
        <v>1</v>
      </c>
      <c r="I971" s="8">
        <v>1.1399999999999999</v>
      </c>
      <c r="L971" s="5" t="s">
        <v>145</v>
      </c>
      <c r="M971" s="237" t="s">
        <v>557</v>
      </c>
      <c r="N971" s="345">
        <v>55</v>
      </c>
      <c r="O971" s="38" t="s">
        <v>145</v>
      </c>
      <c r="P971" s="5" t="s">
        <v>149</v>
      </c>
      <c r="Q971" s="5" t="s">
        <v>150</v>
      </c>
      <c r="R971" s="5" t="s">
        <v>685</v>
      </c>
      <c r="S971" s="479">
        <v>70</v>
      </c>
      <c r="T971" s="5" t="s">
        <v>44</v>
      </c>
      <c r="U971" s="5" t="s">
        <v>43</v>
      </c>
      <c r="V971" s="57" t="s">
        <v>10</v>
      </c>
      <c r="W971" s="51">
        <v>0.03</v>
      </c>
      <c r="X971" s="357" t="s">
        <v>53</v>
      </c>
      <c r="Z971" s="5" t="s">
        <v>17</v>
      </c>
      <c r="AA971" s="112" t="s">
        <v>19</v>
      </c>
    </row>
    <row r="972" spans="1:29" x14ac:dyDescent="0.25">
      <c r="A972" s="329">
        <v>45934</v>
      </c>
      <c r="B972" s="5">
        <v>8</v>
      </c>
      <c r="D972" s="5" t="s">
        <v>69</v>
      </c>
      <c r="E972" s="6">
        <v>1.02</v>
      </c>
      <c r="G972" s="362">
        <v>2</v>
      </c>
      <c r="H972" s="362">
        <v>1</v>
      </c>
      <c r="I972" s="8">
        <v>1.1399999999999999</v>
      </c>
      <c r="L972" s="5" t="s">
        <v>145</v>
      </c>
      <c r="M972" s="237" t="s">
        <v>557</v>
      </c>
      <c r="N972" s="345">
        <v>57</v>
      </c>
      <c r="O972" s="38" t="s">
        <v>145</v>
      </c>
      <c r="P972" s="5" t="s">
        <v>149</v>
      </c>
      <c r="Q972" s="5" t="s">
        <v>150</v>
      </c>
      <c r="R972" s="5" t="s">
        <v>685</v>
      </c>
      <c r="S972" s="479">
        <v>70</v>
      </c>
      <c r="T972" s="5" t="s">
        <v>47</v>
      </c>
      <c r="U972" s="5" t="s">
        <v>42</v>
      </c>
      <c r="V972" s="57" t="s">
        <v>10</v>
      </c>
      <c r="W972" s="51">
        <v>0.24</v>
      </c>
      <c r="X972" s="357">
        <v>0.21</v>
      </c>
      <c r="Y972" s="351" t="s">
        <v>353</v>
      </c>
      <c r="Z972" s="5" t="s">
        <v>8</v>
      </c>
      <c r="AA972" s="112" t="s">
        <v>51</v>
      </c>
      <c r="AB972" s="108" t="s">
        <v>271</v>
      </c>
      <c r="AC972" s="57" t="s">
        <v>272</v>
      </c>
    </row>
    <row r="973" spans="1:29" x14ac:dyDescent="0.25">
      <c r="A973" s="329">
        <v>45934</v>
      </c>
      <c r="B973" s="5">
        <v>8</v>
      </c>
      <c r="D973" s="5" t="s">
        <v>69</v>
      </c>
      <c r="E973" s="6">
        <v>1.02</v>
      </c>
      <c r="G973" s="362">
        <v>2</v>
      </c>
      <c r="H973" s="362">
        <v>1</v>
      </c>
      <c r="I973" s="8">
        <v>1.1399999999999999</v>
      </c>
      <c r="L973" s="5" t="s">
        <v>145</v>
      </c>
      <c r="M973" s="237" t="s">
        <v>557</v>
      </c>
      <c r="N973" s="345">
        <v>60</v>
      </c>
      <c r="O973" s="38" t="s">
        <v>145</v>
      </c>
      <c r="P973" s="5" t="s">
        <v>555</v>
      </c>
      <c r="Q973" s="5" t="s">
        <v>556</v>
      </c>
      <c r="R973" s="5" t="s">
        <v>713</v>
      </c>
      <c r="S973" s="479">
        <v>64</v>
      </c>
      <c r="T973" s="5" t="s">
        <v>41</v>
      </c>
      <c r="U973" s="5" t="s">
        <v>43</v>
      </c>
      <c r="V973" s="57" t="s">
        <v>20</v>
      </c>
      <c r="W973" s="51">
        <v>0.03</v>
      </c>
      <c r="X973" s="357">
        <v>0.21</v>
      </c>
      <c r="Z973" s="5" t="s">
        <v>48</v>
      </c>
      <c r="AA973" s="112" t="s">
        <v>51</v>
      </c>
    </row>
    <row r="974" spans="1:29" x14ac:dyDescent="0.25">
      <c r="A974" s="329">
        <v>45934</v>
      </c>
      <c r="B974" s="5">
        <v>8</v>
      </c>
      <c r="D974" s="5" t="s">
        <v>69</v>
      </c>
      <c r="E974" s="6">
        <v>1.02</v>
      </c>
      <c r="G974" s="362">
        <v>2</v>
      </c>
      <c r="H974" s="362">
        <v>1</v>
      </c>
      <c r="I974" s="8">
        <v>1.1399999999999999</v>
      </c>
      <c r="L974" s="5" t="s">
        <v>145</v>
      </c>
      <c r="M974" s="237" t="s">
        <v>557</v>
      </c>
      <c r="N974" s="345">
        <v>61</v>
      </c>
      <c r="O974" s="38" t="s">
        <v>145</v>
      </c>
      <c r="P974" s="5" t="s">
        <v>151</v>
      </c>
      <c r="Q974" s="5" t="s">
        <v>152</v>
      </c>
      <c r="R974" s="5" t="s">
        <v>696</v>
      </c>
      <c r="S974" s="479">
        <v>64</v>
      </c>
      <c r="T974" s="5" t="s">
        <v>41</v>
      </c>
      <c r="U974" s="5" t="s">
        <v>42</v>
      </c>
      <c r="V974" s="57" t="s">
        <v>20</v>
      </c>
      <c r="W974" s="51">
        <v>0.09</v>
      </c>
      <c r="X974" s="357" t="s">
        <v>53</v>
      </c>
      <c r="Y974" s="351" t="s">
        <v>353</v>
      </c>
      <c r="Z974" s="5" t="s">
        <v>13</v>
      </c>
      <c r="AA974" s="112" t="s">
        <v>51</v>
      </c>
    </row>
    <row r="975" spans="1:29" x14ac:dyDescent="0.25">
      <c r="A975" s="329">
        <v>45934</v>
      </c>
      <c r="B975" s="5">
        <v>8</v>
      </c>
      <c r="D975" s="5" t="s">
        <v>69</v>
      </c>
      <c r="E975" s="6">
        <v>1.02</v>
      </c>
      <c r="G975" s="362">
        <v>2</v>
      </c>
      <c r="H975" s="362">
        <v>1</v>
      </c>
      <c r="I975" s="8">
        <v>1.1399999999999999</v>
      </c>
      <c r="L975" s="5" t="s">
        <v>145</v>
      </c>
      <c r="M975" s="237" t="s">
        <v>557</v>
      </c>
      <c r="N975" s="476">
        <v>63</v>
      </c>
      <c r="O975" s="477" t="s">
        <v>69</v>
      </c>
      <c r="P975" s="478" t="s">
        <v>389</v>
      </c>
      <c r="Q975" s="478" t="s">
        <v>390</v>
      </c>
      <c r="R975" s="478" t="s">
        <v>684</v>
      </c>
      <c r="S975" s="479">
        <v>75</v>
      </c>
      <c r="T975" s="478" t="s">
        <v>47</v>
      </c>
      <c r="U975" s="478" t="s">
        <v>43</v>
      </c>
      <c r="V975" s="480" t="s">
        <v>33</v>
      </c>
      <c r="W975" s="51">
        <v>0.51</v>
      </c>
      <c r="X975" s="357">
        <v>0.25</v>
      </c>
      <c r="Y975" s="351" t="s">
        <v>353</v>
      </c>
      <c r="Z975" s="5" t="s">
        <v>48</v>
      </c>
      <c r="AA975" s="112" t="s">
        <v>51</v>
      </c>
    </row>
    <row r="976" spans="1:29" x14ac:dyDescent="0.25">
      <c r="A976" s="329">
        <v>45934</v>
      </c>
      <c r="B976" s="5">
        <v>8</v>
      </c>
      <c r="D976" s="5" t="s">
        <v>69</v>
      </c>
      <c r="E976" s="6">
        <v>1.02</v>
      </c>
      <c r="G976" s="362">
        <v>2</v>
      </c>
      <c r="H976" s="362">
        <v>1</v>
      </c>
      <c r="I976" s="8">
        <v>1.1399999999999999</v>
      </c>
      <c r="L976" s="5" t="s">
        <v>145</v>
      </c>
      <c r="M976" s="237" t="s">
        <v>557</v>
      </c>
      <c r="N976" s="476">
        <v>63</v>
      </c>
      <c r="O976" s="477" t="s">
        <v>69</v>
      </c>
      <c r="P976" s="478" t="s">
        <v>553</v>
      </c>
      <c r="Q976" s="478" t="s">
        <v>131</v>
      </c>
      <c r="R976" s="478" t="s">
        <v>689</v>
      </c>
      <c r="S976" s="479">
        <v>76</v>
      </c>
      <c r="T976" s="478" t="s">
        <v>47</v>
      </c>
      <c r="U976" s="478" t="s">
        <v>42</v>
      </c>
      <c r="V976" s="480" t="s">
        <v>33</v>
      </c>
      <c r="W976" s="51">
        <v>0.31</v>
      </c>
      <c r="X976" s="357">
        <v>0.86</v>
      </c>
      <c r="Y976" s="351" t="s">
        <v>353</v>
      </c>
      <c r="Z976" s="5" t="s">
        <v>8</v>
      </c>
      <c r="AA976" s="112" t="s">
        <v>34</v>
      </c>
    </row>
    <row r="977" spans="1:29" x14ac:dyDescent="0.25">
      <c r="A977" s="329">
        <v>45934</v>
      </c>
      <c r="B977" s="5">
        <v>8</v>
      </c>
      <c r="D977" s="5" t="s">
        <v>69</v>
      </c>
      <c r="E977" s="6">
        <v>1.02</v>
      </c>
      <c r="G977" s="362">
        <v>2</v>
      </c>
      <c r="H977" s="362">
        <v>1</v>
      </c>
      <c r="I977" s="8">
        <v>1.1399999999999999</v>
      </c>
      <c r="L977" s="5" t="s">
        <v>145</v>
      </c>
      <c r="M977" s="237" t="s">
        <v>557</v>
      </c>
      <c r="N977" s="345">
        <v>79</v>
      </c>
      <c r="O977" s="38" t="s">
        <v>145</v>
      </c>
      <c r="P977" s="5" t="s">
        <v>453</v>
      </c>
      <c r="Q977" s="5" t="s">
        <v>454</v>
      </c>
      <c r="R977" s="5" t="s">
        <v>696</v>
      </c>
      <c r="S977" s="479">
        <v>67</v>
      </c>
      <c r="T977" s="5" t="s">
        <v>41</v>
      </c>
      <c r="U977" s="5" t="s">
        <v>42</v>
      </c>
      <c r="V977" s="57" t="s">
        <v>10</v>
      </c>
      <c r="W977" s="51">
        <v>0.08</v>
      </c>
      <c r="X977" s="357">
        <v>0.22</v>
      </c>
      <c r="Z977" s="5" t="s">
        <v>48</v>
      </c>
      <c r="AA977" s="112" t="s">
        <v>34</v>
      </c>
    </row>
    <row r="978" spans="1:29" x14ac:dyDescent="0.25">
      <c r="A978" s="329">
        <v>45934</v>
      </c>
      <c r="B978" s="5">
        <v>8</v>
      </c>
      <c r="D978" s="5" t="s">
        <v>69</v>
      </c>
      <c r="E978" s="6">
        <v>1.02</v>
      </c>
      <c r="G978" s="362">
        <v>2</v>
      </c>
      <c r="H978" s="362">
        <v>1</v>
      </c>
      <c r="I978" s="8">
        <v>1.1399999999999999</v>
      </c>
      <c r="L978" s="5" t="s">
        <v>145</v>
      </c>
      <c r="M978" s="237" t="s">
        <v>557</v>
      </c>
      <c r="N978" s="345">
        <v>79</v>
      </c>
      <c r="O978" s="38" t="s">
        <v>145</v>
      </c>
      <c r="P978" s="5" t="s">
        <v>151</v>
      </c>
      <c r="Q978" s="5" t="s">
        <v>152</v>
      </c>
      <c r="R978" s="5" t="s">
        <v>696</v>
      </c>
      <c r="S978" s="479">
        <v>64</v>
      </c>
      <c r="T978" s="5" t="s">
        <v>47</v>
      </c>
      <c r="U978" s="5" t="s">
        <v>43</v>
      </c>
      <c r="V978" s="57" t="s">
        <v>20</v>
      </c>
      <c r="W978" s="51">
        <v>0.18</v>
      </c>
      <c r="X978" s="357" t="s">
        <v>53</v>
      </c>
      <c r="Y978" s="351" t="s">
        <v>353</v>
      </c>
      <c r="Z978" s="5" t="s">
        <v>52</v>
      </c>
      <c r="AA978" s="112" t="s">
        <v>34</v>
      </c>
    </row>
    <row r="979" spans="1:29" ht="15.75" thickBot="1" x14ac:dyDescent="0.3">
      <c r="A979" s="330">
        <v>45934</v>
      </c>
      <c r="B979" s="9">
        <v>8</v>
      </c>
      <c r="C979" s="122"/>
      <c r="D979" s="9" t="s">
        <v>69</v>
      </c>
      <c r="E979" s="10">
        <v>1.02</v>
      </c>
      <c r="F979" s="10"/>
      <c r="G979" s="383">
        <v>2</v>
      </c>
      <c r="H979" s="383">
        <v>1</v>
      </c>
      <c r="I979" s="12">
        <v>1.1399999999999999</v>
      </c>
      <c r="J979" s="12"/>
      <c r="K979" s="122"/>
      <c r="L979" s="9" t="s">
        <v>145</v>
      </c>
      <c r="M979" s="598" t="s">
        <v>557</v>
      </c>
      <c r="N979" s="346">
        <v>85</v>
      </c>
      <c r="O979" s="454" t="s">
        <v>145</v>
      </c>
      <c r="P979" s="9" t="s">
        <v>453</v>
      </c>
      <c r="Q979" s="9" t="s">
        <v>454</v>
      </c>
      <c r="R979" s="9" t="s">
        <v>696</v>
      </c>
      <c r="S979" s="479">
        <v>67</v>
      </c>
      <c r="T979" s="9" t="s">
        <v>354</v>
      </c>
      <c r="U979" s="9" t="s">
        <v>42</v>
      </c>
      <c r="V979" s="58" t="s">
        <v>20</v>
      </c>
      <c r="W979" s="52">
        <v>0.2</v>
      </c>
      <c r="X979" s="358" t="s">
        <v>53</v>
      </c>
      <c r="Y979" s="352"/>
      <c r="Z979" s="9" t="s">
        <v>22</v>
      </c>
      <c r="AA979" s="113" t="s">
        <v>34</v>
      </c>
      <c r="AB979" s="109"/>
      <c r="AC979" s="58"/>
    </row>
    <row r="980" spans="1:29" ht="15.75" thickBot="1" x14ac:dyDescent="0.3">
      <c r="A980" s="326">
        <v>45934</v>
      </c>
      <c r="B980" s="207">
        <v>8</v>
      </c>
      <c r="C980" s="208"/>
      <c r="D980" s="207" t="s">
        <v>69</v>
      </c>
      <c r="E980" s="209">
        <v>1.02</v>
      </c>
      <c r="F980" s="209"/>
      <c r="G980" s="460">
        <v>2</v>
      </c>
      <c r="H980" s="460">
        <v>1</v>
      </c>
      <c r="I980" s="211">
        <v>1.1399999999999999</v>
      </c>
      <c r="J980" s="211"/>
      <c r="K980" s="208"/>
      <c r="L980" s="207" t="s">
        <v>145</v>
      </c>
      <c r="M980" s="235"/>
      <c r="N980" s="347"/>
      <c r="O980" s="343" t="s">
        <v>69</v>
      </c>
      <c r="P980" s="199" t="s">
        <v>478</v>
      </c>
      <c r="Q980" s="199" t="s">
        <v>479</v>
      </c>
      <c r="R980" s="199" t="s">
        <v>707</v>
      </c>
      <c r="S980" s="479">
        <v>72</v>
      </c>
      <c r="T980" s="199"/>
      <c r="U980" s="199"/>
      <c r="V980" s="201"/>
      <c r="W980" s="202"/>
      <c r="X980" s="359"/>
      <c r="Y980" s="353">
        <f>H980</f>
        <v>1</v>
      </c>
      <c r="Z980" s="199"/>
      <c r="AA980" s="204"/>
      <c r="AB980" s="205"/>
      <c r="AC980" s="201"/>
    </row>
    <row r="981" spans="1:29" ht="15.75" thickBot="1" x14ac:dyDescent="0.3">
      <c r="A981" s="326">
        <v>45934</v>
      </c>
      <c r="B981" s="207">
        <v>8</v>
      </c>
      <c r="C981" s="208"/>
      <c r="D981" s="207" t="s">
        <v>69</v>
      </c>
      <c r="E981" s="209">
        <v>1.02</v>
      </c>
      <c r="F981" s="209"/>
      <c r="G981" s="460">
        <v>2</v>
      </c>
      <c r="H981" s="460">
        <v>1</v>
      </c>
      <c r="I981" s="211">
        <v>1.1399999999999999</v>
      </c>
      <c r="J981" s="211"/>
      <c r="K981" s="208"/>
      <c r="L981" s="207" t="s">
        <v>145</v>
      </c>
      <c r="M981" s="235"/>
      <c r="N981" s="347"/>
      <c r="O981" s="343" t="s">
        <v>145</v>
      </c>
      <c r="P981" s="199" t="s">
        <v>482</v>
      </c>
      <c r="Q981" s="199" t="s">
        <v>483</v>
      </c>
      <c r="R981" s="199" t="s">
        <v>707</v>
      </c>
      <c r="S981" s="479">
        <v>62</v>
      </c>
      <c r="T981" s="199"/>
      <c r="U981" s="199"/>
      <c r="V981" s="201"/>
      <c r="W981" s="202"/>
      <c r="X981" s="359"/>
      <c r="Y981" s="353">
        <f>G980</f>
        <v>2</v>
      </c>
      <c r="Z981" s="199"/>
      <c r="AA981" s="204"/>
      <c r="AB981" s="205"/>
      <c r="AC981" s="201"/>
    </row>
    <row r="982" spans="1:29" x14ac:dyDescent="0.25">
      <c r="A982" s="331">
        <v>45934</v>
      </c>
      <c r="B982" s="13">
        <v>8</v>
      </c>
      <c r="C982" s="124" t="s">
        <v>693</v>
      </c>
      <c r="D982" s="13" t="s">
        <v>170</v>
      </c>
      <c r="E982" s="14">
        <v>2.0499999999999998</v>
      </c>
      <c r="F982" s="14"/>
      <c r="G982" s="375">
        <v>2</v>
      </c>
      <c r="H982" s="375">
        <v>1</v>
      </c>
      <c r="I982" s="16">
        <v>0.32</v>
      </c>
      <c r="J982" s="16"/>
      <c r="K982" s="124" t="s">
        <v>693</v>
      </c>
      <c r="L982" s="13" t="s">
        <v>112</v>
      </c>
      <c r="M982" s="268" t="s">
        <v>562</v>
      </c>
      <c r="N982" s="556">
        <v>2</v>
      </c>
      <c r="O982" s="557" t="s">
        <v>170</v>
      </c>
      <c r="P982" s="558" t="s">
        <v>374</v>
      </c>
      <c r="Q982" s="558" t="s">
        <v>521</v>
      </c>
      <c r="R982" s="558" t="s">
        <v>713</v>
      </c>
      <c r="S982" s="481">
        <v>65</v>
      </c>
      <c r="T982" s="558" t="s">
        <v>41</v>
      </c>
      <c r="U982" s="558" t="s">
        <v>43</v>
      </c>
      <c r="V982" s="559" t="s">
        <v>33</v>
      </c>
      <c r="W982" s="54">
        <v>0.2</v>
      </c>
      <c r="X982" s="361">
        <v>0.13</v>
      </c>
      <c r="Y982" s="355"/>
      <c r="Z982" s="13" t="s">
        <v>48</v>
      </c>
      <c r="AA982" s="115" t="s">
        <v>28</v>
      </c>
      <c r="AB982" s="110"/>
      <c r="AC982" s="60"/>
    </row>
    <row r="983" spans="1:29" x14ac:dyDescent="0.25">
      <c r="A983" s="329">
        <v>45934</v>
      </c>
      <c r="B983" s="5">
        <v>8</v>
      </c>
      <c r="D983" s="5" t="s">
        <v>170</v>
      </c>
      <c r="E983" s="6">
        <v>2.0499999999999998</v>
      </c>
      <c r="G983" s="362">
        <v>2</v>
      </c>
      <c r="H983" s="362">
        <v>1</v>
      </c>
      <c r="I983" s="8">
        <v>0.32</v>
      </c>
      <c r="L983" s="5" t="s">
        <v>112</v>
      </c>
      <c r="M983" s="242" t="s">
        <v>562</v>
      </c>
      <c r="N983" s="476">
        <v>3</v>
      </c>
      <c r="O983" s="477" t="s">
        <v>170</v>
      </c>
      <c r="P983" s="478" t="s">
        <v>379</v>
      </c>
      <c r="Q983" s="478" t="s">
        <v>380</v>
      </c>
      <c r="R983" s="478" t="s">
        <v>699</v>
      </c>
      <c r="S983" s="481">
        <v>67</v>
      </c>
      <c r="T983" s="478" t="s">
        <v>41</v>
      </c>
      <c r="U983" s="478" t="s">
        <v>42</v>
      </c>
      <c r="V983" s="480" t="s">
        <v>10</v>
      </c>
      <c r="W983" s="51">
        <v>0.11</v>
      </c>
      <c r="X983" s="357" t="s">
        <v>53</v>
      </c>
      <c r="Z983" s="5" t="s">
        <v>52</v>
      </c>
      <c r="AA983" s="112" t="s">
        <v>28</v>
      </c>
    </row>
    <row r="984" spans="1:29" x14ac:dyDescent="0.25">
      <c r="A984" s="329">
        <v>45934</v>
      </c>
      <c r="B984" s="5">
        <v>8</v>
      </c>
      <c r="D984" s="5" t="s">
        <v>170</v>
      </c>
      <c r="E984" s="6">
        <v>2.0499999999999998</v>
      </c>
      <c r="G984" s="362">
        <v>2</v>
      </c>
      <c r="H984" s="362">
        <v>1</v>
      </c>
      <c r="I984" s="8">
        <v>0.32</v>
      </c>
      <c r="L984" s="5" t="s">
        <v>112</v>
      </c>
      <c r="M984" s="242" t="s">
        <v>562</v>
      </c>
      <c r="N984" s="476">
        <v>5</v>
      </c>
      <c r="O984" s="477" t="s">
        <v>170</v>
      </c>
      <c r="P984" s="478" t="s">
        <v>178</v>
      </c>
      <c r="Q984" s="478" t="s">
        <v>179</v>
      </c>
      <c r="R984" s="478" t="s">
        <v>685</v>
      </c>
      <c r="S984" s="479">
        <v>67</v>
      </c>
      <c r="T984" s="478" t="s">
        <v>41</v>
      </c>
      <c r="U984" s="478" t="s">
        <v>42</v>
      </c>
      <c r="V984" s="480" t="s">
        <v>540</v>
      </c>
      <c r="W984" s="51">
        <v>0.2</v>
      </c>
      <c r="X984" s="357" t="s">
        <v>53</v>
      </c>
      <c r="Z984" s="5" t="s">
        <v>13</v>
      </c>
      <c r="AA984" s="112" t="s">
        <v>28</v>
      </c>
    </row>
    <row r="985" spans="1:29" x14ac:dyDescent="0.25">
      <c r="A985" s="329">
        <v>45934</v>
      </c>
      <c r="B985" s="5">
        <v>8</v>
      </c>
      <c r="D985" s="5" t="s">
        <v>170</v>
      </c>
      <c r="E985" s="6">
        <v>2.0499999999999998</v>
      </c>
      <c r="G985" s="362">
        <v>2</v>
      </c>
      <c r="H985" s="362">
        <v>1</v>
      </c>
      <c r="I985" s="8">
        <v>0.32</v>
      </c>
      <c r="L985" s="5" t="s">
        <v>112</v>
      </c>
      <c r="M985" s="242" t="s">
        <v>562</v>
      </c>
      <c r="N985" s="476">
        <v>9</v>
      </c>
      <c r="O985" s="477" t="s">
        <v>170</v>
      </c>
      <c r="P985" s="478" t="s">
        <v>295</v>
      </c>
      <c r="Q985" s="478" t="s">
        <v>175</v>
      </c>
      <c r="R985" s="478" t="s">
        <v>684</v>
      </c>
      <c r="S985" s="479">
        <v>75</v>
      </c>
      <c r="T985" s="478" t="s">
        <v>41</v>
      </c>
      <c r="U985" s="478" t="s">
        <v>42</v>
      </c>
      <c r="V985" s="480" t="s">
        <v>7</v>
      </c>
      <c r="W985" s="51">
        <v>0.79</v>
      </c>
      <c r="X985" s="357">
        <v>0.79</v>
      </c>
      <c r="Y985" s="351" t="s">
        <v>353</v>
      </c>
      <c r="Z985" s="5" t="s">
        <v>8</v>
      </c>
      <c r="AA985" s="112" t="s">
        <v>19</v>
      </c>
    </row>
    <row r="986" spans="1:29" x14ac:dyDescent="0.25">
      <c r="A986" s="329">
        <v>45934</v>
      </c>
      <c r="B986" s="5">
        <v>8</v>
      </c>
      <c r="D986" s="5" t="s">
        <v>170</v>
      </c>
      <c r="E986" s="6">
        <v>2.0499999999999998</v>
      </c>
      <c r="G986" s="362">
        <v>2</v>
      </c>
      <c r="H986" s="362">
        <v>1</v>
      </c>
      <c r="I986" s="8">
        <v>0.32</v>
      </c>
      <c r="L986" s="5" t="s">
        <v>112</v>
      </c>
      <c r="M986" s="242" t="s">
        <v>562</v>
      </c>
      <c r="N986" s="476">
        <v>16</v>
      </c>
      <c r="O986" s="477" t="s">
        <v>170</v>
      </c>
      <c r="P986" s="478" t="s">
        <v>174</v>
      </c>
      <c r="Q986" s="478" t="s">
        <v>560</v>
      </c>
      <c r="R986" s="478" t="s">
        <v>686</v>
      </c>
      <c r="S986" s="479">
        <v>66</v>
      </c>
      <c r="T986" s="478" t="s">
        <v>41</v>
      </c>
      <c r="U986" s="478" t="s">
        <v>43</v>
      </c>
      <c r="V986" s="480" t="s">
        <v>10</v>
      </c>
      <c r="W986" s="51">
        <v>0.13</v>
      </c>
      <c r="X986" s="357" t="s">
        <v>53</v>
      </c>
      <c r="Z986" s="5" t="s">
        <v>52</v>
      </c>
      <c r="AA986" s="112" t="s">
        <v>19</v>
      </c>
    </row>
    <row r="987" spans="1:29" x14ac:dyDescent="0.25">
      <c r="A987" s="329">
        <v>45934</v>
      </c>
      <c r="B987" s="5">
        <v>8</v>
      </c>
      <c r="D987" s="5" t="s">
        <v>170</v>
      </c>
      <c r="E987" s="6">
        <v>2.0499999999999998</v>
      </c>
      <c r="G987" s="362">
        <v>2</v>
      </c>
      <c r="H987" s="362">
        <v>1</v>
      </c>
      <c r="I987" s="8">
        <v>0.32</v>
      </c>
      <c r="L987" s="5" t="s">
        <v>112</v>
      </c>
      <c r="M987" s="242" t="s">
        <v>562</v>
      </c>
      <c r="N987" s="476">
        <v>21</v>
      </c>
      <c r="O987" s="477" t="s">
        <v>170</v>
      </c>
      <c r="P987" s="478" t="s">
        <v>174</v>
      </c>
      <c r="Q987" s="478" t="s">
        <v>560</v>
      </c>
      <c r="R987" s="478" t="s">
        <v>686</v>
      </c>
      <c r="S987" s="479">
        <v>66</v>
      </c>
      <c r="T987" s="478" t="s">
        <v>41</v>
      </c>
      <c r="U987" s="478" t="s">
        <v>43</v>
      </c>
      <c r="V987" s="480" t="s">
        <v>540</v>
      </c>
      <c r="W987" s="51">
        <v>0.11</v>
      </c>
      <c r="X987" s="357" t="s">
        <v>53</v>
      </c>
      <c r="Z987" s="5" t="s">
        <v>52</v>
      </c>
      <c r="AA987" s="112" t="s">
        <v>19</v>
      </c>
    </row>
    <row r="988" spans="1:29" x14ac:dyDescent="0.25">
      <c r="A988" s="329">
        <v>45934</v>
      </c>
      <c r="B988" s="5">
        <v>8</v>
      </c>
      <c r="D988" s="5" t="s">
        <v>170</v>
      </c>
      <c r="E988" s="6">
        <v>2.0499999999999998</v>
      </c>
      <c r="G988" s="362">
        <v>2</v>
      </c>
      <c r="H988" s="362">
        <v>1</v>
      </c>
      <c r="I988" s="8">
        <v>0.32</v>
      </c>
      <c r="L988" s="5" t="s">
        <v>112</v>
      </c>
      <c r="M988" s="242" t="s">
        <v>562</v>
      </c>
      <c r="N988" s="345">
        <v>72</v>
      </c>
      <c r="O988" s="38" t="s">
        <v>112</v>
      </c>
      <c r="P988" s="5" t="s">
        <v>114</v>
      </c>
      <c r="Q988" s="5" t="s">
        <v>115</v>
      </c>
      <c r="R988" s="5" t="s">
        <v>684</v>
      </c>
      <c r="S988" s="479">
        <v>62</v>
      </c>
      <c r="T988" s="5" t="s">
        <v>41</v>
      </c>
      <c r="U988" s="5" t="s">
        <v>45</v>
      </c>
      <c r="V988" s="57" t="s">
        <v>10</v>
      </c>
      <c r="W988" s="51">
        <v>0.25</v>
      </c>
      <c r="X988" s="357" t="s">
        <v>53</v>
      </c>
      <c r="Y988" s="351" t="s">
        <v>353</v>
      </c>
      <c r="Z988" s="5" t="s">
        <v>13</v>
      </c>
      <c r="AA988" s="112" t="s">
        <v>19</v>
      </c>
    </row>
    <row r="989" spans="1:29" x14ac:dyDescent="0.25">
      <c r="A989" s="329">
        <v>45934</v>
      </c>
      <c r="B989" s="5">
        <v>8</v>
      </c>
      <c r="D989" s="5" t="s">
        <v>170</v>
      </c>
      <c r="E989" s="6">
        <v>2.0499999999999998</v>
      </c>
      <c r="G989" s="362">
        <v>2</v>
      </c>
      <c r="H989" s="362">
        <v>1</v>
      </c>
      <c r="I989" s="8">
        <v>0.32</v>
      </c>
      <c r="L989" s="5" t="s">
        <v>112</v>
      </c>
      <c r="M989" s="242" t="s">
        <v>562</v>
      </c>
      <c r="N989" s="345">
        <v>77</v>
      </c>
      <c r="O989" s="38" t="s">
        <v>112</v>
      </c>
      <c r="P989" s="5" t="s">
        <v>558</v>
      </c>
      <c r="Q989" s="5" t="s">
        <v>559</v>
      </c>
      <c r="R989" s="5" t="s">
        <v>687</v>
      </c>
      <c r="S989" s="479">
        <v>82</v>
      </c>
      <c r="T989" s="5" t="s">
        <v>44</v>
      </c>
      <c r="U989" s="5" t="s">
        <v>43</v>
      </c>
      <c r="V989" s="57" t="s">
        <v>10</v>
      </c>
      <c r="W989" s="51">
        <v>0.01</v>
      </c>
      <c r="X989" s="357">
        <v>0.04</v>
      </c>
      <c r="Z989" s="5" t="s">
        <v>8</v>
      </c>
      <c r="AA989" s="112" t="s">
        <v>51</v>
      </c>
      <c r="AB989" s="108" t="s">
        <v>243</v>
      </c>
      <c r="AC989" s="57" t="s">
        <v>244</v>
      </c>
    </row>
    <row r="990" spans="1:29" x14ac:dyDescent="0.25">
      <c r="A990" s="329">
        <v>45934</v>
      </c>
      <c r="B990" s="5">
        <v>8</v>
      </c>
      <c r="D990" s="5" t="s">
        <v>170</v>
      </c>
      <c r="E990" s="6">
        <v>2.0499999999999998</v>
      </c>
      <c r="G990" s="362">
        <v>2</v>
      </c>
      <c r="H990" s="362">
        <v>1</v>
      </c>
      <c r="I990" s="8">
        <v>0.32</v>
      </c>
      <c r="L990" s="5" t="s">
        <v>112</v>
      </c>
      <c r="M990" s="242" t="s">
        <v>562</v>
      </c>
      <c r="N990" s="345">
        <v>79</v>
      </c>
      <c r="O990" s="38" t="s">
        <v>112</v>
      </c>
      <c r="P990" s="5" t="s">
        <v>365</v>
      </c>
      <c r="Q990" s="5" t="s">
        <v>418</v>
      </c>
      <c r="R990" s="5" t="s">
        <v>713</v>
      </c>
      <c r="S990" s="479">
        <v>56</v>
      </c>
      <c r="T990" s="5" t="s">
        <v>354</v>
      </c>
      <c r="U990" s="5" t="s">
        <v>42</v>
      </c>
      <c r="V990" s="57" t="s">
        <v>10</v>
      </c>
      <c r="W990" s="51">
        <v>0.02</v>
      </c>
      <c r="X990" s="357">
        <v>0.15</v>
      </c>
      <c r="Z990" s="5" t="s">
        <v>48</v>
      </c>
      <c r="AA990" s="112" t="s">
        <v>51</v>
      </c>
    </row>
    <row r="991" spans="1:29" ht="15.75" thickBot="1" x14ac:dyDescent="0.3">
      <c r="A991" s="330">
        <v>45934</v>
      </c>
      <c r="B991" s="9">
        <v>8</v>
      </c>
      <c r="C991" s="122"/>
      <c r="D991" s="9" t="s">
        <v>170</v>
      </c>
      <c r="E991" s="10">
        <v>2.0499999999999998</v>
      </c>
      <c r="F991" s="10"/>
      <c r="G991" s="383">
        <v>2</v>
      </c>
      <c r="H991" s="383">
        <v>1</v>
      </c>
      <c r="I991" s="12">
        <v>0.32</v>
      </c>
      <c r="J991" s="12"/>
      <c r="K991" s="122"/>
      <c r="L991" s="9" t="s">
        <v>112</v>
      </c>
      <c r="M991" s="445" t="s">
        <v>562</v>
      </c>
      <c r="N991" s="511">
        <v>82</v>
      </c>
      <c r="O991" s="512" t="s">
        <v>170</v>
      </c>
      <c r="P991" s="513" t="s">
        <v>347</v>
      </c>
      <c r="Q991" s="513" t="s">
        <v>561</v>
      </c>
      <c r="R991" s="513" t="s">
        <v>696</v>
      </c>
      <c r="S991" s="479">
        <v>69</v>
      </c>
      <c r="T991" s="513" t="s">
        <v>41</v>
      </c>
      <c r="U991" s="513" t="s">
        <v>42</v>
      </c>
      <c r="V991" s="514" t="s">
        <v>20</v>
      </c>
      <c r="W991" s="52">
        <v>0.13</v>
      </c>
      <c r="X991" s="358">
        <v>0.66</v>
      </c>
      <c r="Y991" s="352" t="s">
        <v>353</v>
      </c>
      <c r="Z991" s="9" t="s">
        <v>8</v>
      </c>
      <c r="AA991" s="113" t="s">
        <v>34</v>
      </c>
      <c r="AB991" s="109" t="s">
        <v>306</v>
      </c>
      <c r="AC991" s="58" t="s">
        <v>471</v>
      </c>
    </row>
    <row r="992" spans="1:29" ht="15.75" thickBot="1" x14ac:dyDescent="0.3">
      <c r="A992" s="326">
        <v>45934</v>
      </c>
      <c r="B992" s="207">
        <v>8</v>
      </c>
      <c r="C992" s="208"/>
      <c r="D992" s="207" t="s">
        <v>170</v>
      </c>
      <c r="E992" s="209">
        <v>2.0499999999999998</v>
      </c>
      <c r="F992" s="209"/>
      <c r="G992" s="460">
        <v>2</v>
      </c>
      <c r="H992" s="460">
        <v>1</v>
      </c>
      <c r="I992" s="211">
        <v>0.32</v>
      </c>
      <c r="J992" s="211"/>
      <c r="K992" s="208"/>
      <c r="L992" s="207" t="s">
        <v>112</v>
      </c>
      <c r="M992" s="235"/>
      <c r="N992" s="347"/>
      <c r="O992" s="343" t="s">
        <v>170</v>
      </c>
      <c r="P992" s="199" t="s">
        <v>269</v>
      </c>
      <c r="Q992" s="199" t="s">
        <v>722</v>
      </c>
      <c r="R992" s="199" t="s">
        <v>707</v>
      </c>
      <c r="S992" s="479">
        <v>61</v>
      </c>
      <c r="T992" s="199"/>
      <c r="U992" s="199"/>
      <c r="V992" s="201"/>
      <c r="W992" s="202"/>
      <c r="X992" s="359"/>
      <c r="Y992" s="353">
        <f>H992</f>
        <v>1</v>
      </c>
      <c r="Z992" s="199"/>
      <c r="AA992" s="204"/>
      <c r="AB992" s="205"/>
      <c r="AC992" s="201"/>
    </row>
    <row r="993" spans="1:29" ht="15.75" thickBot="1" x14ac:dyDescent="0.3">
      <c r="A993" s="326">
        <v>45934</v>
      </c>
      <c r="B993" s="207">
        <v>8</v>
      </c>
      <c r="C993" s="208"/>
      <c r="D993" s="207" t="s">
        <v>170</v>
      </c>
      <c r="E993" s="209">
        <v>2.0499999999999998</v>
      </c>
      <c r="F993" s="209"/>
      <c r="G993" s="460">
        <v>2</v>
      </c>
      <c r="H993" s="460">
        <v>1</v>
      </c>
      <c r="I993" s="211">
        <v>0.32</v>
      </c>
      <c r="J993" s="211"/>
      <c r="K993" s="208"/>
      <c r="L993" s="207" t="s">
        <v>112</v>
      </c>
      <c r="M993" s="235"/>
      <c r="N993" s="347"/>
      <c r="O993" s="343" t="s">
        <v>112</v>
      </c>
      <c r="P993" s="199" t="s">
        <v>60</v>
      </c>
      <c r="Q993" s="199" t="s">
        <v>464</v>
      </c>
      <c r="R993" s="199" t="s">
        <v>707</v>
      </c>
      <c r="S993" s="7">
        <v>65</v>
      </c>
      <c r="T993" s="199"/>
      <c r="U993" s="199"/>
      <c r="V993" s="201"/>
      <c r="W993" s="202"/>
      <c r="X993" s="359"/>
      <c r="Y993" s="353">
        <f>G992</f>
        <v>2</v>
      </c>
      <c r="Z993" s="199"/>
      <c r="AA993" s="204"/>
      <c r="AB993" s="205"/>
      <c r="AC993" s="201"/>
    </row>
    <row r="994" spans="1:29" x14ac:dyDescent="0.25">
      <c r="A994" s="331">
        <v>45934</v>
      </c>
      <c r="B994" s="13">
        <v>8</v>
      </c>
      <c r="C994" s="124" t="s">
        <v>693</v>
      </c>
      <c r="D994" s="13" t="s">
        <v>226</v>
      </c>
      <c r="E994" s="14">
        <v>3.52</v>
      </c>
      <c r="F994" s="14"/>
      <c r="G994" s="375">
        <v>3</v>
      </c>
      <c r="H994" s="375">
        <v>1</v>
      </c>
      <c r="I994" s="16">
        <v>1</v>
      </c>
      <c r="J994" s="16"/>
      <c r="K994" s="124" t="s">
        <v>694</v>
      </c>
      <c r="L994" s="13" t="s">
        <v>91</v>
      </c>
      <c r="M994" s="268" t="s">
        <v>563</v>
      </c>
      <c r="N994" s="556">
        <v>20</v>
      </c>
      <c r="O994" s="557" t="s">
        <v>226</v>
      </c>
      <c r="P994" s="558" t="s">
        <v>231</v>
      </c>
      <c r="Q994" s="558" t="s">
        <v>232</v>
      </c>
      <c r="R994" s="558" t="s">
        <v>684</v>
      </c>
      <c r="S994" s="479">
        <v>82</v>
      </c>
      <c r="T994" s="558" t="s">
        <v>41</v>
      </c>
      <c r="U994" s="558" t="s">
        <v>42</v>
      </c>
      <c r="V994" s="559" t="s">
        <v>10</v>
      </c>
      <c r="W994" s="54">
        <v>0.03</v>
      </c>
      <c r="X994" s="361">
        <v>0.16</v>
      </c>
      <c r="Y994" s="355"/>
      <c r="Z994" s="13" t="s">
        <v>48</v>
      </c>
      <c r="AA994" s="115" t="s">
        <v>28</v>
      </c>
      <c r="AB994" s="110"/>
      <c r="AC994" s="60"/>
    </row>
    <row r="995" spans="1:29" x14ac:dyDescent="0.25">
      <c r="A995" s="329">
        <v>45934</v>
      </c>
      <c r="B995" s="5">
        <v>8</v>
      </c>
      <c r="D995" s="5" t="s">
        <v>226</v>
      </c>
      <c r="E995" s="6">
        <v>3.52</v>
      </c>
      <c r="G995" s="362">
        <v>3</v>
      </c>
      <c r="H995" s="362">
        <v>1</v>
      </c>
      <c r="I995" s="8">
        <v>1</v>
      </c>
      <c r="L995" s="5" t="s">
        <v>91</v>
      </c>
      <c r="M995" s="242" t="s">
        <v>563</v>
      </c>
      <c r="N995" s="476">
        <v>22</v>
      </c>
      <c r="O995" s="477" t="s">
        <v>226</v>
      </c>
      <c r="P995" s="478" t="s">
        <v>233</v>
      </c>
      <c r="Q995" s="478" t="s">
        <v>234</v>
      </c>
      <c r="R995" s="478" t="s">
        <v>687</v>
      </c>
      <c r="S995" s="479">
        <v>66</v>
      </c>
      <c r="T995" s="478" t="s">
        <v>41</v>
      </c>
      <c r="U995" s="478" t="s">
        <v>45</v>
      </c>
      <c r="V995" s="480" t="s">
        <v>10</v>
      </c>
      <c r="W995" s="51">
        <v>0.16</v>
      </c>
      <c r="X995" s="357" t="s">
        <v>53</v>
      </c>
      <c r="Y995" s="351" t="s">
        <v>353</v>
      </c>
      <c r="Z995" s="5" t="s">
        <v>22</v>
      </c>
      <c r="AA995" s="112" t="s">
        <v>28</v>
      </c>
    </row>
    <row r="996" spans="1:29" x14ac:dyDescent="0.25">
      <c r="A996" s="329">
        <v>45934</v>
      </c>
      <c r="B996" s="5">
        <v>8</v>
      </c>
      <c r="D996" s="5" t="s">
        <v>226</v>
      </c>
      <c r="E996" s="6">
        <v>3.52</v>
      </c>
      <c r="G996" s="362">
        <v>3</v>
      </c>
      <c r="H996" s="362">
        <v>1</v>
      </c>
      <c r="I996" s="8">
        <v>1</v>
      </c>
      <c r="L996" s="5" t="s">
        <v>91</v>
      </c>
      <c r="M996" s="242" t="s">
        <v>563</v>
      </c>
      <c r="N996" s="476">
        <v>22</v>
      </c>
      <c r="O996" s="477" t="s">
        <v>226</v>
      </c>
      <c r="P996" s="478" t="s">
        <v>236</v>
      </c>
      <c r="Q996" s="478" t="s">
        <v>237</v>
      </c>
      <c r="R996" s="478" t="s">
        <v>686</v>
      </c>
      <c r="S996" s="481">
        <v>67</v>
      </c>
      <c r="T996" s="478" t="s">
        <v>41</v>
      </c>
      <c r="U996" s="478" t="s">
        <v>43</v>
      </c>
      <c r="V996" s="480" t="s">
        <v>10</v>
      </c>
      <c r="W996" s="51">
        <v>0.37</v>
      </c>
      <c r="X996" s="357" t="s">
        <v>53</v>
      </c>
      <c r="Y996" s="351" t="s">
        <v>353</v>
      </c>
      <c r="Z996" s="5" t="s">
        <v>52</v>
      </c>
      <c r="AA996" s="112" t="s">
        <v>28</v>
      </c>
    </row>
    <row r="997" spans="1:29" x14ac:dyDescent="0.25">
      <c r="A997" s="329">
        <v>45934</v>
      </c>
      <c r="B997" s="5">
        <v>8</v>
      </c>
      <c r="D997" s="5" t="s">
        <v>226</v>
      </c>
      <c r="E997" s="6">
        <v>3.52</v>
      </c>
      <c r="G997" s="362">
        <v>3</v>
      </c>
      <c r="H997" s="362">
        <v>1</v>
      </c>
      <c r="I997" s="8">
        <v>1</v>
      </c>
      <c r="L997" s="5" t="s">
        <v>91</v>
      </c>
      <c r="M997" s="242" t="s">
        <v>563</v>
      </c>
      <c r="N997" s="476">
        <v>27</v>
      </c>
      <c r="O997" s="477" t="s">
        <v>226</v>
      </c>
      <c r="P997" s="478" t="s">
        <v>233</v>
      </c>
      <c r="Q997" s="478" t="s">
        <v>234</v>
      </c>
      <c r="R997" s="478" t="s">
        <v>687</v>
      </c>
      <c r="S997" s="481">
        <v>66</v>
      </c>
      <c r="T997" s="478" t="s">
        <v>47</v>
      </c>
      <c r="U997" s="478" t="s">
        <v>45</v>
      </c>
      <c r="V997" s="480" t="s">
        <v>33</v>
      </c>
      <c r="W997" s="51">
        <v>0.34</v>
      </c>
      <c r="X997" s="357" t="s">
        <v>53</v>
      </c>
      <c r="Y997" s="351" t="s">
        <v>353</v>
      </c>
      <c r="Z997" s="5" t="s">
        <v>13</v>
      </c>
      <c r="AA997" s="112" t="s">
        <v>28</v>
      </c>
    </row>
    <row r="998" spans="1:29" x14ac:dyDescent="0.25">
      <c r="A998" s="329">
        <v>45934</v>
      </c>
      <c r="B998" s="5">
        <v>8</v>
      </c>
      <c r="D998" s="5" t="s">
        <v>226</v>
      </c>
      <c r="E998" s="6">
        <v>3.52</v>
      </c>
      <c r="G998" s="362">
        <v>3</v>
      </c>
      <c r="H998" s="362">
        <v>1</v>
      </c>
      <c r="I998" s="8">
        <v>1</v>
      </c>
      <c r="L998" s="5" t="s">
        <v>91</v>
      </c>
      <c r="M998" s="242" t="s">
        <v>563</v>
      </c>
      <c r="N998" s="345">
        <v>41</v>
      </c>
      <c r="O998" s="38" t="s">
        <v>91</v>
      </c>
      <c r="P998" s="5" t="s">
        <v>448</v>
      </c>
      <c r="Q998" s="5" t="s">
        <v>449</v>
      </c>
      <c r="R998" s="5" t="s">
        <v>718</v>
      </c>
      <c r="S998" s="459">
        <v>51</v>
      </c>
      <c r="T998" s="5" t="s">
        <v>41</v>
      </c>
      <c r="U998" s="5" t="s">
        <v>42</v>
      </c>
      <c r="V998" s="57" t="s">
        <v>18</v>
      </c>
      <c r="W998" s="51">
        <v>0.63</v>
      </c>
      <c r="X998" s="357">
        <v>0.37</v>
      </c>
      <c r="Y998" s="351" t="s">
        <v>353</v>
      </c>
      <c r="Z998" s="5" t="s">
        <v>48</v>
      </c>
      <c r="AA998" s="112" t="s">
        <v>28</v>
      </c>
    </row>
    <row r="999" spans="1:29" x14ac:dyDescent="0.25">
      <c r="A999" s="329">
        <v>45934</v>
      </c>
      <c r="B999" s="5">
        <v>8</v>
      </c>
      <c r="D999" s="5" t="s">
        <v>226</v>
      </c>
      <c r="E999" s="6">
        <v>3.52</v>
      </c>
      <c r="G999" s="362">
        <v>3</v>
      </c>
      <c r="H999" s="362">
        <v>1</v>
      </c>
      <c r="I999" s="8">
        <v>1</v>
      </c>
      <c r="L999" s="5" t="s">
        <v>91</v>
      </c>
      <c r="M999" s="242" t="s">
        <v>563</v>
      </c>
      <c r="N999" s="345">
        <v>42</v>
      </c>
      <c r="O999" s="38" t="s">
        <v>91</v>
      </c>
      <c r="P999" s="5" t="s">
        <v>332</v>
      </c>
      <c r="Q999" s="5" t="s">
        <v>333</v>
      </c>
      <c r="R999" s="5" t="s">
        <v>717</v>
      </c>
      <c r="S999" s="481">
        <v>63</v>
      </c>
      <c r="T999" s="5" t="s">
        <v>41</v>
      </c>
      <c r="U999" s="5" t="s">
        <v>42</v>
      </c>
      <c r="V999" s="57" t="s">
        <v>18</v>
      </c>
      <c r="W999" s="51">
        <v>0.11</v>
      </c>
      <c r="X999" s="357" t="s">
        <v>53</v>
      </c>
      <c r="Z999" s="5" t="s">
        <v>13</v>
      </c>
      <c r="AA999" s="112" t="s">
        <v>28</v>
      </c>
    </row>
    <row r="1000" spans="1:29" x14ac:dyDescent="0.25">
      <c r="A1000" s="329">
        <v>45934</v>
      </c>
      <c r="B1000" s="5">
        <v>8</v>
      </c>
      <c r="D1000" s="5" t="s">
        <v>226</v>
      </c>
      <c r="E1000" s="6">
        <v>3.52</v>
      </c>
      <c r="G1000" s="362">
        <v>3</v>
      </c>
      <c r="H1000" s="362">
        <v>1</v>
      </c>
      <c r="I1000" s="8">
        <v>1</v>
      </c>
      <c r="L1000" s="5" t="s">
        <v>91</v>
      </c>
      <c r="M1000" s="242" t="s">
        <v>563</v>
      </c>
      <c r="N1000" s="476">
        <v>45</v>
      </c>
      <c r="O1000" s="477" t="s">
        <v>226</v>
      </c>
      <c r="P1000" s="478" t="s">
        <v>236</v>
      </c>
      <c r="Q1000" s="478" t="s">
        <v>237</v>
      </c>
      <c r="R1000" s="478" t="s">
        <v>686</v>
      </c>
      <c r="S1000" s="481">
        <v>67</v>
      </c>
      <c r="T1000" s="478" t="s">
        <v>44</v>
      </c>
      <c r="U1000" s="478" t="s">
        <v>43</v>
      </c>
      <c r="V1000" s="480" t="s">
        <v>10</v>
      </c>
      <c r="W1000" s="51">
        <v>0.05</v>
      </c>
      <c r="X1000" s="357" t="s">
        <v>53</v>
      </c>
      <c r="Z1000" s="5" t="s">
        <v>22</v>
      </c>
      <c r="AA1000" s="112" t="s">
        <v>28</v>
      </c>
    </row>
    <row r="1001" spans="1:29" x14ac:dyDescent="0.25">
      <c r="A1001" s="329">
        <v>45934</v>
      </c>
      <c r="B1001" s="5">
        <v>8</v>
      </c>
      <c r="D1001" s="5" t="s">
        <v>226</v>
      </c>
      <c r="E1001" s="6">
        <v>3.52</v>
      </c>
      <c r="G1001" s="362">
        <v>3</v>
      </c>
      <c r="H1001" s="362">
        <v>1</v>
      </c>
      <c r="I1001" s="8">
        <v>1</v>
      </c>
      <c r="L1001" s="5" t="s">
        <v>91</v>
      </c>
      <c r="M1001" s="242" t="s">
        <v>563</v>
      </c>
      <c r="N1001" s="476">
        <v>47</v>
      </c>
      <c r="O1001" s="477" t="s">
        <v>226</v>
      </c>
      <c r="P1001" s="478" t="s">
        <v>289</v>
      </c>
      <c r="Q1001" s="478" t="s">
        <v>54</v>
      </c>
      <c r="R1001" s="478" t="s">
        <v>685</v>
      </c>
      <c r="S1001" s="479">
        <v>100</v>
      </c>
      <c r="T1001" s="478" t="s">
        <v>41</v>
      </c>
      <c r="U1001" s="478" t="s">
        <v>42</v>
      </c>
      <c r="V1001" s="480" t="s">
        <v>10</v>
      </c>
      <c r="W1001" s="51">
        <v>0.06</v>
      </c>
      <c r="X1001" s="357">
        <v>0.26</v>
      </c>
      <c r="Z1001" s="5" t="s">
        <v>8</v>
      </c>
      <c r="AA1001" s="112" t="s">
        <v>19</v>
      </c>
      <c r="AB1001" s="108" t="s">
        <v>231</v>
      </c>
      <c r="AC1001" s="57" t="s">
        <v>232</v>
      </c>
    </row>
    <row r="1002" spans="1:29" x14ac:dyDescent="0.25">
      <c r="A1002" s="329">
        <v>45934</v>
      </c>
      <c r="B1002" s="5">
        <v>8</v>
      </c>
      <c r="D1002" s="5" t="s">
        <v>226</v>
      </c>
      <c r="E1002" s="6">
        <v>3.52</v>
      </c>
      <c r="G1002" s="362">
        <v>3</v>
      </c>
      <c r="H1002" s="362">
        <v>1</v>
      </c>
      <c r="I1002" s="8">
        <v>1</v>
      </c>
      <c r="L1002" s="5" t="s">
        <v>91</v>
      </c>
      <c r="M1002" s="242" t="s">
        <v>563</v>
      </c>
      <c r="N1002" s="476">
        <v>69</v>
      </c>
      <c r="O1002" s="477" t="s">
        <v>226</v>
      </c>
      <c r="P1002" s="478" t="s">
        <v>289</v>
      </c>
      <c r="Q1002" s="478" t="s">
        <v>54</v>
      </c>
      <c r="R1002" s="478" t="s">
        <v>685</v>
      </c>
      <c r="S1002" s="479">
        <v>100</v>
      </c>
      <c r="T1002" s="478" t="s">
        <v>41</v>
      </c>
      <c r="U1002" s="478" t="s">
        <v>42</v>
      </c>
      <c r="V1002" s="480" t="s">
        <v>7</v>
      </c>
      <c r="W1002" s="51">
        <v>0.79</v>
      </c>
      <c r="X1002" s="357">
        <v>0.77</v>
      </c>
      <c r="Y1002" s="351" t="s">
        <v>353</v>
      </c>
      <c r="Z1002" s="5" t="s">
        <v>8</v>
      </c>
      <c r="AA1002" s="112" t="s">
        <v>24</v>
      </c>
    </row>
    <row r="1003" spans="1:29" x14ac:dyDescent="0.25">
      <c r="A1003" s="329">
        <v>45934</v>
      </c>
      <c r="B1003" s="5">
        <v>8</v>
      </c>
      <c r="D1003" s="5" t="s">
        <v>226</v>
      </c>
      <c r="E1003" s="6">
        <v>3.52</v>
      </c>
      <c r="G1003" s="362">
        <v>3</v>
      </c>
      <c r="H1003" s="362">
        <v>1</v>
      </c>
      <c r="I1003" s="8">
        <v>1</v>
      </c>
      <c r="L1003" s="5" t="s">
        <v>91</v>
      </c>
      <c r="M1003" s="242" t="s">
        <v>563</v>
      </c>
      <c r="N1003" s="476">
        <v>72</v>
      </c>
      <c r="O1003" s="477" t="s">
        <v>226</v>
      </c>
      <c r="P1003" s="478" t="s">
        <v>486</v>
      </c>
      <c r="Q1003" s="478" t="s">
        <v>487</v>
      </c>
      <c r="R1003" s="478" t="s">
        <v>696</v>
      </c>
      <c r="S1003" s="479">
        <v>68</v>
      </c>
      <c r="T1003" s="478" t="s">
        <v>41</v>
      </c>
      <c r="U1003" s="478" t="s">
        <v>42</v>
      </c>
      <c r="V1003" s="480" t="s">
        <v>10</v>
      </c>
      <c r="W1003" s="51">
        <v>0.09</v>
      </c>
      <c r="X1003" s="357">
        <v>0.17</v>
      </c>
      <c r="Z1003" s="5" t="s">
        <v>48</v>
      </c>
      <c r="AA1003" s="112" t="s">
        <v>24</v>
      </c>
    </row>
    <row r="1004" spans="1:29" x14ac:dyDescent="0.25">
      <c r="A1004" s="329">
        <v>45934</v>
      </c>
      <c r="B1004" s="5">
        <v>8</v>
      </c>
      <c r="D1004" s="5" t="s">
        <v>226</v>
      </c>
      <c r="E1004" s="6">
        <v>3.52</v>
      </c>
      <c r="G1004" s="362">
        <v>3</v>
      </c>
      <c r="H1004" s="362">
        <v>1</v>
      </c>
      <c r="I1004" s="8">
        <v>1</v>
      </c>
      <c r="L1004" s="5" t="s">
        <v>91</v>
      </c>
      <c r="M1004" s="242" t="s">
        <v>563</v>
      </c>
      <c r="N1004" s="476">
        <v>72</v>
      </c>
      <c r="O1004" s="477" t="s">
        <v>226</v>
      </c>
      <c r="P1004" s="478" t="s">
        <v>486</v>
      </c>
      <c r="Q1004" s="478" t="s">
        <v>487</v>
      </c>
      <c r="R1004" s="478" t="s">
        <v>696</v>
      </c>
      <c r="S1004" s="479">
        <v>68</v>
      </c>
      <c r="T1004" s="478" t="s">
        <v>47</v>
      </c>
      <c r="U1004" s="478" t="s">
        <v>43</v>
      </c>
      <c r="V1004" s="480" t="s">
        <v>10</v>
      </c>
      <c r="W1004" s="51">
        <v>0.4</v>
      </c>
      <c r="X1004" s="357">
        <v>0.27</v>
      </c>
      <c r="Y1004" s="351" t="s">
        <v>353</v>
      </c>
      <c r="Z1004" s="5" t="s">
        <v>48</v>
      </c>
      <c r="AA1004" s="112" t="s">
        <v>24</v>
      </c>
    </row>
    <row r="1005" spans="1:29" x14ac:dyDescent="0.25">
      <c r="A1005" s="329">
        <v>45934</v>
      </c>
      <c r="B1005" s="5">
        <v>8</v>
      </c>
      <c r="D1005" s="5" t="s">
        <v>226</v>
      </c>
      <c r="E1005" s="6">
        <v>3.52</v>
      </c>
      <c r="G1005" s="362">
        <v>3</v>
      </c>
      <c r="H1005" s="362">
        <v>1</v>
      </c>
      <c r="I1005" s="8">
        <v>1</v>
      </c>
      <c r="L1005" s="5" t="s">
        <v>91</v>
      </c>
      <c r="M1005" s="242" t="s">
        <v>563</v>
      </c>
      <c r="N1005" s="345">
        <v>73</v>
      </c>
      <c r="O1005" s="38" t="s">
        <v>91</v>
      </c>
      <c r="P1005" s="5" t="s">
        <v>443</v>
      </c>
      <c r="Q1005" s="5" t="s">
        <v>444</v>
      </c>
      <c r="R1005" s="5" t="s">
        <v>696</v>
      </c>
      <c r="S1005" s="7">
        <v>67</v>
      </c>
      <c r="T1005" s="5" t="s">
        <v>44</v>
      </c>
      <c r="U1005" s="5" t="s">
        <v>42</v>
      </c>
      <c r="V1005" s="57" t="s">
        <v>10</v>
      </c>
      <c r="W1005" s="51">
        <v>0.11</v>
      </c>
      <c r="X1005" s="357">
        <v>0.59</v>
      </c>
      <c r="Z1005" s="5" t="s">
        <v>8</v>
      </c>
      <c r="AA1005" s="112" t="s">
        <v>34</v>
      </c>
      <c r="AB1005" s="108" t="s">
        <v>49</v>
      </c>
      <c r="AC1005" s="57" t="s">
        <v>50</v>
      </c>
    </row>
    <row r="1006" spans="1:29" x14ac:dyDescent="0.25">
      <c r="A1006" s="329">
        <v>45934</v>
      </c>
      <c r="B1006" s="5">
        <v>8</v>
      </c>
      <c r="D1006" s="5" t="s">
        <v>226</v>
      </c>
      <c r="E1006" s="6">
        <v>3.52</v>
      </c>
      <c r="G1006" s="362">
        <v>3</v>
      </c>
      <c r="H1006" s="362">
        <v>1</v>
      </c>
      <c r="I1006" s="8">
        <v>1</v>
      </c>
      <c r="L1006" s="5" t="s">
        <v>91</v>
      </c>
      <c r="M1006" s="242" t="s">
        <v>563</v>
      </c>
      <c r="N1006" s="476">
        <v>80</v>
      </c>
      <c r="O1006" s="477" t="s">
        <v>226</v>
      </c>
      <c r="P1006" s="478" t="s">
        <v>289</v>
      </c>
      <c r="Q1006" s="478" t="s">
        <v>54</v>
      </c>
      <c r="R1006" s="478" t="s">
        <v>685</v>
      </c>
      <c r="S1006" s="479">
        <v>100</v>
      </c>
      <c r="T1006" s="478" t="s">
        <v>41</v>
      </c>
      <c r="U1006" s="478" t="s">
        <v>43</v>
      </c>
      <c r="V1006" s="480" t="s">
        <v>540</v>
      </c>
      <c r="W1006" s="51">
        <v>0.4</v>
      </c>
      <c r="X1006" s="357">
        <v>0.34</v>
      </c>
      <c r="Y1006" s="351" t="s">
        <v>353</v>
      </c>
      <c r="Z1006" s="5" t="s">
        <v>48</v>
      </c>
      <c r="AA1006" s="112" t="s">
        <v>34</v>
      </c>
    </row>
    <row r="1007" spans="1:29" x14ac:dyDescent="0.25">
      <c r="A1007" s="329">
        <v>45934</v>
      </c>
      <c r="B1007" s="5">
        <v>8</v>
      </c>
      <c r="D1007" s="5" t="s">
        <v>226</v>
      </c>
      <c r="E1007" s="6">
        <v>3.52</v>
      </c>
      <c r="G1007" s="362">
        <v>3</v>
      </c>
      <c r="H1007" s="362">
        <v>1</v>
      </c>
      <c r="I1007" s="8">
        <v>1</v>
      </c>
      <c r="L1007" s="5" t="s">
        <v>91</v>
      </c>
      <c r="M1007" s="242" t="s">
        <v>563</v>
      </c>
      <c r="N1007" s="476">
        <v>81</v>
      </c>
      <c r="O1007" s="477" t="s">
        <v>226</v>
      </c>
      <c r="P1007" s="478" t="s">
        <v>231</v>
      </c>
      <c r="Q1007" s="478" t="s">
        <v>232</v>
      </c>
      <c r="R1007" s="478" t="s">
        <v>684</v>
      </c>
      <c r="S1007" s="479">
        <v>82</v>
      </c>
      <c r="T1007" s="478" t="s">
        <v>41</v>
      </c>
      <c r="U1007" s="478" t="s">
        <v>42</v>
      </c>
      <c r="V1007" s="480" t="s">
        <v>10</v>
      </c>
      <c r="W1007" s="51">
        <v>0.28000000000000003</v>
      </c>
      <c r="X1007" s="357">
        <v>0.68</v>
      </c>
      <c r="Y1007" s="351" t="s">
        <v>353</v>
      </c>
      <c r="Z1007" s="5" t="s">
        <v>8</v>
      </c>
      <c r="AA1007" s="112" t="s">
        <v>427</v>
      </c>
      <c r="AB1007" s="108" t="s">
        <v>657</v>
      </c>
      <c r="AC1007" s="57" t="s">
        <v>138</v>
      </c>
    </row>
    <row r="1008" spans="1:29" ht="15.75" thickBot="1" x14ac:dyDescent="0.3">
      <c r="A1008" s="330">
        <v>45934</v>
      </c>
      <c r="B1008" s="9">
        <v>8</v>
      </c>
      <c r="C1008" s="122"/>
      <c r="D1008" s="9" t="s">
        <v>226</v>
      </c>
      <c r="E1008" s="10">
        <v>3.52</v>
      </c>
      <c r="F1008" s="10"/>
      <c r="G1008" s="383">
        <v>3</v>
      </c>
      <c r="H1008" s="383">
        <v>1</v>
      </c>
      <c r="I1008" s="12">
        <v>1</v>
      </c>
      <c r="J1008" s="12"/>
      <c r="K1008" s="122"/>
      <c r="L1008" s="9" t="s">
        <v>91</v>
      </c>
      <c r="M1008" s="445" t="s">
        <v>563</v>
      </c>
      <c r="N1008" s="346">
        <v>88</v>
      </c>
      <c r="O1008" s="454" t="s">
        <v>91</v>
      </c>
      <c r="P1008" s="9" t="s">
        <v>443</v>
      </c>
      <c r="Q1008" s="9" t="s">
        <v>444</v>
      </c>
      <c r="R1008" s="9" t="s">
        <v>696</v>
      </c>
      <c r="S1008" s="479">
        <v>67</v>
      </c>
      <c r="T1008" s="9" t="s">
        <v>44</v>
      </c>
      <c r="U1008" s="9" t="s">
        <v>42</v>
      </c>
      <c r="V1008" s="58" t="s">
        <v>10</v>
      </c>
      <c r="W1008" s="52">
        <v>0.02</v>
      </c>
      <c r="X1008" s="358" t="s">
        <v>53</v>
      </c>
      <c r="Y1008" s="352"/>
      <c r="Z1008" s="9" t="s">
        <v>55</v>
      </c>
      <c r="AA1008" s="113" t="s">
        <v>427</v>
      </c>
      <c r="AB1008" s="109"/>
      <c r="AC1008" s="58"/>
    </row>
    <row r="1009" spans="1:29" ht="15.75" thickBot="1" x14ac:dyDescent="0.3">
      <c r="A1009" s="326">
        <v>45934</v>
      </c>
      <c r="B1009" s="207">
        <v>8</v>
      </c>
      <c r="C1009" s="208"/>
      <c r="D1009" s="207" t="s">
        <v>226</v>
      </c>
      <c r="E1009" s="209">
        <v>3.52</v>
      </c>
      <c r="F1009" s="209"/>
      <c r="G1009" s="460">
        <v>3</v>
      </c>
      <c r="H1009" s="460">
        <v>1</v>
      </c>
      <c r="I1009" s="211">
        <v>1</v>
      </c>
      <c r="J1009" s="211"/>
      <c r="K1009" s="208"/>
      <c r="L1009" s="207" t="s">
        <v>91</v>
      </c>
      <c r="M1009" s="235"/>
      <c r="N1009" s="347"/>
      <c r="O1009" s="343" t="s">
        <v>226</v>
      </c>
      <c r="P1009" s="199" t="s">
        <v>726</v>
      </c>
      <c r="Q1009" s="199" t="s">
        <v>727</v>
      </c>
      <c r="R1009" s="199" t="s">
        <v>707</v>
      </c>
      <c r="S1009" s="7">
        <v>61</v>
      </c>
      <c r="T1009" s="199"/>
      <c r="U1009" s="199"/>
      <c r="V1009" s="201"/>
      <c r="W1009" s="202"/>
      <c r="X1009" s="359"/>
      <c r="Y1009" s="353">
        <f>H1009</f>
        <v>1</v>
      </c>
      <c r="Z1009" s="199"/>
      <c r="AA1009" s="204"/>
      <c r="AB1009" s="205"/>
      <c r="AC1009" s="201"/>
    </row>
    <row r="1010" spans="1:29" ht="15.75" thickBot="1" x14ac:dyDescent="0.3">
      <c r="A1010" s="326">
        <v>45934</v>
      </c>
      <c r="B1010" s="207">
        <v>8</v>
      </c>
      <c r="C1010" s="208"/>
      <c r="D1010" s="207" t="s">
        <v>226</v>
      </c>
      <c r="E1010" s="209">
        <v>3.52</v>
      </c>
      <c r="F1010" s="209"/>
      <c r="G1010" s="460">
        <v>3</v>
      </c>
      <c r="H1010" s="460">
        <v>1</v>
      </c>
      <c r="I1010" s="211">
        <v>1</v>
      </c>
      <c r="J1010" s="211"/>
      <c r="K1010" s="208"/>
      <c r="L1010" s="207" t="s">
        <v>91</v>
      </c>
      <c r="M1010" s="235"/>
      <c r="N1010" s="347"/>
      <c r="O1010" s="343" t="s">
        <v>91</v>
      </c>
      <c r="P1010" s="199" t="s">
        <v>553</v>
      </c>
      <c r="Q1010" s="199" t="s">
        <v>737</v>
      </c>
      <c r="R1010" s="199" t="s">
        <v>707</v>
      </c>
      <c r="S1010" s="481">
        <v>63</v>
      </c>
      <c r="T1010" s="199"/>
      <c r="U1010" s="199"/>
      <c r="V1010" s="201"/>
      <c r="W1010" s="202"/>
      <c r="X1010" s="359"/>
      <c r="Y1010" s="353">
        <f>G1009</f>
        <v>3</v>
      </c>
      <c r="Z1010" s="199"/>
      <c r="AA1010" s="204"/>
      <c r="AB1010" s="205"/>
      <c r="AC1010" s="201"/>
    </row>
    <row r="1011" spans="1:29" x14ac:dyDescent="0.25">
      <c r="A1011" s="331">
        <v>45935</v>
      </c>
      <c r="B1011" s="13">
        <v>8</v>
      </c>
      <c r="C1011" s="124" t="s">
        <v>693</v>
      </c>
      <c r="D1011" s="13" t="s">
        <v>128</v>
      </c>
      <c r="E1011" s="14">
        <v>2.42</v>
      </c>
      <c r="F1011" s="14"/>
      <c r="G1011" s="375">
        <v>3</v>
      </c>
      <c r="H1011" s="375">
        <v>1</v>
      </c>
      <c r="I1011" s="16">
        <v>0.38</v>
      </c>
      <c r="J1011" s="16"/>
      <c r="K1011" s="124" t="s">
        <v>706</v>
      </c>
      <c r="L1011" s="13" t="s">
        <v>208</v>
      </c>
      <c r="M1011" s="263" t="s">
        <v>564</v>
      </c>
      <c r="N1011" s="594">
        <v>11</v>
      </c>
      <c r="O1011" s="595" t="s">
        <v>128</v>
      </c>
      <c r="P1011" s="560" t="s">
        <v>504</v>
      </c>
      <c r="Q1011" s="560" t="s">
        <v>520</v>
      </c>
      <c r="R1011" s="560" t="s">
        <v>699</v>
      </c>
      <c r="S1011" s="481">
        <v>75</v>
      </c>
      <c r="T1011" s="560" t="s">
        <v>41</v>
      </c>
      <c r="U1011" s="560" t="s">
        <v>45</v>
      </c>
      <c r="V1011" s="596" t="s">
        <v>10</v>
      </c>
      <c r="W1011" s="54">
        <v>0.02</v>
      </c>
      <c r="X1011" s="361" t="s">
        <v>53</v>
      </c>
      <c r="Y1011" s="355"/>
      <c r="Z1011" s="13" t="s">
        <v>55</v>
      </c>
      <c r="AA1011" s="115" t="s">
        <v>28</v>
      </c>
      <c r="AB1011" s="110"/>
      <c r="AC1011" s="60"/>
    </row>
    <row r="1012" spans="1:29" x14ac:dyDescent="0.25">
      <c r="A1012" s="329">
        <v>45935</v>
      </c>
      <c r="B1012" s="5">
        <v>8</v>
      </c>
      <c r="D1012" s="5" t="s">
        <v>128</v>
      </c>
      <c r="E1012" s="6">
        <v>2.42</v>
      </c>
      <c r="G1012" s="362">
        <v>3</v>
      </c>
      <c r="H1012" s="362">
        <v>1</v>
      </c>
      <c r="I1012" s="8">
        <v>0.38</v>
      </c>
      <c r="L1012" s="5" t="s">
        <v>208</v>
      </c>
      <c r="M1012" s="237" t="s">
        <v>564</v>
      </c>
      <c r="N1012" s="519">
        <v>15</v>
      </c>
      <c r="O1012" s="520" t="s">
        <v>128</v>
      </c>
      <c r="P1012" s="506" t="s">
        <v>565</v>
      </c>
      <c r="Q1012" s="506" t="s">
        <v>566</v>
      </c>
      <c r="R1012" s="506" t="s">
        <v>689</v>
      </c>
      <c r="S1012" s="479">
        <v>76</v>
      </c>
      <c r="T1012" s="506" t="s">
        <v>354</v>
      </c>
      <c r="U1012" s="506" t="s">
        <v>43</v>
      </c>
      <c r="V1012" s="521" t="s">
        <v>20</v>
      </c>
      <c r="W1012" s="51">
        <v>0.03</v>
      </c>
      <c r="X1012" s="357">
        <v>0.1</v>
      </c>
      <c r="Z1012" s="5" t="s">
        <v>48</v>
      </c>
      <c r="AA1012" s="112" t="s">
        <v>28</v>
      </c>
    </row>
    <row r="1013" spans="1:29" x14ac:dyDescent="0.25">
      <c r="A1013" s="329">
        <v>45935</v>
      </c>
      <c r="B1013" s="5">
        <v>8</v>
      </c>
      <c r="D1013" s="5" t="s">
        <v>128</v>
      </c>
      <c r="E1013" s="6">
        <v>2.42</v>
      </c>
      <c r="G1013" s="362">
        <v>3</v>
      </c>
      <c r="H1013" s="362">
        <v>1</v>
      </c>
      <c r="I1013" s="8">
        <v>0.38</v>
      </c>
      <c r="L1013" s="5" t="s">
        <v>208</v>
      </c>
      <c r="M1013" s="237" t="s">
        <v>564</v>
      </c>
      <c r="N1013" s="519">
        <v>21</v>
      </c>
      <c r="O1013" s="520" t="s">
        <v>128</v>
      </c>
      <c r="P1013" s="506" t="s">
        <v>241</v>
      </c>
      <c r="Q1013" s="506" t="s">
        <v>567</v>
      </c>
      <c r="R1013" s="506" t="s">
        <v>687</v>
      </c>
      <c r="S1013" s="479">
        <v>64</v>
      </c>
      <c r="T1013" s="506" t="s">
        <v>41</v>
      </c>
      <c r="U1013" s="506" t="s">
        <v>42</v>
      </c>
      <c r="V1013" s="521" t="s">
        <v>540</v>
      </c>
      <c r="W1013" s="51">
        <v>0.14000000000000001</v>
      </c>
      <c r="X1013" s="357" t="s">
        <v>53</v>
      </c>
      <c r="Z1013" s="5" t="s">
        <v>52</v>
      </c>
      <c r="AA1013" s="112" t="s">
        <v>28</v>
      </c>
    </row>
    <row r="1014" spans="1:29" x14ac:dyDescent="0.25">
      <c r="A1014" s="329">
        <v>45935</v>
      </c>
      <c r="B1014" s="5">
        <v>8</v>
      </c>
      <c r="D1014" s="5" t="s">
        <v>128</v>
      </c>
      <c r="E1014" s="6">
        <v>2.42</v>
      </c>
      <c r="G1014" s="362">
        <v>3</v>
      </c>
      <c r="H1014" s="362">
        <v>1</v>
      </c>
      <c r="I1014" s="8">
        <v>0.38</v>
      </c>
      <c r="L1014" s="5" t="s">
        <v>208</v>
      </c>
      <c r="M1014" s="237" t="s">
        <v>564</v>
      </c>
      <c r="N1014" s="519" t="s">
        <v>122</v>
      </c>
      <c r="O1014" s="520" t="s">
        <v>128</v>
      </c>
      <c r="P1014" s="506" t="s">
        <v>497</v>
      </c>
      <c r="Q1014" s="506" t="s">
        <v>498</v>
      </c>
      <c r="R1014" s="506" t="s">
        <v>685</v>
      </c>
      <c r="S1014" s="479">
        <v>65</v>
      </c>
      <c r="T1014" s="506" t="s">
        <v>44</v>
      </c>
      <c r="U1014" s="506" t="s">
        <v>42</v>
      </c>
      <c r="V1014" s="521" t="s">
        <v>540</v>
      </c>
      <c r="W1014" s="51">
        <v>0.12</v>
      </c>
      <c r="X1014" s="357" t="s">
        <v>53</v>
      </c>
      <c r="Z1014" s="5" t="s">
        <v>52</v>
      </c>
      <c r="AA1014" s="112" t="s">
        <v>28</v>
      </c>
    </row>
    <row r="1015" spans="1:29" x14ac:dyDescent="0.25">
      <c r="A1015" s="329">
        <v>45935</v>
      </c>
      <c r="B1015" s="5">
        <v>8</v>
      </c>
      <c r="D1015" s="5" t="s">
        <v>128</v>
      </c>
      <c r="E1015" s="6">
        <v>2.42</v>
      </c>
      <c r="G1015" s="362">
        <v>3</v>
      </c>
      <c r="H1015" s="362">
        <v>1</v>
      </c>
      <c r="I1015" s="8">
        <v>0.38</v>
      </c>
      <c r="L1015" s="5" t="s">
        <v>208</v>
      </c>
      <c r="M1015" s="237" t="s">
        <v>564</v>
      </c>
      <c r="N1015" s="519">
        <v>48</v>
      </c>
      <c r="O1015" s="520" t="s">
        <v>128</v>
      </c>
      <c r="P1015" s="506" t="s">
        <v>127</v>
      </c>
      <c r="Q1015" s="506" t="s">
        <v>568</v>
      </c>
      <c r="R1015" s="506" t="s">
        <v>687</v>
      </c>
      <c r="S1015" s="479">
        <v>66</v>
      </c>
      <c r="T1015" s="506" t="s">
        <v>44</v>
      </c>
      <c r="U1015" s="506" t="s">
        <v>43</v>
      </c>
      <c r="V1015" s="521" t="s">
        <v>20</v>
      </c>
      <c r="W1015" s="51">
        <v>0.04</v>
      </c>
      <c r="X1015" s="357">
        <v>0.27</v>
      </c>
      <c r="Z1015" s="5" t="s">
        <v>48</v>
      </c>
      <c r="AA1015" s="112" t="s">
        <v>28</v>
      </c>
    </row>
    <row r="1016" spans="1:29" x14ac:dyDescent="0.25">
      <c r="A1016" s="329">
        <v>45935</v>
      </c>
      <c r="B1016" s="5">
        <v>8</v>
      </c>
      <c r="D1016" s="5" t="s">
        <v>128</v>
      </c>
      <c r="E1016" s="6">
        <v>2.42</v>
      </c>
      <c r="G1016" s="362">
        <v>3</v>
      </c>
      <c r="H1016" s="362">
        <v>1</v>
      </c>
      <c r="I1016" s="8">
        <v>0.38</v>
      </c>
      <c r="L1016" s="5" t="s">
        <v>208</v>
      </c>
      <c r="M1016" s="237" t="s">
        <v>564</v>
      </c>
      <c r="N1016" s="519">
        <v>63</v>
      </c>
      <c r="O1016" s="520" t="s">
        <v>128</v>
      </c>
      <c r="P1016" s="506" t="s">
        <v>139</v>
      </c>
      <c r="Q1016" s="506" t="s">
        <v>140</v>
      </c>
      <c r="R1016" s="506" t="s">
        <v>713</v>
      </c>
      <c r="S1016" s="479">
        <v>69</v>
      </c>
      <c r="T1016" s="506" t="s">
        <v>41</v>
      </c>
      <c r="U1016" s="506" t="s">
        <v>45</v>
      </c>
      <c r="V1016" s="521" t="s">
        <v>33</v>
      </c>
      <c r="W1016" s="51">
        <v>0.03</v>
      </c>
      <c r="X1016" s="357" t="s">
        <v>53</v>
      </c>
      <c r="Y1016" s="351" t="s">
        <v>353</v>
      </c>
      <c r="Z1016" s="5" t="s">
        <v>16</v>
      </c>
      <c r="AA1016" s="112" t="s">
        <v>28</v>
      </c>
    </row>
    <row r="1017" spans="1:29" x14ac:dyDescent="0.25">
      <c r="A1017" s="329">
        <v>45935</v>
      </c>
      <c r="B1017" s="5">
        <v>8</v>
      </c>
      <c r="D1017" s="5" t="s">
        <v>128</v>
      </c>
      <c r="E1017" s="6">
        <v>2.42</v>
      </c>
      <c r="G1017" s="362">
        <v>3</v>
      </c>
      <c r="H1017" s="362">
        <v>1</v>
      </c>
      <c r="I1017" s="8">
        <v>0.38</v>
      </c>
      <c r="L1017" s="5" t="s">
        <v>208</v>
      </c>
      <c r="M1017" s="237" t="s">
        <v>564</v>
      </c>
      <c r="N1017" s="519">
        <v>66</v>
      </c>
      <c r="O1017" s="520" t="s">
        <v>128</v>
      </c>
      <c r="P1017" s="506" t="s">
        <v>130</v>
      </c>
      <c r="Q1017" s="506" t="s">
        <v>131</v>
      </c>
      <c r="R1017" s="506" t="s">
        <v>684</v>
      </c>
      <c r="S1017" s="479">
        <v>77</v>
      </c>
      <c r="T1017" s="506" t="s">
        <v>47</v>
      </c>
      <c r="U1017" s="506" t="s">
        <v>42</v>
      </c>
      <c r="V1017" s="521" t="s">
        <v>540</v>
      </c>
      <c r="W1017" s="51">
        <v>0.12</v>
      </c>
      <c r="X1017" s="357" t="s">
        <v>53</v>
      </c>
      <c r="Z1017" s="5" t="s">
        <v>13</v>
      </c>
      <c r="AA1017" s="112" t="s">
        <v>28</v>
      </c>
    </row>
    <row r="1018" spans="1:29" x14ac:dyDescent="0.25">
      <c r="A1018" s="329">
        <v>45935</v>
      </c>
      <c r="B1018" s="5">
        <v>8</v>
      </c>
      <c r="D1018" s="5" t="s">
        <v>128</v>
      </c>
      <c r="E1018" s="6">
        <v>2.42</v>
      </c>
      <c r="G1018" s="362">
        <v>3</v>
      </c>
      <c r="H1018" s="362">
        <v>1</v>
      </c>
      <c r="I1018" s="8">
        <v>0.38</v>
      </c>
      <c r="L1018" s="5" t="s">
        <v>208</v>
      </c>
      <c r="M1018" s="237" t="s">
        <v>564</v>
      </c>
      <c r="N1018" s="519">
        <v>73</v>
      </c>
      <c r="O1018" s="520" t="s">
        <v>128</v>
      </c>
      <c r="P1018" s="506" t="s">
        <v>518</v>
      </c>
      <c r="Q1018" s="506" t="s">
        <v>519</v>
      </c>
      <c r="R1018" s="506" t="s">
        <v>696</v>
      </c>
      <c r="S1018" s="479">
        <v>75</v>
      </c>
      <c r="T1018" s="506" t="s">
        <v>41</v>
      </c>
      <c r="U1018" s="506" t="s">
        <v>43</v>
      </c>
      <c r="V1018" s="521" t="s">
        <v>10</v>
      </c>
      <c r="W1018" s="51">
        <v>0.19</v>
      </c>
      <c r="X1018" s="357" t="s">
        <v>53</v>
      </c>
      <c r="Z1018" s="5" t="s">
        <v>52</v>
      </c>
      <c r="AA1018" s="112" t="s">
        <v>28</v>
      </c>
    </row>
    <row r="1019" spans="1:29" x14ac:dyDescent="0.25">
      <c r="A1019" s="329">
        <v>45935</v>
      </c>
      <c r="B1019" s="5">
        <v>8</v>
      </c>
      <c r="D1019" s="5" t="s">
        <v>128</v>
      </c>
      <c r="E1019" s="6">
        <v>2.42</v>
      </c>
      <c r="G1019" s="362">
        <v>3</v>
      </c>
      <c r="H1019" s="362">
        <v>1</v>
      </c>
      <c r="I1019" s="8">
        <v>0.38</v>
      </c>
      <c r="L1019" s="5" t="s">
        <v>208</v>
      </c>
      <c r="M1019" s="237" t="s">
        <v>564</v>
      </c>
      <c r="N1019" s="519">
        <v>76</v>
      </c>
      <c r="O1019" s="520" t="s">
        <v>128</v>
      </c>
      <c r="P1019" s="506" t="s">
        <v>46</v>
      </c>
      <c r="Q1019" s="506" t="s">
        <v>132</v>
      </c>
      <c r="R1019" s="506" t="s">
        <v>696</v>
      </c>
      <c r="S1019" s="479">
        <v>75</v>
      </c>
      <c r="T1019" s="506" t="s">
        <v>41</v>
      </c>
      <c r="U1019" s="506" t="s">
        <v>42</v>
      </c>
      <c r="V1019" s="521" t="s">
        <v>7</v>
      </c>
      <c r="W1019" s="51">
        <v>0.79</v>
      </c>
      <c r="X1019" s="357">
        <v>0.99</v>
      </c>
      <c r="Y1019" s="351" t="s">
        <v>353</v>
      </c>
      <c r="Z1019" s="5" t="s">
        <v>8</v>
      </c>
      <c r="AA1019" s="112" t="s">
        <v>19</v>
      </c>
    </row>
    <row r="1020" spans="1:29" x14ac:dyDescent="0.25">
      <c r="A1020" s="329">
        <v>45935</v>
      </c>
      <c r="B1020" s="5">
        <v>8</v>
      </c>
      <c r="D1020" s="5" t="s">
        <v>128</v>
      </c>
      <c r="E1020" s="6">
        <v>2.42</v>
      </c>
      <c r="G1020" s="362">
        <v>3</v>
      </c>
      <c r="H1020" s="362">
        <v>1</v>
      </c>
      <c r="I1020" s="8">
        <v>0.38</v>
      </c>
      <c r="L1020" s="5" t="s">
        <v>208</v>
      </c>
      <c r="M1020" s="237" t="s">
        <v>564</v>
      </c>
      <c r="N1020" s="345">
        <v>78</v>
      </c>
      <c r="O1020" s="38" t="s">
        <v>208</v>
      </c>
      <c r="P1020" s="5" t="s">
        <v>362</v>
      </c>
      <c r="Q1020" s="5" t="s">
        <v>363</v>
      </c>
      <c r="R1020" s="5" t="s">
        <v>696</v>
      </c>
      <c r="S1020" s="479">
        <v>64</v>
      </c>
      <c r="T1020" s="5" t="s">
        <v>47</v>
      </c>
      <c r="U1020" s="5" t="s">
        <v>42</v>
      </c>
      <c r="V1020" s="57" t="s">
        <v>10</v>
      </c>
      <c r="W1020" s="51">
        <v>0.15</v>
      </c>
      <c r="X1020" s="357" t="s">
        <v>53</v>
      </c>
      <c r="Y1020" s="351" t="s">
        <v>353</v>
      </c>
      <c r="Z1020" s="5" t="s">
        <v>13</v>
      </c>
      <c r="AA1020" s="112" t="s">
        <v>19</v>
      </c>
    </row>
    <row r="1021" spans="1:29" x14ac:dyDescent="0.25">
      <c r="A1021" s="329">
        <v>45935</v>
      </c>
      <c r="B1021" s="5">
        <v>8</v>
      </c>
      <c r="D1021" s="5" t="s">
        <v>128</v>
      </c>
      <c r="E1021" s="6">
        <v>2.42</v>
      </c>
      <c r="G1021" s="362">
        <v>3</v>
      </c>
      <c r="H1021" s="362">
        <v>1</v>
      </c>
      <c r="I1021" s="8">
        <v>0.38</v>
      </c>
      <c r="L1021" s="5" t="s">
        <v>208</v>
      </c>
      <c r="M1021" s="237" t="s">
        <v>564</v>
      </c>
      <c r="N1021" s="519">
        <v>81</v>
      </c>
      <c r="O1021" s="520" t="s">
        <v>128</v>
      </c>
      <c r="P1021" s="506" t="s">
        <v>130</v>
      </c>
      <c r="Q1021" s="506" t="s">
        <v>131</v>
      </c>
      <c r="R1021" s="506" t="s">
        <v>684</v>
      </c>
      <c r="S1021" s="479">
        <v>77</v>
      </c>
      <c r="T1021" s="506" t="s">
        <v>44</v>
      </c>
      <c r="U1021" s="506" t="s">
        <v>42</v>
      </c>
      <c r="V1021" s="521" t="s">
        <v>18</v>
      </c>
      <c r="W1021" s="51">
        <v>0.13</v>
      </c>
      <c r="X1021" s="357">
        <v>0.6</v>
      </c>
      <c r="Z1021" s="5" t="s">
        <v>8</v>
      </c>
      <c r="AA1021" s="112" t="s">
        <v>24</v>
      </c>
      <c r="AB1021" s="108" t="s">
        <v>518</v>
      </c>
      <c r="AC1021" s="57" t="s">
        <v>519</v>
      </c>
    </row>
    <row r="1022" spans="1:29" x14ac:dyDescent="0.25">
      <c r="A1022" s="329">
        <v>45935</v>
      </c>
      <c r="B1022" s="5">
        <v>8</v>
      </c>
      <c r="D1022" s="5" t="s">
        <v>128</v>
      </c>
      <c r="E1022" s="6">
        <v>2.42</v>
      </c>
      <c r="G1022" s="362">
        <v>3</v>
      </c>
      <c r="H1022" s="362">
        <v>1</v>
      </c>
      <c r="I1022" s="8">
        <v>0.38</v>
      </c>
      <c r="L1022" s="5" t="s">
        <v>208</v>
      </c>
      <c r="M1022" s="237" t="s">
        <v>564</v>
      </c>
      <c r="N1022" s="345" t="s">
        <v>31</v>
      </c>
      <c r="O1022" s="38" t="s">
        <v>208</v>
      </c>
      <c r="P1022" s="5" t="s">
        <v>362</v>
      </c>
      <c r="Q1022" s="5" t="s">
        <v>363</v>
      </c>
      <c r="R1022" s="5" t="s">
        <v>696</v>
      </c>
      <c r="S1022" s="479">
        <v>64</v>
      </c>
      <c r="T1022" s="5" t="s">
        <v>41</v>
      </c>
      <c r="U1022" s="5" t="s">
        <v>42</v>
      </c>
      <c r="V1022" s="57" t="s">
        <v>10</v>
      </c>
      <c r="W1022" s="51">
        <v>0.18</v>
      </c>
      <c r="X1022" s="357">
        <v>0.11</v>
      </c>
      <c r="Y1022" s="351" t="s">
        <v>353</v>
      </c>
      <c r="Z1022" s="5" t="s">
        <v>8</v>
      </c>
      <c r="AA1022" s="112" t="s">
        <v>34</v>
      </c>
      <c r="AB1022" s="108" t="s">
        <v>212</v>
      </c>
      <c r="AC1022" s="57" t="s">
        <v>213</v>
      </c>
    </row>
    <row r="1023" spans="1:29" x14ac:dyDescent="0.25">
      <c r="A1023" s="329">
        <v>45935</v>
      </c>
      <c r="B1023" s="5">
        <v>8</v>
      </c>
      <c r="D1023" s="5" t="s">
        <v>128</v>
      </c>
      <c r="E1023" s="6">
        <v>2.42</v>
      </c>
      <c r="G1023" s="362">
        <v>3</v>
      </c>
      <c r="H1023" s="362">
        <v>1</v>
      </c>
      <c r="I1023" s="8">
        <v>0.38</v>
      </c>
      <c r="L1023" s="5" t="s">
        <v>208</v>
      </c>
      <c r="M1023" s="237" t="s">
        <v>564</v>
      </c>
      <c r="N1023" s="519" t="s">
        <v>415</v>
      </c>
      <c r="O1023" s="520" t="s">
        <v>128</v>
      </c>
      <c r="P1023" s="506" t="s">
        <v>504</v>
      </c>
      <c r="Q1023" s="506" t="s">
        <v>520</v>
      </c>
      <c r="R1023" s="506" t="s">
        <v>699</v>
      </c>
      <c r="S1023" s="479">
        <v>75</v>
      </c>
      <c r="T1023" s="506" t="s">
        <v>41</v>
      </c>
      <c r="U1023" s="506" t="s">
        <v>42</v>
      </c>
      <c r="V1023" s="521" t="s">
        <v>10</v>
      </c>
      <c r="W1023" s="51">
        <v>0.23</v>
      </c>
      <c r="X1023" s="357">
        <v>0.67</v>
      </c>
      <c r="Y1023" s="351" t="s">
        <v>353</v>
      </c>
      <c r="Z1023" s="5" t="s">
        <v>8</v>
      </c>
      <c r="AA1023" s="112" t="s">
        <v>427</v>
      </c>
      <c r="AB1023" s="108" t="s">
        <v>518</v>
      </c>
      <c r="AC1023" s="57" t="s">
        <v>519</v>
      </c>
    </row>
    <row r="1024" spans="1:29" ht="15.75" thickBot="1" x14ac:dyDescent="0.3">
      <c r="A1024" s="330">
        <v>45935</v>
      </c>
      <c r="B1024" s="9">
        <v>8</v>
      </c>
      <c r="C1024" s="122"/>
      <c r="D1024" s="9" t="s">
        <v>128</v>
      </c>
      <c r="E1024" s="10">
        <v>2.42</v>
      </c>
      <c r="F1024" s="10"/>
      <c r="G1024" s="383">
        <v>3</v>
      </c>
      <c r="H1024" s="383">
        <v>1</v>
      </c>
      <c r="I1024" s="12">
        <v>0.38</v>
      </c>
      <c r="J1024" s="12"/>
      <c r="K1024" s="122"/>
      <c r="L1024" s="9" t="s">
        <v>208</v>
      </c>
      <c r="M1024" s="598" t="s">
        <v>564</v>
      </c>
      <c r="N1024" s="522" t="s">
        <v>312</v>
      </c>
      <c r="O1024" s="523" t="s">
        <v>128</v>
      </c>
      <c r="P1024" s="524" t="s">
        <v>569</v>
      </c>
      <c r="Q1024" s="524" t="s">
        <v>570</v>
      </c>
      <c r="R1024" s="524" t="s">
        <v>688</v>
      </c>
      <c r="S1024" s="481">
        <v>66</v>
      </c>
      <c r="T1024" s="524" t="s">
        <v>41</v>
      </c>
      <c r="U1024" s="524" t="s">
        <v>43</v>
      </c>
      <c r="V1024" s="525" t="s">
        <v>18</v>
      </c>
      <c r="W1024" s="52">
        <v>0.13</v>
      </c>
      <c r="X1024" s="358" t="s">
        <v>53</v>
      </c>
      <c r="Y1024" s="352"/>
      <c r="Z1024" s="9" t="s">
        <v>52</v>
      </c>
      <c r="AA1024" s="113" t="s">
        <v>427</v>
      </c>
      <c r="AB1024" s="109"/>
      <c r="AC1024" s="58"/>
    </row>
    <row r="1025" spans="1:29" ht="15.75" thickBot="1" x14ac:dyDescent="0.3">
      <c r="A1025" s="326">
        <v>45935</v>
      </c>
      <c r="B1025" s="207">
        <v>8</v>
      </c>
      <c r="C1025" s="208"/>
      <c r="D1025" s="207" t="s">
        <v>128</v>
      </c>
      <c r="E1025" s="209">
        <v>2.42</v>
      </c>
      <c r="F1025" s="209"/>
      <c r="G1025" s="460">
        <v>3</v>
      </c>
      <c r="H1025" s="460">
        <v>1</v>
      </c>
      <c r="I1025" s="211">
        <v>0.38</v>
      </c>
      <c r="J1025" s="211"/>
      <c r="K1025" s="208"/>
      <c r="L1025" s="207" t="s">
        <v>208</v>
      </c>
      <c r="M1025" s="235"/>
      <c r="N1025" s="347"/>
      <c r="O1025" s="343" t="s">
        <v>128</v>
      </c>
      <c r="P1025" s="199" t="s">
        <v>127</v>
      </c>
      <c r="Q1025" s="199" t="s">
        <v>476</v>
      </c>
      <c r="R1025" s="199" t="s">
        <v>707</v>
      </c>
      <c r="S1025" s="481">
        <v>65</v>
      </c>
      <c r="T1025" s="199"/>
      <c r="U1025" s="199"/>
      <c r="V1025" s="201"/>
      <c r="W1025" s="202"/>
      <c r="X1025" s="359"/>
      <c r="Y1025" s="353">
        <f>H1025</f>
        <v>1</v>
      </c>
      <c r="Z1025" s="199"/>
      <c r="AA1025" s="204"/>
      <c r="AB1025" s="205"/>
      <c r="AC1025" s="201"/>
    </row>
    <row r="1026" spans="1:29" ht="15.75" thickBot="1" x14ac:dyDescent="0.3">
      <c r="A1026" s="326">
        <v>45935</v>
      </c>
      <c r="B1026" s="207">
        <v>8</v>
      </c>
      <c r="C1026" s="208"/>
      <c r="D1026" s="207" t="s">
        <v>128</v>
      </c>
      <c r="E1026" s="209">
        <v>2.42</v>
      </c>
      <c r="F1026" s="209"/>
      <c r="G1026" s="460">
        <v>3</v>
      </c>
      <c r="H1026" s="460">
        <v>1</v>
      </c>
      <c r="I1026" s="211">
        <v>0.38</v>
      </c>
      <c r="J1026" s="211"/>
      <c r="K1026" s="208"/>
      <c r="L1026" s="207" t="s">
        <v>208</v>
      </c>
      <c r="M1026" s="235"/>
      <c r="N1026" s="347"/>
      <c r="O1026" s="343" t="s">
        <v>208</v>
      </c>
      <c r="P1026" s="199" t="s">
        <v>295</v>
      </c>
      <c r="Q1026" s="199" t="s">
        <v>735</v>
      </c>
      <c r="R1026" s="199" t="s">
        <v>707</v>
      </c>
      <c r="S1026" s="7">
        <v>59</v>
      </c>
      <c r="T1026" s="199"/>
      <c r="U1026" s="199"/>
      <c r="V1026" s="201"/>
      <c r="W1026" s="202"/>
      <c r="X1026" s="359"/>
      <c r="Y1026" s="353">
        <f>G1025</f>
        <v>3</v>
      </c>
      <c r="Z1026" s="199"/>
      <c r="AA1026" s="204"/>
      <c r="AB1026" s="205"/>
      <c r="AC1026" s="201"/>
    </row>
    <row r="1027" spans="1:29" x14ac:dyDescent="0.25">
      <c r="A1027" s="331">
        <v>45935</v>
      </c>
      <c r="B1027" s="13">
        <v>8</v>
      </c>
      <c r="C1027" s="124" t="s">
        <v>693</v>
      </c>
      <c r="D1027" s="13" t="s">
        <v>171</v>
      </c>
      <c r="E1027" s="14">
        <v>2.8</v>
      </c>
      <c r="F1027" s="14"/>
      <c r="G1027" s="375">
        <v>4</v>
      </c>
      <c r="H1027" s="375">
        <v>1</v>
      </c>
      <c r="I1027" s="16">
        <v>2.25</v>
      </c>
      <c r="J1027" s="16"/>
      <c r="K1027" s="124" t="s">
        <v>693</v>
      </c>
      <c r="L1027" s="13" t="s">
        <v>113</v>
      </c>
      <c r="M1027" s="47"/>
      <c r="N1027" s="556">
        <v>13</v>
      </c>
      <c r="O1027" s="557" t="s">
        <v>171</v>
      </c>
      <c r="P1027" s="558" t="s">
        <v>440</v>
      </c>
      <c r="Q1027" s="558" t="s">
        <v>21</v>
      </c>
      <c r="R1027" s="558" t="s">
        <v>686</v>
      </c>
      <c r="S1027" s="479">
        <v>72</v>
      </c>
      <c r="T1027" s="558" t="s">
        <v>41</v>
      </c>
      <c r="U1027" s="558" t="s">
        <v>42</v>
      </c>
      <c r="V1027" s="559" t="s">
        <v>7</v>
      </c>
      <c r="W1027" s="54">
        <v>0.79</v>
      </c>
      <c r="X1027" s="361">
        <v>0.92</v>
      </c>
      <c r="Y1027" s="355" t="s">
        <v>353</v>
      </c>
      <c r="Z1027" s="13" t="s">
        <v>8</v>
      </c>
      <c r="AA1027" s="115" t="s">
        <v>19</v>
      </c>
      <c r="AB1027" s="110"/>
      <c r="AC1027" s="60"/>
    </row>
    <row r="1028" spans="1:29" x14ac:dyDescent="0.25">
      <c r="A1028" s="329">
        <v>45935</v>
      </c>
      <c r="B1028" s="5">
        <v>8</v>
      </c>
      <c r="D1028" s="5" t="s">
        <v>171</v>
      </c>
      <c r="E1028" s="6">
        <v>2.8</v>
      </c>
      <c r="G1028" s="362">
        <v>4</v>
      </c>
      <c r="H1028" s="362">
        <v>1</v>
      </c>
      <c r="I1028" s="8">
        <v>2.25</v>
      </c>
      <c r="L1028" s="5" t="s">
        <v>113</v>
      </c>
      <c r="N1028" s="476">
        <v>22</v>
      </c>
      <c r="O1028" s="477" t="s">
        <v>171</v>
      </c>
      <c r="P1028" s="478" t="s">
        <v>441</v>
      </c>
      <c r="Q1028" s="478" t="s">
        <v>442</v>
      </c>
      <c r="R1028" s="478" t="s">
        <v>689</v>
      </c>
      <c r="S1028" s="479">
        <v>81</v>
      </c>
      <c r="T1028" s="478" t="s">
        <v>44</v>
      </c>
      <c r="U1028" s="478" t="s">
        <v>43</v>
      </c>
      <c r="V1028" s="480" t="s">
        <v>10</v>
      </c>
      <c r="W1028" s="51">
        <v>0.1</v>
      </c>
      <c r="X1028" s="357" t="s">
        <v>53</v>
      </c>
      <c r="Z1028" s="5" t="s">
        <v>22</v>
      </c>
      <c r="AA1028" s="112" t="s">
        <v>19</v>
      </c>
    </row>
    <row r="1029" spans="1:29" x14ac:dyDescent="0.25">
      <c r="A1029" s="329">
        <v>45935</v>
      </c>
      <c r="B1029" s="5">
        <v>8</v>
      </c>
      <c r="D1029" s="5" t="s">
        <v>171</v>
      </c>
      <c r="E1029" s="6">
        <v>2.8</v>
      </c>
      <c r="G1029" s="362">
        <v>4</v>
      </c>
      <c r="H1029" s="362">
        <v>1</v>
      </c>
      <c r="I1029" s="8">
        <v>2.25</v>
      </c>
      <c r="L1029" s="5" t="s">
        <v>113</v>
      </c>
      <c r="N1029" s="476">
        <v>25</v>
      </c>
      <c r="O1029" s="477" t="s">
        <v>171</v>
      </c>
      <c r="P1029" s="478" t="s">
        <v>190</v>
      </c>
      <c r="Q1029" s="478" t="s">
        <v>191</v>
      </c>
      <c r="R1029" s="478" t="s">
        <v>684</v>
      </c>
      <c r="S1029" s="479">
        <v>73</v>
      </c>
      <c r="T1029" s="478" t="s">
        <v>41</v>
      </c>
      <c r="U1029" s="478" t="s">
        <v>43</v>
      </c>
      <c r="V1029" s="480" t="s">
        <v>10</v>
      </c>
      <c r="W1029" s="51">
        <v>0.1</v>
      </c>
      <c r="X1029" s="357" t="s">
        <v>53</v>
      </c>
      <c r="Z1029" s="5" t="s">
        <v>16</v>
      </c>
      <c r="AA1029" s="112" t="s">
        <v>19</v>
      </c>
    </row>
    <row r="1030" spans="1:29" x14ac:dyDescent="0.25">
      <c r="A1030" s="329">
        <v>45935</v>
      </c>
      <c r="B1030" s="5">
        <v>8</v>
      </c>
      <c r="D1030" s="5" t="s">
        <v>171</v>
      </c>
      <c r="E1030" s="6">
        <v>2.8</v>
      </c>
      <c r="G1030" s="362">
        <v>4</v>
      </c>
      <c r="H1030" s="362">
        <v>1</v>
      </c>
      <c r="I1030" s="8">
        <v>2.25</v>
      </c>
      <c r="L1030" s="5" t="s">
        <v>113</v>
      </c>
      <c r="N1030" s="476">
        <v>27</v>
      </c>
      <c r="O1030" s="477" t="s">
        <v>171</v>
      </c>
      <c r="P1030" s="478" t="s">
        <v>190</v>
      </c>
      <c r="Q1030" s="478" t="s">
        <v>191</v>
      </c>
      <c r="R1030" s="478" t="s">
        <v>684</v>
      </c>
      <c r="S1030" s="479">
        <v>73</v>
      </c>
      <c r="T1030" s="478" t="s">
        <v>41</v>
      </c>
      <c r="U1030" s="478" t="s">
        <v>43</v>
      </c>
      <c r="V1030" s="480" t="s">
        <v>10</v>
      </c>
      <c r="W1030" s="51">
        <v>0.19</v>
      </c>
      <c r="X1030" s="357">
        <v>0.39</v>
      </c>
      <c r="Y1030" s="351" t="s">
        <v>353</v>
      </c>
      <c r="Z1030" s="5" t="s">
        <v>48</v>
      </c>
      <c r="AA1030" s="112" t="s">
        <v>19</v>
      </c>
    </row>
    <row r="1031" spans="1:29" x14ac:dyDescent="0.25">
      <c r="A1031" s="329">
        <v>45935</v>
      </c>
      <c r="B1031" s="5">
        <v>8</v>
      </c>
      <c r="D1031" s="5" t="s">
        <v>171</v>
      </c>
      <c r="E1031" s="6">
        <v>2.8</v>
      </c>
      <c r="G1031" s="362">
        <v>4</v>
      </c>
      <c r="H1031" s="362">
        <v>1</v>
      </c>
      <c r="I1031" s="8">
        <v>2.25</v>
      </c>
      <c r="L1031" s="5" t="s">
        <v>113</v>
      </c>
      <c r="N1031" s="345">
        <v>32</v>
      </c>
      <c r="O1031" s="38" t="s">
        <v>113</v>
      </c>
      <c r="P1031" s="5" t="s">
        <v>531</v>
      </c>
      <c r="Q1031" s="5" t="s">
        <v>532</v>
      </c>
      <c r="R1031" s="5" t="s">
        <v>689</v>
      </c>
      <c r="S1031" s="479">
        <v>62</v>
      </c>
      <c r="T1031" s="5" t="s">
        <v>41</v>
      </c>
      <c r="U1031" s="5" t="s">
        <v>45</v>
      </c>
      <c r="V1031" s="57" t="s">
        <v>20</v>
      </c>
      <c r="W1031" s="51">
        <v>0.06</v>
      </c>
      <c r="X1031" s="357">
        <v>0.63</v>
      </c>
      <c r="Z1031" s="5" t="s">
        <v>48</v>
      </c>
      <c r="AA1031" s="112" t="s">
        <v>19</v>
      </c>
    </row>
    <row r="1032" spans="1:29" x14ac:dyDescent="0.25">
      <c r="A1032" s="329">
        <v>45935</v>
      </c>
      <c r="B1032" s="5">
        <v>8</v>
      </c>
      <c r="D1032" s="5" t="s">
        <v>171</v>
      </c>
      <c r="E1032" s="6">
        <v>2.8</v>
      </c>
      <c r="G1032" s="362">
        <v>4</v>
      </c>
      <c r="H1032" s="362">
        <v>1</v>
      </c>
      <c r="I1032" s="8">
        <v>2.25</v>
      </c>
      <c r="L1032" s="5" t="s">
        <v>113</v>
      </c>
      <c r="N1032" s="476">
        <v>35</v>
      </c>
      <c r="O1032" s="477" t="s">
        <v>171</v>
      </c>
      <c r="P1032" s="478" t="s">
        <v>190</v>
      </c>
      <c r="Q1032" s="478" t="s">
        <v>191</v>
      </c>
      <c r="R1032" s="478" t="s">
        <v>684</v>
      </c>
      <c r="S1032" s="479">
        <v>73</v>
      </c>
      <c r="T1032" s="478" t="s">
        <v>41</v>
      </c>
      <c r="U1032" s="478" t="s">
        <v>43</v>
      </c>
      <c r="V1032" s="480" t="s">
        <v>10</v>
      </c>
      <c r="W1032" s="51">
        <v>0.25</v>
      </c>
      <c r="X1032" s="357" t="s">
        <v>53</v>
      </c>
      <c r="Y1032" s="351" t="s">
        <v>353</v>
      </c>
      <c r="Z1032" s="5" t="s">
        <v>13</v>
      </c>
      <c r="AA1032" s="112" t="s">
        <v>19</v>
      </c>
    </row>
    <row r="1033" spans="1:29" x14ac:dyDescent="0.25">
      <c r="A1033" s="329">
        <v>45935</v>
      </c>
      <c r="B1033" s="5">
        <v>8</v>
      </c>
      <c r="D1033" s="5" t="s">
        <v>171</v>
      </c>
      <c r="E1033" s="6">
        <v>2.8</v>
      </c>
      <c r="G1033" s="362">
        <v>4</v>
      </c>
      <c r="H1033" s="362">
        <v>1</v>
      </c>
      <c r="I1033" s="8">
        <v>2.25</v>
      </c>
      <c r="L1033" s="5" t="s">
        <v>113</v>
      </c>
      <c r="N1033" s="476">
        <v>37</v>
      </c>
      <c r="O1033" s="477" t="s">
        <v>171</v>
      </c>
      <c r="P1033" s="478" t="s">
        <v>190</v>
      </c>
      <c r="Q1033" s="478" t="s">
        <v>191</v>
      </c>
      <c r="R1033" s="478" t="s">
        <v>684</v>
      </c>
      <c r="S1033" s="479">
        <v>73</v>
      </c>
      <c r="T1033" s="478" t="s">
        <v>41</v>
      </c>
      <c r="U1033" s="478" t="s">
        <v>42</v>
      </c>
      <c r="V1033" s="480" t="s">
        <v>18</v>
      </c>
      <c r="W1033" s="51">
        <v>0.52</v>
      </c>
      <c r="X1033" s="357">
        <v>0.88</v>
      </c>
      <c r="Y1033" s="351" t="s">
        <v>353</v>
      </c>
      <c r="Z1033" s="5" t="s">
        <v>8</v>
      </c>
      <c r="AA1033" s="112" t="s">
        <v>24</v>
      </c>
      <c r="AB1033" s="108" t="s">
        <v>328</v>
      </c>
      <c r="AC1033" s="57" t="s">
        <v>329</v>
      </c>
    </row>
    <row r="1034" spans="1:29" x14ac:dyDescent="0.25">
      <c r="A1034" s="329">
        <v>45935</v>
      </c>
      <c r="B1034" s="5">
        <v>8</v>
      </c>
      <c r="D1034" s="5" t="s">
        <v>171</v>
      </c>
      <c r="E1034" s="6">
        <v>2.8</v>
      </c>
      <c r="G1034" s="362">
        <v>4</v>
      </c>
      <c r="H1034" s="362">
        <v>1</v>
      </c>
      <c r="I1034" s="8">
        <v>2.25</v>
      </c>
      <c r="L1034" s="5" t="s">
        <v>113</v>
      </c>
      <c r="N1034" s="345">
        <v>43</v>
      </c>
      <c r="O1034" s="38" t="s">
        <v>113</v>
      </c>
      <c r="P1034" s="5" t="s">
        <v>468</v>
      </c>
      <c r="Q1034" s="5" t="s">
        <v>469</v>
      </c>
      <c r="R1034" s="5" t="s">
        <v>686</v>
      </c>
      <c r="S1034" s="479">
        <v>70</v>
      </c>
      <c r="T1034" s="5" t="s">
        <v>41</v>
      </c>
      <c r="U1034" s="5" t="s">
        <v>43</v>
      </c>
      <c r="V1034" s="57" t="s">
        <v>10</v>
      </c>
      <c r="W1034" s="51">
        <v>0.34</v>
      </c>
      <c r="X1034" s="357">
        <v>0.46</v>
      </c>
      <c r="Y1034" s="351" t="s">
        <v>353</v>
      </c>
      <c r="Z1034" s="5" t="s">
        <v>48</v>
      </c>
      <c r="AA1034" s="112" t="s">
        <v>24</v>
      </c>
    </row>
    <row r="1035" spans="1:29" x14ac:dyDescent="0.25">
      <c r="A1035" s="329">
        <v>45935</v>
      </c>
      <c r="B1035" s="5">
        <v>8</v>
      </c>
      <c r="D1035" s="5" t="s">
        <v>171</v>
      </c>
      <c r="E1035" s="6">
        <v>2.8</v>
      </c>
      <c r="G1035" s="362">
        <v>4</v>
      </c>
      <c r="H1035" s="362">
        <v>1</v>
      </c>
      <c r="I1035" s="8">
        <v>2.25</v>
      </c>
      <c r="L1035" s="5" t="s">
        <v>113</v>
      </c>
      <c r="N1035" s="345" t="s">
        <v>266</v>
      </c>
      <c r="O1035" s="38" t="s">
        <v>113</v>
      </c>
      <c r="P1035" s="5" t="s">
        <v>468</v>
      </c>
      <c r="Q1035" s="5" t="s">
        <v>469</v>
      </c>
      <c r="R1035" s="5" t="s">
        <v>686</v>
      </c>
      <c r="S1035" s="479">
        <v>70</v>
      </c>
      <c r="T1035" s="5" t="s">
        <v>41</v>
      </c>
      <c r="U1035" s="5" t="s">
        <v>43</v>
      </c>
      <c r="V1035" s="57" t="s">
        <v>10</v>
      </c>
      <c r="W1035" s="51">
        <v>0.21</v>
      </c>
      <c r="X1035" s="357">
        <v>0.47</v>
      </c>
      <c r="Y1035" s="351" t="s">
        <v>353</v>
      </c>
      <c r="Z1035" s="5" t="s">
        <v>8</v>
      </c>
      <c r="AA1035" s="112" t="s">
        <v>34</v>
      </c>
      <c r="AB1035" s="108" t="s">
        <v>53</v>
      </c>
      <c r="AC1035" s="57" t="s">
        <v>126</v>
      </c>
    </row>
    <row r="1036" spans="1:29" x14ac:dyDescent="0.25">
      <c r="A1036" s="329">
        <v>45935</v>
      </c>
      <c r="B1036" s="5">
        <v>8</v>
      </c>
      <c r="D1036" s="5" t="s">
        <v>171</v>
      </c>
      <c r="E1036" s="6">
        <v>2.8</v>
      </c>
      <c r="G1036" s="362">
        <v>4</v>
      </c>
      <c r="H1036" s="362">
        <v>1</v>
      </c>
      <c r="I1036" s="8">
        <v>2.25</v>
      </c>
      <c r="L1036" s="5" t="s">
        <v>113</v>
      </c>
      <c r="N1036" s="345">
        <v>64</v>
      </c>
      <c r="O1036" s="38" t="s">
        <v>113</v>
      </c>
      <c r="P1036" s="5" t="s">
        <v>267</v>
      </c>
      <c r="Q1036" s="5" t="s">
        <v>75</v>
      </c>
      <c r="R1036" s="5" t="s">
        <v>696</v>
      </c>
      <c r="S1036" s="479">
        <v>67</v>
      </c>
      <c r="T1036" s="5" t="s">
        <v>41</v>
      </c>
      <c r="U1036" s="5" t="s">
        <v>45</v>
      </c>
      <c r="V1036" s="57" t="s">
        <v>20</v>
      </c>
      <c r="W1036" s="51">
        <v>0.05</v>
      </c>
      <c r="X1036" s="357">
        <v>0.19</v>
      </c>
      <c r="Z1036" s="5" t="s">
        <v>48</v>
      </c>
      <c r="AA1036" s="112" t="s">
        <v>34</v>
      </c>
    </row>
    <row r="1037" spans="1:29" x14ac:dyDescent="0.25">
      <c r="A1037" s="329">
        <v>45935</v>
      </c>
      <c r="B1037" s="5">
        <v>8</v>
      </c>
      <c r="D1037" s="5" t="s">
        <v>171</v>
      </c>
      <c r="E1037" s="6">
        <v>2.8</v>
      </c>
      <c r="G1037" s="362">
        <v>4</v>
      </c>
      <c r="H1037" s="362">
        <v>1</v>
      </c>
      <c r="I1037" s="8">
        <v>2.25</v>
      </c>
      <c r="L1037" s="5" t="s">
        <v>113</v>
      </c>
      <c r="N1037" s="345">
        <v>76</v>
      </c>
      <c r="O1037" s="38" t="s">
        <v>113</v>
      </c>
      <c r="P1037" s="5" t="s">
        <v>178</v>
      </c>
      <c r="Q1037" s="5" t="s">
        <v>407</v>
      </c>
      <c r="R1037" s="5" t="s">
        <v>684</v>
      </c>
      <c r="S1037" s="479">
        <v>56</v>
      </c>
      <c r="T1037" s="5" t="s">
        <v>41</v>
      </c>
      <c r="U1037" s="5" t="s">
        <v>42</v>
      </c>
      <c r="V1037" s="57" t="s">
        <v>7</v>
      </c>
      <c r="W1037" s="51">
        <v>0.79</v>
      </c>
      <c r="X1037" s="357" t="s">
        <v>53</v>
      </c>
      <c r="Y1037" s="351" t="s">
        <v>353</v>
      </c>
      <c r="Z1037" s="5" t="s">
        <v>16</v>
      </c>
      <c r="AA1037" s="112" t="s">
        <v>34</v>
      </c>
    </row>
    <row r="1038" spans="1:29" x14ac:dyDescent="0.25">
      <c r="A1038" s="329">
        <v>45935</v>
      </c>
      <c r="B1038" s="5">
        <v>8</v>
      </c>
      <c r="D1038" s="5" t="s">
        <v>171</v>
      </c>
      <c r="E1038" s="6">
        <v>2.8</v>
      </c>
      <c r="G1038" s="362">
        <v>4</v>
      </c>
      <c r="H1038" s="362">
        <v>1</v>
      </c>
      <c r="I1038" s="8">
        <v>2.25</v>
      </c>
      <c r="L1038" s="5" t="s">
        <v>113</v>
      </c>
      <c r="N1038" s="345">
        <v>81</v>
      </c>
      <c r="O1038" s="38" t="s">
        <v>113</v>
      </c>
      <c r="P1038" s="5" t="s">
        <v>529</v>
      </c>
      <c r="Q1038" s="5" t="s">
        <v>530</v>
      </c>
      <c r="R1038" s="5" t="s">
        <v>696</v>
      </c>
      <c r="S1038" s="479">
        <v>67</v>
      </c>
      <c r="T1038" s="5" t="s">
        <v>41</v>
      </c>
      <c r="U1038" s="5" t="s">
        <v>43</v>
      </c>
      <c r="V1038" s="57" t="s">
        <v>540</v>
      </c>
      <c r="W1038" s="51">
        <v>0.25</v>
      </c>
      <c r="X1038" s="357">
        <v>0.43</v>
      </c>
      <c r="Y1038" s="351" t="s">
        <v>353</v>
      </c>
      <c r="Z1038" s="5" t="s">
        <v>48</v>
      </c>
      <c r="AA1038" s="112" t="s">
        <v>34</v>
      </c>
    </row>
    <row r="1039" spans="1:29" x14ac:dyDescent="0.25">
      <c r="A1039" s="329">
        <v>45935</v>
      </c>
      <c r="B1039" s="5">
        <v>8</v>
      </c>
      <c r="D1039" s="5" t="s">
        <v>171</v>
      </c>
      <c r="E1039" s="6">
        <v>2.8</v>
      </c>
      <c r="G1039" s="362">
        <v>4</v>
      </c>
      <c r="H1039" s="362">
        <v>1</v>
      </c>
      <c r="I1039" s="8">
        <v>2.25</v>
      </c>
      <c r="L1039" s="5" t="s">
        <v>113</v>
      </c>
      <c r="N1039" s="345">
        <v>90</v>
      </c>
      <c r="O1039" s="38" t="s">
        <v>113</v>
      </c>
      <c r="P1039" s="5" t="s">
        <v>529</v>
      </c>
      <c r="Q1039" s="5" t="s">
        <v>530</v>
      </c>
      <c r="R1039" s="5" t="s">
        <v>696</v>
      </c>
      <c r="S1039" s="479">
        <v>67</v>
      </c>
      <c r="T1039" s="5" t="s">
        <v>41</v>
      </c>
      <c r="U1039" s="5" t="s">
        <v>42</v>
      </c>
      <c r="V1039" s="57" t="s">
        <v>10</v>
      </c>
      <c r="W1039" s="51">
        <v>0.14000000000000001</v>
      </c>
      <c r="X1039" s="357">
        <v>0.12</v>
      </c>
      <c r="Y1039" s="351" t="s">
        <v>353</v>
      </c>
      <c r="Z1039" s="5" t="s">
        <v>48</v>
      </c>
      <c r="AA1039" s="112" t="s">
        <v>34</v>
      </c>
    </row>
    <row r="1040" spans="1:29" x14ac:dyDescent="0.25">
      <c r="A1040" s="329">
        <v>45935</v>
      </c>
      <c r="B1040" s="5">
        <v>8</v>
      </c>
      <c r="D1040" s="5" t="s">
        <v>171</v>
      </c>
      <c r="E1040" s="6">
        <v>2.8</v>
      </c>
      <c r="G1040" s="362">
        <v>4</v>
      </c>
      <c r="H1040" s="362">
        <v>1</v>
      </c>
      <c r="I1040" s="8">
        <v>2.25</v>
      </c>
      <c r="L1040" s="5" t="s">
        <v>113</v>
      </c>
      <c r="N1040" s="476">
        <v>90</v>
      </c>
      <c r="O1040" s="477" t="s">
        <v>171</v>
      </c>
      <c r="P1040" s="478" t="s">
        <v>441</v>
      </c>
      <c r="Q1040" s="478" t="s">
        <v>442</v>
      </c>
      <c r="R1040" s="478" t="s">
        <v>689</v>
      </c>
      <c r="S1040" s="479">
        <v>81</v>
      </c>
      <c r="T1040" s="478" t="s">
        <v>41</v>
      </c>
      <c r="U1040" s="478" t="s">
        <v>42</v>
      </c>
      <c r="V1040" s="480" t="s">
        <v>18</v>
      </c>
      <c r="W1040" s="51">
        <v>0.05</v>
      </c>
      <c r="X1040" s="357">
        <v>0.12</v>
      </c>
      <c r="Z1040" s="5" t="s">
        <v>8</v>
      </c>
      <c r="AA1040" s="112" t="s">
        <v>427</v>
      </c>
      <c r="AB1040" s="108" t="s">
        <v>187</v>
      </c>
      <c r="AC1040" s="57" t="s">
        <v>188</v>
      </c>
    </row>
    <row r="1041" spans="1:29" ht="15.75" thickBot="1" x14ac:dyDescent="0.3">
      <c r="A1041" s="330">
        <v>45935</v>
      </c>
      <c r="B1041" s="9">
        <v>8</v>
      </c>
      <c r="C1041" s="122"/>
      <c r="D1041" s="9" t="s">
        <v>171</v>
      </c>
      <c r="E1041" s="10">
        <v>2.8</v>
      </c>
      <c r="F1041" s="10"/>
      <c r="G1041" s="383">
        <v>4</v>
      </c>
      <c r="H1041" s="383">
        <v>1</v>
      </c>
      <c r="I1041" s="12">
        <v>2.25</v>
      </c>
      <c r="J1041" s="12"/>
      <c r="K1041" s="122"/>
      <c r="L1041" s="9" t="s">
        <v>113</v>
      </c>
      <c r="M1041" s="45"/>
      <c r="N1041" s="511" t="s">
        <v>57</v>
      </c>
      <c r="O1041" s="512" t="s">
        <v>171</v>
      </c>
      <c r="P1041" s="513" t="s">
        <v>181</v>
      </c>
      <c r="Q1041" s="513" t="s">
        <v>182</v>
      </c>
      <c r="R1041" s="513" t="s">
        <v>696</v>
      </c>
      <c r="S1041" s="479">
        <v>69</v>
      </c>
      <c r="T1041" s="513" t="s">
        <v>41</v>
      </c>
      <c r="U1041" s="513" t="s">
        <v>42</v>
      </c>
      <c r="V1041" s="514" t="s">
        <v>18</v>
      </c>
      <c r="W1041" s="52">
        <v>0.61</v>
      </c>
      <c r="X1041" s="358">
        <v>0.85</v>
      </c>
      <c r="Y1041" s="352" t="s">
        <v>353</v>
      </c>
      <c r="Z1041" s="9" t="s">
        <v>8</v>
      </c>
      <c r="AA1041" s="113" t="s">
        <v>571</v>
      </c>
      <c r="AB1041" s="109" t="s">
        <v>676</v>
      </c>
      <c r="AC1041" s="58" t="s">
        <v>677</v>
      </c>
    </row>
    <row r="1042" spans="1:29" ht="15.75" thickBot="1" x14ac:dyDescent="0.3">
      <c r="A1042" s="326">
        <v>45935</v>
      </c>
      <c r="B1042" s="207">
        <v>8</v>
      </c>
      <c r="C1042" s="208"/>
      <c r="D1042" s="207" t="s">
        <v>171</v>
      </c>
      <c r="E1042" s="209">
        <v>2.8</v>
      </c>
      <c r="F1042" s="209"/>
      <c r="G1042" s="460">
        <v>4</v>
      </c>
      <c r="H1042" s="460">
        <v>1</v>
      </c>
      <c r="I1042" s="211">
        <v>2.25</v>
      </c>
      <c r="J1042" s="211"/>
      <c r="K1042" s="208"/>
      <c r="L1042" s="207" t="s">
        <v>113</v>
      </c>
      <c r="M1042" s="235"/>
      <c r="N1042" s="347"/>
      <c r="O1042" s="343" t="s">
        <v>171</v>
      </c>
      <c r="P1042" s="199" t="s">
        <v>524</v>
      </c>
      <c r="Q1042" s="199" t="s">
        <v>525</v>
      </c>
      <c r="R1042" s="199" t="s">
        <v>707</v>
      </c>
      <c r="S1042" s="479">
        <v>81</v>
      </c>
      <c r="T1042" s="199"/>
      <c r="U1042" s="199"/>
      <c r="V1042" s="201"/>
      <c r="W1042" s="202"/>
      <c r="X1042" s="359"/>
      <c r="Y1042" s="353">
        <f>H1042</f>
        <v>1</v>
      </c>
      <c r="Z1042" s="199"/>
      <c r="AA1042" s="204"/>
      <c r="AB1042" s="205"/>
      <c r="AC1042" s="201"/>
    </row>
    <row r="1043" spans="1:29" ht="15.75" thickBot="1" x14ac:dyDescent="0.3">
      <c r="A1043" s="326">
        <v>45935</v>
      </c>
      <c r="B1043" s="207">
        <v>8</v>
      </c>
      <c r="C1043" s="208"/>
      <c r="D1043" s="207" t="s">
        <v>171</v>
      </c>
      <c r="E1043" s="209">
        <v>2.8</v>
      </c>
      <c r="F1043" s="209"/>
      <c r="G1043" s="460">
        <v>4</v>
      </c>
      <c r="H1043" s="460">
        <v>1</v>
      </c>
      <c r="I1043" s="211">
        <v>2.25</v>
      </c>
      <c r="J1043" s="211"/>
      <c r="K1043" s="208"/>
      <c r="L1043" s="207" t="s">
        <v>113</v>
      </c>
      <c r="M1043" s="235"/>
      <c r="N1043" s="347"/>
      <c r="O1043" s="343" t="s">
        <v>113</v>
      </c>
      <c r="P1043" s="199" t="s">
        <v>738</v>
      </c>
      <c r="Q1043" s="199" t="s">
        <v>740</v>
      </c>
      <c r="R1043" s="199" t="s">
        <v>707</v>
      </c>
      <c r="S1043" s="481">
        <v>54</v>
      </c>
      <c r="T1043" s="199"/>
      <c r="U1043" s="199"/>
      <c r="V1043" s="201"/>
      <c r="W1043" s="202"/>
      <c r="X1043" s="359"/>
      <c r="Y1043" s="353">
        <f>G1042</f>
        <v>4</v>
      </c>
      <c r="Z1043" s="199"/>
      <c r="AA1043" s="204"/>
      <c r="AB1043" s="205"/>
      <c r="AC1043" s="201"/>
    </row>
    <row r="1044" spans="1:29" x14ac:dyDescent="0.25">
      <c r="A1044" s="331">
        <v>45935</v>
      </c>
      <c r="B1044" s="13">
        <v>8</v>
      </c>
      <c r="C1044" s="124" t="s">
        <v>693</v>
      </c>
      <c r="D1044" s="13" t="s">
        <v>192</v>
      </c>
      <c r="E1044" s="14">
        <v>2.2400000000000002</v>
      </c>
      <c r="F1044" s="14"/>
      <c r="G1044" s="375">
        <v>1</v>
      </c>
      <c r="H1044" s="375">
        <v>2</v>
      </c>
      <c r="I1044" s="16">
        <v>1.33</v>
      </c>
      <c r="J1044" s="16"/>
      <c r="K1044" s="124" t="s">
        <v>693</v>
      </c>
      <c r="L1044" s="13" t="s">
        <v>209</v>
      </c>
      <c r="M1044" s="47"/>
      <c r="N1044" s="556">
        <v>15</v>
      </c>
      <c r="O1044" s="557" t="s">
        <v>192</v>
      </c>
      <c r="P1044" s="558" t="s">
        <v>572</v>
      </c>
      <c r="Q1044" s="558" t="s">
        <v>573</v>
      </c>
      <c r="R1044" s="558" t="s">
        <v>687</v>
      </c>
      <c r="S1044" s="479">
        <v>73</v>
      </c>
      <c r="T1044" s="558" t="s">
        <v>44</v>
      </c>
      <c r="U1044" s="558" t="s">
        <v>42</v>
      </c>
      <c r="V1044" s="559" t="s">
        <v>20</v>
      </c>
      <c r="W1044" s="54">
        <v>0.05</v>
      </c>
      <c r="X1044" s="361">
        <v>0.4</v>
      </c>
      <c r="Y1044" s="355"/>
      <c r="Z1044" s="13" t="s">
        <v>8</v>
      </c>
      <c r="AA1044" s="115" t="s">
        <v>19</v>
      </c>
      <c r="AB1044" s="110" t="s">
        <v>678</v>
      </c>
      <c r="AC1044" s="60" t="s">
        <v>679</v>
      </c>
    </row>
    <row r="1045" spans="1:29" x14ac:dyDescent="0.25">
      <c r="A1045" s="329">
        <v>45935</v>
      </c>
      <c r="B1045" s="5">
        <v>8</v>
      </c>
      <c r="D1045" s="5" t="s">
        <v>192</v>
      </c>
      <c r="E1045" s="6">
        <v>2.2400000000000002</v>
      </c>
      <c r="G1045" s="362">
        <v>1</v>
      </c>
      <c r="H1045" s="362">
        <v>2</v>
      </c>
      <c r="I1045" s="8">
        <v>1.33</v>
      </c>
      <c r="L1045" s="5" t="s">
        <v>209</v>
      </c>
      <c r="N1045" s="345">
        <v>38</v>
      </c>
      <c r="O1045" s="38" t="s">
        <v>209</v>
      </c>
      <c r="P1045" s="5" t="s">
        <v>421</v>
      </c>
      <c r="Q1045" s="5" t="s">
        <v>422</v>
      </c>
      <c r="R1045" s="5" t="s">
        <v>712</v>
      </c>
      <c r="S1045" s="479">
        <v>64</v>
      </c>
      <c r="T1045" s="5" t="s">
        <v>41</v>
      </c>
      <c r="U1045" s="5" t="s">
        <v>45</v>
      </c>
      <c r="V1045" s="57" t="s">
        <v>10</v>
      </c>
      <c r="W1045" s="51">
        <v>0.12</v>
      </c>
      <c r="X1045" s="357" t="s">
        <v>53</v>
      </c>
      <c r="Z1045" s="5" t="s">
        <v>55</v>
      </c>
      <c r="AA1045" s="112" t="s">
        <v>19</v>
      </c>
    </row>
    <row r="1046" spans="1:29" x14ac:dyDescent="0.25">
      <c r="A1046" s="329">
        <v>45935</v>
      </c>
      <c r="B1046" s="5">
        <v>8</v>
      </c>
      <c r="D1046" s="5" t="s">
        <v>192</v>
      </c>
      <c r="E1046" s="6">
        <v>2.2400000000000002</v>
      </c>
      <c r="G1046" s="362">
        <v>1</v>
      </c>
      <c r="H1046" s="362">
        <v>2</v>
      </c>
      <c r="I1046" s="8">
        <v>1.33</v>
      </c>
      <c r="L1046" s="5" t="s">
        <v>209</v>
      </c>
      <c r="N1046" s="476" t="s">
        <v>12</v>
      </c>
      <c r="O1046" s="477" t="s">
        <v>192</v>
      </c>
      <c r="P1046" s="478" t="s">
        <v>278</v>
      </c>
      <c r="Q1046" s="478" t="s">
        <v>279</v>
      </c>
      <c r="R1046" s="478" t="s">
        <v>699</v>
      </c>
      <c r="S1046" s="479">
        <v>60</v>
      </c>
      <c r="T1046" s="478" t="s">
        <v>47</v>
      </c>
      <c r="U1046" s="478" t="s">
        <v>45</v>
      </c>
      <c r="V1046" s="480" t="s">
        <v>20</v>
      </c>
      <c r="W1046" s="51">
        <v>0.25</v>
      </c>
      <c r="X1046" s="357" t="s">
        <v>53</v>
      </c>
      <c r="Y1046" s="351" t="s">
        <v>353</v>
      </c>
      <c r="Z1046" s="5" t="s">
        <v>16</v>
      </c>
      <c r="AA1046" s="112" t="s">
        <v>19</v>
      </c>
    </row>
    <row r="1047" spans="1:29" x14ac:dyDescent="0.25">
      <c r="A1047" s="329">
        <v>45935</v>
      </c>
      <c r="B1047" s="5">
        <v>8</v>
      </c>
      <c r="D1047" s="5" t="s">
        <v>192</v>
      </c>
      <c r="E1047" s="6">
        <v>2.2400000000000002</v>
      </c>
      <c r="G1047" s="362">
        <v>1</v>
      </c>
      <c r="H1047" s="362">
        <v>2</v>
      </c>
      <c r="I1047" s="8">
        <v>1.33</v>
      </c>
      <c r="L1047" s="5" t="s">
        <v>209</v>
      </c>
      <c r="N1047" s="476">
        <v>46</v>
      </c>
      <c r="O1047" s="477" t="s">
        <v>192</v>
      </c>
      <c r="P1047" s="478" t="s">
        <v>410</v>
      </c>
      <c r="Q1047" s="478" t="s">
        <v>361</v>
      </c>
      <c r="R1047" s="478" t="s">
        <v>684</v>
      </c>
      <c r="S1047" s="479">
        <v>64</v>
      </c>
      <c r="T1047" s="478" t="s">
        <v>44</v>
      </c>
      <c r="U1047" s="478" t="s">
        <v>42</v>
      </c>
      <c r="V1047" s="480" t="s">
        <v>10</v>
      </c>
      <c r="W1047" s="51">
        <v>0.03</v>
      </c>
      <c r="X1047" s="357" t="s">
        <v>53</v>
      </c>
      <c r="Z1047" s="5" t="s">
        <v>22</v>
      </c>
      <c r="AA1047" s="112" t="s">
        <v>19</v>
      </c>
    </row>
    <row r="1048" spans="1:29" x14ac:dyDescent="0.25">
      <c r="A1048" s="329">
        <v>45935</v>
      </c>
      <c r="B1048" s="5">
        <v>8</v>
      </c>
      <c r="D1048" s="5" t="s">
        <v>192</v>
      </c>
      <c r="E1048" s="6">
        <v>2.2400000000000002</v>
      </c>
      <c r="G1048" s="362">
        <v>1</v>
      </c>
      <c r="H1048" s="362">
        <v>2</v>
      </c>
      <c r="I1048" s="8">
        <v>1.33</v>
      </c>
      <c r="L1048" s="5" t="s">
        <v>209</v>
      </c>
      <c r="N1048" s="476">
        <v>48</v>
      </c>
      <c r="O1048" s="477" t="s">
        <v>192</v>
      </c>
      <c r="P1048" s="478" t="s">
        <v>46</v>
      </c>
      <c r="Q1048" s="478" t="s">
        <v>191</v>
      </c>
      <c r="R1048" s="478" t="s">
        <v>688</v>
      </c>
      <c r="S1048" s="479">
        <v>61</v>
      </c>
      <c r="T1048" s="478" t="s">
        <v>44</v>
      </c>
      <c r="U1048" s="478" t="s">
        <v>42</v>
      </c>
      <c r="V1048" s="480" t="s">
        <v>20</v>
      </c>
      <c r="W1048" s="51">
        <v>0.01</v>
      </c>
      <c r="X1048" s="357" t="s">
        <v>53</v>
      </c>
      <c r="Z1048" s="5" t="s">
        <v>16</v>
      </c>
      <c r="AA1048" s="112" t="s">
        <v>19</v>
      </c>
    </row>
    <row r="1049" spans="1:29" x14ac:dyDescent="0.25">
      <c r="A1049" s="329">
        <v>45935</v>
      </c>
      <c r="B1049" s="5">
        <v>8</v>
      </c>
      <c r="D1049" s="5" t="s">
        <v>192</v>
      </c>
      <c r="E1049" s="6">
        <v>2.2400000000000002</v>
      </c>
      <c r="G1049" s="362">
        <v>1</v>
      </c>
      <c r="H1049" s="362">
        <v>2</v>
      </c>
      <c r="I1049" s="8">
        <v>1.33</v>
      </c>
      <c r="L1049" s="5" t="s">
        <v>209</v>
      </c>
      <c r="N1049" s="345">
        <v>49</v>
      </c>
      <c r="O1049" s="38" t="s">
        <v>209</v>
      </c>
      <c r="P1049" s="5" t="s">
        <v>222</v>
      </c>
      <c r="Q1049" s="5" t="s">
        <v>223</v>
      </c>
      <c r="R1049" s="5" t="s">
        <v>699</v>
      </c>
      <c r="S1049" s="479">
        <v>65</v>
      </c>
      <c r="T1049" s="5" t="s">
        <v>41</v>
      </c>
      <c r="U1049" s="5" t="s">
        <v>42</v>
      </c>
      <c r="V1049" s="57" t="s">
        <v>10</v>
      </c>
      <c r="W1049" s="51">
        <v>0.1</v>
      </c>
      <c r="X1049" s="357" t="s">
        <v>53</v>
      </c>
      <c r="Z1049" s="5" t="s">
        <v>52</v>
      </c>
      <c r="AA1049" s="112" t="s">
        <v>19</v>
      </c>
    </row>
    <row r="1050" spans="1:29" x14ac:dyDescent="0.25">
      <c r="A1050" s="329">
        <v>45935</v>
      </c>
      <c r="B1050" s="5">
        <v>8</v>
      </c>
      <c r="D1050" s="5" t="s">
        <v>192</v>
      </c>
      <c r="E1050" s="6">
        <v>2.2400000000000002</v>
      </c>
      <c r="G1050" s="362">
        <v>1</v>
      </c>
      <c r="H1050" s="362">
        <v>2</v>
      </c>
      <c r="I1050" s="8">
        <v>1.33</v>
      </c>
      <c r="L1050" s="5" t="s">
        <v>209</v>
      </c>
      <c r="N1050" s="345">
        <v>49</v>
      </c>
      <c r="O1050" s="38" t="s">
        <v>209</v>
      </c>
      <c r="P1050" s="5" t="s">
        <v>241</v>
      </c>
      <c r="Q1050" s="5" t="s">
        <v>396</v>
      </c>
      <c r="R1050" s="5" t="s">
        <v>687</v>
      </c>
      <c r="S1050" s="479">
        <v>75</v>
      </c>
      <c r="T1050" s="5" t="s">
        <v>44</v>
      </c>
      <c r="U1050" s="5" t="s">
        <v>43</v>
      </c>
      <c r="V1050" s="57" t="s">
        <v>540</v>
      </c>
      <c r="W1050" s="51">
        <v>0.06</v>
      </c>
      <c r="X1050" s="357">
        <v>0.28000000000000003</v>
      </c>
      <c r="Z1050" s="5" t="s">
        <v>48</v>
      </c>
      <c r="AA1050" s="112" t="s">
        <v>19</v>
      </c>
    </row>
    <row r="1051" spans="1:29" x14ac:dyDescent="0.25">
      <c r="A1051" s="329">
        <v>45935</v>
      </c>
      <c r="B1051" s="5">
        <v>8</v>
      </c>
      <c r="D1051" s="5" t="s">
        <v>192</v>
      </c>
      <c r="E1051" s="6">
        <v>2.2400000000000002</v>
      </c>
      <c r="G1051" s="362">
        <v>1</v>
      </c>
      <c r="H1051" s="362">
        <v>2</v>
      </c>
      <c r="I1051" s="8">
        <v>1.33</v>
      </c>
      <c r="L1051" s="5" t="s">
        <v>209</v>
      </c>
      <c r="N1051" s="345">
        <v>49</v>
      </c>
      <c r="O1051" s="38" t="s">
        <v>209</v>
      </c>
      <c r="P1051" s="5" t="s">
        <v>424</v>
      </c>
      <c r="Q1051" s="5" t="s">
        <v>425</v>
      </c>
      <c r="R1051" s="5" t="s">
        <v>685</v>
      </c>
      <c r="S1051" s="479">
        <v>76</v>
      </c>
      <c r="T1051" s="5" t="s">
        <v>47</v>
      </c>
      <c r="U1051" s="5" t="s">
        <v>45</v>
      </c>
      <c r="V1051" s="57" t="s">
        <v>540</v>
      </c>
      <c r="W1051" s="51">
        <v>0.27</v>
      </c>
      <c r="X1051" s="357" t="s">
        <v>53</v>
      </c>
      <c r="Y1051" s="351" t="s">
        <v>353</v>
      </c>
      <c r="Z1051" s="5" t="s">
        <v>22</v>
      </c>
      <c r="AA1051" s="112" t="s">
        <v>19</v>
      </c>
    </row>
    <row r="1052" spans="1:29" x14ac:dyDescent="0.25">
      <c r="A1052" s="329">
        <v>45935</v>
      </c>
      <c r="B1052" s="5">
        <v>8</v>
      </c>
      <c r="D1052" s="5" t="s">
        <v>192</v>
      </c>
      <c r="E1052" s="6">
        <v>2.2400000000000002</v>
      </c>
      <c r="G1052" s="362">
        <v>1</v>
      </c>
      <c r="H1052" s="362">
        <v>2</v>
      </c>
      <c r="I1052" s="8">
        <v>1.33</v>
      </c>
      <c r="L1052" s="5" t="s">
        <v>209</v>
      </c>
      <c r="N1052" s="476">
        <v>52</v>
      </c>
      <c r="O1052" s="477" t="s">
        <v>192</v>
      </c>
      <c r="P1052" s="478" t="s">
        <v>198</v>
      </c>
      <c r="Q1052" s="478" t="s">
        <v>199</v>
      </c>
      <c r="R1052" s="478" t="s">
        <v>685</v>
      </c>
      <c r="S1052" s="479">
        <v>66</v>
      </c>
      <c r="T1052" s="478" t="s">
        <v>41</v>
      </c>
      <c r="U1052" s="478" t="s">
        <v>42</v>
      </c>
      <c r="V1052" s="480" t="s">
        <v>10</v>
      </c>
      <c r="W1052" s="51">
        <v>0.45</v>
      </c>
      <c r="X1052" s="357">
        <v>0.6</v>
      </c>
      <c r="Z1052" s="5" t="s">
        <v>48</v>
      </c>
      <c r="AA1052" s="112" t="s">
        <v>19</v>
      </c>
    </row>
    <row r="1053" spans="1:29" x14ac:dyDescent="0.25">
      <c r="A1053" s="329">
        <v>45935</v>
      </c>
      <c r="B1053" s="5">
        <v>8</v>
      </c>
      <c r="D1053" s="5" t="s">
        <v>192</v>
      </c>
      <c r="E1053" s="6">
        <v>2.2400000000000002</v>
      </c>
      <c r="G1053" s="362">
        <v>1</v>
      </c>
      <c r="H1053" s="362">
        <v>2</v>
      </c>
      <c r="I1053" s="8">
        <v>1.33</v>
      </c>
      <c r="L1053" s="5" t="s">
        <v>209</v>
      </c>
      <c r="N1053" s="345">
        <v>54</v>
      </c>
      <c r="O1053" s="38" t="s">
        <v>209</v>
      </c>
      <c r="P1053" s="5" t="s">
        <v>220</v>
      </c>
      <c r="Q1053" s="5" t="s">
        <v>221</v>
      </c>
      <c r="R1053" s="5" t="s">
        <v>684</v>
      </c>
      <c r="S1053" s="7">
        <v>79</v>
      </c>
      <c r="T1053" s="5" t="s">
        <v>41</v>
      </c>
      <c r="U1053" s="5" t="s">
        <v>45</v>
      </c>
      <c r="V1053" s="57" t="s">
        <v>10</v>
      </c>
      <c r="W1053" s="51">
        <v>0.04</v>
      </c>
      <c r="X1053" s="357">
        <v>0.47</v>
      </c>
      <c r="Z1053" s="5" t="s">
        <v>8</v>
      </c>
      <c r="AA1053" s="112" t="s">
        <v>51</v>
      </c>
      <c r="AB1053" s="108" t="s">
        <v>680</v>
      </c>
      <c r="AC1053" s="57" t="s">
        <v>211</v>
      </c>
    </row>
    <row r="1054" spans="1:29" x14ac:dyDescent="0.25">
      <c r="A1054" s="329">
        <v>45935</v>
      </c>
      <c r="B1054" s="5">
        <v>8</v>
      </c>
      <c r="D1054" s="5" t="s">
        <v>192</v>
      </c>
      <c r="E1054" s="6">
        <v>2.2400000000000002</v>
      </c>
      <c r="G1054" s="362">
        <v>1</v>
      </c>
      <c r="H1054" s="362">
        <v>2</v>
      </c>
      <c r="I1054" s="8">
        <v>1.33</v>
      </c>
      <c r="L1054" s="5" t="s">
        <v>209</v>
      </c>
      <c r="N1054" s="476">
        <v>58</v>
      </c>
      <c r="O1054" s="477" t="s">
        <v>192</v>
      </c>
      <c r="P1054" s="478" t="s">
        <v>278</v>
      </c>
      <c r="Q1054" s="478" t="s">
        <v>279</v>
      </c>
      <c r="R1054" s="478" t="s">
        <v>699</v>
      </c>
      <c r="S1054" s="479">
        <v>60</v>
      </c>
      <c r="T1054" s="478" t="s">
        <v>44</v>
      </c>
      <c r="U1054" s="478" t="s">
        <v>42</v>
      </c>
      <c r="V1054" s="480" t="s">
        <v>10</v>
      </c>
      <c r="W1054" s="51">
        <v>0.02</v>
      </c>
      <c r="X1054" s="357">
        <v>0.38</v>
      </c>
      <c r="Z1054" s="5" t="s">
        <v>48</v>
      </c>
      <c r="AA1054" s="112" t="s">
        <v>51</v>
      </c>
    </row>
    <row r="1055" spans="1:29" x14ac:dyDescent="0.25">
      <c r="A1055" s="329">
        <v>45935</v>
      </c>
      <c r="B1055" s="5">
        <v>8</v>
      </c>
      <c r="D1055" s="5" t="s">
        <v>192</v>
      </c>
      <c r="E1055" s="6">
        <v>2.2400000000000002</v>
      </c>
      <c r="G1055" s="362">
        <v>1</v>
      </c>
      <c r="H1055" s="362">
        <v>2</v>
      </c>
      <c r="I1055" s="8">
        <v>1.33</v>
      </c>
      <c r="L1055" s="5" t="s">
        <v>209</v>
      </c>
      <c r="N1055" s="345">
        <v>63</v>
      </c>
      <c r="O1055" s="38" t="s">
        <v>209</v>
      </c>
      <c r="P1055" s="5" t="s">
        <v>424</v>
      </c>
      <c r="Q1055" s="5" t="s">
        <v>425</v>
      </c>
      <c r="R1055" s="5" t="s">
        <v>685</v>
      </c>
      <c r="S1055" s="479">
        <v>76</v>
      </c>
      <c r="T1055" s="5" t="s">
        <v>41</v>
      </c>
      <c r="U1055" s="5" t="s">
        <v>43</v>
      </c>
      <c r="V1055" s="57" t="s">
        <v>18</v>
      </c>
      <c r="W1055" s="51">
        <v>0.4</v>
      </c>
      <c r="X1055" s="357">
        <v>0.75</v>
      </c>
      <c r="Y1055" s="351" t="s">
        <v>353</v>
      </c>
      <c r="Z1055" s="5" t="s">
        <v>8</v>
      </c>
      <c r="AA1055" s="112" t="s">
        <v>67</v>
      </c>
      <c r="AB1055" s="108" t="s">
        <v>241</v>
      </c>
      <c r="AC1055" s="57" t="s">
        <v>396</v>
      </c>
    </row>
    <row r="1056" spans="1:29" x14ac:dyDescent="0.25">
      <c r="A1056" s="329">
        <v>45935</v>
      </c>
      <c r="B1056" s="5">
        <v>8</v>
      </c>
      <c r="D1056" s="5" t="s">
        <v>192</v>
      </c>
      <c r="E1056" s="6">
        <v>2.2400000000000002</v>
      </c>
      <c r="G1056" s="362">
        <v>1</v>
      </c>
      <c r="H1056" s="362">
        <v>2</v>
      </c>
      <c r="I1056" s="8">
        <v>1.33</v>
      </c>
      <c r="L1056" s="5" t="s">
        <v>209</v>
      </c>
      <c r="N1056" s="476">
        <v>67</v>
      </c>
      <c r="O1056" s="477" t="s">
        <v>192</v>
      </c>
      <c r="P1056" s="478" t="s">
        <v>410</v>
      </c>
      <c r="Q1056" s="478" t="s">
        <v>361</v>
      </c>
      <c r="R1056" s="478" t="s">
        <v>684</v>
      </c>
      <c r="S1056" s="479">
        <v>64</v>
      </c>
      <c r="T1056" s="478" t="s">
        <v>41</v>
      </c>
      <c r="U1056" s="478" t="s">
        <v>45</v>
      </c>
      <c r="V1056" s="480" t="s">
        <v>10</v>
      </c>
      <c r="W1056" s="51">
        <v>0.09</v>
      </c>
      <c r="X1056" s="357" t="s">
        <v>53</v>
      </c>
      <c r="Z1056" s="5" t="s">
        <v>22</v>
      </c>
      <c r="AA1056" s="112" t="s">
        <v>67</v>
      </c>
    </row>
    <row r="1057" spans="1:29" x14ac:dyDescent="0.25">
      <c r="A1057" s="329">
        <v>45935</v>
      </c>
      <c r="B1057" s="5">
        <v>8</v>
      </c>
      <c r="D1057" s="5" t="s">
        <v>192</v>
      </c>
      <c r="E1057" s="6">
        <v>2.2400000000000002</v>
      </c>
      <c r="G1057" s="362">
        <v>1</v>
      </c>
      <c r="H1057" s="362">
        <v>2</v>
      </c>
      <c r="I1057" s="8">
        <v>1.33</v>
      </c>
      <c r="L1057" s="5" t="s">
        <v>209</v>
      </c>
      <c r="N1057" s="476">
        <v>71</v>
      </c>
      <c r="O1057" s="477" t="s">
        <v>192</v>
      </c>
      <c r="P1057" s="478" t="s">
        <v>278</v>
      </c>
      <c r="Q1057" s="478" t="s">
        <v>279</v>
      </c>
      <c r="R1057" s="478" t="s">
        <v>699</v>
      </c>
      <c r="S1057" s="479">
        <v>60</v>
      </c>
      <c r="T1057" s="478" t="s">
        <v>41</v>
      </c>
      <c r="U1057" s="478" t="s">
        <v>42</v>
      </c>
      <c r="V1057" s="480" t="s">
        <v>10</v>
      </c>
      <c r="W1057" s="51">
        <v>0.11</v>
      </c>
      <c r="X1057" s="357" t="s">
        <v>53</v>
      </c>
      <c r="Z1057" s="5" t="s">
        <v>13</v>
      </c>
      <c r="AA1057" s="112" t="s">
        <v>67</v>
      </c>
    </row>
    <row r="1058" spans="1:29" x14ac:dyDescent="0.25">
      <c r="A1058" s="329">
        <v>45935</v>
      </c>
      <c r="B1058" s="5">
        <v>8</v>
      </c>
      <c r="D1058" s="5" t="s">
        <v>192</v>
      </c>
      <c r="E1058" s="6">
        <v>2.2400000000000002</v>
      </c>
      <c r="G1058" s="362">
        <v>1</v>
      </c>
      <c r="H1058" s="362">
        <v>2</v>
      </c>
      <c r="I1058" s="8">
        <v>1.33</v>
      </c>
      <c r="L1058" s="5" t="s">
        <v>209</v>
      </c>
      <c r="N1058" s="476">
        <v>79</v>
      </c>
      <c r="O1058" s="477" t="s">
        <v>192</v>
      </c>
      <c r="P1058" s="478" t="s">
        <v>410</v>
      </c>
      <c r="Q1058" s="478" t="s">
        <v>361</v>
      </c>
      <c r="R1058" s="478" t="s">
        <v>684</v>
      </c>
      <c r="S1058" s="479">
        <v>64</v>
      </c>
      <c r="T1058" s="478" t="s">
        <v>41</v>
      </c>
      <c r="U1058" s="478" t="s">
        <v>45</v>
      </c>
      <c r="V1058" s="480" t="s">
        <v>10</v>
      </c>
      <c r="W1058" s="51">
        <v>0.17</v>
      </c>
      <c r="X1058" s="357">
        <v>0.37</v>
      </c>
      <c r="Z1058" s="5" t="s">
        <v>48</v>
      </c>
      <c r="AA1058" s="112" t="s">
        <v>67</v>
      </c>
    </row>
    <row r="1059" spans="1:29" x14ac:dyDescent="0.25">
      <c r="A1059" s="329">
        <v>45935</v>
      </c>
      <c r="B1059" s="5">
        <v>8</v>
      </c>
      <c r="D1059" s="5" t="s">
        <v>192</v>
      </c>
      <c r="E1059" s="6">
        <v>2.2400000000000002</v>
      </c>
      <c r="G1059" s="362">
        <v>1</v>
      </c>
      <c r="H1059" s="362">
        <v>2</v>
      </c>
      <c r="I1059" s="8">
        <v>1.33</v>
      </c>
      <c r="L1059" s="5" t="s">
        <v>209</v>
      </c>
      <c r="N1059" s="476" t="s">
        <v>31</v>
      </c>
      <c r="O1059" s="477" t="s">
        <v>192</v>
      </c>
      <c r="P1059" s="478" t="s">
        <v>410</v>
      </c>
      <c r="Q1059" s="478" t="s">
        <v>361</v>
      </c>
      <c r="R1059" s="478" t="s">
        <v>684</v>
      </c>
      <c r="S1059" s="479">
        <v>64</v>
      </c>
      <c r="T1059" s="478" t="s">
        <v>41</v>
      </c>
      <c r="U1059" s="478" t="s">
        <v>45</v>
      </c>
      <c r="V1059" s="480" t="s">
        <v>540</v>
      </c>
      <c r="W1059" s="51">
        <v>0.1</v>
      </c>
      <c r="X1059" s="357" t="s">
        <v>53</v>
      </c>
      <c r="Z1059" s="5" t="s">
        <v>55</v>
      </c>
      <c r="AA1059" s="112" t="s">
        <v>67</v>
      </c>
    </row>
    <row r="1060" spans="1:29" x14ac:dyDescent="0.25">
      <c r="A1060" s="329">
        <v>45935</v>
      </c>
      <c r="B1060" s="5">
        <v>8</v>
      </c>
      <c r="D1060" s="5" t="s">
        <v>192</v>
      </c>
      <c r="E1060" s="6">
        <v>2.2400000000000002</v>
      </c>
      <c r="G1060" s="362">
        <v>1</v>
      </c>
      <c r="H1060" s="362">
        <v>2</v>
      </c>
      <c r="I1060" s="8">
        <v>1.33</v>
      </c>
      <c r="L1060" s="5" t="s">
        <v>209</v>
      </c>
      <c r="N1060" s="345" t="s">
        <v>312</v>
      </c>
      <c r="O1060" s="38" t="s">
        <v>209</v>
      </c>
      <c r="P1060" s="5" t="s">
        <v>424</v>
      </c>
      <c r="Q1060" s="5" t="s">
        <v>425</v>
      </c>
      <c r="R1060" s="5" t="s">
        <v>685</v>
      </c>
      <c r="S1060" s="7">
        <v>76</v>
      </c>
      <c r="T1060" s="5" t="s">
        <v>354</v>
      </c>
      <c r="U1060" s="5" t="s">
        <v>42</v>
      </c>
      <c r="V1060" s="57" t="s">
        <v>18</v>
      </c>
      <c r="W1060" s="51">
        <v>0.12</v>
      </c>
      <c r="X1060" s="357" t="s">
        <v>53</v>
      </c>
      <c r="Z1060" s="5" t="s">
        <v>13</v>
      </c>
      <c r="AA1060" s="112" t="s">
        <v>67</v>
      </c>
    </row>
    <row r="1061" spans="1:29" ht="15.75" thickBot="1" x14ac:dyDescent="0.3">
      <c r="A1061" s="330">
        <v>45935</v>
      </c>
      <c r="B1061" s="9">
        <v>8</v>
      </c>
      <c r="C1061" s="122"/>
      <c r="D1061" s="9" t="s">
        <v>192</v>
      </c>
      <c r="E1061" s="10">
        <v>2.2400000000000002</v>
      </c>
      <c r="F1061" s="10"/>
      <c r="G1061" s="383">
        <v>1</v>
      </c>
      <c r="H1061" s="383">
        <v>2</v>
      </c>
      <c r="I1061" s="12">
        <v>1.33</v>
      </c>
      <c r="J1061" s="12"/>
      <c r="K1061" s="122"/>
      <c r="L1061" s="9" t="s">
        <v>209</v>
      </c>
      <c r="M1061" s="45"/>
      <c r="N1061" s="511" t="s">
        <v>574</v>
      </c>
      <c r="O1061" s="512" t="s">
        <v>192</v>
      </c>
      <c r="P1061" s="513" t="s">
        <v>278</v>
      </c>
      <c r="Q1061" s="513" t="s">
        <v>279</v>
      </c>
      <c r="R1061" s="513" t="s">
        <v>699</v>
      </c>
      <c r="S1061" s="479">
        <v>60</v>
      </c>
      <c r="T1061" s="513" t="s">
        <v>41</v>
      </c>
      <c r="U1061" s="513" t="s">
        <v>42</v>
      </c>
      <c r="V1061" s="514" t="s">
        <v>7</v>
      </c>
      <c r="W1061" s="52">
        <v>0.79</v>
      </c>
      <c r="X1061" s="358">
        <v>0.65</v>
      </c>
      <c r="Y1061" s="352" t="s">
        <v>353</v>
      </c>
      <c r="Z1061" s="9" t="s">
        <v>48</v>
      </c>
      <c r="AA1061" s="113" t="s">
        <v>67</v>
      </c>
      <c r="AB1061" s="109"/>
      <c r="AC1061" s="58"/>
    </row>
    <row r="1062" spans="1:29" ht="15.75" thickBot="1" x14ac:dyDescent="0.3">
      <c r="A1062" s="326">
        <v>45935</v>
      </c>
      <c r="B1062" s="207">
        <v>8</v>
      </c>
      <c r="C1062" s="208"/>
      <c r="D1062" s="207" t="s">
        <v>192</v>
      </c>
      <c r="E1062" s="209">
        <v>2.2400000000000002</v>
      </c>
      <c r="F1062" s="209"/>
      <c r="G1062" s="460">
        <v>1</v>
      </c>
      <c r="H1062" s="460">
        <v>2</v>
      </c>
      <c r="I1062" s="211">
        <v>1.33</v>
      </c>
      <c r="J1062" s="211"/>
      <c r="K1062" s="208"/>
      <c r="L1062" s="207" t="s">
        <v>209</v>
      </c>
      <c r="M1062" s="235"/>
      <c r="N1062" s="347"/>
      <c r="O1062" s="343" t="s">
        <v>192</v>
      </c>
      <c r="P1062" s="199" t="s">
        <v>723</v>
      </c>
      <c r="Q1062" s="199" t="s">
        <v>724</v>
      </c>
      <c r="R1062" s="199" t="s">
        <v>707</v>
      </c>
      <c r="S1062" s="7">
        <v>63</v>
      </c>
      <c r="T1062" s="199"/>
      <c r="U1062" s="199"/>
      <c r="V1062" s="201"/>
      <c r="W1062" s="202"/>
      <c r="X1062" s="359"/>
      <c r="Y1062" s="353">
        <f>H1062</f>
        <v>2</v>
      </c>
      <c r="Z1062" s="199"/>
      <c r="AA1062" s="204"/>
      <c r="AB1062" s="205"/>
      <c r="AC1062" s="201"/>
    </row>
    <row r="1063" spans="1:29" ht="15.75" thickBot="1" x14ac:dyDescent="0.3">
      <c r="A1063" s="326">
        <v>45935</v>
      </c>
      <c r="B1063" s="207">
        <v>8</v>
      </c>
      <c r="C1063" s="208"/>
      <c r="D1063" s="207" t="s">
        <v>192</v>
      </c>
      <c r="E1063" s="209">
        <v>2.2400000000000002</v>
      </c>
      <c r="F1063" s="209"/>
      <c r="G1063" s="460">
        <v>1</v>
      </c>
      <c r="H1063" s="460">
        <v>2</v>
      </c>
      <c r="I1063" s="211">
        <v>1.33</v>
      </c>
      <c r="J1063" s="211"/>
      <c r="K1063" s="208"/>
      <c r="L1063" s="207" t="s">
        <v>209</v>
      </c>
      <c r="M1063" s="235"/>
      <c r="N1063" s="347"/>
      <c r="O1063" s="343" t="s">
        <v>209</v>
      </c>
      <c r="P1063" s="199" t="s">
        <v>447</v>
      </c>
      <c r="Q1063" s="199" t="s">
        <v>150</v>
      </c>
      <c r="R1063" s="199" t="s">
        <v>707</v>
      </c>
      <c r="S1063" s="479">
        <v>75</v>
      </c>
      <c r="T1063" s="199"/>
      <c r="U1063" s="199"/>
      <c r="V1063" s="201"/>
      <c r="W1063" s="202"/>
      <c r="X1063" s="359"/>
      <c r="Y1063" s="353">
        <f>G1062</f>
        <v>1</v>
      </c>
      <c r="Z1063" s="199"/>
      <c r="AA1063" s="204"/>
      <c r="AB1063" s="205"/>
      <c r="AC1063" s="201"/>
    </row>
    <row r="1064" spans="1:29" x14ac:dyDescent="0.25">
      <c r="A1064" s="331">
        <v>45935</v>
      </c>
      <c r="B1064" s="13">
        <v>8</v>
      </c>
      <c r="C1064" s="124" t="s">
        <v>697</v>
      </c>
      <c r="D1064" s="13" t="s">
        <v>146</v>
      </c>
      <c r="E1064" s="14">
        <v>0.79</v>
      </c>
      <c r="F1064" s="14"/>
      <c r="G1064" s="375">
        <v>0</v>
      </c>
      <c r="H1064" s="375">
        <v>1</v>
      </c>
      <c r="I1064" s="16">
        <v>0.8</v>
      </c>
      <c r="J1064" s="16"/>
      <c r="K1064" s="124" t="s">
        <v>693</v>
      </c>
      <c r="L1064" s="13" t="s">
        <v>70</v>
      </c>
      <c r="M1064" s="47"/>
      <c r="N1064" s="349">
        <v>37</v>
      </c>
      <c r="O1064" s="458" t="s">
        <v>70</v>
      </c>
      <c r="P1064" s="13" t="s">
        <v>458</v>
      </c>
      <c r="Q1064" s="13" t="s">
        <v>73</v>
      </c>
      <c r="R1064" s="13" t="s">
        <v>686</v>
      </c>
      <c r="S1064" s="479">
        <v>64</v>
      </c>
      <c r="T1064" s="13" t="s">
        <v>354</v>
      </c>
      <c r="U1064" s="13" t="s">
        <v>42</v>
      </c>
      <c r="V1064" s="60" t="s">
        <v>540</v>
      </c>
      <c r="W1064" s="54">
        <v>0.1</v>
      </c>
      <c r="X1064" s="361" t="s">
        <v>53</v>
      </c>
      <c r="Y1064" s="355" t="s">
        <v>353</v>
      </c>
      <c r="Z1064" s="13" t="s">
        <v>16</v>
      </c>
      <c r="AA1064" s="115" t="s">
        <v>28</v>
      </c>
      <c r="AB1064" s="110"/>
      <c r="AC1064" s="60"/>
    </row>
    <row r="1065" spans="1:29" x14ac:dyDescent="0.25">
      <c r="A1065" s="329">
        <v>45935</v>
      </c>
      <c r="B1065" s="5">
        <v>8</v>
      </c>
      <c r="D1065" s="5" t="s">
        <v>146</v>
      </c>
      <c r="E1065" s="6">
        <v>0.79</v>
      </c>
      <c r="G1065" s="362">
        <v>0</v>
      </c>
      <c r="H1065" s="362">
        <v>1</v>
      </c>
      <c r="I1065" s="8">
        <v>0.8</v>
      </c>
      <c r="L1065" s="5" t="s">
        <v>70</v>
      </c>
      <c r="N1065" s="476">
        <v>49</v>
      </c>
      <c r="O1065" s="477" t="s">
        <v>146</v>
      </c>
      <c r="P1065" s="478" t="s">
        <v>159</v>
      </c>
      <c r="Q1065" s="478" t="s">
        <v>160</v>
      </c>
      <c r="R1065" s="478" t="s">
        <v>684</v>
      </c>
      <c r="S1065" s="479">
        <v>70</v>
      </c>
      <c r="T1065" s="478" t="s">
        <v>41</v>
      </c>
      <c r="U1065" s="478" t="s">
        <v>43</v>
      </c>
      <c r="V1065" s="480" t="s">
        <v>10</v>
      </c>
      <c r="W1065" s="51">
        <v>0.12</v>
      </c>
      <c r="X1065" s="357" t="s">
        <v>53</v>
      </c>
      <c r="Z1065" s="5" t="s">
        <v>52</v>
      </c>
      <c r="AA1065" s="112" t="s">
        <v>28</v>
      </c>
    </row>
    <row r="1066" spans="1:29" x14ac:dyDescent="0.25">
      <c r="A1066" s="329">
        <v>45935</v>
      </c>
      <c r="B1066" s="5">
        <v>8</v>
      </c>
      <c r="D1066" s="5" t="s">
        <v>146</v>
      </c>
      <c r="E1066" s="6">
        <v>0.79</v>
      </c>
      <c r="G1066" s="362">
        <v>0</v>
      </c>
      <c r="H1066" s="362">
        <v>1</v>
      </c>
      <c r="I1066" s="8">
        <v>0.8</v>
      </c>
      <c r="L1066" s="5" t="s">
        <v>70</v>
      </c>
      <c r="N1066" s="476">
        <v>49</v>
      </c>
      <c r="O1066" s="477" t="s">
        <v>146</v>
      </c>
      <c r="P1066" s="478" t="s">
        <v>298</v>
      </c>
      <c r="Q1066" s="478" t="s">
        <v>422</v>
      </c>
      <c r="R1066" s="478" t="s">
        <v>688</v>
      </c>
      <c r="S1066" s="479">
        <v>70</v>
      </c>
      <c r="T1066" s="478" t="s">
        <v>41</v>
      </c>
      <c r="U1066" s="478" t="s">
        <v>43</v>
      </c>
      <c r="V1066" s="480" t="s">
        <v>20</v>
      </c>
      <c r="W1066" s="51">
        <v>0.13</v>
      </c>
      <c r="X1066" s="357" t="s">
        <v>53</v>
      </c>
      <c r="Y1066" s="351" t="s">
        <v>353</v>
      </c>
      <c r="Z1066" s="5" t="s">
        <v>52</v>
      </c>
      <c r="AA1066" s="112" t="s">
        <v>28</v>
      </c>
    </row>
    <row r="1067" spans="1:29" x14ac:dyDescent="0.25">
      <c r="A1067" s="329">
        <v>45935</v>
      </c>
      <c r="B1067" s="5">
        <v>8</v>
      </c>
      <c r="D1067" s="5" t="s">
        <v>146</v>
      </c>
      <c r="E1067" s="6">
        <v>0.79</v>
      </c>
      <c r="G1067" s="362">
        <v>0</v>
      </c>
      <c r="H1067" s="362">
        <v>1</v>
      </c>
      <c r="I1067" s="8">
        <v>0.8</v>
      </c>
      <c r="L1067" s="5" t="s">
        <v>70</v>
      </c>
      <c r="N1067" s="476">
        <v>53</v>
      </c>
      <c r="O1067" s="477" t="s">
        <v>146</v>
      </c>
      <c r="P1067" s="478" t="s">
        <v>159</v>
      </c>
      <c r="Q1067" s="478" t="s">
        <v>160</v>
      </c>
      <c r="R1067" s="478" t="s">
        <v>684</v>
      </c>
      <c r="S1067" s="479">
        <v>70</v>
      </c>
      <c r="T1067" s="478" t="s">
        <v>354</v>
      </c>
      <c r="U1067" s="478" t="s">
        <v>43</v>
      </c>
      <c r="V1067" s="480" t="s">
        <v>10</v>
      </c>
      <c r="W1067" s="51">
        <v>0.03</v>
      </c>
      <c r="X1067" s="357">
        <v>0.62</v>
      </c>
      <c r="Z1067" s="5" t="s">
        <v>48</v>
      </c>
      <c r="AA1067" s="112" t="s">
        <v>28</v>
      </c>
    </row>
    <row r="1068" spans="1:29" x14ac:dyDescent="0.25">
      <c r="A1068" s="329">
        <v>45935</v>
      </c>
      <c r="B1068" s="5">
        <v>8</v>
      </c>
      <c r="D1068" s="5" t="s">
        <v>146</v>
      </c>
      <c r="E1068" s="6">
        <v>0.79</v>
      </c>
      <c r="G1068" s="362">
        <v>0</v>
      </c>
      <c r="H1068" s="362">
        <v>1</v>
      </c>
      <c r="I1068" s="8">
        <v>0.8</v>
      </c>
      <c r="L1068" s="5" t="s">
        <v>70</v>
      </c>
      <c r="N1068" s="345">
        <v>57</v>
      </c>
      <c r="O1068" s="38" t="s">
        <v>70</v>
      </c>
      <c r="P1068" s="5" t="s">
        <v>80</v>
      </c>
      <c r="Q1068" s="5" t="s">
        <v>81</v>
      </c>
      <c r="R1068" s="5" t="s">
        <v>688</v>
      </c>
      <c r="S1068" s="481">
        <v>70</v>
      </c>
      <c r="T1068" s="5" t="s">
        <v>41</v>
      </c>
      <c r="U1068" s="5" t="s">
        <v>43</v>
      </c>
      <c r="V1068" s="57" t="s">
        <v>10</v>
      </c>
      <c r="W1068" s="51">
        <v>0.12</v>
      </c>
      <c r="X1068" s="357" t="s">
        <v>53</v>
      </c>
      <c r="Y1068" s="351" t="s">
        <v>353</v>
      </c>
      <c r="Z1068" s="5" t="s">
        <v>52</v>
      </c>
      <c r="AA1068" s="112" t="s">
        <v>28</v>
      </c>
    </row>
    <row r="1069" spans="1:29" x14ac:dyDescent="0.25">
      <c r="A1069" s="329">
        <v>45935</v>
      </c>
      <c r="B1069" s="5">
        <v>8</v>
      </c>
      <c r="D1069" s="5" t="s">
        <v>146</v>
      </c>
      <c r="E1069" s="6">
        <v>0.79</v>
      </c>
      <c r="G1069" s="362">
        <v>0</v>
      </c>
      <c r="H1069" s="362">
        <v>1</v>
      </c>
      <c r="I1069" s="8">
        <v>0.8</v>
      </c>
      <c r="L1069" s="5" t="s">
        <v>70</v>
      </c>
      <c r="N1069" s="476">
        <v>68</v>
      </c>
      <c r="O1069" s="477" t="s">
        <v>146</v>
      </c>
      <c r="P1069" s="478" t="s">
        <v>159</v>
      </c>
      <c r="Q1069" s="478" t="s">
        <v>160</v>
      </c>
      <c r="R1069" s="478" t="s">
        <v>684</v>
      </c>
      <c r="S1069" s="481">
        <v>70</v>
      </c>
      <c r="T1069" s="478" t="s">
        <v>47</v>
      </c>
      <c r="U1069" s="478" t="s">
        <v>42</v>
      </c>
      <c r="V1069" s="480" t="s">
        <v>18</v>
      </c>
      <c r="W1069" s="51">
        <v>0.11</v>
      </c>
      <c r="X1069" s="357" t="s">
        <v>53</v>
      </c>
      <c r="Z1069" s="5" t="s">
        <v>52</v>
      </c>
      <c r="AA1069" s="112" t="s">
        <v>28</v>
      </c>
    </row>
    <row r="1070" spans="1:29" x14ac:dyDescent="0.25">
      <c r="A1070" s="329">
        <v>45935</v>
      </c>
      <c r="B1070" s="5">
        <v>8</v>
      </c>
      <c r="D1070" s="5" t="s">
        <v>146</v>
      </c>
      <c r="E1070" s="6">
        <v>0.79</v>
      </c>
      <c r="G1070" s="362">
        <v>0</v>
      </c>
      <c r="H1070" s="362">
        <v>1</v>
      </c>
      <c r="I1070" s="8">
        <v>0.8</v>
      </c>
      <c r="L1070" s="5" t="s">
        <v>70</v>
      </c>
      <c r="N1070" s="345">
        <v>81</v>
      </c>
      <c r="O1070" s="38" t="s">
        <v>70</v>
      </c>
      <c r="P1070" s="5" t="s">
        <v>457</v>
      </c>
      <c r="Q1070" s="5" t="s">
        <v>138</v>
      </c>
      <c r="R1070" s="5" t="s">
        <v>696</v>
      </c>
      <c r="S1070" s="481">
        <v>63</v>
      </c>
      <c r="T1070" s="5" t="s">
        <v>354</v>
      </c>
      <c r="U1070" s="5" t="s">
        <v>42</v>
      </c>
      <c r="V1070" s="57" t="s">
        <v>33</v>
      </c>
      <c r="W1070" s="51">
        <v>0.01</v>
      </c>
      <c r="X1070" s="357">
        <v>0.23</v>
      </c>
      <c r="Z1070" s="5" t="s">
        <v>48</v>
      </c>
      <c r="AA1070" s="112" t="s">
        <v>28</v>
      </c>
    </row>
    <row r="1071" spans="1:29" x14ac:dyDescent="0.25">
      <c r="A1071" s="329">
        <v>45935</v>
      </c>
      <c r="B1071" s="5">
        <v>8</v>
      </c>
      <c r="D1071" s="5" t="s">
        <v>146</v>
      </c>
      <c r="E1071" s="6">
        <v>0.79</v>
      </c>
      <c r="G1071" s="362">
        <v>0</v>
      </c>
      <c r="H1071" s="362">
        <v>1</v>
      </c>
      <c r="I1071" s="8">
        <v>0.8</v>
      </c>
      <c r="L1071" s="5" t="s">
        <v>70</v>
      </c>
      <c r="N1071" s="345">
        <v>82</v>
      </c>
      <c r="O1071" s="38" t="s">
        <v>70</v>
      </c>
      <c r="P1071" s="5" t="s">
        <v>578</v>
      </c>
      <c r="Q1071" s="5" t="s">
        <v>579</v>
      </c>
      <c r="R1071" s="5" t="s">
        <v>696</v>
      </c>
      <c r="S1071" s="479">
        <v>62</v>
      </c>
      <c r="T1071" s="5" t="s">
        <v>41</v>
      </c>
      <c r="U1071" s="5" t="s">
        <v>45</v>
      </c>
      <c r="V1071" s="57" t="s">
        <v>20</v>
      </c>
      <c r="W1071" s="51">
        <v>0.04</v>
      </c>
      <c r="X1071" s="357" t="s">
        <v>53</v>
      </c>
      <c r="Z1071" s="5" t="s">
        <v>16</v>
      </c>
      <c r="AA1071" s="112" t="s">
        <v>28</v>
      </c>
    </row>
    <row r="1072" spans="1:29" x14ac:dyDescent="0.25">
      <c r="A1072" s="329">
        <v>45935</v>
      </c>
      <c r="B1072" s="5">
        <v>8</v>
      </c>
      <c r="D1072" s="5" t="s">
        <v>146</v>
      </c>
      <c r="E1072" s="6">
        <v>0.79</v>
      </c>
      <c r="G1072" s="362">
        <v>0</v>
      </c>
      <c r="H1072" s="362">
        <v>1</v>
      </c>
      <c r="I1072" s="8">
        <v>0.8</v>
      </c>
      <c r="L1072" s="5" t="s">
        <v>70</v>
      </c>
      <c r="N1072" s="345">
        <v>84</v>
      </c>
      <c r="O1072" s="38" t="s">
        <v>70</v>
      </c>
      <c r="P1072" s="5" t="s">
        <v>575</v>
      </c>
      <c r="Q1072" s="5" t="s">
        <v>576</v>
      </c>
      <c r="R1072" s="5" t="s">
        <v>696</v>
      </c>
      <c r="S1072" s="479">
        <v>69</v>
      </c>
      <c r="T1072" s="5" t="s">
        <v>41</v>
      </c>
      <c r="U1072" s="5" t="s">
        <v>43</v>
      </c>
      <c r="V1072" s="57" t="s">
        <v>18</v>
      </c>
      <c r="W1072" s="51">
        <v>0.43</v>
      </c>
      <c r="X1072" s="357">
        <v>0.39</v>
      </c>
      <c r="Y1072" s="351" t="s">
        <v>353</v>
      </c>
      <c r="Z1072" s="5" t="s">
        <v>8</v>
      </c>
      <c r="AA1072" s="112" t="s">
        <v>9</v>
      </c>
      <c r="AB1072" s="108" t="s">
        <v>349</v>
      </c>
      <c r="AC1072" s="57" t="s">
        <v>350</v>
      </c>
    </row>
    <row r="1073" spans="1:29" ht="15.75" thickBot="1" x14ac:dyDescent="0.3">
      <c r="A1073" s="330">
        <v>45935</v>
      </c>
      <c r="B1073" s="9">
        <v>8</v>
      </c>
      <c r="C1073" s="122"/>
      <c r="D1073" s="9" t="s">
        <v>146</v>
      </c>
      <c r="E1073" s="10">
        <v>0.79</v>
      </c>
      <c r="F1073" s="10"/>
      <c r="G1073" s="383">
        <v>0</v>
      </c>
      <c r="H1073" s="383">
        <v>1</v>
      </c>
      <c r="I1073" s="12">
        <v>0.8</v>
      </c>
      <c r="J1073" s="12"/>
      <c r="K1073" s="122"/>
      <c r="L1073" s="9" t="s">
        <v>70</v>
      </c>
      <c r="M1073" s="45"/>
      <c r="N1073" s="511" t="s">
        <v>57</v>
      </c>
      <c r="O1073" s="512" t="s">
        <v>146</v>
      </c>
      <c r="P1073" s="513" t="s">
        <v>419</v>
      </c>
      <c r="Q1073" s="513" t="s">
        <v>577</v>
      </c>
      <c r="R1073" s="513" t="s">
        <v>696</v>
      </c>
      <c r="S1073" s="479">
        <v>61</v>
      </c>
      <c r="T1073" s="513" t="s">
        <v>41</v>
      </c>
      <c r="U1073" s="513" t="s">
        <v>43</v>
      </c>
      <c r="V1073" s="514" t="s">
        <v>10</v>
      </c>
      <c r="W1073" s="52">
        <v>0.16</v>
      </c>
      <c r="X1073" s="358">
        <v>0.37</v>
      </c>
      <c r="Y1073" s="352"/>
      <c r="Z1073" s="9" t="s">
        <v>48</v>
      </c>
      <c r="AA1073" s="113" t="s">
        <v>9</v>
      </c>
      <c r="AB1073" s="109"/>
      <c r="AC1073" s="58"/>
    </row>
    <row r="1074" spans="1:29" ht="15.75" thickBot="1" x14ac:dyDescent="0.3">
      <c r="A1074" s="326">
        <v>45935</v>
      </c>
      <c r="B1074" s="207">
        <v>8</v>
      </c>
      <c r="C1074" s="208"/>
      <c r="D1074" s="207" t="s">
        <v>146</v>
      </c>
      <c r="E1074" s="209">
        <v>0.79</v>
      </c>
      <c r="F1074" s="209"/>
      <c r="G1074" s="460">
        <v>0</v>
      </c>
      <c r="H1074" s="460">
        <v>1</v>
      </c>
      <c r="I1074" s="211">
        <v>0.8</v>
      </c>
      <c r="J1074" s="211"/>
      <c r="K1074" s="208"/>
      <c r="L1074" s="207" t="s">
        <v>70</v>
      </c>
      <c r="M1074" s="235"/>
      <c r="N1074" s="347"/>
      <c r="O1074" s="343" t="s">
        <v>146</v>
      </c>
      <c r="P1074" s="199" t="s">
        <v>176</v>
      </c>
      <c r="Q1074" s="199" t="s">
        <v>423</v>
      </c>
      <c r="R1074" s="199" t="s">
        <v>707</v>
      </c>
      <c r="S1074" s="479">
        <v>63</v>
      </c>
      <c r="T1074" s="199"/>
      <c r="U1074" s="199"/>
      <c r="V1074" s="201"/>
      <c r="W1074" s="202"/>
      <c r="X1074" s="359"/>
      <c r="Y1074" s="353">
        <f>H1074</f>
        <v>1</v>
      </c>
      <c r="Z1074" s="199"/>
      <c r="AA1074" s="204"/>
      <c r="AB1074" s="205"/>
      <c r="AC1074" s="201"/>
    </row>
    <row r="1075" spans="1:29" ht="15.75" thickBot="1" x14ac:dyDescent="0.3">
      <c r="A1075" s="326">
        <v>45935</v>
      </c>
      <c r="B1075" s="207">
        <v>8</v>
      </c>
      <c r="C1075" s="208"/>
      <c r="D1075" s="207" t="s">
        <v>146</v>
      </c>
      <c r="E1075" s="209">
        <v>0.79</v>
      </c>
      <c r="F1075" s="209"/>
      <c r="G1075" s="460">
        <v>0</v>
      </c>
      <c r="H1075" s="460">
        <v>1</v>
      </c>
      <c r="I1075" s="211">
        <v>0.8</v>
      </c>
      <c r="J1075" s="211"/>
      <c r="K1075" s="208"/>
      <c r="L1075" s="207" t="s">
        <v>70</v>
      </c>
      <c r="M1075" s="235"/>
      <c r="N1075" s="347"/>
      <c r="O1075" s="343" t="s">
        <v>70</v>
      </c>
      <c r="P1075" s="199" t="s">
        <v>714</v>
      </c>
      <c r="Q1075" s="199" t="s">
        <v>715</v>
      </c>
      <c r="R1075" s="199" t="s">
        <v>707</v>
      </c>
      <c r="S1075" s="479">
        <v>77</v>
      </c>
      <c r="T1075" s="199"/>
      <c r="U1075" s="199"/>
      <c r="V1075" s="201"/>
      <c r="W1075" s="202"/>
      <c r="X1075" s="359"/>
      <c r="Y1075" s="353">
        <f>G1074</f>
        <v>0</v>
      </c>
      <c r="Z1075" s="199"/>
      <c r="AA1075" s="204"/>
      <c r="AB1075" s="205"/>
      <c r="AC1075" s="201"/>
    </row>
    <row r="1076" spans="1:29" x14ac:dyDescent="0.25">
      <c r="A1076" s="331">
        <v>45935</v>
      </c>
      <c r="B1076" s="13">
        <v>8</v>
      </c>
      <c r="C1076" s="124" t="s">
        <v>702</v>
      </c>
      <c r="D1076" s="13" t="s">
        <v>456</v>
      </c>
      <c r="E1076" s="14">
        <v>1.92</v>
      </c>
      <c r="F1076" s="14"/>
      <c r="G1076" s="375">
        <v>1</v>
      </c>
      <c r="H1076" s="375">
        <v>1</v>
      </c>
      <c r="I1076" s="16">
        <v>0.3</v>
      </c>
      <c r="J1076" s="16"/>
      <c r="K1076" s="124" t="s">
        <v>694</v>
      </c>
      <c r="L1076" s="13" t="s">
        <v>193</v>
      </c>
      <c r="M1076" s="263" t="s">
        <v>582</v>
      </c>
      <c r="N1076" s="556">
        <v>2</v>
      </c>
      <c r="O1076" s="557" t="s">
        <v>456</v>
      </c>
      <c r="P1076" s="558" t="s">
        <v>313</v>
      </c>
      <c r="Q1076" s="558" t="s">
        <v>301</v>
      </c>
      <c r="R1076" s="558" t="s">
        <v>684</v>
      </c>
      <c r="S1076" s="479">
        <v>64</v>
      </c>
      <c r="T1076" s="558" t="s">
        <v>47</v>
      </c>
      <c r="U1076" s="558" t="s">
        <v>45</v>
      </c>
      <c r="V1076" s="559" t="s">
        <v>10</v>
      </c>
      <c r="W1076" s="54">
        <v>0.37</v>
      </c>
      <c r="X1076" s="361" t="s">
        <v>53</v>
      </c>
      <c r="Y1076" s="355" t="s">
        <v>353</v>
      </c>
      <c r="Z1076" s="13" t="s">
        <v>22</v>
      </c>
      <c r="AA1076" s="115" t="s">
        <v>28</v>
      </c>
      <c r="AB1076" s="110"/>
      <c r="AC1076" s="60"/>
    </row>
    <row r="1077" spans="1:29" x14ac:dyDescent="0.25">
      <c r="A1077" s="329">
        <v>45935</v>
      </c>
      <c r="B1077" s="5">
        <v>8</v>
      </c>
      <c r="D1077" s="5" t="s">
        <v>456</v>
      </c>
      <c r="E1077" s="6">
        <v>1.92</v>
      </c>
      <c r="G1077" s="362">
        <v>1</v>
      </c>
      <c r="H1077" s="362">
        <v>1</v>
      </c>
      <c r="I1077" s="8">
        <v>0.3</v>
      </c>
      <c r="L1077" s="5" t="s">
        <v>193</v>
      </c>
      <c r="M1077" s="237" t="s">
        <v>582</v>
      </c>
      <c r="N1077" s="476">
        <v>7</v>
      </c>
      <c r="O1077" s="477" t="s">
        <v>456</v>
      </c>
      <c r="P1077" s="478" t="s">
        <v>387</v>
      </c>
      <c r="Q1077" s="478" t="s">
        <v>388</v>
      </c>
      <c r="R1077" s="478" t="s">
        <v>728</v>
      </c>
      <c r="S1077" s="479">
        <v>57</v>
      </c>
      <c r="T1077" s="478" t="s">
        <v>41</v>
      </c>
      <c r="U1077" s="478" t="s">
        <v>42</v>
      </c>
      <c r="V1077" s="480" t="s">
        <v>540</v>
      </c>
      <c r="W1077" s="51" t="s">
        <v>53</v>
      </c>
      <c r="X1077" s="357" t="s">
        <v>53</v>
      </c>
      <c r="Z1077" s="130" t="s">
        <v>23</v>
      </c>
      <c r="AA1077" s="134" t="s">
        <v>9</v>
      </c>
    </row>
    <row r="1078" spans="1:29" x14ac:dyDescent="0.25">
      <c r="A1078" s="329">
        <v>45935</v>
      </c>
      <c r="B1078" s="5">
        <v>8</v>
      </c>
      <c r="D1078" s="5" t="s">
        <v>456</v>
      </c>
      <c r="E1078" s="6">
        <v>1.92</v>
      </c>
      <c r="G1078" s="362">
        <v>1</v>
      </c>
      <c r="H1078" s="362">
        <v>1</v>
      </c>
      <c r="I1078" s="8">
        <v>0.3</v>
      </c>
      <c r="L1078" s="5" t="s">
        <v>193</v>
      </c>
      <c r="M1078" s="237" t="s">
        <v>582</v>
      </c>
      <c r="N1078" s="476">
        <v>14</v>
      </c>
      <c r="O1078" s="477" t="s">
        <v>456</v>
      </c>
      <c r="P1078" s="478" t="s">
        <v>313</v>
      </c>
      <c r="Q1078" s="478" t="s">
        <v>301</v>
      </c>
      <c r="R1078" s="478" t="s">
        <v>684</v>
      </c>
      <c r="S1078" s="479">
        <v>64</v>
      </c>
      <c r="T1078" s="478" t="s">
        <v>47</v>
      </c>
      <c r="U1078" s="478" t="s">
        <v>45</v>
      </c>
      <c r="V1078" s="480" t="s">
        <v>10</v>
      </c>
      <c r="W1078" s="51">
        <v>0.1</v>
      </c>
      <c r="X1078" s="357" t="s">
        <v>53</v>
      </c>
      <c r="Z1078" s="5" t="s">
        <v>13</v>
      </c>
      <c r="AA1078" s="112" t="s">
        <v>9</v>
      </c>
    </row>
    <row r="1079" spans="1:29" x14ac:dyDescent="0.25">
      <c r="A1079" s="329">
        <v>45935</v>
      </c>
      <c r="B1079" s="5">
        <v>8</v>
      </c>
      <c r="D1079" s="5" t="s">
        <v>456</v>
      </c>
      <c r="E1079" s="6">
        <v>1.92</v>
      </c>
      <c r="G1079" s="362">
        <v>1</v>
      </c>
      <c r="H1079" s="362">
        <v>1</v>
      </c>
      <c r="I1079" s="8">
        <v>0.3</v>
      </c>
      <c r="L1079" s="5" t="s">
        <v>193</v>
      </c>
      <c r="M1079" s="237" t="s">
        <v>582</v>
      </c>
      <c r="N1079" s="345">
        <v>34</v>
      </c>
      <c r="O1079" s="38" t="s">
        <v>193</v>
      </c>
      <c r="P1079" s="5" t="s">
        <v>316</v>
      </c>
      <c r="Q1079" s="5" t="s">
        <v>317</v>
      </c>
      <c r="R1079" s="5" t="s">
        <v>688</v>
      </c>
      <c r="S1079" s="479">
        <v>68</v>
      </c>
      <c r="T1079" s="5" t="s">
        <v>41</v>
      </c>
      <c r="U1079" s="5" t="s">
        <v>43</v>
      </c>
      <c r="V1079" s="57" t="s">
        <v>10</v>
      </c>
      <c r="W1079" s="51">
        <v>0.05</v>
      </c>
      <c r="X1079" s="357">
        <v>0.19</v>
      </c>
      <c r="Z1079" s="5" t="s">
        <v>48</v>
      </c>
      <c r="AA1079" s="112" t="s">
        <v>9</v>
      </c>
    </row>
    <row r="1080" spans="1:29" x14ac:dyDescent="0.25">
      <c r="A1080" s="329">
        <v>45935</v>
      </c>
      <c r="B1080" s="5">
        <v>8</v>
      </c>
      <c r="D1080" s="5" t="s">
        <v>456</v>
      </c>
      <c r="E1080" s="6">
        <v>1.92</v>
      </c>
      <c r="G1080" s="362">
        <v>1</v>
      </c>
      <c r="H1080" s="362">
        <v>1</v>
      </c>
      <c r="I1080" s="8">
        <v>0.3</v>
      </c>
      <c r="L1080" s="5" t="s">
        <v>193</v>
      </c>
      <c r="M1080" s="237" t="s">
        <v>582</v>
      </c>
      <c r="N1080" s="345">
        <v>39</v>
      </c>
      <c r="O1080" s="38" t="s">
        <v>193</v>
      </c>
      <c r="P1080" s="5" t="s">
        <v>96</v>
      </c>
      <c r="Q1080" s="5" t="s">
        <v>327</v>
      </c>
      <c r="R1080" s="5" t="s">
        <v>685</v>
      </c>
      <c r="S1080" s="479">
        <v>65</v>
      </c>
      <c r="T1080" s="5" t="s">
        <v>41</v>
      </c>
      <c r="U1080" s="5" t="s">
        <v>43</v>
      </c>
      <c r="V1080" s="57" t="s">
        <v>10</v>
      </c>
      <c r="W1080" s="51">
        <v>0.11</v>
      </c>
      <c r="X1080" s="357" t="s">
        <v>53</v>
      </c>
      <c r="Z1080" s="5" t="s">
        <v>13</v>
      </c>
      <c r="AA1080" s="112" t="s">
        <v>9</v>
      </c>
    </row>
    <row r="1081" spans="1:29" x14ac:dyDescent="0.25">
      <c r="A1081" s="329">
        <v>45935</v>
      </c>
      <c r="B1081" s="5">
        <v>8</v>
      </c>
      <c r="D1081" s="5" t="s">
        <v>456</v>
      </c>
      <c r="E1081" s="6">
        <v>1.92</v>
      </c>
      <c r="G1081" s="362">
        <v>1</v>
      </c>
      <c r="H1081" s="362">
        <v>1</v>
      </c>
      <c r="I1081" s="8">
        <v>0.3</v>
      </c>
      <c r="L1081" s="5" t="s">
        <v>193</v>
      </c>
      <c r="M1081" s="237" t="s">
        <v>582</v>
      </c>
      <c r="N1081" s="476">
        <v>44</v>
      </c>
      <c r="O1081" s="477" t="s">
        <v>456</v>
      </c>
      <c r="P1081" s="478" t="s">
        <v>313</v>
      </c>
      <c r="Q1081" s="478" t="s">
        <v>301</v>
      </c>
      <c r="R1081" s="478" t="s">
        <v>684</v>
      </c>
      <c r="S1081" s="479">
        <v>64</v>
      </c>
      <c r="T1081" s="478" t="s">
        <v>41</v>
      </c>
      <c r="U1081" s="478" t="s">
        <v>42</v>
      </c>
      <c r="V1081" s="480" t="s">
        <v>10</v>
      </c>
      <c r="W1081" s="51">
        <v>0.11</v>
      </c>
      <c r="X1081" s="357">
        <v>0.16</v>
      </c>
      <c r="Z1081" s="5" t="s">
        <v>48</v>
      </c>
      <c r="AA1081" s="112" t="s">
        <v>9</v>
      </c>
    </row>
    <row r="1082" spans="1:29" x14ac:dyDescent="0.25">
      <c r="A1082" s="329">
        <v>45935</v>
      </c>
      <c r="B1082" s="5">
        <v>8</v>
      </c>
      <c r="D1082" s="5" t="s">
        <v>456</v>
      </c>
      <c r="E1082" s="6">
        <v>1.92</v>
      </c>
      <c r="G1082" s="362">
        <v>1</v>
      </c>
      <c r="H1082" s="362">
        <v>1</v>
      </c>
      <c r="I1082" s="8">
        <v>0.3</v>
      </c>
      <c r="L1082" s="5" t="s">
        <v>193</v>
      </c>
      <c r="M1082" s="237" t="s">
        <v>582</v>
      </c>
      <c r="N1082" s="476">
        <v>44</v>
      </c>
      <c r="O1082" s="477" t="s">
        <v>456</v>
      </c>
      <c r="P1082" s="478" t="s">
        <v>313</v>
      </c>
      <c r="Q1082" s="478" t="s">
        <v>301</v>
      </c>
      <c r="R1082" s="478" t="s">
        <v>684</v>
      </c>
      <c r="S1082" s="479">
        <v>64</v>
      </c>
      <c r="T1082" s="478" t="s">
        <v>44</v>
      </c>
      <c r="U1082" s="478" t="s">
        <v>42</v>
      </c>
      <c r="V1082" s="480" t="s">
        <v>10</v>
      </c>
      <c r="W1082" s="51">
        <v>0.05</v>
      </c>
      <c r="X1082" s="357">
        <v>0.19</v>
      </c>
      <c r="Z1082" s="5" t="s">
        <v>48</v>
      </c>
      <c r="AA1082" s="112" t="s">
        <v>9</v>
      </c>
    </row>
    <row r="1083" spans="1:29" x14ac:dyDescent="0.25">
      <c r="A1083" s="329">
        <v>45935</v>
      </c>
      <c r="B1083" s="5">
        <v>8</v>
      </c>
      <c r="D1083" s="5" t="s">
        <v>456</v>
      </c>
      <c r="E1083" s="6">
        <v>1.92</v>
      </c>
      <c r="G1083" s="362">
        <v>1</v>
      </c>
      <c r="H1083" s="362">
        <v>1</v>
      </c>
      <c r="I1083" s="8">
        <v>0.3</v>
      </c>
      <c r="L1083" s="5" t="s">
        <v>193</v>
      </c>
      <c r="M1083" s="237" t="s">
        <v>582</v>
      </c>
      <c r="N1083" s="476">
        <v>68</v>
      </c>
      <c r="O1083" s="477" t="s">
        <v>456</v>
      </c>
      <c r="P1083" s="478" t="s">
        <v>313</v>
      </c>
      <c r="Q1083" s="478" t="s">
        <v>301</v>
      </c>
      <c r="R1083" s="478" t="s">
        <v>684</v>
      </c>
      <c r="S1083" s="479">
        <v>64</v>
      </c>
      <c r="T1083" s="478" t="s">
        <v>41</v>
      </c>
      <c r="U1083" s="478" t="s">
        <v>42</v>
      </c>
      <c r="V1083" s="480" t="s">
        <v>10</v>
      </c>
      <c r="W1083" s="51">
        <v>0.33</v>
      </c>
      <c r="X1083" s="357">
        <v>0.23</v>
      </c>
      <c r="Y1083" s="351" t="s">
        <v>353</v>
      </c>
      <c r="Z1083" s="5" t="s">
        <v>48</v>
      </c>
      <c r="AA1083" s="112" t="s">
        <v>9</v>
      </c>
    </row>
    <row r="1084" spans="1:29" x14ac:dyDescent="0.25">
      <c r="A1084" s="329">
        <v>45935</v>
      </c>
      <c r="B1084" s="5">
        <v>8</v>
      </c>
      <c r="D1084" s="5" t="s">
        <v>456</v>
      </c>
      <c r="E1084" s="6">
        <v>1.92</v>
      </c>
      <c r="G1084" s="362">
        <v>1</v>
      </c>
      <c r="H1084" s="362">
        <v>1</v>
      </c>
      <c r="I1084" s="8">
        <v>0.3</v>
      </c>
      <c r="L1084" s="5" t="s">
        <v>193</v>
      </c>
      <c r="M1084" s="237" t="s">
        <v>582</v>
      </c>
      <c r="N1084" s="476">
        <v>68</v>
      </c>
      <c r="O1084" s="477" t="s">
        <v>456</v>
      </c>
      <c r="P1084" s="478" t="s">
        <v>162</v>
      </c>
      <c r="Q1084" s="478" t="s">
        <v>163</v>
      </c>
      <c r="R1084" s="478" t="s">
        <v>696</v>
      </c>
      <c r="S1084" s="479">
        <v>70</v>
      </c>
      <c r="T1084" s="478" t="s">
        <v>47</v>
      </c>
      <c r="U1084" s="478" t="s">
        <v>43</v>
      </c>
      <c r="V1084" s="480" t="s">
        <v>540</v>
      </c>
      <c r="W1084" s="51">
        <v>0.67</v>
      </c>
      <c r="X1084" s="357">
        <v>0.98</v>
      </c>
      <c r="Y1084" s="351" t="s">
        <v>353</v>
      </c>
      <c r="Z1084" s="5" t="s">
        <v>8</v>
      </c>
      <c r="AA1084" s="112" t="s">
        <v>51</v>
      </c>
    </row>
    <row r="1085" spans="1:29" x14ac:dyDescent="0.25">
      <c r="A1085" s="329">
        <v>45935</v>
      </c>
      <c r="B1085" s="5">
        <v>8</v>
      </c>
      <c r="D1085" s="5" t="s">
        <v>456</v>
      </c>
      <c r="E1085" s="6">
        <v>1.92</v>
      </c>
      <c r="G1085" s="362">
        <v>1</v>
      </c>
      <c r="H1085" s="362">
        <v>1</v>
      </c>
      <c r="I1085" s="8">
        <v>0.3</v>
      </c>
      <c r="L1085" s="5" t="s">
        <v>193</v>
      </c>
      <c r="M1085" s="237" t="s">
        <v>582</v>
      </c>
      <c r="N1085" s="476">
        <v>71</v>
      </c>
      <c r="O1085" s="477" t="s">
        <v>456</v>
      </c>
      <c r="P1085" s="478" t="s">
        <v>313</v>
      </c>
      <c r="Q1085" s="478" t="s">
        <v>301</v>
      </c>
      <c r="R1085" s="478" t="s">
        <v>684</v>
      </c>
      <c r="S1085" s="479">
        <v>64</v>
      </c>
      <c r="T1085" s="478" t="s">
        <v>41</v>
      </c>
      <c r="U1085" s="478" t="s">
        <v>43</v>
      </c>
      <c r="V1085" s="480" t="s">
        <v>10</v>
      </c>
      <c r="W1085" s="51">
        <v>0.12</v>
      </c>
      <c r="X1085" s="357" t="s">
        <v>53</v>
      </c>
      <c r="Z1085" s="5" t="s">
        <v>13</v>
      </c>
      <c r="AA1085" s="112" t="s">
        <v>51</v>
      </c>
    </row>
    <row r="1086" spans="1:29" x14ac:dyDescent="0.25">
      <c r="A1086" s="329">
        <v>45935</v>
      </c>
      <c r="B1086" s="5">
        <v>8</v>
      </c>
      <c r="D1086" s="5" t="s">
        <v>456</v>
      </c>
      <c r="E1086" s="6">
        <v>1.92</v>
      </c>
      <c r="G1086" s="362">
        <v>1</v>
      </c>
      <c r="H1086" s="362">
        <v>1</v>
      </c>
      <c r="I1086" s="8">
        <v>0.3</v>
      </c>
      <c r="L1086" s="5" t="s">
        <v>193</v>
      </c>
      <c r="M1086" s="237" t="s">
        <v>582</v>
      </c>
      <c r="N1086" s="345">
        <v>72</v>
      </c>
      <c r="O1086" s="38" t="s">
        <v>193</v>
      </c>
      <c r="P1086" s="5" t="s">
        <v>584</v>
      </c>
      <c r="Q1086" s="5" t="s">
        <v>585</v>
      </c>
      <c r="R1086" s="5" t="s">
        <v>713</v>
      </c>
      <c r="S1086" s="479">
        <v>68</v>
      </c>
      <c r="T1086" s="5" t="s">
        <v>47</v>
      </c>
      <c r="U1086" s="5" t="s">
        <v>45</v>
      </c>
      <c r="V1086" s="57" t="s">
        <v>20</v>
      </c>
      <c r="W1086" s="51">
        <v>0.13</v>
      </c>
      <c r="X1086" s="357" t="s">
        <v>53</v>
      </c>
      <c r="Y1086" s="351" t="s">
        <v>353</v>
      </c>
      <c r="Z1086" s="5" t="s">
        <v>16</v>
      </c>
      <c r="AA1086" s="112" t="s">
        <v>51</v>
      </c>
    </row>
    <row r="1087" spans="1:29" x14ac:dyDescent="0.25">
      <c r="A1087" s="329">
        <v>45935</v>
      </c>
      <c r="B1087" s="5">
        <v>8</v>
      </c>
      <c r="D1087" s="5" t="s">
        <v>456</v>
      </c>
      <c r="E1087" s="6">
        <v>1.92</v>
      </c>
      <c r="G1087" s="362">
        <v>1</v>
      </c>
      <c r="H1087" s="362">
        <v>1</v>
      </c>
      <c r="I1087" s="8">
        <v>0.3</v>
      </c>
      <c r="L1087" s="5" t="s">
        <v>193</v>
      </c>
      <c r="M1087" s="237" t="s">
        <v>582</v>
      </c>
      <c r="N1087" s="476" t="s">
        <v>57</v>
      </c>
      <c r="O1087" s="477" t="s">
        <v>456</v>
      </c>
      <c r="P1087" s="478" t="s">
        <v>241</v>
      </c>
      <c r="Q1087" s="478" t="s">
        <v>583</v>
      </c>
      <c r="R1087" s="478" t="s">
        <v>696</v>
      </c>
      <c r="S1087" s="479">
        <v>59</v>
      </c>
      <c r="T1087" s="478" t="s">
        <v>47</v>
      </c>
      <c r="U1087" s="478" t="s">
        <v>45</v>
      </c>
      <c r="V1087" s="480" t="s">
        <v>10</v>
      </c>
      <c r="W1087" s="51">
        <v>0.14000000000000001</v>
      </c>
      <c r="X1087" s="357" t="s">
        <v>53</v>
      </c>
      <c r="Z1087" s="5" t="s">
        <v>13</v>
      </c>
      <c r="AA1087" s="112" t="s">
        <v>51</v>
      </c>
    </row>
    <row r="1088" spans="1:29" ht="15.75" thickBot="1" x14ac:dyDescent="0.3">
      <c r="A1088" s="338">
        <v>45935</v>
      </c>
      <c r="B1088" s="230">
        <v>8</v>
      </c>
      <c r="C1088" s="231"/>
      <c r="D1088" s="230" t="s">
        <v>456</v>
      </c>
      <c r="E1088" s="232">
        <v>1.92</v>
      </c>
      <c r="F1088" s="232"/>
      <c r="G1088" s="363">
        <v>1</v>
      </c>
      <c r="H1088" s="363">
        <v>1</v>
      </c>
      <c r="I1088" s="234">
        <v>0.3</v>
      </c>
      <c r="J1088" s="234"/>
      <c r="K1088" s="231"/>
      <c r="L1088" s="230" t="s">
        <v>193</v>
      </c>
      <c r="M1088" s="235"/>
      <c r="N1088" s="347"/>
      <c r="O1088" s="343" t="s">
        <v>456</v>
      </c>
      <c r="P1088" s="199" t="s">
        <v>719</v>
      </c>
      <c r="Q1088" s="199" t="s">
        <v>720</v>
      </c>
      <c r="R1088" s="199" t="s">
        <v>707</v>
      </c>
      <c r="S1088" s="479">
        <v>62</v>
      </c>
      <c r="T1088" s="199"/>
      <c r="U1088" s="199"/>
      <c r="V1088" s="201"/>
      <c r="W1088" s="202"/>
      <c r="X1088" s="359"/>
      <c r="Y1088" s="353">
        <f>H1088</f>
        <v>1</v>
      </c>
      <c r="Z1088" s="199"/>
      <c r="AA1088" s="204"/>
      <c r="AB1088" s="205"/>
      <c r="AC1088" s="201"/>
    </row>
    <row r="1089" spans="1:29" ht="15.75" thickBot="1" x14ac:dyDescent="0.3">
      <c r="A1089" s="338">
        <v>45935</v>
      </c>
      <c r="B1089" s="230">
        <v>8</v>
      </c>
      <c r="C1089" s="231"/>
      <c r="D1089" s="230" t="s">
        <v>456</v>
      </c>
      <c r="E1089" s="232">
        <v>1.92</v>
      </c>
      <c r="F1089" s="232"/>
      <c r="G1089" s="363">
        <v>1</v>
      </c>
      <c r="H1089" s="363">
        <v>1</v>
      </c>
      <c r="I1089" s="234">
        <v>0.3</v>
      </c>
      <c r="J1089" s="234"/>
      <c r="K1089" s="231"/>
      <c r="L1089" s="230" t="s">
        <v>193</v>
      </c>
      <c r="M1089" s="235"/>
      <c r="N1089" s="347"/>
      <c r="O1089" s="343" t="s">
        <v>193</v>
      </c>
      <c r="P1089" s="199" t="s">
        <v>580</v>
      </c>
      <c r="Q1089" s="199" t="s">
        <v>581</v>
      </c>
      <c r="R1089" s="199" t="s">
        <v>707</v>
      </c>
      <c r="S1089" s="479">
        <v>71</v>
      </c>
      <c r="T1089" s="199"/>
      <c r="U1089" s="199"/>
      <c r="V1089" s="201"/>
      <c r="W1089" s="202"/>
      <c r="X1089" s="359"/>
      <c r="Y1089" s="353">
        <f>G1088</f>
        <v>1</v>
      </c>
      <c r="Z1089" s="199"/>
      <c r="AA1089" s="204"/>
      <c r="AB1089" s="205"/>
      <c r="AC1089" s="201"/>
    </row>
    <row r="1090" spans="1:29" x14ac:dyDescent="0.25">
      <c r="A1090" s="329">
        <v>45947</v>
      </c>
      <c r="B1090" s="5">
        <v>9</v>
      </c>
      <c r="C1090" s="121" t="s">
        <v>693</v>
      </c>
      <c r="D1090" s="5" t="s">
        <v>92</v>
      </c>
      <c r="E1090" s="6">
        <v>0.77</v>
      </c>
      <c r="G1090" s="362">
        <v>0</v>
      </c>
      <c r="H1090" s="362">
        <v>2</v>
      </c>
      <c r="I1090" s="8">
        <v>3.74</v>
      </c>
      <c r="K1090" s="121" t="s">
        <v>694</v>
      </c>
      <c r="L1090" s="5" t="s">
        <v>192</v>
      </c>
      <c r="N1090" s="476">
        <v>10</v>
      </c>
      <c r="O1090" s="477" t="s">
        <v>92</v>
      </c>
      <c r="P1090" s="478" t="s">
        <v>419</v>
      </c>
      <c r="Q1090" s="478" t="s">
        <v>420</v>
      </c>
      <c r="R1090" s="478" t="s">
        <v>699</v>
      </c>
      <c r="S1090" s="479">
        <v>62</v>
      </c>
      <c r="T1090" s="478" t="s">
        <v>41</v>
      </c>
      <c r="U1090" s="478" t="s">
        <v>42</v>
      </c>
      <c r="V1090" s="480" t="s">
        <v>540</v>
      </c>
      <c r="W1090" s="51">
        <v>0.11</v>
      </c>
      <c r="X1090" s="357">
        <v>0.11</v>
      </c>
      <c r="Y1090" s="351" t="s">
        <v>353</v>
      </c>
      <c r="Z1090" s="5" t="s">
        <v>48</v>
      </c>
      <c r="AA1090" s="112" t="s">
        <v>28</v>
      </c>
    </row>
    <row r="1091" spans="1:29" x14ac:dyDescent="0.25">
      <c r="A1091" s="329">
        <v>45947</v>
      </c>
      <c r="B1091" s="5">
        <v>9</v>
      </c>
      <c r="D1091" s="5" t="s">
        <v>92</v>
      </c>
      <c r="E1091" s="6">
        <v>0.77</v>
      </c>
      <c r="G1091" s="362">
        <v>0</v>
      </c>
      <c r="H1091" s="362">
        <v>2</v>
      </c>
      <c r="I1091" s="8">
        <v>3.74</v>
      </c>
      <c r="L1091" s="5" t="s">
        <v>192</v>
      </c>
      <c r="N1091" s="345">
        <v>33</v>
      </c>
      <c r="O1091" s="38" t="s">
        <v>192</v>
      </c>
      <c r="P1091" s="5" t="s">
        <v>196</v>
      </c>
      <c r="Q1091" s="5" t="s">
        <v>75</v>
      </c>
      <c r="R1091" s="5" t="s">
        <v>717</v>
      </c>
      <c r="S1091" s="479">
        <v>80</v>
      </c>
      <c r="T1091" s="5" t="s">
        <v>41</v>
      </c>
      <c r="U1091" s="5" t="s">
        <v>45</v>
      </c>
      <c r="V1091" s="57" t="s">
        <v>540</v>
      </c>
      <c r="W1091" s="51">
        <v>0.26</v>
      </c>
      <c r="X1091" s="357">
        <v>0.66</v>
      </c>
      <c r="Y1091" s="351" t="s">
        <v>353</v>
      </c>
      <c r="Z1091" s="5" t="s">
        <v>48</v>
      </c>
      <c r="AA1091" s="112" t="s">
        <v>28</v>
      </c>
    </row>
    <row r="1092" spans="1:29" x14ac:dyDescent="0.25">
      <c r="A1092" s="329">
        <v>45947</v>
      </c>
      <c r="B1092" s="5">
        <v>9</v>
      </c>
      <c r="D1092" s="5" t="s">
        <v>92</v>
      </c>
      <c r="E1092" s="6">
        <v>0.77</v>
      </c>
      <c r="G1092" s="362">
        <v>0</v>
      </c>
      <c r="H1092" s="362">
        <v>2</v>
      </c>
      <c r="I1092" s="8">
        <v>3.74</v>
      </c>
      <c r="L1092" s="5" t="s">
        <v>192</v>
      </c>
      <c r="N1092" s="345">
        <v>33</v>
      </c>
      <c r="O1092" s="38" t="s">
        <v>192</v>
      </c>
      <c r="P1092" s="5" t="s">
        <v>410</v>
      </c>
      <c r="Q1092" s="5" t="s">
        <v>361</v>
      </c>
      <c r="R1092" s="5" t="s">
        <v>718</v>
      </c>
      <c r="S1092" s="479">
        <v>75</v>
      </c>
      <c r="T1092" s="5" t="s">
        <v>47</v>
      </c>
      <c r="U1092" s="5" t="s">
        <v>42</v>
      </c>
      <c r="V1092" s="57" t="s">
        <v>540</v>
      </c>
      <c r="W1092" s="51">
        <v>0.05</v>
      </c>
      <c r="X1092" s="357">
        <v>0.14000000000000001</v>
      </c>
      <c r="Z1092" s="5" t="s">
        <v>48</v>
      </c>
      <c r="AA1092" s="112" t="s">
        <v>28</v>
      </c>
    </row>
    <row r="1093" spans="1:29" x14ac:dyDescent="0.25">
      <c r="A1093" s="329">
        <v>45947</v>
      </c>
      <c r="B1093" s="5">
        <v>9</v>
      </c>
      <c r="D1093" s="5" t="s">
        <v>92</v>
      </c>
      <c r="E1093" s="6">
        <v>0.77</v>
      </c>
      <c r="G1093" s="362">
        <v>0</v>
      </c>
      <c r="H1093" s="362">
        <v>2</v>
      </c>
      <c r="I1093" s="8">
        <v>3.74</v>
      </c>
      <c r="L1093" s="5" t="s">
        <v>192</v>
      </c>
      <c r="N1093" s="345">
        <v>37</v>
      </c>
      <c r="O1093" s="38" t="s">
        <v>192</v>
      </c>
      <c r="P1093" s="5" t="s">
        <v>410</v>
      </c>
      <c r="Q1093" s="5" t="s">
        <v>361</v>
      </c>
      <c r="R1093" s="5" t="s">
        <v>718</v>
      </c>
      <c r="S1093" s="479">
        <v>75</v>
      </c>
      <c r="T1093" s="5" t="s">
        <v>47</v>
      </c>
      <c r="U1093" s="5" t="s">
        <v>42</v>
      </c>
      <c r="V1093" s="57" t="s">
        <v>10</v>
      </c>
      <c r="W1093" s="51">
        <v>0.28000000000000003</v>
      </c>
      <c r="X1093" s="357">
        <v>0.37</v>
      </c>
      <c r="Y1093" s="351" t="s">
        <v>353</v>
      </c>
      <c r="Z1093" s="5" t="s">
        <v>48</v>
      </c>
      <c r="AA1093" s="112" t="s">
        <v>28</v>
      </c>
    </row>
    <row r="1094" spans="1:29" x14ac:dyDescent="0.25">
      <c r="A1094" s="329">
        <v>45947</v>
      </c>
      <c r="B1094" s="5">
        <v>9</v>
      </c>
      <c r="D1094" s="5" t="s">
        <v>92</v>
      </c>
      <c r="E1094" s="6">
        <v>0.77</v>
      </c>
      <c r="G1094" s="362">
        <v>0</v>
      </c>
      <c r="H1094" s="362">
        <v>2</v>
      </c>
      <c r="I1094" s="8">
        <v>3.74</v>
      </c>
      <c r="L1094" s="5" t="s">
        <v>192</v>
      </c>
      <c r="N1094" s="345">
        <v>44</v>
      </c>
      <c r="O1094" s="38" t="s">
        <v>192</v>
      </c>
      <c r="P1094" s="5" t="s">
        <v>198</v>
      </c>
      <c r="Q1094" s="5" t="s">
        <v>199</v>
      </c>
      <c r="R1094" s="5" t="s">
        <v>685</v>
      </c>
      <c r="S1094" s="479">
        <v>77</v>
      </c>
      <c r="T1094" s="5" t="s">
        <v>44</v>
      </c>
      <c r="U1094" s="5" t="s">
        <v>43</v>
      </c>
      <c r="V1094" s="57" t="s">
        <v>15</v>
      </c>
      <c r="W1094" s="51">
        <v>0.1</v>
      </c>
      <c r="X1094" s="357">
        <v>0.66</v>
      </c>
      <c r="Z1094" s="5" t="s">
        <v>48</v>
      </c>
      <c r="AA1094" s="112" t="s">
        <v>28</v>
      </c>
    </row>
    <row r="1095" spans="1:29" x14ac:dyDescent="0.25">
      <c r="A1095" s="329">
        <v>45947</v>
      </c>
      <c r="B1095" s="5">
        <v>9</v>
      </c>
      <c r="D1095" s="5" t="s">
        <v>92</v>
      </c>
      <c r="E1095" s="6">
        <v>0.77</v>
      </c>
      <c r="G1095" s="362">
        <v>0</v>
      </c>
      <c r="H1095" s="362">
        <v>2</v>
      </c>
      <c r="I1095" s="8">
        <v>3.74</v>
      </c>
      <c r="L1095" s="5" t="s">
        <v>192</v>
      </c>
      <c r="N1095" s="476">
        <v>46</v>
      </c>
      <c r="O1095" s="477" t="s">
        <v>92</v>
      </c>
      <c r="P1095" s="478" t="s">
        <v>332</v>
      </c>
      <c r="Q1095" s="478" t="s">
        <v>370</v>
      </c>
      <c r="R1095" s="478" t="s">
        <v>696</v>
      </c>
      <c r="S1095" s="479">
        <v>62</v>
      </c>
      <c r="T1095" s="478" t="s">
        <v>41</v>
      </c>
      <c r="U1095" s="478" t="s">
        <v>42</v>
      </c>
      <c r="V1095" s="480" t="s">
        <v>29</v>
      </c>
      <c r="W1095" s="51">
        <v>0.05</v>
      </c>
      <c r="X1095" s="357" t="s">
        <v>53</v>
      </c>
      <c r="Z1095" s="5" t="s">
        <v>17</v>
      </c>
      <c r="AA1095" s="112" t="s">
        <v>28</v>
      </c>
    </row>
    <row r="1096" spans="1:29" x14ac:dyDescent="0.25">
      <c r="A1096" s="329">
        <v>45947</v>
      </c>
      <c r="B1096" s="5">
        <v>9</v>
      </c>
      <c r="D1096" s="5" t="s">
        <v>92</v>
      </c>
      <c r="E1096" s="6">
        <v>0.77</v>
      </c>
      <c r="G1096" s="362">
        <v>0</v>
      </c>
      <c r="H1096" s="362">
        <v>2</v>
      </c>
      <c r="I1096" s="8">
        <v>3.74</v>
      </c>
      <c r="L1096" s="5" t="s">
        <v>192</v>
      </c>
      <c r="N1096" s="476">
        <v>49</v>
      </c>
      <c r="O1096" s="477" t="s">
        <v>92</v>
      </c>
      <c r="P1096" s="478" t="s">
        <v>742</v>
      </c>
      <c r="Q1096" s="478" t="s">
        <v>743</v>
      </c>
      <c r="R1096" s="478" t="s">
        <v>689</v>
      </c>
      <c r="S1096" s="479">
        <v>64</v>
      </c>
      <c r="T1096" s="478" t="s">
        <v>44</v>
      </c>
      <c r="U1096" s="478" t="s">
        <v>42</v>
      </c>
      <c r="V1096" s="480" t="s">
        <v>18</v>
      </c>
      <c r="W1096" s="51">
        <v>0.13</v>
      </c>
      <c r="X1096" s="357" t="s">
        <v>53</v>
      </c>
      <c r="Z1096" s="5" t="s">
        <v>52</v>
      </c>
      <c r="AA1096" s="112" t="s">
        <v>28</v>
      </c>
    </row>
    <row r="1097" spans="1:29" x14ac:dyDescent="0.25">
      <c r="A1097" s="329">
        <v>45947</v>
      </c>
      <c r="B1097" s="5">
        <v>9</v>
      </c>
      <c r="D1097" s="5" t="s">
        <v>92</v>
      </c>
      <c r="E1097" s="6">
        <v>0.77</v>
      </c>
      <c r="G1097" s="362">
        <v>0</v>
      </c>
      <c r="H1097" s="362">
        <v>2</v>
      </c>
      <c r="I1097" s="8">
        <v>3.74</v>
      </c>
      <c r="L1097" s="5" t="s">
        <v>192</v>
      </c>
      <c r="N1097" s="345">
        <v>52</v>
      </c>
      <c r="O1097" s="38" t="s">
        <v>192</v>
      </c>
      <c r="P1097" s="5" t="s">
        <v>196</v>
      </c>
      <c r="Q1097" s="5" t="s">
        <v>75</v>
      </c>
      <c r="R1097" s="5" t="s">
        <v>717</v>
      </c>
      <c r="S1097" s="479">
        <v>80</v>
      </c>
      <c r="T1097" s="5" t="s">
        <v>41</v>
      </c>
      <c r="U1097" s="5" t="s">
        <v>42</v>
      </c>
      <c r="V1097" s="57" t="s">
        <v>29</v>
      </c>
      <c r="W1097" s="51">
        <v>0.1</v>
      </c>
      <c r="X1097" s="357">
        <v>0.08</v>
      </c>
      <c r="Y1097" s="351" t="s">
        <v>353</v>
      </c>
      <c r="Z1097" s="5" t="s">
        <v>48</v>
      </c>
      <c r="AA1097" s="112" t="s">
        <v>28</v>
      </c>
    </row>
    <row r="1098" spans="1:29" x14ac:dyDescent="0.25">
      <c r="A1098" s="329">
        <v>45947</v>
      </c>
      <c r="B1098" s="5">
        <v>9</v>
      </c>
      <c r="D1098" s="5" t="s">
        <v>92</v>
      </c>
      <c r="E1098" s="6">
        <v>0.77</v>
      </c>
      <c r="G1098" s="362">
        <v>0</v>
      </c>
      <c r="H1098" s="362">
        <v>2</v>
      </c>
      <c r="I1098" s="8">
        <v>3.74</v>
      </c>
      <c r="L1098" s="5" t="s">
        <v>192</v>
      </c>
      <c r="N1098" s="345">
        <v>52</v>
      </c>
      <c r="O1098" s="38" t="s">
        <v>192</v>
      </c>
      <c r="P1098" s="5" t="s">
        <v>196</v>
      </c>
      <c r="Q1098" s="5" t="s">
        <v>75</v>
      </c>
      <c r="R1098" s="5" t="s">
        <v>717</v>
      </c>
      <c r="S1098" s="7">
        <v>80</v>
      </c>
      <c r="T1098" s="5" t="s">
        <v>47</v>
      </c>
      <c r="U1098" s="5" t="s">
        <v>43</v>
      </c>
      <c r="V1098" s="57" t="s">
        <v>29</v>
      </c>
      <c r="W1098" s="51">
        <v>0.35</v>
      </c>
      <c r="X1098" s="357">
        <v>0.37</v>
      </c>
      <c r="Z1098" s="5" t="s">
        <v>48</v>
      </c>
      <c r="AA1098" s="112" t="s">
        <v>28</v>
      </c>
    </row>
    <row r="1099" spans="1:29" x14ac:dyDescent="0.25">
      <c r="A1099" s="329">
        <v>45947</v>
      </c>
      <c r="B1099" s="5">
        <v>9</v>
      </c>
      <c r="D1099" s="5" t="s">
        <v>92</v>
      </c>
      <c r="E1099" s="6">
        <v>0.77</v>
      </c>
      <c r="G1099" s="362">
        <v>0</v>
      </c>
      <c r="H1099" s="362">
        <v>2</v>
      </c>
      <c r="I1099" s="8">
        <v>3.74</v>
      </c>
      <c r="L1099" s="5" t="s">
        <v>192</v>
      </c>
      <c r="N1099" s="345">
        <v>61</v>
      </c>
      <c r="O1099" s="38" t="s">
        <v>192</v>
      </c>
      <c r="P1099" s="5" t="s">
        <v>410</v>
      </c>
      <c r="Q1099" s="5" t="s">
        <v>361</v>
      </c>
      <c r="R1099" s="5" t="s">
        <v>718</v>
      </c>
      <c r="S1099" s="479">
        <v>75</v>
      </c>
      <c r="T1099" s="5" t="s">
        <v>41</v>
      </c>
      <c r="U1099" s="5" t="s">
        <v>45</v>
      </c>
      <c r="V1099" s="57" t="s">
        <v>20</v>
      </c>
      <c r="W1099" s="51">
        <v>0.1</v>
      </c>
      <c r="X1099" s="357" t="s">
        <v>53</v>
      </c>
      <c r="Z1099" s="5" t="s">
        <v>52</v>
      </c>
      <c r="AA1099" s="112" t="s">
        <v>28</v>
      </c>
    </row>
    <row r="1100" spans="1:29" x14ac:dyDescent="0.25">
      <c r="A1100" s="329">
        <v>45947</v>
      </c>
      <c r="B1100" s="5">
        <v>9</v>
      </c>
      <c r="D1100" s="5" t="s">
        <v>92</v>
      </c>
      <c r="E1100" s="6">
        <v>0.77</v>
      </c>
      <c r="G1100" s="362">
        <v>0</v>
      </c>
      <c r="H1100" s="362">
        <v>2</v>
      </c>
      <c r="I1100" s="8">
        <v>3.74</v>
      </c>
      <c r="L1100" s="5" t="s">
        <v>192</v>
      </c>
      <c r="N1100" s="345">
        <v>67</v>
      </c>
      <c r="O1100" s="38" t="s">
        <v>192</v>
      </c>
      <c r="P1100" s="5" t="s">
        <v>198</v>
      </c>
      <c r="Q1100" s="5" t="s">
        <v>199</v>
      </c>
      <c r="R1100" s="5" t="s">
        <v>685</v>
      </c>
      <c r="S1100" s="479">
        <v>77</v>
      </c>
      <c r="T1100" s="5" t="s">
        <v>41</v>
      </c>
      <c r="U1100" s="5" t="s">
        <v>45</v>
      </c>
      <c r="V1100" s="57" t="s">
        <v>10</v>
      </c>
      <c r="W1100" s="51">
        <v>0.09</v>
      </c>
      <c r="X1100" s="357" t="s">
        <v>53</v>
      </c>
      <c r="Z1100" s="5" t="s">
        <v>55</v>
      </c>
      <c r="AA1100" s="112" t="s">
        <v>28</v>
      </c>
    </row>
    <row r="1101" spans="1:29" x14ac:dyDescent="0.25">
      <c r="A1101" s="329">
        <v>45947</v>
      </c>
      <c r="B1101" s="5">
        <v>9</v>
      </c>
      <c r="D1101" s="5" t="s">
        <v>92</v>
      </c>
      <c r="E1101" s="6">
        <v>0.77</v>
      </c>
      <c r="G1101" s="362">
        <v>0</v>
      </c>
      <c r="H1101" s="362">
        <v>2</v>
      </c>
      <c r="I1101" s="8">
        <v>3.74</v>
      </c>
      <c r="L1101" s="5" t="s">
        <v>192</v>
      </c>
      <c r="N1101" s="476">
        <v>69</v>
      </c>
      <c r="O1101" s="477" t="s">
        <v>92</v>
      </c>
      <c r="P1101" s="478" t="s">
        <v>110</v>
      </c>
      <c r="Q1101" s="478" t="s">
        <v>111</v>
      </c>
      <c r="R1101" s="478" t="s">
        <v>685</v>
      </c>
      <c r="S1101" s="479">
        <v>65</v>
      </c>
      <c r="T1101" s="478" t="s">
        <v>41</v>
      </c>
      <c r="U1101" s="478" t="s">
        <v>42</v>
      </c>
      <c r="V1101" s="480" t="s">
        <v>18</v>
      </c>
      <c r="W1101" s="51">
        <v>0.18</v>
      </c>
      <c r="Z1101" s="5" t="s">
        <v>13</v>
      </c>
      <c r="AA1101" s="112" t="s">
        <v>28</v>
      </c>
    </row>
    <row r="1102" spans="1:29" x14ac:dyDescent="0.25">
      <c r="A1102" s="329">
        <v>45947</v>
      </c>
      <c r="B1102" s="5">
        <v>9</v>
      </c>
      <c r="D1102" s="5" t="s">
        <v>92</v>
      </c>
      <c r="E1102" s="6">
        <v>0.77</v>
      </c>
      <c r="G1102" s="362">
        <v>0</v>
      </c>
      <c r="H1102" s="362">
        <v>2</v>
      </c>
      <c r="I1102" s="8">
        <v>3.74</v>
      </c>
      <c r="L1102" s="5" t="s">
        <v>192</v>
      </c>
      <c r="N1102" s="345">
        <v>70</v>
      </c>
      <c r="O1102" s="38" t="s">
        <v>192</v>
      </c>
      <c r="P1102" s="5" t="s">
        <v>196</v>
      </c>
      <c r="Q1102" s="5" t="s">
        <v>75</v>
      </c>
      <c r="R1102" s="5" t="s">
        <v>717</v>
      </c>
      <c r="S1102" s="7">
        <v>80</v>
      </c>
      <c r="T1102" s="5" t="s">
        <v>47</v>
      </c>
      <c r="U1102" s="5" t="s">
        <v>42</v>
      </c>
      <c r="V1102" s="57" t="s">
        <v>540</v>
      </c>
      <c r="W1102" s="51">
        <v>0.77</v>
      </c>
      <c r="X1102" s="357">
        <v>0.89</v>
      </c>
      <c r="Y1102" s="351" t="s">
        <v>353</v>
      </c>
      <c r="Z1102" s="5" t="s">
        <v>8</v>
      </c>
      <c r="AA1102" s="112" t="s">
        <v>9</v>
      </c>
    </row>
    <row r="1103" spans="1:29" x14ac:dyDescent="0.25">
      <c r="A1103" s="329">
        <v>45947</v>
      </c>
      <c r="B1103" s="5">
        <v>9</v>
      </c>
      <c r="D1103" s="5" t="s">
        <v>92</v>
      </c>
      <c r="E1103" s="6">
        <v>0.77</v>
      </c>
      <c r="G1103" s="362">
        <v>0</v>
      </c>
      <c r="H1103" s="362">
        <v>2</v>
      </c>
      <c r="I1103" s="8">
        <v>3.74</v>
      </c>
      <c r="L1103" s="5" t="s">
        <v>192</v>
      </c>
      <c r="N1103" s="345">
        <v>81</v>
      </c>
      <c r="O1103" s="38" t="s">
        <v>192</v>
      </c>
      <c r="P1103" s="5" t="s">
        <v>411</v>
      </c>
      <c r="Q1103" s="5" t="s">
        <v>412</v>
      </c>
      <c r="R1103" s="5" t="s">
        <v>696</v>
      </c>
      <c r="S1103" s="7">
        <v>64</v>
      </c>
      <c r="T1103" s="5" t="s">
        <v>44</v>
      </c>
      <c r="U1103" s="5" t="s">
        <v>42</v>
      </c>
      <c r="V1103" s="57" t="s">
        <v>18</v>
      </c>
      <c r="W1103" s="51">
        <v>0.08</v>
      </c>
      <c r="X1103" s="357">
        <v>0.38</v>
      </c>
      <c r="Z1103" s="5" t="s">
        <v>48</v>
      </c>
      <c r="AA1103" s="112" t="s">
        <v>9</v>
      </c>
    </row>
    <row r="1104" spans="1:29" x14ac:dyDescent="0.25">
      <c r="A1104" s="329">
        <v>45947</v>
      </c>
      <c r="B1104" s="5">
        <v>9</v>
      </c>
      <c r="D1104" s="5" t="s">
        <v>92</v>
      </c>
      <c r="E1104" s="6">
        <v>0.77</v>
      </c>
      <c r="G1104" s="362">
        <v>0</v>
      </c>
      <c r="H1104" s="362">
        <v>2</v>
      </c>
      <c r="I1104" s="8">
        <v>3.74</v>
      </c>
      <c r="L1104" s="5" t="s">
        <v>192</v>
      </c>
      <c r="N1104" s="345">
        <v>82</v>
      </c>
      <c r="O1104" s="38" t="s">
        <v>192</v>
      </c>
      <c r="P1104" s="5" t="s">
        <v>198</v>
      </c>
      <c r="Q1104" s="5" t="s">
        <v>199</v>
      </c>
      <c r="R1104" s="5" t="s">
        <v>685</v>
      </c>
      <c r="S1104" s="7">
        <v>77</v>
      </c>
      <c r="T1104" s="5" t="s">
        <v>47</v>
      </c>
      <c r="U1104" s="5" t="s">
        <v>43</v>
      </c>
      <c r="V1104" s="57" t="s">
        <v>10</v>
      </c>
      <c r="W1104" s="51">
        <v>0.36</v>
      </c>
      <c r="X1104" s="357">
        <v>0.94</v>
      </c>
      <c r="Y1104" s="351" t="s">
        <v>353</v>
      </c>
      <c r="Z1104" s="5" t="s">
        <v>8</v>
      </c>
      <c r="AA1104" s="112" t="s">
        <v>11</v>
      </c>
      <c r="AB1104" s="108" t="s">
        <v>654</v>
      </c>
      <c r="AC1104" s="57" t="s">
        <v>655</v>
      </c>
    </row>
    <row r="1105" spans="1:29" x14ac:dyDescent="0.25">
      <c r="A1105" s="329">
        <v>45947</v>
      </c>
      <c r="B1105" s="5">
        <v>9</v>
      </c>
      <c r="D1105" s="5" t="s">
        <v>92</v>
      </c>
      <c r="E1105" s="6">
        <v>0.77</v>
      </c>
      <c r="G1105" s="362">
        <v>0</v>
      </c>
      <c r="H1105" s="362">
        <v>2</v>
      </c>
      <c r="I1105" s="8">
        <v>3.74</v>
      </c>
      <c r="L1105" s="5" t="s">
        <v>192</v>
      </c>
      <c r="N1105" s="345">
        <v>89</v>
      </c>
      <c r="O1105" s="38" t="s">
        <v>192</v>
      </c>
      <c r="P1105" s="5" t="s">
        <v>46</v>
      </c>
      <c r="Q1105" s="5" t="s">
        <v>191</v>
      </c>
      <c r="R1105" s="5" t="s">
        <v>688</v>
      </c>
      <c r="S1105" s="479">
        <v>71</v>
      </c>
      <c r="T1105" s="5" t="s">
        <v>47</v>
      </c>
      <c r="U1105" s="5" t="s">
        <v>42</v>
      </c>
      <c r="V1105" s="57" t="s">
        <v>18</v>
      </c>
      <c r="W1105" s="51">
        <v>0.9</v>
      </c>
      <c r="X1105" s="357" t="s">
        <v>53</v>
      </c>
      <c r="Y1105" s="351" t="s">
        <v>353</v>
      </c>
      <c r="Z1105" s="5" t="s">
        <v>13</v>
      </c>
      <c r="AA1105" s="112" t="s">
        <v>11</v>
      </c>
    </row>
    <row r="1106" spans="1:29" ht="15.75" thickBot="1" x14ac:dyDescent="0.3">
      <c r="A1106" s="338">
        <v>45947</v>
      </c>
      <c r="B1106" s="230">
        <v>9</v>
      </c>
      <c r="C1106" s="231"/>
      <c r="D1106" s="230" t="s">
        <v>92</v>
      </c>
      <c r="E1106" s="232">
        <v>0.77</v>
      </c>
      <c r="F1106" s="232"/>
      <c r="G1106" s="363">
        <v>0</v>
      </c>
      <c r="H1106" s="363">
        <v>2</v>
      </c>
      <c r="I1106" s="234">
        <v>3.74</v>
      </c>
      <c r="J1106" s="234"/>
      <c r="K1106" s="231"/>
      <c r="L1106" s="230" t="s">
        <v>192</v>
      </c>
      <c r="M1106" s="235"/>
      <c r="N1106" s="347"/>
      <c r="O1106" s="343" t="s">
        <v>92</v>
      </c>
      <c r="P1106" s="199" t="s">
        <v>432</v>
      </c>
      <c r="Q1106" s="199" t="s">
        <v>472</v>
      </c>
      <c r="R1106" s="199" t="s">
        <v>707</v>
      </c>
      <c r="S1106" s="7">
        <v>76</v>
      </c>
      <c r="T1106" s="199"/>
      <c r="U1106" s="199"/>
      <c r="V1106" s="201"/>
      <c r="W1106" s="202"/>
      <c r="X1106" s="359"/>
      <c r="Y1106" s="353">
        <f>H1106</f>
        <v>2</v>
      </c>
      <c r="Z1106" s="199"/>
      <c r="AA1106" s="204"/>
      <c r="AB1106" s="205"/>
      <c r="AC1106" s="201"/>
    </row>
    <row r="1107" spans="1:29" ht="15.75" thickBot="1" x14ac:dyDescent="0.3">
      <c r="A1107" s="338">
        <v>45947</v>
      </c>
      <c r="B1107" s="230">
        <v>9</v>
      </c>
      <c r="C1107" s="231"/>
      <c r="D1107" s="230" t="s">
        <v>92</v>
      </c>
      <c r="E1107" s="232">
        <v>0.77</v>
      </c>
      <c r="F1107" s="232"/>
      <c r="G1107" s="363">
        <v>0</v>
      </c>
      <c r="H1107" s="363">
        <v>2</v>
      </c>
      <c r="I1107" s="234">
        <v>3.74</v>
      </c>
      <c r="J1107" s="234"/>
      <c r="K1107" s="231"/>
      <c r="L1107" s="230" t="s">
        <v>192</v>
      </c>
      <c r="M1107" s="235"/>
      <c r="N1107" s="347"/>
      <c r="O1107" s="343" t="s">
        <v>192</v>
      </c>
      <c r="P1107" s="199" t="s">
        <v>723</v>
      </c>
      <c r="Q1107" s="199" t="s">
        <v>724</v>
      </c>
      <c r="R1107" s="199" t="s">
        <v>707</v>
      </c>
      <c r="S1107" s="479">
        <v>77</v>
      </c>
      <c r="T1107" s="199"/>
      <c r="U1107" s="199"/>
      <c r="V1107" s="201"/>
      <c r="W1107" s="202"/>
      <c r="X1107" s="359"/>
      <c r="Y1107" s="353">
        <f>G1106</f>
        <v>0</v>
      </c>
      <c r="Z1107" s="199"/>
      <c r="AA1107" s="204"/>
      <c r="AB1107" s="205"/>
      <c r="AC1107" s="201"/>
    </row>
    <row r="1108" spans="1:29" x14ac:dyDescent="0.25">
      <c r="A1108" s="329">
        <v>45948</v>
      </c>
      <c r="B1108" s="5">
        <v>9</v>
      </c>
      <c r="C1108" s="121" t="s">
        <v>693</v>
      </c>
      <c r="D1108" s="5" t="s">
        <v>171</v>
      </c>
      <c r="E1108" s="6">
        <v>1.26</v>
      </c>
      <c r="G1108" s="362">
        <v>1</v>
      </c>
      <c r="H1108" s="362">
        <v>3</v>
      </c>
      <c r="I1108" s="8">
        <v>1.85</v>
      </c>
      <c r="K1108" s="121" t="s">
        <v>693</v>
      </c>
      <c r="L1108" s="5" t="s">
        <v>112</v>
      </c>
      <c r="N1108" s="476">
        <v>16</v>
      </c>
      <c r="O1108" s="477" t="s">
        <v>171</v>
      </c>
      <c r="P1108" s="478" t="s">
        <v>328</v>
      </c>
      <c r="Q1108" s="478" t="s">
        <v>329</v>
      </c>
      <c r="R1108" s="478" t="s">
        <v>685</v>
      </c>
      <c r="S1108" s="479">
        <v>76</v>
      </c>
      <c r="T1108" s="478" t="s">
        <v>47</v>
      </c>
      <c r="U1108" s="478" t="s">
        <v>43</v>
      </c>
      <c r="V1108" s="480" t="s">
        <v>10</v>
      </c>
      <c r="W1108" s="51">
        <v>0.15</v>
      </c>
      <c r="X1108" s="357">
        <v>0.59</v>
      </c>
      <c r="Y1108" s="351" t="s">
        <v>353</v>
      </c>
      <c r="Z1108" s="5" t="s">
        <v>8</v>
      </c>
      <c r="AA1108" s="112" t="s">
        <v>19</v>
      </c>
      <c r="AB1108" s="108" t="s">
        <v>441</v>
      </c>
      <c r="AC1108" s="57" t="s">
        <v>442</v>
      </c>
    </row>
    <row r="1109" spans="1:29" x14ac:dyDescent="0.25">
      <c r="A1109" s="329">
        <v>45948</v>
      </c>
      <c r="B1109" s="5">
        <v>9</v>
      </c>
      <c r="D1109" s="5" t="s">
        <v>171</v>
      </c>
      <c r="E1109" s="6">
        <v>1.26</v>
      </c>
      <c r="G1109" s="362">
        <v>1</v>
      </c>
      <c r="H1109" s="362">
        <v>3</v>
      </c>
      <c r="I1109" s="8">
        <v>1.85</v>
      </c>
      <c r="L1109" s="5" t="s">
        <v>112</v>
      </c>
      <c r="N1109" s="345">
        <v>26</v>
      </c>
      <c r="O1109" s="38" t="s">
        <v>112</v>
      </c>
      <c r="P1109" s="5" t="s">
        <v>580</v>
      </c>
      <c r="Q1109" s="5" t="s">
        <v>666</v>
      </c>
      <c r="R1109" s="5" t="s">
        <v>685</v>
      </c>
      <c r="S1109" s="479">
        <v>84</v>
      </c>
      <c r="T1109" s="5" t="s">
        <v>41</v>
      </c>
      <c r="U1109" s="5" t="s">
        <v>43</v>
      </c>
      <c r="V1109" s="57" t="s">
        <v>10</v>
      </c>
      <c r="W1109" s="51">
        <v>0.02</v>
      </c>
      <c r="X1109" s="357">
        <v>0.27</v>
      </c>
      <c r="Z1109" s="5" t="s">
        <v>48</v>
      </c>
      <c r="AA1109" s="112" t="s">
        <v>19</v>
      </c>
    </row>
    <row r="1110" spans="1:29" x14ac:dyDescent="0.25">
      <c r="A1110" s="329">
        <v>45948</v>
      </c>
      <c r="B1110" s="5">
        <v>9</v>
      </c>
      <c r="D1110" s="5" t="s">
        <v>171</v>
      </c>
      <c r="E1110" s="6">
        <v>1.26</v>
      </c>
      <c r="G1110" s="362">
        <v>1</v>
      </c>
      <c r="H1110" s="362">
        <v>3</v>
      </c>
      <c r="I1110" s="8">
        <v>1.85</v>
      </c>
      <c r="L1110" s="5" t="s">
        <v>112</v>
      </c>
      <c r="N1110" s="476">
        <v>34</v>
      </c>
      <c r="O1110" s="477" t="s">
        <v>171</v>
      </c>
      <c r="P1110" s="478" t="s">
        <v>300</v>
      </c>
      <c r="Q1110" s="478" t="s">
        <v>21</v>
      </c>
      <c r="R1110" s="478" t="s">
        <v>686</v>
      </c>
      <c r="S1110" s="479">
        <v>68</v>
      </c>
      <c r="T1110" s="478" t="s">
        <v>41</v>
      </c>
      <c r="U1110" s="478" t="s">
        <v>45</v>
      </c>
      <c r="V1110" s="480" t="s">
        <v>18</v>
      </c>
      <c r="W1110" s="51">
        <v>7.0000000000000007E-2</v>
      </c>
      <c r="X1110" s="357">
        <v>0.12</v>
      </c>
      <c r="Z1110" s="5" t="s">
        <v>48</v>
      </c>
      <c r="AA1110" s="112" t="s">
        <v>19</v>
      </c>
    </row>
    <row r="1111" spans="1:29" x14ac:dyDescent="0.25">
      <c r="A1111" s="329">
        <v>45948</v>
      </c>
      <c r="B1111" s="5">
        <v>9</v>
      </c>
      <c r="D1111" s="5" t="s">
        <v>171</v>
      </c>
      <c r="E1111" s="6">
        <v>1.26</v>
      </c>
      <c r="G1111" s="362">
        <v>1</v>
      </c>
      <c r="H1111" s="362">
        <v>3</v>
      </c>
      <c r="I1111" s="8">
        <v>1.85</v>
      </c>
      <c r="L1111" s="5" t="s">
        <v>112</v>
      </c>
      <c r="N1111" s="345">
        <v>37</v>
      </c>
      <c r="O1111" s="38" t="s">
        <v>112</v>
      </c>
      <c r="P1111" s="5" t="s">
        <v>580</v>
      </c>
      <c r="Q1111" s="5" t="s">
        <v>666</v>
      </c>
      <c r="R1111" s="5" t="s">
        <v>685</v>
      </c>
      <c r="S1111" s="7">
        <v>84</v>
      </c>
      <c r="T1111" s="5" t="s">
        <v>44</v>
      </c>
      <c r="U1111" s="5" t="s">
        <v>42</v>
      </c>
      <c r="V1111" s="57" t="s">
        <v>18</v>
      </c>
      <c r="W1111" s="51">
        <v>0.25</v>
      </c>
      <c r="X1111" s="357">
        <v>0.08</v>
      </c>
      <c r="Z1111" s="5" t="s">
        <v>48</v>
      </c>
      <c r="AA1111" s="112" t="s">
        <v>19</v>
      </c>
    </row>
    <row r="1112" spans="1:29" x14ac:dyDescent="0.25">
      <c r="A1112" s="329">
        <v>45948</v>
      </c>
      <c r="B1112" s="5">
        <v>9</v>
      </c>
      <c r="D1112" s="5" t="s">
        <v>171</v>
      </c>
      <c r="E1112" s="6">
        <v>1.26</v>
      </c>
      <c r="G1112" s="362">
        <v>1</v>
      </c>
      <c r="H1112" s="362">
        <v>3</v>
      </c>
      <c r="I1112" s="8">
        <v>1.85</v>
      </c>
      <c r="L1112" s="5" t="s">
        <v>112</v>
      </c>
      <c r="N1112" s="476" t="s">
        <v>122</v>
      </c>
      <c r="O1112" s="477" t="s">
        <v>171</v>
      </c>
      <c r="P1112" s="478" t="s">
        <v>190</v>
      </c>
      <c r="Q1112" s="478" t="s">
        <v>191</v>
      </c>
      <c r="R1112" s="478" t="s">
        <v>684</v>
      </c>
      <c r="S1112" s="479">
        <v>62</v>
      </c>
      <c r="T1112" s="478" t="s">
        <v>41</v>
      </c>
      <c r="U1112" s="478" t="s">
        <v>43</v>
      </c>
      <c r="V1112" s="480" t="s">
        <v>540</v>
      </c>
      <c r="W1112" s="51">
        <v>0.19</v>
      </c>
      <c r="X1112" s="357">
        <v>0.22</v>
      </c>
      <c r="Z1112" s="5" t="s">
        <v>48</v>
      </c>
      <c r="AA1112" s="112" t="s">
        <v>19</v>
      </c>
    </row>
    <row r="1113" spans="1:29" x14ac:dyDescent="0.25">
      <c r="A1113" s="329">
        <v>45948</v>
      </c>
      <c r="B1113" s="5">
        <v>9</v>
      </c>
      <c r="D1113" s="5" t="s">
        <v>171</v>
      </c>
      <c r="E1113" s="6">
        <v>1.26</v>
      </c>
      <c r="G1113" s="362">
        <v>1</v>
      </c>
      <c r="H1113" s="362">
        <v>3</v>
      </c>
      <c r="I1113" s="8">
        <v>1.85</v>
      </c>
      <c r="L1113" s="5" t="s">
        <v>112</v>
      </c>
      <c r="N1113" s="345">
        <v>46</v>
      </c>
      <c r="O1113" s="38" t="s">
        <v>112</v>
      </c>
      <c r="P1113" s="5" t="s">
        <v>580</v>
      </c>
      <c r="Q1113" s="5" t="s">
        <v>666</v>
      </c>
      <c r="R1113" s="5" t="s">
        <v>685</v>
      </c>
      <c r="S1113" s="479">
        <v>84</v>
      </c>
      <c r="T1113" s="5" t="s">
        <v>41</v>
      </c>
      <c r="U1113" s="5" t="s">
        <v>43</v>
      </c>
      <c r="V1113" s="57" t="s">
        <v>10</v>
      </c>
      <c r="W1113" s="51">
        <v>0.34</v>
      </c>
      <c r="X1113" s="357">
        <v>0.2</v>
      </c>
      <c r="Z1113" s="5" t="s">
        <v>48</v>
      </c>
      <c r="AA1113" s="112" t="s">
        <v>19</v>
      </c>
    </row>
    <row r="1114" spans="1:29" x14ac:dyDescent="0.25">
      <c r="A1114" s="329">
        <v>45948</v>
      </c>
      <c r="B1114" s="5">
        <v>9</v>
      </c>
      <c r="D1114" s="5" t="s">
        <v>171</v>
      </c>
      <c r="E1114" s="6">
        <v>1.26</v>
      </c>
      <c r="G1114" s="362">
        <v>1</v>
      </c>
      <c r="H1114" s="362">
        <v>3</v>
      </c>
      <c r="I1114" s="8">
        <v>1.85</v>
      </c>
      <c r="L1114" s="5" t="s">
        <v>112</v>
      </c>
      <c r="N1114" s="476">
        <v>50</v>
      </c>
      <c r="O1114" s="477" t="s">
        <v>171</v>
      </c>
      <c r="P1114" s="478" t="s">
        <v>187</v>
      </c>
      <c r="Q1114" s="478" t="s">
        <v>188</v>
      </c>
      <c r="R1114" s="478" t="s">
        <v>687</v>
      </c>
      <c r="S1114" s="479">
        <v>63</v>
      </c>
      <c r="T1114" s="478" t="s">
        <v>47</v>
      </c>
      <c r="U1114" s="478" t="s">
        <v>45</v>
      </c>
      <c r="V1114" s="480" t="s">
        <v>20</v>
      </c>
      <c r="W1114" s="51">
        <v>0.18</v>
      </c>
      <c r="X1114" s="357" t="s">
        <v>53</v>
      </c>
      <c r="Z1114" s="5" t="s">
        <v>52</v>
      </c>
      <c r="AA1114" s="112" t="s">
        <v>19</v>
      </c>
    </row>
    <row r="1115" spans="1:29" x14ac:dyDescent="0.25">
      <c r="A1115" s="329">
        <v>45948</v>
      </c>
      <c r="B1115" s="5">
        <v>9</v>
      </c>
      <c r="D1115" s="5" t="s">
        <v>171</v>
      </c>
      <c r="E1115" s="6">
        <v>1.26</v>
      </c>
      <c r="G1115" s="362">
        <v>1</v>
      </c>
      <c r="H1115" s="362">
        <v>3</v>
      </c>
      <c r="I1115" s="8">
        <v>1.85</v>
      </c>
      <c r="L1115" s="5" t="s">
        <v>112</v>
      </c>
      <c r="N1115" s="476">
        <v>61</v>
      </c>
      <c r="O1115" s="477" t="s">
        <v>171</v>
      </c>
      <c r="P1115" s="478" t="s">
        <v>300</v>
      </c>
      <c r="Q1115" s="478" t="s">
        <v>21</v>
      </c>
      <c r="R1115" s="478" t="s">
        <v>686</v>
      </c>
      <c r="S1115" s="479">
        <v>68</v>
      </c>
      <c r="T1115" s="478" t="s">
        <v>41</v>
      </c>
      <c r="U1115" s="478" t="s">
        <v>42</v>
      </c>
      <c r="V1115" s="480" t="s">
        <v>18</v>
      </c>
      <c r="W1115" s="51">
        <v>0.19</v>
      </c>
      <c r="X1115" s="357" t="s">
        <v>53</v>
      </c>
      <c r="Z1115" s="5" t="s">
        <v>52</v>
      </c>
      <c r="AA1115" s="112" t="s">
        <v>19</v>
      </c>
    </row>
    <row r="1116" spans="1:29" x14ac:dyDescent="0.25">
      <c r="A1116" s="329">
        <v>45948</v>
      </c>
      <c r="B1116" s="5">
        <v>9</v>
      </c>
      <c r="D1116" s="5" t="s">
        <v>171</v>
      </c>
      <c r="E1116" s="6">
        <v>1.26</v>
      </c>
      <c r="G1116" s="362">
        <v>1</v>
      </c>
      <c r="H1116" s="362">
        <v>3</v>
      </c>
      <c r="I1116" s="8">
        <v>1.85</v>
      </c>
      <c r="L1116" s="5" t="s">
        <v>112</v>
      </c>
      <c r="N1116" s="345">
        <v>67</v>
      </c>
      <c r="O1116" s="38" t="s">
        <v>112</v>
      </c>
      <c r="P1116" s="5" t="s">
        <v>114</v>
      </c>
      <c r="Q1116" s="5" t="s">
        <v>115</v>
      </c>
      <c r="R1116" s="5" t="s">
        <v>684</v>
      </c>
      <c r="S1116" s="479">
        <v>74</v>
      </c>
      <c r="T1116" s="5" t="s">
        <v>41</v>
      </c>
      <c r="U1116" s="5" t="s">
        <v>43</v>
      </c>
      <c r="V1116" s="57" t="s">
        <v>10</v>
      </c>
      <c r="W1116" s="51">
        <v>0.13</v>
      </c>
      <c r="X1116" s="357">
        <v>0.45</v>
      </c>
      <c r="Y1116" s="351" t="s">
        <v>353</v>
      </c>
      <c r="Z1116" s="5" t="s">
        <v>8</v>
      </c>
      <c r="AA1116" s="112" t="s">
        <v>51</v>
      </c>
      <c r="AB1116" s="108" t="s">
        <v>580</v>
      </c>
      <c r="AC1116" s="57" t="s">
        <v>666</v>
      </c>
    </row>
    <row r="1117" spans="1:29" x14ac:dyDescent="0.25">
      <c r="A1117" s="329">
        <v>45948</v>
      </c>
      <c r="B1117" s="5">
        <v>9</v>
      </c>
      <c r="D1117" s="5" t="s">
        <v>171</v>
      </c>
      <c r="E1117" s="6">
        <v>1.26</v>
      </c>
      <c r="G1117" s="362">
        <v>1</v>
      </c>
      <c r="H1117" s="362">
        <v>3</v>
      </c>
      <c r="I1117" s="8">
        <v>1.85</v>
      </c>
      <c r="L1117" s="5" t="s">
        <v>112</v>
      </c>
      <c r="N1117" s="345">
        <v>72</v>
      </c>
      <c r="O1117" s="38" t="s">
        <v>112</v>
      </c>
      <c r="P1117" s="5" t="s">
        <v>243</v>
      </c>
      <c r="Q1117" s="5" t="s">
        <v>244</v>
      </c>
      <c r="R1117" s="5" t="s">
        <v>696</v>
      </c>
      <c r="S1117" s="481">
        <v>79</v>
      </c>
      <c r="T1117" s="5" t="s">
        <v>41</v>
      </c>
      <c r="U1117" s="5" t="s">
        <v>42</v>
      </c>
      <c r="V1117" s="57" t="s">
        <v>18</v>
      </c>
      <c r="W1117" s="51">
        <v>0.53</v>
      </c>
      <c r="X1117" s="357">
        <v>0.43</v>
      </c>
      <c r="Y1117" s="351" t="s">
        <v>353</v>
      </c>
      <c r="Z1117" s="5" t="s">
        <v>8</v>
      </c>
      <c r="AA1117" s="112" t="s">
        <v>67</v>
      </c>
      <c r="AB1117" s="108" t="s">
        <v>413</v>
      </c>
      <c r="AC1117" s="57" t="s">
        <v>414</v>
      </c>
    </row>
    <row r="1118" spans="1:29" x14ac:dyDescent="0.25">
      <c r="A1118" s="329">
        <v>45948</v>
      </c>
      <c r="B1118" s="5">
        <v>9</v>
      </c>
      <c r="D1118" s="5" t="s">
        <v>171</v>
      </c>
      <c r="E1118" s="6">
        <v>1.26</v>
      </c>
      <c r="G1118" s="362">
        <v>1</v>
      </c>
      <c r="H1118" s="362">
        <v>3</v>
      </c>
      <c r="I1118" s="8">
        <v>1.85</v>
      </c>
      <c r="L1118" s="5" t="s">
        <v>112</v>
      </c>
      <c r="N1118" s="345">
        <v>77</v>
      </c>
      <c r="O1118" s="38" t="s">
        <v>112</v>
      </c>
      <c r="P1118" s="5" t="s">
        <v>243</v>
      </c>
      <c r="Q1118" s="5" t="s">
        <v>244</v>
      </c>
      <c r="R1118" s="5" t="s">
        <v>696</v>
      </c>
      <c r="S1118" s="481">
        <v>79</v>
      </c>
      <c r="T1118" s="5" t="s">
        <v>41</v>
      </c>
      <c r="U1118" s="5" t="s">
        <v>43</v>
      </c>
      <c r="V1118" s="57" t="s">
        <v>540</v>
      </c>
      <c r="W1118" s="51">
        <v>0.52</v>
      </c>
      <c r="X1118" s="357">
        <v>0.71</v>
      </c>
      <c r="Y1118" s="351" t="s">
        <v>353</v>
      </c>
      <c r="Z1118" s="5" t="s">
        <v>8</v>
      </c>
      <c r="AA1118" s="112" t="s">
        <v>58</v>
      </c>
    </row>
    <row r="1119" spans="1:29" x14ac:dyDescent="0.25">
      <c r="A1119" s="329">
        <v>45948</v>
      </c>
      <c r="B1119" s="5">
        <v>9</v>
      </c>
      <c r="D1119" s="5" t="s">
        <v>171</v>
      </c>
      <c r="E1119" s="6">
        <v>1.26</v>
      </c>
      <c r="G1119" s="362">
        <v>1</v>
      </c>
      <c r="H1119" s="362">
        <v>3</v>
      </c>
      <c r="I1119" s="8">
        <v>1.85</v>
      </c>
      <c r="L1119" s="5" t="s">
        <v>112</v>
      </c>
      <c r="N1119" s="476">
        <v>88</v>
      </c>
      <c r="O1119" s="477" t="s">
        <v>171</v>
      </c>
      <c r="P1119" s="478" t="s">
        <v>53</v>
      </c>
      <c r="Q1119" s="478" t="s">
        <v>359</v>
      </c>
      <c r="R1119" s="478" t="s">
        <v>712</v>
      </c>
      <c r="S1119" s="479">
        <v>58</v>
      </c>
      <c r="T1119" s="478" t="s">
        <v>47</v>
      </c>
      <c r="U1119" s="478" t="s">
        <v>45</v>
      </c>
      <c r="V1119" s="480" t="s">
        <v>20</v>
      </c>
      <c r="W1119" s="51">
        <v>0.19</v>
      </c>
      <c r="X1119" s="357" t="s">
        <v>53</v>
      </c>
      <c r="Z1119" s="5" t="s">
        <v>52</v>
      </c>
      <c r="AA1119" s="112" t="s">
        <v>58</v>
      </c>
    </row>
    <row r="1120" spans="1:29" x14ac:dyDescent="0.25">
      <c r="A1120" s="329">
        <v>45948</v>
      </c>
      <c r="B1120" s="5">
        <v>9</v>
      </c>
      <c r="D1120" s="5" t="s">
        <v>171</v>
      </c>
      <c r="E1120" s="6">
        <v>1.26</v>
      </c>
      <c r="G1120" s="362">
        <v>1</v>
      </c>
      <c r="H1120" s="362">
        <v>3</v>
      </c>
      <c r="I1120" s="8">
        <v>1.85</v>
      </c>
      <c r="L1120" s="5" t="s">
        <v>112</v>
      </c>
      <c r="N1120" s="476" t="s">
        <v>35</v>
      </c>
      <c r="O1120" s="477" t="s">
        <v>171</v>
      </c>
      <c r="P1120" s="478" t="s">
        <v>491</v>
      </c>
      <c r="Q1120" s="478" t="s">
        <v>492</v>
      </c>
      <c r="R1120" s="478" t="s">
        <v>687</v>
      </c>
      <c r="S1120" s="479">
        <v>61</v>
      </c>
      <c r="T1120" s="478" t="s">
        <v>354</v>
      </c>
      <c r="U1120" s="478" t="s">
        <v>42</v>
      </c>
      <c r="V1120" s="480" t="s">
        <v>10</v>
      </c>
      <c r="W1120" s="51">
        <v>0.03</v>
      </c>
      <c r="X1120" s="357" t="s">
        <v>53</v>
      </c>
      <c r="Z1120" s="5" t="s">
        <v>22</v>
      </c>
      <c r="AA1120" s="112" t="s">
        <v>58</v>
      </c>
    </row>
    <row r="1121" spans="1:29" ht="15.75" thickBot="1" x14ac:dyDescent="0.3">
      <c r="A1121" s="338">
        <v>45948</v>
      </c>
      <c r="B1121" s="230">
        <v>9</v>
      </c>
      <c r="C1121" s="231"/>
      <c r="D1121" s="230" t="s">
        <v>171</v>
      </c>
      <c r="E1121" s="232">
        <v>1.26</v>
      </c>
      <c r="F1121" s="232"/>
      <c r="G1121" s="363">
        <v>1</v>
      </c>
      <c r="H1121" s="363">
        <v>3</v>
      </c>
      <c r="I1121" s="234">
        <v>1.85</v>
      </c>
      <c r="J1121" s="234"/>
      <c r="K1121" s="231"/>
      <c r="L1121" s="230" t="s">
        <v>112</v>
      </c>
      <c r="M1121" s="235"/>
      <c r="N1121" s="347"/>
      <c r="O1121" s="343" t="s">
        <v>171</v>
      </c>
      <c r="P1121" s="199" t="s">
        <v>524</v>
      </c>
      <c r="Q1121" s="199" t="s">
        <v>525</v>
      </c>
      <c r="R1121" s="199" t="s">
        <v>707</v>
      </c>
      <c r="S1121" s="479">
        <v>63</v>
      </c>
      <c r="T1121" s="199"/>
      <c r="U1121" s="199"/>
      <c r="V1121" s="201"/>
      <c r="W1121" s="202"/>
      <c r="X1121" s="359"/>
      <c r="Y1121" s="353">
        <f>H1121</f>
        <v>3</v>
      </c>
      <c r="Z1121" s="199"/>
      <c r="AA1121" s="204"/>
      <c r="AB1121" s="205"/>
      <c r="AC1121" s="201"/>
    </row>
    <row r="1122" spans="1:29" ht="15.75" thickBot="1" x14ac:dyDescent="0.3">
      <c r="A1122" s="338">
        <v>45948</v>
      </c>
      <c r="B1122" s="230">
        <v>9</v>
      </c>
      <c r="C1122" s="231"/>
      <c r="D1122" s="230" t="s">
        <v>171</v>
      </c>
      <c r="E1122" s="232">
        <v>1.26</v>
      </c>
      <c r="F1122" s="232"/>
      <c r="G1122" s="363">
        <v>1</v>
      </c>
      <c r="H1122" s="363">
        <v>3</v>
      </c>
      <c r="I1122" s="234">
        <v>1.85</v>
      </c>
      <c r="J1122" s="234"/>
      <c r="K1122" s="231"/>
      <c r="L1122" s="230" t="s">
        <v>112</v>
      </c>
      <c r="M1122" s="235"/>
      <c r="N1122" s="347"/>
      <c r="O1122" s="343" t="s">
        <v>112</v>
      </c>
      <c r="P1122" s="199" t="s">
        <v>60</v>
      </c>
      <c r="Q1122" s="199" t="s">
        <v>464</v>
      </c>
      <c r="R1122" s="199" t="s">
        <v>707</v>
      </c>
      <c r="S1122" s="479">
        <v>68</v>
      </c>
      <c r="T1122" s="199"/>
      <c r="U1122" s="199"/>
      <c r="V1122" s="201"/>
      <c r="W1122" s="202"/>
      <c r="X1122" s="359"/>
      <c r="Y1122" s="353">
        <f>G1121</f>
        <v>1</v>
      </c>
      <c r="Z1122" s="199"/>
      <c r="AA1122" s="204"/>
      <c r="AB1122" s="205"/>
      <c r="AC1122" s="201"/>
    </row>
    <row r="1123" spans="1:29" x14ac:dyDescent="0.25">
      <c r="A1123" s="329">
        <v>45948</v>
      </c>
      <c r="B1123" s="5">
        <v>9</v>
      </c>
      <c r="C1123" s="121" t="s">
        <v>693</v>
      </c>
      <c r="D1123" s="5" t="s">
        <v>113</v>
      </c>
      <c r="E1123" s="6">
        <v>1.61</v>
      </c>
      <c r="G1123" s="362">
        <v>2</v>
      </c>
      <c r="H1123" s="362">
        <v>1</v>
      </c>
      <c r="I1123" s="8">
        <v>1.55</v>
      </c>
      <c r="K1123" s="121" t="s">
        <v>694</v>
      </c>
      <c r="L1123" s="5" t="s">
        <v>69</v>
      </c>
      <c r="N1123" s="476">
        <v>13</v>
      </c>
      <c r="O1123" s="477" t="s">
        <v>113</v>
      </c>
      <c r="P1123" s="478" t="s">
        <v>53</v>
      </c>
      <c r="Q1123" s="478" t="s">
        <v>126</v>
      </c>
      <c r="R1123" s="478" t="s">
        <v>687</v>
      </c>
      <c r="S1123" s="479">
        <v>79</v>
      </c>
      <c r="T1123" s="478" t="s">
        <v>41</v>
      </c>
      <c r="U1123" s="478" t="s">
        <v>43</v>
      </c>
      <c r="V1123" s="480" t="s">
        <v>10</v>
      </c>
      <c r="W1123" s="51">
        <v>0.14000000000000001</v>
      </c>
      <c r="X1123" s="357">
        <v>0.8</v>
      </c>
      <c r="Z1123" s="5" t="s">
        <v>8</v>
      </c>
      <c r="AA1123" s="112" t="s">
        <v>19</v>
      </c>
      <c r="AB1123" s="108" t="s">
        <v>120</v>
      </c>
      <c r="AC1123" s="57" t="s">
        <v>121</v>
      </c>
    </row>
    <row r="1124" spans="1:29" x14ac:dyDescent="0.25">
      <c r="A1124" s="329">
        <v>45948</v>
      </c>
      <c r="B1124" s="5">
        <v>9</v>
      </c>
      <c r="D1124" s="5" t="s">
        <v>113</v>
      </c>
      <c r="E1124" s="6">
        <v>1.61</v>
      </c>
      <c r="G1124" s="362">
        <v>2</v>
      </c>
      <c r="H1124" s="362">
        <v>1</v>
      </c>
      <c r="I1124" s="8">
        <v>1.55</v>
      </c>
      <c r="L1124" s="5" t="s">
        <v>69</v>
      </c>
      <c r="N1124" s="345">
        <v>20</v>
      </c>
      <c r="O1124" s="38" t="s">
        <v>69</v>
      </c>
      <c r="P1124" s="5" t="s">
        <v>502</v>
      </c>
      <c r="Q1124" s="5" t="s">
        <v>503</v>
      </c>
      <c r="R1124" s="5" t="s">
        <v>695</v>
      </c>
      <c r="S1124" s="479">
        <v>76</v>
      </c>
      <c r="T1124" s="5" t="s">
        <v>41</v>
      </c>
      <c r="U1124" s="5" t="s">
        <v>43</v>
      </c>
      <c r="V1124" s="57" t="s">
        <v>20</v>
      </c>
      <c r="W1124" s="51">
        <v>0.14000000000000001</v>
      </c>
      <c r="X1124" s="357">
        <v>0.87</v>
      </c>
      <c r="Z1124" s="5" t="s">
        <v>8</v>
      </c>
      <c r="AA1124" s="112" t="s">
        <v>51</v>
      </c>
      <c r="AB1124" s="108" t="s">
        <v>553</v>
      </c>
      <c r="AC1124" s="57" t="s">
        <v>131</v>
      </c>
    </row>
    <row r="1125" spans="1:29" x14ac:dyDescent="0.25">
      <c r="A1125" s="329">
        <v>45948</v>
      </c>
      <c r="B1125" s="5">
        <v>9</v>
      </c>
      <c r="D1125" s="5" t="s">
        <v>113</v>
      </c>
      <c r="E1125" s="6">
        <v>1.61</v>
      </c>
      <c r="G1125" s="362">
        <v>2</v>
      </c>
      <c r="H1125" s="362">
        <v>1</v>
      </c>
      <c r="I1125" s="8">
        <v>1.55</v>
      </c>
      <c r="L1125" s="5" t="s">
        <v>69</v>
      </c>
      <c r="N1125" s="345">
        <v>24</v>
      </c>
      <c r="O1125" s="38" t="s">
        <v>69</v>
      </c>
      <c r="P1125" s="5" t="s">
        <v>53</v>
      </c>
      <c r="Q1125" s="5" t="s">
        <v>324</v>
      </c>
      <c r="R1125" s="5" t="s">
        <v>718</v>
      </c>
      <c r="S1125" s="479">
        <v>64</v>
      </c>
      <c r="T1125" s="5" t="s">
        <v>41</v>
      </c>
      <c r="U1125" s="5" t="s">
        <v>42</v>
      </c>
      <c r="V1125" s="57" t="s">
        <v>18</v>
      </c>
      <c r="W1125" s="51">
        <v>0.47</v>
      </c>
      <c r="X1125" s="357">
        <v>0.87</v>
      </c>
      <c r="Y1125" s="351" t="s">
        <v>353</v>
      </c>
      <c r="Z1125" s="5" t="s">
        <v>48</v>
      </c>
      <c r="AA1125" s="112" t="s">
        <v>51</v>
      </c>
    </row>
    <row r="1126" spans="1:29" x14ac:dyDescent="0.25">
      <c r="A1126" s="329">
        <v>45948</v>
      </c>
      <c r="B1126" s="5">
        <v>9</v>
      </c>
      <c r="D1126" s="5" t="s">
        <v>113</v>
      </c>
      <c r="E1126" s="6">
        <v>1.61</v>
      </c>
      <c r="G1126" s="362">
        <v>2</v>
      </c>
      <c r="H1126" s="362">
        <v>1</v>
      </c>
      <c r="I1126" s="8">
        <v>1.55</v>
      </c>
      <c r="L1126" s="5" t="s">
        <v>69</v>
      </c>
      <c r="N1126" s="476">
        <v>26</v>
      </c>
      <c r="O1126" s="477" t="s">
        <v>113</v>
      </c>
      <c r="P1126" s="478" t="s">
        <v>745</v>
      </c>
      <c r="Q1126" s="478" t="s">
        <v>671</v>
      </c>
      <c r="R1126" s="478" t="s">
        <v>695</v>
      </c>
      <c r="S1126" s="479">
        <v>74</v>
      </c>
      <c r="T1126" s="478" t="s">
        <v>41</v>
      </c>
      <c r="U1126" s="478" t="s">
        <v>42</v>
      </c>
      <c r="V1126" s="480" t="s">
        <v>10</v>
      </c>
      <c r="W1126" s="51">
        <v>7.0000000000000007E-2</v>
      </c>
      <c r="X1126" s="357">
        <v>0.3</v>
      </c>
      <c r="Z1126" s="5" t="s">
        <v>48</v>
      </c>
      <c r="AA1126" s="112" t="s">
        <v>51</v>
      </c>
    </row>
    <row r="1127" spans="1:29" x14ac:dyDescent="0.25">
      <c r="A1127" s="329">
        <v>45948</v>
      </c>
      <c r="B1127" s="5">
        <v>9</v>
      </c>
      <c r="D1127" s="5" t="s">
        <v>113</v>
      </c>
      <c r="E1127" s="6">
        <v>1.61</v>
      </c>
      <c r="G1127" s="362">
        <v>2</v>
      </c>
      <c r="H1127" s="362">
        <v>1</v>
      </c>
      <c r="I1127" s="8">
        <v>1.55</v>
      </c>
      <c r="L1127" s="5" t="s">
        <v>69</v>
      </c>
      <c r="N1127" s="476">
        <v>30</v>
      </c>
      <c r="O1127" s="477" t="s">
        <v>113</v>
      </c>
      <c r="P1127" s="478" t="s">
        <v>468</v>
      </c>
      <c r="Q1127" s="478" t="s">
        <v>469</v>
      </c>
      <c r="R1127" s="478" t="s">
        <v>685</v>
      </c>
      <c r="S1127" s="479">
        <v>73</v>
      </c>
      <c r="T1127" s="478" t="s">
        <v>354</v>
      </c>
      <c r="U1127" s="478" t="s">
        <v>42</v>
      </c>
      <c r="V1127" s="480" t="s">
        <v>15</v>
      </c>
      <c r="W1127" s="51">
        <v>0.03</v>
      </c>
      <c r="X1127" s="357" t="s">
        <v>53</v>
      </c>
      <c r="Z1127" s="5" t="s">
        <v>17</v>
      </c>
      <c r="AA1127" s="112" t="s">
        <v>51</v>
      </c>
    </row>
    <row r="1128" spans="1:29" x14ac:dyDescent="0.25">
      <c r="A1128" s="329">
        <v>45948</v>
      </c>
      <c r="B1128" s="5">
        <v>9</v>
      </c>
      <c r="D1128" s="5" t="s">
        <v>113</v>
      </c>
      <c r="E1128" s="6">
        <v>1.61</v>
      </c>
      <c r="G1128" s="362">
        <v>2</v>
      </c>
      <c r="H1128" s="362">
        <v>1</v>
      </c>
      <c r="I1128" s="8">
        <v>1.55</v>
      </c>
      <c r="L1128" s="5" t="s">
        <v>69</v>
      </c>
      <c r="N1128" s="345">
        <v>39</v>
      </c>
      <c r="O1128" s="38" t="s">
        <v>69</v>
      </c>
      <c r="P1128" s="5" t="s">
        <v>164</v>
      </c>
      <c r="Q1128" s="5" t="s">
        <v>669</v>
      </c>
      <c r="R1128" s="5" t="s">
        <v>686</v>
      </c>
      <c r="S1128" s="7">
        <v>64</v>
      </c>
      <c r="T1128" s="5" t="s">
        <v>41</v>
      </c>
      <c r="U1128" s="5" t="s">
        <v>43</v>
      </c>
      <c r="V1128" s="57" t="s">
        <v>18</v>
      </c>
      <c r="W1128" s="51">
        <v>0.51</v>
      </c>
      <c r="X1128" s="357" t="s">
        <v>53</v>
      </c>
      <c r="Y1128" s="351" t="s">
        <v>353</v>
      </c>
      <c r="Z1128" s="5" t="s">
        <v>13</v>
      </c>
      <c r="AA1128" s="112" t="s">
        <v>51</v>
      </c>
    </row>
    <row r="1129" spans="1:29" x14ac:dyDescent="0.25">
      <c r="A1129" s="329">
        <v>45948</v>
      </c>
      <c r="B1129" s="5">
        <v>9</v>
      </c>
      <c r="D1129" s="5" t="s">
        <v>113</v>
      </c>
      <c r="E1129" s="6">
        <v>1.61</v>
      </c>
      <c r="G1129" s="362">
        <v>2</v>
      </c>
      <c r="H1129" s="362">
        <v>1</v>
      </c>
      <c r="I1129" s="8">
        <v>1.55</v>
      </c>
      <c r="L1129" s="5" t="s">
        <v>69</v>
      </c>
      <c r="N1129" s="345">
        <v>41</v>
      </c>
      <c r="O1129" s="38" t="s">
        <v>69</v>
      </c>
      <c r="P1129" s="5" t="s">
        <v>502</v>
      </c>
      <c r="Q1129" s="5" t="s">
        <v>503</v>
      </c>
      <c r="R1129" s="5" t="s">
        <v>695</v>
      </c>
      <c r="S1129" s="7">
        <v>76</v>
      </c>
      <c r="T1129" s="5" t="s">
        <v>41</v>
      </c>
      <c r="U1129" s="5" t="s">
        <v>42</v>
      </c>
      <c r="V1129" s="57" t="s">
        <v>10</v>
      </c>
      <c r="W1129" s="51">
        <v>0.16</v>
      </c>
      <c r="X1129" s="357" t="s">
        <v>53</v>
      </c>
      <c r="Y1129" s="351" t="s">
        <v>353</v>
      </c>
      <c r="Z1129" s="5" t="s">
        <v>13</v>
      </c>
      <c r="AA1129" s="112" t="s">
        <v>51</v>
      </c>
    </row>
    <row r="1130" spans="1:29" x14ac:dyDescent="0.25">
      <c r="A1130" s="329">
        <v>45948</v>
      </c>
      <c r="B1130" s="5">
        <v>9</v>
      </c>
      <c r="D1130" s="5" t="s">
        <v>113</v>
      </c>
      <c r="E1130" s="6">
        <v>1.61</v>
      </c>
      <c r="G1130" s="362">
        <v>2</v>
      </c>
      <c r="H1130" s="362">
        <v>1</v>
      </c>
      <c r="I1130" s="8">
        <v>1.55</v>
      </c>
      <c r="L1130" s="5" t="s">
        <v>69</v>
      </c>
      <c r="N1130" s="476">
        <v>52</v>
      </c>
      <c r="O1130" s="477" t="s">
        <v>113</v>
      </c>
      <c r="P1130" s="478" t="s">
        <v>406</v>
      </c>
      <c r="Q1130" s="478" t="s">
        <v>150</v>
      </c>
      <c r="R1130" s="478" t="s">
        <v>696</v>
      </c>
      <c r="S1130" s="479">
        <v>72</v>
      </c>
      <c r="T1130" s="478" t="s">
        <v>44</v>
      </c>
      <c r="U1130" s="478" t="s">
        <v>42</v>
      </c>
      <c r="V1130" s="480" t="s">
        <v>540</v>
      </c>
      <c r="W1130" s="51">
        <v>0.02</v>
      </c>
      <c r="X1130" s="357" t="s">
        <v>53</v>
      </c>
      <c r="Z1130" s="5" t="s">
        <v>17</v>
      </c>
      <c r="AA1130" s="112" t="s">
        <v>51</v>
      </c>
    </row>
    <row r="1131" spans="1:29" x14ac:dyDescent="0.25">
      <c r="A1131" s="329">
        <v>45948</v>
      </c>
      <c r="B1131" s="5">
        <v>9</v>
      </c>
      <c r="D1131" s="5" t="s">
        <v>113</v>
      </c>
      <c r="E1131" s="6">
        <v>1.61</v>
      </c>
      <c r="G1131" s="362">
        <v>2</v>
      </c>
      <c r="H1131" s="362">
        <v>1</v>
      </c>
      <c r="I1131" s="8">
        <v>1.55</v>
      </c>
      <c r="L1131" s="5" t="s">
        <v>69</v>
      </c>
      <c r="N1131" s="476">
        <v>55</v>
      </c>
      <c r="O1131" s="477" t="s">
        <v>113</v>
      </c>
      <c r="P1131" s="478" t="s">
        <v>447</v>
      </c>
      <c r="Q1131" s="478" t="s">
        <v>746</v>
      </c>
      <c r="R1131" s="478" t="s">
        <v>713</v>
      </c>
      <c r="S1131" s="479">
        <v>68</v>
      </c>
      <c r="T1131" s="478" t="s">
        <v>47</v>
      </c>
      <c r="U1131" s="478" t="s">
        <v>45</v>
      </c>
      <c r="V1131" s="480" t="s">
        <v>20</v>
      </c>
      <c r="W1131" s="51">
        <v>0.1</v>
      </c>
      <c r="X1131" s="357" t="s">
        <v>53</v>
      </c>
      <c r="Z1131" s="5" t="s">
        <v>52</v>
      </c>
      <c r="AA1131" s="112" t="s">
        <v>51</v>
      </c>
    </row>
    <row r="1132" spans="1:29" x14ac:dyDescent="0.25">
      <c r="A1132" s="329">
        <v>45948</v>
      </c>
      <c r="B1132" s="5">
        <v>9</v>
      </c>
      <c r="D1132" s="5" t="s">
        <v>113</v>
      </c>
      <c r="E1132" s="6">
        <v>1.61</v>
      </c>
      <c r="G1132" s="362">
        <v>2</v>
      </c>
      <c r="H1132" s="362">
        <v>1</v>
      </c>
      <c r="I1132" s="8">
        <v>1.55</v>
      </c>
      <c r="L1132" s="5" t="s">
        <v>69</v>
      </c>
      <c r="N1132" s="476">
        <v>59</v>
      </c>
      <c r="O1132" s="477" t="s">
        <v>113</v>
      </c>
      <c r="P1132" s="478" t="s">
        <v>468</v>
      </c>
      <c r="Q1132" s="478" t="s">
        <v>469</v>
      </c>
      <c r="R1132" s="478" t="s">
        <v>685</v>
      </c>
      <c r="S1132" s="479">
        <v>73</v>
      </c>
      <c r="T1132" s="478" t="s">
        <v>44</v>
      </c>
      <c r="U1132" s="478" t="s">
        <v>42</v>
      </c>
      <c r="V1132" s="480" t="s">
        <v>15</v>
      </c>
      <c r="W1132" s="51">
        <v>0.08</v>
      </c>
      <c r="X1132" s="357" t="s">
        <v>53</v>
      </c>
      <c r="Z1132" s="5" t="s">
        <v>55</v>
      </c>
      <c r="AA1132" s="112" t="s">
        <v>51</v>
      </c>
    </row>
    <row r="1133" spans="1:29" x14ac:dyDescent="0.25">
      <c r="A1133" s="329">
        <v>45948</v>
      </c>
      <c r="B1133" s="5">
        <v>9</v>
      </c>
      <c r="D1133" s="5" t="s">
        <v>113</v>
      </c>
      <c r="E1133" s="6">
        <v>1.61</v>
      </c>
      <c r="G1133" s="362">
        <v>2</v>
      </c>
      <c r="H1133" s="362">
        <v>1</v>
      </c>
      <c r="I1133" s="8">
        <v>1.55</v>
      </c>
      <c r="L1133" s="5" t="s">
        <v>69</v>
      </c>
      <c r="N1133" s="476">
        <v>60</v>
      </c>
      <c r="O1133" s="477" t="s">
        <v>113</v>
      </c>
      <c r="P1133" s="478" t="s">
        <v>745</v>
      </c>
      <c r="Q1133" s="478" t="s">
        <v>671</v>
      </c>
      <c r="R1133" s="478" t="s">
        <v>695</v>
      </c>
      <c r="S1133" s="479">
        <v>74</v>
      </c>
      <c r="T1133" s="478" t="s">
        <v>41</v>
      </c>
      <c r="U1133" s="478" t="s">
        <v>42</v>
      </c>
      <c r="V1133" s="480" t="s">
        <v>10</v>
      </c>
      <c r="W1133" s="51">
        <v>0.1</v>
      </c>
      <c r="X1133" s="357" t="s">
        <v>53</v>
      </c>
      <c r="Z1133" s="5" t="s">
        <v>13</v>
      </c>
      <c r="AA1133" s="112" t="s">
        <v>51</v>
      </c>
    </row>
    <row r="1134" spans="1:29" x14ac:dyDescent="0.25">
      <c r="A1134" s="329">
        <v>45948</v>
      </c>
      <c r="B1134" s="5">
        <v>9</v>
      </c>
      <c r="D1134" s="5" t="s">
        <v>113</v>
      </c>
      <c r="E1134" s="6">
        <v>1.61</v>
      </c>
      <c r="G1134" s="362">
        <v>2</v>
      </c>
      <c r="H1134" s="362">
        <v>1</v>
      </c>
      <c r="I1134" s="8">
        <v>1.55</v>
      </c>
      <c r="L1134" s="5" t="s">
        <v>69</v>
      </c>
      <c r="N1134" s="476">
        <v>65</v>
      </c>
      <c r="O1134" s="477" t="s">
        <v>113</v>
      </c>
      <c r="P1134" s="478" t="s">
        <v>468</v>
      </c>
      <c r="Q1134" s="478" t="s">
        <v>469</v>
      </c>
      <c r="R1134" s="478" t="s">
        <v>685</v>
      </c>
      <c r="S1134" s="479">
        <v>73</v>
      </c>
      <c r="T1134" s="478" t="s">
        <v>47</v>
      </c>
      <c r="U1134" s="478" t="s">
        <v>43</v>
      </c>
      <c r="V1134" s="480" t="s">
        <v>10</v>
      </c>
      <c r="W1134" s="51">
        <v>0.22</v>
      </c>
      <c r="X1134" s="357" t="s">
        <v>53</v>
      </c>
      <c r="Y1134" s="351" t="s">
        <v>353</v>
      </c>
      <c r="Z1134" s="5" t="s">
        <v>13</v>
      </c>
      <c r="AA1134" s="112" t="s">
        <v>51</v>
      </c>
    </row>
    <row r="1135" spans="1:29" x14ac:dyDescent="0.25">
      <c r="A1135" s="329">
        <v>45948</v>
      </c>
      <c r="B1135" s="5">
        <v>9</v>
      </c>
      <c r="D1135" s="5" t="s">
        <v>113</v>
      </c>
      <c r="E1135" s="6">
        <v>1.61</v>
      </c>
      <c r="G1135" s="362">
        <v>2</v>
      </c>
      <c r="H1135" s="362">
        <v>1</v>
      </c>
      <c r="I1135" s="8">
        <v>1.55</v>
      </c>
      <c r="L1135" s="5" t="s">
        <v>69</v>
      </c>
      <c r="N1135" s="476">
        <v>66</v>
      </c>
      <c r="O1135" s="477" t="s">
        <v>113</v>
      </c>
      <c r="P1135" s="478" t="s">
        <v>468</v>
      </c>
      <c r="Q1135" s="478" t="s">
        <v>469</v>
      </c>
      <c r="R1135" s="478" t="s">
        <v>685</v>
      </c>
      <c r="S1135" s="479">
        <v>73</v>
      </c>
      <c r="T1135" s="478" t="s">
        <v>41</v>
      </c>
      <c r="U1135" s="478" t="s">
        <v>42</v>
      </c>
      <c r="V1135" s="480" t="s">
        <v>10</v>
      </c>
      <c r="W1135" s="51">
        <v>0.05</v>
      </c>
      <c r="X1135" s="357">
        <v>0.13</v>
      </c>
      <c r="Z1135" s="5" t="s">
        <v>48</v>
      </c>
      <c r="AA1135" s="112" t="s">
        <v>51</v>
      </c>
    </row>
    <row r="1136" spans="1:29" x14ac:dyDescent="0.25">
      <c r="A1136" s="329">
        <v>45948</v>
      </c>
      <c r="B1136" s="5">
        <v>9</v>
      </c>
      <c r="D1136" s="5" t="s">
        <v>113</v>
      </c>
      <c r="E1136" s="6">
        <v>1.61</v>
      </c>
      <c r="G1136" s="362">
        <v>2</v>
      </c>
      <c r="H1136" s="362">
        <v>1</v>
      </c>
      <c r="I1136" s="8">
        <v>1.55</v>
      </c>
      <c r="L1136" s="5" t="s">
        <v>69</v>
      </c>
      <c r="N1136" s="476">
        <v>68</v>
      </c>
      <c r="O1136" s="477" t="s">
        <v>113</v>
      </c>
      <c r="P1136" s="478" t="s">
        <v>406</v>
      </c>
      <c r="Q1136" s="478" t="s">
        <v>150</v>
      </c>
      <c r="R1136" s="478" t="s">
        <v>696</v>
      </c>
      <c r="S1136" s="479">
        <v>72</v>
      </c>
      <c r="T1136" s="478" t="s">
        <v>41</v>
      </c>
      <c r="U1136" s="478" t="s">
        <v>43</v>
      </c>
      <c r="V1136" s="480" t="s">
        <v>18</v>
      </c>
      <c r="W1136" s="51">
        <v>0.12</v>
      </c>
      <c r="X1136" s="357" t="s">
        <v>53</v>
      </c>
      <c r="Z1136" s="5" t="s">
        <v>13</v>
      </c>
      <c r="AA1136" s="112" t="s">
        <v>51</v>
      </c>
    </row>
    <row r="1137" spans="1:29" x14ac:dyDescent="0.25">
      <c r="A1137" s="329">
        <v>45948</v>
      </c>
      <c r="B1137" s="5">
        <v>9</v>
      </c>
      <c r="D1137" s="5" t="s">
        <v>113</v>
      </c>
      <c r="E1137" s="6">
        <v>1.61</v>
      </c>
      <c r="G1137" s="362">
        <v>2</v>
      </c>
      <c r="H1137" s="362">
        <v>1</v>
      </c>
      <c r="I1137" s="8">
        <v>1.55</v>
      </c>
      <c r="L1137" s="5" t="s">
        <v>69</v>
      </c>
      <c r="N1137" s="345">
        <v>86</v>
      </c>
      <c r="O1137" s="38" t="s">
        <v>69</v>
      </c>
      <c r="P1137" s="5" t="s">
        <v>649</v>
      </c>
      <c r="Q1137" s="5" t="s">
        <v>650</v>
      </c>
      <c r="R1137" s="5" t="s">
        <v>696</v>
      </c>
      <c r="S1137" s="7">
        <v>61</v>
      </c>
      <c r="T1137" s="5" t="s">
        <v>41</v>
      </c>
      <c r="U1137" s="5" t="s">
        <v>43</v>
      </c>
      <c r="V1137" s="57" t="s">
        <v>10</v>
      </c>
      <c r="W1137" s="51">
        <v>0.17</v>
      </c>
      <c r="X1137" s="357" t="s">
        <v>53</v>
      </c>
      <c r="Z1137" s="5" t="s">
        <v>13</v>
      </c>
      <c r="AA1137" s="112" t="s">
        <v>51</v>
      </c>
    </row>
    <row r="1138" spans="1:29" x14ac:dyDescent="0.25">
      <c r="A1138" s="329">
        <v>45948</v>
      </c>
      <c r="B1138" s="5">
        <v>9</v>
      </c>
      <c r="D1138" s="5" t="s">
        <v>113</v>
      </c>
      <c r="E1138" s="6">
        <v>1.61</v>
      </c>
      <c r="G1138" s="362">
        <v>2</v>
      </c>
      <c r="H1138" s="362">
        <v>1</v>
      </c>
      <c r="I1138" s="8">
        <v>1.55</v>
      </c>
      <c r="L1138" s="5" t="s">
        <v>69</v>
      </c>
      <c r="N1138" s="476" t="s">
        <v>31</v>
      </c>
      <c r="O1138" s="477" t="s">
        <v>113</v>
      </c>
      <c r="P1138" s="478" t="s">
        <v>500</v>
      </c>
      <c r="Q1138" s="478" t="s">
        <v>501</v>
      </c>
      <c r="R1138" s="478" t="s">
        <v>696</v>
      </c>
      <c r="S1138" s="481">
        <v>69</v>
      </c>
      <c r="T1138" s="478" t="s">
        <v>41</v>
      </c>
      <c r="U1138" s="478" t="s">
        <v>42</v>
      </c>
      <c r="V1138" s="480" t="s">
        <v>10</v>
      </c>
      <c r="W1138" s="51">
        <v>0.17</v>
      </c>
      <c r="X1138" s="357">
        <v>0.92</v>
      </c>
      <c r="Y1138" s="351" t="s">
        <v>353</v>
      </c>
      <c r="Z1138" s="5" t="s">
        <v>8</v>
      </c>
      <c r="AA1138" s="112" t="s">
        <v>34</v>
      </c>
      <c r="AB1138" s="108" t="s">
        <v>745</v>
      </c>
      <c r="AC1138" s="57" t="s">
        <v>671</v>
      </c>
    </row>
    <row r="1139" spans="1:29" ht="15.75" thickBot="1" x14ac:dyDescent="0.3">
      <c r="A1139" s="338">
        <v>45948</v>
      </c>
      <c r="B1139" s="230">
        <v>9</v>
      </c>
      <c r="C1139" s="231"/>
      <c r="D1139" s="230" t="s">
        <v>113</v>
      </c>
      <c r="E1139" s="232">
        <v>1.61</v>
      </c>
      <c r="F1139" s="232"/>
      <c r="G1139" s="363">
        <v>2</v>
      </c>
      <c r="H1139" s="363">
        <v>1</v>
      </c>
      <c r="I1139" s="234">
        <v>1.55</v>
      </c>
      <c r="J1139" s="234"/>
      <c r="K1139" s="231"/>
      <c r="L1139" s="230" t="s">
        <v>69</v>
      </c>
      <c r="M1139" s="235"/>
      <c r="N1139" s="347"/>
      <c r="O1139" s="343" t="s">
        <v>113</v>
      </c>
      <c r="P1139" s="199" t="s">
        <v>738</v>
      </c>
      <c r="Q1139" s="199" t="s">
        <v>740</v>
      </c>
      <c r="R1139" s="199" t="s">
        <v>707</v>
      </c>
      <c r="S1139" s="459">
        <v>70</v>
      </c>
      <c r="T1139" s="199"/>
      <c r="U1139" s="199"/>
      <c r="V1139" s="201"/>
      <c r="W1139" s="202"/>
      <c r="X1139" s="359"/>
      <c r="Y1139" s="353">
        <f>H1139</f>
        <v>1</v>
      </c>
      <c r="Z1139" s="199"/>
      <c r="AA1139" s="204"/>
      <c r="AB1139" s="205"/>
      <c r="AC1139" s="201"/>
    </row>
    <row r="1140" spans="1:29" ht="15.75" thickBot="1" x14ac:dyDescent="0.3">
      <c r="A1140" s="338">
        <v>45948</v>
      </c>
      <c r="B1140" s="230">
        <v>9</v>
      </c>
      <c r="C1140" s="231"/>
      <c r="D1140" s="230" t="s">
        <v>113</v>
      </c>
      <c r="E1140" s="232">
        <v>1.61</v>
      </c>
      <c r="F1140" s="232"/>
      <c r="G1140" s="363">
        <v>2</v>
      </c>
      <c r="H1140" s="363">
        <v>1</v>
      </c>
      <c r="I1140" s="234">
        <v>1.55</v>
      </c>
      <c r="J1140" s="234"/>
      <c r="K1140" s="231"/>
      <c r="L1140" s="230" t="s">
        <v>69</v>
      </c>
      <c r="M1140" s="235"/>
      <c r="N1140" s="347"/>
      <c r="O1140" s="343" t="s">
        <v>69</v>
      </c>
      <c r="P1140" s="199" t="s">
        <v>478</v>
      </c>
      <c r="Q1140" s="199" t="s">
        <v>479</v>
      </c>
      <c r="R1140" s="199" t="s">
        <v>707</v>
      </c>
      <c r="S1140" s="7">
        <v>78</v>
      </c>
      <c r="T1140" s="199"/>
      <c r="U1140" s="199"/>
      <c r="V1140" s="201"/>
      <c r="W1140" s="202"/>
      <c r="X1140" s="359"/>
      <c r="Y1140" s="353">
        <f>G1139</f>
        <v>2</v>
      </c>
      <c r="Z1140" s="199"/>
      <c r="AA1140" s="204"/>
      <c r="AB1140" s="205"/>
      <c r="AC1140" s="201"/>
    </row>
    <row r="1141" spans="1:29" x14ac:dyDescent="0.25">
      <c r="A1141" s="329">
        <v>45948</v>
      </c>
      <c r="B1141" s="5">
        <v>9</v>
      </c>
      <c r="C1141" s="121" t="s">
        <v>694</v>
      </c>
      <c r="D1141" s="5" t="s">
        <v>91</v>
      </c>
      <c r="E1141" s="6">
        <v>0.66</v>
      </c>
      <c r="G1141" s="362">
        <v>2</v>
      </c>
      <c r="H1141" s="362">
        <v>2</v>
      </c>
      <c r="I1141" s="8">
        <v>1.18</v>
      </c>
      <c r="K1141" s="121" t="s">
        <v>693</v>
      </c>
      <c r="L1141" s="5" t="s">
        <v>209</v>
      </c>
      <c r="N1141" s="345">
        <v>12</v>
      </c>
      <c r="O1141" s="38" t="s">
        <v>209</v>
      </c>
      <c r="P1141" s="5" t="s">
        <v>220</v>
      </c>
      <c r="Q1141" s="5" t="s">
        <v>221</v>
      </c>
      <c r="R1141" s="5" t="s">
        <v>684</v>
      </c>
      <c r="S1141" s="7">
        <v>62</v>
      </c>
      <c r="T1141" s="5" t="s">
        <v>41</v>
      </c>
      <c r="U1141" s="5" t="s">
        <v>43</v>
      </c>
      <c r="V1141" s="57" t="s">
        <v>10</v>
      </c>
      <c r="W1141" s="51">
        <v>0.16</v>
      </c>
      <c r="X1141" s="357" t="s">
        <v>53</v>
      </c>
      <c r="Z1141" s="5" t="s">
        <v>52</v>
      </c>
      <c r="AA1141" s="112" t="s">
        <v>28</v>
      </c>
    </row>
    <row r="1142" spans="1:29" x14ac:dyDescent="0.25">
      <c r="A1142" s="329">
        <v>45948</v>
      </c>
      <c r="B1142" s="5">
        <v>9</v>
      </c>
      <c r="D1142" s="5" t="s">
        <v>91</v>
      </c>
      <c r="E1142" s="6">
        <v>0.66</v>
      </c>
      <c r="G1142" s="362">
        <v>2</v>
      </c>
      <c r="H1142" s="362">
        <v>2</v>
      </c>
      <c r="I1142" s="8">
        <v>1.18</v>
      </c>
      <c r="L1142" s="5" t="s">
        <v>209</v>
      </c>
      <c r="N1142" s="476">
        <v>32</v>
      </c>
      <c r="O1142" s="477" t="s">
        <v>91</v>
      </c>
      <c r="P1142" s="478" t="s">
        <v>448</v>
      </c>
      <c r="Q1142" s="478" t="s">
        <v>449</v>
      </c>
      <c r="R1142" s="478" t="s">
        <v>717</v>
      </c>
      <c r="S1142" s="479">
        <v>64</v>
      </c>
      <c r="T1142" s="478" t="s">
        <v>41</v>
      </c>
      <c r="U1142" s="478" t="s">
        <v>43</v>
      </c>
      <c r="V1142" s="480" t="s">
        <v>10</v>
      </c>
      <c r="W1142" s="51">
        <v>0.04</v>
      </c>
      <c r="X1142" s="357">
        <v>7.0000000000000007E-2</v>
      </c>
      <c r="Y1142" s="351" t="s">
        <v>353</v>
      </c>
      <c r="Z1142" s="5" t="s">
        <v>48</v>
      </c>
      <c r="AA1142" s="112" t="s">
        <v>28</v>
      </c>
    </row>
    <row r="1143" spans="1:29" x14ac:dyDescent="0.25">
      <c r="A1143" s="329">
        <v>45948</v>
      </c>
      <c r="B1143" s="5">
        <v>9</v>
      </c>
      <c r="D1143" s="5" t="s">
        <v>91</v>
      </c>
      <c r="E1143" s="6">
        <v>0.66</v>
      </c>
      <c r="G1143" s="362">
        <v>2</v>
      </c>
      <c r="H1143" s="362">
        <v>2</v>
      </c>
      <c r="I1143" s="8">
        <v>1.18</v>
      </c>
      <c r="L1143" s="5" t="s">
        <v>209</v>
      </c>
      <c r="N1143" s="476">
        <v>44</v>
      </c>
      <c r="O1143" s="477" t="s">
        <v>91</v>
      </c>
      <c r="P1143" s="478" t="s">
        <v>106</v>
      </c>
      <c r="Q1143" s="478" t="s">
        <v>107</v>
      </c>
      <c r="R1143" s="478" t="s">
        <v>686</v>
      </c>
      <c r="S1143" s="479">
        <v>73</v>
      </c>
      <c r="T1143" s="478" t="s">
        <v>354</v>
      </c>
      <c r="U1143" s="478" t="s">
        <v>42</v>
      </c>
      <c r="V1143" s="480" t="s">
        <v>18</v>
      </c>
      <c r="W1143" s="51">
        <v>0.04</v>
      </c>
      <c r="X1143" s="357">
        <v>0.19</v>
      </c>
      <c r="Z1143" s="5" t="s">
        <v>8</v>
      </c>
      <c r="AA1143" s="112" t="s">
        <v>19</v>
      </c>
      <c r="AB1143" s="108" t="s">
        <v>332</v>
      </c>
      <c r="AC1143" s="57" t="s">
        <v>333</v>
      </c>
    </row>
    <row r="1144" spans="1:29" x14ac:dyDescent="0.25">
      <c r="A1144" s="329">
        <v>45948</v>
      </c>
      <c r="B1144" s="5">
        <v>9</v>
      </c>
      <c r="D1144" s="5" t="s">
        <v>91</v>
      </c>
      <c r="E1144" s="6">
        <v>0.66</v>
      </c>
      <c r="G1144" s="362">
        <v>2</v>
      </c>
      <c r="H1144" s="362">
        <v>2</v>
      </c>
      <c r="I1144" s="8">
        <v>1.18</v>
      </c>
      <c r="L1144" s="5" t="s">
        <v>209</v>
      </c>
      <c r="N1144" s="345" t="s">
        <v>68</v>
      </c>
      <c r="O1144" s="38" t="s">
        <v>209</v>
      </c>
      <c r="P1144" s="5" t="s">
        <v>424</v>
      </c>
      <c r="Q1144" s="5" t="s">
        <v>425</v>
      </c>
      <c r="R1144" s="5" t="s">
        <v>685</v>
      </c>
      <c r="S1144" s="7">
        <v>66</v>
      </c>
      <c r="T1144" s="5" t="s">
        <v>41</v>
      </c>
      <c r="U1144" s="5" t="s">
        <v>43</v>
      </c>
      <c r="V1144" s="57" t="s">
        <v>18</v>
      </c>
      <c r="W1144" s="51">
        <v>0.13</v>
      </c>
      <c r="X1144" s="357" t="s">
        <v>53</v>
      </c>
      <c r="Z1144" s="5" t="s">
        <v>52</v>
      </c>
      <c r="AA1144" s="112" t="s">
        <v>19</v>
      </c>
    </row>
    <row r="1145" spans="1:29" x14ac:dyDescent="0.25">
      <c r="A1145" s="329">
        <v>45948</v>
      </c>
      <c r="B1145" s="5">
        <v>9</v>
      </c>
      <c r="D1145" s="5" t="s">
        <v>91</v>
      </c>
      <c r="E1145" s="6">
        <v>0.66</v>
      </c>
      <c r="G1145" s="362">
        <v>2</v>
      </c>
      <c r="H1145" s="362">
        <v>2</v>
      </c>
      <c r="I1145" s="8">
        <v>1.18</v>
      </c>
      <c r="L1145" s="5" t="s">
        <v>209</v>
      </c>
      <c r="N1145" s="345">
        <v>51</v>
      </c>
      <c r="O1145" s="38" t="s">
        <v>209</v>
      </c>
      <c r="P1145" s="5" t="s">
        <v>421</v>
      </c>
      <c r="Q1145" s="5" t="s">
        <v>422</v>
      </c>
      <c r="R1145" s="5" t="s">
        <v>712</v>
      </c>
      <c r="S1145" s="7">
        <v>58</v>
      </c>
      <c r="T1145" s="5" t="s">
        <v>41</v>
      </c>
      <c r="U1145" s="5" t="s">
        <v>45</v>
      </c>
      <c r="V1145" s="57" t="s">
        <v>33</v>
      </c>
      <c r="W1145" s="51">
        <v>0.08</v>
      </c>
      <c r="X1145" s="357">
        <v>0.27</v>
      </c>
      <c r="Z1145" s="5" t="s">
        <v>48</v>
      </c>
      <c r="AA1145" s="112" t="s">
        <v>19</v>
      </c>
    </row>
    <row r="1146" spans="1:29" x14ac:dyDescent="0.25">
      <c r="A1146" s="329">
        <v>45948</v>
      </c>
      <c r="B1146" s="5">
        <v>9</v>
      </c>
      <c r="D1146" s="5" t="s">
        <v>91</v>
      </c>
      <c r="E1146" s="6">
        <v>0.66</v>
      </c>
      <c r="G1146" s="362">
        <v>2</v>
      </c>
      <c r="H1146" s="362">
        <v>2</v>
      </c>
      <c r="I1146" s="8">
        <v>1.18</v>
      </c>
      <c r="L1146" s="5" t="s">
        <v>209</v>
      </c>
      <c r="N1146" s="476">
        <v>53</v>
      </c>
      <c r="O1146" s="477" t="s">
        <v>91</v>
      </c>
      <c r="P1146" s="478" t="s">
        <v>94</v>
      </c>
      <c r="Q1146" s="478" t="s">
        <v>95</v>
      </c>
      <c r="R1146" s="478" t="s">
        <v>695</v>
      </c>
      <c r="S1146" s="479">
        <v>70</v>
      </c>
      <c r="T1146" s="478" t="s">
        <v>41</v>
      </c>
      <c r="U1146" s="478" t="s">
        <v>43</v>
      </c>
      <c r="V1146" s="480" t="s">
        <v>10</v>
      </c>
      <c r="W1146" s="51">
        <v>0.18</v>
      </c>
      <c r="X1146" s="357" t="s">
        <v>53</v>
      </c>
      <c r="Z1146" s="5" t="s">
        <v>13</v>
      </c>
      <c r="AA1146" s="112" t="s">
        <v>19</v>
      </c>
    </row>
    <row r="1147" spans="1:29" x14ac:dyDescent="0.25">
      <c r="A1147" s="329">
        <v>45948</v>
      </c>
      <c r="B1147" s="5">
        <v>9</v>
      </c>
      <c r="D1147" s="5" t="s">
        <v>91</v>
      </c>
      <c r="E1147" s="6">
        <v>0.66</v>
      </c>
      <c r="G1147" s="362">
        <v>2</v>
      </c>
      <c r="H1147" s="362">
        <v>2</v>
      </c>
      <c r="I1147" s="8">
        <v>1.18</v>
      </c>
      <c r="L1147" s="5" t="s">
        <v>209</v>
      </c>
      <c r="N1147" s="476">
        <v>64</v>
      </c>
      <c r="O1147" s="477" t="s">
        <v>91</v>
      </c>
      <c r="P1147" s="478" t="s">
        <v>332</v>
      </c>
      <c r="Q1147" s="478" t="s">
        <v>333</v>
      </c>
      <c r="R1147" s="478" t="s">
        <v>685</v>
      </c>
      <c r="S1147" s="479">
        <v>73</v>
      </c>
      <c r="T1147" s="478" t="s">
        <v>41</v>
      </c>
      <c r="U1147" s="478" t="s">
        <v>42</v>
      </c>
      <c r="V1147" s="480" t="s">
        <v>10</v>
      </c>
      <c r="W1147" s="51">
        <v>0.17</v>
      </c>
      <c r="X1147" s="357">
        <v>0.48</v>
      </c>
      <c r="Y1147" s="351" t="s">
        <v>353</v>
      </c>
      <c r="Z1147" s="5" t="s">
        <v>8</v>
      </c>
      <c r="AA1147" s="112" t="s">
        <v>24</v>
      </c>
      <c r="AB1147" s="108" t="s">
        <v>94</v>
      </c>
      <c r="AC1147" s="57" t="s">
        <v>95</v>
      </c>
    </row>
    <row r="1148" spans="1:29" x14ac:dyDescent="0.25">
      <c r="A1148" s="329">
        <v>45948</v>
      </c>
      <c r="B1148" s="5">
        <v>9</v>
      </c>
      <c r="D1148" s="5" t="s">
        <v>91</v>
      </c>
      <c r="E1148" s="6">
        <v>0.66</v>
      </c>
      <c r="G1148" s="362">
        <v>2</v>
      </c>
      <c r="H1148" s="362">
        <v>2</v>
      </c>
      <c r="I1148" s="8">
        <v>1.18</v>
      </c>
      <c r="L1148" s="5" t="s">
        <v>209</v>
      </c>
      <c r="N1148" s="345">
        <v>66</v>
      </c>
      <c r="O1148" s="38" t="s">
        <v>209</v>
      </c>
      <c r="P1148" s="5" t="s">
        <v>53</v>
      </c>
      <c r="Q1148" s="5" t="s">
        <v>395</v>
      </c>
      <c r="R1148" s="5" t="s">
        <v>686</v>
      </c>
      <c r="S1148" s="7">
        <v>87</v>
      </c>
      <c r="T1148" s="5" t="s">
        <v>44</v>
      </c>
      <c r="U1148" s="5" t="s">
        <v>43</v>
      </c>
      <c r="V1148" s="57" t="s">
        <v>18</v>
      </c>
      <c r="W1148" s="51">
        <v>0.08</v>
      </c>
      <c r="X1148" s="357">
        <v>0.41</v>
      </c>
      <c r="Z1148" s="5" t="s">
        <v>8</v>
      </c>
      <c r="AA1148" s="112" t="s">
        <v>34</v>
      </c>
      <c r="AB1148" s="108" t="s">
        <v>241</v>
      </c>
      <c r="AC1148" s="57" t="s">
        <v>396</v>
      </c>
    </row>
    <row r="1149" spans="1:29" x14ac:dyDescent="0.25">
      <c r="A1149" s="329">
        <v>45948</v>
      </c>
      <c r="B1149" s="5">
        <v>9</v>
      </c>
      <c r="D1149" s="5" t="s">
        <v>91</v>
      </c>
      <c r="E1149" s="6">
        <v>0.66</v>
      </c>
      <c r="G1149" s="362">
        <v>2</v>
      </c>
      <c r="H1149" s="362">
        <v>2</v>
      </c>
      <c r="I1149" s="8">
        <v>1.18</v>
      </c>
      <c r="L1149" s="5" t="s">
        <v>209</v>
      </c>
      <c r="N1149" s="345">
        <v>80</v>
      </c>
      <c r="O1149" s="38" t="s">
        <v>209</v>
      </c>
      <c r="P1149" s="5" t="s">
        <v>53</v>
      </c>
      <c r="Q1149" s="5" t="s">
        <v>395</v>
      </c>
      <c r="R1149" s="5" t="s">
        <v>686</v>
      </c>
      <c r="S1149" s="7">
        <v>87</v>
      </c>
      <c r="T1149" s="5" t="s">
        <v>41</v>
      </c>
      <c r="U1149" s="5" t="s">
        <v>43</v>
      </c>
      <c r="V1149" s="57" t="s">
        <v>540</v>
      </c>
      <c r="W1149" s="51">
        <v>0.18</v>
      </c>
      <c r="X1149" s="357" t="s">
        <v>53</v>
      </c>
      <c r="Z1149" s="5" t="s">
        <v>16</v>
      </c>
      <c r="AA1149" s="112" t="s">
        <v>34</v>
      </c>
    </row>
    <row r="1150" spans="1:29" x14ac:dyDescent="0.25">
      <c r="A1150" s="329">
        <v>45948</v>
      </c>
      <c r="B1150" s="5">
        <v>9</v>
      </c>
      <c r="D1150" s="5" t="s">
        <v>91</v>
      </c>
      <c r="E1150" s="6">
        <v>0.66</v>
      </c>
      <c r="G1150" s="362">
        <v>2</v>
      </c>
      <c r="H1150" s="362">
        <v>2</v>
      </c>
      <c r="I1150" s="8">
        <v>1.18</v>
      </c>
      <c r="L1150" s="5" t="s">
        <v>209</v>
      </c>
      <c r="N1150" s="476">
        <v>81</v>
      </c>
      <c r="O1150" s="477" t="s">
        <v>91</v>
      </c>
      <c r="P1150" s="478" t="s">
        <v>96</v>
      </c>
      <c r="Q1150" s="478" t="s">
        <v>97</v>
      </c>
      <c r="R1150" s="478" t="s">
        <v>696</v>
      </c>
      <c r="S1150" s="479">
        <v>58</v>
      </c>
      <c r="T1150" s="478" t="s">
        <v>47</v>
      </c>
      <c r="U1150" s="478" t="s">
        <v>45</v>
      </c>
      <c r="V1150" s="480" t="s">
        <v>10</v>
      </c>
      <c r="W1150" s="51">
        <v>0.13</v>
      </c>
      <c r="X1150" s="357" t="s">
        <v>53</v>
      </c>
      <c r="Z1150" s="5" t="s">
        <v>13</v>
      </c>
      <c r="AA1150" s="112" t="s">
        <v>34</v>
      </c>
    </row>
    <row r="1151" spans="1:29" x14ac:dyDescent="0.25">
      <c r="A1151" s="329">
        <v>45948</v>
      </c>
      <c r="B1151" s="5">
        <v>9</v>
      </c>
      <c r="D1151" s="5" t="s">
        <v>91</v>
      </c>
      <c r="E1151" s="6">
        <v>0.66</v>
      </c>
      <c r="G1151" s="362">
        <v>2</v>
      </c>
      <c r="H1151" s="362">
        <v>2</v>
      </c>
      <c r="I1151" s="8">
        <v>1.18</v>
      </c>
      <c r="L1151" s="5" t="s">
        <v>209</v>
      </c>
      <c r="N1151" s="345" t="s">
        <v>36</v>
      </c>
      <c r="O1151" s="38" t="s">
        <v>209</v>
      </c>
      <c r="P1151" s="5" t="s">
        <v>53</v>
      </c>
      <c r="Q1151" s="5" t="s">
        <v>395</v>
      </c>
      <c r="R1151" s="5" t="s">
        <v>686</v>
      </c>
      <c r="S1151" s="7">
        <v>87</v>
      </c>
      <c r="T1151" s="5" t="s">
        <v>41</v>
      </c>
      <c r="U1151" s="5" t="s">
        <v>43</v>
      </c>
      <c r="V1151" s="57" t="s">
        <v>10</v>
      </c>
      <c r="W1151" s="51">
        <v>0.1</v>
      </c>
      <c r="X1151" s="357">
        <v>0.51</v>
      </c>
      <c r="Z1151" s="5" t="s">
        <v>8</v>
      </c>
      <c r="AA1151" s="112" t="s">
        <v>189</v>
      </c>
      <c r="AB1151" s="108" t="s">
        <v>241</v>
      </c>
      <c r="AC1151" s="57" t="s">
        <v>396</v>
      </c>
    </row>
    <row r="1152" spans="1:29" x14ac:dyDescent="0.25">
      <c r="A1152" s="329">
        <v>45948</v>
      </c>
      <c r="B1152" s="5">
        <v>9</v>
      </c>
      <c r="D1152" s="5" t="s">
        <v>91</v>
      </c>
      <c r="E1152" s="6">
        <v>0.66</v>
      </c>
      <c r="G1152" s="362">
        <v>2</v>
      </c>
      <c r="H1152" s="362">
        <v>2</v>
      </c>
      <c r="I1152" s="8">
        <v>1.18</v>
      </c>
      <c r="L1152" s="5" t="s">
        <v>209</v>
      </c>
      <c r="N1152" s="476" t="s">
        <v>82</v>
      </c>
      <c r="O1152" s="477" t="s">
        <v>91</v>
      </c>
      <c r="P1152" s="478" t="s">
        <v>49</v>
      </c>
      <c r="Q1152" s="478" t="s">
        <v>50</v>
      </c>
      <c r="R1152" s="478" t="s">
        <v>696</v>
      </c>
      <c r="S1152" s="479">
        <v>61</v>
      </c>
      <c r="T1152" s="478" t="s">
        <v>47</v>
      </c>
      <c r="U1152" s="478" t="s">
        <v>43</v>
      </c>
      <c r="V1152" s="480" t="s">
        <v>20</v>
      </c>
      <c r="W1152" s="51">
        <v>0.08</v>
      </c>
      <c r="X1152" s="357" t="s">
        <v>53</v>
      </c>
      <c r="Z1152" s="5" t="s">
        <v>16</v>
      </c>
      <c r="AA1152" s="112" t="s">
        <v>189</v>
      </c>
    </row>
    <row r="1153" spans="1:29" ht="15.75" thickBot="1" x14ac:dyDescent="0.3">
      <c r="A1153" s="338">
        <v>45948</v>
      </c>
      <c r="B1153" s="230">
        <v>9</v>
      </c>
      <c r="C1153" s="231"/>
      <c r="D1153" s="230" t="s">
        <v>91</v>
      </c>
      <c r="E1153" s="232">
        <v>0.66</v>
      </c>
      <c r="F1153" s="232"/>
      <c r="G1153" s="363">
        <v>2</v>
      </c>
      <c r="H1153" s="363">
        <v>2</v>
      </c>
      <c r="I1153" s="234">
        <v>1.18</v>
      </c>
      <c r="J1153" s="234"/>
      <c r="K1153" s="231"/>
      <c r="L1153" s="230" t="s">
        <v>209</v>
      </c>
      <c r="M1153" s="235"/>
      <c r="N1153" s="347"/>
      <c r="O1153" s="343" t="s">
        <v>91</v>
      </c>
      <c r="P1153" s="199" t="s">
        <v>553</v>
      </c>
      <c r="Q1153" s="199" t="s">
        <v>737</v>
      </c>
      <c r="R1153" s="199" t="s">
        <v>707</v>
      </c>
      <c r="S1153" s="7">
        <v>65</v>
      </c>
      <c r="T1153" s="199"/>
      <c r="U1153" s="199"/>
      <c r="V1153" s="201"/>
      <c r="W1153" s="202"/>
      <c r="X1153" s="359"/>
      <c r="Y1153" s="353">
        <f>H1153</f>
        <v>2</v>
      </c>
      <c r="Z1153" s="199"/>
      <c r="AA1153" s="204"/>
      <c r="AB1153" s="205"/>
      <c r="AC1153" s="201"/>
    </row>
    <row r="1154" spans="1:29" ht="15.75" thickBot="1" x14ac:dyDescent="0.3">
      <c r="A1154" s="338">
        <v>45948</v>
      </c>
      <c r="B1154" s="230">
        <v>9</v>
      </c>
      <c r="C1154" s="231"/>
      <c r="D1154" s="230" t="s">
        <v>91</v>
      </c>
      <c r="E1154" s="232">
        <v>0.66</v>
      </c>
      <c r="F1154" s="232"/>
      <c r="G1154" s="363">
        <v>2</v>
      </c>
      <c r="H1154" s="363">
        <v>2</v>
      </c>
      <c r="I1154" s="234">
        <v>1.18</v>
      </c>
      <c r="J1154" s="234"/>
      <c r="K1154" s="231"/>
      <c r="L1154" s="230" t="s">
        <v>209</v>
      </c>
      <c r="M1154" s="235"/>
      <c r="N1154" s="347"/>
      <c r="O1154" s="343" t="s">
        <v>209</v>
      </c>
      <c r="P1154" s="199" t="s">
        <v>447</v>
      </c>
      <c r="Q1154" s="199" t="s">
        <v>150</v>
      </c>
      <c r="R1154" s="199" t="s">
        <v>707</v>
      </c>
      <c r="S1154" s="7">
        <v>61</v>
      </c>
      <c r="T1154" s="199"/>
      <c r="U1154" s="199"/>
      <c r="V1154" s="201"/>
      <c r="W1154" s="202"/>
      <c r="X1154" s="359"/>
      <c r="Y1154" s="353">
        <f>G1153</f>
        <v>2</v>
      </c>
      <c r="Z1154" s="199"/>
      <c r="AA1154" s="204"/>
      <c r="AB1154" s="205"/>
      <c r="AC1154" s="201"/>
    </row>
    <row r="1155" spans="1:29" x14ac:dyDescent="0.25">
      <c r="A1155" s="329">
        <v>45948</v>
      </c>
      <c r="B1155" s="5">
        <v>9</v>
      </c>
      <c r="C1155" s="121" t="s">
        <v>701</v>
      </c>
      <c r="D1155" s="5" t="s">
        <v>193</v>
      </c>
      <c r="E1155" s="6">
        <v>2.58</v>
      </c>
      <c r="G1155" s="362">
        <v>1</v>
      </c>
      <c r="H1155" s="362">
        <v>0</v>
      </c>
      <c r="I1155" s="8">
        <v>1.1399999999999999</v>
      </c>
      <c r="K1155" s="121" t="s">
        <v>700</v>
      </c>
      <c r="L1155" s="5" t="s">
        <v>227</v>
      </c>
      <c r="N1155" s="476">
        <v>6</v>
      </c>
      <c r="O1155" s="477" t="s">
        <v>193</v>
      </c>
      <c r="P1155" s="478" t="s">
        <v>206</v>
      </c>
      <c r="Q1155" s="478" t="s">
        <v>207</v>
      </c>
      <c r="R1155" s="478" t="s">
        <v>718</v>
      </c>
      <c r="S1155" s="479">
        <v>64</v>
      </c>
      <c r="T1155" s="478" t="s">
        <v>47</v>
      </c>
      <c r="U1155" s="478" t="s">
        <v>45</v>
      </c>
      <c r="V1155" s="480" t="s">
        <v>540</v>
      </c>
      <c r="W1155" s="51">
        <v>7.0000000000000007E-2</v>
      </c>
      <c r="X1155" s="357" t="s">
        <v>53</v>
      </c>
      <c r="Z1155" s="5" t="s">
        <v>22</v>
      </c>
      <c r="AA1155" s="112" t="s">
        <v>28</v>
      </c>
    </row>
    <row r="1156" spans="1:29" x14ac:dyDescent="0.25">
      <c r="A1156" s="329">
        <v>45948</v>
      </c>
      <c r="B1156" s="5">
        <v>9</v>
      </c>
      <c r="D1156" s="5" t="s">
        <v>193</v>
      </c>
      <c r="E1156" s="6">
        <v>2.58</v>
      </c>
      <c r="G1156" s="362">
        <v>1</v>
      </c>
      <c r="H1156" s="362">
        <v>0</v>
      </c>
      <c r="I1156" s="8">
        <v>1.1399999999999999</v>
      </c>
      <c r="L1156" s="5" t="s">
        <v>227</v>
      </c>
      <c r="N1156" s="476">
        <v>7</v>
      </c>
      <c r="O1156" s="477" t="s">
        <v>193</v>
      </c>
      <c r="P1156" s="478" t="s">
        <v>206</v>
      </c>
      <c r="Q1156" s="478" t="s">
        <v>207</v>
      </c>
      <c r="R1156" s="478" t="s">
        <v>718</v>
      </c>
      <c r="S1156" s="479">
        <v>64</v>
      </c>
      <c r="T1156" s="478" t="s">
        <v>41</v>
      </c>
      <c r="U1156" s="478" t="s">
        <v>43</v>
      </c>
      <c r="V1156" s="480" t="s">
        <v>10</v>
      </c>
      <c r="W1156" s="51">
        <v>0.53</v>
      </c>
      <c r="X1156" s="357">
        <v>0.19</v>
      </c>
      <c r="Y1156" s="351" t="s">
        <v>353</v>
      </c>
      <c r="Z1156" s="5" t="s">
        <v>48</v>
      </c>
      <c r="AA1156" s="112" t="s">
        <v>28</v>
      </c>
    </row>
    <row r="1157" spans="1:29" x14ac:dyDescent="0.25">
      <c r="A1157" s="329">
        <v>45948</v>
      </c>
      <c r="B1157" s="5">
        <v>9</v>
      </c>
      <c r="D1157" s="5" t="s">
        <v>193</v>
      </c>
      <c r="E1157" s="6">
        <v>2.58</v>
      </c>
      <c r="G1157" s="362">
        <v>1</v>
      </c>
      <c r="H1157" s="362">
        <v>0</v>
      </c>
      <c r="I1157" s="8">
        <v>1.1399999999999999</v>
      </c>
      <c r="L1157" s="5" t="s">
        <v>227</v>
      </c>
      <c r="N1157" s="476">
        <v>16</v>
      </c>
      <c r="O1157" s="477" t="s">
        <v>193</v>
      </c>
      <c r="P1157" s="478" t="s">
        <v>206</v>
      </c>
      <c r="Q1157" s="478" t="s">
        <v>207</v>
      </c>
      <c r="R1157" s="478" t="s">
        <v>718</v>
      </c>
      <c r="S1157" s="479">
        <v>64</v>
      </c>
      <c r="T1157" s="478" t="s">
        <v>41</v>
      </c>
      <c r="U1157" s="478" t="s">
        <v>43</v>
      </c>
      <c r="V1157" s="480" t="s">
        <v>10</v>
      </c>
      <c r="W1157" s="51">
        <v>0.1</v>
      </c>
      <c r="X1157" s="357">
        <v>0.88</v>
      </c>
      <c r="Z1157" s="5" t="s">
        <v>48</v>
      </c>
      <c r="AA1157" s="112" t="s">
        <v>28</v>
      </c>
    </row>
    <row r="1158" spans="1:29" x14ac:dyDescent="0.25">
      <c r="A1158" s="329">
        <v>45948</v>
      </c>
      <c r="B1158" s="5">
        <v>9</v>
      </c>
      <c r="D1158" s="5" t="s">
        <v>193</v>
      </c>
      <c r="E1158" s="6">
        <v>2.58</v>
      </c>
      <c r="G1158" s="362">
        <v>1</v>
      </c>
      <c r="H1158" s="362">
        <v>0</v>
      </c>
      <c r="I1158" s="8">
        <v>1.1399999999999999</v>
      </c>
      <c r="L1158" s="5" t="s">
        <v>227</v>
      </c>
      <c r="N1158" s="345">
        <v>24</v>
      </c>
      <c r="O1158" s="38" t="s">
        <v>227</v>
      </c>
      <c r="P1158" s="5" t="s">
        <v>25</v>
      </c>
      <c r="Q1158" s="5" t="s">
        <v>397</v>
      </c>
      <c r="R1158" s="5" t="s">
        <v>685</v>
      </c>
      <c r="S1158" s="7">
        <v>60</v>
      </c>
      <c r="T1158" s="5" t="s">
        <v>44</v>
      </c>
      <c r="U1158" s="5" t="s">
        <v>42</v>
      </c>
      <c r="V1158" s="57" t="s">
        <v>10</v>
      </c>
      <c r="W1158" s="51">
        <v>0.04</v>
      </c>
      <c r="X1158" s="357" t="s">
        <v>53</v>
      </c>
      <c r="Z1158" s="5" t="s">
        <v>16</v>
      </c>
      <c r="AA1158" s="112" t="s">
        <v>28</v>
      </c>
    </row>
    <row r="1159" spans="1:29" x14ac:dyDescent="0.25">
      <c r="A1159" s="329">
        <v>45948</v>
      </c>
      <c r="B1159" s="5">
        <v>9</v>
      </c>
      <c r="D1159" s="5" t="s">
        <v>193</v>
      </c>
      <c r="E1159" s="6">
        <v>2.58</v>
      </c>
      <c r="G1159" s="362">
        <v>1</v>
      </c>
      <c r="H1159" s="362">
        <v>0</v>
      </c>
      <c r="I1159" s="8">
        <v>1.1399999999999999</v>
      </c>
      <c r="L1159" s="5" t="s">
        <v>227</v>
      </c>
      <c r="N1159" s="345">
        <v>27</v>
      </c>
      <c r="O1159" s="38" t="s">
        <v>227</v>
      </c>
      <c r="P1159" s="5" t="s">
        <v>504</v>
      </c>
      <c r="Q1159" s="5" t="s">
        <v>505</v>
      </c>
      <c r="R1159" s="5" t="s">
        <v>695</v>
      </c>
      <c r="S1159" s="7">
        <v>70</v>
      </c>
      <c r="T1159" s="5" t="s">
        <v>47</v>
      </c>
      <c r="U1159" s="5" t="s">
        <v>42</v>
      </c>
      <c r="V1159" s="57" t="s">
        <v>33</v>
      </c>
      <c r="W1159" s="51">
        <v>0.1</v>
      </c>
      <c r="X1159" s="357">
        <v>0.16</v>
      </c>
      <c r="Z1159" s="5" t="s">
        <v>48</v>
      </c>
      <c r="AA1159" s="112" t="s">
        <v>28</v>
      </c>
    </row>
    <row r="1160" spans="1:29" x14ac:dyDescent="0.25">
      <c r="A1160" s="329">
        <v>45948</v>
      </c>
      <c r="B1160" s="5">
        <v>9</v>
      </c>
      <c r="D1160" s="5" t="s">
        <v>193</v>
      </c>
      <c r="E1160" s="6">
        <v>2.58</v>
      </c>
      <c r="G1160" s="362">
        <v>1</v>
      </c>
      <c r="H1160" s="362">
        <v>0</v>
      </c>
      <c r="I1160" s="8">
        <v>1.1399999999999999</v>
      </c>
      <c r="L1160" s="5" t="s">
        <v>227</v>
      </c>
      <c r="N1160" s="476">
        <v>31</v>
      </c>
      <c r="O1160" s="477" t="s">
        <v>193</v>
      </c>
      <c r="P1160" s="478" t="s">
        <v>200</v>
      </c>
      <c r="Q1160" s="478" t="s">
        <v>201</v>
      </c>
      <c r="R1160" s="478" t="s">
        <v>717</v>
      </c>
      <c r="S1160" s="479">
        <v>71</v>
      </c>
      <c r="T1160" s="478" t="s">
        <v>41</v>
      </c>
      <c r="U1160" s="478" t="s">
        <v>43</v>
      </c>
      <c r="V1160" s="480" t="s">
        <v>540</v>
      </c>
      <c r="W1160" s="51">
        <v>0.11</v>
      </c>
      <c r="X1160" s="357">
        <v>0.14000000000000001</v>
      </c>
      <c r="Z1160" s="5" t="s">
        <v>48</v>
      </c>
      <c r="AA1160" s="112" t="s">
        <v>28</v>
      </c>
    </row>
    <row r="1161" spans="1:29" x14ac:dyDescent="0.25">
      <c r="A1161" s="329">
        <v>45948</v>
      </c>
      <c r="B1161" s="5">
        <v>9</v>
      </c>
      <c r="D1161" s="5" t="s">
        <v>193</v>
      </c>
      <c r="E1161" s="6">
        <v>2.58</v>
      </c>
      <c r="G1161" s="362">
        <v>1</v>
      </c>
      <c r="H1161" s="362">
        <v>0</v>
      </c>
      <c r="I1161" s="8">
        <v>1.1399999999999999</v>
      </c>
      <c r="L1161" s="5" t="s">
        <v>227</v>
      </c>
      <c r="N1161" s="476">
        <v>58</v>
      </c>
      <c r="O1161" s="477" t="s">
        <v>193</v>
      </c>
      <c r="P1161" s="478" t="s">
        <v>200</v>
      </c>
      <c r="Q1161" s="478" t="s">
        <v>201</v>
      </c>
      <c r="R1161" s="478" t="s">
        <v>717</v>
      </c>
      <c r="S1161" s="481">
        <v>71</v>
      </c>
      <c r="T1161" s="478" t="s">
        <v>41</v>
      </c>
      <c r="U1161" s="478" t="s">
        <v>42</v>
      </c>
      <c r="V1161" s="480" t="s">
        <v>10</v>
      </c>
      <c r="W1161" s="51">
        <v>0.08</v>
      </c>
      <c r="X1161" s="357">
        <v>0.25</v>
      </c>
      <c r="Y1161" s="351" t="s">
        <v>353</v>
      </c>
      <c r="Z1161" s="5" t="s">
        <v>48</v>
      </c>
      <c r="AA1161" s="112" t="s">
        <v>28</v>
      </c>
    </row>
    <row r="1162" spans="1:29" x14ac:dyDescent="0.25">
      <c r="A1162" s="329">
        <v>45948</v>
      </c>
      <c r="B1162" s="5">
        <v>9</v>
      </c>
      <c r="D1162" s="5" t="s">
        <v>193</v>
      </c>
      <c r="E1162" s="6">
        <v>2.58</v>
      </c>
      <c r="G1162" s="362">
        <v>1</v>
      </c>
      <c r="H1162" s="362">
        <v>0</v>
      </c>
      <c r="I1162" s="8">
        <v>1.1399999999999999</v>
      </c>
      <c r="L1162" s="5" t="s">
        <v>227</v>
      </c>
      <c r="N1162" s="476">
        <v>59</v>
      </c>
      <c r="O1162" s="477" t="s">
        <v>193</v>
      </c>
      <c r="P1162" s="478" t="s">
        <v>747</v>
      </c>
      <c r="Q1162" s="478" t="s">
        <v>748</v>
      </c>
      <c r="R1162" s="478" t="s">
        <v>728</v>
      </c>
      <c r="S1162" s="481">
        <v>74</v>
      </c>
      <c r="T1162" s="478" t="s">
        <v>47</v>
      </c>
      <c r="U1162" s="478" t="s">
        <v>45</v>
      </c>
      <c r="V1162" s="480" t="s">
        <v>20</v>
      </c>
      <c r="W1162" s="51">
        <v>0.56999999999999995</v>
      </c>
      <c r="X1162" s="357" t="s">
        <v>53</v>
      </c>
      <c r="Y1162" s="351" t="s">
        <v>353</v>
      </c>
      <c r="Z1162" s="5" t="s">
        <v>13</v>
      </c>
      <c r="AA1162" s="112" t="s">
        <v>28</v>
      </c>
    </row>
    <row r="1163" spans="1:29" x14ac:dyDescent="0.25">
      <c r="A1163" s="329">
        <v>45948</v>
      </c>
      <c r="B1163" s="5">
        <v>9</v>
      </c>
      <c r="D1163" s="5" t="s">
        <v>193</v>
      </c>
      <c r="E1163" s="6">
        <v>2.58</v>
      </c>
      <c r="G1163" s="362">
        <v>1</v>
      </c>
      <c r="H1163" s="362">
        <v>0</v>
      </c>
      <c r="I1163" s="8">
        <v>1.1399999999999999</v>
      </c>
      <c r="L1163" s="5" t="s">
        <v>227</v>
      </c>
      <c r="N1163" s="476">
        <v>60</v>
      </c>
      <c r="O1163" s="477" t="s">
        <v>193</v>
      </c>
      <c r="P1163" s="478" t="s">
        <v>257</v>
      </c>
      <c r="Q1163" s="478" t="s">
        <v>258</v>
      </c>
      <c r="R1163" s="478" t="s">
        <v>696</v>
      </c>
      <c r="S1163" s="479">
        <v>62</v>
      </c>
      <c r="T1163" s="478" t="s">
        <v>41</v>
      </c>
      <c r="U1163" s="478" t="s">
        <v>45</v>
      </c>
      <c r="V1163" s="480" t="s">
        <v>10</v>
      </c>
      <c r="W1163" s="51">
        <v>0.12</v>
      </c>
      <c r="X1163" s="357" t="s">
        <v>53</v>
      </c>
      <c r="Y1163" s="351" t="s">
        <v>353</v>
      </c>
      <c r="Z1163" s="5" t="s">
        <v>13</v>
      </c>
      <c r="AA1163" s="112" t="s">
        <v>28</v>
      </c>
    </row>
    <row r="1164" spans="1:29" x14ac:dyDescent="0.25">
      <c r="A1164" s="329">
        <v>45948</v>
      </c>
      <c r="B1164" s="5">
        <v>9</v>
      </c>
      <c r="D1164" s="5" t="s">
        <v>193</v>
      </c>
      <c r="E1164" s="6">
        <v>2.58</v>
      </c>
      <c r="G1164" s="362">
        <v>1</v>
      </c>
      <c r="H1164" s="362">
        <v>0</v>
      </c>
      <c r="I1164" s="8">
        <v>1.1399999999999999</v>
      </c>
      <c r="L1164" s="5" t="s">
        <v>227</v>
      </c>
      <c r="N1164" s="345">
        <v>66</v>
      </c>
      <c r="O1164" s="38" t="s">
        <v>227</v>
      </c>
      <c r="P1164" s="5" t="s">
        <v>238</v>
      </c>
      <c r="Q1164" s="5" t="s">
        <v>239</v>
      </c>
      <c r="R1164" s="5" t="s">
        <v>684</v>
      </c>
      <c r="S1164" s="7">
        <v>66</v>
      </c>
      <c r="T1164" s="5" t="s">
        <v>41</v>
      </c>
      <c r="U1164" s="5" t="s">
        <v>45</v>
      </c>
      <c r="V1164" s="57" t="s">
        <v>10</v>
      </c>
      <c r="W1164" s="51">
        <v>0.06</v>
      </c>
      <c r="X1164" s="357" t="s">
        <v>53</v>
      </c>
      <c r="Z1164" s="5" t="s">
        <v>16</v>
      </c>
      <c r="AA1164" s="112" t="s">
        <v>28</v>
      </c>
    </row>
    <row r="1165" spans="1:29" x14ac:dyDescent="0.25">
      <c r="A1165" s="329">
        <v>45948</v>
      </c>
      <c r="B1165" s="5">
        <v>9</v>
      </c>
      <c r="D1165" s="5" t="s">
        <v>193</v>
      </c>
      <c r="E1165" s="6">
        <v>2.58</v>
      </c>
      <c r="G1165" s="362">
        <v>1</v>
      </c>
      <c r="H1165" s="362">
        <v>0</v>
      </c>
      <c r="I1165" s="8">
        <v>1.1399999999999999</v>
      </c>
      <c r="L1165" s="5" t="s">
        <v>227</v>
      </c>
      <c r="N1165" s="345">
        <v>66</v>
      </c>
      <c r="O1165" s="38" t="s">
        <v>227</v>
      </c>
      <c r="P1165" s="5" t="s">
        <v>238</v>
      </c>
      <c r="Q1165" s="5" t="s">
        <v>239</v>
      </c>
      <c r="R1165" s="5" t="s">
        <v>684</v>
      </c>
      <c r="S1165" s="7">
        <v>66</v>
      </c>
      <c r="T1165" s="5" t="s">
        <v>41</v>
      </c>
      <c r="U1165" s="5" t="s">
        <v>43</v>
      </c>
      <c r="V1165" s="57" t="s">
        <v>10</v>
      </c>
      <c r="W1165" s="51">
        <v>0.22</v>
      </c>
      <c r="X1165" s="357" t="s">
        <v>53</v>
      </c>
      <c r="Z1165" s="5" t="s">
        <v>52</v>
      </c>
      <c r="AA1165" s="112" t="s">
        <v>28</v>
      </c>
    </row>
    <row r="1166" spans="1:29" x14ac:dyDescent="0.25">
      <c r="A1166" s="329">
        <v>45948</v>
      </c>
      <c r="B1166" s="5">
        <v>9</v>
      </c>
      <c r="D1166" s="5" t="s">
        <v>193</v>
      </c>
      <c r="E1166" s="6">
        <v>2.58</v>
      </c>
      <c r="G1166" s="362">
        <v>1</v>
      </c>
      <c r="H1166" s="362">
        <v>0</v>
      </c>
      <c r="I1166" s="8">
        <v>1.1399999999999999</v>
      </c>
      <c r="L1166" s="5" t="s">
        <v>227</v>
      </c>
      <c r="N1166" s="345">
        <v>66</v>
      </c>
      <c r="O1166" s="38" t="s">
        <v>227</v>
      </c>
      <c r="P1166" s="5" t="s">
        <v>25</v>
      </c>
      <c r="Q1166" s="5" t="s">
        <v>397</v>
      </c>
      <c r="R1166" s="5" t="s">
        <v>685</v>
      </c>
      <c r="S1166" s="7">
        <v>60</v>
      </c>
      <c r="T1166" s="5" t="s">
        <v>41</v>
      </c>
      <c r="U1166" s="5" t="s">
        <v>43</v>
      </c>
      <c r="V1166" s="57" t="s">
        <v>540</v>
      </c>
      <c r="W1166" s="51">
        <v>0.11</v>
      </c>
      <c r="X1166" s="357" t="s">
        <v>53</v>
      </c>
      <c r="Z1166" s="5" t="s">
        <v>13</v>
      </c>
      <c r="AA1166" s="112" t="s">
        <v>28</v>
      </c>
    </row>
    <row r="1167" spans="1:29" x14ac:dyDescent="0.25">
      <c r="A1167" s="329">
        <v>45948</v>
      </c>
      <c r="B1167" s="5">
        <v>9</v>
      </c>
      <c r="D1167" s="5" t="s">
        <v>193</v>
      </c>
      <c r="E1167" s="6">
        <v>2.58</v>
      </c>
      <c r="G1167" s="362">
        <v>1</v>
      </c>
      <c r="H1167" s="362">
        <v>0</v>
      </c>
      <c r="I1167" s="8">
        <v>1.1399999999999999</v>
      </c>
      <c r="L1167" s="5" t="s">
        <v>227</v>
      </c>
      <c r="N1167" s="476">
        <v>69</v>
      </c>
      <c r="O1167" s="477" t="s">
        <v>193</v>
      </c>
      <c r="P1167" s="478" t="s">
        <v>202</v>
      </c>
      <c r="Q1167" s="478" t="s">
        <v>203</v>
      </c>
      <c r="R1167" s="478" t="s">
        <v>696</v>
      </c>
      <c r="S1167" s="479">
        <v>73</v>
      </c>
      <c r="T1167" s="478" t="s">
        <v>47</v>
      </c>
      <c r="U1167" s="478" t="s">
        <v>43</v>
      </c>
      <c r="V1167" s="480" t="s">
        <v>10</v>
      </c>
      <c r="W1167" s="51">
        <v>0.56999999999999995</v>
      </c>
      <c r="X1167" s="357">
        <v>0.97</v>
      </c>
      <c r="Y1167" s="351" t="s">
        <v>353</v>
      </c>
      <c r="Z1167" s="5" t="s">
        <v>8</v>
      </c>
      <c r="AA1167" s="112" t="s">
        <v>19</v>
      </c>
      <c r="AB1167" s="108" t="s">
        <v>204</v>
      </c>
      <c r="AC1167" s="57" t="s">
        <v>205</v>
      </c>
    </row>
    <row r="1168" spans="1:29" x14ac:dyDescent="0.25">
      <c r="A1168" s="329">
        <v>45948</v>
      </c>
      <c r="B1168" s="5">
        <v>9</v>
      </c>
      <c r="D1168" s="5" t="s">
        <v>193</v>
      </c>
      <c r="E1168" s="6">
        <v>2.58</v>
      </c>
      <c r="G1168" s="362">
        <v>1</v>
      </c>
      <c r="H1168" s="362">
        <v>0</v>
      </c>
      <c r="I1168" s="8">
        <v>1.1399999999999999</v>
      </c>
      <c r="L1168" s="5" t="s">
        <v>227</v>
      </c>
      <c r="N1168" s="345">
        <v>89</v>
      </c>
      <c r="O1168" s="38" t="s">
        <v>227</v>
      </c>
      <c r="P1168" s="5" t="s">
        <v>238</v>
      </c>
      <c r="Q1168" s="5" t="s">
        <v>239</v>
      </c>
      <c r="R1168" s="5" t="s">
        <v>684</v>
      </c>
      <c r="S1168" s="7">
        <v>66</v>
      </c>
      <c r="T1168" s="5" t="s">
        <v>41</v>
      </c>
      <c r="U1168" s="5" t="s">
        <v>43</v>
      </c>
      <c r="V1168" s="57" t="s">
        <v>10</v>
      </c>
      <c r="W1168" s="51">
        <v>0.53</v>
      </c>
      <c r="X1168" s="357">
        <v>0.5</v>
      </c>
      <c r="Y1168" s="351" t="s">
        <v>353</v>
      </c>
      <c r="Z1168" s="5" t="s">
        <v>48</v>
      </c>
      <c r="AA1168" s="112" t="s">
        <v>19</v>
      </c>
    </row>
    <row r="1169" spans="1:29" ht="15.75" thickBot="1" x14ac:dyDescent="0.3">
      <c r="A1169" s="338">
        <v>45948</v>
      </c>
      <c r="B1169" s="230">
        <v>9</v>
      </c>
      <c r="C1169" s="231"/>
      <c r="D1169" s="230" t="s">
        <v>193</v>
      </c>
      <c r="E1169" s="232">
        <v>2.58</v>
      </c>
      <c r="F1169" s="232"/>
      <c r="G1169" s="363">
        <v>1</v>
      </c>
      <c r="H1169" s="363">
        <v>0</v>
      </c>
      <c r="I1169" s="234">
        <v>1.1399999999999999</v>
      </c>
      <c r="J1169" s="234"/>
      <c r="K1169" s="231"/>
      <c r="L1169" s="230" t="s">
        <v>227</v>
      </c>
      <c r="M1169" s="235"/>
      <c r="N1169" s="347"/>
      <c r="O1169" s="343" t="s">
        <v>193</v>
      </c>
      <c r="P1169" s="199" t="s">
        <v>580</v>
      </c>
      <c r="Q1169" s="199" t="s">
        <v>581</v>
      </c>
      <c r="R1169" s="199" t="s">
        <v>707</v>
      </c>
      <c r="S1169" s="7">
        <v>71</v>
      </c>
      <c r="T1169" s="199"/>
      <c r="U1169" s="199"/>
      <c r="V1169" s="201"/>
      <c r="W1169" s="202"/>
      <c r="X1169" s="359"/>
      <c r="Y1169" s="353">
        <f>H1169</f>
        <v>0</v>
      </c>
      <c r="Z1169" s="199"/>
      <c r="AA1169" s="204"/>
      <c r="AB1169" s="205"/>
      <c r="AC1169" s="201"/>
    </row>
    <row r="1170" spans="1:29" ht="15.75" thickBot="1" x14ac:dyDescent="0.3">
      <c r="A1170" s="338">
        <v>45948</v>
      </c>
      <c r="B1170" s="230">
        <v>9</v>
      </c>
      <c r="C1170" s="231"/>
      <c r="D1170" s="230" t="s">
        <v>193</v>
      </c>
      <c r="E1170" s="232">
        <v>2.58</v>
      </c>
      <c r="F1170" s="232"/>
      <c r="G1170" s="363">
        <v>1</v>
      </c>
      <c r="H1170" s="363">
        <v>0</v>
      </c>
      <c r="I1170" s="234">
        <v>1.1399999999999999</v>
      </c>
      <c r="J1170" s="234"/>
      <c r="K1170" s="231"/>
      <c r="L1170" s="230" t="s">
        <v>227</v>
      </c>
      <c r="M1170" s="235"/>
      <c r="N1170" s="347"/>
      <c r="O1170" s="343" t="s">
        <v>227</v>
      </c>
      <c r="P1170" s="199" t="s">
        <v>298</v>
      </c>
      <c r="Q1170" s="199" t="s">
        <v>86</v>
      </c>
      <c r="R1170" s="199" t="s">
        <v>707</v>
      </c>
      <c r="S1170" s="7">
        <v>78</v>
      </c>
      <c r="T1170" s="199"/>
      <c r="U1170" s="199"/>
      <c r="V1170" s="201"/>
      <c r="W1170" s="202"/>
      <c r="X1170" s="359"/>
      <c r="Y1170" s="353">
        <f>G1169</f>
        <v>1</v>
      </c>
      <c r="Z1170" s="199"/>
      <c r="AA1170" s="204"/>
      <c r="AB1170" s="205"/>
      <c r="AC1170" s="201"/>
    </row>
    <row r="1171" spans="1:29" x14ac:dyDescent="0.25">
      <c r="A1171" s="329">
        <v>45949</v>
      </c>
      <c r="B1171" s="5">
        <v>9</v>
      </c>
      <c r="C1171" s="121" t="s">
        <v>692</v>
      </c>
      <c r="D1171" s="5" t="s">
        <v>208</v>
      </c>
      <c r="E1171" s="6">
        <v>1.08</v>
      </c>
      <c r="G1171" s="362">
        <v>0</v>
      </c>
      <c r="H1171" s="362">
        <v>0</v>
      </c>
      <c r="I1171" s="8">
        <v>0.25</v>
      </c>
      <c r="K1171" s="121" t="s">
        <v>693</v>
      </c>
      <c r="L1171" s="5" t="s">
        <v>170</v>
      </c>
      <c r="N1171" s="476">
        <v>19</v>
      </c>
      <c r="O1171" s="477" t="s">
        <v>208</v>
      </c>
      <c r="P1171" s="478" t="s">
        <v>61</v>
      </c>
      <c r="Q1171" s="478" t="s">
        <v>261</v>
      </c>
      <c r="R1171" s="478" t="s">
        <v>686</v>
      </c>
      <c r="S1171" s="479">
        <v>70</v>
      </c>
      <c r="T1171" s="478" t="s">
        <v>47</v>
      </c>
      <c r="U1171" s="478" t="s">
        <v>42</v>
      </c>
      <c r="V1171" s="480" t="s">
        <v>10</v>
      </c>
      <c r="W1171" s="51">
        <v>0.12</v>
      </c>
      <c r="X1171" s="357">
        <v>0.28999999999999998</v>
      </c>
      <c r="Z1171" s="5" t="s">
        <v>48</v>
      </c>
      <c r="AA1171" s="112" t="s">
        <v>28</v>
      </c>
    </row>
    <row r="1172" spans="1:29" x14ac:dyDescent="0.25">
      <c r="A1172" s="329">
        <v>45949</v>
      </c>
      <c r="B1172" s="5">
        <v>9</v>
      </c>
      <c r="D1172" s="5" t="s">
        <v>208</v>
      </c>
      <c r="E1172" s="6">
        <v>1.08</v>
      </c>
      <c r="G1172" s="362">
        <v>0</v>
      </c>
      <c r="H1172" s="362">
        <v>0</v>
      </c>
      <c r="I1172" s="8">
        <v>0.25</v>
      </c>
      <c r="L1172" s="5" t="s">
        <v>170</v>
      </c>
      <c r="N1172" s="476">
        <v>21</v>
      </c>
      <c r="O1172" s="477" t="s">
        <v>208</v>
      </c>
      <c r="P1172" s="478" t="s">
        <v>61</v>
      </c>
      <c r="Q1172" s="478" t="s">
        <v>261</v>
      </c>
      <c r="R1172" s="478" t="s">
        <v>686</v>
      </c>
      <c r="S1172" s="479">
        <v>70</v>
      </c>
      <c r="T1172" s="478" t="s">
        <v>41</v>
      </c>
      <c r="U1172" s="478" t="s">
        <v>42</v>
      </c>
      <c r="V1172" s="480" t="s">
        <v>540</v>
      </c>
      <c r="W1172" s="51">
        <v>7.0000000000000007E-2</v>
      </c>
      <c r="X1172" s="357">
        <v>0.12</v>
      </c>
      <c r="Z1172" s="5" t="s">
        <v>48</v>
      </c>
      <c r="AA1172" s="112" t="s">
        <v>28</v>
      </c>
    </row>
    <row r="1173" spans="1:29" x14ac:dyDescent="0.25">
      <c r="A1173" s="329">
        <v>45949</v>
      </c>
      <c r="B1173" s="5">
        <v>9</v>
      </c>
      <c r="D1173" s="5" t="s">
        <v>208</v>
      </c>
      <c r="E1173" s="6">
        <v>1.08</v>
      </c>
      <c r="G1173" s="362">
        <v>0</v>
      </c>
      <c r="H1173" s="362">
        <v>0</v>
      </c>
      <c r="I1173" s="8">
        <v>0.25</v>
      </c>
      <c r="L1173" s="5" t="s">
        <v>170</v>
      </c>
      <c r="N1173" s="345">
        <v>59</v>
      </c>
      <c r="O1173" s="38" t="s">
        <v>170</v>
      </c>
      <c r="P1173" s="5" t="s">
        <v>159</v>
      </c>
      <c r="Q1173" s="5" t="s">
        <v>381</v>
      </c>
      <c r="R1173" s="5" t="s">
        <v>687</v>
      </c>
      <c r="S1173" s="7">
        <v>65</v>
      </c>
      <c r="T1173" s="5" t="s">
        <v>41</v>
      </c>
      <c r="U1173" s="5" t="s">
        <v>42</v>
      </c>
      <c r="V1173" s="57" t="s">
        <v>10</v>
      </c>
      <c r="W1173" s="51">
        <v>0.13</v>
      </c>
      <c r="X1173" s="357" t="s">
        <v>53</v>
      </c>
      <c r="Z1173" s="5" t="s">
        <v>52</v>
      </c>
      <c r="AA1173" s="112" t="s">
        <v>28</v>
      </c>
    </row>
    <row r="1174" spans="1:29" x14ac:dyDescent="0.25">
      <c r="A1174" s="329">
        <v>45949</v>
      </c>
      <c r="B1174" s="5">
        <v>9</v>
      </c>
      <c r="D1174" s="5" t="s">
        <v>208</v>
      </c>
      <c r="E1174" s="6">
        <v>1.08</v>
      </c>
      <c r="G1174" s="362">
        <v>0</v>
      </c>
      <c r="H1174" s="362">
        <v>0</v>
      </c>
      <c r="I1174" s="8">
        <v>0.25</v>
      </c>
      <c r="L1174" s="5" t="s">
        <v>170</v>
      </c>
      <c r="N1174" s="476">
        <v>67</v>
      </c>
      <c r="O1174" s="477" t="s">
        <v>208</v>
      </c>
      <c r="P1174" s="478" t="s">
        <v>362</v>
      </c>
      <c r="Q1174" s="478" t="s">
        <v>363</v>
      </c>
      <c r="R1174" s="478" t="s">
        <v>684</v>
      </c>
      <c r="S1174" s="479">
        <v>68</v>
      </c>
      <c r="T1174" s="478" t="s">
        <v>47</v>
      </c>
      <c r="U1174" s="478" t="s">
        <v>42</v>
      </c>
      <c r="V1174" s="480" t="s">
        <v>540</v>
      </c>
      <c r="W1174" s="51">
        <v>0.41</v>
      </c>
      <c r="X1174" s="357">
        <v>0.26</v>
      </c>
      <c r="Z1174" s="5" t="s">
        <v>48</v>
      </c>
      <c r="AA1174" s="112" t="s">
        <v>28</v>
      </c>
    </row>
    <row r="1175" spans="1:29" ht="15.75" thickBot="1" x14ac:dyDescent="0.3">
      <c r="A1175" s="338">
        <v>45949</v>
      </c>
      <c r="B1175" s="230">
        <v>9</v>
      </c>
      <c r="C1175" s="231"/>
      <c r="D1175" s="230" t="s">
        <v>208</v>
      </c>
      <c r="E1175" s="232">
        <v>1.08</v>
      </c>
      <c r="F1175" s="232"/>
      <c r="G1175" s="363">
        <v>0</v>
      </c>
      <c r="H1175" s="363">
        <v>0</v>
      </c>
      <c r="I1175" s="234">
        <v>0.25</v>
      </c>
      <c r="J1175" s="234"/>
      <c r="K1175" s="231"/>
      <c r="L1175" s="230" t="s">
        <v>170</v>
      </c>
      <c r="M1175" s="235"/>
      <c r="N1175" s="347"/>
      <c r="O1175" s="343" t="s">
        <v>208</v>
      </c>
      <c r="P1175" s="199" t="s">
        <v>295</v>
      </c>
      <c r="Q1175" s="199" t="s">
        <v>735</v>
      </c>
      <c r="R1175" s="199" t="s">
        <v>707</v>
      </c>
      <c r="S1175" s="7">
        <v>67</v>
      </c>
      <c r="T1175" s="199"/>
      <c r="U1175" s="199"/>
      <c r="V1175" s="201"/>
      <c r="W1175" s="202"/>
      <c r="X1175" s="359"/>
      <c r="Y1175" s="353">
        <f>H1175</f>
        <v>0</v>
      </c>
      <c r="Z1175" s="199"/>
      <c r="AA1175" s="204"/>
      <c r="AB1175" s="205"/>
      <c r="AC1175" s="201"/>
    </row>
    <row r="1176" spans="1:29" ht="15.75" thickBot="1" x14ac:dyDescent="0.3">
      <c r="A1176" s="338">
        <v>45949</v>
      </c>
      <c r="B1176" s="230">
        <v>9</v>
      </c>
      <c r="C1176" s="231"/>
      <c r="D1176" s="230" t="s">
        <v>208</v>
      </c>
      <c r="E1176" s="232">
        <v>1.08</v>
      </c>
      <c r="F1176" s="232"/>
      <c r="G1176" s="363">
        <v>0</v>
      </c>
      <c r="H1176" s="363">
        <v>0</v>
      </c>
      <c r="I1176" s="234">
        <v>0.25</v>
      </c>
      <c r="J1176" s="234"/>
      <c r="K1176" s="231"/>
      <c r="L1176" s="230" t="s">
        <v>170</v>
      </c>
      <c r="M1176" s="235"/>
      <c r="N1176" s="347"/>
      <c r="O1176" s="343" t="s">
        <v>170</v>
      </c>
      <c r="P1176" s="199" t="s">
        <v>269</v>
      </c>
      <c r="Q1176" s="199" t="s">
        <v>722</v>
      </c>
      <c r="R1176" s="199" t="s">
        <v>707</v>
      </c>
      <c r="S1176" s="7">
        <v>81</v>
      </c>
      <c r="T1176" s="199"/>
      <c r="U1176" s="199"/>
      <c r="V1176" s="201"/>
      <c r="W1176" s="202"/>
      <c r="X1176" s="359"/>
      <c r="Y1176" s="353">
        <f>G1175</f>
        <v>0</v>
      </c>
      <c r="Z1176" s="199"/>
      <c r="AA1176" s="204"/>
      <c r="AB1176" s="205"/>
      <c r="AC1176" s="201"/>
    </row>
    <row r="1177" spans="1:29" x14ac:dyDescent="0.25">
      <c r="A1177" s="329">
        <v>45949</v>
      </c>
      <c r="B1177" s="5">
        <v>9</v>
      </c>
      <c r="C1177" s="121" t="s">
        <v>700</v>
      </c>
      <c r="D1177" s="5" t="s">
        <v>456</v>
      </c>
      <c r="E1177" s="6">
        <v>0.95</v>
      </c>
      <c r="G1177" s="362">
        <v>1</v>
      </c>
      <c r="H1177" s="362">
        <v>1</v>
      </c>
      <c r="I1177" s="8">
        <v>1.55</v>
      </c>
      <c r="K1177" s="121" t="s">
        <v>702</v>
      </c>
      <c r="L1177" s="5" t="s">
        <v>146</v>
      </c>
      <c r="M1177" s="238" t="s">
        <v>753</v>
      </c>
      <c r="N1177" s="345">
        <v>7</v>
      </c>
      <c r="O1177" s="38" t="s">
        <v>146</v>
      </c>
      <c r="P1177" s="5" t="s">
        <v>159</v>
      </c>
      <c r="Q1177" s="5" t="s">
        <v>160</v>
      </c>
      <c r="R1177" s="5" t="s">
        <v>684</v>
      </c>
      <c r="S1177" s="7">
        <v>68</v>
      </c>
      <c r="T1177" s="5" t="s">
        <v>41</v>
      </c>
      <c r="U1177" s="5" t="s">
        <v>45</v>
      </c>
      <c r="V1177" s="57" t="s">
        <v>10</v>
      </c>
      <c r="W1177" s="51">
        <v>0.1</v>
      </c>
      <c r="X1177" s="357" t="s">
        <v>53</v>
      </c>
      <c r="Y1177" s="351" t="s">
        <v>353</v>
      </c>
      <c r="Z1177" s="5" t="s">
        <v>55</v>
      </c>
      <c r="AA1177" s="112" t="s">
        <v>28</v>
      </c>
    </row>
    <row r="1178" spans="1:29" x14ac:dyDescent="0.25">
      <c r="A1178" s="329">
        <v>45949</v>
      </c>
      <c r="B1178" s="5">
        <v>9</v>
      </c>
      <c r="D1178" s="5" t="s">
        <v>456</v>
      </c>
      <c r="E1178" s="6">
        <v>0.95</v>
      </c>
      <c r="G1178" s="362">
        <v>1</v>
      </c>
      <c r="H1178" s="362">
        <v>1</v>
      </c>
      <c r="I1178" s="8">
        <v>1.55</v>
      </c>
      <c r="L1178" s="5" t="s">
        <v>146</v>
      </c>
      <c r="M1178" s="238" t="s">
        <v>753</v>
      </c>
      <c r="N1178" s="476">
        <v>20</v>
      </c>
      <c r="O1178" s="477" t="s">
        <v>456</v>
      </c>
      <c r="P1178" s="478" t="s">
        <v>241</v>
      </c>
      <c r="Q1178" s="478" t="s">
        <v>583</v>
      </c>
      <c r="R1178" s="478" t="s">
        <v>685</v>
      </c>
      <c r="S1178" s="479">
        <v>73</v>
      </c>
      <c r="T1178" s="478" t="s">
        <v>41</v>
      </c>
      <c r="U1178" s="478" t="s">
        <v>43</v>
      </c>
      <c r="V1178" s="480" t="s">
        <v>10</v>
      </c>
      <c r="W1178" s="51">
        <v>0.36</v>
      </c>
      <c r="X1178" s="357">
        <v>0.7</v>
      </c>
      <c r="Y1178" s="351" t="s">
        <v>353</v>
      </c>
      <c r="Z1178" s="5" t="s">
        <v>8</v>
      </c>
      <c r="AA1178" s="112" t="s">
        <v>19</v>
      </c>
      <c r="AB1178" s="108" t="s">
        <v>384</v>
      </c>
      <c r="AC1178" s="57" t="s">
        <v>385</v>
      </c>
    </row>
    <row r="1179" spans="1:29" x14ac:dyDescent="0.25">
      <c r="A1179" s="329">
        <v>45949</v>
      </c>
      <c r="B1179" s="5">
        <v>9</v>
      </c>
      <c r="D1179" s="5" t="s">
        <v>456</v>
      </c>
      <c r="E1179" s="6">
        <v>0.95</v>
      </c>
      <c r="G1179" s="362">
        <v>1</v>
      </c>
      <c r="H1179" s="362">
        <v>1</v>
      </c>
      <c r="I1179" s="8">
        <v>1.55</v>
      </c>
      <c r="L1179" s="5" t="s">
        <v>146</v>
      </c>
      <c r="M1179" s="238" t="s">
        <v>753</v>
      </c>
      <c r="N1179" s="345">
        <v>40</v>
      </c>
      <c r="O1179" s="38" t="s">
        <v>146</v>
      </c>
      <c r="P1179" s="5" t="s">
        <v>85</v>
      </c>
      <c r="Q1179" s="5" t="s">
        <v>86</v>
      </c>
      <c r="R1179" s="5" t="s">
        <v>695</v>
      </c>
      <c r="S1179" s="7">
        <v>62</v>
      </c>
      <c r="T1179" s="5" t="s">
        <v>47</v>
      </c>
      <c r="U1179" s="5" t="s">
        <v>45</v>
      </c>
      <c r="V1179" s="57" t="s">
        <v>20</v>
      </c>
      <c r="W1179" s="51">
        <v>0.23</v>
      </c>
      <c r="X1179" s="357" t="s">
        <v>53</v>
      </c>
      <c r="Y1179" s="351" t="s">
        <v>353</v>
      </c>
      <c r="Z1179" s="5" t="s">
        <v>13</v>
      </c>
      <c r="AA1179" s="112" t="s">
        <v>19</v>
      </c>
    </row>
    <row r="1180" spans="1:29" x14ac:dyDescent="0.25">
      <c r="A1180" s="329">
        <v>45949</v>
      </c>
      <c r="B1180" s="5">
        <v>9</v>
      </c>
      <c r="D1180" s="5" t="s">
        <v>456</v>
      </c>
      <c r="E1180" s="6">
        <v>0.95</v>
      </c>
      <c r="G1180" s="362">
        <v>1</v>
      </c>
      <c r="H1180" s="362">
        <v>1</v>
      </c>
      <c r="I1180" s="8">
        <v>1.55</v>
      </c>
      <c r="L1180" s="5" t="s">
        <v>146</v>
      </c>
      <c r="M1180" s="238" t="s">
        <v>753</v>
      </c>
      <c r="N1180" s="345">
        <v>45</v>
      </c>
      <c r="O1180" s="38" t="s">
        <v>146</v>
      </c>
      <c r="P1180" s="5" t="s">
        <v>159</v>
      </c>
      <c r="Q1180" s="5" t="s">
        <v>160</v>
      </c>
      <c r="R1180" s="5" t="s">
        <v>684</v>
      </c>
      <c r="S1180" s="7">
        <v>68</v>
      </c>
      <c r="T1180" s="5" t="s">
        <v>47</v>
      </c>
      <c r="U1180" s="5" t="s">
        <v>45</v>
      </c>
      <c r="V1180" s="57" t="s">
        <v>20</v>
      </c>
      <c r="W1180" s="51">
        <v>0.13</v>
      </c>
      <c r="X1180" s="357" t="s">
        <v>53</v>
      </c>
      <c r="Z1180" s="5" t="s">
        <v>52</v>
      </c>
      <c r="AA1180" s="112" t="s">
        <v>19</v>
      </c>
    </row>
    <row r="1181" spans="1:29" x14ac:dyDescent="0.25">
      <c r="A1181" s="329">
        <v>45949</v>
      </c>
      <c r="B1181" s="5">
        <v>9</v>
      </c>
      <c r="D1181" s="5" t="s">
        <v>456</v>
      </c>
      <c r="E1181" s="6">
        <v>0.95</v>
      </c>
      <c r="G1181" s="362">
        <v>1</v>
      </c>
      <c r="H1181" s="362">
        <v>1</v>
      </c>
      <c r="I1181" s="8">
        <v>1.55</v>
      </c>
      <c r="L1181" s="5" t="s">
        <v>146</v>
      </c>
      <c r="M1181" s="238" t="s">
        <v>753</v>
      </c>
      <c r="N1181" s="345">
        <v>55</v>
      </c>
      <c r="O1181" s="38" t="s">
        <v>146</v>
      </c>
      <c r="P1181" s="5" t="s">
        <v>153</v>
      </c>
      <c r="Q1181" s="5" t="s">
        <v>154</v>
      </c>
      <c r="R1181" s="5" t="s">
        <v>686</v>
      </c>
      <c r="S1181" s="7">
        <v>63</v>
      </c>
      <c r="T1181" s="5" t="s">
        <v>41</v>
      </c>
      <c r="U1181" s="5" t="s">
        <v>43</v>
      </c>
      <c r="V1181" s="57" t="s">
        <v>10</v>
      </c>
      <c r="W1181" s="51">
        <v>0.1</v>
      </c>
      <c r="X1181" s="357" t="s">
        <v>53</v>
      </c>
      <c r="Z1181" s="5" t="s">
        <v>52</v>
      </c>
      <c r="AA1181" s="112" t="s">
        <v>19</v>
      </c>
    </row>
    <row r="1182" spans="1:29" x14ac:dyDescent="0.25">
      <c r="A1182" s="329">
        <v>45949</v>
      </c>
      <c r="B1182" s="5">
        <v>9</v>
      </c>
      <c r="D1182" s="5" t="s">
        <v>456</v>
      </c>
      <c r="E1182" s="6">
        <v>0.95</v>
      </c>
      <c r="G1182" s="362">
        <v>1</v>
      </c>
      <c r="H1182" s="362">
        <v>1</v>
      </c>
      <c r="I1182" s="8">
        <v>1.55</v>
      </c>
      <c r="L1182" s="5" t="s">
        <v>146</v>
      </c>
      <c r="M1182" s="238" t="s">
        <v>753</v>
      </c>
      <c r="N1182" s="345">
        <v>65</v>
      </c>
      <c r="O1182" s="38" t="s">
        <v>146</v>
      </c>
      <c r="P1182" s="5" t="s">
        <v>274</v>
      </c>
      <c r="Q1182" s="5" t="s">
        <v>275</v>
      </c>
      <c r="R1182" s="5" t="s">
        <v>685</v>
      </c>
      <c r="S1182" s="7">
        <v>65</v>
      </c>
      <c r="T1182" s="5" t="s">
        <v>41</v>
      </c>
      <c r="U1182" s="5" t="s">
        <v>42</v>
      </c>
      <c r="V1182" s="57" t="s">
        <v>10</v>
      </c>
      <c r="W1182" s="51">
        <v>0.26</v>
      </c>
      <c r="X1182" s="357">
        <v>0.2</v>
      </c>
      <c r="Y1182" s="351" t="s">
        <v>353</v>
      </c>
      <c r="Z1182" s="5" t="s">
        <v>48</v>
      </c>
      <c r="AA1182" s="112" t="s">
        <v>19</v>
      </c>
    </row>
    <row r="1183" spans="1:29" x14ac:dyDescent="0.25">
      <c r="A1183" s="329">
        <v>45949</v>
      </c>
      <c r="B1183" s="5">
        <v>9</v>
      </c>
      <c r="D1183" s="5" t="s">
        <v>456</v>
      </c>
      <c r="E1183" s="6">
        <v>0.95</v>
      </c>
      <c r="G1183" s="362">
        <v>1</v>
      </c>
      <c r="H1183" s="362">
        <v>1</v>
      </c>
      <c r="I1183" s="8">
        <v>1.55</v>
      </c>
      <c r="L1183" s="5" t="s">
        <v>146</v>
      </c>
      <c r="M1183" s="238" t="s">
        <v>753</v>
      </c>
      <c r="N1183" s="345">
        <v>79</v>
      </c>
      <c r="O1183" s="38" t="s">
        <v>146</v>
      </c>
      <c r="P1183" s="5" t="s">
        <v>135</v>
      </c>
      <c r="Q1183" s="5" t="s">
        <v>751</v>
      </c>
      <c r="R1183" s="5" t="s">
        <v>696</v>
      </c>
      <c r="S1183" s="459">
        <v>64</v>
      </c>
      <c r="T1183" s="5" t="s">
        <v>47</v>
      </c>
      <c r="U1183" s="5" t="s">
        <v>43</v>
      </c>
      <c r="V1183" s="57" t="s">
        <v>20</v>
      </c>
      <c r="W1183" s="51">
        <v>0.21</v>
      </c>
      <c r="X1183" s="357">
        <v>0.26</v>
      </c>
      <c r="Y1183" s="351" t="s">
        <v>353</v>
      </c>
      <c r="Z1183" s="5" t="s">
        <v>48</v>
      </c>
      <c r="AA1183" s="112" t="s">
        <v>19</v>
      </c>
    </row>
    <row r="1184" spans="1:29" x14ac:dyDescent="0.25">
      <c r="A1184" s="329">
        <v>45949</v>
      </c>
      <c r="B1184" s="5">
        <v>9</v>
      </c>
      <c r="D1184" s="5" t="s">
        <v>456</v>
      </c>
      <c r="E1184" s="6">
        <v>0.95</v>
      </c>
      <c r="G1184" s="362">
        <v>1</v>
      </c>
      <c r="H1184" s="362">
        <v>1</v>
      </c>
      <c r="I1184" s="8">
        <v>1.55</v>
      </c>
      <c r="L1184" s="5" t="s">
        <v>146</v>
      </c>
      <c r="M1184" s="238" t="s">
        <v>753</v>
      </c>
      <c r="N1184" s="345">
        <v>81</v>
      </c>
      <c r="O1184" s="38" t="s">
        <v>146</v>
      </c>
      <c r="P1184" s="5" t="s">
        <v>135</v>
      </c>
      <c r="Q1184" s="5" t="s">
        <v>752</v>
      </c>
      <c r="R1184" s="5" t="s">
        <v>695</v>
      </c>
      <c r="S1184" s="459">
        <v>65</v>
      </c>
      <c r="T1184" s="5" t="s">
        <v>41</v>
      </c>
      <c r="U1184" s="5" t="s">
        <v>45</v>
      </c>
      <c r="V1184" s="57" t="s">
        <v>10</v>
      </c>
      <c r="W1184" s="51">
        <v>0.11</v>
      </c>
      <c r="X1184" s="357" t="s">
        <v>53</v>
      </c>
      <c r="Z1184" s="5" t="s">
        <v>13</v>
      </c>
      <c r="AA1184" s="112" t="s">
        <v>19</v>
      </c>
    </row>
    <row r="1185" spans="1:29" x14ac:dyDescent="0.25">
      <c r="A1185" s="329">
        <v>45949</v>
      </c>
      <c r="B1185" s="5">
        <v>9</v>
      </c>
      <c r="D1185" s="5" t="s">
        <v>456</v>
      </c>
      <c r="E1185" s="6">
        <v>0.95</v>
      </c>
      <c r="G1185" s="362">
        <v>1</v>
      </c>
      <c r="H1185" s="362">
        <v>1</v>
      </c>
      <c r="I1185" s="8">
        <v>1.55</v>
      </c>
      <c r="L1185" s="5" t="s">
        <v>146</v>
      </c>
      <c r="M1185" s="238" t="s">
        <v>753</v>
      </c>
      <c r="N1185" s="345">
        <v>83</v>
      </c>
      <c r="O1185" s="38" t="s">
        <v>146</v>
      </c>
      <c r="P1185" s="5" t="s">
        <v>159</v>
      </c>
      <c r="Q1185" s="5" t="s">
        <v>160</v>
      </c>
      <c r="R1185" s="5" t="s">
        <v>684</v>
      </c>
      <c r="S1185" s="7">
        <v>68</v>
      </c>
      <c r="T1185" s="5" t="s">
        <v>41</v>
      </c>
      <c r="U1185" s="5" t="s">
        <v>43</v>
      </c>
      <c r="V1185" s="57" t="s">
        <v>20</v>
      </c>
      <c r="W1185" s="51">
        <v>0.04</v>
      </c>
      <c r="X1185" s="357">
        <v>0.14000000000000001</v>
      </c>
      <c r="Z1185" s="5" t="s">
        <v>48</v>
      </c>
      <c r="AA1185" s="112" t="s">
        <v>19</v>
      </c>
    </row>
    <row r="1186" spans="1:29" x14ac:dyDescent="0.25">
      <c r="A1186" s="329">
        <v>45949</v>
      </c>
      <c r="B1186" s="5">
        <v>9</v>
      </c>
      <c r="D1186" s="5" t="s">
        <v>456</v>
      </c>
      <c r="E1186" s="6">
        <v>0.95</v>
      </c>
      <c r="G1186" s="362">
        <v>1</v>
      </c>
      <c r="H1186" s="362">
        <v>1</v>
      </c>
      <c r="I1186" s="8">
        <v>1.55</v>
      </c>
      <c r="L1186" s="5" t="s">
        <v>146</v>
      </c>
      <c r="M1186" s="238" t="s">
        <v>753</v>
      </c>
      <c r="N1186" s="476">
        <v>84</v>
      </c>
      <c r="O1186" s="477" t="s">
        <v>456</v>
      </c>
      <c r="P1186" s="478" t="s">
        <v>749</v>
      </c>
      <c r="Q1186" s="478" t="s">
        <v>750</v>
      </c>
      <c r="R1186" s="478" t="s">
        <v>696</v>
      </c>
      <c r="S1186" s="479">
        <v>60</v>
      </c>
      <c r="T1186" s="478" t="s">
        <v>44</v>
      </c>
      <c r="U1186" s="478" t="s">
        <v>42</v>
      </c>
      <c r="V1186" s="480" t="s">
        <v>18</v>
      </c>
      <c r="W1186" s="51">
        <v>0.53</v>
      </c>
      <c r="X1186" s="357" t="s">
        <v>53</v>
      </c>
      <c r="Y1186" s="351" t="s">
        <v>353</v>
      </c>
      <c r="Z1186" s="5" t="s">
        <v>16</v>
      </c>
      <c r="AA1186" s="112" t="s">
        <v>19</v>
      </c>
    </row>
    <row r="1187" spans="1:29" x14ac:dyDescent="0.25">
      <c r="A1187" s="329">
        <v>45949</v>
      </c>
      <c r="B1187" s="5">
        <v>9</v>
      </c>
      <c r="D1187" s="5" t="s">
        <v>456</v>
      </c>
      <c r="E1187" s="6">
        <v>0.95</v>
      </c>
      <c r="G1187" s="362">
        <v>1</v>
      </c>
      <c r="H1187" s="362">
        <v>1</v>
      </c>
      <c r="I1187" s="8">
        <v>1.55</v>
      </c>
      <c r="L1187" s="5" t="s">
        <v>146</v>
      </c>
      <c r="M1187" s="238" t="s">
        <v>753</v>
      </c>
      <c r="N1187" s="345">
        <v>89</v>
      </c>
      <c r="O1187" s="38" t="s">
        <v>146</v>
      </c>
      <c r="P1187" s="5" t="s">
        <v>46</v>
      </c>
      <c r="Q1187" s="5" t="s">
        <v>376</v>
      </c>
      <c r="R1187" s="5" t="s">
        <v>696</v>
      </c>
      <c r="S1187" s="7">
        <v>73</v>
      </c>
      <c r="T1187" s="5" t="s">
        <v>41</v>
      </c>
      <c r="U1187" s="5" t="s">
        <v>45</v>
      </c>
      <c r="V1187" s="57" t="s">
        <v>10</v>
      </c>
      <c r="W1187" s="51">
        <v>0.1</v>
      </c>
      <c r="X1187" s="357">
        <v>0.27</v>
      </c>
      <c r="Z1187" s="5" t="s">
        <v>8</v>
      </c>
      <c r="AA1187" s="112" t="s">
        <v>51</v>
      </c>
      <c r="AB1187" s="108" t="s">
        <v>429</v>
      </c>
      <c r="AC1187" s="57" t="s">
        <v>430</v>
      </c>
    </row>
    <row r="1188" spans="1:29" ht="15.75" thickBot="1" x14ac:dyDescent="0.3">
      <c r="A1188" s="338">
        <v>45949</v>
      </c>
      <c r="B1188" s="230">
        <v>9</v>
      </c>
      <c r="C1188" s="231"/>
      <c r="D1188" s="230" t="s">
        <v>456</v>
      </c>
      <c r="E1188" s="232">
        <v>0.95</v>
      </c>
      <c r="F1188" s="232"/>
      <c r="G1188" s="363">
        <v>1</v>
      </c>
      <c r="H1188" s="363">
        <v>1</v>
      </c>
      <c r="I1188" s="234">
        <v>1.55</v>
      </c>
      <c r="J1188" s="234"/>
      <c r="K1188" s="231"/>
      <c r="L1188" s="230" t="s">
        <v>146</v>
      </c>
      <c r="M1188" s="235"/>
      <c r="N1188" s="347"/>
      <c r="O1188" s="343" t="s">
        <v>456</v>
      </c>
      <c r="P1188" s="199" t="s">
        <v>719</v>
      </c>
      <c r="Q1188" s="199" t="s">
        <v>720</v>
      </c>
      <c r="R1188" s="199" t="s">
        <v>707</v>
      </c>
      <c r="S1188" s="7">
        <v>72</v>
      </c>
      <c r="T1188" s="199"/>
      <c r="U1188" s="199"/>
      <c r="V1188" s="201"/>
      <c r="W1188" s="202"/>
      <c r="X1188" s="359"/>
      <c r="Y1188" s="353">
        <f>H1188</f>
        <v>1</v>
      </c>
      <c r="Z1188" s="199"/>
      <c r="AA1188" s="204"/>
      <c r="AB1188" s="205"/>
      <c r="AC1188" s="201"/>
    </row>
    <row r="1189" spans="1:29" ht="15.75" thickBot="1" x14ac:dyDescent="0.3">
      <c r="A1189" s="338">
        <v>45949</v>
      </c>
      <c r="B1189" s="230">
        <v>9</v>
      </c>
      <c r="C1189" s="231"/>
      <c r="D1189" s="230" t="s">
        <v>456</v>
      </c>
      <c r="E1189" s="232">
        <v>0.95</v>
      </c>
      <c r="F1189" s="232"/>
      <c r="G1189" s="363">
        <v>1</v>
      </c>
      <c r="H1189" s="363">
        <v>1</v>
      </c>
      <c r="I1189" s="234">
        <v>1.55</v>
      </c>
      <c r="J1189" s="234"/>
      <c r="K1189" s="231"/>
      <c r="L1189" s="230" t="s">
        <v>146</v>
      </c>
      <c r="M1189" s="235"/>
      <c r="N1189" s="347"/>
      <c r="O1189" s="343" t="s">
        <v>146</v>
      </c>
      <c r="P1189" s="199" t="s">
        <v>176</v>
      </c>
      <c r="Q1189" s="199" t="s">
        <v>423</v>
      </c>
      <c r="R1189" s="199" t="s">
        <v>707</v>
      </c>
      <c r="S1189" s="7">
        <v>60</v>
      </c>
      <c r="T1189" s="199"/>
      <c r="U1189" s="199"/>
      <c r="V1189" s="201"/>
      <c r="W1189" s="202"/>
      <c r="X1189" s="359"/>
      <c r="Y1189" s="353">
        <f>G1188</f>
        <v>1</v>
      </c>
      <c r="Z1189" s="199"/>
      <c r="AA1189" s="204"/>
      <c r="AB1189" s="205"/>
      <c r="AC1189" s="201"/>
    </row>
    <row r="1190" spans="1:29" x14ac:dyDescent="0.25">
      <c r="A1190" s="329">
        <v>45949</v>
      </c>
      <c r="B1190" s="5">
        <v>9</v>
      </c>
      <c r="C1190" s="121" t="s">
        <v>694</v>
      </c>
      <c r="D1190" s="5" t="s">
        <v>129</v>
      </c>
      <c r="E1190" s="6">
        <v>0.91</v>
      </c>
      <c r="G1190" s="362">
        <v>0</v>
      </c>
      <c r="H1190" s="362">
        <v>3</v>
      </c>
      <c r="I1190" s="8">
        <v>1.55</v>
      </c>
      <c r="K1190" s="121" t="s">
        <v>693</v>
      </c>
      <c r="L1190" s="5" t="s">
        <v>70</v>
      </c>
      <c r="N1190" s="345">
        <v>12</v>
      </c>
      <c r="O1190" s="38" t="s">
        <v>70</v>
      </c>
      <c r="P1190" s="5" t="s">
        <v>458</v>
      </c>
      <c r="Q1190" s="5" t="s">
        <v>73</v>
      </c>
      <c r="R1190" s="5" t="s">
        <v>686</v>
      </c>
      <c r="S1190" s="7">
        <v>82</v>
      </c>
      <c r="T1190" s="5" t="s">
        <v>47</v>
      </c>
      <c r="U1190" s="5" t="s">
        <v>42</v>
      </c>
      <c r="V1190" s="57" t="s">
        <v>20</v>
      </c>
      <c r="W1190" s="51">
        <v>0.32</v>
      </c>
      <c r="X1190" s="357">
        <v>0.54</v>
      </c>
      <c r="Y1190" s="351" t="s">
        <v>353</v>
      </c>
      <c r="Z1190" s="5" t="s">
        <v>8</v>
      </c>
      <c r="AA1190" s="112" t="s">
        <v>9</v>
      </c>
      <c r="AB1190" s="108" t="s">
        <v>269</v>
      </c>
      <c r="AC1190" s="57" t="s">
        <v>150</v>
      </c>
    </row>
    <row r="1191" spans="1:29" x14ac:dyDescent="0.25">
      <c r="A1191" s="329">
        <v>45949</v>
      </c>
      <c r="B1191" s="5">
        <v>9</v>
      </c>
      <c r="D1191" s="5" t="s">
        <v>129</v>
      </c>
      <c r="E1191" s="6">
        <v>0.91</v>
      </c>
      <c r="G1191" s="362">
        <v>0</v>
      </c>
      <c r="H1191" s="362">
        <v>3</v>
      </c>
      <c r="I1191" s="8">
        <v>1.55</v>
      </c>
      <c r="L1191" s="5" t="s">
        <v>70</v>
      </c>
      <c r="N1191" s="345">
        <v>25</v>
      </c>
      <c r="O1191" s="38" t="s">
        <v>70</v>
      </c>
      <c r="P1191" s="5" t="s">
        <v>458</v>
      </c>
      <c r="Q1191" s="5" t="s">
        <v>73</v>
      </c>
      <c r="R1191" s="5" t="s">
        <v>686</v>
      </c>
      <c r="S1191" s="7">
        <v>82</v>
      </c>
      <c r="T1191" s="5" t="s">
        <v>41</v>
      </c>
      <c r="U1191" s="5" t="s">
        <v>43</v>
      </c>
      <c r="V1191" s="57" t="s">
        <v>540</v>
      </c>
      <c r="W1191" s="51">
        <v>0.21</v>
      </c>
      <c r="X1191" s="357">
        <v>0.36</v>
      </c>
      <c r="Y1191" s="351" t="s">
        <v>353</v>
      </c>
      <c r="Z1191" s="5" t="s">
        <v>8</v>
      </c>
      <c r="AA1191" s="112" t="s">
        <v>11</v>
      </c>
    </row>
    <row r="1192" spans="1:29" x14ac:dyDescent="0.25">
      <c r="A1192" s="329">
        <v>45949</v>
      </c>
      <c r="B1192" s="5">
        <v>9</v>
      </c>
      <c r="D1192" s="5" t="s">
        <v>129</v>
      </c>
      <c r="E1192" s="6">
        <v>0.91</v>
      </c>
      <c r="G1192" s="362">
        <v>0</v>
      </c>
      <c r="H1192" s="362">
        <v>3</v>
      </c>
      <c r="I1192" s="8">
        <v>1.55</v>
      </c>
      <c r="L1192" s="5" t="s">
        <v>70</v>
      </c>
      <c r="N1192" s="345">
        <v>60</v>
      </c>
      <c r="O1192" s="38" t="s">
        <v>70</v>
      </c>
      <c r="P1192" s="5" t="s">
        <v>255</v>
      </c>
      <c r="Q1192" s="5" t="s">
        <v>352</v>
      </c>
      <c r="R1192" s="5" t="s">
        <v>685</v>
      </c>
      <c r="S1192" s="7">
        <v>70</v>
      </c>
      <c r="T1192" s="5" t="s">
        <v>41</v>
      </c>
      <c r="U1192" s="5" t="s">
        <v>42</v>
      </c>
      <c r="V1192" s="57" t="s">
        <v>18</v>
      </c>
      <c r="W1192" s="51">
        <v>0.18</v>
      </c>
      <c r="X1192" s="357" t="s">
        <v>53</v>
      </c>
      <c r="Z1192" s="5" t="s">
        <v>744</v>
      </c>
      <c r="AA1192" s="112" t="s">
        <v>11</v>
      </c>
      <c r="AB1192" s="108" t="s">
        <v>433</v>
      </c>
      <c r="AC1192" s="57" t="s">
        <v>99</v>
      </c>
    </row>
    <row r="1193" spans="1:29" x14ac:dyDescent="0.25">
      <c r="A1193" s="329">
        <v>45949</v>
      </c>
      <c r="B1193" s="5">
        <v>9</v>
      </c>
      <c r="D1193" s="5" t="s">
        <v>129</v>
      </c>
      <c r="E1193" s="6">
        <v>0.91</v>
      </c>
      <c r="G1193" s="362">
        <v>0</v>
      </c>
      <c r="H1193" s="362">
        <v>3</v>
      </c>
      <c r="I1193" s="8">
        <v>1.55</v>
      </c>
      <c r="L1193" s="5" t="s">
        <v>70</v>
      </c>
      <c r="N1193" s="345">
        <v>65</v>
      </c>
      <c r="O1193" s="38" t="s">
        <v>70</v>
      </c>
      <c r="P1193" s="5" t="s">
        <v>74</v>
      </c>
      <c r="Q1193" s="5" t="s">
        <v>75</v>
      </c>
      <c r="R1193" s="5" t="s">
        <v>696</v>
      </c>
      <c r="S1193" s="7">
        <v>71</v>
      </c>
      <c r="T1193" s="5" t="s">
        <v>41</v>
      </c>
      <c r="U1193" s="5" t="s">
        <v>43</v>
      </c>
      <c r="V1193" s="57" t="s">
        <v>10</v>
      </c>
      <c r="W1193" s="51">
        <v>0.21</v>
      </c>
      <c r="X1193" s="357">
        <v>0.53</v>
      </c>
      <c r="Y1193" s="351" t="s">
        <v>353</v>
      </c>
      <c r="Z1193" s="5" t="s">
        <v>8</v>
      </c>
      <c r="AA1193" s="112" t="s">
        <v>14</v>
      </c>
      <c r="AB1193" s="108" t="s">
        <v>759</v>
      </c>
      <c r="AC1193" s="57" t="s">
        <v>81</v>
      </c>
    </row>
    <row r="1194" spans="1:29" x14ac:dyDescent="0.25">
      <c r="A1194" s="329">
        <v>45949</v>
      </c>
      <c r="B1194" s="5">
        <v>9</v>
      </c>
      <c r="D1194" s="5" t="s">
        <v>129</v>
      </c>
      <c r="E1194" s="6">
        <v>0.91</v>
      </c>
      <c r="G1194" s="362">
        <v>0</v>
      </c>
      <c r="H1194" s="362">
        <v>3</v>
      </c>
      <c r="I1194" s="8">
        <v>1.55</v>
      </c>
      <c r="L1194" s="5" t="s">
        <v>70</v>
      </c>
      <c r="N1194" s="345">
        <v>78</v>
      </c>
      <c r="O1194" s="38" t="s">
        <v>70</v>
      </c>
      <c r="P1194" s="5" t="s">
        <v>575</v>
      </c>
      <c r="Q1194" s="5" t="s">
        <v>576</v>
      </c>
      <c r="R1194" s="5" t="s">
        <v>696</v>
      </c>
      <c r="S1194" s="7">
        <v>67</v>
      </c>
      <c r="T1194" s="5" t="s">
        <v>41</v>
      </c>
      <c r="U1194" s="5" t="s">
        <v>43</v>
      </c>
      <c r="V1194" s="57" t="s">
        <v>10</v>
      </c>
      <c r="W1194" s="51">
        <v>0.39</v>
      </c>
      <c r="X1194" s="357">
        <v>0.22</v>
      </c>
      <c r="Y1194" s="351" t="s">
        <v>353</v>
      </c>
      <c r="Z1194" s="5" t="s">
        <v>48</v>
      </c>
      <c r="AA1194" s="112" t="s">
        <v>14</v>
      </c>
    </row>
    <row r="1195" spans="1:29" x14ac:dyDescent="0.25">
      <c r="A1195" s="329">
        <v>45949</v>
      </c>
      <c r="B1195" s="5">
        <v>9</v>
      </c>
      <c r="D1195" s="5" t="s">
        <v>129</v>
      </c>
      <c r="E1195" s="6">
        <v>0.91</v>
      </c>
      <c r="G1195" s="362">
        <v>0</v>
      </c>
      <c r="H1195" s="362">
        <v>3</v>
      </c>
      <c r="I1195" s="8">
        <v>1.55</v>
      </c>
      <c r="L1195" s="5" t="s">
        <v>70</v>
      </c>
      <c r="N1195" s="476">
        <v>83</v>
      </c>
      <c r="O1195" s="477" t="s">
        <v>129</v>
      </c>
      <c r="P1195" s="478" t="s">
        <v>434</v>
      </c>
      <c r="Q1195" s="478" t="s">
        <v>435</v>
      </c>
      <c r="R1195" s="478" t="s">
        <v>696</v>
      </c>
      <c r="S1195" s="479">
        <v>63</v>
      </c>
      <c r="T1195" s="478" t="s">
        <v>41</v>
      </c>
      <c r="U1195" s="478" t="s">
        <v>43</v>
      </c>
      <c r="V1195" s="480" t="s">
        <v>10</v>
      </c>
      <c r="W1195" s="51">
        <v>0.14000000000000001</v>
      </c>
      <c r="X1195" s="357">
        <v>0.12</v>
      </c>
      <c r="Z1195" s="5" t="s">
        <v>48</v>
      </c>
      <c r="AA1195" s="112" t="s">
        <v>14</v>
      </c>
    </row>
    <row r="1196" spans="1:29" x14ac:dyDescent="0.25">
      <c r="A1196" s="329">
        <v>45949</v>
      </c>
      <c r="B1196" s="5">
        <v>9</v>
      </c>
      <c r="D1196" s="5" t="s">
        <v>129</v>
      </c>
      <c r="E1196" s="6">
        <v>0.91</v>
      </c>
      <c r="G1196" s="362">
        <v>0</v>
      </c>
      <c r="H1196" s="362">
        <v>3</v>
      </c>
      <c r="I1196" s="8">
        <v>1.55</v>
      </c>
      <c r="L1196" s="5" t="s">
        <v>70</v>
      </c>
      <c r="N1196" s="476">
        <v>84</v>
      </c>
      <c r="O1196" s="477" t="s">
        <v>129</v>
      </c>
      <c r="P1196" s="478" t="s">
        <v>59</v>
      </c>
      <c r="Q1196" s="478" t="s">
        <v>191</v>
      </c>
      <c r="R1196" s="478" t="s">
        <v>717</v>
      </c>
      <c r="S1196" s="479">
        <v>62</v>
      </c>
      <c r="T1196" s="478" t="s">
        <v>41</v>
      </c>
      <c r="U1196" s="478" t="s">
        <v>45</v>
      </c>
      <c r="V1196" s="480" t="s">
        <v>29</v>
      </c>
      <c r="W1196" s="51">
        <v>0.14000000000000001</v>
      </c>
      <c r="X1196" s="357" t="s">
        <v>53</v>
      </c>
      <c r="Y1196" s="351" t="s">
        <v>353</v>
      </c>
      <c r="Z1196" s="5" t="s">
        <v>13</v>
      </c>
      <c r="AA1196" s="112" t="s">
        <v>14</v>
      </c>
    </row>
    <row r="1197" spans="1:29" x14ac:dyDescent="0.25">
      <c r="A1197" s="329">
        <v>45949</v>
      </c>
      <c r="B1197" s="5">
        <v>9</v>
      </c>
      <c r="D1197" s="5" t="s">
        <v>129</v>
      </c>
      <c r="E1197" s="6">
        <v>0.91</v>
      </c>
      <c r="G1197" s="362">
        <v>0</v>
      </c>
      <c r="H1197" s="362">
        <v>3</v>
      </c>
      <c r="I1197" s="8">
        <v>1.55</v>
      </c>
      <c r="L1197" s="5" t="s">
        <v>70</v>
      </c>
      <c r="N1197" s="345">
        <v>90</v>
      </c>
      <c r="O1197" s="38" t="s">
        <v>70</v>
      </c>
      <c r="P1197" s="5" t="s">
        <v>74</v>
      </c>
      <c r="Q1197" s="5" t="s">
        <v>75</v>
      </c>
      <c r="R1197" s="5" t="s">
        <v>696</v>
      </c>
      <c r="S1197" s="7">
        <v>71</v>
      </c>
      <c r="T1197" s="5" t="s">
        <v>44</v>
      </c>
      <c r="U1197" s="5" t="s">
        <v>43</v>
      </c>
      <c r="V1197" s="57" t="s">
        <v>10</v>
      </c>
      <c r="W1197" s="51">
        <v>0.15</v>
      </c>
      <c r="X1197" s="357" t="s">
        <v>53</v>
      </c>
      <c r="Y1197" s="351" t="s">
        <v>353</v>
      </c>
      <c r="Z1197" s="5" t="s">
        <v>13</v>
      </c>
      <c r="AA1197" s="112" t="s">
        <v>14</v>
      </c>
    </row>
    <row r="1198" spans="1:29" x14ac:dyDescent="0.25">
      <c r="A1198" s="329">
        <v>45949</v>
      </c>
      <c r="B1198" s="5">
        <v>9</v>
      </c>
      <c r="D1198" s="5" t="s">
        <v>129</v>
      </c>
      <c r="E1198" s="6">
        <v>0.91</v>
      </c>
      <c r="G1198" s="362">
        <v>0</v>
      </c>
      <c r="H1198" s="362">
        <v>3</v>
      </c>
      <c r="I1198" s="8">
        <v>1.55</v>
      </c>
      <c r="L1198" s="5" t="s">
        <v>70</v>
      </c>
      <c r="N1198" s="476" t="s">
        <v>415</v>
      </c>
      <c r="O1198" s="477" t="s">
        <v>129</v>
      </c>
      <c r="P1198" s="478" t="s">
        <v>241</v>
      </c>
      <c r="Q1198" s="478" t="s">
        <v>131</v>
      </c>
      <c r="R1198" s="478" t="s">
        <v>696</v>
      </c>
      <c r="S1198" s="479">
        <v>66</v>
      </c>
      <c r="T1198" s="478" t="s">
        <v>44</v>
      </c>
      <c r="U1198" s="478" t="s">
        <v>42</v>
      </c>
      <c r="V1198" s="480" t="s">
        <v>15</v>
      </c>
      <c r="W1198" s="51">
        <v>0.11</v>
      </c>
      <c r="X1198" s="357" t="s">
        <v>53</v>
      </c>
      <c r="Z1198" s="5" t="s">
        <v>52</v>
      </c>
      <c r="AA1198" s="112" t="s">
        <v>14</v>
      </c>
    </row>
    <row r="1199" spans="1:29" ht="15.75" thickBot="1" x14ac:dyDescent="0.3">
      <c r="A1199" s="338">
        <v>45949</v>
      </c>
      <c r="B1199" s="230">
        <v>9</v>
      </c>
      <c r="C1199" s="231"/>
      <c r="D1199" s="230" t="s">
        <v>129</v>
      </c>
      <c r="E1199" s="232">
        <v>0.91</v>
      </c>
      <c r="F1199" s="232"/>
      <c r="G1199" s="363">
        <v>0</v>
      </c>
      <c r="H1199" s="363">
        <v>3</v>
      </c>
      <c r="I1199" s="234">
        <v>1.55</v>
      </c>
      <c r="J1199" s="234"/>
      <c r="K1199" s="231"/>
      <c r="L1199" s="230" t="s">
        <v>70</v>
      </c>
      <c r="M1199" s="235"/>
      <c r="N1199" s="347"/>
      <c r="O1199" s="343" t="s">
        <v>129</v>
      </c>
      <c r="P1199" s="199" t="s">
        <v>731</v>
      </c>
      <c r="Q1199" s="199" t="s">
        <v>732</v>
      </c>
      <c r="R1199" s="199" t="s">
        <v>707</v>
      </c>
      <c r="S1199" s="7">
        <v>56</v>
      </c>
      <c r="T1199" s="199"/>
      <c r="U1199" s="199"/>
      <c r="V1199" s="201"/>
      <c r="W1199" s="202"/>
      <c r="X1199" s="359"/>
      <c r="Y1199" s="353">
        <f>H1199</f>
        <v>3</v>
      </c>
      <c r="Z1199" s="199"/>
      <c r="AA1199" s="204"/>
      <c r="AB1199" s="205"/>
      <c r="AC1199" s="201"/>
    </row>
    <row r="1200" spans="1:29" ht="15.75" thickBot="1" x14ac:dyDescent="0.3">
      <c r="A1200" s="338">
        <v>45949</v>
      </c>
      <c r="B1200" s="230">
        <v>9</v>
      </c>
      <c r="C1200" s="231"/>
      <c r="D1200" s="230" t="s">
        <v>129</v>
      </c>
      <c r="E1200" s="232">
        <v>0.91</v>
      </c>
      <c r="F1200" s="232"/>
      <c r="G1200" s="363">
        <v>0</v>
      </c>
      <c r="H1200" s="363">
        <v>3</v>
      </c>
      <c r="I1200" s="234">
        <v>1.55</v>
      </c>
      <c r="J1200" s="234"/>
      <c r="K1200" s="231"/>
      <c r="L1200" s="230" t="s">
        <v>70</v>
      </c>
      <c r="M1200" s="235"/>
      <c r="N1200" s="347"/>
      <c r="O1200" s="343" t="s">
        <v>70</v>
      </c>
      <c r="P1200" s="199" t="s">
        <v>714</v>
      </c>
      <c r="Q1200" s="199" t="s">
        <v>715</v>
      </c>
      <c r="R1200" s="199" t="s">
        <v>707</v>
      </c>
      <c r="S1200" s="7">
        <v>78</v>
      </c>
      <c r="T1200" s="199"/>
      <c r="U1200" s="199"/>
      <c r="V1200" s="201"/>
      <c r="W1200" s="202"/>
      <c r="X1200" s="359"/>
      <c r="Y1200" s="353">
        <f>G1199</f>
        <v>0</v>
      </c>
      <c r="Z1200" s="199"/>
      <c r="AA1200" s="204"/>
      <c r="AB1200" s="205"/>
      <c r="AC1200" s="201"/>
    </row>
    <row r="1201" spans="1:29" x14ac:dyDescent="0.25">
      <c r="A1201" s="329">
        <v>45949</v>
      </c>
      <c r="B1201" s="5">
        <v>9</v>
      </c>
      <c r="C1201" s="121" t="s">
        <v>701</v>
      </c>
      <c r="D1201" s="5" t="s">
        <v>161</v>
      </c>
      <c r="E1201" s="6">
        <v>0.48</v>
      </c>
      <c r="G1201" s="362">
        <v>0</v>
      </c>
      <c r="H1201" s="362">
        <v>1</v>
      </c>
      <c r="I1201" s="8">
        <v>1.96</v>
      </c>
      <c r="K1201" s="121" t="s">
        <v>693</v>
      </c>
      <c r="L1201" s="5" t="s">
        <v>226</v>
      </c>
      <c r="M1201" s="242" t="s">
        <v>758</v>
      </c>
      <c r="N1201" s="345">
        <v>42</v>
      </c>
      <c r="O1201" s="38" t="s">
        <v>226</v>
      </c>
      <c r="P1201" s="5" t="s">
        <v>53</v>
      </c>
      <c r="Q1201" s="5" t="s">
        <v>286</v>
      </c>
      <c r="R1201" s="5" t="s">
        <v>685</v>
      </c>
      <c r="S1201" s="7">
        <v>77</v>
      </c>
      <c r="T1201" s="5" t="s">
        <v>41</v>
      </c>
      <c r="U1201" s="5" t="s">
        <v>43</v>
      </c>
      <c r="V1201" s="57" t="s">
        <v>10</v>
      </c>
      <c r="W1201" s="51">
        <v>0.16</v>
      </c>
      <c r="X1201" s="357">
        <v>0.1</v>
      </c>
      <c r="Z1201" s="5" t="s">
        <v>48</v>
      </c>
      <c r="AA1201" s="112" t="s">
        <v>28</v>
      </c>
    </row>
    <row r="1202" spans="1:29" x14ac:dyDescent="0.25">
      <c r="A1202" s="329">
        <v>45949</v>
      </c>
      <c r="B1202" s="5">
        <v>9</v>
      </c>
      <c r="D1202" s="5" t="s">
        <v>161</v>
      </c>
      <c r="E1202" s="6">
        <v>0.48</v>
      </c>
      <c r="G1202" s="362">
        <v>0</v>
      </c>
      <c r="H1202" s="362">
        <v>1</v>
      </c>
      <c r="I1202" s="8">
        <v>1.96</v>
      </c>
      <c r="L1202" s="5" t="s">
        <v>226</v>
      </c>
      <c r="M1202" s="242" t="s">
        <v>758</v>
      </c>
      <c r="N1202" s="345">
        <v>44</v>
      </c>
      <c r="O1202" s="38" t="s">
        <v>226</v>
      </c>
      <c r="P1202" s="5" t="s">
        <v>236</v>
      </c>
      <c r="Q1202" s="5" t="s">
        <v>237</v>
      </c>
      <c r="R1202" s="5" t="s">
        <v>686</v>
      </c>
      <c r="S1202" s="7">
        <v>63</v>
      </c>
      <c r="T1202" s="5" t="s">
        <v>44</v>
      </c>
      <c r="U1202" s="5" t="s">
        <v>43</v>
      </c>
      <c r="V1202" s="57" t="s">
        <v>540</v>
      </c>
      <c r="W1202" s="51">
        <v>0.02</v>
      </c>
      <c r="X1202" s="357">
        <v>0.24</v>
      </c>
      <c r="Z1202" s="5" t="s">
        <v>48</v>
      </c>
      <c r="AA1202" s="112" t="s">
        <v>28</v>
      </c>
    </row>
    <row r="1203" spans="1:29" x14ac:dyDescent="0.25">
      <c r="A1203" s="329">
        <v>45949</v>
      </c>
      <c r="B1203" s="5">
        <v>9</v>
      </c>
      <c r="D1203" s="5" t="s">
        <v>161</v>
      </c>
      <c r="E1203" s="6">
        <v>0.48</v>
      </c>
      <c r="G1203" s="362">
        <v>0</v>
      </c>
      <c r="H1203" s="362">
        <v>1</v>
      </c>
      <c r="I1203" s="8">
        <v>1.96</v>
      </c>
      <c r="L1203" s="5" t="s">
        <v>226</v>
      </c>
      <c r="M1203" s="242" t="s">
        <v>758</v>
      </c>
      <c r="N1203" s="345">
        <v>54</v>
      </c>
      <c r="O1203" s="38" t="s">
        <v>226</v>
      </c>
      <c r="P1203" s="5" t="s">
        <v>486</v>
      </c>
      <c r="Q1203" s="5" t="s">
        <v>487</v>
      </c>
      <c r="R1203" s="5" t="s">
        <v>699</v>
      </c>
      <c r="S1203" s="7">
        <v>76</v>
      </c>
      <c r="T1203" s="5" t="s">
        <v>47</v>
      </c>
      <c r="U1203" s="5" t="s">
        <v>42</v>
      </c>
      <c r="V1203" s="57" t="s">
        <v>540</v>
      </c>
      <c r="W1203" s="51">
        <v>0.08</v>
      </c>
      <c r="X1203" s="357">
        <v>0.18</v>
      </c>
      <c r="Y1203" s="351" t="s">
        <v>353</v>
      </c>
      <c r="Z1203" s="5" t="s">
        <v>48</v>
      </c>
      <c r="AA1203" s="112" t="s">
        <v>28</v>
      </c>
    </row>
    <row r="1204" spans="1:29" x14ac:dyDescent="0.25">
      <c r="A1204" s="329">
        <v>45949</v>
      </c>
      <c r="B1204" s="5">
        <v>9</v>
      </c>
      <c r="D1204" s="5" t="s">
        <v>161</v>
      </c>
      <c r="E1204" s="6">
        <v>0.48</v>
      </c>
      <c r="G1204" s="362">
        <v>0</v>
      </c>
      <c r="H1204" s="362">
        <v>1</v>
      </c>
      <c r="I1204" s="8">
        <v>1.96</v>
      </c>
      <c r="L1204" s="5" t="s">
        <v>226</v>
      </c>
      <c r="M1204" s="242" t="s">
        <v>758</v>
      </c>
      <c r="N1204" s="345">
        <v>60</v>
      </c>
      <c r="O1204" s="38" t="s">
        <v>226</v>
      </c>
      <c r="P1204" s="5" t="s">
        <v>754</v>
      </c>
      <c r="Q1204" s="5" t="s">
        <v>755</v>
      </c>
      <c r="R1204" s="5" t="s">
        <v>696</v>
      </c>
      <c r="S1204" s="7">
        <v>67</v>
      </c>
      <c r="T1204" s="5" t="s">
        <v>41</v>
      </c>
      <c r="U1204" s="5" t="s">
        <v>45</v>
      </c>
      <c r="V1204" s="57" t="s">
        <v>20</v>
      </c>
      <c r="W1204" s="51">
        <v>0.1</v>
      </c>
      <c r="X1204" s="357" t="s">
        <v>53</v>
      </c>
      <c r="Z1204" s="5" t="s">
        <v>13</v>
      </c>
      <c r="AA1204" s="112" t="s">
        <v>28</v>
      </c>
    </row>
    <row r="1205" spans="1:29" x14ac:dyDescent="0.25">
      <c r="A1205" s="329">
        <v>45949</v>
      </c>
      <c r="B1205" s="5">
        <v>9</v>
      </c>
      <c r="D1205" s="5" t="s">
        <v>161</v>
      </c>
      <c r="E1205" s="6">
        <v>0.48</v>
      </c>
      <c r="G1205" s="362">
        <v>0</v>
      </c>
      <c r="H1205" s="362">
        <v>1</v>
      </c>
      <c r="I1205" s="8">
        <v>1.96</v>
      </c>
      <c r="L1205" s="5" t="s">
        <v>226</v>
      </c>
      <c r="M1205" s="242" t="s">
        <v>758</v>
      </c>
      <c r="N1205" s="345">
        <v>65</v>
      </c>
      <c r="O1205" s="38" t="s">
        <v>226</v>
      </c>
      <c r="P1205" s="5" t="s">
        <v>231</v>
      </c>
      <c r="Q1205" s="5" t="s">
        <v>232</v>
      </c>
      <c r="R1205" s="5" t="s">
        <v>684</v>
      </c>
      <c r="S1205" s="7">
        <v>77</v>
      </c>
      <c r="T1205" s="5" t="s">
        <v>41</v>
      </c>
      <c r="U1205" s="5" t="s">
        <v>42</v>
      </c>
      <c r="V1205" s="57" t="s">
        <v>10</v>
      </c>
      <c r="W1205" s="51">
        <v>7.0000000000000007E-2</v>
      </c>
      <c r="X1205" s="357" t="s">
        <v>53</v>
      </c>
      <c r="Z1205" s="5" t="s">
        <v>22</v>
      </c>
      <c r="AA1205" s="112" t="s">
        <v>28</v>
      </c>
    </row>
    <row r="1206" spans="1:29" x14ac:dyDescent="0.25">
      <c r="A1206" s="329">
        <v>45949</v>
      </c>
      <c r="B1206" s="5">
        <v>9</v>
      </c>
      <c r="D1206" s="5" t="s">
        <v>161</v>
      </c>
      <c r="E1206" s="6">
        <v>0.48</v>
      </c>
      <c r="G1206" s="362">
        <v>0</v>
      </c>
      <c r="H1206" s="362">
        <v>1</v>
      </c>
      <c r="I1206" s="8">
        <v>1.96</v>
      </c>
      <c r="L1206" s="5" t="s">
        <v>226</v>
      </c>
      <c r="M1206" s="242" t="s">
        <v>758</v>
      </c>
      <c r="N1206" s="345">
        <v>72</v>
      </c>
      <c r="O1206" s="38" t="s">
        <v>226</v>
      </c>
      <c r="P1206" s="5" t="s">
        <v>231</v>
      </c>
      <c r="Q1206" s="5" t="s">
        <v>232</v>
      </c>
      <c r="R1206" s="5" t="s">
        <v>684</v>
      </c>
      <c r="S1206" s="7">
        <v>77</v>
      </c>
      <c r="T1206" s="5" t="s">
        <v>44</v>
      </c>
      <c r="U1206" s="5" t="s">
        <v>42</v>
      </c>
      <c r="V1206" s="57" t="s">
        <v>15</v>
      </c>
      <c r="W1206" s="51">
        <v>0.17</v>
      </c>
      <c r="X1206" s="357" t="s">
        <v>53</v>
      </c>
      <c r="Z1206" s="5" t="s">
        <v>52</v>
      </c>
      <c r="AA1206" s="112" t="s">
        <v>28</v>
      </c>
    </row>
    <row r="1207" spans="1:29" x14ac:dyDescent="0.25">
      <c r="A1207" s="329">
        <v>45949</v>
      </c>
      <c r="B1207" s="5">
        <v>9</v>
      </c>
      <c r="D1207" s="5" t="s">
        <v>161</v>
      </c>
      <c r="E1207" s="6">
        <v>0.48</v>
      </c>
      <c r="G1207" s="362">
        <v>0</v>
      </c>
      <c r="H1207" s="362">
        <v>1</v>
      </c>
      <c r="I1207" s="8">
        <v>1.96</v>
      </c>
      <c r="L1207" s="5" t="s">
        <v>226</v>
      </c>
      <c r="M1207" s="242" t="s">
        <v>758</v>
      </c>
      <c r="N1207" s="345">
        <v>80</v>
      </c>
      <c r="O1207" s="38" t="s">
        <v>226</v>
      </c>
      <c r="P1207" s="5" t="s">
        <v>231</v>
      </c>
      <c r="Q1207" s="5" t="s">
        <v>232</v>
      </c>
      <c r="R1207" s="5" t="s">
        <v>684</v>
      </c>
      <c r="S1207" s="7">
        <v>77</v>
      </c>
      <c r="T1207" s="5" t="s">
        <v>41</v>
      </c>
      <c r="U1207" s="5" t="s">
        <v>42</v>
      </c>
      <c r="V1207" s="57" t="s">
        <v>10</v>
      </c>
      <c r="W1207" s="51">
        <v>0.4</v>
      </c>
      <c r="X1207" s="357">
        <v>0.63</v>
      </c>
      <c r="Y1207" s="351" t="s">
        <v>353</v>
      </c>
      <c r="Z1207" s="5" t="s">
        <v>8</v>
      </c>
      <c r="AA1207" s="112" t="s">
        <v>9</v>
      </c>
      <c r="AB1207" s="108" t="s">
        <v>56</v>
      </c>
      <c r="AC1207" s="57" t="s">
        <v>235</v>
      </c>
    </row>
    <row r="1208" spans="1:29" x14ac:dyDescent="0.25">
      <c r="A1208" s="329">
        <v>45949</v>
      </c>
      <c r="B1208" s="5">
        <v>9</v>
      </c>
      <c r="D1208" s="5" t="s">
        <v>161</v>
      </c>
      <c r="E1208" s="6">
        <v>0.48</v>
      </c>
      <c r="G1208" s="362">
        <v>0</v>
      </c>
      <c r="H1208" s="362">
        <v>1</v>
      </c>
      <c r="I1208" s="8">
        <v>1.96</v>
      </c>
      <c r="L1208" s="5" t="s">
        <v>226</v>
      </c>
      <c r="M1208" s="242" t="s">
        <v>758</v>
      </c>
      <c r="N1208" s="345">
        <v>82</v>
      </c>
      <c r="O1208" s="38" t="s">
        <v>226</v>
      </c>
      <c r="P1208" s="5" t="s">
        <v>231</v>
      </c>
      <c r="Q1208" s="5" t="s">
        <v>232</v>
      </c>
      <c r="R1208" s="5" t="s">
        <v>684</v>
      </c>
      <c r="S1208" s="7">
        <v>77</v>
      </c>
      <c r="T1208" s="5" t="s">
        <v>41</v>
      </c>
      <c r="U1208" s="5" t="s">
        <v>42</v>
      </c>
      <c r="V1208" s="57" t="s">
        <v>10</v>
      </c>
      <c r="W1208" s="51">
        <v>0.37</v>
      </c>
      <c r="X1208" s="357">
        <v>0.24</v>
      </c>
      <c r="Y1208" s="351" t="s">
        <v>353</v>
      </c>
      <c r="Z1208" s="5" t="s">
        <v>48</v>
      </c>
      <c r="AA1208" s="112" t="s">
        <v>9</v>
      </c>
    </row>
    <row r="1209" spans="1:29" x14ac:dyDescent="0.25">
      <c r="A1209" s="329">
        <v>45949</v>
      </c>
      <c r="B1209" s="5">
        <v>9</v>
      </c>
      <c r="D1209" s="5" t="s">
        <v>161</v>
      </c>
      <c r="E1209" s="6">
        <v>0.48</v>
      </c>
      <c r="G1209" s="362">
        <v>0</v>
      </c>
      <c r="H1209" s="362">
        <v>1</v>
      </c>
      <c r="I1209" s="8">
        <v>1.96</v>
      </c>
      <c r="L1209" s="5" t="s">
        <v>226</v>
      </c>
      <c r="M1209" s="242" t="s">
        <v>758</v>
      </c>
      <c r="N1209" s="476" t="s">
        <v>57</v>
      </c>
      <c r="O1209" s="477" t="s">
        <v>161</v>
      </c>
      <c r="P1209" s="478" t="s">
        <v>756</v>
      </c>
      <c r="Q1209" s="478" t="s">
        <v>757</v>
      </c>
      <c r="R1209" s="478" t="s">
        <v>696</v>
      </c>
      <c r="S1209" s="479">
        <v>60</v>
      </c>
      <c r="T1209" s="478" t="s">
        <v>41</v>
      </c>
      <c r="U1209" s="478" t="s">
        <v>43</v>
      </c>
      <c r="V1209" s="480" t="s">
        <v>10</v>
      </c>
      <c r="W1209" s="51">
        <v>0.28000000000000003</v>
      </c>
      <c r="X1209" s="357">
        <v>0.21</v>
      </c>
      <c r="Y1209" s="351" t="s">
        <v>353</v>
      </c>
      <c r="Z1209" s="5" t="s">
        <v>48</v>
      </c>
      <c r="AA1209" s="112" t="s">
        <v>9</v>
      </c>
    </row>
    <row r="1210" spans="1:29" ht="15.75" thickBot="1" x14ac:dyDescent="0.3">
      <c r="A1210" s="338">
        <v>45949</v>
      </c>
      <c r="B1210" s="230">
        <v>9</v>
      </c>
      <c r="C1210" s="231"/>
      <c r="D1210" s="230" t="s">
        <v>161</v>
      </c>
      <c r="E1210" s="232">
        <v>0.48</v>
      </c>
      <c r="F1210" s="232"/>
      <c r="G1210" s="363">
        <v>0</v>
      </c>
      <c r="H1210" s="363">
        <v>1</v>
      </c>
      <c r="I1210" s="234">
        <v>1.96</v>
      </c>
      <c r="J1210" s="234"/>
      <c r="K1210" s="231"/>
      <c r="L1210" s="230" t="s">
        <v>226</v>
      </c>
      <c r="M1210" s="235"/>
      <c r="N1210" s="347"/>
      <c r="O1210" s="343" t="s">
        <v>161</v>
      </c>
      <c r="P1210" s="199" t="s">
        <v>316</v>
      </c>
      <c r="Q1210" s="199" t="s">
        <v>721</v>
      </c>
      <c r="R1210" s="199" t="s">
        <v>707</v>
      </c>
      <c r="S1210" s="7">
        <v>74</v>
      </c>
      <c r="T1210" s="199"/>
      <c r="U1210" s="199"/>
      <c r="V1210" s="201"/>
      <c r="W1210" s="202"/>
      <c r="X1210" s="359"/>
      <c r="Y1210" s="353">
        <f>H1210</f>
        <v>1</v>
      </c>
      <c r="Z1210" s="199"/>
      <c r="AA1210" s="204"/>
      <c r="AB1210" s="205"/>
      <c r="AC1210" s="201"/>
    </row>
    <row r="1211" spans="1:29" ht="15.75" thickBot="1" x14ac:dyDescent="0.3">
      <c r="A1211" s="338">
        <v>45949</v>
      </c>
      <c r="B1211" s="230">
        <v>9</v>
      </c>
      <c r="C1211" s="231"/>
      <c r="D1211" s="230" t="s">
        <v>161</v>
      </c>
      <c r="E1211" s="232">
        <v>0.48</v>
      </c>
      <c r="F1211" s="232"/>
      <c r="G1211" s="363">
        <v>0</v>
      </c>
      <c r="H1211" s="363">
        <v>1</v>
      </c>
      <c r="I1211" s="234">
        <v>1.96</v>
      </c>
      <c r="J1211" s="234"/>
      <c r="K1211" s="231"/>
      <c r="L1211" s="230" t="s">
        <v>226</v>
      </c>
      <c r="M1211" s="235"/>
      <c r="N1211" s="347"/>
      <c r="O1211" s="343" t="s">
        <v>226</v>
      </c>
      <c r="P1211" s="199" t="s">
        <v>726</v>
      </c>
      <c r="Q1211" s="199" t="s">
        <v>727</v>
      </c>
      <c r="R1211" s="199" t="s">
        <v>707</v>
      </c>
      <c r="S1211" s="7">
        <v>66</v>
      </c>
      <c r="T1211" s="199"/>
      <c r="U1211" s="199"/>
      <c r="V1211" s="201"/>
      <c r="W1211" s="202"/>
      <c r="X1211" s="359"/>
      <c r="Y1211" s="353">
        <f>G1210</f>
        <v>0</v>
      </c>
      <c r="Z1211" s="199"/>
      <c r="AA1211" s="204"/>
      <c r="AB1211" s="205"/>
      <c r="AC1211" s="201"/>
    </row>
    <row r="1212" spans="1:29" x14ac:dyDescent="0.25">
      <c r="A1212" s="329">
        <v>45950</v>
      </c>
      <c r="B1212" s="5">
        <v>9</v>
      </c>
      <c r="C1212" s="121" t="s">
        <v>706</v>
      </c>
      <c r="D1212" s="5" t="s">
        <v>128</v>
      </c>
      <c r="E1212" s="6">
        <v>0.74</v>
      </c>
      <c r="G1212" s="362">
        <v>0</v>
      </c>
      <c r="H1212" s="362">
        <v>0</v>
      </c>
      <c r="I1212" s="8">
        <v>0.45</v>
      </c>
      <c r="K1212" s="121" t="s">
        <v>694</v>
      </c>
      <c r="L1212" s="5" t="s">
        <v>145</v>
      </c>
      <c r="N1212" s="345">
        <v>2</v>
      </c>
      <c r="O1212" s="38" t="s">
        <v>145</v>
      </c>
      <c r="P1212" s="5" t="s">
        <v>271</v>
      </c>
      <c r="Q1212" s="5" t="s">
        <v>272</v>
      </c>
      <c r="R1212" s="5" t="s">
        <v>685</v>
      </c>
      <c r="S1212" s="7">
        <v>63</v>
      </c>
      <c r="T1212" s="5" t="s">
        <v>47</v>
      </c>
      <c r="U1212" s="5" t="s">
        <v>43</v>
      </c>
      <c r="V1212" s="57" t="s">
        <v>10</v>
      </c>
      <c r="W1212" s="51">
        <v>0.28000000000000003</v>
      </c>
      <c r="X1212" s="357" t="s">
        <v>53</v>
      </c>
      <c r="Y1212" s="351" t="s">
        <v>353</v>
      </c>
      <c r="Z1212" s="5" t="s">
        <v>13</v>
      </c>
      <c r="AA1212" s="112" t="s">
        <v>28</v>
      </c>
    </row>
    <row r="1213" spans="1:29" x14ac:dyDescent="0.25">
      <c r="A1213" s="329">
        <v>45950</v>
      </c>
      <c r="B1213" s="5">
        <v>9</v>
      </c>
      <c r="D1213" s="5" t="s">
        <v>128</v>
      </c>
      <c r="E1213" s="6">
        <v>0.74</v>
      </c>
      <c r="G1213" s="362">
        <v>0</v>
      </c>
      <c r="H1213" s="362">
        <v>0</v>
      </c>
      <c r="I1213" s="8">
        <v>0.45</v>
      </c>
      <c r="L1213" s="5" t="s">
        <v>145</v>
      </c>
      <c r="N1213" s="345">
        <v>18</v>
      </c>
      <c r="O1213" s="38" t="s">
        <v>145</v>
      </c>
      <c r="P1213" s="5" t="s">
        <v>271</v>
      </c>
      <c r="Q1213" s="5" t="s">
        <v>272</v>
      </c>
      <c r="R1213" s="5" t="s">
        <v>685</v>
      </c>
      <c r="S1213" s="7">
        <v>63</v>
      </c>
      <c r="T1213" s="5" t="s">
        <v>41</v>
      </c>
      <c r="U1213" s="5" t="s">
        <v>42</v>
      </c>
      <c r="V1213" s="57" t="s">
        <v>10</v>
      </c>
      <c r="W1213" s="51">
        <v>0.05</v>
      </c>
      <c r="X1213" s="357">
        <v>0.35</v>
      </c>
      <c r="Z1213" s="5" t="s">
        <v>48</v>
      </c>
      <c r="AA1213" s="112" t="s">
        <v>28</v>
      </c>
    </row>
    <row r="1214" spans="1:29" x14ac:dyDescent="0.25">
      <c r="A1214" s="329">
        <v>45950</v>
      </c>
      <c r="B1214" s="5">
        <v>9</v>
      </c>
      <c r="D1214" s="5" t="s">
        <v>128</v>
      </c>
      <c r="E1214" s="6">
        <v>0.74</v>
      </c>
      <c r="G1214" s="362">
        <v>0</v>
      </c>
      <c r="H1214" s="362">
        <v>0</v>
      </c>
      <c r="I1214" s="8">
        <v>0.45</v>
      </c>
      <c r="L1214" s="5" t="s">
        <v>145</v>
      </c>
      <c r="N1214" s="476">
        <v>28</v>
      </c>
      <c r="O1214" s="477" t="s">
        <v>128</v>
      </c>
      <c r="P1214" s="478" t="s">
        <v>504</v>
      </c>
      <c r="Q1214" s="478" t="s">
        <v>520</v>
      </c>
      <c r="R1214" s="478" t="s">
        <v>717</v>
      </c>
      <c r="S1214" s="479">
        <v>61</v>
      </c>
      <c r="T1214" s="478" t="s">
        <v>41</v>
      </c>
      <c r="U1214" s="478" t="s">
        <v>42</v>
      </c>
      <c r="V1214" s="480" t="s">
        <v>10</v>
      </c>
      <c r="W1214" s="51">
        <v>7.0000000000000007E-2</v>
      </c>
      <c r="X1214" s="357" t="s">
        <v>53</v>
      </c>
      <c r="Z1214" s="5" t="s">
        <v>55</v>
      </c>
      <c r="AA1214" s="112" t="s">
        <v>28</v>
      </c>
    </row>
    <row r="1215" spans="1:29" x14ac:dyDescent="0.25">
      <c r="A1215" s="329">
        <v>45950</v>
      </c>
      <c r="B1215" s="5">
        <v>9</v>
      </c>
      <c r="D1215" s="5" t="s">
        <v>128</v>
      </c>
      <c r="E1215" s="6">
        <v>0.74</v>
      </c>
      <c r="G1215" s="362">
        <v>0</v>
      </c>
      <c r="H1215" s="362">
        <v>0</v>
      </c>
      <c r="I1215" s="8">
        <v>0.45</v>
      </c>
      <c r="L1215" s="5" t="s">
        <v>145</v>
      </c>
      <c r="N1215" s="476">
        <v>29</v>
      </c>
      <c r="O1215" s="477" t="s">
        <v>128</v>
      </c>
      <c r="P1215" s="478" t="s">
        <v>504</v>
      </c>
      <c r="Q1215" s="478" t="s">
        <v>520</v>
      </c>
      <c r="R1215" s="478" t="s">
        <v>717</v>
      </c>
      <c r="S1215" s="479">
        <v>61</v>
      </c>
      <c r="T1215" s="478" t="s">
        <v>41</v>
      </c>
      <c r="U1215" s="478" t="s">
        <v>43</v>
      </c>
      <c r="V1215" s="480" t="s">
        <v>29</v>
      </c>
      <c r="W1215" s="51">
        <v>0.12</v>
      </c>
      <c r="X1215" s="357" t="s">
        <v>53</v>
      </c>
      <c r="Z1215" s="5" t="s">
        <v>52</v>
      </c>
      <c r="AA1215" s="112" t="s">
        <v>28</v>
      </c>
    </row>
    <row r="1216" spans="1:29" x14ac:dyDescent="0.25">
      <c r="A1216" s="329">
        <v>45950</v>
      </c>
      <c r="B1216" s="5">
        <v>9</v>
      </c>
      <c r="D1216" s="5" t="s">
        <v>128</v>
      </c>
      <c r="E1216" s="6">
        <v>0.74</v>
      </c>
      <c r="G1216" s="362">
        <v>0</v>
      </c>
      <c r="H1216" s="362">
        <v>0</v>
      </c>
      <c r="I1216" s="8">
        <v>0.45</v>
      </c>
      <c r="L1216" s="5" t="s">
        <v>145</v>
      </c>
      <c r="N1216" s="476">
        <v>31</v>
      </c>
      <c r="O1216" s="477" t="s">
        <v>128</v>
      </c>
      <c r="P1216" s="478" t="s">
        <v>504</v>
      </c>
      <c r="Q1216" s="478" t="s">
        <v>520</v>
      </c>
      <c r="R1216" s="478" t="s">
        <v>717</v>
      </c>
      <c r="S1216" s="479">
        <v>61</v>
      </c>
      <c r="T1216" s="478" t="s">
        <v>41</v>
      </c>
      <c r="U1216" s="478" t="s">
        <v>42</v>
      </c>
      <c r="V1216" s="480" t="s">
        <v>10</v>
      </c>
      <c r="W1216" s="51">
        <v>0.06</v>
      </c>
      <c r="X1216" s="357">
        <v>0.13</v>
      </c>
      <c r="Z1216" s="5" t="s">
        <v>48</v>
      </c>
      <c r="AA1216" s="112" t="s">
        <v>28</v>
      </c>
    </row>
    <row r="1217" spans="1:29" x14ac:dyDescent="0.25">
      <c r="A1217" s="329">
        <v>45950</v>
      </c>
      <c r="B1217" s="5">
        <v>9</v>
      </c>
      <c r="D1217" s="5" t="s">
        <v>128</v>
      </c>
      <c r="E1217" s="6">
        <v>0.74</v>
      </c>
      <c r="G1217" s="362">
        <v>0</v>
      </c>
      <c r="H1217" s="362">
        <v>0</v>
      </c>
      <c r="I1217" s="8">
        <v>0.45</v>
      </c>
      <c r="L1217" s="5" t="s">
        <v>145</v>
      </c>
      <c r="N1217" s="476">
        <v>31</v>
      </c>
      <c r="O1217" s="477" t="s">
        <v>128</v>
      </c>
      <c r="P1217" s="478" t="s">
        <v>504</v>
      </c>
      <c r="Q1217" s="478" t="s">
        <v>520</v>
      </c>
      <c r="R1217" s="478" t="s">
        <v>717</v>
      </c>
      <c r="S1217" s="479">
        <v>61</v>
      </c>
      <c r="T1217" s="478" t="s">
        <v>47</v>
      </c>
      <c r="U1217" s="478" t="s">
        <v>42</v>
      </c>
      <c r="V1217" s="480" t="s">
        <v>540</v>
      </c>
      <c r="W1217" s="51">
        <v>0.08</v>
      </c>
      <c r="X1217" s="357" t="s">
        <v>53</v>
      </c>
      <c r="Z1217" s="5" t="s">
        <v>22</v>
      </c>
      <c r="AA1217" s="112" t="s">
        <v>28</v>
      </c>
    </row>
    <row r="1218" spans="1:29" x14ac:dyDescent="0.25">
      <c r="A1218" s="329">
        <v>45950</v>
      </c>
      <c r="B1218" s="5">
        <v>9</v>
      </c>
      <c r="D1218" s="5" t="s">
        <v>128</v>
      </c>
      <c r="E1218" s="6">
        <v>0.74</v>
      </c>
      <c r="G1218" s="362">
        <v>0</v>
      </c>
      <c r="H1218" s="362">
        <v>0</v>
      </c>
      <c r="I1218" s="8">
        <v>0.45</v>
      </c>
      <c r="L1218" s="5" t="s">
        <v>145</v>
      </c>
      <c r="N1218" s="476">
        <v>34</v>
      </c>
      <c r="O1218" s="477" t="s">
        <v>128</v>
      </c>
      <c r="P1218" s="478" t="s">
        <v>241</v>
      </c>
      <c r="Q1218" s="478" t="s">
        <v>567</v>
      </c>
      <c r="R1218" s="478" t="s">
        <v>695</v>
      </c>
      <c r="S1218" s="479">
        <v>74</v>
      </c>
      <c r="T1218" s="478" t="s">
        <v>44</v>
      </c>
      <c r="U1218" s="478" t="s">
        <v>42</v>
      </c>
      <c r="V1218" s="480" t="s">
        <v>10</v>
      </c>
      <c r="W1218" s="51">
        <v>0.04</v>
      </c>
      <c r="X1218" s="357">
        <v>0.12</v>
      </c>
      <c r="Z1218" s="5" t="s">
        <v>48</v>
      </c>
      <c r="AA1218" s="112" t="s">
        <v>28</v>
      </c>
    </row>
    <row r="1219" spans="1:29" x14ac:dyDescent="0.25">
      <c r="A1219" s="329">
        <v>45950</v>
      </c>
      <c r="B1219" s="5">
        <v>9</v>
      </c>
      <c r="D1219" s="5" t="s">
        <v>128</v>
      </c>
      <c r="E1219" s="6">
        <v>0.74</v>
      </c>
      <c r="G1219" s="362">
        <v>0</v>
      </c>
      <c r="H1219" s="362">
        <v>0</v>
      </c>
      <c r="I1219" s="8">
        <v>0.45</v>
      </c>
      <c r="L1219" s="5" t="s">
        <v>145</v>
      </c>
      <c r="N1219" s="476">
        <v>50</v>
      </c>
      <c r="O1219" s="477" t="s">
        <v>128</v>
      </c>
      <c r="P1219" s="478" t="s">
        <v>130</v>
      </c>
      <c r="Q1219" s="478" t="s">
        <v>131</v>
      </c>
      <c r="R1219" s="478" t="s">
        <v>718</v>
      </c>
      <c r="S1219" s="479">
        <v>69</v>
      </c>
      <c r="T1219" s="478" t="s">
        <v>41</v>
      </c>
      <c r="U1219" s="478" t="s">
        <v>42</v>
      </c>
      <c r="V1219" s="480" t="s">
        <v>10</v>
      </c>
      <c r="W1219" s="51">
        <v>0.02</v>
      </c>
      <c r="X1219" s="357" t="s">
        <v>53</v>
      </c>
      <c r="Z1219" s="5" t="s">
        <v>22</v>
      </c>
      <c r="AA1219" s="112" t="s">
        <v>28</v>
      </c>
    </row>
    <row r="1220" spans="1:29" x14ac:dyDescent="0.25">
      <c r="A1220" s="329">
        <v>45950</v>
      </c>
      <c r="B1220" s="5">
        <v>9</v>
      </c>
      <c r="D1220" s="5" t="s">
        <v>128</v>
      </c>
      <c r="E1220" s="6">
        <v>0.74</v>
      </c>
      <c r="G1220" s="362">
        <v>0</v>
      </c>
      <c r="H1220" s="362">
        <v>0</v>
      </c>
      <c r="I1220" s="8">
        <v>0.45</v>
      </c>
      <c r="L1220" s="5" t="s">
        <v>145</v>
      </c>
      <c r="N1220" s="476">
        <v>54</v>
      </c>
      <c r="O1220" s="477" t="s">
        <v>128</v>
      </c>
      <c r="P1220" s="478" t="s">
        <v>130</v>
      </c>
      <c r="Q1220" s="478" t="s">
        <v>131</v>
      </c>
      <c r="R1220" s="478" t="s">
        <v>718</v>
      </c>
      <c r="S1220" s="479">
        <v>69</v>
      </c>
      <c r="T1220" s="478" t="s">
        <v>41</v>
      </c>
      <c r="U1220" s="478" t="s">
        <v>45</v>
      </c>
      <c r="V1220" s="480" t="s">
        <v>33</v>
      </c>
      <c r="W1220" s="51">
        <v>0.09</v>
      </c>
      <c r="X1220" s="357">
        <v>0.1</v>
      </c>
      <c r="Y1220" s="351" t="s">
        <v>353</v>
      </c>
      <c r="Z1220" s="5" t="s">
        <v>48</v>
      </c>
      <c r="AA1220" s="112" t="s">
        <v>28</v>
      </c>
    </row>
    <row r="1221" spans="1:29" x14ac:dyDescent="0.25">
      <c r="A1221" s="329">
        <v>45950</v>
      </c>
      <c r="B1221" s="5">
        <v>9</v>
      </c>
      <c r="D1221" s="5" t="s">
        <v>128</v>
      </c>
      <c r="E1221" s="6">
        <v>0.74</v>
      </c>
      <c r="G1221" s="362">
        <v>0</v>
      </c>
      <c r="H1221" s="362">
        <v>0</v>
      </c>
      <c r="I1221" s="8">
        <v>0.45</v>
      </c>
      <c r="L1221" s="5" t="s">
        <v>145</v>
      </c>
      <c r="N1221" s="345">
        <v>87</v>
      </c>
      <c r="O1221" s="38" t="s">
        <v>145</v>
      </c>
      <c r="P1221" s="5" t="s">
        <v>124</v>
      </c>
      <c r="Q1221" s="5" t="s">
        <v>652</v>
      </c>
      <c r="R1221" s="5" t="s">
        <v>696</v>
      </c>
      <c r="S1221" s="7">
        <v>62</v>
      </c>
      <c r="T1221" s="5" t="s">
        <v>354</v>
      </c>
      <c r="U1221" s="5" t="s">
        <v>43</v>
      </c>
      <c r="V1221" s="57" t="s">
        <v>540</v>
      </c>
      <c r="W1221" s="51">
        <v>0.02</v>
      </c>
      <c r="X1221" s="357">
        <v>0.1</v>
      </c>
      <c r="Z1221" s="5" t="s">
        <v>48</v>
      </c>
      <c r="AA1221" s="112" t="s">
        <v>28</v>
      </c>
    </row>
    <row r="1222" spans="1:29" ht="15.75" thickBot="1" x14ac:dyDescent="0.3">
      <c r="A1222" s="338">
        <v>45950</v>
      </c>
      <c r="B1222" s="230">
        <v>9</v>
      </c>
      <c r="C1222" s="231"/>
      <c r="D1222" s="230" t="s">
        <v>128</v>
      </c>
      <c r="E1222" s="232">
        <v>0.74</v>
      </c>
      <c r="F1222" s="232"/>
      <c r="G1222" s="363">
        <v>0</v>
      </c>
      <c r="H1222" s="363">
        <v>0</v>
      </c>
      <c r="I1222" s="234">
        <v>0.45</v>
      </c>
      <c r="J1222" s="234"/>
      <c r="K1222" s="231"/>
      <c r="L1222" s="230" t="s">
        <v>145</v>
      </c>
      <c r="M1222" s="235"/>
      <c r="N1222" s="347"/>
      <c r="O1222" s="343" t="s">
        <v>128</v>
      </c>
      <c r="P1222" s="199" t="s">
        <v>206</v>
      </c>
      <c r="Q1222" s="199" t="s">
        <v>476</v>
      </c>
      <c r="R1222" s="199" t="s">
        <v>707</v>
      </c>
      <c r="S1222" s="7">
        <v>68</v>
      </c>
      <c r="T1222" s="199"/>
      <c r="U1222" s="199"/>
      <c r="V1222" s="201"/>
      <c r="W1222" s="202"/>
      <c r="X1222" s="359"/>
      <c r="Y1222" s="353">
        <f>H1222</f>
        <v>0</v>
      </c>
      <c r="Z1222" s="199"/>
      <c r="AA1222" s="204"/>
      <c r="AB1222" s="205"/>
      <c r="AC1222" s="201"/>
    </row>
    <row r="1223" spans="1:29" ht="15.75" thickBot="1" x14ac:dyDescent="0.3">
      <c r="A1223" s="338">
        <v>45950</v>
      </c>
      <c r="B1223" s="230">
        <v>9</v>
      </c>
      <c r="C1223" s="231"/>
      <c r="D1223" s="230" t="s">
        <v>128</v>
      </c>
      <c r="E1223" s="232">
        <v>0.74</v>
      </c>
      <c r="F1223" s="232"/>
      <c r="G1223" s="363">
        <v>0</v>
      </c>
      <c r="H1223" s="363">
        <v>0</v>
      </c>
      <c r="I1223" s="234">
        <v>0.45</v>
      </c>
      <c r="J1223" s="234"/>
      <c r="K1223" s="231"/>
      <c r="L1223" s="230" t="s">
        <v>145</v>
      </c>
      <c r="M1223" s="235"/>
      <c r="N1223" s="347"/>
      <c r="O1223" s="343" t="s">
        <v>145</v>
      </c>
      <c r="P1223" s="199" t="s">
        <v>482</v>
      </c>
      <c r="Q1223" s="199" t="s">
        <v>483</v>
      </c>
      <c r="R1223" s="199" t="s">
        <v>707</v>
      </c>
      <c r="S1223" s="7">
        <v>73</v>
      </c>
      <c r="T1223" s="199"/>
      <c r="U1223" s="199"/>
      <c r="V1223" s="201"/>
      <c r="W1223" s="202"/>
      <c r="X1223" s="359"/>
      <c r="Y1223" s="353">
        <f>G1222</f>
        <v>0</v>
      </c>
      <c r="Z1223" s="199"/>
      <c r="AA1223" s="204"/>
      <c r="AB1223" s="205"/>
      <c r="AC1223" s="201"/>
    </row>
    <row r="1224" spans="1:29" x14ac:dyDescent="0.25">
      <c r="A1224" s="329">
        <v>45954</v>
      </c>
      <c r="B1224" s="5">
        <v>10</v>
      </c>
      <c r="C1224" s="121" t="s">
        <v>693</v>
      </c>
      <c r="D1224" s="5" t="s">
        <v>146</v>
      </c>
      <c r="E1224" s="6">
        <v>1.61</v>
      </c>
      <c r="G1224" s="362">
        <v>2</v>
      </c>
      <c r="H1224" s="362">
        <v>1</v>
      </c>
      <c r="I1224" s="8">
        <v>0.23</v>
      </c>
      <c r="K1224" s="121" t="s">
        <v>693</v>
      </c>
      <c r="L1224" s="5" t="s">
        <v>171</v>
      </c>
      <c r="N1224" s="476">
        <v>19</v>
      </c>
      <c r="O1224" s="477" t="s">
        <v>146</v>
      </c>
      <c r="P1224" s="478" t="s">
        <v>805</v>
      </c>
      <c r="Q1224" s="478" t="s">
        <v>160</v>
      </c>
      <c r="R1224" s="478" t="s">
        <v>684</v>
      </c>
      <c r="S1224" s="7">
        <v>83</v>
      </c>
      <c r="T1224" s="478" t="s">
        <v>41</v>
      </c>
      <c r="U1224" s="478" t="s">
        <v>43</v>
      </c>
      <c r="V1224" s="480" t="s">
        <v>7</v>
      </c>
      <c r="W1224" s="51">
        <v>0.79</v>
      </c>
      <c r="X1224" s="357">
        <v>0.92</v>
      </c>
      <c r="Y1224" s="351" t="s">
        <v>353</v>
      </c>
      <c r="Z1224" s="5" t="s">
        <v>8</v>
      </c>
      <c r="AA1224" s="112" t="s">
        <v>19</v>
      </c>
    </row>
    <row r="1225" spans="1:29" x14ac:dyDescent="0.25">
      <c r="A1225" s="329">
        <v>45954</v>
      </c>
      <c r="B1225" s="5">
        <v>10</v>
      </c>
      <c r="D1225" s="5" t="s">
        <v>146</v>
      </c>
      <c r="E1225" s="6">
        <v>1.61</v>
      </c>
      <c r="G1225" s="362">
        <v>2</v>
      </c>
      <c r="H1225" s="362">
        <v>1</v>
      </c>
      <c r="I1225" s="8">
        <v>0.23</v>
      </c>
      <c r="L1225" s="5" t="s">
        <v>171</v>
      </c>
      <c r="N1225" s="345">
        <v>30</v>
      </c>
      <c r="O1225" s="38" t="s">
        <v>171</v>
      </c>
      <c r="P1225" s="5" t="s">
        <v>808</v>
      </c>
      <c r="Q1225" s="5" t="s">
        <v>184</v>
      </c>
      <c r="R1225" s="5" t="s">
        <v>687</v>
      </c>
      <c r="S1225" s="7">
        <v>77</v>
      </c>
      <c r="T1225" s="5" t="s">
        <v>44</v>
      </c>
      <c r="U1225" s="5" t="s">
        <v>43</v>
      </c>
      <c r="V1225" s="57" t="s">
        <v>33</v>
      </c>
      <c r="W1225" s="51">
        <v>0.05</v>
      </c>
      <c r="X1225" s="357">
        <v>0.52</v>
      </c>
      <c r="Z1225" s="5" t="s">
        <v>8</v>
      </c>
      <c r="AA1225" s="112" t="s">
        <v>51</v>
      </c>
      <c r="AB1225" s="108" t="s">
        <v>812</v>
      </c>
      <c r="AC1225" s="57" t="s">
        <v>813</v>
      </c>
    </row>
    <row r="1226" spans="1:29" x14ac:dyDescent="0.25">
      <c r="A1226" s="329">
        <v>45954</v>
      </c>
      <c r="B1226" s="5">
        <v>10</v>
      </c>
      <c r="D1226" s="5" t="s">
        <v>146</v>
      </c>
      <c r="E1226" s="6">
        <v>1.61</v>
      </c>
      <c r="G1226" s="362">
        <v>2</v>
      </c>
      <c r="H1226" s="362">
        <v>1</v>
      </c>
      <c r="I1226" s="8">
        <v>0.23</v>
      </c>
      <c r="L1226" s="5" t="s">
        <v>171</v>
      </c>
      <c r="N1226" s="476">
        <v>36</v>
      </c>
      <c r="O1226" s="477" t="s">
        <v>146</v>
      </c>
      <c r="P1226" s="478" t="s">
        <v>805</v>
      </c>
      <c r="Q1226" s="478" t="s">
        <v>160</v>
      </c>
      <c r="R1226" s="478" t="s">
        <v>684</v>
      </c>
      <c r="S1226" s="7">
        <v>83</v>
      </c>
      <c r="T1226" s="478" t="s">
        <v>41</v>
      </c>
      <c r="U1226" s="478" t="s">
        <v>43</v>
      </c>
      <c r="V1226" s="480" t="s">
        <v>540</v>
      </c>
      <c r="W1226" s="51">
        <v>0.04</v>
      </c>
      <c r="X1226" s="357">
        <v>0.23</v>
      </c>
      <c r="Z1226" s="5" t="s">
        <v>8</v>
      </c>
      <c r="AA1226" s="112" t="s">
        <v>34</v>
      </c>
    </row>
    <row r="1227" spans="1:29" x14ac:dyDescent="0.25">
      <c r="A1227" s="329">
        <v>45954</v>
      </c>
      <c r="B1227" s="5">
        <v>10</v>
      </c>
      <c r="D1227" s="5" t="s">
        <v>146</v>
      </c>
      <c r="E1227" s="6">
        <v>1.61</v>
      </c>
      <c r="G1227" s="362">
        <v>2</v>
      </c>
      <c r="H1227" s="362">
        <v>1</v>
      </c>
      <c r="I1227" s="8">
        <v>0.23</v>
      </c>
      <c r="L1227" s="5" t="s">
        <v>171</v>
      </c>
      <c r="N1227" s="476" t="s">
        <v>63</v>
      </c>
      <c r="O1227" s="477" t="s">
        <v>146</v>
      </c>
      <c r="P1227" s="478" t="s">
        <v>806</v>
      </c>
      <c r="Q1227" s="478" t="s">
        <v>376</v>
      </c>
      <c r="R1227" s="478" t="s">
        <v>696</v>
      </c>
      <c r="S1227" s="7">
        <v>65</v>
      </c>
      <c r="T1227" s="478" t="s">
        <v>47</v>
      </c>
      <c r="U1227" s="478" t="s">
        <v>43</v>
      </c>
      <c r="V1227" s="480" t="s">
        <v>10</v>
      </c>
      <c r="W1227" s="51">
        <v>0.15</v>
      </c>
      <c r="X1227" s="357">
        <v>0.45</v>
      </c>
      <c r="Y1227" s="351" t="s">
        <v>353</v>
      </c>
      <c r="Z1227" s="5" t="s">
        <v>48</v>
      </c>
      <c r="AA1227" s="112" t="s">
        <v>34</v>
      </c>
    </row>
    <row r="1228" spans="1:29" x14ac:dyDescent="0.25">
      <c r="A1228" s="329">
        <v>45954</v>
      </c>
      <c r="B1228" s="5">
        <v>10</v>
      </c>
      <c r="D1228" s="5" t="s">
        <v>146</v>
      </c>
      <c r="E1228" s="6">
        <v>1.61</v>
      </c>
      <c r="G1228" s="362">
        <v>2</v>
      </c>
      <c r="H1228" s="362">
        <v>1</v>
      </c>
      <c r="I1228" s="8">
        <v>0.23</v>
      </c>
      <c r="L1228" s="5" t="s">
        <v>171</v>
      </c>
      <c r="N1228" s="476">
        <v>83</v>
      </c>
      <c r="O1228" s="477" t="s">
        <v>146</v>
      </c>
      <c r="P1228" s="478" t="s">
        <v>807</v>
      </c>
      <c r="Q1228" s="478" t="s">
        <v>422</v>
      </c>
      <c r="R1228" s="478" t="s">
        <v>688</v>
      </c>
      <c r="S1228" s="7">
        <v>64</v>
      </c>
      <c r="T1228" s="478" t="s">
        <v>41</v>
      </c>
      <c r="U1228" s="478" t="s">
        <v>43</v>
      </c>
      <c r="V1228" s="480" t="s">
        <v>540</v>
      </c>
      <c r="W1228" s="51">
        <v>0.54</v>
      </c>
      <c r="X1228" s="357" t="s">
        <v>53</v>
      </c>
      <c r="Y1228" s="351" t="s">
        <v>353</v>
      </c>
      <c r="Z1228" s="5" t="s">
        <v>22</v>
      </c>
      <c r="AA1228" s="112" t="s">
        <v>34</v>
      </c>
    </row>
    <row r="1229" spans="1:29" x14ac:dyDescent="0.25">
      <c r="A1229" s="329">
        <v>45954</v>
      </c>
      <c r="B1229" s="5">
        <v>10</v>
      </c>
      <c r="D1229" s="5" t="s">
        <v>146</v>
      </c>
      <c r="E1229" s="6">
        <v>1.61</v>
      </c>
      <c r="G1229" s="362">
        <v>2</v>
      </c>
      <c r="H1229" s="362">
        <v>1</v>
      </c>
      <c r="I1229" s="8">
        <v>0.23</v>
      </c>
      <c r="L1229" s="5" t="s">
        <v>171</v>
      </c>
      <c r="N1229" s="345">
        <v>90</v>
      </c>
      <c r="O1229" s="38" t="s">
        <v>171</v>
      </c>
      <c r="P1229" s="5" t="s">
        <v>809</v>
      </c>
      <c r="Q1229" s="5" t="s">
        <v>329</v>
      </c>
      <c r="R1229" s="5" t="s">
        <v>685</v>
      </c>
      <c r="S1229" s="7">
        <v>59</v>
      </c>
      <c r="T1229" s="5" t="s">
        <v>41</v>
      </c>
      <c r="U1229" s="5" t="s">
        <v>45</v>
      </c>
      <c r="V1229" s="57" t="s">
        <v>10</v>
      </c>
      <c r="W1229" s="51">
        <v>0.04</v>
      </c>
      <c r="X1229" s="357" t="s">
        <v>53</v>
      </c>
      <c r="Z1229" s="5" t="s">
        <v>16</v>
      </c>
      <c r="AA1229" s="112" t="s">
        <v>34</v>
      </c>
    </row>
    <row r="1230" spans="1:29" ht="15.75" thickBot="1" x14ac:dyDescent="0.3">
      <c r="A1230" s="400">
        <v>45954</v>
      </c>
      <c r="B1230" s="401">
        <v>10</v>
      </c>
      <c r="C1230" s="474"/>
      <c r="D1230" s="401" t="s">
        <v>146</v>
      </c>
      <c r="E1230" s="404">
        <v>1.61</v>
      </c>
      <c r="F1230" s="404"/>
      <c r="G1230" s="363">
        <v>2</v>
      </c>
      <c r="H1230" s="363">
        <v>1</v>
      </c>
      <c r="I1230" s="475">
        <v>0.23</v>
      </c>
      <c r="J1230" s="475"/>
      <c r="K1230" s="474"/>
      <c r="L1230" s="401" t="s">
        <v>171</v>
      </c>
      <c r="M1230" s="235"/>
      <c r="N1230" s="347"/>
      <c r="O1230" s="343" t="s">
        <v>146</v>
      </c>
      <c r="P1230" s="199" t="s">
        <v>810</v>
      </c>
      <c r="Q1230" s="199" t="s">
        <v>423</v>
      </c>
      <c r="R1230" s="199" t="s">
        <v>707</v>
      </c>
      <c r="S1230" s="7">
        <v>62</v>
      </c>
      <c r="T1230" s="199"/>
      <c r="U1230" s="199"/>
      <c r="V1230" s="201"/>
      <c r="W1230" s="202"/>
      <c r="X1230" s="359"/>
      <c r="Y1230" s="353">
        <f>H1230</f>
        <v>1</v>
      </c>
      <c r="Z1230" s="199"/>
      <c r="AA1230" s="204"/>
      <c r="AB1230" s="205"/>
      <c r="AC1230" s="201"/>
    </row>
    <row r="1231" spans="1:29" ht="15.75" thickBot="1" x14ac:dyDescent="0.3">
      <c r="A1231" s="400">
        <v>45954</v>
      </c>
      <c r="B1231" s="401">
        <v>10</v>
      </c>
      <c r="C1231" s="474"/>
      <c r="D1231" s="401" t="s">
        <v>146</v>
      </c>
      <c r="E1231" s="404">
        <v>1.61</v>
      </c>
      <c r="F1231" s="404"/>
      <c r="G1231" s="363">
        <v>2</v>
      </c>
      <c r="H1231" s="363">
        <v>1</v>
      </c>
      <c r="I1231" s="475">
        <v>0.23</v>
      </c>
      <c r="J1231" s="475"/>
      <c r="K1231" s="474"/>
      <c r="L1231" s="401" t="s">
        <v>171</v>
      </c>
      <c r="M1231" s="235"/>
      <c r="N1231" s="347"/>
      <c r="O1231" s="343" t="s">
        <v>171</v>
      </c>
      <c r="P1231" s="199" t="s">
        <v>811</v>
      </c>
      <c r="Q1231" s="199" t="s">
        <v>525</v>
      </c>
      <c r="R1231" s="199" t="s">
        <v>707</v>
      </c>
      <c r="S1231" s="7">
        <v>54</v>
      </c>
      <c r="T1231" s="199"/>
      <c r="U1231" s="199"/>
      <c r="V1231" s="201"/>
      <c r="W1231" s="202"/>
      <c r="X1231" s="359"/>
      <c r="Y1231" s="353">
        <f>G1230</f>
        <v>2</v>
      </c>
      <c r="Z1231" s="199"/>
      <c r="AA1231" s="204"/>
      <c r="AB1231" s="205"/>
      <c r="AC1231" s="201"/>
    </row>
    <row r="1232" spans="1:29" x14ac:dyDescent="0.25">
      <c r="A1232" s="329">
        <v>45955</v>
      </c>
      <c r="B1232" s="5">
        <v>10</v>
      </c>
      <c r="C1232" s="121" t="s">
        <v>693</v>
      </c>
      <c r="D1232" s="5" t="s">
        <v>69</v>
      </c>
      <c r="E1232" s="6">
        <v>2.0299999999999998</v>
      </c>
      <c r="G1232" s="362">
        <v>3</v>
      </c>
      <c r="H1232" s="362">
        <v>3</v>
      </c>
      <c r="I1232" s="8">
        <v>1.79</v>
      </c>
      <c r="K1232" s="121" t="s">
        <v>692</v>
      </c>
      <c r="L1232" s="5" t="s">
        <v>92</v>
      </c>
      <c r="N1232" s="476">
        <v>11</v>
      </c>
      <c r="O1232" s="477" t="s">
        <v>69</v>
      </c>
      <c r="P1232" s="478" t="s">
        <v>814</v>
      </c>
      <c r="Q1232" s="478" t="s">
        <v>88</v>
      </c>
      <c r="R1232" s="478" t="s">
        <v>685</v>
      </c>
      <c r="S1232" s="479">
        <v>67</v>
      </c>
      <c r="T1232" s="478" t="s">
        <v>41</v>
      </c>
      <c r="U1232" s="478" t="s">
        <v>42</v>
      </c>
      <c r="V1232" s="480" t="s">
        <v>10</v>
      </c>
      <c r="W1232" s="51">
        <v>0.22</v>
      </c>
      <c r="X1232" s="357">
        <v>0.34</v>
      </c>
      <c r="Y1232" s="351" t="s">
        <v>353</v>
      </c>
      <c r="Z1232" s="5" t="s">
        <v>48</v>
      </c>
      <c r="AA1232" s="112" t="s">
        <v>28</v>
      </c>
    </row>
    <row r="1233" spans="1:29" x14ac:dyDescent="0.25">
      <c r="A1233" s="329">
        <v>45955</v>
      </c>
      <c r="B1233" s="5">
        <v>10</v>
      </c>
      <c r="D1233" s="5" t="s">
        <v>69</v>
      </c>
      <c r="E1233" s="6">
        <v>2.0299999999999998</v>
      </c>
      <c r="G1233" s="362">
        <v>3</v>
      </c>
      <c r="H1233" s="362">
        <v>3</v>
      </c>
      <c r="I1233" s="8">
        <v>1.79</v>
      </c>
      <c r="L1233" s="5" t="s">
        <v>92</v>
      </c>
      <c r="N1233" s="345">
        <v>28</v>
      </c>
      <c r="O1233" s="38" t="s">
        <v>92</v>
      </c>
      <c r="P1233" s="5" t="s">
        <v>816</v>
      </c>
      <c r="Q1233" s="5" t="s">
        <v>294</v>
      </c>
      <c r="R1233" s="5" t="s">
        <v>686</v>
      </c>
      <c r="S1233" s="7">
        <v>71</v>
      </c>
      <c r="T1233" s="5" t="s">
        <v>41</v>
      </c>
      <c r="U1233" s="5" t="s">
        <v>45</v>
      </c>
      <c r="V1233" s="57" t="s">
        <v>20</v>
      </c>
      <c r="W1233" s="51">
        <v>7.0000000000000007E-2</v>
      </c>
      <c r="X1233" s="357">
        <v>0.39</v>
      </c>
      <c r="Z1233" s="5" t="s">
        <v>48</v>
      </c>
      <c r="AA1233" s="112" t="s">
        <v>28</v>
      </c>
    </row>
    <row r="1234" spans="1:29" x14ac:dyDescent="0.25">
      <c r="A1234" s="329">
        <v>45955</v>
      </c>
      <c r="B1234" s="5">
        <v>10</v>
      </c>
      <c r="D1234" s="5" t="s">
        <v>69</v>
      </c>
      <c r="E1234" s="6">
        <v>2.0299999999999998</v>
      </c>
      <c r="G1234" s="362">
        <v>3</v>
      </c>
      <c r="H1234" s="362">
        <v>3</v>
      </c>
      <c r="I1234" s="8">
        <v>1.79</v>
      </c>
      <c r="L1234" s="5" t="s">
        <v>92</v>
      </c>
      <c r="N1234" s="345">
        <v>38</v>
      </c>
      <c r="O1234" s="38" t="s">
        <v>92</v>
      </c>
      <c r="P1234" s="5" t="s">
        <v>816</v>
      </c>
      <c r="Q1234" s="5" t="s">
        <v>294</v>
      </c>
      <c r="R1234" s="5" t="s">
        <v>686</v>
      </c>
      <c r="S1234" s="7">
        <v>71</v>
      </c>
      <c r="T1234" s="5" t="s">
        <v>41</v>
      </c>
      <c r="U1234" s="5" t="s">
        <v>43</v>
      </c>
      <c r="V1234" s="57" t="s">
        <v>7</v>
      </c>
      <c r="W1234" s="51">
        <v>0.79</v>
      </c>
      <c r="X1234" s="357">
        <v>0.98</v>
      </c>
      <c r="Y1234" s="351" t="s">
        <v>353</v>
      </c>
      <c r="Z1234" s="5" t="s">
        <v>8</v>
      </c>
      <c r="AA1234" s="112" t="s">
        <v>9</v>
      </c>
    </row>
    <row r="1235" spans="1:29" x14ac:dyDescent="0.25">
      <c r="A1235" s="329">
        <v>45955</v>
      </c>
      <c r="B1235" s="5">
        <v>10</v>
      </c>
      <c r="D1235" s="5" t="s">
        <v>69</v>
      </c>
      <c r="E1235" s="6">
        <v>2.0299999999999998</v>
      </c>
      <c r="G1235" s="362">
        <v>3</v>
      </c>
      <c r="H1235" s="362">
        <v>3</v>
      </c>
      <c r="I1235" s="8">
        <v>1.79</v>
      </c>
      <c r="L1235" s="5" t="s">
        <v>92</v>
      </c>
      <c r="N1235" s="345">
        <v>58</v>
      </c>
      <c r="O1235" s="38" t="s">
        <v>92</v>
      </c>
      <c r="P1235" s="5" t="s">
        <v>807</v>
      </c>
      <c r="Q1235" s="5" t="s">
        <v>109</v>
      </c>
      <c r="R1235" s="5" t="s">
        <v>684</v>
      </c>
      <c r="S1235" s="7">
        <v>74</v>
      </c>
      <c r="T1235" s="5" t="s">
        <v>47</v>
      </c>
      <c r="U1235" s="5" t="s">
        <v>45</v>
      </c>
      <c r="V1235" s="57" t="s">
        <v>20</v>
      </c>
      <c r="W1235" s="51">
        <v>0.12</v>
      </c>
      <c r="X1235" s="357">
        <v>0.65</v>
      </c>
      <c r="Y1235" s="351" t="s">
        <v>353</v>
      </c>
      <c r="Z1235" s="5" t="s">
        <v>8</v>
      </c>
      <c r="AA1235" s="112" t="s">
        <v>11</v>
      </c>
      <c r="AB1235" s="108" t="s">
        <v>493</v>
      </c>
      <c r="AC1235" s="57" t="s">
        <v>542</v>
      </c>
    </row>
    <row r="1236" spans="1:29" x14ac:dyDescent="0.25">
      <c r="A1236" s="329">
        <v>45955</v>
      </c>
      <c r="B1236" s="5">
        <v>10</v>
      </c>
      <c r="D1236" s="5" t="s">
        <v>69</v>
      </c>
      <c r="E1236" s="6">
        <v>2.0299999999999998</v>
      </c>
      <c r="G1236" s="362">
        <v>3</v>
      </c>
      <c r="H1236" s="362">
        <v>3</v>
      </c>
      <c r="I1236" s="8">
        <v>1.79</v>
      </c>
      <c r="L1236" s="5" t="s">
        <v>92</v>
      </c>
      <c r="N1236" s="476">
        <v>61</v>
      </c>
      <c r="O1236" s="477" t="s">
        <v>69</v>
      </c>
      <c r="P1236" s="478" t="s">
        <v>806</v>
      </c>
      <c r="Q1236" s="478" t="s">
        <v>815</v>
      </c>
      <c r="R1236" s="478" t="s">
        <v>696</v>
      </c>
      <c r="S1236" s="479">
        <v>74</v>
      </c>
      <c r="T1236" s="478" t="s">
        <v>41</v>
      </c>
      <c r="U1236" s="478" t="s">
        <v>45</v>
      </c>
      <c r="V1236" s="480" t="s">
        <v>10</v>
      </c>
      <c r="W1236" s="51">
        <v>0.16</v>
      </c>
      <c r="X1236" s="357">
        <v>0.32</v>
      </c>
      <c r="Y1236" s="351" t="s">
        <v>353</v>
      </c>
      <c r="Z1236" s="5" t="s">
        <v>48</v>
      </c>
      <c r="AA1236" s="112" t="s">
        <v>11</v>
      </c>
    </row>
    <row r="1237" spans="1:29" x14ac:dyDescent="0.25">
      <c r="A1237" s="329">
        <v>45955</v>
      </c>
      <c r="B1237" s="5">
        <v>10</v>
      </c>
      <c r="D1237" s="5" t="s">
        <v>69</v>
      </c>
      <c r="E1237" s="6">
        <v>2.0299999999999998</v>
      </c>
      <c r="G1237" s="362">
        <v>3</v>
      </c>
      <c r="H1237" s="362">
        <v>3</v>
      </c>
      <c r="I1237" s="8">
        <v>1.79</v>
      </c>
      <c r="L1237" s="5" t="s">
        <v>92</v>
      </c>
      <c r="N1237" s="476">
        <v>64</v>
      </c>
      <c r="O1237" s="477" t="s">
        <v>69</v>
      </c>
      <c r="P1237" s="478" t="s">
        <v>806</v>
      </c>
      <c r="Q1237" s="478" t="s">
        <v>815</v>
      </c>
      <c r="R1237" s="478" t="s">
        <v>696</v>
      </c>
      <c r="S1237" s="479">
        <v>74</v>
      </c>
      <c r="T1237" s="478" t="s">
        <v>41</v>
      </c>
      <c r="U1237" s="478" t="s">
        <v>42</v>
      </c>
      <c r="V1237" s="480" t="s">
        <v>7</v>
      </c>
      <c r="W1237" s="51">
        <v>0.79</v>
      </c>
      <c r="X1237" s="357">
        <v>0.85</v>
      </c>
      <c r="Y1237" s="351" t="s">
        <v>353</v>
      </c>
      <c r="Z1237" s="5" t="s">
        <v>8</v>
      </c>
      <c r="AA1237" s="112" t="s">
        <v>67</v>
      </c>
    </row>
    <row r="1238" spans="1:29" x14ac:dyDescent="0.25">
      <c r="A1238" s="329">
        <v>45955</v>
      </c>
      <c r="B1238" s="5">
        <v>10</v>
      </c>
      <c r="D1238" s="5" t="s">
        <v>69</v>
      </c>
      <c r="E1238" s="6">
        <v>2.0299999999999998</v>
      </c>
      <c r="G1238" s="362">
        <v>3</v>
      </c>
      <c r="H1238" s="362">
        <v>3</v>
      </c>
      <c r="I1238" s="8">
        <v>1.79</v>
      </c>
      <c r="L1238" s="5" t="s">
        <v>92</v>
      </c>
      <c r="N1238" s="476">
        <v>79</v>
      </c>
      <c r="O1238" s="477" t="s">
        <v>69</v>
      </c>
      <c r="P1238" s="478" t="s">
        <v>810</v>
      </c>
      <c r="Q1238" s="478" t="s">
        <v>481</v>
      </c>
      <c r="R1238" s="478" t="s">
        <v>696</v>
      </c>
      <c r="S1238" s="479">
        <v>77</v>
      </c>
      <c r="T1238" s="478" t="s">
        <v>44</v>
      </c>
      <c r="U1238" s="478" t="s">
        <v>42</v>
      </c>
      <c r="V1238" s="480" t="s">
        <v>10</v>
      </c>
      <c r="W1238" s="51">
        <v>0.02</v>
      </c>
      <c r="X1238" s="357">
        <v>0.27</v>
      </c>
      <c r="Z1238" s="5" t="s">
        <v>48</v>
      </c>
    </row>
    <row r="1239" spans="1:29" x14ac:dyDescent="0.25">
      <c r="A1239" s="329">
        <v>45955</v>
      </c>
      <c r="B1239" s="5">
        <v>10</v>
      </c>
      <c r="D1239" s="5" t="s">
        <v>69</v>
      </c>
      <c r="E1239" s="6">
        <v>2.0299999999999998</v>
      </c>
      <c r="G1239" s="362">
        <v>3</v>
      </c>
      <c r="H1239" s="362">
        <v>3</v>
      </c>
      <c r="I1239" s="8">
        <v>1.79</v>
      </c>
      <c r="L1239" s="5" t="s">
        <v>92</v>
      </c>
      <c r="N1239" s="476">
        <v>83</v>
      </c>
      <c r="O1239" s="477" t="s">
        <v>69</v>
      </c>
      <c r="P1239" s="478" t="s">
        <v>810</v>
      </c>
      <c r="Q1239" s="478" t="s">
        <v>481</v>
      </c>
      <c r="R1239" s="478" t="s">
        <v>696</v>
      </c>
      <c r="S1239" s="479">
        <v>77</v>
      </c>
      <c r="T1239" s="478" t="s">
        <v>354</v>
      </c>
      <c r="U1239" s="478" t="s">
        <v>42</v>
      </c>
      <c r="V1239" s="480" t="s">
        <v>10</v>
      </c>
      <c r="W1239" s="51">
        <v>0.05</v>
      </c>
      <c r="X1239" s="357">
        <v>0.06</v>
      </c>
      <c r="Z1239" s="5" t="s">
        <v>8</v>
      </c>
      <c r="AA1239" s="112" t="s">
        <v>189</v>
      </c>
      <c r="AB1239" s="108" t="s">
        <v>789</v>
      </c>
      <c r="AC1239" s="57" t="s">
        <v>790</v>
      </c>
    </row>
    <row r="1240" spans="1:29" x14ac:dyDescent="0.25">
      <c r="A1240" s="329">
        <v>45955</v>
      </c>
      <c r="B1240" s="5">
        <v>10</v>
      </c>
      <c r="D1240" s="5" t="s">
        <v>69</v>
      </c>
      <c r="E1240" s="6">
        <v>2.0299999999999998</v>
      </c>
      <c r="G1240" s="362">
        <v>3</v>
      </c>
      <c r="H1240" s="362">
        <v>3</v>
      </c>
      <c r="I1240" s="8">
        <v>1.79</v>
      </c>
      <c r="L1240" s="5" t="s">
        <v>92</v>
      </c>
      <c r="N1240" s="476">
        <v>90</v>
      </c>
      <c r="O1240" s="477" t="s">
        <v>69</v>
      </c>
      <c r="P1240" s="478" t="s">
        <v>806</v>
      </c>
      <c r="Q1240" s="478" t="s">
        <v>815</v>
      </c>
      <c r="R1240" s="478" t="s">
        <v>696</v>
      </c>
      <c r="S1240" s="479">
        <v>74</v>
      </c>
      <c r="T1240" s="478" t="s">
        <v>41</v>
      </c>
      <c r="U1240" s="478" t="s">
        <v>42</v>
      </c>
      <c r="V1240" s="480" t="s">
        <v>7</v>
      </c>
      <c r="W1240" s="51">
        <v>0.79</v>
      </c>
      <c r="X1240" s="357">
        <v>0.87</v>
      </c>
      <c r="Y1240" s="351" t="s">
        <v>353</v>
      </c>
      <c r="Z1240" s="5" t="s">
        <v>8</v>
      </c>
      <c r="AA1240" s="112" t="s">
        <v>180</v>
      </c>
    </row>
    <row r="1241" spans="1:29" x14ac:dyDescent="0.25">
      <c r="A1241" s="329">
        <v>45955</v>
      </c>
      <c r="B1241" s="5">
        <v>10</v>
      </c>
      <c r="D1241" s="5" t="s">
        <v>69</v>
      </c>
      <c r="E1241" s="6">
        <v>2.0299999999999998</v>
      </c>
      <c r="G1241" s="362">
        <v>3</v>
      </c>
      <c r="H1241" s="362">
        <v>3</v>
      </c>
      <c r="I1241" s="8">
        <v>1.79</v>
      </c>
      <c r="L1241" s="5" t="s">
        <v>92</v>
      </c>
      <c r="N1241" s="345" t="s">
        <v>312</v>
      </c>
      <c r="O1241" s="38" t="s">
        <v>92</v>
      </c>
      <c r="P1241" s="5" t="s">
        <v>808</v>
      </c>
      <c r="Q1241" s="5" t="s">
        <v>743</v>
      </c>
      <c r="R1241" s="5" t="s">
        <v>689</v>
      </c>
      <c r="S1241" s="7">
        <v>64</v>
      </c>
      <c r="T1241" s="5" t="s">
        <v>47</v>
      </c>
      <c r="U1241" s="5" t="s">
        <v>42</v>
      </c>
      <c r="V1241" s="57" t="s">
        <v>10</v>
      </c>
      <c r="W1241" s="51">
        <v>0.34</v>
      </c>
      <c r="X1241" s="357">
        <v>0.34</v>
      </c>
      <c r="Y1241" s="351" t="s">
        <v>353</v>
      </c>
      <c r="Z1241" s="5" t="s">
        <v>48</v>
      </c>
    </row>
    <row r="1242" spans="1:29" x14ac:dyDescent="0.25">
      <c r="A1242" s="329">
        <v>45955</v>
      </c>
      <c r="B1242" s="5">
        <v>10</v>
      </c>
      <c r="D1242" s="5" t="s">
        <v>69</v>
      </c>
      <c r="E1242" s="6">
        <v>2.0299999999999998</v>
      </c>
      <c r="G1242" s="362">
        <v>3</v>
      </c>
      <c r="H1242" s="362">
        <v>3</v>
      </c>
      <c r="I1242" s="8">
        <v>1.79</v>
      </c>
      <c r="L1242" s="5" t="s">
        <v>92</v>
      </c>
      <c r="N1242" s="345" t="s">
        <v>312</v>
      </c>
      <c r="O1242" s="38" t="s">
        <v>92</v>
      </c>
      <c r="P1242" s="5" t="s">
        <v>817</v>
      </c>
      <c r="Q1242" s="5" t="s">
        <v>511</v>
      </c>
      <c r="R1242" s="5" t="s">
        <v>712</v>
      </c>
      <c r="S1242" s="7">
        <v>74</v>
      </c>
      <c r="T1242" s="5" t="s">
        <v>47</v>
      </c>
      <c r="U1242" s="5" t="s">
        <v>43</v>
      </c>
      <c r="V1242" s="57" t="s">
        <v>540</v>
      </c>
      <c r="W1242" s="51">
        <v>0.33</v>
      </c>
      <c r="X1242" s="357">
        <v>0.88</v>
      </c>
      <c r="Y1242" s="351" t="s">
        <v>353</v>
      </c>
      <c r="Z1242" s="5" t="s">
        <v>8</v>
      </c>
      <c r="AA1242" s="112" t="s">
        <v>818</v>
      </c>
    </row>
    <row r="1243" spans="1:29" ht="15.75" thickBot="1" x14ac:dyDescent="0.3">
      <c r="A1243" s="400">
        <v>45955</v>
      </c>
      <c r="B1243" s="401">
        <v>10</v>
      </c>
      <c r="C1243" s="474"/>
      <c r="D1243" s="401" t="s">
        <v>69</v>
      </c>
      <c r="E1243" s="404">
        <v>2.0299999999999998</v>
      </c>
      <c r="F1243" s="404"/>
      <c r="G1243" s="363">
        <v>3</v>
      </c>
      <c r="H1243" s="363">
        <v>3</v>
      </c>
      <c r="I1243" s="475">
        <v>1.79</v>
      </c>
      <c r="J1243" s="475"/>
      <c r="K1243" s="474"/>
      <c r="L1243" s="401" t="s">
        <v>92</v>
      </c>
      <c r="M1243" s="235"/>
      <c r="N1243" s="347"/>
      <c r="O1243" s="343" t="s">
        <v>69</v>
      </c>
      <c r="P1243" s="199" t="s">
        <v>819</v>
      </c>
      <c r="Q1243" s="199" t="s">
        <v>479</v>
      </c>
      <c r="R1243" s="199" t="s">
        <v>707</v>
      </c>
      <c r="S1243" s="7">
        <v>58</v>
      </c>
      <c r="T1243" s="199"/>
      <c r="U1243" s="199"/>
      <c r="V1243" s="201"/>
      <c r="W1243" s="202"/>
      <c r="X1243" s="359"/>
      <c r="Y1243" s="353">
        <f>H1243</f>
        <v>3</v>
      </c>
      <c r="Z1243" s="199"/>
      <c r="AA1243" s="204"/>
      <c r="AB1243" s="205"/>
      <c r="AC1243" s="201"/>
    </row>
    <row r="1244" spans="1:29" ht="15.75" thickBot="1" x14ac:dyDescent="0.3">
      <c r="A1244" s="400">
        <v>45955</v>
      </c>
      <c r="B1244" s="401">
        <v>10</v>
      </c>
      <c r="C1244" s="474"/>
      <c r="D1244" s="401" t="s">
        <v>69</v>
      </c>
      <c r="E1244" s="404">
        <v>2.0299999999999998</v>
      </c>
      <c r="F1244" s="404"/>
      <c r="G1244" s="363">
        <v>3</v>
      </c>
      <c r="H1244" s="363">
        <v>3</v>
      </c>
      <c r="I1244" s="475">
        <v>1.79</v>
      </c>
      <c r="J1244" s="475"/>
      <c r="K1244" s="474"/>
      <c r="L1244" s="401" t="s">
        <v>92</v>
      </c>
      <c r="M1244" s="235"/>
      <c r="N1244" s="347"/>
      <c r="O1244" s="343" t="s">
        <v>92</v>
      </c>
      <c r="P1244" s="199" t="s">
        <v>810</v>
      </c>
      <c r="Q1244" s="199" t="s">
        <v>472</v>
      </c>
      <c r="R1244" s="199" t="s">
        <v>707</v>
      </c>
      <c r="S1244" s="7">
        <v>68</v>
      </c>
      <c r="T1244" s="199"/>
      <c r="U1244" s="199"/>
      <c r="V1244" s="201"/>
      <c r="W1244" s="202"/>
      <c r="X1244" s="359"/>
      <c r="Y1244" s="353">
        <f>G1243</f>
        <v>3</v>
      </c>
      <c r="Z1244" s="199"/>
      <c r="AA1244" s="204"/>
      <c r="AB1244" s="205"/>
      <c r="AC1244" s="201"/>
    </row>
    <row r="1245" spans="1:29" x14ac:dyDescent="0.25">
      <c r="A1245" s="329">
        <v>45955</v>
      </c>
      <c r="B1245" s="5">
        <v>10</v>
      </c>
      <c r="C1245" s="121" t="s">
        <v>693</v>
      </c>
      <c r="D1245" s="5" t="s">
        <v>192</v>
      </c>
      <c r="E1245" s="6">
        <v>1.93</v>
      </c>
      <c r="G1245" s="362">
        <v>1</v>
      </c>
      <c r="H1245" s="362">
        <v>0</v>
      </c>
      <c r="I1245" s="8">
        <v>0.86</v>
      </c>
      <c r="K1245" s="121" t="s">
        <v>697</v>
      </c>
      <c r="L1245" s="5" t="s">
        <v>208</v>
      </c>
      <c r="N1245" s="476">
        <v>1</v>
      </c>
      <c r="O1245" s="477" t="s">
        <v>192</v>
      </c>
      <c r="P1245" s="478" t="s">
        <v>814</v>
      </c>
      <c r="Q1245" s="478" t="s">
        <v>820</v>
      </c>
      <c r="R1245" s="478" t="s">
        <v>686</v>
      </c>
      <c r="S1245" s="479">
        <v>66</v>
      </c>
      <c r="T1245" s="478" t="s">
        <v>41</v>
      </c>
      <c r="U1245" s="478" t="s">
        <v>42</v>
      </c>
      <c r="V1245" s="480" t="s">
        <v>18</v>
      </c>
      <c r="W1245" s="51">
        <v>0.09</v>
      </c>
      <c r="X1245" s="357">
        <v>0.53</v>
      </c>
      <c r="Z1245" s="5" t="s">
        <v>48</v>
      </c>
      <c r="AA1245" s="112" t="s">
        <v>28</v>
      </c>
    </row>
    <row r="1246" spans="1:29" x14ac:dyDescent="0.25">
      <c r="A1246" s="329">
        <v>45955</v>
      </c>
      <c r="B1246" s="5">
        <v>10</v>
      </c>
      <c r="D1246" s="5" t="s">
        <v>192</v>
      </c>
      <c r="E1246" s="6">
        <v>1.93</v>
      </c>
      <c r="G1246" s="362">
        <v>1</v>
      </c>
      <c r="H1246" s="362">
        <v>0</v>
      </c>
      <c r="I1246" s="8">
        <v>0.86</v>
      </c>
      <c r="L1246" s="5" t="s">
        <v>208</v>
      </c>
      <c r="N1246" s="345">
        <v>3</v>
      </c>
      <c r="O1246" s="38" t="s">
        <v>208</v>
      </c>
      <c r="P1246" s="5" t="s">
        <v>822</v>
      </c>
      <c r="Q1246" s="5" t="s">
        <v>213</v>
      </c>
      <c r="R1246" s="5" t="s">
        <v>686</v>
      </c>
      <c r="S1246" s="7">
        <v>65</v>
      </c>
      <c r="T1246" s="5" t="s">
        <v>44</v>
      </c>
      <c r="U1246" s="5" t="s">
        <v>43</v>
      </c>
      <c r="V1246" s="57" t="s">
        <v>10</v>
      </c>
      <c r="W1246" s="51">
        <v>0.09</v>
      </c>
      <c r="X1246" s="357">
        <v>0.19</v>
      </c>
      <c r="Z1246" s="5" t="s">
        <v>48</v>
      </c>
      <c r="AA1246" s="112" t="s">
        <v>28</v>
      </c>
    </row>
    <row r="1247" spans="1:29" x14ac:dyDescent="0.25">
      <c r="A1247" s="329">
        <v>45955</v>
      </c>
      <c r="B1247" s="5">
        <v>10</v>
      </c>
      <c r="D1247" s="5" t="s">
        <v>192</v>
      </c>
      <c r="E1247" s="6">
        <v>1.93</v>
      </c>
      <c r="G1247" s="362">
        <v>1</v>
      </c>
      <c r="H1247" s="362">
        <v>0</v>
      </c>
      <c r="I1247" s="8">
        <v>0.86</v>
      </c>
      <c r="L1247" s="5" t="s">
        <v>208</v>
      </c>
      <c r="N1247" s="476">
        <v>8</v>
      </c>
      <c r="O1247" s="477" t="s">
        <v>192</v>
      </c>
      <c r="P1247" s="478" t="s">
        <v>809</v>
      </c>
      <c r="Q1247" s="478" t="s">
        <v>361</v>
      </c>
      <c r="R1247" s="478" t="s">
        <v>684</v>
      </c>
      <c r="S1247" s="479">
        <v>67</v>
      </c>
      <c r="T1247" s="478" t="s">
        <v>47</v>
      </c>
      <c r="U1247" s="478" t="s">
        <v>45</v>
      </c>
      <c r="V1247" s="480" t="s">
        <v>10</v>
      </c>
      <c r="W1247" s="51">
        <v>0.12</v>
      </c>
      <c r="X1247" s="357">
        <v>0.13</v>
      </c>
      <c r="Z1247" s="5" t="s">
        <v>48</v>
      </c>
      <c r="AA1247" s="112" t="s">
        <v>28</v>
      </c>
    </row>
    <row r="1248" spans="1:29" x14ac:dyDescent="0.25">
      <c r="A1248" s="329">
        <v>45955</v>
      </c>
      <c r="B1248" s="5">
        <v>10</v>
      </c>
      <c r="D1248" s="5" t="s">
        <v>192</v>
      </c>
      <c r="E1248" s="6">
        <v>1.93</v>
      </c>
      <c r="G1248" s="362">
        <v>1</v>
      </c>
      <c r="H1248" s="362">
        <v>0</v>
      </c>
      <c r="I1248" s="8">
        <v>0.86</v>
      </c>
      <c r="L1248" s="5" t="s">
        <v>208</v>
      </c>
      <c r="N1248" s="345">
        <v>9</v>
      </c>
      <c r="O1248" s="38" t="s">
        <v>208</v>
      </c>
      <c r="P1248" s="5" t="s">
        <v>810</v>
      </c>
      <c r="Q1248" s="5" t="s">
        <v>304</v>
      </c>
      <c r="R1248" s="5" t="s">
        <v>695</v>
      </c>
      <c r="S1248" s="7">
        <v>59</v>
      </c>
      <c r="T1248" s="5" t="s">
        <v>41</v>
      </c>
      <c r="U1248" s="5" t="s">
        <v>42</v>
      </c>
      <c r="V1248" s="57" t="s">
        <v>10</v>
      </c>
      <c r="W1248" s="51">
        <v>0.09</v>
      </c>
      <c r="X1248" s="357">
        <v>0.13</v>
      </c>
      <c r="Y1248" s="351" t="s">
        <v>353</v>
      </c>
      <c r="Z1248" s="5" t="s">
        <v>48</v>
      </c>
      <c r="AA1248" s="112" t="s">
        <v>28</v>
      </c>
    </row>
    <row r="1249" spans="1:29" x14ac:dyDescent="0.25">
      <c r="A1249" s="329">
        <v>45955</v>
      </c>
      <c r="B1249" s="5">
        <v>10</v>
      </c>
      <c r="D1249" s="5" t="s">
        <v>192</v>
      </c>
      <c r="E1249" s="6">
        <v>1.93</v>
      </c>
      <c r="G1249" s="362">
        <v>1</v>
      </c>
      <c r="H1249" s="362">
        <v>0</v>
      </c>
      <c r="I1249" s="8">
        <v>0.86</v>
      </c>
      <c r="L1249" s="5" t="s">
        <v>208</v>
      </c>
      <c r="N1249" s="476">
        <v>22</v>
      </c>
      <c r="O1249" s="477" t="s">
        <v>192</v>
      </c>
      <c r="P1249" s="478" t="s">
        <v>819</v>
      </c>
      <c r="Q1249" s="478" t="s">
        <v>199</v>
      </c>
      <c r="R1249" s="478" t="s">
        <v>685</v>
      </c>
      <c r="S1249" s="479">
        <v>69</v>
      </c>
      <c r="T1249" s="478" t="s">
        <v>47</v>
      </c>
      <c r="U1249" s="478" t="s">
        <v>42</v>
      </c>
      <c r="V1249" s="480" t="s">
        <v>10</v>
      </c>
      <c r="W1249" s="51">
        <v>0.33</v>
      </c>
      <c r="X1249" s="357">
        <v>0.57999999999999996</v>
      </c>
      <c r="Y1249" s="351" t="s">
        <v>353</v>
      </c>
      <c r="Z1249" s="5" t="s">
        <v>48</v>
      </c>
      <c r="AA1249" s="112" t="s">
        <v>28</v>
      </c>
    </row>
    <row r="1250" spans="1:29" x14ac:dyDescent="0.25">
      <c r="A1250" s="329">
        <v>45955</v>
      </c>
      <c r="B1250" s="5">
        <v>10</v>
      </c>
      <c r="D1250" s="5" t="s">
        <v>192</v>
      </c>
      <c r="E1250" s="6">
        <v>1.93</v>
      </c>
      <c r="G1250" s="362">
        <v>1</v>
      </c>
      <c r="H1250" s="362">
        <v>0</v>
      </c>
      <c r="I1250" s="8">
        <v>0.86</v>
      </c>
      <c r="L1250" s="5" t="s">
        <v>208</v>
      </c>
      <c r="N1250" s="476">
        <v>32</v>
      </c>
      <c r="O1250" s="477" t="s">
        <v>192</v>
      </c>
      <c r="P1250" s="478" t="s">
        <v>819</v>
      </c>
      <c r="Q1250" s="478" t="s">
        <v>199</v>
      </c>
      <c r="R1250" s="478" t="s">
        <v>685</v>
      </c>
      <c r="S1250" s="479">
        <v>69</v>
      </c>
      <c r="T1250" s="478" t="s">
        <v>354</v>
      </c>
      <c r="U1250" s="478" t="s">
        <v>43</v>
      </c>
      <c r="V1250" s="480" t="s">
        <v>15</v>
      </c>
      <c r="W1250" s="51">
        <v>0.03</v>
      </c>
      <c r="X1250" s="357">
        <v>0.22</v>
      </c>
      <c r="Z1250" s="5" t="s">
        <v>48</v>
      </c>
      <c r="AA1250" s="112" t="s">
        <v>28</v>
      </c>
    </row>
    <row r="1251" spans="1:29" x14ac:dyDescent="0.25">
      <c r="A1251" s="329">
        <v>45955</v>
      </c>
      <c r="B1251" s="5">
        <v>10</v>
      </c>
      <c r="D1251" s="5" t="s">
        <v>192</v>
      </c>
      <c r="E1251" s="6">
        <v>1.93</v>
      </c>
      <c r="G1251" s="362">
        <v>1</v>
      </c>
      <c r="H1251" s="362">
        <v>0</v>
      </c>
      <c r="I1251" s="8">
        <v>0.86</v>
      </c>
      <c r="L1251" s="5" t="s">
        <v>208</v>
      </c>
      <c r="N1251" s="476">
        <v>33</v>
      </c>
      <c r="O1251" s="477" t="s">
        <v>192</v>
      </c>
      <c r="P1251" s="478" t="s">
        <v>809</v>
      </c>
      <c r="Q1251" s="478" t="s">
        <v>361</v>
      </c>
      <c r="R1251" s="478" t="s">
        <v>684</v>
      </c>
      <c r="S1251" s="479">
        <v>67</v>
      </c>
      <c r="T1251" s="478" t="s">
        <v>41</v>
      </c>
      <c r="U1251" s="478" t="s">
        <v>43</v>
      </c>
      <c r="V1251" s="480" t="s">
        <v>20</v>
      </c>
      <c r="W1251" s="51">
        <v>0.16</v>
      </c>
      <c r="X1251" s="357" t="s">
        <v>53</v>
      </c>
      <c r="Z1251" s="5" t="s">
        <v>13</v>
      </c>
      <c r="AA1251" s="112" t="s">
        <v>28</v>
      </c>
    </row>
    <row r="1252" spans="1:29" x14ac:dyDescent="0.25">
      <c r="A1252" s="329">
        <v>45955</v>
      </c>
      <c r="B1252" s="5">
        <v>10</v>
      </c>
      <c r="D1252" s="5" t="s">
        <v>192</v>
      </c>
      <c r="E1252" s="6">
        <v>1.93</v>
      </c>
      <c r="G1252" s="362">
        <v>1</v>
      </c>
      <c r="H1252" s="362">
        <v>0</v>
      </c>
      <c r="I1252" s="8">
        <v>0.86</v>
      </c>
      <c r="L1252" s="5" t="s">
        <v>208</v>
      </c>
      <c r="N1252" s="476">
        <v>35</v>
      </c>
      <c r="O1252" s="477" t="s">
        <v>192</v>
      </c>
      <c r="P1252" s="478" t="s">
        <v>819</v>
      </c>
      <c r="Q1252" s="478" t="s">
        <v>199</v>
      </c>
      <c r="R1252" s="478" t="s">
        <v>685</v>
      </c>
      <c r="S1252" s="479">
        <v>69</v>
      </c>
      <c r="T1252" s="478" t="s">
        <v>41</v>
      </c>
      <c r="U1252" s="478" t="s">
        <v>43</v>
      </c>
      <c r="V1252" s="480" t="s">
        <v>10</v>
      </c>
      <c r="W1252" s="51">
        <v>0.14000000000000001</v>
      </c>
      <c r="X1252" s="357">
        <v>0.12</v>
      </c>
      <c r="Z1252" s="5" t="s">
        <v>48</v>
      </c>
      <c r="AA1252" s="112" t="s">
        <v>28</v>
      </c>
    </row>
    <row r="1253" spans="1:29" x14ac:dyDescent="0.25">
      <c r="A1253" s="329">
        <v>45955</v>
      </c>
      <c r="B1253" s="5">
        <v>10</v>
      </c>
      <c r="D1253" s="5" t="s">
        <v>192</v>
      </c>
      <c r="E1253" s="6">
        <v>1.93</v>
      </c>
      <c r="G1253" s="362">
        <v>1</v>
      </c>
      <c r="H1253" s="362">
        <v>0</v>
      </c>
      <c r="I1253" s="8">
        <v>0.86</v>
      </c>
      <c r="L1253" s="5" t="s">
        <v>208</v>
      </c>
      <c r="N1253" s="345">
        <v>38</v>
      </c>
      <c r="O1253" s="38" t="s">
        <v>208</v>
      </c>
      <c r="P1253" s="5" t="s">
        <v>809</v>
      </c>
      <c r="Q1253" s="5" t="s">
        <v>261</v>
      </c>
      <c r="R1253" s="5" t="s">
        <v>685</v>
      </c>
      <c r="S1253" s="7">
        <v>59</v>
      </c>
      <c r="T1253" s="5" t="s">
        <v>41</v>
      </c>
      <c r="U1253" s="5" t="s">
        <v>42</v>
      </c>
      <c r="V1253" s="57" t="s">
        <v>10</v>
      </c>
      <c r="W1253" s="51">
        <v>0.16</v>
      </c>
      <c r="X1253" s="357" t="s">
        <v>53</v>
      </c>
      <c r="Y1253" s="351" t="s">
        <v>353</v>
      </c>
      <c r="Z1253" s="5" t="s">
        <v>55</v>
      </c>
      <c r="AA1253" s="112" t="s">
        <v>28</v>
      </c>
    </row>
    <row r="1254" spans="1:29" x14ac:dyDescent="0.25">
      <c r="A1254" s="329">
        <v>45955</v>
      </c>
      <c r="B1254" s="5">
        <v>10</v>
      </c>
      <c r="D1254" s="5" t="s">
        <v>192</v>
      </c>
      <c r="E1254" s="6">
        <v>1.93</v>
      </c>
      <c r="G1254" s="362">
        <v>1</v>
      </c>
      <c r="H1254" s="362">
        <v>0</v>
      </c>
      <c r="I1254" s="8">
        <v>0.86</v>
      </c>
      <c r="L1254" s="5" t="s">
        <v>208</v>
      </c>
      <c r="N1254" s="476">
        <v>40</v>
      </c>
      <c r="O1254" s="477" t="s">
        <v>192</v>
      </c>
      <c r="P1254" s="478" t="s">
        <v>819</v>
      </c>
      <c r="Q1254" s="478" t="s">
        <v>199</v>
      </c>
      <c r="R1254" s="478" t="s">
        <v>685</v>
      </c>
      <c r="S1254" s="479">
        <v>69</v>
      </c>
      <c r="T1254" s="478" t="s">
        <v>41</v>
      </c>
      <c r="U1254" s="478" t="s">
        <v>42</v>
      </c>
      <c r="V1254" s="480" t="s">
        <v>29</v>
      </c>
      <c r="W1254" s="51">
        <v>0.1</v>
      </c>
      <c r="X1254" s="357" t="s">
        <v>53</v>
      </c>
      <c r="Z1254" s="5" t="s">
        <v>22</v>
      </c>
      <c r="AA1254" s="112" t="s">
        <v>28</v>
      </c>
    </row>
    <row r="1255" spans="1:29" x14ac:dyDescent="0.25">
      <c r="A1255" s="329">
        <v>45955</v>
      </c>
      <c r="B1255" s="5">
        <v>10</v>
      </c>
      <c r="D1255" s="5" t="s">
        <v>192</v>
      </c>
      <c r="E1255" s="6">
        <v>1.93</v>
      </c>
      <c r="G1255" s="362">
        <v>1</v>
      </c>
      <c r="H1255" s="362">
        <v>0</v>
      </c>
      <c r="I1255" s="8">
        <v>0.86</v>
      </c>
      <c r="L1255" s="5" t="s">
        <v>208</v>
      </c>
      <c r="N1255" s="476">
        <v>47</v>
      </c>
      <c r="O1255" s="477" t="s">
        <v>192</v>
      </c>
      <c r="P1255" s="478" t="s">
        <v>806</v>
      </c>
      <c r="Q1255" s="478" t="s">
        <v>191</v>
      </c>
      <c r="R1255" s="478" t="s">
        <v>688</v>
      </c>
      <c r="S1255" s="479">
        <v>73</v>
      </c>
      <c r="T1255" s="478" t="s">
        <v>41</v>
      </c>
      <c r="U1255" s="478" t="s">
        <v>43</v>
      </c>
      <c r="V1255" s="480" t="s">
        <v>18</v>
      </c>
      <c r="W1255" s="51">
        <v>0.09</v>
      </c>
      <c r="X1255" s="357">
        <v>0.64</v>
      </c>
      <c r="Y1255" s="351" t="s">
        <v>353</v>
      </c>
      <c r="Z1255" s="5" t="s">
        <v>8</v>
      </c>
      <c r="AA1255" s="112" t="s">
        <v>19</v>
      </c>
      <c r="AB1255" s="108" t="s">
        <v>276</v>
      </c>
      <c r="AC1255" s="57" t="s">
        <v>277</v>
      </c>
    </row>
    <row r="1256" spans="1:29" x14ac:dyDescent="0.25">
      <c r="A1256" s="329">
        <v>45955</v>
      </c>
      <c r="B1256" s="5">
        <v>10</v>
      </c>
      <c r="D1256" s="5" t="s">
        <v>192</v>
      </c>
      <c r="E1256" s="6">
        <v>1.93</v>
      </c>
      <c r="G1256" s="362">
        <v>1</v>
      </c>
      <c r="H1256" s="362">
        <v>0</v>
      </c>
      <c r="I1256" s="8">
        <v>0.86</v>
      </c>
      <c r="L1256" s="5" t="s">
        <v>208</v>
      </c>
      <c r="N1256" s="345">
        <v>72</v>
      </c>
      <c r="O1256" s="38" t="s">
        <v>208</v>
      </c>
      <c r="P1256" s="5" t="s">
        <v>810</v>
      </c>
      <c r="Q1256" s="5" t="s">
        <v>363</v>
      </c>
      <c r="R1256" s="5" t="s">
        <v>684</v>
      </c>
      <c r="S1256" s="7">
        <v>65</v>
      </c>
      <c r="T1256" s="5" t="s">
        <v>41</v>
      </c>
      <c r="U1256" s="5" t="s">
        <v>45</v>
      </c>
      <c r="V1256" s="57" t="s">
        <v>10</v>
      </c>
      <c r="W1256" s="51">
        <v>0.11</v>
      </c>
      <c r="X1256" s="357" t="s">
        <v>53</v>
      </c>
      <c r="Z1256" s="5" t="s">
        <v>13</v>
      </c>
      <c r="AA1256" s="112" t="s">
        <v>19</v>
      </c>
    </row>
    <row r="1257" spans="1:29" x14ac:dyDescent="0.25">
      <c r="A1257" s="329">
        <v>45955</v>
      </c>
      <c r="B1257" s="5">
        <v>10</v>
      </c>
      <c r="D1257" s="5" t="s">
        <v>192</v>
      </c>
      <c r="E1257" s="6">
        <v>1.93</v>
      </c>
      <c r="G1257" s="362">
        <v>1</v>
      </c>
      <c r="H1257" s="362">
        <v>0</v>
      </c>
      <c r="I1257" s="8">
        <v>0.86</v>
      </c>
      <c r="L1257" s="5" t="s">
        <v>208</v>
      </c>
      <c r="N1257" s="345">
        <v>72</v>
      </c>
      <c r="O1257" s="38" t="s">
        <v>208</v>
      </c>
      <c r="P1257" s="5" t="s">
        <v>809</v>
      </c>
      <c r="Q1257" s="5" t="s">
        <v>305</v>
      </c>
      <c r="R1257" s="5" t="s">
        <v>696</v>
      </c>
      <c r="S1257" s="7">
        <v>67</v>
      </c>
      <c r="T1257" s="5" t="s">
        <v>47</v>
      </c>
      <c r="U1257" s="5" t="s">
        <v>42</v>
      </c>
      <c r="V1257" s="57" t="s">
        <v>10</v>
      </c>
      <c r="W1257" s="51">
        <v>0.13</v>
      </c>
      <c r="X1257" s="357" t="s">
        <v>53</v>
      </c>
      <c r="Z1257" s="5" t="s">
        <v>52</v>
      </c>
      <c r="AA1257" s="112" t="s">
        <v>19</v>
      </c>
    </row>
    <row r="1258" spans="1:29" x14ac:dyDescent="0.25">
      <c r="A1258" s="329">
        <v>45955</v>
      </c>
      <c r="B1258" s="5">
        <v>10</v>
      </c>
      <c r="D1258" s="5" t="s">
        <v>192</v>
      </c>
      <c r="E1258" s="6">
        <v>1.93</v>
      </c>
      <c r="G1258" s="362">
        <v>1</v>
      </c>
      <c r="H1258" s="362">
        <v>0</v>
      </c>
      <c r="I1258" s="8">
        <v>0.86</v>
      </c>
      <c r="L1258" s="5" t="s">
        <v>208</v>
      </c>
      <c r="N1258" s="476">
        <v>80</v>
      </c>
      <c r="O1258" s="477" t="s">
        <v>192</v>
      </c>
      <c r="P1258" s="478" t="s">
        <v>809</v>
      </c>
      <c r="Q1258" s="478" t="s">
        <v>361</v>
      </c>
      <c r="R1258" s="478" t="s">
        <v>684</v>
      </c>
      <c r="S1258" s="479">
        <v>67</v>
      </c>
      <c r="T1258" s="478" t="s">
        <v>41</v>
      </c>
      <c r="U1258" s="478" t="s">
        <v>42</v>
      </c>
      <c r="V1258" s="480" t="s">
        <v>18</v>
      </c>
      <c r="W1258" s="51">
        <v>0.19</v>
      </c>
      <c r="X1258" s="357" t="s">
        <v>53</v>
      </c>
      <c r="Z1258" s="5" t="s">
        <v>13</v>
      </c>
      <c r="AA1258" s="112" t="s">
        <v>19</v>
      </c>
    </row>
    <row r="1259" spans="1:29" x14ac:dyDescent="0.25">
      <c r="A1259" s="329">
        <v>45955</v>
      </c>
      <c r="B1259" s="5">
        <v>10</v>
      </c>
      <c r="D1259" s="5" t="s">
        <v>192</v>
      </c>
      <c r="E1259" s="6">
        <v>1.93</v>
      </c>
      <c r="G1259" s="362">
        <v>1</v>
      </c>
      <c r="H1259" s="362">
        <v>0</v>
      </c>
      <c r="I1259" s="8">
        <v>0.86</v>
      </c>
      <c r="L1259" s="5" t="s">
        <v>208</v>
      </c>
      <c r="N1259" s="345">
        <v>89</v>
      </c>
      <c r="O1259" s="38" t="s">
        <v>208</v>
      </c>
      <c r="P1259" s="5" t="s">
        <v>810</v>
      </c>
      <c r="Q1259" s="5" t="s">
        <v>363</v>
      </c>
      <c r="R1259" s="5" t="s">
        <v>684</v>
      </c>
      <c r="S1259" s="7">
        <v>65</v>
      </c>
      <c r="T1259" s="5" t="s">
        <v>44</v>
      </c>
      <c r="U1259" s="5" t="s">
        <v>42</v>
      </c>
      <c r="V1259" s="57" t="s">
        <v>15</v>
      </c>
      <c r="W1259" s="51">
        <v>0.1</v>
      </c>
      <c r="X1259" s="357" t="s">
        <v>53</v>
      </c>
      <c r="Z1259" s="5" t="s">
        <v>13</v>
      </c>
      <c r="AA1259" s="112" t="s">
        <v>19</v>
      </c>
    </row>
    <row r="1260" spans="1:29" x14ac:dyDescent="0.25">
      <c r="A1260" s="329">
        <v>45955</v>
      </c>
      <c r="B1260" s="5">
        <v>10</v>
      </c>
      <c r="D1260" s="5" t="s">
        <v>192</v>
      </c>
      <c r="E1260" s="6">
        <v>1.93</v>
      </c>
      <c r="G1260" s="362">
        <v>1</v>
      </c>
      <c r="H1260" s="362">
        <v>0</v>
      </c>
      <c r="I1260" s="8">
        <v>0.86</v>
      </c>
      <c r="L1260" s="5" t="s">
        <v>208</v>
      </c>
      <c r="N1260" s="345">
        <v>90</v>
      </c>
      <c r="O1260" s="38" t="s">
        <v>208</v>
      </c>
      <c r="P1260" s="5" t="s">
        <v>53</v>
      </c>
      <c r="Q1260" s="5" t="s">
        <v>465</v>
      </c>
      <c r="R1260" s="5" t="s">
        <v>696</v>
      </c>
      <c r="S1260" s="7">
        <v>63</v>
      </c>
      <c r="T1260" s="5" t="s">
        <v>44</v>
      </c>
      <c r="U1260" s="5" t="s">
        <v>43</v>
      </c>
      <c r="V1260" s="57" t="s">
        <v>10</v>
      </c>
      <c r="W1260" s="51">
        <v>0.12</v>
      </c>
      <c r="X1260" s="357">
        <v>0.22</v>
      </c>
      <c r="Z1260" s="5" t="s">
        <v>48</v>
      </c>
      <c r="AA1260" s="112" t="s">
        <v>19</v>
      </c>
    </row>
    <row r="1261" spans="1:29" x14ac:dyDescent="0.25">
      <c r="A1261" s="329">
        <v>45955</v>
      </c>
      <c r="B1261" s="5">
        <v>10</v>
      </c>
      <c r="D1261" s="5" t="s">
        <v>192</v>
      </c>
      <c r="E1261" s="6">
        <v>1.93</v>
      </c>
      <c r="G1261" s="362">
        <v>1</v>
      </c>
      <c r="H1261" s="362">
        <v>0</v>
      </c>
      <c r="I1261" s="8">
        <v>0.86</v>
      </c>
      <c r="L1261" s="5" t="s">
        <v>208</v>
      </c>
      <c r="N1261" s="476" t="s">
        <v>35</v>
      </c>
      <c r="O1261" s="477" t="s">
        <v>192</v>
      </c>
      <c r="P1261" s="478" t="s">
        <v>821</v>
      </c>
      <c r="Q1261" s="478" t="s">
        <v>281</v>
      </c>
      <c r="R1261" s="478" t="s">
        <v>696</v>
      </c>
      <c r="S1261" s="479">
        <v>61</v>
      </c>
      <c r="T1261" s="478" t="s">
        <v>47</v>
      </c>
      <c r="U1261" s="478" t="s">
        <v>43</v>
      </c>
      <c r="V1261" s="480" t="s">
        <v>10</v>
      </c>
      <c r="W1261" s="51">
        <v>0.37</v>
      </c>
      <c r="X1261" s="357" t="s">
        <v>53</v>
      </c>
      <c r="Y1261" s="351" t="s">
        <v>353</v>
      </c>
      <c r="Z1261" s="5" t="s">
        <v>13</v>
      </c>
      <c r="AA1261" s="112" t="s">
        <v>19</v>
      </c>
    </row>
    <row r="1262" spans="1:29" x14ac:dyDescent="0.25">
      <c r="A1262" s="329">
        <v>45955</v>
      </c>
      <c r="B1262" s="5">
        <v>10</v>
      </c>
      <c r="D1262" s="5" t="s">
        <v>192</v>
      </c>
      <c r="E1262" s="6">
        <v>1.93</v>
      </c>
      <c r="G1262" s="362">
        <v>1</v>
      </c>
      <c r="H1262" s="362">
        <v>0</v>
      </c>
      <c r="I1262" s="8">
        <v>0.86</v>
      </c>
      <c r="L1262" s="5" t="s">
        <v>208</v>
      </c>
      <c r="N1262" s="476" t="s">
        <v>31</v>
      </c>
      <c r="O1262" s="477" t="s">
        <v>192</v>
      </c>
      <c r="P1262" s="478" t="s">
        <v>809</v>
      </c>
      <c r="Q1262" s="478" t="s">
        <v>361</v>
      </c>
      <c r="R1262" s="478" t="s">
        <v>684</v>
      </c>
      <c r="S1262" s="479">
        <v>67</v>
      </c>
      <c r="T1262" s="478" t="s">
        <v>354</v>
      </c>
      <c r="U1262" s="478" t="s">
        <v>42</v>
      </c>
      <c r="V1262" s="480" t="s">
        <v>18</v>
      </c>
      <c r="W1262" s="51">
        <v>0.15</v>
      </c>
      <c r="X1262" s="357" t="s">
        <v>53</v>
      </c>
      <c r="Z1262" s="5" t="s">
        <v>13</v>
      </c>
      <c r="AA1262" s="112" t="s">
        <v>19</v>
      </c>
    </row>
    <row r="1263" spans="1:29" ht="15.75" thickBot="1" x14ac:dyDescent="0.3">
      <c r="A1263" s="400">
        <v>45955</v>
      </c>
      <c r="B1263" s="401">
        <v>10</v>
      </c>
      <c r="C1263" s="474"/>
      <c r="D1263" s="401" t="s">
        <v>192</v>
      </c>
      <c r="E1263" s="404">
        <v>1.93</v>
      </c>
      <c r="F1263" s="404"/>
      <c r="G1263" s="363">
        <v>1</v>
      </c>
      <c r="H1263" s="363">
        <v>0</v>
      </c>
      <c r="I1263" s="475">
        <v>0.86</v>
      </c>
      <c r="J1263" s="475"/>
      <c r="K1263" s="474"/>
      <c r="L1263" s="401" t="s">
        <v>208</v>
      </c>
      <c r="M1263" s="235"/>
      <c r="N1263" s="347"/>
      <c r="O1263" s="343" t="s">
        <v>192</v>
      </c>
      <c r="P1263" s="199" t="s">
        <v>805</v>
      </c>
      <c r="Q1263" s="199" t="s">
        <v>724</v>
      </c>
      <c r="R1263" s="199" t="s">
        <v>707</v>
      </c>
      <c r="S1263" s="7">
        <v>74</v>
      </c>
      <c r="T1263" s="199"/>
      <c r="U1263" s="199"/>
      <c r="V1263" s="201"/>
      <c r="W1263" s="202"/>
      <c r="X1263" s="359"/>
      <c r="Y1263" s="353">
        <f>H1263</f>
        <v>0</v>
      </c>
      <c r="Z1263" s="199"/>
      <c r="AA1263" s="204"/>
      <c r="AB1263" s="205"/>
      <c r="AC1263" s="201"/>
    </row>
    <row r="1264" spans="1:29" ht="15.75" thickBot="1" x14ac:dyDescent="0.3">
      <c r="A1264" s="400">
        <v>45955</v>
      </c>
      <c r="B1264" s="401">
        <v>10</v>
      </c>
      <c r="C1264" s="474"/>
      <c r="D1264" s="401" t="s">
        <v>192</v>
      </c>
      <c r="E1264" s="404">
        <v>1.93</v>
      </c>
      <c r="F1264" s="404"/>
      <c r="G1264" s="363">
        <v>1</v>
      </c>
      <c r="H1264" s="363">
        <v>0</v>
      </c>
      <c r="I1264" s="475">
        <v>0.86</v>
      </c>
      <c r="J1264" s="475"/>
      <c r="K1264" s="474"/>
      <c r="L1264" s="401" t="s">
        <v>208</v>
      </c>
      <c r="M1264" s="235"/>
      <c r="N1264" s="347"/>
      <c r="O1264" s="343" t="s">
        <v>208</v>
      </c>
      <c r="P1264" s="199" t="s">
        <v>823</v>
      </c>
      <c r="Q1264" s="199" t="s">
        <v>735</v>
      </c>
      <c r="R1264" s="199" t="s">
        <v>707</v>
      </c>
      <c r="S1264" s="7">
        <v>76</v>
      </c>
      <c r="T1264" s="199"/>
      <c r="U1264" s="199"/>
      <c r="V1264" s="201"/>
      <c r="W1264" s="202"/>
      <c r="X1264" s="359"/>
      <c r="Y1264" s="353">
        <f>G1263</f>
        <v>1</v>
      </c>
      <c r="Z1264" s="199"/>
      <c r="AA1264" s="204"/>
      <c r="AB1264" s="205"/>
      <c r="AC1264" s="201"/>
    </row>
    <row r="1265" spans="1:29" x14ac:dyDescent="0.25">
      <c r="A1265" s="329">
        <v>45955</v>
      </c>
      <c r="B1265" s="5">
        <v>10</v>
      </c>
      <c r="C1265" s="121" t="s">
        <v>693</v>
      </c>
      <c r="D1265" s="5" t="s">
        <v>170</v>
      </c>
      <c r="E1265" s="6">
        <v>0.39</v>
      </c>
      <c r="G1265" s="362">
        <v>0</v>
      </c>
      <c r="H1265" s="362">
        <v>1</v>
      </c>
      <c r="I1265" s="8">
        <v>0.93</v>
      </c>
      <c r="K1265" s="121" t="s">
        <v>693</v>
      </c>
      <c r="L1265" s="5" t="s">
        <v>161</v>
      </c>
      <c r="N1265" s="476">
        <v>47</v>
      </c>
      <c r="O1265" s="477" t="s">
        <v>170</v>
      </c>
      <c r="P1265" s="478" t="s">
        <v>822</v>
      </c>
      <c r="Q1265" s="478" t="s">
        <v>380</v>
      </c>
      <c r="R1265" s="478" t="s">
        <v>684</v>
      </c>
      <c r="S1265" s="479">
        <v>61</v>
      </c>
      <c r="T1265" s="478" t="s">
        <v>41</v>
      </c>
      <c r="U1265" s="478" t="s">
        <v>42</v>
      </c>
      <c r="V1265" s="480" t="s">
        <v>10</v>
      </c>
      <c r="W1265" s="51">
        <v>0.16</v>
      </c>
      <c r="X1265" s="357" t="s">
        <v>53</v>
      </c>
      <c r="Z1265" s="5" t="s">
        <v>13</v>
      </c>
      <c r="AA1265" s="112" t="s">
        <v>28</v>
      </c>
    </row>
    <row r="1266" spans="1:29" x14ac:dyDescent="0.25">
      <c r="A1266" s="329">
        <v>45955</v>
      </c>
      <c r="B1266" s="5">
        <v>10</v>
      </c>
      <c r="D1266" s="5" t="s">
        <v>170</v>
      </c>
      <c r="E1266" s="6">
        <v>0.39</v>
      </c>
      <c r="G1266" s="362">
        <v>0</v>
      </c>
      <c r="H1266" s="362">
        <v>1</v>
      </c>
      <c r="I1266" s="8">
        <v>0.93</v>
      </c>
      <c r="L1266" s="5" t="s">
        <v>161</v>
      </c>
      <c r="N1266" s="345">
        <v>75</v>
      </c>
      <c r="O1266" s="38" t="s">
        <v>161</v>
      </c>
      <c r="P1266" s="5" t="s">
        <v>810</v>
      </c>
      <c r="Q1266" s="5" t="s">
        <v>169</v>
      </c>
      <c r="R1266" s="5" t="s">
        <v>699</v>
      </c>
      <c r="S1266" s="7">
        <v>63</v>
      </c>
      <c r="T1266" s="5" t="s">
        <v>41</v>
      </c>
      <c r="U1266" s="5" t="s">
        <v>45</v>
      </c>
      <c r="V1266" s="57" t="s">
        <v>540</v>
      </c>
      <c r="W1266" s="51">
        <v>0.16</v>
      </c>
      <c r="X1266" s="357">
        <v>0.51</v>
      </c>
      <c r="Y1266" s="351" t="s">
        <v>353</v>
      </c>
      <c r="Z1266" s="5" t="s">
        <v>48</v>
      </c>
      <c r="AA1266" s="112" t="s">
        <v>28</v>
      </c>
    </row>
    <row r="1267" spans="1:29" x14ac:dyDescent="0.25">
      <c r="A1267" s="329">
        <v>45955</v>
      </c>
      <c r="B1267" s="5">
        <v>10</v>
      </c>
      <c r="D1267" s="5" t="s">
        <v>170</v>
      </c>
      <c r="E1267" s="6">
        <v>0.39</v>
      </c>
      <c r="G1267" s="362">
        <v>0</v>
      </c>
      <c r="H1267" s="362">
        <v>1</v>
      </c>
      <c r="I1267" s="8">
        <v>0.93</v>
      </c>
      <c r="L1267" s="5" t="s">
        <v>161</v>
      </c>
      <c r="N1267" s="345">
        <v>75</v>
      </c>
      <c r="O1267" s="38" t="s">
        <v>161</v>
      </c>
      <c r="P1267" s="5" t="s">
        <v>824</v>
      </c>
      <c r="Q1267" s="5" t="s">
        <v>314</v>
      </c>
      <c r="R1267" s="5" t="s">
        <v>684</v>
      </c>
      <c r="S1267" s="7">
        <v>78</v>
      </c>
      <c r="T1267" s="5" t="s">
        <v>47</v>
      </c>
      <c r="U1267" s="5" t="s">
        <v>42</v>
      </c>
      <c r="V1267" s="57" t="s">
        <v>540</v>
      </c>
      <c r="W1267" s="51">
        <v>0.69</v>
      </c>
      <c r="X1267" s="357">
        <v>0.91</v>
      </c>
      <c r="Y1267" s="351" t="s">
        <v>353</v>
      </c>
      <c r="Z1267" s="5" t="s">
        <v>8</v>
      </c>
      <c r="AA1267" s="112" t="s">
        <v>9</v>
      </c>
    </row>
    <row r="1268" spans="1:29" x14ac:dyDescent="0.25">
      <c r="A1268" s="329">
        <v>45955</v>
      </c>
      <c r="B1268" s="5">
        <v>10</v>
      </c>
      <c r="D1268" s="5" t="s">
        <v>170</v>
      </c>
      <c r="E1268" s="6">
        <v>0.39</v>
      </c>
      <c r="G1268" s="362">
        <v>0</v>
      </c>
      <c r="H1268" s="362">
        <v>1</v>
      </c>
      <c r="I1268" s="8">
        <v>0.93</v>
      </c>
      <c r="L1268" s="5" t="s">
        <v>161</v>
      </c>
      <c r="N1268" s="345" t="s">
        <v>31</v>
      </c>
      <c r="O1268" s="38" t="s">
        <v>161</v>
      </c>
      <c r="P1268" s="5" t="s">
        <v>805</v>
      </c>
      <c r="Q1268" s="5" t="s">
        <v>365</v>
      </c>
      <c r="R1268" s="5" t="s">
        <v>696</v>
      </c>
      <c r="S1268" s="7">
        <v>63</v>
      </c>
      <c r="T1268" s="5" t="s">
        <v>41</v>
      </c>
      <c r="U1268" s="5" t="s">
        <v>42</v>
      </c>
      <c r="V1268" s="57" t="s">
        <v>540</v>
      </c>
      <c r="W1268" s="51">
        <v>0.05</v>
      </c>
      <c r="X1268" s="357">
        <v>0.1</v>
      </c>
      <c r="Z1268" s="5" t="s">
        <v>48</v>
      </c>
      <c r="AA1268" s="112" t="s">
        <v>9</v>
      </c>
    </row>
    <row r="1269" spans="1:29" ht="15.75" thickBot="1" x14ac:dyDescent="0.3">
      <c r="A1269" s="400">
        <v>45955</v>
      </c>
      <c r="B1269" s="401">
        <v>10</v>
      </c>
      <c r="C1269" s="474"/>
      <c r="D1269" s="401" t="s">
        <v>170</v>
      </c>
      <c r="E1269" s="404">
        <v>0.39</v>
      </c>
      <c r="F1269" s="404"/>
      <c r="G1269" s="363">
        <v>0</v>
      </c>
      <c r="H1269" s="363">
        <v>1</v>
      </c>
      <c r="I1269" s="475">
        <v>0.93</v>
      </c>
      <c r="J1269" s="475"/>
      <c r="K1269" s="474"/>
      <c r="L1269" s="401" t="s">
        <v>161</v>
      </c>
      <c r="M1269" s="235"/>
      <c r="N1269" s="347"/>
      <c r="O1269" s="343" t="s">
        <v>170</v>
      </c>
      <c r="P1269" s="199" t="s">
        <v>825</v>
      </c>
      <c r="Q1269" s="199" t="s">
        <v>722</v>
      </c>
      <c r="R1269" s="199" t="s">
        <v>707</v>
      </c>
      <c r="S1269" s="7">
        <v>68</v>
      </c>
      <c r="T1269" s="199"/>
      <c r="U1269" s="199"/>
      <c r="V1269" s="201"/>
      <c r="W1269" s="202"/>
      <c r="X1269" s="359"/>
      <c r="Y1269" s="353">
        <f>H1269</f>
        <v>1</v>
      </c>
      <c r="Z1269" s="199"/>
      <c r="AA1269" s="204"/>
      <c r="AB1269" s="205"/>
      <c r="AC1269" s="201"/>
    </row>
    <row r="1270" spans="1:29" ht="15.75" thickBot="1" x14ac:dyDescent="0.3">
      <c r="A1270" s="400">
        <v>45955</v>
      </c>
      <c r="B1270" s="401">
        <v>10</v>
      </c>
      <c r="C1270" s="474"/>
      <c r="D1270" s="401" t="s">
        <v>170</v>
      </c>
      <c r="E1270" s="404">
        <v>0.39</v>
      </c>
      <c r="F1270" s="404"/>
      <c r="G1270" s="363">
        <v>0</v>
      </c>
      <c r="H1270" s="363">
        <v>1</v>
      </c>
      <c r="I1270" s="475">
        <v>0.93</v>
      </c>
      <c r="J1270" s="475"/>
      <c r="K1270" s="474"/>
      <c r="L1270" s="401" t="s">
        <v>161</v>
      </c>
      <c r="M1270" s="235"/>
      <c r="N1270" s="347"/>
      <c r="O1270" s="343" t="s">
        <v>161</v>
      </c>
      <c r="P1270" s="199" t="s">
        <v>817</v>
      </c>
      <c r="Q1270" s="199" t="s">
        <v>721</v>
      </c>
      <c r="R1270" s="199" t="s">
        <v>707</v>
      </c>
      <c r="S1270" s="7">
        <v>72</v>
      </c>
      <c r="T1270" s="199"/>
      <c r="U1270" s="199"/>
      <c r="V1270" s="201"/>
      <c r="W1270" s="202"/>
      <c r="X1270" s="359"/>
      <c r="Y1270" s="353">
        <f>G1269</f>
        <v>0</v>
      </c>
      <c r="Z1270" s="199"/>
      <c r="AA1270" s="204"/>
      <c r="AB1270" s="205"/>
      <c r="AC1270" s="201"/>
    </row>
    <row r="1271" spans="1:29" x14ac:dyDescent="0.25">
      <c r="A1271" s="329">
        <v>45955</v>
      </c>
      <c r="B1271" s="5">
        <v>10</v>
      </c>
      <c r="C1271" s="121" t="s">
        <v>694</v>
      </c>
      <c r="D1271" s="5" t="s">
        <v>145</v>
      </c>
      <c r="E1271" s="6">
        <v>0.8</v>
      </c>
      <c r="G1271" s="362">
        <v>0</v>
      </c>
      <c r="H1271" s="362">
        <v>2</v>
      </c>
      <c r="I1271" s="8">
        <v>2.1800000000000002</v>
      </c>
      <c r="K1271" s="121" t="s">
        <v>694</v>
      </c>
      <c r="L1271" s="5" t="s">
        <v>91</v>
      </c>
      <c r="N1271" s="476">
        <v>40</v>
      </c>
      <c r="O1271" s="477" t="s">
        <v>145</v>
      </c>
      <c r="P1271" s="478" t="s">
        <v>814</v>
      </c>
      <c r="Q1271" s="478" t="s">
        <v>452</v>
      </c>
      <c r="R1271" s="478" t="s">
        <v>695</v>
      </c>
      <c r="S1271" s="479">
        <v>59</v>
      </c>
      <c r="T1271" s="478" t="s">
        <v>41</v>
      </c>
      <c r="U1271" s="478" t="s">
        <v>42</v>
      </c>
      <c r="V1271" s="480" t="s">
        <v>10</v>
      </c>
      <c r="W1271" s="51">
        <v>0.1</v>
      </c>
      <c r="X1271" s="357" t="s">
        <v>53</v>
      </c>
      <c r="Z1271" s="5" t="s">
        <v>22</v>
      </c>
      <c r="AA1271" s="112" t="s">
        <v>28</v>
      </c>
    </row>
    <row r="1272" spans="1:29" x14ac:dyDescent="0.25">
      <c r="A1272" s="329">
        <v>45955</v>
      </c>
      <c r="B1272" s="5">
        <v>10</v>
      </c>
      <c r="D1272" s="5" t="s">
        <v>145</v>
      </c>
      <c r="E1272" s="6">
        <v>0.8</v>
      </c>
      <c r="G1272" s="362">
        <v>0</v>
      </c>
      <c r="H1272" s="362">
        <v>2</v>
      </c>
      <c r="I1272" s="8">
        <v>2.1800000000000002</v>
      </c>
      <c r="L1272" s="5" t="s">
        <v>91</v>
      </c>
      <c r="N1272" s="345">
        <v>45</v>
      </c>
      <c r="O1272" s="38" t="s">
        <v>91</v>
      </c>
      <c r="P1272" s="5" t="s">
        <v>822</v>
      </c>
      <c r="Q1272" s="5" t="s">
        <v>99</v>
      </c>
      <c r="R1272" s="5" t="s">
        <v>718</v>
      </c>
      <c r="S1272" s="7">
        <v>76</v>
      </c>
      <c r="T1272" s="5" t="s">
        <v>41</v>
      </c>
      <c r="U1272" s="5" t="s">
        <v>43</v>
      </c>
      <c r="V1272" s="57" t="s">
        <v>7</v>
      </c>
      <c r="W1272" s="51">
        <v>0.79</v>
      </c>
      <c r="X1272" s="357">
        <v>0.81</v>
      </c>
      <c r="Y1272" s="351" t="s">
        <v>353</v>
      </c>
      <c r="Z1272" s="5" t="s">
        <v>8</v>
      </c>
      <c r="AA1272" s="112" t="s">
        <v>9</v>
      </c>
    </row>
    <row r="1273" spans="1:29" x14ac:dyDescent="0.25">
      <c r="A1273" s="329">
        <v>45955</v>
      </c>
      <c r="B1273" s="5">
        <v>10</v>
      </c>
      <c r="D1273" s="5" t="s">
        <v>145</v>
      </c>
      <c r="E1273" s="6">
        <v>0.8</v>
      </c>
      <c r="G1273" s="362">
        <v>0</v>
      </c>
      <c r="H1273" s="362">
        <v>2</v>
      </c>
      <c r="I1273" s="8">
        <v>2.1800000000000002</v>
      </c>
      <c r="L1273" s="5" t="s">
        <v>91</v>
      </c>
      <c r="N1273" s="345">
        <v>54</v>
      </c>
      <c r="O1273" s="38" t="s">
        <v>91</v>
      </c>
      <c r="P1273" s="5" t="s">
        <v>807</v>
      </c>
      <c r="Q1273" s="5" t="s">
        <v>95</v>
      </c>
      <c r="R1273" s="5" t="s">
        <v>695</v>
      </c>
      <c r="S1273" s="7">
        <v>69</v>
      </c>
      <c r="T1273" s="5" t="s">
        <v>41</v>
      </c>
      <c r="U1273" s="5" t="s">
        <v>42</v>
      </c>
      <c r="V1273" s="57" t="s">
        <v>20</v>
      </c>
      <c r="W1273" s="51">
        <v>0.17</v>
      </c>
      <c r="X1273" s="357" t="s">
        <v>53</v>
      </c>
      <c r="Z1273" s="5" t="s">
        <v>13</v>
      </c>
      <c r="AA1273" s="112" t="s">
        <v>9</v>
      </c>
    </row>
    <row r="1274" spans="1:29" x14ac:dyDescent="0.25">
      <c r="A1274" s="329">
        <v>45955</v>
      </c>
      <c r="B1274" s="5">
        <v>10</v>
      </c>
      <c r="D1274" s="5" t="s">
        <v>145</v>
      </c>
      <c r="E1274" s="6">
        <v>0.8</v>
      </c>
      <c r="G1274" s="362">
        <v>0</v>
      </c>
      <c r="H1274" s="362">
        <v>2</v>
      </c>
      <c r="I1274" s="8">
        <v>2.1800000000000002</v>
      </c>
      <c r="L1274" s="5" t="s">
        <v>91</v>
      </c>
      <c r="N1274" s="345">
        <v>55</v>
      </c>
      <c r="O1274" s="38" t="s">
        <v>91</v>
      </c>
      <c r="P1274" s="5" t="s">
        <v>810</v>
      </c>
      <c r="Q1274" s="5" t="s">
        <v>333</v>
      </c>
      <c r="R1274" s="5" t="s">
        <v>685</v>
      </c>
      <c r="S1274" s="7">
        <v>64</v>
      </c>
      <c r="T1274" s="5" t="s">
        <v>41</v>
      </c>
      <c r="U1274" s="5" t="s">
        <v>42</v>
      </c>
      <c r="V1274" s="57" t="s">
        <v>18</v>
      </c>
      <c r="W1274" s="51">
        <v>0.21</v>
      </c>
      <c r="X1274" s="357" t="s">
        <v>53</v>
      </c>
      <c r="Z1274" s="5" t="s">
        <v>13</v>
      </c>
      <c r="AA1274" s="112" t="s">
        <v>9</v>
      </c>
    </row>
    <row r="1275" spans="1:29" x14ac:dyDescent="0.25">
      <c r="A1275" s="329">
        <v>45955</v>
      </c>
      <c r="B1275" s="5">
        <v>10</v>
      </c>
      <c r="D1275" s="5" t="s">
        <v>145</v>
      </c>
      <c r="E1275" s="6">
        <v>0.8</v>
      </c>
      <c r="G1275" s="362">
        <v>0</v>
      </c>
      <c r="H1275" s="362">
        <v>2</v>
      </c>
      <c r="I1275" s="8">
        <v>2.1800000000000002</v>
      </c>
      <c r="L1275" s="5" t="s">
        <v>91</v>
      </c>
      <c r="N1275" s="345">
        <v>57</v>
      </c>
      <c r="O1275" s="38" t="s">
        <v>91</v>
      </c>
      <c r="P1275" s="5" t="s">
        <v>822</v>
      </c>
      <c r="Q1275" s="5" t="s">
        <v>444</v>
      </c>
      <c r="R1275" s="5" t="s">
        <v>717</v>
      </c>
      <c r="S1275" s="7">
        <v>68</v>
      </c>
      <c r="T1275" s="5" t="s">
        <v>41</v>
      </c>
      <c r="U1275" s="5" t="s">
        <v>43</v>
      </c>
      <c r="V1275" s="57" t="s">
        <v>10</v>
      </c>
      <c r="W1275" s="51">
        <v>0.08</v>
      </c>
      <c r="X1275" s="357">
        <v>0.17</v>
      </c>
      <c r="Z1275" s="5" t="s">
        <v>48</v>
      </c>
      <c r="AA1275" s="112" t="s">
        <v>9</v>
      </c>
    </row>
    <row r="1276" spans="1:29" x14ac:dyDescent="0.25">
      <c r="A1276" s="329">
        <v>45955</v>
      </c>
      <c r="B1276" s="5">
        <v>10</v>
      </c>
      <c r="D1276" s="5" t="s">
        <v>145</v>
      </c>
      <c r="E1276" s="6">
        <v>0.8</v>
      </c>
      <c r="G1276" s="362">
        <v>0</v>
      </c>
      <c r="H1276" s="362">
        <v>2</v>
      </c>
      <c r="I1276" s="8">
        <v>2.1800000000000002</v>
      </c>
      <c r="L1276" s="5" t="s">
        <v>91</v>
      </c>
      <c r="N1276" s="345">
        <v>57</v>
      </c>
      <c r="O1276" s="38" t="s">
        <v>91</v>
      </c>
      <c r="P1276" s="5" t="s">
        <v>807</v>
      </c>
      <c r="Q1276" s="5" t="s">
        <v>95</v>
      </c>
      <c r="R1276" s="5" t="s">
        <v>695</v>
      </c>
      <c r="S1276" s="7">
        <v>69</v>
      </c>
      <c r="T1276" s="5" t="s">
        <v>47</v>
      </c>
      <c r="U1276" s="5" t="s">
        <v>42</v>
      </c>
      <c r="V1276" s="57" t="s">
        <v>540</v>
      </c>
      <c r="W1276" s="51">
        <v>0.52</v>
      </c>
      <c r="X1276" s="357">
        <v>0.68</v>
      </c>
      <c r="Y1276" s="351" t="s">
        <v>353</v>
      </c>
      <c r="Z1276" s="5" t="s">
        <v>8</v>
      </c>
      <c r="AA1276" s="112" t="s">
        <v>11</v>
      </c>
    </row>
    <row r="1277" spans="1:29" x14ac:dyDescent="0.25">
      <c r="A1277" s="329">
        <v>45955</v>
      </c>
      <c r="B1277" s="5">
        <v>10</v>
      </c>
      <c r="D1277" s="5" t="s">
        <v>145</v>
      </c>
      <c r="E1277" s="6">
        <v>0.8</v>
      </c>
      <c r="G1277" s="362">
        <v>0</v>
      </c>
      <c r="H1277" s="362">
        <v>2</v>
      </c>
      <c r="I1277" s="8">
        <v>2.1800000000000002</v>
      </c>
      <c r="L1277" s="5" t="s">
        <v>91</v>
      </c>
      <c r="N1277" s="476">
        <v>70</v>
      </c>
      <c r="O1277" s="477" t="s">
        <v>145</v>
      </c>
      <c r="P1277" s="478" t="s">
        <v>810</v>
      </c>
      <c r="Q1277" s="478" t="s">
        <v>272</v>
      </c>
      <c r="R1277" s="478" t="s">
        <v>685</v>
      </c>
      <c r="S1277" s="479">
        <v>67</v>
      </c>
      <c r="T1277" s="478" t="s">
        <v>41</v>
      </c>
      <c r="U1277" s="478" t="s">
        <v>42</v>
      </c>
      <c r="V1277" s="480" t="s">
        <v>540</v>
      </c>
      <c r="W1277" s="51">
        <v>0.12</v>
      </c>
      <c r="X1277" s="357">
        <v>0.37</v>
      </c>
      <c r="Y1277" s="351" t="s">
        <v>353</v>
      </c>
      <c r="Z1277" s="5" t="s">
        <v>48</v>
      </c>
      <c r="AA1277" s="112" t="s">
        <v>11</v>
      </c>
    </row>
    <row r="1278" spans="1:29" x14ac:dyDescent="0.25">
      <c r="A1278" s="329">
        <v>45955</v>
      </c>
      <c r="B1278" s="5">
        <v>10</v>
      </c>
      <c r="D1278" s="5" t="s">
        <v>145</v>
      </c>
      <c r="E1278" s="6">
        <v>0.8</v>
      </c>
      <c r="G1278" s="362">
        <v>0</v>
      </c>
      <c r="H1278" s="362">
        <v>2</v>
      </c>
      <c r="I1278" s="8">
        <v>2.1800000000000002</v>
      </c>
      <c r="L1278" s="5" t="s">
        <v>91</v>
      </c>
      <c r="N1278" s="345" t="s">
        <v>268</v>
      </c>
      <c r="O1278" s="38" t="s">
        <v>91</v>
      </c>
      <c r="P1278" s="5" t="s">
        <v>823</v>
      </c>
      <c r="Q1278" s="5" t="s">
        <v>446</v>
      </c>
      <c r="R1278" s="5" t="s">
        <v>696</v>
      </c>
      <c r="S1278" s="7">
        <v>58</v>
      </c>
      <c r="T1278" s="5" t="s">
        <v>47</v>
      </c>
      <c r="U1278" s="5" t="s">
        <v>45</v>
      </c>
      <c r="V1278" s="57" t="s">
        <v>10</v>
      </c>
      <c r="W1278" s="51">
        <v>0.2</v>
      </c>
      <c r="X1278" s="357" t="s">
        <v>53</v>
      </c>
      <c r="Y1278" s="351" t="s">
        <v>353</v>
      </c>
      <c r="Z1278" s="5" t="s">
        <v>13</v>
      </c>
      <c r="AA1278" s="112" t="s">
        <v>11</v>
      </c>
    </row>
    <row r="1279" spans="1:29" ht="15.75" thickBot="1" x14ac:dyDescent="0.3">
      <c r="A1279" s="400">
        <v>45955</v>
      </c>
      <c r="B1279" s="401">
        <v>10</v>
      </c>
      <c r="C1279" s="474"/>
      <c r="D1279" s="401" t="s">
        <v>145</v>
      </c>
      <c r="E1279" s="404">
        <v>0.8</v>
      </c>
      <c r="F1279" s="404"/>
      <c r="G1279" s="363">
        <v>0</v>
      </c>
      <c r="H1279" s="363">
        <v>2</v>
      </c>
      <c r="I1279" s="475">
        <v>2.1800000000000002</v>
      </c>
      <c r="J1279" s="475"/>
      <c r="K1279" s="474"/>
      <c r="L1279" s="401" t="s">
        <v>91</v>
      </c>
      <c r="M1279" s="235"/>
      <c r="N1279" s="347"/>
      <c r="O1279" s="343" t="s">
        <v>145</v>
      </c>
      <c r="P1279" s="199" t="s">
        <v>814</v>
      </c>
      <c r="Q1279" s="199" t="s">
        <v>483</v>
      </c>
      <c r="R1279" s="199" t="s">
        <v>707</v>
      </c>
      <c r="S1279" s="7">
        <v>68</v>
      </c>
      <c r="T1279" s="199"/>
      <c r="U1279" s="199"/>
      <c r="V1279" s="201"/>
      <c r="W1279" s="202"/>
      <c r="X1279" s="359"/>
      <c r="Y1279" s="353">
        <f>H1279</f>
        <v>2</v>
      </c>
      <c r="Z1279" s="199"/>
      <c r="AA1279" s="204"/>
      <c r="AB1279" s="205"/>
      <c r="AC1279" s="201"/>
    </row>
    <row r="1280" spans="1:29" ht="15.75" thickBot="1" x14ac:dyDescent="0.3">
      <c r="A1280" s="400">
        <v>45955</v>
      </c>
      <c r="B1280" s="401">
        <v>10</v>
      </c>
      <c r="C1280" s="474"/>
      <c r="D1280" s="401" t="s">
        <v>145</v>
      </c>
      <c r="E1280" s="404">
        <v>0.8</v>
      </c>
      <c r="F1280" s="404"/>
      <c r="G1280" s="363">
        <v>0</v>
      </c>
      <c r="H1280" s="363">
        <v>2</v>
      </c>
      <c r="I1280" s="475">
        <v>2.1800000000000002</v>
      </c>
      <c r="J1280" s="475"/>
      <c r="K1280" s="474"/>
      <c r="L1280" s="401" t="s">
        <v>91</v>
      </c>
      <c r="M1280" s="235"/>
      <c r="N1280" s="347"/>
      <c r="O1280" s="343" t="s">
        <v>91</v>
      </c>
      <c r="P1280" s="199" t="s">
        <v>826</v>
      </c>
      <c r="Q1280" s="199" t="s">
        <v>827</v>
      </c>
      <c r="R1280" s="199" t="s">
        <v>707</v>
      </c>
      <c r="S1280" s="7">
        <v>77</v>
      </c>
      <c r="T1280" s="199"/>
      <c r="U1280" s="199"/>
      <c r="V1280" s="201"/>
      <c r="W1280" s="202"/>
      <c r="X1280" s="359"/>
      <c r="Y1280" s="353">
        <f>G1279</f>
        <v>0</v>
      </c>
      <c r="Z1280" s="199"/>
      <c r="AA1280" s="204"/>
      <c r="AB1280" s="205"/>
      <c r="AC1280" s="201"/>
    </row>
    <row r="1281" spans="1:29" x14ac:dyDescent="0.25">
      <c r="A1281" s="329">
        <v>45956</v>
      </c>
      <c r="B1281" s="5">
        <v>10</v>
      </c>
      <c r="C1281" s="121" t="s">
        <v>693</v>
      </c>
      <c r="D1281" s="5" t="s">
        <v>112</v>
      </c>
      <c r="E1281" s="6">
        <v>1.58</v>
      </c>
      <c r="G1281" s="362">
        <v>1</v>
      </c>
      <c r="H1281" s="362">
        <v>1</v>
      </c>
      <c r="I1281" s="8">
        <v>2.08</v>
      </c>
      <c r="K1281" s="121" t="s">
        <v>694</v>
      </c>
      <c r="L1281" s="5" t="s">
        <v>129</v>
      </c>
      <c r="N1281" s="476">
        <v>19</v>
      </c>
      <c r="O1281" s="477" t="s">
        <v>112</v>
      </c>
      <c r="P1281" s="478" t="s">
        <v>805</v>
      </c>
      <c r="Q1281" s="478" t="s">
        <v>828</v>
      </c>
      <c r="R1281" s="478" t="s">
        <v>687</v>
      </c>
      <c r="S1281" s="479">
        <v>69</v>
      </c>
      <c r="T1281" s="478" t="s">
        <v>44</v>
      </c>
      <c r="U1281" s="478" t="s">
        <v>43</v>
      </c>
      <c r="V1281" s="480" t="s">
        <v>540</v>
      </c>
      <c r="W1281" s="51">
        <v>7.0000000000000007E-2</v>
      </c>
      <c r="X1281" s="357" t="s">
        <v>53</v>
      </c>
      <c r="Z1281" s="5" t="s">
        <v>22</v>
      </c>
      <c r="AA1281" s="112" t="s">
        <v>28</v>
      </c>
    </row>
    <row r="1282" spans="1:29" x14ac:dyDescent="0.25">
      <c r="A1282" s="329">
        <v>45956</v>
      </c>
      <c r="B1282" s="5">
        <v>10</v>
      </c>
      <c r="D1282" s="5" t="s">
        <v>112</v>
      </c>
      <c r="E1282" s="6">
        <v>1.58</v>
      </c>
      <c r="G1282" s="362">
        <v>1</v>
      </c>
      <c r="H1282" s="362">
        <v>1</v>
      </c>
      <c r="I1282" s="8">
        <v>2.08</v>
      </c>
      <c r="L1282" s="5" t="s">
        <v>129</v>
      </c>
      <c r="N1282" s="345">
        <v>22</v>
      </c>
      <c r="O1282" s="38" t="s">
        <v>129</v>
      </c>
      <c r="P1282" s="5" t="s">
        <v>822</v>
      </c>
      <c r="Q1282" s="5" t="s">
        <v>435</v>
      </c>
      <c r="R1282" s="5" t="s">
        <v>717</v>
      </c>
      <c r="S1282" s="7">
        <v>72</v>
      </c>
      <c r="T1282" s="5" t="s">
        <v>44</v>
      </c>
      <c r="U1282" s="5" t="s">
        <v>42</v>
      </c>
      <c r="V1282" s="57" t="s">
        <v>10</v>
      </c>
      <c r="W1282" s="51">
        <v>0.04</v>
      </c>
      <c r="X1282" s="357" t="s">
        <v>53</v>
      </c>
      <c r="Z1282" s="5" t="s">
        <v>52</v>
      </c>
      <c r="AA1282" s="112" t="s">
        <v>28</v>
      </c>
    </row>
    <row r="1283" spans="1:29" x14ac:dyDescent="0.25">
      <c r="A1283" s="329">
        <v>45956</v>
      </c>
      <c r="B1283" s="5">
        <v>10</v>
      </c>
      <c r="D1283" s="5" t="s">
        <v>112</v>
      </c>
      <c r="E1283" s="6">
        <v>1.58</v>
      </c>
      <c r="G1283" s="362">
        <v>1</v>
      </c>
      <c r="H1283" s="362">
        <v>1</v>
      </c>
      <c r="I1283" s="8">
        <v>2.08</v>
      </c>
      <c r="L1283" s="5" t="s">
        <v>129</v>
      </c>
      <c r="N1283" s="345">
        <v>22</v>
      </c>
      <c r="O1283" s="38" t="s">
        <v>129</v>
      </c>
      <c r="P1283" s="5" t="s">
        <v>831</v>
      </c>
      <c r="Q1283" s="5" t="s">
        <v>105</v>
      </c>
      <c r="R1283" s="5" t="s">
        <v>718</v>
      </c>
      <c r="S1283" s="7">
        <v>73</v>
      </c>
      <c r="T1283" s="5" t="s">
        <v>47</v>
      </c>
      <c r="U1283" s="5" t="s">
        <v>43</v>
      </c>
      <c r="V1283" s="57" t="s">
        <v>540</v>
      </c>
      <c r="W1283" s="51">
        <v>0.65</v>
      </c>
      <c r="X1283" s="357">
        <v>0.95</v>
      </c>
      <c r="Y1283" s="351" t="s">
        <v>353</v>
      </c>
      <c r="Z1283" s="5" t="s">
        <v>8</v>
      </c>
      <c r="AA1283" s="112" t="s">
        <v>9</v>
      </c>
    </row>
    <row r="1284" spans="1:29" x14ac:dyDescent="0.25">
      <c r="A1284" s="329">
        <v>45956</v>
      </c>
      <c r="B1284" s="5">
        <v>10</v>
      </c>
      <c r="D1284" s="5" t="s">
        <v>112</v>
      </c>
      <c r="E1284" s="6">
        <v>1.58</v>
      </c>
      <c r="G1284" s="362">
        <v>1</v>
      </c>
      <c r="H1284" s="362">
        <v>1</v>
      </c>
      <c r="I1284" s="8">
        <v>2.08</v>
      </c>
      <c r="L1284" s="5" t="s">
        <v>129</v>
      </c>
      <c r="N1284" s="476">
        <v>24</v>
      </c>
      <c r="O1284" s="477" t="s">
        <v>112</v>
      </c>
      <c r="P1284" s="478" t="s">
        <v>805</v>
      </c>
      <c r="Q1284" s="478" t="s">
        <v>244</v>
      </c>
      <c r="R1284" s="478" t="s">
        <v>686</v>
      </c>
      <c r="S1284" s="479">
        <v>68</v>
      </c>
      <c r="T1284" s="478" t="s">
        <v>47</v>
      </c>
      <c r="U1284" s="478" t="s">
        <v>42</v>
      </c>
      <c r="V1284" s="480" t="s">
        <v>10</v>
      </c>
      <c r="W1284" s="51">
        <v>0.46</v>
      </c>
      <c r="X1284" s="357" t="s">
        <v>53</v>
      </c>
      <c r="Y1284" s="351" t="s">
        <v>353</v>
      </c>
      <c r="Z1284" s="5" t="s">
        <v>22</v>
      </c>
      <c r="AA1284" s="112" t="s">
        <v>9</v>
      </c>
    </row>
    <row r="1285" spans="1:29" x14ac:dyDescent="0.25">
      <c r="A1285" s="329">
        <v>45956</v>
      </c>
      <c r="B1285" s="5">
        <v>10</v>
      </c>
      <c r="D1285" s="5" t="s">
        <v>112</v>
      </c>
      <c r="E1285" s="6">
        <v>1.58</v>
      </c>
      <c r="G1285" s="362">
        <v>1</v>
      </c>
      <c r="H1285" s="362">
        <v>1</v>
      </c>
      <c r="I1285" s="8">
        <v>2.08</v>
      </c>
      <c r="L1285" s="5" t="s">
        <v>129</v>
      </c>
      <c r="N1285" s="476">
        <v>28</v>
      </c>
      <c r="O1285" s="477" t="s">
        <v>112</v>
      </c>
      <c r="P1285" s="478" t="s">
        <v>829</v>
      </c>
      <c r="Q1285" s="478" t="s">
        <v>115</v>
      </c>
      <c r="R1285" s="478" t="s">
        <v>684</v>
      </c>
      <c r="S1285" s="479">
        <v>64</v>
      </c>
      <c r="T1285" s="478" t="s">
        <v>41</v>
      </c>
      <c r="U1285" s="478" t="s">
        <v>43</v>
      </c>
      <c r="V1285" s="480" t="s">
        <v>20</v>
      </c>
      <c r="W1285" s="51">
        <v>0.1</v>
      </c>
      <c r="X1285" s="357">
        <v>0.24</v>
      </c>
      <c r="Y1285" s="351" t="s">
        <v>353</v>
      </c>
      <c r="Z1285" s="5" t="s">
        <v>48</v>
      </c>
      <c r="AA1285" s="112" t="s">
        <v>9</v>
      </c>
    </row>
    <row r="1286" spans="1:29" x14ac:dyDescent="0.25">
      <c r="A1286" s="329">
        <v>45956</v>
      </c>
      <c r="B1286" s="5">
        <v>10</v>
      </c>
      <c r="D1286" s="5" t="s">
        <v>112</v>
      </c>
      <c r="E1286" s="6">
        <v>1.58</v>
      </c>
      <c r="G1286" s="362">
        <v>1</v>
      </c>
      <c r="H1286" s="362">
        <v>1</v>
      </c>
      <c r="I1286" s="8">
        <v>2.08</v>
      </c>
      <c r="L1286" s="5" t="s">
        <v>129</v>
      </c>
      <c r="N1286" s="345">
        <v>29</v>
      </c>
      <c r="O1286" s="38" t="s">
        <v>129</v>
      </c>
      <c r="P1286" s="5" t="s">
        <v>831</v>
      </c>
      <c r="Q1286" s="5" t="s">
        <v>105</v>
      </c>
      <c r="R1286" s="5" t="s">
        <v>718</v>
      </c>
      <c r="S1286" s="7">
        <v>73</v>
      </c>
      <c r="T1286" s="5" t="s">
        <v>41</v>
      </c>
      <c r="U1286" s="5" t="s">
        <v>42</v>
      </c>
      <c r="V1286" s="57" t="s">
        <v>10</v>
      </c>
      <c r="W1286" s="51">
        <v>0.26</v>
      </c>
      <c r="X1286" s="357" t="s">
        <v>53</v>
      </c>
      <c r="Y1286" s="351" t="s">
        <v>353</v>
      </c>
      <c r="Z1286" s="5" t="s">
        <v>13</v>
      </c>
      <c r="AA1286" s="112" t="s">
        <v>9</v>
      </c>
    </row>
    <row r="1287" spans="1:29" x14ac:dyDescent="0.25">
      <c r="A1287" s="329">
        <v>45956</v>
      </c>
      <c r="B1287" s="5">
        <v>10</v>
      </c>
      <c r="D1287" s="5" t="s">
        <v>112</v>
      </c>
      <c r="E1287" s="6">
        <v>1.58</v>
      </c>
      <c r="G1287" s="362">
        <v>1</v>
      </c>
      <c r="H1287" s="362">
        <v>1</v>
      </c>
      <c r="I1287" s="8">
        <v>2.08</v>
      </c>
      <c r="L1287" s="5" t="s">
        <v>129</v>
      </c>
      <c r="N1287" s="476">
        <v>31</v>
      </c>
      <c r="O1287" s="477" t="s">
        <v>112</v>
      </c>
      <c r="P1287" s="478" t="s">
        <v>807</v>
      </c>
      <c r="Q1287" s="478" t="s">
        <v>664</v>
      </c>
      <c r="R1287" s="478" t="s">
        <v>699</v>
      </c>
      <c r="S1287" s="479">
        <v>63</v>
      </c>
      <c r="T1287" s="478" t="s">
        <v>41</v>
      </c>
      <c r="U1287" s="478" t="s">
        <v>42</v>
      </c>
      <c r="V1287" s="480" t="s">
        <v>10</v>
      </c>
      <c r="W1287" s="51">
        <v>0.17</v>
      </c>
      <c r="X1287" s="357" t="s">
        <v>53</v>
      </c>
      <c r="Y1287" s="351" t="s">
        <v>353</v>
      </c>
      <c r="Z1287" s="5" t="s">
        <v>55</v>
      </c>
      <c r="AA1287" s="112" t="s">
        <v>9</v>
      </c>
    </row>
    <row r="1288" spans="1:29" x14ac:dyDescent="0.25">
      <c r="A1288" s="329">
        <v>45956</v>
      </c>
      <c r="B1288" s="5">
        <v>10</v>
      </c>
      <c r="D1288" s="5" t="s">
        <v>112</v>
      </c>
      <c r="E1288" s="6">
        <v>1.58</v>
      </c>
      <c r="G1288" s="362">
        <v>1</v>
      </c>
      <c r="H1288" s="362">
        <v>1</v>
      </c>
      <c r="I1288" s="8">
        <v>2.08</v>
      </c>
      <c r="L1288" s="5" t="s">
        <v>129</v>
      </c>
      <c r="N1288" s="476">
        <v>39</v>
      </c>
      <c r="O1288" s="477" t="s">
        <v>112</v>
      </c>
      <c r="P1288" s="478" t="s">
        <v>807</v>
      </c>
      <c r="Q1288" s="478" t="s">
        <v>664</v>
      </c>
      <c r="R1288" s="478" t="s">
        <v>699</v>
      </c>
      <c r="S1288" s="479">
        <v>63</v>
      </c>
      <c r="T1288" s="478" t="s">
        <v>41</v>
      </c>
      <c r="U1288" s="478" t="s">
        <v>42</v>
      </c>
      <c r="V1288" s="480" t="s">
        <v>10</v>
      </c>
      <c r="W1288" s="51">
        <v>0.04</v>
      </c>
      <c r="X1288" s="357" t="s">
        <v>53</v>
      </c>
      <c r="Z1288" s="5" t="s">
        <v>16</v>
      </c>
      <c r="AA1288" s="112" t="s">
        <v>9</v>
      </c>
    </row>
    <row r="1289" spans="1:29" x14ac:dyDescent="0.25">
      <c r="A1289" s="329">
        <v>45956</v>
      </c>
      <c r="B1289" s="5">
        <v>10</v>
      </c>
      <c r="D1289" s="5" t="s">
        <v>112</v>
      </c>
      <c r="E1289" s="6">
        <v>1.58</v>
      </c>
      <c r="G1289" s="362">
        <v>1</v>
      </c>
      <c r="H1289" s="362">
        <v>1</v>
      </c>
      <c r="I1289" s="8">
        <v>2.08</v>
      </c>
      <c r="L1289" s="5" t="s">
        <v>129</v>
      </c>
      <c r="N1289" s="476">
        <v>44</v>
      </c>
      <c r="O1289" s="477" t="s">
        <v>112</v>
      </c>
      <c r="P1289" s="478" t="s">
        <v>805</v>
      </c>
      <c r="Q1289" s="478" t="s">
        <v>244</v>
      </c>
      <c r="R1289" s="478" t="s">
        <v>686</v>
      </c>
      <c r="S1289" s="479">
        <v>68</v>
      </c>
      <c r="T1289" s="478" t="s">
        <v>41</v>
      </c>
      <c r="U1289" s="478" t="s">
        <v>42</v>
      </c>
      <c r="V1289" s="480" t="s">
        <v>540</v>
      </c>
      <c r="W1289" s="51">
        <v>0.09</v>
      </c>
      <c r="X1289" s="357">
        <v>0.28999999999999998</v>
      </c>
      <c r="Z1289" s="5" t="s">
        <v>48</v>
      </c>
      <c r="AA1289" s="112" t="s">
        <v>9</v>
      </c>
    </row>
    <row r="1290" spans="1:29" x14ac:dyDescent="0.25">
      <c r="A1290" s="329">
        <v>45956</v>
      </c>
      <c r="B1290" s="5">
        <v>10</v>
      </c>
      <c r="D1290" s="5" t="s">
        <v>112</v>
      </c>
      <c r="E1290" s="6">
        <v>1.58</v>
      </c>
      <c r="G1290" s="362">
        <v>1</v>
      </c>
      <c r="H1290" s="362">
        <v>1</v>
      </c>
      <c r="I1290" s="8">
        <v>2.08</v>
      </c>
      <c r="L1290" s="5" t="s">
        <v>129</v>
      </c>
      <c r="N1290" s="476">
        <v>57</v>
      </c>
      <c r="O1290" s="477" t="s">
        <v>112</v>
      </c>
      <c r="P1290" s="478" t="s">
        <v>805</v>
      </c>
      <c r="Q1290" s="478" t="s">
        <v>244</v>
      </c>
      <c r="R1290" s="478" t="s">
        <v>686</v>
      </c>
      <c r="S1290" s="479">
        <v>68</v>
      </c>
      <c r="T1290" s="478" t="s">
        <v>41</v>
      </c>
      <c r="U1290" s="478" t="s">
        <v>45</v>
      </c>
      <c r="V1290" s="480" t="s">
        <v>10</v>
      </c>
      <c r="W1290" s="51">
        <v>0.14000000000000001</v>
      </c>
      <c r="X1290" s="357">
        <v>0.12</v>
      </c>
      <c r="Y1290" s="351" t="s">
        <v>353</v>
      </c>
      <c r="Z1290" s="5" t="s">
        <v>48</v>
      </c>
      <c r="AA1290" s="112" t="s">
        <v>9</v>
      </c>
    </row>
    <row r="1291" spans="1:29" x14ac:dyDescent="0.25">
      <c r="A1291" s="329">
        <v>45956</v>
      </c>
      <c r="B1291" s="5">
        <v>10</v>
      </c>
      <c r="D1291" s="5" t="s">
        <v>112</v>
      </c>
      <c r="E1291" s="6">
        <v>1.58</v>
      </c>
      <c r="G1291" s="362">
        <v>1</v>
      </c>
      <c r="H1291" s="362">
        <v>1</v>
      </c>
      <c r="I1291" s="8">
        <v>2.08</v>
      </c>
      <c r="L1291" s="5" t="s">
        <v>129</v>
      </c>
      <c r="N1291" s="476">
        <v>69</v>
      </c>
      <c r="O1291" s="477" t="s">
        <v>112</v>
      </c>
      <c r="P1291" s="478" t="s">
        <v>829</v>
      </c>
      <c r="Q1291" s="478" t="s">
        <v>115</v>
      </c>
      <c r="R1291" s="478" t="s">
        <v>684</v>
      </c>
      <c r="S1291" s="479">
        <v>64</v>
      </c>
      <c r="T1291" s="478" t="s">
        <v>41</v>
      </c>
      <c r="U1291" s="478" t="s">
        <v>45</v>
      </c>
      <c r="V1291" s="480" t="s">
        <v>20</v>
      </c>
      <c r="W1291" s="51">
        <v>0.05</v>
      </c>
      <c r="X1291" s="357" t="s">
        <v>53</v>
      </c>
      <c r="Z1291" s="5" t="s">
        <v>55</v>
      </c>
      <c r="AA1291" s="112" t="s">
        <v>9</v>
      </c>
    </row>
    <row r="1292" spans="1:29" x14ac:dyDescent="0.25">
      <c r="A1292" s="329">
        <v>45956</v>
      </c>
      <c r="B1292" s="5">
        <v>10</v>
      </c>
      <c r="D1292" s="5" t="s">
        <v>112</v>
      </c>
      <c r="E1292" s="6">
        <v>1.58</v>
      </c>
      <c r="G1292" s="362">
        <v>1</v>
      </c>
      <c r="H1292" s="362">
        <v>1</v>
      </c>
      <c r="I1292" s="8">
        <v>2.08</v>
      </c>
      <c r="L1292" s="5" t="s">
        <v>129</v>
      </c>
      <c r="N1292" s="345">
        <v>70</v>
      </c>
      <c r="O1292" s="38" t="s">
        <v>129</v>
      </c>
      <c r="P1292" s="5" t="s">
        <v>805</v>
      </c>
      <c r="Q1292" s="5" t="s">
        <v>21</v>
      </c>
      <c r="R1292" s="5" t="s">
        <v>688</v>
      </c>
      <c r="S1292" s="7">
        <v>63</v>
      </c>
      <c r="T1292" s="5" t="s">
        <v>47</v>
      </c>
      <c r="U1292" s="5" t="s">
        <v>43</v>
      </c>
      <c r="V1292" s="57" t="s">
        <v>10</v>
      </c>
      <c r="W1292" s="51">
        <v>0.27</v>
      </c>
      <c r="X1292" s="357">
        <v>0.37</v>
      </c>
      <c r="Y1292" s="351" t="s">
        <v>353</v>
      </c>
      <c r="Z1292" s="5" t="s">
        <v>48</v>
      </c>
      <c r="AA1292" s="112" t="s">
        <v>9</v>
      </c>
    </row>
    <row r="1293" spans="1:29" x14ac:dyDescent="0.25">
      <c r="A1293" s="329">
        <v>45956</v>
      </c>
      <c r="B1293" s="5">
        <v>10</v>
      </c>
      <c r="D1293" s="5" t="s">
        <v>112</v>
      </c>
      <c r="E1293" s="6">
        <v>1.58</v>
      </c>
      <c r="G1293" s="362">
        <v>1</v>
      </c>
      <c r="H1293" s="362">
        <v>1</v>
      </c>
      <c r="I1293" s="8">
        <v>2.08</v>
      </c>
      <c r="L1293" s="5" t="s">
        <v>129</v>
      </c>
      <c r="N1293" s="476">
        <v>79</v>
      </c>
      <c r="O1293" s="477" t="s">
        <v>112</v>
      </c>
      <c r="P1293" s="478" t="s">
        <v>819</v>
      </c>
      <c r="Q1293" s="478" t="s">
        <v>517</v>
      </c>
      <c r="R1293" s="478" t="s">
        <v>689</v>
      </c>
      <c r="S1293" s="479">
        <v>80</v>
      </c>
      <c r="T1293" s="478" t="s">
        <v>44</v>
      </c>
      <c r="U1293" s="478" t="s">
        <v>43</v>
      </c>
      <c r="V1293" s="480" t="s">
        <v>10</v>
      </c>
      <c r="W1293" s="51">
        <v>0.02</v>
      </c>
      <c r="X1293" s="357">
        <v>0.26</v>
      </c>
      <c r="Z1293" s="5" t="s">
        <v>8</v>
      </c>
      <c r="AA1293" s="112" t="s">
        <v>51</v>
      </c>
      <c r="AB1293" s="108" t="s">
        <v>413</v>
      </c>
      <c r="AC1293" s="57" t="s">
        <v>414</v>
      </c>
    </row>
    <row r="1294" spans="1:29" x14ac:dyDescent="0.25">
      <c r="A1294" s="329">
        <v>45956</v>
      </c>
      <c r="B1294" s="5">
        <v>10</v>
      </c>
      <c r="D1294" s="5" t="s">
        <v>112</v>
      </c>
      <c r="E1294" s="6">
        <v>1.58</v>
      </c>
      <c r="G1294" s="362">
        <v>1</v>
      </c>
      <c r="H1294" s="362">
        <v>1</v>
      </c>
      <c r="I1294" s="8">
        <v>2.08</v>
      </c>
      <c r="L1294" s="5" t="s">
        <v>129</v>
      </c>
      <c r="N1294" s="476">
        <v>86</v>
      </c>
      <c r="O1294" s="477" t="s">
        <v>112</v>
      </c>
      <c r="P1294" s="478" t="s">
        <v>814</v>
      </c>
      <c r="Q1294" s="478" t="s">
        <v>830</v>
      </c>
      <c r="R1294" s="478" t="s">
        <v>696</v>
      </c>
      <c r="S1294" s="479">
        <v>61</v>
      </c>
      <c r="T1294" s="478" t="s">
        <v>41</v>
      </c>
      <c r="U1294" s="478" t="s">
        <v>42</v>
      </c>
      <c r="V1294" s="480" t="s">
        <v>540</v>
      </c>
      <c r="W1294" s="51">
        <v>0.05</v>
      </c>
      <c r="X1294" s="357" t="s">
        <v>53</v>
      </c>
      <c r="Z1294" s="5" t="s">
        <v>55</v>
      </c>
      <c r="AA1294" s="112" t="s">
        <v>51</v>
      </c>
    </row>
    <row r="1295" spans="1:29" x14ac:dyDescent="0.25">
      <c r="A1295" s="329">
        <v>45956</v>
      </c>
      <c r="B1295" s="5">
        <v>10</v>
      </c>
      <c r="D1295" s="5" t="s">
        <v>112</v>
      </c>
      <c r="E1295" s="6">
        <v>1.58</v>
      </c>
      <c r="G1295" s="362">
        <v>1</v>
      </c>
      <c r="H1295" s="362">
        <v>1</v>
      </c>
      <c r="I1295" s="8">
        <v>2.08</v>
      </c>
      <c r="L1295" s="5" t="s">
        <v>129</v>
      </c>
      <c r="N1295" s="476">
        <v>90</v>
      </c>
      <c r="O1295" s="477" t="s">
        <v>112</v>
      </c>
      <c r="P1295" s="478" t="s">
        <v>810</v>
      </c>
      <c r="Q1295" s="478" t="s">
        <v>246</v>
      </c>
      <c r="R1295" s="478" t="s">
        <v>712</v>
      </c>
      <c r="S1295" s="479">
        <v>74</v>
      </c>
      <c r="T1295" s="478" t="s">
        <v>41</v>
      </c>
      <c r="U1295" s="478" t="s">
        <v>45</v>
      </c>
      <c r="V1295" s="480" t="s">
        <v>20</v>
      </c>
      <c r="W1295" s="51">
        <v>0.05</v>
      </c>
      <c r="X1295" s="357" t="s">
        <v>53</v>
      </c>
      <c r="Z1295" s="5" t="s">
        <v>16</v>
      </c>
      <c r="AA1295" s="112" t="s">
        <v>51</v>
      </c>
    </row>
    <row r="1296" spans="1:29" x14ac:dyDescent="0.25">
      <c r="A1296" s="329">
        <v>45956</v>
      </c>
      <c r="B1296" s="5">
        <v>10</v>
      </c>
      <c r="D1296" s="5" t="s">
        <v>112</v>
      </c>
      <c r="E1296" s="6">
        <v>1.58</v>
      </c>
      <c r="G1296" s="362">
        <v>1</v>
      </c>
      <c r="H1296" s="362">
        <v>1</v>
      </c>
      <c r="I1296" s="8">
        <v>2.08</v>
      </c>
      <c r="L1296" s="5" t="s">
        <v>129</v>
      </c>
      <c r="N1296" s="345">
        <v>90</v>
      </c>
      <c r="O1296" s="38" t="s">
        <v>129</v>
      </c>
      <c r="P1296" s="5" t="s">
        <v>806</v>
      </c>
      <c r="Q1296" s="5" t="s">
        <v>201</v>
      </c>
      <c r="R1296" s="5" t="s">
        <v>696</v>
      </c>
      <c r="S1296" s="7">
        <v>59</v>
      </c>
      <c r="T1296" s="5" t="s">
        <v>41</v>
      </c>
      <c r="U1296" s="5" t="s">
        <v>43</v>
      </c>
      <c r="V1296" s="57" t="s">
        <v>10</v>
      </c>
      <c r="W1296" s="51">
        <v>0.1</v>
      </c>
      <c r="X1296" s="357" t="s">
        <v>53</v>
      </c>
      <c r="Z1296" s="5" t="s">
        <v>52</v>
      </c>
      <c r="AA1296" s="112" t="s">
        <v>51</v>
      </c>
    </row>
    <row r="1297" spans="1:29" x14ac:dyDescent="0.25">
      <c r="A1297" s="329">
        <v>45956</v>
      </c>
      <c r="B1297" s="5">
        <v>10</v>
      </c>
      <c r="D1297" s="5" t="s">
        <v>112</v>
      </c>
      <c r="E1297" s="6">
        <v>1.58</v>
      </c>
      <c r="G1297" s="362">
        <v>1</v>
      </c>
      <c r="H1297" s="362">
        <v>1</v>
      </c>
      <c r="I1297" s="8">
        <v>2.08</v>
      </c>
      <c r="L1297" s="5" t="s">
        <v>129</v>
      </c>
      <c r="N1297" s="345" t="s">
        <v>415</v>
      </c>
      <c r="O1297" s="38" t="s">
        <v>129</v>
      </c>
      <c r="P1297" s="5" t="s">
        <v>832</v>
      </c>
      <c r="Q1297" s="5" t="s">
        <v>265</v>
      </c>
      <c r="R1297" s="5" t="s">
        <v>696</v>
      </c>
      <c r="S1297" s="7">
        <v>66</v>
      </c>
      <c r="T1297" s="5" t="s">
        <v>47</v>
      </c>
      <c r="U1297" s="5" t="s">
        <v>42</v>
      </c>
      <c r="V1297" s="57" t="s">
        <v>18</v>
      </c>
      <c r="W1297" s="51">
        <v>0.27</v>
      </c>
      <c r="X1297" s="357">
        <v>0.21</v>
      </c>
      <c r="Y1297" s="351" t="s">
        <v>353</v>
      </c>
      <c r="Z1297" s="5" t="s">
        <v>48</v>
      </c>
      <c r="AA1297" s="112" t="s">
        <v>51</v>
      </c>
    </row>
    <row r="1298" spans="1:29" ht="15.75" thickBot="1" x14ac:dyDescent="0.3">
      <c r="A1298" s="400">
        <v>45956</v>
      </c>
      <c r="B1298" s="401">
        <v>10</v>
      </c>
      <c r="C1298" s="474"/>
      <c r="D1298" s="401" t="s">
        <v>112</v>
      </c>
      <c r="E1298" s="404">
        <v>1.58</v>
      </c>
      <c r="F1298" s="404"/>
      <c r="G1298" s="363">
        <v>1</v>
      </c>
      <c r="H1298" s="363">
        <v>1</v>
      </c>
      <c r="I1298" s="475">
        <v>2.08</v>
      </c>
      <c r="J1298" s="475"/>
      <c r="K1298" s="474"/>
      <c r="L1298" s="401" t="s">
        <v>129</v>
      </c>
      <c r="M1298" s="235"/>
      <c r="N1298" s="347"/>
      <c r="O1298" s="343" t="s">
        <v>112</v>
      </c>
      <c r="P1298" s="199" t="s">
        <v>826</v>
      </c>
      <c r="Q1298" s="199" t="s">
        <v>464</v>
      </c>
      <c r="R1298" s="199" t="s">
        <v>707</v>
      </c>
      <c r="S1298" s="7">
        <v>68</v>
      </c>
      <c r="T1298" s="199"/>
      <c r="U1298" s="199"/>
      <c r="V1298" s="201"/>
      <c r="W1298" s="202"/>
      <c r="X1298" s="359"/>
      <c r="Y1298" s="353">
        <f>H1298</f>
        <v>1</v>
      </c>
      <c r="Z1298" s="199"/>
      <c r="AA1298" s="204"/>
      <c r="AB1298" s="205"/>
      <c r="AC1298" s="201"/>
    </row>
    <row r="1299" spans="1:29" ht="15.75" thickBot="1" x14ac:dyDescent="0.3">
      <c r="A1299" s="400">
        <v>45956</v>
      </c>
      <c r="B1299" s="401">
        <v>10</v>
      </c>
      <c r="C1299" s="474"/>
      <c r="D1299" s="401" t="s">
        <v>112</v>
      </c>
      <c r="E1299" s="404">
        <v>1.58</v>
      </c>
      <c r="F1299" s="404"/>
      <c r="G1299" s="363">
        <v>1</v>
      </c>
      <c r="H1299" s="363">
        <v>1</v>
      </c>
      <c r="I1299" s="475">
        <v>2.08</v>
      </c>
      <c r="J1299" s="475"/>
      <c r="K1299" s="474"/>
      <c r="L1299" s="401" t="s">
        <v>129</v>
      </c>
      <c r="M1299" s="235"/>
      <c r="N1299" s="347"/>
      <c r="O1299" s="343" t="s">
        <v>129</v>
      </c>
      <c r="P1299" s="199" t="s">
        <v>805</v>
      </c>
      <c r="Q1299" s="199" t="s">
        <v>732</v>
      </c>
      <c r="R1299" s="199" t="s">
        <v>707</v>
      </c>
      <c r="S1299" s="7">
        <v>68</v>
      </c>
      <c r="T1299" s="199"/>
      <c r="U1299" s="199"/>
      <c r="V1299" s="201"/>
      <c r="W1299" s="202"/>
      <c r="X1299" s="359"/>
      <c r="Y1299" s="353">
        <f>G1298</f>
        <v>1</v>
      </c>
      <c r="Z1299" s="199"/>
      <c r="AA1299" s="204"/>
      <c r="AB1299" s="205"/>
      <c r="AC1299" s="201"/>
    </row>
    <row r="1300" spans="1:29" x14ac:dyDescent="0.25">
      <c r="A1300" s="329">
        <v>45956</v>
      </c>
      <c r="B1300" s="5">
        <v>10</v>
      </c>
      <c r="C1300" s="121" t="s">
        <v>697</v>
      </c>
      <c r="D1300" s="5" t="s">
        <v>226</v>
      </c>
      <c r="E1300" s="6">
        <v>3.63</v>
      </c>
      <c r="G1300" s="362">
        <v>2</v>
      </c>
      <c r="H1300" s="362">
        <v>1</v>
      </c>
      <c r="I1300" s="8">
        <v>1.03</v>
      </c>
      <c r="K1300" s="121" t="s">
        <v>693</v>
      </c>
      <c r="L1300" s="5" t="s">
        <v>113</v>
      </c>
      <c r="M1300" s="242" t="s">
        <v>835</v>
      </c>
      <c r="N1300" s="476">
        <v>22</v>
      </c>
      <c r="O1300" s="477" t="s">
        <v>226</v>
      </c>
      <c r="P1300" s="478" t="s">
        <v>833</v>
      </c>
      <c r="Q1300" s="478" t="s">
        <v>232</v>
      </c>
      <c r="R1300" s="478" t="s">
        <v>684</v>
      </c>
      <c r="S1300" s="479">
        <v>70</v>
      </c>
      <c r="T1300" s="478" t="s">
        <v>41</v>
      </c>
      <c r="U1300" s="478" t="s">
        <v>42</v>
      </c>
      <c r="V1300" s="480" t="s">
        <v>10</v>
      </c>
      <c r="W1300" s="51">
        <v>0.54</v>
      </c>
      <c r="X1300" s="357">
        <v>0.41</v>
      </c>
      <c r="Y1300" s="351" t="s">
        <v>353</v>
      </c>
      <c r="Z1300" s="5" t="s">
        <v>8</v>
      </c>
      <c r="AA1300" s="112" t="s">
        <v>19</v>
      </c>
      <c r="AB1300" s="108" t="s">
        <v>486</v>
      </c>
      <c r="AC1300" s="57" t="s">
        <v>487</v>
      </c>
    </row>
    <row r="1301" spans="1:29" x14ac:dyDescent="0.25">
      <c r="A1301" s="329">
        <v>45956</v>
      </c>
      <c r="B1301" s="5">
        <v>10</v>
      </c>
      <c r="D1301" s="5" t="s">
        <v>226</v>
      </c>
      <c r="E1301" s="6">
        <v>3.63</v>
      </c>
      <c r="G1301" s="362">
        <v>2</v>
      </c>
      <c r="H1301" s="362">
        <v>1</v>
      </c>
      <c r="I1301" s="8">
        <v>1.03</v>
      </c>
      <c r="L1301" s="5" t="s">
        <v>113</v>
      </c>
      <c r="M1301" s="242" t="s">
        <v>835</v>
      </c>
      <c r="N1301" s="476">
        <v>30</v>
      </c>
      <c r="O1301" s="477" t="s">
        <v>226</v>
      </c>
      <c r="P1301" s="478" t="s">
        <v>817</v>
      </c>
      <c r="Q1301" s="478" t="s">
        <v>230</v>
      </c>
      <c r="R1301" s="478" t="s">
        <v>712</v>
      </c>
      <c r="S1301" s="479">
        <v>67</v>
      </c>
      <c r="T1301" s="478" t="s">
        <v>41</v>
      </c>
      <c r="U1301" s="478" t="s">
        <v>42</v>
      </c>
      <c r="V1301" s="480" t="s">
        <v>20</v>
      </c>
      <c r="W1301" s="51">
        <v>0.34</v>
      </c>
      <c r="X1301" s="357">
        <v>0.85</v>
      </c>
      <c r="Y1301" s="351" t="s">
        <v>353</v>
      </c>
      <c r="Z1301" s="5" t="s">
        <v>48</v>
      </c>
      <c r="AA1301" s="112" t="s">
        <v>19</v>
      </c>
    </row>
    <row r="1302" spans="1:29" x14ac:dyDescent="0.25">
      <c r="A1302" s="329">
        <v>45956</v>
      </c>
      <c r="B1302" s="5">
        <v>10</v>
      </c>
      <c r="D1302" s="5" t="s">
        <v>226</v>
      </c>
      <c r="E1302" s="6">
        <v>3.63</v>
      </c>
      <c r="G1302" s="362">
        <v>2</v>
      </c>
      <c r="H1302" s="362">
        <v>1</v>
      </c>
      <c r="I1302" s="8">
        <v>1.03</v>
      </c>
      <c r="L1302" s="5" t="s">
        <v>113</v>
      </c>
      <c r="M1302" s="242" t="s">
        <v>835</v>
      </c>
      <c r="N1302" s="345">
        <v>34</v>
      </c>
      <c r="O1302" s="38" t="s">
        <v>113</v>
      </c>
      <c r="P1302" s="5" t="s">
        <v>816</v>
      </c>
      <c r="Q1302" s="5" t="s">
        <v>119</v>
      </c>
      <c r="R1302" s="5" t="s">
        <v>684</v>
      </c>
      <c r="S1302" s="7">
        <v>62</v>
      </c>
      <c r="T1302" s="5" t="s">
        <v>41</v>
      </c>
      <c r="U1302" s="5" t="s">
        <v>42</v>
      </c>
      <c r="V1302" s="57" t="s">
        <v>10</v>
      </c>
      <c r="W1302" s="51">
        <v>0.08</v>
      </c>
      <c r="X1302" s="357">
        <v>0.11</v>
      </c>
      <c r="Z1302" s="5" t="s">
        <v>48</v>
      </c>
      <c r="AA1302" s="112" t="s">
        <v>19</v>
      </c>
    </row>
    <row r="1303" spans="1:29" x14ac:dyDescent="0.25">
      <c r="A1303" s="329">
        <v>45956</v>
      </c>
      <c r="B1303" s="5">
        <v>10</v>
      </c>
      <c r="D1303" s="5" t="s">
        <v>226</v>
      </c>
      <c r="E1303" s="6">
        <v>3.63</v>
      </c>
      <c r="G1303" s="362">
        <v>2</v>
      </c>
      <c r="H1303" s="362">
        <v>1</v>
      </c>
      <c r="I1303" s="8">
        <v>1.03</v>
      </c>
      <c r="L1303" s="5" t="s">
        <v>113</v>
      </c>
      <c r="M1303" s="242" t="s">
        <v>835</v>
      </c>
      <c r="N1303" s="476">
        <v>35</v>
      </c>
      <c r="O1303" s="477" t="s">
        <v>226</v>
      </c>
      <c r="P1303" s="478" t="s">
        <v>829</v>
      </c>
      <c r="Q1303" s="478" t="s">
        <v>54</v>
      </c>
      <c r="R1303" s="478" t="s">
        <v>685</v>
      </c>
      <c r="S1303" s="479">
        <v>71</v>
      </c>
      <c r="T1303" s="478" t="s">
        <v>41</v>
      </c>
      <c r="U1303" s="478" t="s">
        <v>42</v>
      </c>
      <c r="V1303" s="480" t="s">
        <v>10</v>
      </c>
      <c r="W1303" s="51">
        <v>0.08</v>
      </c>
      <c r="X1303" s="357">
        <v>0.33</v>
      </c>
      <c r="Z1303" s="5" t="s">
        <v>48</v>
      </c>
      <c r="AA1303" s="112" t="s">
        <v>19</v>
      </c>
    </row>
    <row r="1304" spans="1:29" x14ac:dyDescent="0.25">
      <c r="A1304" s="329">
        <v>45956</v>
      </c>
      <c r="B1304" s="5">
        <v>10</v>
      </c>
      <c r="D1304" s="5" t="s">
        <v>226</v>
      </c>
      <c r="E1304" s="6">
        <v>3.63</v>
      </c>
      <c r="G1304" s="362">
        <v>2</v>
      </c>
      <c r="H1304" s="362">
        <v>1</v>
      </c>
      <c r="I1304" s="8">
        <v>1.03</v>
      </c>
      <c r="L1304" s="5" t="s">
        <v>113</v>
      </c>
      <c r="M1304" s="242" t="s">
        <v>835</v>
      </c>
      <c r="N1304" s="476">
        <v>37</v>
      </c>
      <c r="O1304" s="477" t="s">
        <v>226</v>
      </c>
      <c r="P1304" s="478" t="s">
        <v>814</v>
      </c>
      <c r="Q1304" s="478" t="s">
        <v>487</v>
      </c>
      <c r="R1304" s="478" t="s">
        <v>686</v>
      </c>
      <c r="S1304" s="479">
        <v>83</v>
      </c>
      <c r="T1304" s="478" t="s">
        <v>44</v>
      </c>
      <c r="U1304" s="478" t="s">
        <v>43</v>
      </c>
      <c r="V1304" s="480" t="s">
        <v>10</v>
      </c>
      <c r="W1304" s="51">
        <v>0.1</v>
      </c>
      <c r="X1304" s="357">
        <v>0.2</v>
      </c>
      <c r="Z1304" s="5" t="s">
        <v>48</v>
      </c>
      <c r="AA1304" s="112" t="s">
        <v>19</v>
      </c>
    </row>
    <row r="1305" spans="1:29" x14ac:dyDescent="0.25">
      <c r="A1305" s="329">
        <v>45956</v>
      </c>
      <c r="B1305" s="5">
        <v>10</v>
      </c>
      <c r="D1305" s="5" t="s">
        <v>226</v>
      </c>
      <c r="E1305" s="6">
        <v>3.63</v>
      </c>
      <c r="G1305" s="362">
        <v>2</v>
      </c>
      <c r="H1305" s="362">
        <v>1</v>
      </c>
      <c r="I1305" s="8">
        <v>1.03</v>
      </c>
      <c r="L1305" s="5" t="s">
        <v>113</v>
      </c>
      <c r="M1305" s="242" t="s">
        <v>835</v>
      </c>
      <c r="N1305" s="345">
        <v>38</v>
      </c>
      <c r="O1305" s="38" t="s">
        <v>113</v>
      </c>
      <c r="P1305" s="5" t="s">
        <v>816</v>
      </c>
      <c r="Q1305" s="5" t="s">
        <v>150</v>
      </c>
      <c r="R1305" s="5" t="s">
        <v>699</v>
      </c>
      <c r="S1305" s="7">
        <v>72</v>
      </c>
      <c r="T1305" s="5" t="s">
        <v>41</v>
      </c>
      <c r="U1305" s="5" t="s">
        <v>42</v>
      </c>
      <c r="V1305" s="57" t="s">
        <v>10</v>
      </c>
      <c r="W1305" s="51">
        <v>0.36</v>
      </c>
      <c r="X1305" s="357">
        <v>0.8</v>
      </c>
      <c r="Y1305" s="351" t="s">
        <v>353</v>
      </c>
      <c r="Z1305" s="5" t="s">
        <v>8</v>
      </c>
      <c r="AA1305" s="112" t="s">
        <v>51</v>
      </c>
      <c r="AB1305" s="108" t="s">
        <v>468</v>
      </c>
      <c r="AC1305" s="57" t="s">
        <v>469</v>
      </c>
    </row>
    <row r="1306" spans="1:29" x14ac:dyDescent="0.25">
      <c r="A1306" s="329">
        <v>45956</v>
      </c>
      <c r="B1306" s="5">
        <v>10</v>
      </c>
      <c r="D1306" s="5" t="s">
        <v>226</v>
      </c>
      <c r="E1306" s="6">
        <v>3.63</v>
      </c>
      <c r="G1306" s="362">
        <v>2</v>
      </c>
      <c r="H1306" s="362">
        <v>1</v>
      </c>
      <c r="I1306" s="8">
        <v>1.03</v>
      </c>
      <c r="L1306" s="5" t="s">
        <v>113</v>
      </c>
      <c r="M1306" s="242" t="s">
        <v>835</v>
      </c>
      <c r="N1306" s="345">
        <v>41</v>
      </c>
      <c r="O1306" s="38" t="s">
        <v>113</v>
      </c>
      <c r="P1306" s="5" t="s">
        <v>816</v>
      </c>
      <c r="Q1306" s="5" t="s">
        <v>150</v>
      </c>
      <c r="R1306" s="5" t="s">
        <v>699</v>
      </c>
      <c r="S1306" s="7">
        <v>72</v>
      </c>
      <c r="T1306" s="5" t="s">
        <v>47</v>
      </c>
      <c r="U1306" s="5" t="s">
        <v>45</v>
      </c>
      <c r="V1306" s="57" t="s">
        <v>20</v>
      </c>
      <c r="W1306" s="51">
        <v>0.13</v>
      </c>
      <c r="X1306" s="357" t="s">
        <v>53</v>
      </c>
      <c r="Z1306" s="5" t="s">
        <v>744</v>
      </c>
      <c r="AA1306" s="112" t="s">
        <v>51</v>
      </c>
      <c r="AB1306" s="108" t="s">
        <v>229</v>
      </c>
      <c r="AC1306" s="57" t="s">
        <v>230</v>
      </c>
    </row>
    <row r="1307" spans="1:29" x14ac:dyDescent="0.25">
      <c r="A1307" s="329">
        <v>45956</v>
      </c>
      <c r="B1307" s="5">
        <v>10</v>
      </c>
      <c r="D1307" s="5" t="s">
        <v>226</v>
      </c>
      <c r="E1307" s="6">
        <v>3.63</v>
      </c>
      <c r="G1307" s="362">
        <v>2</v>
      </c>
      <c r="H1307" s="362">
        <v>1</v>
      </c>
      <c r="I1307" s="8">
        <v>1.03</v>
      </c>
      <c r="L1307" s="5" t="s">
        <v>113</v>
      </c>
      <c r="M1307" s="242" t="s">
        <v>835</v>
      </c>
      <c r="N1307" s="476">
        <v>43</v>
      </c>
      <c r="O1307" s="477" t="s">
        <v>226</v>
      </c>
      <c r="P1307" s="478" t="s">
        <v>814</v>
      </c>
      <c r="Q1307" s="478" t="s">
        <v>487</v>
      </c>
      <c r="R1307" s="478" t="s">
        <v>686</v>
      </c>
      <c r="S1307" s="479">
        <v>83</v>
      </c>
      <c r="T1307" s="478" t="s">
        <v>47</v>
      </c>
      <c r="U1307" s="478" t="s">
        <v>42</v>
      </c>
      <c r="V1307" s="480" t="s">
        <v>33</v>
      </c>
      <c r="W1307" s="51">
        <v>0.82</v>
      </c>
      <c r="X1307" s="357">
        <v>0.99</v>
      </c>
      <c r="Y1307" s="351" t="s">
        <v>353</v>
      </c>
      <c r="Z1307" s="5" t="s">
        <v>8</v>
      </c>
      <c r="AA1307" s="112" t="s">
        <v>34</v>
      </c>
      <c r="AB1307" s="108" t="s">
        <v>372</v>
      </c>
      <c r="AC1307" s="57" t="s">
        <v>373</v>
      </c>
    </row>
    <row r="1308" spans="1:29" x14ac:dyDescent="0.25">
      <c r="A1308" s="329">
        <v>45956</v>
      </c>
      <c r="B1308" s="5">
        <v>10</v>
      </c>
      <c r="D1308" s="5" t="s">
        <v>226</v>
      </c>
      <c r="E1308" s="6">
        <v>3.63</v>
      </c>
      <c r="G1308" s="362">
        <v>2</v>
      </c>
      <c r="H1308" s="362">
        <v>1</v>
      </c>
      <c r="I1308" s="8">
        <v>1.03</v>
      </c>
      <c r="L1308" s="5" t="s">
        <v>113</v>
      </c>
      <c r="M1308" s="242" t="s">
        <v>835</v>
      </c>
      <c r="N1308" s="476" t="s">
        <v>68</v>
      </c>
      <c r="O1308" s="477" t="s">
        <v>226</v>
      </c>
      <c r="P1308" s="478" t="s">
        <v>814</v>
      </c>
      <c r="Q1308" s="478" t="s">
        <v>487</v>
      </c>
      <c r="R1308" s="478" t="s">
        <v>686</v>
      </c>
      <c r="S1308" s="479">
        <v>83</v>
      </c>
      <c r="T1308" s="478" t="s">
        <v>41</v>
      </c>
      <c r="U1308" s="478" t="s">
        <v>42</v>
      </c>
      <c r="V1308" s="480" t="s">
        <v>10</v>
      </c>
      <c r="W1308" s="51">
        <v>0.18</v>
      </c>
      <c r="X1308" s="357">
        <v>0.23</v>
      </c>
      <c r="Z1308" s="5" t="s">
        <v>48</v>
      </c>
      <c r="AA1308" s="112" t="s">
        <v>34</v>
      </c>
    </row>
    <row r="1309" spans="1:29" x14ac:dyDescent="0.25">
      <c r="A1309" s="329">
        <v>45956</v>
      </c>
      <c r="B1309" s="5">
        <v>10</v>
      </c>
      <c r="D1309" s="5" t="s">
        <v>226</v>
      </c>
      <c r="E1309" s="6">
        <v>3.63</v>
      </c>
      <c r="G1309" s="362">
        <v>2</v>
      </c>
      <c r="H1309" s="362">
        <v>1</v>
      </c>
      <c r="I1309" s="8">
        <v>1.03</v>
      </c>
      <c r="L1309" s="5" t="s">
        <v>113</v>
      </c>
      <c r="M1309" s="242" t="s">
        <v>835</v>
      </c>
      <c r="N1309" s="476">
        <v>52</v>
      </c>
      <c r="O1309" s="477" t="s">
        <v>226</v>
      </c>
      <c r="P1309" s="478" t="s">
        <v>833</v>
      </c>
      <c r="Q1309" s="478" t="s">
        <v>232</v>
      </c>
      <c r="R1309" s="478" t="s">
        <v>684</v>
      </c>
      <c r="S1309" s="479">
        <v>70</v>
      </c>
      <c r="T1309" s="478" t="s">
        <v>41</v>
      </c>
      <c r="U1309" s="478" t="s">
        <v>42</v>
      </c>
      <c r="V1309" s="480" t="s">
        <v>7</v>
      </c>
      <c r="W1309" s="51">
        <v>0.79</v>
      </c>
      <c r="X1309" s="357">
        <v>0.95</v>
      </c>
      <c r="Y1309" s="351" t="s">
        <v>353</v>
      </c>
      <c r="Z1309" s="5" t="s">
        <v>48</v>
      </c>
      <c r="AA1309" s="112" t="s">
        <v>34</v>
      </c>
    </row>
    <row r="1310" spans="1:29" x14ac:dyDescent="0.25">
      <c r="A1310" s="329">
        <v>45956</v>
      </c>
      <c r="B1310" s="5">
        <v>10</v>
      </c>
      <c r="D1310" s="5" t="s">
        <v>226</v>
      </c>
      <c r="E1310" s="6">
        <v>3.63</v>
      </c>
      <c r="G1310" s="362">
        <v>2</v>
      </c>
      <c r="H1310" s="362">
        <v>1</v>
      </c>
      <c r="I1310" s="8">
        <v>1.03</v>
      </c>
      <c r="L1310" s="5" t="s">
        <v>113</v>
      </c>
      <c r="M1310" s="242" t="s">
        <v>835</v>
      </c>
      <c r="N1310" s="345">
        <v>53</v>
      </c>
      <c r="O1310" s="38" t="s">
        <v>113</v>
      </c>
      <c r="P1310" s="5" t="s">
        <v>816</v>
      </c>
      <c r="Q1310" s="5" t="s">
        <v>150</v>
      </c>
      <c r="R1310" s="5" t="s">
        <v>699</v>
      </c>
      <c r="S1310" s="7">
        <v>72</v>
      </c>
      <c r="T1310" s="5" t="s">
        <v>44</v>
      </c>
      <c r="U1310" s="5" t="s">
        <v>42</v>
      </c>
      <c r="V1310" s="57" t="s">
        <v>10</v>
      </c>
      <c r="W1310" s="51">
        <v>0.13</v>
      </c>
      <c r="X1310" s="357">
        <v>0.03</v>
      </c>
      <c r="Z1310" s="5" t="s">
        <v>48</v>
      </c>
      <c r="AA1310" s="112" t="s">
        <v>34</v>
      </c>
    </row>
    <row r="1311" spans="1:29" x14ac:dyDescent="0.25">
      <c r="A1311" s="329">
        <v>45956</v>
      </c>
      <c r="B1311" s="5">
        <v>10</v>
      </c>
      <c r="D1311" s="5" t="s">
        <v>226</v>
      </c>
      <c r="E1311" s="6">
        <v>3.63</v>
      </c>
      <c r="G1311" s="362">
        <v>2</v>
      </c>
      <c r="H1311" s="362">
        <v>1</v>
      </c>
      <c r="I1311" s="8">
        <v>1.03</v>
      </c>
      <c r="L1311" s="5" t="s">
        <v>113</v>
      </c>
      <c r="M1311" s="242" t="s">
        <v>835</v>
      </c>
      <c r="N1311" s="345">
        <v>71</v>
      </c>
      <c r="O1311" s="38" t="s">
        <v>113</v>
      </c>
      <c r="P1311" s="5" t="s">
        <v>814</v>
      </c>
      <c r="Q1311" s="5" t="s">
        <v>532</v>
      </c>
      <c r="R1311" s="5" t="s">
        <v>689</v>
      </c>
      <c r="S1311" s="7">
        <v>64</v>
      </c>
      <c r="T1311" s="5" t="s">
        <v>47</v>
      </c>
      <c r="U1311" s="5" t="s">
        <v>45</v>
      </c>
      <c r="V1311" s="57" t="s">
        <v>20</v>
      </c>
      <c r="W1311" s="51">
        <v>0.1</v>
      </c>
      <c r="X1311" s="357" t="s">
        <v>53</v>
      </c>
      <c r="Z1311" s="5" t="s">
        <v>13</v>
      </c>
      <c r="AA1311" s="112" t="s">
        <v>34</v>
      </c>
    </row>
    <row r="1312" spans="1:29" x14ac:dyDescent="0.25">
      <c r="A1312" s="329">
        <v>45956</v>
      </c>
      <c r="B1312" s="5">
        <v>10</v>
      </c>
      <c r="D1312" s="5" t="s">
        <v>226</v>
      </c>
      <c r="E1312" s="6">
        <v>3.63</v>
      </c>
      <c r="G1312" s="362">
        <v>2</v>
      </c>
      <c r="H1312" s="362">
        <v>1</v>
      </c>
      <c r="I1312" s="8">
        <v>1.03</v>
      </c>
      <c r="L1312" s="5" t="s">
        <v>113</v>
      </c>
      <c r="M1312" s="242" t="s">
        <v>835</v>
      </c>
      <c r="N1312" s="476">
        <v>80</v>
      </c>
      <c r="O1312" s="477" t="s">
        <v>226</v>
      </c>
      <c r="P1312" s="478" t="s">
        <v>833</v>
      </c>
      <c r="Q1312" s="478" t="s">
        <v>232</v>
      </c>
      <c r="R1312" s="478" t="s">
        <v>684</v>
      </c>
      <c r="S1312" s="479">
        <v>70</v>
      </c>
      <c r="T1312" s="478" t="s">
        <v>41</v>
      </c>
      <c r="U1312" s="478" t="s">
        <v>42</v>
      </c>
      <c r="V1312" s="480" t="s">
        <v>18</v>
      </c>
      <c r="W1312" s="51">
        <v>0.11</v>
      </c>
      <c r="X1312" s="357" t="s">
        <v>53</v>
      </c>
      <c r="Z1312" s="5" t="s">
        <v>52</v>
      </c>
      <c r="AA1312" s="112" t="s">
        <v>34</v>
      </c>
    </row>
    <row r="1313" spans="1:29" x14ac:dyDescent="0.25">
      <c r="A1313" s="329">
        <v>45956</v>
      </c>
      <c r="B1313" s="5">
        <v>10</v>
      </c>
      <c r="D1313" s="5" t="s">
        <v>226</v>
      </c>
      <c r="E1313" s="6">
        <v>3.63</v>
      </c>
      <c r="G1313" s="362">
        <v>2</v>
      </c>
      <c r="H1313" s="362">
        <v>1</v>
      </c>
      <c r="I1313" s="8">
        <v>1.03</v>
      </c>
      <c r="L1313" s="5" t="s">
        <v>113</v>
      </c>
      <c r="M1313" s="242" t="s">
        <v>835</v>
      </c>
      <c r="N1313" s="476">
        <v>80</v>
      </c>
      <c r="O1313" s="477" t="s">
        <v>226</v>
      </c>
      <c r="P1313" s="478" t="s">
        <v>810</v>
      </c>
      <c r="Q1313" s="478" t="s">
        <v>234</v>
      </c>
      <c r="R1313" s="478" t="s">
        <v>687</v>
      </c>
      <c r="S1313" s="479">
        <v>72</v>
      </c>
      <c r="T1313" s="478" t="s">
        <v>41</v>
      </c>
      <c r="U1313" s="478" t="s">
        <v>42</v>
      </c>
      <c r="V1313" s="480" t="s">
        <v>18</v>
      </c>
      <c r="W1313" s="51">
        <v>0.1</v>
      </c>
      <c r="X1313" s="357" t="s">
        <v>53</v>
      </c>
      <c r="Z1313" s="5" t="s">
        <v>52</v>
      </c>
      <c r="AA1313" s="112" t="s">
        <v>34</v>
      </c>
    </row>
    <row r="1314" spans="1:29" x14ac:dyDescent="0.25">
      <c r="A1314" s="329">
        <v>45956</v>
      </c>
      <c r="B1314" s="5">
        <v>10</v>
      </c>
      <c r="D1314" s="5" t="s">
        <v>226</v>
      </c>
      <c r="E1314" s="6">
        <v>3.63</v>
      </c>
      <c r="G1314" s="362">
        <v>2</v>
      </c>
      <c r="H1314" s="362">
        <v>1</v>
      </c>
      <c r="I1314" s="8">
        <v>1.03</v>
      </c>
      <c r="L1314" s="5" t="s">
        <v>113</v>
      </c>
      <c r="M1314" s="242" t="s">
        <v>835</v>
      </c>
      <c r="N1314" s="476" t="s">
        <v>415</v>
      </c>
      <c r="O1314" s="477" t="s">
        <v>226</v>
      </c>
      <c r="P1314" s="478" t="s">
        <v>53</v>
      </c>
      <c r="Q1314" s="478" t="s">
        <v>286</v>
      </c>
      <c r="R1314" s="478" t="s">
        <v>696</v>
      </c>
      <c r="S1314" s="479">
        <v>63</v>
      </c>
      <c r="T1314" s="478" t="s">
        <v>41</v>
      </c>
      <c r="U1314" s="478" t="s">
        <v>42</v>
      </c>
      <c r="V1314" s="480" t="s">
        <v>18</v>
      </c>
      <c r="W1314" s="51">
        <v>0.06</v>
      </c>
      <c r="X1314" s="357">
        <v>0.12</v>
      </c>
      <c r="Z1314" s="5" t="s">
        <v>48</v>
      </c>
      <c r="AA1314" s="112" t="s">
        <v>34</v>
      </c>
    </row>
    <row r="1315" spans="1:29" x14ac:dyDescent="0.25">
      <c r="A1315" s="329">
        <v>45956</v>
      </c>
      <c r="B1315" s="5">
        <v>10</v>
      </c>
      <c r="D1315" s="5" t="s">
        <v>226</v>
      </c>
      <c r="E1315" s="6">
        <v>3.63</v>
      </c>
      <c r="G1315" s="362">
        <v>2</v>
      </c>
      <c r="H1315" s="362">
        <v>1</v>
      </c>
      <c r="I1315" s="8">
        <v>1.03</v>
      </c>
      <c r="L1315" s="5" t="s">
        <v>113</v>
      </c>
      <c r="M1315" s="242" t="s">
        <v>835</v>
      </c>
      <c r="N1315" s="476" t="s">
        <v>82</v>
      </c>
      <c r="O1315" s="477" t="s">
        <v>226</v>
      </c>
      <c r="P1315" s="478" t="s">
        <v>53</v>
      </c>
      <c r="Q1315" s="478" t="s">
        <v>286</v>
      </c>
      <c r="R1315" s="478" t="s">
        <v>696</v>
      </c>
      <c r="S1315" s="479">
        <v>63</v>
      </c>
      <c r="T1315" s="478" t="s">
        <v>354</v>
      </c>
      <c r="U1315" s="478" t="s">
        <v>42</v>
      </c>
      <c r="V1315" s="480" t="s">
        <v>15</v>
      </c>
      <c r="W1315" s="51">
        <v>0.06</v>
      </c>
      <c r="X1315" s="357">
        <v>0.23</v>
      </c>
      <c r="Z1315" s="5" t="s">
        <v>48</v>
      </c>
      <c r="AA1315" s="112" t="s">
        <v>34</v>
      </c>
    </row>
    <row r="1316" spans="1:29" ht="15.75" thickBot="1" x14ac:dyDescent="0.3">
      <c r="A1316" s="400">
        <v>45956</v>
      </c>
      <c r="B1316" s="401">
        <v>10</v>
      </c>
      <c r="C1316" s="474"/>
      <c r="D1316" s="401" t="s">
        <v>226</v>
      </c>
      <c r="E1316" s="404">
        <v>3.63</v>
      </c>
      <c r="F1316" s="404"/>
      <c r="G1316" s="363">
        <v>2</v>
      </c>
      <c r="H1316" s="363">
        <v>1</v>
      </c>
      <c r="I1316" s="475">
        <v>1.03</v>
      </c>
      <c r="J1316" s="475"/>
      <c r="K1316" s="474"/>
      <c r="L1316" s="401" t="s">
        <v>113</v>
      </c>
      <c r="M1316" s="235"/>
      <c r="N1316" s="347"/>
      <c r="O1316" s="343" t="s">
        <v>226</v>
      </c>
      <c r="P1316" s="199" t="s">
        <v>821</v>
      </c>
      <c r="Q1316" s="199" t="s">
        <v>727</v>
      </c>
      <c r="R1316" s="199" t="s">
        <v>707</v>
      </c>
      <c r="S1316" s="7">
        <v>70</v>
      </c>
      <c r="T1316" s="199"/>
      <c r="U1316" s="199"/>
      <c r="V1316" s="201"/>
      <c r="W1316" s="202"/>
      <c r="X1316" s="359"/>
      <c r="Y1316" s="353">
        <f>H1316</f>
        <v>1</v>
      </c>
      <c r="Z1316" s="199"/>
      <c r="AA1316" s="204"/>
      <c r="AB1316" s="205"/>
      <c r="AC1316" s="201"/>
    </row>
    <row r="1317" spans="1:29" ht="15.75" thickBot="1" x14ac:dyDescent="0.3">
      <c r="A1317" s="400">
        <v>45956</v>
      </c>
      <c r="B1317" s="401">
        <v>10</v>
      </c>
      <c r="C1317" s="474"/>
      <c r="D1317" s="401" t="s">
        <v>226</v>
      </c>
      <c r="E1317" s="404">
        <v>3.63</v>
      </c>
      <c r="F1317" s="404"/>
      <c r="G1317" s="363">
        <v>2</v>
      </c>
      <c r="H1317" s="363">
        <v>1</v>
      </c>
      <c r="I1317" s="475">
        <v>1.03</v>
      </c>
      <c r="J1317" s="475"/>
      <c r="K1317" s="474"/>
      <c r="L1317" s="401" t="s">
        <v>113</v>
      </c>
      <c r="M1317" s="235"/>
      <c r="N1317" s="347"/>
      <c r="O1317" s="343" t="s">
        <v>113</v>
      </c>
      <c r="P1317" s="199" t="s">
        <v>834</v>
      </c>
      <c r="Q1317" s="199" t="s">
        <v>740</v>
      </c>
      <c r="R1317" s="199" t="s">
        <v>707</v>
      </c>
      <c r="S1317" s="7">
        <v>95</v>
      </c>
      <c r="T1317" s="199"/>
      <c r="U1317" s="199"/>
      <c r="V1317" s="201"/>
      <c r="W1317" s="202"/>
      <c r="X1317" s="359"/>
      <c r="Y1317" s="353">
        <f>G1316</f>
        <v>2</v>
      </c>
      <c r="Z1317" s="199"/>
      <c r="AA1317" s="204"/>
      <c r="AB1317" s="205"/>
      <c r="AC1317" s="201"/>
    </row>
    <row r="1318" spans="1:29" x14ac:dyDescent="0.25">
      <c r="A1318" s="329">
        <v>45956</v>
      </c>
      <c r="B1318" s="5">
        <v>10</v>
      </c>
      <c r="C1318" s="121" t="s">
        <v>700</v>
      </c>
      <c r="D1318" s="5" t="s">
        <v>227</v>
      </c>
      <c r="E1318" s="6">
        <v>2.31</v>
      </c>
      <c r="G1318" s="362">
        <v>2</v>
      </c>
      <c r="H1318" s="362">
        <v>3</v>
      </c>
      <c r="I1318" s="8">
        <v>1.96</v>
      </c>
      <c r="K1318" s="121" t="s">
        <v>700</v>
      </c>
      <c r="L1318" s="5" t="s">
        <v>456</v>
      </c>
      <c r="N1318" s="476">
        <v>10</v>
      </c>
      <c r="O1318" s="477" t="s">
        <v>227</v>
      </c>
      <c r="P1318" s="478" t="s">
        <v>829</v>
      </c>
      <c r="Q1318" s="478" t="s">
        <v>397</v>
      </c>
      <c r="R1318" s="478" t="s">
        <v>686</v>
      </c>
      <c r="S1318" s="479">
        <v>64</v>
      </c>
      <c r="T1318" s="478" t="s">
        <v>41</v>
      </c>
      <c r="U1318" s="478" t="s">
        <v>42</v>
      </c>
      <c r="V1318" s="480" t="s">
        <v>29</v>
      </c>
      <c r="W1318" s="51">
        <v>7.0000000000000007E-2</v>
      </c>
      <c r="X1318" s="357">
        <v>0.51</v>
      </c>
      <c r="Z1318" s="5" t="s">
        <v>48</v>
      </c>
      <c r="AA1318" s="112" t="s">
        <v>28</v>
      </c>
    </row>
    <row r="1319" spans="1:29" x14ac:dyDescent="0.25">
      <c r="A1319" s="329">
        <v>45956</v>
      </c>
      <c r="B1319" s="5">
        <v>10</v>
      </c>
      <c r="D1319" s="5" t="s">
        <v>227</v>
      </c>
      <c r="E1319" s="6">
        <v>2.31</v>
      </c>
      <c r="G1319" s="362">
        <v>2</v>
      </c>
      <c r="H1319" s="362">
        <v>3</v>
      </c>
      <c r="I1319" s="8">
        <v>1.96</v>
      </c>
      <c r="L1319" s="5" t="s">
        <v>456</v>
      </c>
      <c r="N1319" s="476">
        <v>15</v>
      </c>
      <c r="O1319" s="477" t="s">
        <v>227</v>
      </c>
      <c r="P1319" s="478" t="s">
        <v>810</v>
      </c>
      <c r="Q1319" s="478" t="s">
        <v>239</v>
      </c>
      <c r="R1319" s="478" t="s">
        <v>684</v>
      </c>
      <c r="S1319" s="479">
        <v>81</v>
      </c>
      <c r="T1319" s="478" t="s">
        <v>44</v>
      </c>
      <c r="U1319" s="478" t="s">
        <v>43</v>
      </c>
      <c r="V1319" s="480" t="s">
        <v>540</v>
      </c>
      <c r="W1319" s="51">
        <v>0.02</v>
      </c>
      <c r="X1319" s="357" t="s">
        <v>53</v>
      </c>
      <c r="Z1319" s="5" t="s">
        <v>16</v>
      </c>
      <c r="AA1319" s="112" t="s">
        <v>28</v>
      </c>
    </row>
    <row r="1320" spans="1:29" x14ac:dyDescent="0.25">
      <c r="A1320" s="329">
        <v>45956</v>
      </c>
      <c r="B1320" s="5">
        <v>10</v>
      </c>
      <c r="D1320" s="5" t="s">
        <v>227</v>
      </c>
      <c r="E1320" s="6">
        <v>2.31</v>
      </c>
      <c r="G1320" s="362">
        <v>2</v>
      </c>
      <c r="H1320" s="362">
        <v>3</v>
      </c>
      <c r="I1320" s="8">
        <v>1.96</v>
      </c>
      <c r="L1320" s="5" t="s">
        <v>456</v>
      </c>
      <c r="N1320" s="345">
        <v>19</v>
      </c>
      <c r="O1320" s="38" t="s">
        <v>456</v>
      </c>
      <c r="P1320" s="5" t="s">
        <v>824</v>
      </c>
      <c r="Q1320" s="5" t="s">
        <v>165</v>
      </c>
      <c r="R1320" s="5" t="s">
        <v>685</v>
      </c>
      <c r="S1320" s="7">
        <v>59</v>
      </c>
      <c r="T1320" s="5" t="s">
        <v>354</v>
      </c>
      <c r="U1320" s="5" t="s">
        <v>42</v>
      </c>
      <c r="V1320" s="57" t="s">
        <v>10</v>
      </c>
      <c r="W1320" s="51">
        <v>0.03</v>
      </c>
      <c r="X1320" s="357" t="s">
        <v>53</v>
      </c>
      <c r="Z1320" s="5" t="s">
        <v>22</v>
      </c>
      <c r="AA1320" s="112" t="s">
        <v>28</v>
      </c>
    </row>
    <row r="1321" spans="1:29" x14ac:dyDescent="0.25">
      <c r="A1321" s="329">
        <v>45956</v>
      </c>
      <c r="B1321" s="5">
        <v>10</v>
      </c>
      <c r="D1321" s="5" t="s">
        <v>227</v>
      </c>
      <c r="E1321" s="6">
        <v>2.31</v>
      </c>
      <c r="G1321" s="362">
        <v>2</v>
      </c>
      <c r="H1321" s="362">
        <v>3</v>
      </c>
      <c r="I1321" s="8">
        <v>1.96</v>
      </c>
      <c r="L1321" s="5" t="s">
        <v>456</v>
      </c>
      <c r="N1321" s="345">
        <v>26</v>
      </c>
      <c r="O1321" s="38" t="s">
        <v>456</v>
      </c>
      <c r="P1321" s="5" t="s">
        <v>816</v>
      </c>
      <c r="Q1321" s="5" t="s">
        <v>357</v>
      </c>
      <c r="R1321" s="5" t="s">
        <v>686</v>
      </c>
      <c r="S1321" s="7">
        <v>85</v>
      </c>
      <c r="T1321" s="5" t="s">
        <v>354</v>
      </c>
      <c r="U1321" s="5" t="s">
        <v>42</v>
      </c>
      <c r="V1321" s="57" t="s">
        <v>18</v>
      </c>
      <c r="W1321" s="51">
        <v>7.0000000000000007E-2</v>
      </c>
      <c r="X1321" s="357">
        <v>0.63</v>
      </c>
      <c r="Z1321" s="5" t="s">
        <v>8</v>
      </c>
      <c r="AA1321" s="112" t="s">
        <v>9</v>
      </c>
      <c r="AB1321" s="108" t="s">
        <v>313</v>
      </c>
      <c r="AC1321" s="57" t="s">
        <v>301</v>
      </c>
    </row>
    <row r="1322" spans="1:29" x14ac:dyDescent="0.25">
      <c r="A1322" s="329">
        <v>45956</v>
      </c>
      <c r="B1322" s="5">
        <v>10</v>
      </c>
      <c r="D1322" s="5" t="s">
        <v>227</v>
      </c>
      <c r="E1322" s="6">
        <v>2.31</v>
      </c>
      <c r="G1322" s="362">
        <v>2</v>
      </c>
      <c r="H1322" s="362">
        <v>3</v>
      </c>
      <c r="I1322" s="8">
        <v>1.96</v>
      </c>
      <c r="L1322" s="5" t="s">
        <v>456</v>
      </c>
      <c r="N1322" s="345">
        <v>30</v>
      </c>
      <c r="O1322" s="38" t="s">
        <v>456</v>
      </c>
      <c r="P1322" s="5" t="s">
        <v>816</v>
      </c>
      <c r="Q1322" s="5" t="s">
        <v>357</v>
      </c>
      <c r="R1322" s="5" t="s">
        <v>686</v>
      </c>
      <c r="S1322" s="7">
        <v>85</v>
      </c>
      <c r="T1322" s="5" t="s">
        <v>44</v>
      </c>
      <c r="U1322" s="5" t="s">
        <v>43</v>
      </c>
      <c r="V1322" s="57" t="s">
        <v>10</v>
      </c>
      <c r="W1322" s="51">
        <v>0.06</v>
      </c>
      <c r="X1322" s="357" t="s">
        <v>53</v>
      </c>
      <c r="Z1322" s="5" t="s">
        <v>16</v>
      </c>
      <c r="AA1322" s="112" t="s">
        <v>9</v>
      </c>
    </row>
    <row r="1323" spans="1:29" x14ac:dyDescent="0.25">
      <c r="A1323" s="329">
        <v>45956</v>
      </c>
      <c r="B1323" s="5">
        <v>10</v>
      </c>
      <c r="D1323" s="5" t="s">
        <v>227</v>
      </c>
      <c r="E1323" s="6">
        <v>2.31</v>
      </c>
      <c r="G1323" s="362">
        <v>2</v>
      </c>
      <c r="H1323" s="362">
        <v>3</v>
      </c>
      <c r="I1323" s="8">
        <v>1.96</v>
      </c>
      <c r="L1323" s="5" t="s">
        <v>456</v>
      </c>
      <c r="N1323" s="476">
        <v>31</v>
      </c>
      <c r="O1323" s="477" t="s">
        <v>227</v>
      </c>
      <c r="P1323" s="478" t="s">
        <v>810</v>
      </c>
      <c r="Q1323" s="478" t="s">
        <v>239</v>
      </c>
      <c r="R1323" s="478" t="s">
        <v>684</v>
      </c>
      <c r="S1323" s="479">
        <v>81</v>
      </c>
      <c r="T1323" s="478" t="s">
        <v>47</v>
      </c>
      <c r="U1323" s="478" t="s">
        <v>45</v>
      </c>
      <c r="V1323" s="480" t="s">
        <v>20</v>
      </c>
      <c r="W1323" s="51">
        <v>0.18</v>
      </c>
      <c r="X1323" s="357">
        <v>0.42</v>
      </c>
      <c r="Z1323" s="5" t="s">
        <v>48</v>
      </c>
      <c r="AA1323" s="112" t="s">
        <v>9</v>
      </c>
    </row>
    <row r="1324" spans="1:29" x14ac:dyDescent="0.25">
      <c r="A1324" s="329">
        <v>45956</v>
      </c>
      <c r="B1324" s="5">
        <v>10</v>
      </c>
      <c r="D1324" s="5" t="s">
        <v>227</v>
      </c>
      <c r="E1324" s="6">
        <v>2.31</v>
      </c>
      <c r="G1324" s="362">
        <v>2</v>
      </c>
      <c r="H1324" s="362">
        <v>3</v>
      </c>
      <c r="I1324" s="8">
        <v>1.96</v>
      </c>
      <c r="L1324" s="5" t="s">
        <v>456</v>
      </c>
      <c r="N1324" s="476">
        <v>37</v>
      </c>
      <c r="O1324" s="477" t="s">
        <v>227</v>
      </c>
      <c r="P1324" s="478" t="s">
        <v>810</v>
      </c>
      <c r="Q1324" s="478" t="s">
        <v>239</v>
      </c>
      <c r="R1324" s="478" t="s">
        <v>684</v>
      </c>
      <c r="S1324" s="479">
        <v>81</v>
      </c>
      <c r="T1324" s="478" t="s">
        <v>41</v>
      </c>
      <c r="U1324" s="478" t="s">
        <v>43</v>
      </c>
      <c r="V1324" s="480" t="s">
        <v>7</v>
      </c>
      <c r="W1324" s="51">
        <v>0.79</v>
      </c>
      <c r="X1324" s="357">
        <v>0.86</v>
      </c>
      <c r="Y1324" s="351" t="s">
        <v>353</v>
      </c>
      <c r="Z1324" s="5" t="s">
        <v>8</v>
      </c>
      <c r="AA1324" s="112" t="s">
        <v>51</v>
      </c>
    </row>
    <row r="1325" spans="1:29" x14ac:dyDescent="0.25">
      <c r="A1325" s="329">
        <v>45956</v>
      </c>
      <c r="B1325" s="5">
        <v>10</v>
      </c>
      <c r="D1325" s="5" t="s">
        <v>227</v>
      </c>
      <c r="E1325" s="6">
        <v>2.31</v>
      </c>
      <c r="G1325" s="362">
        <v>2</v>
      </c>
      <c r="H1325" s="362">
        <v>3</v>
      </c>
      <c r="I1325" s="8">
        <v>1.96</v>
      </c>
      <c r="L1325" s="5" t="s">
        <v>456</v>
      </c>
      <c r="N1325" s="476" t="s">
        <v>68</v>
      </c>
      <c r="O1325" s="477" t="s">
        <v>227</v>
      </c>
      <c r="P1325" s="478" t="s">
        <v>810</v>
      </c>
      <c r="Q1325" s="478" t="s">
        <v>239</v>
      </c>
      <c r="R1325" s="478" t="s">
        <v>684</v>
      </c>
      <c r="S1325" s="479">
        <v>81</v>
      </c>
      <c r="T1325" s="478" t="s">
        <v>47</v>
      </c>
      <c r="U1325" s="478" t="s">
        <v>43</v>
      </c>
      <c r="V1325" s="480" t="s">
        <v>20</v>
      </c>
      <c r="W1325" s="51">
        <v>0.09</v>
      </c>
      <c r="X1325" s="357">
        <v>0.37</v>
      </c>
      <c r="Z1325" s="5" t="s">
        <v>8</v>
      </c>
      <c r="AA1325" s="112" t="s">
        <v>34</v>
      </c>
      <c r="AB1325" s="108" t="s">
        <v>328</v>
      </c>
      <c r="AC1325" s="57" t="s">
        <v>75</v>
      </c>
    </row>
    <row r="1326" spans="1:29" x14ac:dyDescent="0.25">
      <c r="A1326" s="329">
        <v>45956</v>
      </c>
      <c r="B1326" s="5">
        <v>10</v>
      </c>
      <c r="D1326" s="5" t="s">
        <v>227</v>
      </c>
      <c r="E1326" s="6">
        <v>2.31</v>
      </c>
      <c r="G1326" s="362">
        <v>2</v>
      </c>
      <c r="H1326" s="362">
        <v>3</v>
      </c>
      <c r="I1326" s="8">
        <v>1.96</v>
      </c>
      <c r="L1326" s="5" t="s">
        <v>456</v>
      </c>
      <c r="N1326" s="476">
        <v>61</v>
      </c>
      <c r="O1326" s="477" t="s">
        <v>227</v>
      </c>
      <c r="P1326" s="478" t="s">
        <v>809</v>
      </c>
      <c r="Q1326" s="478" t="s">
        <v>75</v>
      </c>
      <c r="R1326" s="478" t="s">
        <v>685</v>
      </c>
      <c r="S1326" s="479">
        <v>70</v>
      </c>
      <c r="T1326" s="478" t="s">
        <v>354</v>
      </c>
      <c r="U1326" s="478" t="s">
        <v>43</v>
      </c>
      <c r="V1326" s="480" t="s">
        <v>10</v>
      </c>
      <c r="W1326" s="51">
        <v>0.02</v>
      </c>
      <c r="X1326" s="357" t="s">
        <v>53</v>
      </c>
      <c r="Z1326" s="5" t="s">
        <v>16</v>
      </c>
      <c r="AA1326" s="112" t="s">
        <v>34</v>
      </c>
    </row>
    <row r="1327" spans="1:29" x14ac:dyDescent="0.25">
      <c r="A1327" s="329">
        <v>45956</v>
      </c>
      <c r="B1327" s="5">
        <v>10</v>
      </c>
      <c r="D1327" s="5" t="s">
        <v>227</v>
      </c>
      <c r="E1327" s="6">
        <v>2.31</v>
      </c>
      <c r="G1327" s="362">
        <v>2</v>
      </c>
      <c r="H1327" s="362">
        <v>3</v>
      </c>
      <c r="I1327" s="8">
        <v>1.96</v>
      </c>
      <c r="L1327" s="5" t="s">
        <v>456</v>
      </c>
      <c r="N1327" s="345">
        <v>64</v>
      </c>
      <c r="O1327" s="38" t="s">
        <v>456</v>
      </c>
      <c r="P1327" s="5" t="s">
        <v>836</v>
      </c>
      <c r="Q1327" s="5" t="s">
        <v>386</v>
      </c>
      <c r="R1327" s="5" t="s">
        <v>696</v>
      </c>
      <c r="S1327" s="7">
        <v>62</v>
      </c>
      <c r="T1327" s="5" t="s">
        <v>354</v>
      </c>
      <c r="U1327" s="5" t="s">
        <v>42</v>
      </c>
      <c r="V1327" s="57" t="s">
        <v>15</v>
      </c>
      <c r="W1327" s="51">
        <v>0.04</v>
      </c>
      <c r="X1327" s="357" t="s">
        <v>53</v>
      </c>
      <c r="Z1327" s="5" t="s">
        <v>16</v>
      </c>
      <c r="AA1327" s="112" t="s">
        <v>34</v>
      </c>
    </row>
    <row r="1328" spans="1:29" x14ac:dyDescent="0.25">
      <c r="A1328" s="329">
        <v>45956</v>
      </c>
      <c r="B1328" s="5">
        <v>10</v>
      </c>
      <c r="D1328" s="5" t="s">
        <v>227</v>
      </c>
      <c r="E1328" s="6">
        <v>2.31</v>
      </c>
      <c r="G1328" s="362">
        <v>2</v>
      </c>
      <c r="H1328" s="362">
        <v>3</v>
      </c>
      <c r="I1328" s="8">
        <v>1.96</v>
      </c>
      <c r="L1328" s="5" t="s">
        <v>456</v>
      </c>
      <c r="N1328" s="345">
        <v>69</v>
      </c>
      <c r="O1328" s="38" t="s">
        <v>456</v>
      </c>
      <c r="P1328" s="5" t="s">
        <v>816</v>
      </c>
      <c r="Q1328" s="5" t="s">
        <v>357</v>
      </c>
      <c r="R1328" s="5" t="s">
        <v>686</v>
      </c>
      <c r="S1328" s="7">
        <v>85</v>
      </c>
      <c r="T1328" s="5" t="s">
        <v>47</v>
      </c>
      <c r="U1328" s="5" t="s">
        <v>42</v>
      </c>
      <c r="V1328" s="57" t="s">
        <v>20</v>
      </c>
      <c r="W1328" s="51">
        <v>0.69</v>
      </c>
      <c r="X1328" s="357">
        <v>0.99</v>
      </c>
      <c r="Y1328" s="351" t="s">
        <v>353</v>
      </c>
      <c r="Z1328" s="5" t="s">
        <v>8</v>
      </c>
      <c r="AA1328" s="112" t="s">
        <v>189</v>
      </c>
    </row>
    <row r="1329" spans="1:29" x14ac:dyDescent="0.25">
      <c r="A1329" s="329">
        <v>45956</v>
      </c>
      <c r="B1329" s="5">
        <v>10</v>
      </c>
      <c r="D1329" s="5" t="s">
        <v>227</v>
      </c>
      <c r="E1329" s="6">
        <v>2.31</v>
      </c>
      <c r="G1329" s="362">
        <v>2</v>
      </c>
      <c r="H1329" s="362">
        <v>3</v>
      </c>
      <c r="I1329" s="8">
        <v>1.96</v>
      </c>
      <c r="L1329" s="5" t="s">
        <v>456</v>
      </c>
      <c r="N1329" s="476">
        <v>75</v>
      </c>
      <c r="O1329" s="477" t="s">
        <v>227</v>
      </c>
      <c r="P1329" s="478" t="s">
        <v>809</v>
      </c>
      <c r="Q1329" s="478" t="s">
        <v>75</v>
      </c>
      <c r="R1329" s="478" t="s">
        <v>685</v>
      </c>
      <c r="S1329" s="479">
        <v>70</v>
      </c>
      <c r="T1329" s="478" t="s">
        <v>41</v>
      </c>
      <c r="U1329" s="478" t="s">
        <v>43</v>
      </c>
      <c r="V1329" s="480" t="s">
        <v>10</v>
      </c>
      <c r="W1329" s="51">
        <v>0.06</v>
      </c>
      <c r="X1329" s="357">
        <v>0.13</v>
      </c>
      <c r="Y1329" s="351" t="s">
        <v>353</v>
      </c>
      <c r="Z1329" s="5" t="s">
        <v>48</v>
      </c>
      <c r="AA1329" s="112" t="s">
        <v>189</v>
      </c>
    </row>
    <row r="1330" spans="1:29" x14ac:dyDescent="0.25">
      <c r="A1330" s="329">
        <v>45956</v>
      </c>
      <c r="B1330" s="5">
        <v>10</v>
      </c>
      <c r="D1330" s="5" t="s">
        <v>227</v>
      </c>
      <c r="E1330" s="6">
        <v>2.31</v>
      </c>
      <c r="G1330" s="362">
        <v>2</v>
      </c>
      <c r="H1330" s="362">
        <v>3</v>
      </c>
      <c r="I1330" s="8">
        <v>1.96</v>
      </c>
      <c r="L1330" s="5" t="s">
        <v>456</v>
      </c>
      <c r="N1330" s="476">
        <v>79</v>
      </c>
      <c r="O1330" s="477" t="s">
        <v>227</v>
      </c>
      <c r="P1330" s="478" t="s">
        <v>810</v>
      </c>
      <c r="Q1330" s="478" t="s">
        <v>239</v>
      </c>
      <c r="R1330" s="478" t="s">
        <v>684</v>
      </c>
      <c r="S1330" s="479">
        <v>81</v>
      </c>
      <c r="T1330" s="478" t="s">
        <v>41</v>
      </c>
      <c r="U1330" s="478" t="s">
        <v>43</v>
      </c>
      <c r="V1330" s="480" t="s">
        <v>7</v>
      </c>
      <c r="W1330" s="51">
        <v>0.79</v>
      </c>
      <c r="X1330" s="357" t="s">
        <v>53</v>
      </c>
      <c r="Y1330" s="351" t="s">
        <v>353</v>
      </c>
      <c r="Z1330" s="5" t="s">
        <v>17</v>
      </c>
      <c r="AA1330" s="112" t="s">
        <v>189</v>
      </c>
    </row>
    <row r="1331" spans="1:29" x14ac:dyDescent="0.25">
      <c r="A1331" s="329">
        <v>45956</v>
      </c>
      <c r="B1331" s="5">
        <v>10</v>
      </c>
      <c r="D1331" s="5" t="s">
        <v>227</v>
      </c>
      <c r="E1331" s="6">
        <v>2.31</v>
      </c>
      <c r="G1331" s="362">
        <v>2</v>
      </c>
      <c r="H1331" s="362">
        <v>3</v>
      </c>
      <c r="I1331" s="8">
        <v>1.96</v>
      </c>
      <c r="L1331" s="5" t="s">
        <v>456</v>
      </c>
      <c r="N1331" s="345">
        <v>83</v>
      </c>
      <c r="O1331" s="38" t="s">
        <v>456</v>
      </c>
      <c r="P1331" s="5" t="s">
        <v>816</v>
      </c>
      <c r="Q1331" s="5" t="s">
        <v>357</v>
      </c>
      <c r="R1331" s="5" t="s">
        <v>686</v>
      </c>
      <c r="S1331" s="7">
        <v>85</v>
      </c>
      <c r="T1331" s="5" t="s">
        <v>44</v>
      </c>
      <c r="U1331" s="5" t="s">
        <v>43</v>
      </c>
      <c r="V1331" s="57" t="s">
        <v>10</v>
      </c>
      <c r="W1331" s="51">
        <v>0.09</v>
      </c>
      <c r="X1331" s="357">
        <v>0.66</v>
      </c>
      <c r="Z1331" s="5" t="s">
        <v>48</v>
      </c>
      <c r="AA1331" s="112" t="s">
        <v>189</v>
      </c>
    </row>
    <row r="1332" spans="1:29" x14ac:dyDescent="0.25">
      <c r="A1332" s="329">
        <v>45956</v>
      </c>
      <c r="B1332" s="5">
        <v>10</v>
      </c>
      <c r="D1332" s="5" t="s">
        <v>227</v>
      </c>
      <c r="E1332" s="6">
        <v>2.31</v>
      </c>
      <c r="G1332" s="362">
        <v>2</v>
      </c>
      <c r="H1332" s="362">
        <v>3</v>
      </c>
      <c r="I1332" s="8">
        <v>1.96</v>
      </c>
      <c r="L1332" s="5" t="s">
        <v>456</v>
      </c>
      <c r="N1332" s="345">
        <v>87</v>
      </c>
      <c r="O1332" s="38" t="s">
        <v>456</v>
      </c>
      <c r="P1332" s="5" t="s">
        <v>819</v>
      </c>
      <c r="Q1332" s="5" t="s">
        <v>583</v>
      </c>
      <c r="R1332" s="5" t="s">
        <v>696</v>
      </c>
      <c r="S1332" s="7">
        <v>71</v>
      </c>
      <c r="T1332" s="5" t="s">
        <v>41</v>
      </c>
      <c r="U1332" s="5" t="s">
        <v>42</v>
      </c>
      <c r="V1332" s="57" t="s">
        <v>10</v>
      </c>
      <c r="W1332" s="51">
        <v>0.6</v>
      </c>
      <c r="X1332" s="357">
        <v>0.4</v>
      </c>
      <c r="Y1332" s="351" t="s">
        <v>353</v>
      </c>
      <c r="Z1332" s="5" t="s">
        <v>8</v>
      </c>
      <c r="AA1332" s="112" t="s">
        <v>66</v>
      </c>
      <c r="AB1332" s="108" t="s">
        <v>162</v>
      </c>
      <c r="AC1332" s="57" t="s">
        <v>163</v>
      </c>
    </row>
    <row r="1333" spans="1:29" ht="15.75" thickBot="1" x14ac:dyDescent="0.3">
      <c r="A1333" s="400">
        <v>45956</v>
      </c>
      <c r="B1333" s="401">
        <v>10</v>
      </c>
      <c r="C1333" s="474"/>
      <c r="D1333" s="401" t="s">
        <v>227</v>
      </c>
      <c r="E1333" s="404">
        <v>2.31</v>
      </c>
      <c r="F1333" s="404"/>
      <c r="G1333" s="363">
        <v>2</v>
      </c>
      <c r="H1333" s="363">
        <v>3</v>
      </c>
      <c r="I1333" s="475">
        <v>1.96</v>
      </c>
      <c r="J1333" s="475"/>
      <c r="K1333" s="474"/>
      <c r="L1333" s="401" t="s">
        <v>456</v>
      </c>
      <c r="M1333" s="235"/>
      <c r="N1333" s="347"/>
      <c r="O1333" s="343" t="s">
        <v>227</v>
      </c>
      <c r="P1333" s="199" t="s">
        <v>807</v>
      </c>
      <c r="Q1333" s="199" t="s">
        <v>86</v>
      </c>
      <c r="R1333" s="199" t="s">
        <v>707</v>
      </c>
      <c r="S1333" s="7">
        <v>59</v>
      </c>
      <c r="T1333" s="199"/>
      <c r="U1333" s="199"/>
      <c r="V1333" s="201"/>
      <c r="W1333" s="202"/>
      <c r="X1333" s="359"/>
      <c r="Y1333" s="353">
        <f>H1333</f>
        <v>3</v>
      </c>
      <c r="Z1333" s="199"/>
      <c r="AA1333" s="204"/>
      <c r="AB1333" s="205"/>
      <c r="AC1333" s="201"/>
    </row>
    <row r="1334" spans="1:29" ht="15.75" thickBot="1" x14ac:dyDescent="0.3">
      <c r="A1334" s="400">
        <v>45956</v>
      </c>
      <c r="B1334" s="401">
        <v>10</v>
      </c>
      <c r="C1334" s="474"/>
      <c r="D1334" s="401" t="s">
        <v>227</v>
      </c>
      <c r="E1334" s="404">
        <v>2.31</v>
      </c>
      <c r="F1334" s="404"/>
      <c r="G1334" s="363">
        <v>2</v>
      </c>
      <c r="H1334" s="363">
        <v>3</v>
      </c>
      <c r="I1334" s="475">
        <v>1.96</v>
      </c>
      <c r="J1334" s="475"/>
      <c r="K1334" s="474"/>
      <c r="L1334" s="401" t="s">
        <v>456</v>
      </c>
      <c r="M1334" s="235"/>
      <c r="N1334" s="347"/>
      <c r="O1334" s="343" t="s">
        <v>456</v>
      </c>
      <c r="P1334" s="199" t="s">
        <v>823</v>
      </c>
      <c r="Q1334" s="199" t="s">
        <v>720</v>
      </c>
      <c r="R1334" s="199" t="s">
        <v>707</v>
      </c>
      <c r="S1334" s="7">
        <v>78</v>
      </c>
      <c r="T1334" s="199"/>
      <c r="U1334" s="199"/>
      <c r="V1334" s="201"/>
      <c r="W1334" s="202"/>
      <c r="X1334" s="359"/>
      <c r="Y1334" s="353">
        <f>G1333</f>
        <v>2</v>
      </c>
      <c r="Z1334" s="199"/>
      <c r="AA1334" s="204"/>
      <c r="AB1334" s="205"/>
      <c r="AC1334" s="201"/>
    </row>
    <row r="1335" spans="1:29" x14ac:dyDescent="0.25">
      <c r="A1335" s="329">
        <v>45956</v>
      </c>
      <c r="B1335" s="5">
        <v>10</v>
      </c>
      <c r="C1335" s="121" t="s">
        <v>692</v>
      </c>
      <c r="D1335" s="5" t="s">
        <v>70</v>
      </c>
      <c r="E1335" s="6">
        <v>1.18</v>
      </c>
      <c r="G1335" s="362">
        <v>1</v>
      </c>
      <c r="H1335" s="362">
        <v>0</v>
      </c>
      <c r="I1335" s="8">
        <v>0.84</v>
      </c>
      <c r="K1335" s="121" t="s">
        <v>694</v>
      </c>
      <c r="L1335" s="5" t="s">
        <v>128</v>
      </c>
      <c r="N1335" s="345">
        <v>3</v>
      </c>
      <c r="O1335" s="38" t="s">
        <v>128</v>
      </c>
      <c r="P1335" s="5" t="s">
        <v>806</v>
      </c>
      <c r="Q1335" s="5" t="s">
        <v>519</v>
      </c>
      <c r="R1335" s="5" t="s">
        <v>685</v>
      </c>
      <c r="S1335" s="7">
        <v>68</v>
      </c>
      <c r="T1335" s="5" t="s">
        <v>41</v>
      </c>
      <c r="U1335" s="5" t="s">
        <v>43</v>
      </c>
      <c r="V1335" s="57" t="s">
        <v>540</v>
      </c>
      <c r="W1335" s="51">
        <v>0.15</v>
      </c>
      <c r="X1335" s="357" t="s">
        <v>53</v>
      </c>
      <c r="Y1335" s="351" t="s">
        <v>353</v>
      </c>
      <c r="Z1335" s="5" t="s">
        <v>13</v>
      </c>
      <c r="AA1335" s="112" t="s">
        <v>28</v>
      </c>
    </row>
    <row r="1336" spans="1:29" x14ac:dyDescent="0.25">
      <c r="A1336" s="329">
        <v>45956</v>
      </c>
      <c r="B1336" s="5">
        <v>10</v>
      </c>
      <c r="D1336" s="5" t="s">
        <v>70</v>
      </c>
      <c r="E1336" s="6">
        <v>1.18</v>
      </c>
      <c r="G1336" s="362">
        <v>1</v>
      </c>
      <c r="H1336" s="362">
        <v>0</v>
      </c>
      <c r="I1336" s="8">
        <v>0.84</v>
      </c>
      <c r="L1336" s="5" t="s">
        <v>128</v>
      </c>
      <c r="N1336" s="476">
        <v>4</v>
      </c>
      <c r="O1336" s="477" t="s">
        <v>70</v>
      </c>
      <c r="P1336" s="478" t="s">
        <v>53</v>
      </c>
      <c r="Q1336" s="478" t="s">
        <v>405</v>
      </c>
      <c r="R1336" s="478" t="s">
        <v>684</v>
      </c>
      <c r="S1336" s="479">
        <v>72</v>
      </c>
      <c r="T1336" s="478" t="s">
        <v>47</v>
      </c>
      <c r="U1336" s="478" t="s">
        <v>45</v>
      </c>
      <c r="V1336" s="480" t="s">
        <v>10</v>
      </c>
      <c r="W1336" s="51">
        <v>0.24</v>
      </c>
      <c r="X1336" s="357" t="s">
        <v>53</v>
      </c>
      <c r="Z1336" s="5" t="s">
        <v>16</v>
      </c>
      <c r="AA1336" s="112" t="s">
        <v>28</v>
      </c>
    </row>
    <row r="1337" spans="1:29" x14ac:dyDescent="0.25">
      <c r="A1337" s="329">
        <v>45956</v>
      </c>
      <c r="B1337" s="5">
        <v>10</v>
      </c>
      <c r="D1337" s="5" t="s">
        <v>70</v>
      </c>
      <c r="E1337" s="6">
        <v>1.18</v>
      </c>
      <c r="G1337" s="362">
        <v>1</v>
      </c>
      <c r="H1337" s="362">
        <v>0</v>
      </c>
      <c r="I1337" s="8">
        <v>0.84</v>
      </c>
      <c r="L1337" s="5" t="s">
        <v>128</v>
      </c>
      <c r="N1337" s="476">
        <v>20</v>
      </c>
      <c r="O1337" s="477" t="s">
        <v>70</v>
      </c>
      <c r="P1337" s="478" t="s">
        <v>819</v>
      </c>
      <c r="Q1337" s="478" t="s">
        <v>138</v>
      </c>
      <c r="R1337" s="478" t="s">
        <v>691</v>
      </c>
      <c r="S1337" s="479">
        <v>69</v>
      </c>
      <c r="T1337" s="478" t="s">
        <v>41</v>
      </c>
      <c r="U1337" s="478" t="s">
        <v>42</v>
      </c>
      <c r="V1337" s="480" t="s">
        <v>10</v>
      </c>
      <c r="W1337" s="51">
        <v>0.17</v>
      </c>
      <c r="X1337" s="357" t="s">
        <v>53</v>
      </c>
      <c r="Z1337" s="5" t="s">
        <v>13</v>
      </c>
      <c r="AA1337" s="112" t="s">
        <v>28</v>
      </c>
    </row>
    <row r="1338" spans="1:29" x14ac:dyDescent="0.25">
      <c r="A1338" s="329">
        <v>45956</v>
      </c>
      <c r="B1338" s="5">
        <v>10</v>
      </c>
      <c r="D1338" s="5" t="s">
        <v>70</v>
      </c>
      <c r="E1338" s="6">
        <v>1.18</v>
      </c>
      <c r="G1338" s="362">
        <v>1</v>
      </c>
      <c r="H1338" s="362">
        <v>0</v>
      </c>
      <c r="I1338" s="8">
        <v>0.84</v>
      </c>
      <c r="L1338" s="5" t="s">
        <v>128</v>
      </c>
      <c r="N1338" s="476">
        <v>31</v>
      </c>
      <c r="O1338" s="477" t="s">
        <v>70</v>
      </c>
      <c r="P1338" s="478" t="s">
        <v>819</v>
      </c>
      <c r="Q1338" s="478" t="s">
        <v>138</v>
      </c>
      <c r="R1338" s="478" t="s">
        <v>691</v>
      </c>
      <c r="S1338" s="479">
        <v>69</v>
      </c>
      <c r="T1338" s="478" t="s">
        <v>354</v>
      </c>
      <c r="U1338" s="478" t="s">
        <v>42</v>
      </c>
      <c r="V1338" s="480" t="s">
        <v>20</v>
      </c>
      <c r="W1338" s="51">
        <v>0.03</v>
      </c>
      <c r="X1338" s="357" t="s">
        <v>53</v>
      </c>
      <c r="Z1338" s="5" t="s">
        <v>16</v>
      </c>
      <c r="AA1338" s="112" t="s">
        <v>28</v>
      </c>
    </row>
    <row r="1339" spans="1:29" x14ac:dyDescent="0.25">
      <c r="A1339" s="329">
        <v>45956</v>
      </c>
      <c r="B1339" s="5">
        <v>10</v>
      </c>
      <c r="D1339" s="5" t="s">
        <v>70</v>
      </c>
      <c r="E1339" s="6">
        <v>1.18</v>
      </c>
      <c r="G1339" s="362">
        <v>1</v>
      </c>
      <c r="H1339" s="362">
        <v>0</v>
      </c>
      <c r="I1339" s="8">
        <v>0.84</v>
      </c>
      <c r="L1339" s="5" t="s">
        <v>128</v>
      </c>
      <c r="N1339" s="476">
        <v>42</v>
      </c>
      <c r="O1339" s="477" t="s">
        <v>70</v>
      </c>
      <c r="P1339" s="478" t="s">
        <v>814</v>
      </c>
      <c r="Q1339" s="478" t="s">
        <v>73</v>
      </c>
      <c r="R1339" s="478" t="s">
        <v>686</v>
      </c>
      <c r="S1339" s="479">
        <v>70</v>
      </c>
      <c r="T1339" s="478" t="s">
        <v>41</v>
      </c>
      <c r="U1339" s="478" t="s">
        <v>42</v>
      </c>
      <c r="V1339" s="480" t="s">
        <v>540</v>
      </c>
      <c r="W1339" s="51">
        <v>0.12</v>
      </c>
      <c r="X1339" s="357">
        <v>0.19</v>
      </c>
      <c r="Z1339" s="5" t="s">
        <v>48</v>
      </c>
      <c r="AA1339" s="112" t="s">
        <v>28</v>
      </c>
    </row>
    <row r="1340" spans="1:29" x14ac:dyDescent="0.25">
      <c r="A1340" s="329">
        <v>45956</v>
      </c>
      <c r="B1340" s="5">
        <v>10</v>
      </c>
      <c r="D1340" s="5" t="s">
        <v>70</v>
      </c>
      <c r="E1340" s="6">
        <v>1.18</v>
      </c>
      <c r="G1340" s="362">
        <v>1</v>
      </c>
      <c r="H1340" s="362">
        <v>0</v>
      </c>
      <c r="I1340" s="8">
        <v>0.84</v>
      </c>
      <c r="L1340" s="5" t="s">
        <v>128</v>
      </c>
      <c r="N1340" s="476">
        <v>66</v>
      </c>
      <c r="O1340" s="477" t="s">
        <v>70</v>
      </c>
      <c r="P1340" s="478" t="s">
        <v>819</v>
      </c>
      <c r="Q1340" s="478" t="s">
        <v>138</v>
      </c>
      <c r="R1340" s="478" t="s">
        <v>691</v>
      </c>
      <c r="S1340" s="479">
        <v>69</v>
      </c>
      <c r="T1340" s="478" t="s">
        <v>354</v>
      </c>
      <c r="U1340" s="478" t="s">
        <v>42</v>
      </c>
      <c r="V1340" s="480" t="s">
        <v>10</v>
      </c>
      <c r="W1340" s="51">
        <v>0.04</v>
      </c>
      <c r="X1340" s="357">
        <v>0.1</v>
      </c>
      <c r="Z1340" s="5" t="s">
        <v>48</v>
      </c>
      <c r="AA1340" s="112" t="s">
        <v>28</v>
      </c>
    </row>
    <row r="1341" spans="1:29" x14ac:dyDescent="0.25">
      <c r="A1341" s="329">
        <v>45956</v>
      </c>
      <c r="B1341" s="5">
        <v>10</v>
      </c>
      <c r="D1341" s="5" t="s">
        <v>70</v>
      </c>
      <c r="E1341" s="6">
        <v>1.18</v>
      </c>
      <c r="G1341" s="362">
        <v>1</v>
      </c>
      <c r="H1341" s="362">
        <v>0</v>
      </c>
      <c r="I1341" s="8">
        <v>0.84</v>
      </c>
      <c r="L1341" s="5" t="s">
        <v>128</v>
      </c>
      <c r="N1341" s="476">
        <v>67</v>
      </c>
      <c r="O1341" s="477" t="s">
        <v>70</v>
      </c>
      <c r="P1341" s="478" t="s">
        <v>823</v>
      </c>
      <c r="Q1341" s="478" t="s">
        <v>77</v>
      </c>
      <c r="R1341" s="478" t="s">
        <v>696</v>
      </c>
      <c r="S1341" s="479">
        <v>69</v>
      </c>
      <c r="T1341" s="478" t="s">
        <v>354</v>
      </c>
      <c r="U1341" s="478" t="s">
        <v>43</v>
      </c>
      <c r="V1341" s="480" t="s">
        <v>18</v>
      </c>
      <c r="W1341" s="51">
        <v>0.04</v>
      </c>
      <c r="X1341" s="357" t="s">
        <v>53</v>
      </c>
      <c r="Z1341" s="5" t="s">
        <v>17</v>
      </c>
      <c r="AA1341" s="112" t="s">
        <v>28</v>
      </c>
    </row>
    <row r="1342" spans="1:29" x14ac:dyDescent="0.25">
      <c r="A1342" s="329">
        <v>45956</v>
      </c>
      <c r="B1342" s="5">
        <v>10</v>
      </c>
      <c r="D1342" s="5" t="s">
        <v>70</v>
      </c>
      <c r="E1342" s="6">
        <v>1.18</v>
      </c>
      <c r="G1342" s="362">
        <v>1</v>
      </c>
      <c r="H1342" s="362">
        <v>0</v>
      </c>
      <c r="I1342" s="8">
        <v>0.84</v>
      </c>
      <c r="L1342" s="5" t="s">
        <v>128</v>
      </c>
      <c r="N1342" s="345">
        <v>76</v>
      </c>
      <c r="O1342" s="38" t="s">
        <v>128</v>
      </c>
      <c r="P1342" s="5" t="s">
        <v>821</v>
      </c>
      <c r="Q1342" s="5" t="s">
        <v>131</v>
      </c>
      <c r="R1342" s="5" t="s">
        <v>718</v>
      </c>
      <c r="S1342" s="7">
        <v>61</v>
      </c>
      <c r="T1342" s="5" t="s">
        <v>41</v>
      </c>
      <c r="U1342" s="5" t="s">
        <v>43</v>
      </c>
      <c r="V1342" s="57" t="s">
        <v>10</v>
      </c>
      <c r="W1342" s="51">
        <v>0.42</v>
      </c>
      <c r="X1342" s="357" t="s">
        <v>53</v>
      </c>
      <c r="Y1342" s="351" t="s">
        <v>353</v>
      </c>
      <c r="Z1342" s="5" t="s">
        <v>13</v>
      </c>
      <c r="AA1342" s="112" t="s">
        <v>28</v>
      </c>
    </row>
    <row r="1343" spans="1:29" x14ac:dyDescent="0.25">
      <c r="A1343" s="329">
        <v>45956</v>
      </c>
      <c r="B1343" s="5">
        <v>10</v>
      </c>
      <c r="D1343" s="5" t="s">
        <v>70</v>
      </c>
      <c r="E1343" s="6">
        <v>1.18</v>
      </c>
      <c r="G1343" s="362">
        <v>1</v>
      </c>
      <c r="H1343" s="362">
        <v>0</v>
      </c>
      <c r="I1343" s="8">
        <v>0.84</v>
      </c>
      <c r="L1343" s="5" t="s">
        <v>128</v>
      </c>
      <c r="N1343" s="345">
        <v>80</v>
      </c>
      <c r="O1343" s="38" t="s">
        <v>128</v>
      </c>
      <c r="P1343" s="5" t="s">
        <v>826</v>
      </c>
      <c r="Q1343" s="5" t="s">
        <v>520</v>
      </c>
      <c r="R1343" s="5" t="s">
        <v>717</v>
      </c>
      <c r="S1343" s="7">
        <v>81</v>
      </c>
      <c r="T1343" s="5" t="s">
        <v>41</v>
      </c>
      <c r="U1343" s="5" t="s">
        <v>42</v>
      </c>
      <c r="V1343" s="57" t="s">
        <v>540</v>
      </c>
      <c r="W1343" s="51">
        <v>0.06</v>
      </c>
      <c r="X1343" s="357">
        <v>0.14000000000000001</v>
      </c>
      <c r="Z1343" s="5" t="s">
        <v>48</v>
      </c>
      <c r="AA1343" s="112" t="s">
        <v>28</v>
      </c>
    </row>
    <row r="1344" spans="1:29" x14ac:dyDescent="0.25">
      <c r="A1344" s="329">
        <v>45956</v>
      </c>
      <c r="B1344" s="5">
        <v>10</v>
      </c>
      <c r="D1344" s="5" t="s">
        <v>70</v>
      </c>
      <c r="E1344" s="6">
        <v>1.18</v>
      </c>
      <c r="G1344" s="362">
        <v>1</v>
      </c>
      <c r="H1344" s="362">
        <v>0</v>
      </c>
      <c r="I1344" s="8">
        <v>0.84</v>
      </c>
      <c r="L1344" s="5" t="s">
        <v>128</v>
      </c>
      <c r="N1344" s="345">
        <v>85</v>
      </c>
      <c r="O1344" s="38" t="s">
        <v>128</v>
      </c>
      <c r="P1344" s="5" t="s">
        <v>806</v>
      </c>
      <c r="Q1344" s="5" t="s">
        <v>837</v>
      </c>
      <c r="R1344" s="5" t="s">
        <v>696</v>
      </c>
      <c r="S1344" s="7">
        <v>61</v>
      </c>
      <c r="T1344" s="5" t="s">
        <v>41</v>
      </c>
      <c r="U1344" s="5" t="s">
        <v>42</v>
      </c>
      <c r="V1344" s="57" t="s">
        <v>540</v>
      </c>
      <c r="W1344" s="51">
        <v>0.08</v>
      </c>
      <c r="X1344" s="357">
        <v>0.27</v>
      </c>
      <c r="Z1344" s="5" t="s">
        <v>48</v>
      </c>
      <c r="AA1344" s="112" t="s">
        <v>28</v>
      </c>
    </row>
    <row r="1345" spans="1:29" x14ac:dyDescent="0.25">
      <c r="A1345" s="329">
        <v>45956</v>
      </c>
      <c r="B1345" s="5">
        <v>10</v>
      </c>
      <c r="D1345" s="5" t="s">
        <v>70</v>
      </c>
      <c r="E1345" s="6">
        <v>1.18</v>
      </c>
      <c r="G1345" s="362">
        <v>1</v>
      </c>
      <c r="H1345" s="362">
        <v>0</v>
      </c>
      <c r="I1345" s="8">
        <v>0.84</v>
      </c>
      <c r="L1345" s="5" t="s">
        <v>128</v>
      </c>
      <c r="N1345" s="476" t="s">
        <v>268</v>
      </c>
      <c r="O1345" s="477" t="s">
        <v>70</v>
      </c>
      <c r="P1345" s="478" t="s">
        <v>53</v>
      </c>
      <c r="Q1345" s="478" t="s">
        <v>405</v>
      </c>
      <c r="R1345" s="478" t="s">
        <v>684</v>
      </c>
      <c r="S1345" s="479">
        <v>72</v>
      </c>
      <c r="T1345" s="478" t="s">
        <v>41</v>
      </c>
      <c r="U1345" s="478" t="s">
        <v>45</v>
      </c>
      <c r="V1345" s="480" t="s">
        <v>10</v>
      </c>
      <c r="W1345" s="51">
        <v>0.24</v>
      </c>
      <c r="X1345" s="357">
        <v>0.33</v>
      </c>
      <c r="Y1345" s="351" t="s">
        <v>353</v>
      </c>
      <c r="Z1345" s="5" t="s">
        <v>8</v>
      </c>
      <c r="AA1345" s="112" t="s">
        <v>19</v>
      </c>
      <c r="AB1345" s="108" t="s">
        <v>759</v>
      </c>
      <c r="AC1345" s="57" t="s">
        <v>81</v>
      </c>
    </row>
    <row r="1346" spans="1:29" ht="15.75" thickBot="1" x14ac:dyDescent="0.3">
      <c r="A1346" s="400">
        <v>45956</v>
      </c>
      <c r="B1346" s="401">
        <v>10</v>
      </c>
      <c r="C1346" s="474"/>
      <c r="D1346" s="401" t="s">
        <v>70</v>
      </c>
      <c r="E1346" s="404">
        <v>1.18</v>
      </c>
      <c r="F1346" s="404"/>
      <c r="G1346" s="363">
        <v>1</v>
      </c>
      <c r="H1346" s="363">
        <v>0</v>
      </c>
      <c r="I1346" s="475">
        <v>0.84</v>
      </c>
      <c r="J1346" s="475"/>
      <c r="K1346" s="474"/>
      <c r="L1346" s="401" t="s">
        <v>128</v>
      </c>
      <c r="M1346" s="235"/>
      <c r="N1346" s="347"/>
      <c r="O1346" s="343" t="s">
        <v>70</v>
      </c>
      <c r="P1346" s="199" t="s">
        <v>810</v>
      </c>
      <c r="Q1346" s="199" t="s">
        <v>715</v>
      </c>
      <c r="R1346" s="199" t="s">
        <v>707</v>
      </c>
      <c r="S1346" s="7">
        <v>72</v>
      </c>
      <c r="T1346" s="199"/>
      <c r="U1346" s="199"/>
      <c r="V1346" s="201"/>
      <c r="W1346" s="202"/>
      <c r="X1346" s="359"/>
      <c r="Y1346" s="353">
        <f>H1346</f>
        <v>0</v>
      </c>
      <c r="Z1346" s="199"/>
      <c r="AA1346" s="204"/>
      <c r="AB1346" s="205"/>
      <c r="AC1346" s="201"/>
    </row>
    <row r="1347" spans="1:29" ht="15.75" thickBot="1" x14ac:dyDescent="0.3">
      <c r="A1347" s="400">
        <v>45956</v>
      </c>
      <c r="B1347" s="401">
        <v>10</v>
      </c>
      <c r="C1347" s="474"/>
      <c r="D1347" s="401" t="s">
        <v>70</v>
      </c>
      <c r="E1347" s="404">
        <v>1.18</v>
      </c>
      <c r="F1347" s="404"/>
      <c r="G1347" s="363">
        <v>1</v>
      </c>
      <c r="H1347" s="363">
        <v>0</v>
      </c>
      <c r="I1347" s="475">
        <v>0.84</v>
      </c>
      <c r="J1347" s="475"/>
      <c r="K1347" s="474"/>
      <c r="L1347" s="401" t="s">
        <v>128</v>
      </c>
      <c r="M1347" s="235"/>
      <c r="N1347" s="347"/>
      <c r="O1347" s="343" t="s">
        <v>128</v>
      </c>
      <c r="P1347" s="199" t="s">
        <v>810</v>
      </c>
      <c r="Q1347" s="199" t="s">
        <v>476</v>
      </c>
      <c r="R1347" s="199" t="s">
        <v>707</v>
      </c>
      <c r="S1347" s="7">
        <v>72</v>
      </c>
      <c r="T1347" s="199"/>
      <c r="U1347" s="199"/>
      <c r="V1347" s="201"/>
      <c r="W1347" s="202"/>
      <c r="X1347" s="359"/>
      <c r="Y1347" s="353">
        <f>G1346</f>
        <v>1</v>
      </c>
      <c r="Z1347" s="199"/>
      <c r="AA1347" s="204"/>
      <c r="AB1347" s="205"/>
      <c r="AC1347" s="201"/>
    </row>
    <row r="1348" spans="1:29" x14ac:dyDescent="0.25">
      <c r="A1348" s="329">
        <v>45957</v>
      </c>
      <c r="B1348" s="5">
        <v>10</v>
      </c>
      <c r="C1348" s="121" t="s">
        <v>693</v>
      </c>
      <c r="D1348" s="5" t="s">
        <v>209</v>
      </c>
      <c r="E1348" s="6">
        <v>1.07</v>
      </c>
      <c r="G1348" s="362">
        <v>0</v>
      </c>
      <c r="H1348" s="362">
        <v>2</v>
      </c>
      <c r="I1348" s="8">
        <v>0.6</v>
      </c>
      <c r="K1348" s="121" t="s">
        <v>692</v>
      </c>
      <c r="L1348" s="5" t="s">
        <v>193</v>
      </c>
      <c r="N1348" s="345">
        <v>3</v>
      </c>
      <c r="O1348" s="38" t="s">
        <v>193</v>
      </c>
      <c r="P1348" s="5" t="s">
        <v>822</v>
      </c>
      <c r="Q1348" s="5" t="s">
        <v>205</v>
      </c>
      <c r="R1348" s="5" t="s">
        <v>686</v>
      </c>
      <c r="S1348" s="7">
        <v>82</v>
      </c>
      <c r="T1348" s="5" t="s">
        <v>44</v>
      </c>
      <c r="U1348" s="5" t="s">
        <v>43</v>
      </c>
      <c r="V1348" s="57" t="s">
        <v>29</v>
      </c>
      <c r="W1348" s="51">
        <v>0.04</v>
      </c>
      <c r="X1348" s="357">
        <v>0.37</v>
      </c>
      <c r="Z1348" s="5" t="s">
        <v>8</v>
      </c>
      <c r="AA1348" s="112" t="s">
        <v>9</v>
      </c>
      <c r="AB1348" s="108" t="s">
        <v>53</v>
      </c>
      <c r="AC1348" s="57" t="s">
        <v>477</v>
      </c>
    </row>
    <row r="1349" spans="1:29" x14ac:dyDescent="0.25">
      <c r="A1349" s="329">
        <v>45957</v>
      </c>
      <c r="B1349" s="5">
        <v>10</v>
      </c>
      <c r="D1349" s="5" t="s">
        <v>209</v>
      </c>
      <c r="E1349" s="6">
        <v>1.07</v>
      </c>
      <c r="G1349" s="362">
        <v>0</v>
      </c>
      <c r="H1349" s="362">
        <v>2</v>
      </c>
      <c r="I1349" s="8">
        <v>0.6</v>
      </c>
      <c r="L1349" s="5" t="s">
        <v>193</v>
      </c>
      <c r="N1349" s="345">
        <v>14</v>
      </c>
      <c r="O1349" s="38" t="s">
        <v>193</v>
      </c>
      <c r="P1349" s="5" t="s">
        <v>808</v>
      </c>
      <c r="Q1349" s="5" t="s">
        <v>327</v>
      </c>
      <c r="R1349" s="5" t="s">
        <v>685</v>
      </c>
      <c r="S1349" s="7">
        <v>74</v>
      </c>
      <c r="T1349" s="5" t="s">
        <v>41</v>
      </c>
      <c r="U1349" s="5" t="s">
        <v>43</v>
      </c>
      <c r="V1349" s="57" t="s">
        <v>10</v>
      </c>
      <c r="W1349" s="51">
        <v>0.04</v>
      </c>
      <c r="X1349" s="357">
        <v>0.23</v>
      </c>
      <c r="Z1349" s="5" t="s">
        <v>48</v>
      </c>
      <c r="AA1349" s="112" t="s">
        <v>9</v>
      </c>
    </row>
    <row r="1350" spans="1:29" x14ac:dyDescent="0.25">
      <c r="A1350" s="329">
        <v>45957</v>
      </c>
      <c r="B1350" s="5">
        <v>10</v>
      </c>
      <c r="D1350" s="5" t="s">
        <v>209</v>
      </c>
      <c r="E1350" s="6">
        <v>1.07</v>
      </c>
      <c r="G1350" s="362">
        <v>0</v>
      </c>
      <c r="H1350" s="362">
        <v>2</v>
      </c>
      <c r="I1350" s="8">
        <v>0.6</v>
      </c>
      <c r="L1350" s="5" t="s">
        <v>193</v>
      </c>
      <c r="N1350" s="476">
        <v>28</v>
      </c>
      <c r="O1350" s="477" t="s">
        <v>209</v>
      </c>
      <c r="P1350" s="478" t="s">
        <v>810</v>
      </c>
      <c r="Q1350" s="478" t="s">
        <v>425</v>
      </c>
      <c r="R1350" s="478" t="s">
        <v>685</v>
      </c>
      <c r="S1350" s="479">
        <v>68</v>
      </c>
      <c r="T1350" s="478" t="s">
        <v>44</v>
      </c>
      <c r="U1350" s="478" t="s">
        <v>42</v>
      </c>
      <c r="V1350" s="480" t="s">
        <v>10</v>
      </c>
      <c r="W1350" s="51">
        <v>0.08</v>
      </c>
      <c r="X1350" s="357">
        <v>0.62</v>
      </c>
      <c r="Z1350" s="5" t="s">
        <v>48</v>
      </c>
      <c r="AA1350" s="112" t="s">
        <v>9</v>
      </c>
    </row>
    <row r="1351" spans="1:29" x14ac:dyDescent="0.25">
      <c r="A1351" s="329">
        <v>45957</v>
      </c>
      <c r="B1351" s="5">
        <v>10</v>
      </c>
      <c r="D1351" s="5" t="s">
        <v>209</v>
      </c>
      <c r="E1351" s="6">
        <v>1.07</v>
      </c>
      <c r="G1351" s="362">
        <v>0</v>
      </c>
      <c r="H1351" s="362">
        <v>2</v>
      </c>
      <c r="I1351" s="8">
        <v>0.6</v>
      </c>
      <c r="L1351" s="5" t="s">
        <v>193</v>
      </c>
      <c r="N1351" s="345">
        <v>30</v>
      </c>
      <c r="O1351" s="38" t="s">
        <v>193</v>
      </c>
      <c r="P1351" s="5" t="s">
        <v>814</v>
      </c>
      <c r="Q1351" s="5" t="s">
        <v>201</v>
      </c>
      <c r="R1351" s="5" t="s">
        <v>684</v>
      </c>
      <c r="S1351" s="7">
        <v>69</v>
      </c>
      <c r="T1351" s="5" t="s">
        <v>41</v>
      </c>
      <c r="U1351" s="5" t="s">
        <v>42</v>
      </c>
      <c r="V1351" s="57" t="s">
        <v>18</v>
      </c>
      <c r="W1351" s="51">
        <v>0.21</v>
      </c>
      <c r="X1351" s="357" t="s">
        <v>53</v>
      </c>
      <c r="Z1351" s="5" t="s">
        <v>13</v>
      </c>
      <c r="AA1351" s="112" t="s">
        <v>9</v>
      </c>
    </row>
    <row r="1352" spans="1:29" x14ac:dyDescent="0.25">
      <c r="A1352" s="329">
        <v>45957</v>
      </c>
      <c r="B1352" s="5">
        <v>10</v>
      </c>
      <c r="D1352" s="5" t="s">
        <v>209</v>
      </c>
      <c r="E1352" s="6">
        <v>1.07</v>
      </c>
      <c r="G1352" s="362">
        <v>0</v>
      </c>
      <c r="H1352" s="362">
        <v>2</v>
      </c>
      <c r="I1352" s="8">
        <v>0.6</v>
      </c>
      <c r="L1352" s="5" t="s">
        <v>193</v>
      </c>
      <c r="N1352" s="476">
        <v>33</v>
      </c>
      <c r="O1352" s="477" t="s">
        <v>209</v>
      </c>
      <c r="P1352" s="478" t="s">
        <v>809</v>
      </c>
      <c r="Q1352" s="478" t="s">
        <v>211</v>
      </c>
      <c r="R1352" s="478" t="s">
        <v>688</v>
      </c>
      <c r="S1352" s="479">
        <v>62</v>
      </c>
      <c r="T1352" s="478" t="s">
        <v>354</v>
      </c>
      <c r="U1352" s="478" t="s">
        <v>43</v>
      </c>
      <c r="V1352" s="480" t="s">
        <v>540</v>
      </c>
      <c r="W1352" s="51">
        <v>0.04</v>
      </c>
      <c r="X1352" s="357" t="s">
        <v>53</v>
      </c>
      <c r="Z1352" s="5" t="s">
        <v>16</v>
      </c>
      <c r="AA1352" s="112" t="s">
        <v>9</v>
      </c>
    </row>
    <row r="1353" spans="1:29" x14ac:dyDescent="0.25">
      <c r="A1353" s="329">
        <v>45957</v>
      </c>
      <c r="B1353" s="5">
        <v>10</v>
      </c>
      <c r="D1353" s="5" t="s">
        <v>209</v>
      </c>
      <c r="E1353" s="6">
        <v>1.07</v>
      </c>
      <c r="G1353" s="362">
        <v>0</v>
      </c>
      <c r="H1353" s="362">
        <v>2</v>
      </c>
      <c r="I1353" s="8">
        <v>0.6</v>
      </c>
      <c r="L1353" s="5" t="s">
        <v>193</v>
      </c>
      <c r="N1353" s="345" t="s">
        <v>68</v>
      </c>
      <c r="O1353" s="38" t="s">
        <v>193</v>
      </c>
      <c r="P1353" s="5" t="s">
        <v>810</v>
      </c>
      <c r="Q1353" s="5" t="s">
        <v>673</v>
      </c>
      <c r="R1353" s="5" t="s">
        <v>691</v>
      </c>
      <c r="S1353" s="7">
        <v>78</v>
      </c>
      <c r="T1353" s="5" t="s">
        <v>41</v>
      </c>
      <c r="U1353" s="5" t="s">
        <v>42</v>
      </c>
      <c r="V1353" s="57" t="s">
        <v>18</v>
      </c>
      <c r="W1353" s="51">
        <v>0.18</v>
      </c>
      <c r="X1353" s="357">
        <v>0.89</v>
      </c>
      <c r="Z1353" s="5" t="s">
        <v>8</v>
      </c>
      <c r="AA1353" s="112" t="s">
        <v>11</v>
      </c>
      <c r="AB1353" s="108" t="s">
        <v>200</v>
      </c>
      <c r="AC1353" s="57" t="s">
        <v>201</v>
      </c>
    </row>
    <row r="1354" spans="1:29" x14ac:dyDescent="0.25">
      <c r="A1354" s="329">
        <v>45957</v>
      </c>
      <c r="B1354" s="5">
        <v>10</v>
      </c>
      <c r="D1354" s="5" t="s">
        <v>209</v>
      </c>
      <c r="E1354" s="6">
        <v>1.07</v>
      </c>
      <c r="G1354" s="362">
        <v>0</v>
      </c>
      <c r="H1354" s="362">
        <v>2</v>
      </c>
      <c r="I1354" s="8">
        <v>0.6</v>
      </c>
      <c r="L1354" s="5" t="s">
        <v>193</v>
      </c>
      <c r="N1354" s="476">
        <v>53</v>
      </c>
      <c r="O1354" s="477" t="s">
        <v>209</v>
      </c>
      <c r="P1354" s="478" t="s">
        <v>810</v>
      </c>
      <c r="Q1354" s="478" t="s">
        <v>425</v>
      </c>
      <c r="R1354" s="478" t="s">
        <v>685</v>
      </c>
      <c r="S1354" s="479">
        <v>68</v>
      </c>
      <c r="T1354" s="478" t="s">
        <v>41</v>
      </c>
      <c r="U1354" s="478" t="s">
        <v>42</v>
      </c>
      <c r="V1354" s="480" t="s">
        <v>10</v>
      </c>
      <c r="W1354" s="51">
        <v>0.34</v>
      </c>
      <c r="X1354" s="357">
        <v>0.24</v>
      </c>
      <c r="Z1354" s="5" t="s">
        <v>48</v>
      </c>
      <c r="AA1354" s="112" t="s">
        <v>11</v>
      </c>
    </row>
    <row r="1355" spans="1:29" x14ac:dyDescent="0.25">
      <c r="A1355" s="329">
        <v>45957</v>
      </c>
      <c r="B1355" s="5">
        <v>10</v>
      </c>
      <c r="D1355" s="5" t="s">
        <v>209</v>
      </c>
      <c r="E1355" s="6">
        <v>1.07</v>
      </c>
      <c r="G1355" s="362">
        <v>0</v>
      </c>
      <c r="H1355" s="362">
        <v>2</v>
      </c>
      <c r="I1355" s="8">
        <v>0.6</v>
      </c>
      <c r="L1355" s="5" t="s">
        <v>193</v>
      </c>
      <c r="N1355" s="476">
        <v>59</v>
      </c>
      <c r="O1355" s="477" t="s">
        <v>209</v>
      </c>
      <c r="P1355" s="478" t="s">
        <v>810</v>
      </c>
      <c r="Q1355" s="478" t="s">
        <v>425</v>
      </c>
      <c r="R1355" s="478" t="s">
        <v>685</v>
      </c>
      <c r="S1355" s="479">
        <v>68</v>
      </c>
      <c r="T1355" s="478" t="s">
        <v>44</v>
      </c>
      <c r="U1355" s="478" t="s">
        <v>42</v>
      </c>
      <c r="V1355" s="480" t="s">
        <v>15</v>
      </c>
      <c r="W1355" s="51">
        <v>0.03</v>
      </c>
      <c r="X1355" s="357" t="s">
        <v>53</v>
      </c>
      <c r="Z1355" s="5" t="s">
        <v>17</v>
      </c>
      <c r="AA1355" s="112" t="s">
        <v>11</v>
      </c>
    </row>
    <row r="1356" spans="1:29" x14ac:dyDescent="0.25">
      <c r="A1356" s="329">
        <v>45957</v>
      </c>
      <c r="B1356" s="5">
        <v>10</v>
      </c>
      <c r="D1356" s="5" t="s">
        <v>209</v>
      </c>
      <c r="E1356" s="6">
        <v>1.07</v>
      </c>
      <c r="G1356" s="362">
        <v>0</v>
      </c>
      <c r="H1356" s="362">
        <v>2</v>
      </c>
      <c r="I1356" s="8">
        <v>0.6</v>
      </c>
      <c r="L1356" s="5" t="s">
        <v>193</v>
      </c>
      <c r="N1356" s="476">
        <v>68</v>
      </c>
      <c r="O1356" s="477" t="s">
        <v>209</v>
      </c>
      <c r="P1356" s="478" t="s">
        <v>822</v>
      </c>
      <c r="Q1356" s="478" t="s">
        <v>223</v>
      </c>
      <c r="R1356" s="478" t="s">
        <v>696</v>
      </c>
      <c r="S1356" s="479">
        <v>70</v>
      </c>
      <c r="T1356" s="478" t="s">
        <v>41</v>
      </c>
      <c r="U1356" s="478" t="s">
        <v>42</v>
      </c>
      <c r="V1356" s="480" t="s">
        <v>10</v>
      </c>
      <c r="W1356" s="51">
        <v>0.09</v>
      </c>
      <c r="X1356" s="357">
        <v>0.15</v>
      </c>
      <c r="Z1356" s="5" t="s">
        <v>48</v>
      </c>
      <c r="AA1356" s="112" t="s">
        <v>11</v>
      </c>
    </row>
    <row r="1357" spans="1:29" x14ac:dyDescent="0.25">
      <c r="A1357" s="329">
        <v>45957</v>
      </c>
      <c r="B1357" s="5">
        <v>10</v>
      </c>
      <c r="D1357" s="5" t="s">
        <v>209</v>
      </c>
      <c r="E1357" s="6">
        <v>1.07</v>
      </c>
      <c r="G1357" s="362">
        <v>0</v>
      </c>
      <c r="H1357" s="362">
        <v>2</v>
      </c>
      <c r="I1357" s="8">
        <v>0.6</v>
      </c>
      <c r="L1357" s="5" t="s">
        <v>193</v>
      </c>
      <c r="N1357" s="476">
        <v>81</v>
      </c>
      <c r="O1357" s="477" t="s">
        <v>209</v>
      </c>
      <c r="P1357" s="478" t="s">
        <v>806</v>
      </c>
      <c r="Q1357" s="478" t="s">
        <v>341</v>
      </c>
      <c r="R1357" s="478" t="s">
        <v>696</v>
      </c>
      <c r="S1357" s="479">
        <v>61</v>
      </c>
      <c r="T1357" s="478" t="s">
        <v>41</v>
      </c>
      <c r="U1357" s="478" t="s">
        <v>42</v>
      </c>
      <c r="V1357" s="480" t="s">
        <v>10</v>
      </c>
      <c r="W1357" s="51">
        <v>0.13</v>
      </c>
      <c r="X1357" s="357">
        <v>0.26</v>
      </c>
      <c r="Z1357" s="5" t="s">
        <v>48</v>
      </c>
      <c r="AA1357" s="112" t="s">
        <v>11</v>
      </c>
    </row>
    <row r="1358" spans="1:29" ht="15.75" thickBot="1" x14ac:dyDescent="0.3">
      <c r="A1358" s="400">
        <v>45957</v>
      </c>
      <c r="B1358" s="401">
        <v>10</v>
      </c>
      <c r="C1358" s="474"/>
      <c r="D1358" s="401" t="s">
        <v>209</v>
      </c>
      <c r="E1358" s="404">
        <v>1.07</v>
      </c>
      <c r="F1358" s="404"/>
      <c r="G1358" s="363">
        <v>0</v>
      </c>
      <c r="H1358" s="363">
        <v>2</v>
      </c>
      <c r="I1358" s="475">
        <v>0.6</v>
      </c>
      <c r="J1358" s="475"/>
      <c r="K1358" s="474"/>
      <c r="L1358" s="401" t="s">
        <v>193</v>
      </c>
      <c r="M1358" s="235"/>
      <c r="N1358" s="347"/>
      <c r="O1358" s="343" t="s">
        <v>209</v>
      </c>
      <c r="P1358" s="199" t="s">
        <v>819</v>
      </c>
      <c r="Q1358" s="199" t="s">
        <v>150</v>
      </c>
      <c r="R1358" s="199" t="s">
        <v>707</v>
      </c>
      <c r="S1358" s="7">
        <v>59</v>
      </c>
      <c r="T1358" s="199"/>
      <c r="U1358" s="199"/>
      <c r="V1358" s="201"/>
      <c r="W1358" s="202"/>
      <c r="X1358" s="359"/>
      <c r="Y1358" s="353">
        <f>H1358</f>
        <v>2</v>
      </c>
      <c r="Z1358" s="199"/>
      <c r="AA1358" s="204"/>
      <c r="AB1358" s="205"/>
      <c r="AC1358" s="201"/>
    </row>
    <row r="1359" spans="1:29" ht="15.75" thickBot="1" x14ac:dyDescent="0.3">
      <c r="A1359" s="400">
        <v>45957</v>
      </c>
      <c r="B1359" s="401">
        <v>10</v>
      </c>
      <c r="C1359" s="474"/>
      <c r="D1359" s="401" t="s">
        <v>209</v>
      </c>
      <c r="E1359" s="404">
        <v>1.07</v>
      </c>
      <c r="F1359" s="404"/>
      <c r="G1359" s="363">
        <v>0</v>
      </c>
      <c r="H1359" s="363">
        <v>2</v>
      </c>
      <c r="I1359" s="475">
        <v>0.6</v>
      </c>
      <c r="J1359" s="475"/>
      <c r="K1359" s="474"/>
      <c r="L1359" s="401" t="s">
        <v>193</v>
      </c>
      <c r="M1359" s="235"/>
      <c r="N1359" s="347"/>
      <c r="O1359" s="343" t="s">
        <v>193</v>
      </c>
      <c r="P1359" s="199" t="s">
        <v>814</v>
      </c>
      <c r="Q1359" s="199" t="s">
        <v>581</v>
      </c>
      <c r="R1359" s="199" t="s">
        <v>707</v>
      </c>
      <c r="S1359" s="7">
        <v>79</v>
      </c>
      <c r="T1359" s="199"/>
      <c r="U1359" s="199"/>
      <c r="V1359" s="201"/>
      <c r="W1359" s="202"/>
      <c r="X1359" s="359"/>
      <c r="Y1359" s="353">
        <f>G1358</f>
        <v>0</v>
      </c>
      <c r="Z1359" s="199"/>
      <c r="AA1359" s="204"/>
      <c r="AB1359" s="205"/>
      <c r="AC1359" s="201"/>
    </row>
    <row r="1360" spans="1:29" x14ac:dyDescent="0.25">
      <c r="A1360" s="329">
        <v>45961</v>
      </c>
      <c r="B1360" s="5">
        <v>11</v>
      </c>
      <c r="C1360" s="121" t="s">
        <v>694</v>
      </c>
      <c r="D1360" s="5" t="s">
        <v>161</v>
      </c>
      <c r="E1360" s="6">
        <v>0.88</v>
      </c>
      <c r="G1360" s="362">
        <v>2</v>
      </c>
      <c r="H1360" s="362">
        <v>1</v>
      </c>
      <c r="I1360" s="8">
        <v>1.43</v>
      </c>
      <c r="K1360" s="121" t="s">
        <v>697</v>
      </c>
      <c r="L1360" s="5" t="s">
        <v>69</v>
      </c>
      <c r="N1360" s="476">
        <v>2</v>
      </c>
      <c r="O1360" s="477" t="s">
        <v>161</v>
      </c>
      <c r="P1360" s="478" t="s">
        <v>806</v>
      </c>
      <c r="Q1360" s="478" t="s">
        <v>843</v>
      </c>
      <c r="R1360" s="478" t="s">
        <v>685</v>
      </c>
      <c r="S1360" s="479">
        <v>65</v>
      </c>
      <c r="T1360" s="478" t="s">
        <v>47</v>
      </c>
      <c r="U1360" s="478" t="s">
        <v>45</v>
      </c>
      <c r="V1360" s="480" t="s">
        <v>10</v>
      </c>
      <c r="W1360" s="51">
        <v>0.17</v>
      </c>
      <c r="X1360" s="357" t="s">
        <v>53</v>
      </c>
      <c r="Z1360" s="5" t="s">
        <v>13</v>
      </c>
      <c r="AA1360" s="112" t="s">
        <v>28</v>
      </c>
    </row>
    <row r="1361" spans="1:29" x14ac:dyDescent="0.25">
      <c r="A1361" s="329">
        <v>45961</v>
      </c>
      <c r="B1361" s="5">
        <v>11</v>
      </c>
      <c r="D1361" s="5" t="s">
        <v>161</v>
      </c>
      <c r="E1361" s="6">
        <v>0.88</v>
      </c>
      <c r="G1361" s="362">
        <v>2</v>
      </c>
      <c r="H1361" s="362">
        <v>1</v>
      </c>
      <c r="I1361" s="8">
        <v>1.43</v>
      </c>
      <c r="L1361" s="5" t="s">
        <v>69</v>
      </c>
      <c r="N1361" s="345">
        <v>21</v>
      </c>
      <c r="O1361" s="38" t="s">
        <v>69</v>
      </c>
      <c r="P1361" s="5" t="s">
        <v>814</v>
      </c>
      <c r="Q1361" s="5" t="s">
        <v>88</v>
      </c>
      <c r="R1361" s="5" t="s">
        <v>685</v>
      </c>
      <c r="S1361" s="7">
        <v>66</v>
      </c>
      <c r="T1361" s="5" t="s">
        <v>44</v>
      </c>
      <c r="U1361" s="5" t="s">
        <v>42</v>
      </c>
      <c r="V1361" s="57" t="s">
        <v>18</v>
      </c>
      <c r="W1361" s="51">
        <v>0.09</v>
      </c>
      <c r="X1361" s="357">
        <v>0.32</v>
      </c>
      <c r="Z1361" s="5" t="s">
        <v>48</v>
      </c>
      <c r="AA1361" s="112" t="s">
        <v>28</v>
      </c>
    </row>
    <row r="1362" spans="1:29" x14ac:dyDescent="0.25">
      <c r="A1362" s="329">
        <v>45961</v>
      </c>
      <c r="B1362" s="5">
        <v>11</v>
      </c>
      <c r="D1362" s="5" t="s">
        <v>161</v>
      </c>
      <c r="E1362" s="6">
        <v>0.88</v>
      </c>
      <c r="G1362" s="362">
        <v>2</v>
      </c>
      <c r="H1362" s="362">
        <v>1</v>
      </c>
      <c r="I1362" s="8">
        <v>1.43</v>
      </c>
      <c r="L1362" s="5" t="s">
        <v>69</v>
      </c>
      <c r="N1362" s="345">
        <v>37</v>
      </c>
      <c r="O1362" s="38" t="s">
        <v>69</v>
      </c>
      <c r="P1362" s="5" t="s">
        <v>810</v>
      </c>
      <c r="Q1362" s="5" t="s">
        <v>503</v>
      </c>
      <c r="R1362" s="5" t="s">
        <v>687</v>
      </c>
      <c r="S1362" s="7">
        <v>68</v>
      </c>
      <c r="T1362" s="5" t="s">
        <v>41</v>
      </c>
      <c r="U1362" s="5" t="s">
        <v>42</v>
      </c>
      <c r="V1362" s="57" t="s">
        <v>33</v>
      </c>
      <c r="W1362" s="51">
        <v>0.11</v>
      </c>
      <c r="X1362" s="357" t="s">
        <v>53</v>
      </c>
      <c r="Z1362" s="5" t="s">
        <v>13</v>
      </c>
      <c r="AA1362" s="112" t="s">
        <v>28</v>
      </c>
    </row>
    <row r="1363" spans="1:29" x14ac:dyDescent="0.25">
      <c r="A1363" s="329">
        <v>45961</v>
      </c>
      <c r="B1363" s="5">
        <v>11</v>
      </c>
      <c r="D1363" s="5" t="s">
        <v>161</v>
      </c>
      <c r="E1363" s="6">
        <v>0.88</v>
      </c>
      <c r="G1363" s="362">
        <v>2</v>
      </c>
      <c r="H1363" s="362">
        <v>1</v>
      </c>
      <c r="I1363" s="8">
        <v>1.43</v>
      </c>
      <c r="L1363" s="5" t="s">
        <v>69</v>
      </c>
      <c r="N1363" s="476">
        <v>43</v>
      </c>
      <c r="O1363" s="477" t="s">
        <v>161</v>
      </c>
      <c r="P1363" s="478" t="s">
        <v>805</v>
      </c>
      <c r="Q1363" s="478" t="s">
        <v>302</v>
      </c>
      <c r="R1363" s="478" t="s">
        <v>695</v>
      </c>
      <c r="S1363" s="479">
        <v>73</v>
      </c>
      <c r="T1363" s="478" t="s">
        <v>44</v>
      </c>
      <c r="U1363" s="478" t="s">
        <v>42</v>
      </c>
      <c r="V1363" s="480" t="s">
        <v>29</v>
      </c>
      <c r="W1363" s="51">
        <v>0.03</v>
      </c>
      <c r="X1363" s="357" t="s">
        <v>53</v>
      </c>
      <c r="Z1363" s="5" t="s">
        <v>22</v>
      </c>
      <c r="AA1363" s="112" t="s">
        <v>28</v>
      </c>
    </row>
    <row r="1364" spans="1:29" x14ac:dyDescent="0.25">
      <c r="A1364" s="329">
        <v>45961</v>
      </c>
      <c r="B1364" s="5">
        <v>11</v>
      </c>
      <c r="D1364" s="5" t="s">
        <v>161</v>
      </c>
      <c r="E1364" s="6">
        <v>0.88</v>
      </c>
      <c r="G1364" s="362">
        <v>2</v>
      </c>
      <c r="H1364" s="362">
        <v>1</v>
      </c>
      <c r="I1364" s="8">
        <v>1.43</v>
      </c>
      <c r="L1364" s="5" t="s">
        <v>69</v>
      </c>
      <c r="N1364" s="476">
        <v>47</v>
      </c>
      <c r="O1364" s="477" t="s">
        <v>161</v>
      </c>
      <c r="P1364" s="478" t="s">
        <v>805</v>
      </c>
      <c r="Q1364" s="478" t="s">
        <v>302</v>
      </c>
      <c r="R1364" s="478" t="s">
        <v>695</v>
      </c>
      <c r="S1364" s="479">
        <v>73</v>
      </c>
      <c r="T1364" s="478" t="s">
        <v>44</v>
      </c>
      <c r="U1364" s="478" t="s">
        <v>43</v>
      </c>
      <c r="V1364" s="480" t="s">
        <v>33</v>
      </c>
      <c r="W1364" s="51">
        <v>0.03</v>
      </c>
      <c r="X1364" s="357">
        <v>0.55000000000000004</v>
      </c>
      <c r="Z1364" s="5" t="s">
        <v>48</v>
      </c>
      <c r="AA1364" s="112" t="s">
        <v>28</v>
      </c>
    </row>
    <row r="1365" spans="1:29" x14ac:dyDescent="0.25">
      <c r="A1365" s="329">
        <v>45961</v>
      </c>
      <c r="B1365" s="5">
        <v>11</v>
      </c>
      <c r="D1365" s="5" t="s">
        <v>161</v>
      </c>
      <c r="E1365" s="6">
        <v>0.88</v>
      </c>
      <c r="G1365" s="362">
        <v>2</v>
      </c>
      <c r="H1365" s="362">
        <v>1</v>
      </c>
      <c r="I1365" s="8">
        <v>1.43</v>
      </c>
      <c r="L1365" s="5" t="s">
        <v>69</v>
      </c>
      <c r="N1365" s="476">
        <v>65</v>
      </c>
      <c r="O1365" s="477" t="s">
        <v>161</v>
      </c>
      <c r="P1365" s="478" t="s">
        <v>810</v>
      </c>
      <c r="Q1365" s="478" t="s">
        <v>169</v>
      </c>
      <c r="R1365" s="478" t="s">
        <v>717</v>
      </c>
      <c r="S1365" s="479">
        <v>65</v>
      </c>
      <c r="T1365" s="478" t="s">
        <v>44</v>
      </c>
      <c r="U1365" s="478" t="s">
        <v>43</v>
      </c>
      <c r="V1365" s="480" t="s">
        <v>33</v>
      </c>
      <c r="W1365" s="51">
        <v>7.0000000000000007E-2</v>
      </c>
      <c r="X1365" s="357" t="s">
        <v>53</v>
      </c>
      <c r="Z1365" s="5" t="s">
        <v>22</v>
      </c>
      <c r="AA1365" s="112" t="s">
        <v>28</v>
      </c>
    </row>
    <row r="1366" spans="1:29" x14ac:dyDescent="0.25">
      <c r="A1366" s="329">
        <v>45961</v>
      </c>
      <c r="B1366" s="5">
        <v>11</v>
      </c>
      <c r="D1366" s="5" t="s">
        <v>161</v>
      </c>
      <c r="E1366" s="6">
        <v>0.88</v>
      </c>
      <c r="G1366" s="362">
        <v>2</v>
      </c>
      <c r="H1366" s="362">
        <v>1</v>
      </c>
      <c r="I1366" s="8">
        <v>1.43</v>
      </c>
      <c r="L1366" s="5" t="s">
        <v>69</v>
      </c>
      <c r="N1366" s="476">
        <v>72</v>
      </c>
      <c r="O1366" s="477" t="s">
        <v>161</v>
      </c>
      <c r="P1366" s="478" t="s">
        <v>805</v>
      </c>
      <c r="Q1366" s="478" t="s">
        <v>365</v>
      </c>
      <c r="R1366" s="478" t="s">
        <v>696</v>
      </c>
      <c r="S1366" s="479">
        <v>74</v>
      </c>
      <c r="T1366" s="478" t="s">
        <v>41</v>
      </c>
      <c r="U1366" s="478" t="s">
        <v>45</v>
      </c>
      <c r="V1366" s="480" t="s">
        <v>33</v>
      </c>
      <c r="W1366" s="51">
        <v>0.12</v>
      </c>
      <c r="X1366" s="357">
        <v>0.63</v>
      </c>
      <c r="Y1366" s="351" t="s">
        <v>353</v>
      </c>
      <c r="Z1366" s="5" t="s">
        <v>8</v>
      </c>
      <c r="AA1366" s="112" t="s">
        <v>19</v>
      </c>
      <c r="AB1366" s="108" t="s">
        <v>315</v>
      </c>
      <c r="AC1366" s="57" t="s">
        <v>199</v>
      </c>
    </row>
    <row r="1367" spans="1:29" x14ac:dyDescent="0.25">
      <c r="A1367" s="329">
        <v>45961</v>
      </c>
      <c r="B1367" s="5">
        <v>11</v>
      </c>
      <c r="D1367" s="5" t="s">
        <v>161</v>
      </c>
      <c r="E1367" s="6">
        <v>0.88</v>
      </c>
      <c r="G1367" s="362">
        <v>2</v>
      </c>
      <c r="H1367" s="362">
        <v>1</v>
      </c>
      <c r="I1367" s="8">
        <v>1.43</v>
      </c>
      <c r="L1367" s="5" t="s">
        <v>69</v>
      </c>
      <c r="N1367" s="345">
        <v>76</v>
      </c>
      <c r="O1367" s="38" t="s">
        <v>69</v>
      </c>
      <c r="P1367" s="5" t="s">
        <v>829</v>
      </c>
      <c r="Q1367" s="5" t="s">
        <v>390</v>
      </c>
      <c r="R1367" s="5" t="s">
        <v>684</v>
      </c>
      <c r="S1367" s="7">
        <v>65</v>
      </c>
      <c r="T1367" s="5" t="s">
        <v>41</v>
      </c>
      <c r="U1367" s="5" t="s">
        <v>42</v>
      </c>
      <c r="V1367" s="57" t="s">
        <v>18</v>
      </c>
      <c r="W1367" s="51">
        <v>0.25</v>
      </c>
      <c r="X1367" s="357">
        <v>0.15</v>
      </c>
      <c r="Y1367" s="351" t="s">
        <v>353</v>
      </c>
      <c r="Z1367" s="5" t="s">
        <v>48</v>
      </c>
      <c r="AA1367" s="112" t="s">
        <v>19</v>
      </c>
    </row>
    <row r="1368" spans="1:29" x14ac:dyDescent="0.25">
      <c r="A1368" s="329">
        <v>45961</v>
      </c>
      <c r="B1368" s="5">
        <v>11</v>
      </c>
      <c r="D1368" s="5" t="s">
        <v>161</v>
      </c>
      <c r="E1368" s="6">
        <v>0.88</v>
      </c>
      <c r="G1368" s="362">
        <v>2</v>
      </c>
      <c r="H1368" s="362">
        <v>1</v>
      </c>
      <c r="I1368" s="8">
        <v>1.43</v>
      </c>
      <c r="L1368" s="5" t="s">
        <v>69</v>
      </c>
      <c r="N1368" s="476">
        <v>86</v>
      </c>
      <c r="O1368" s="477" t="s">
        <v>161</v>
      </c>
      <c r="P1368" s="478" t="s">
        <v>824</v>
      </c>
      <c r="Q1368" s="478" t="s">
        <v>314</v>
      </c>
      <c r="R1368" s="478" t="s">
        <v>718</v>
      </c>
      <c r="S1368" s="479">
        <v>71</v>
      </c>
      <c r="T1368" s="478" t="s">
        <v>47</v>
      </c>
      <c r="U1368" s="478" t="s">
        <v>43</v>
      </c>
      <c r="V1368" s="480" t="s">
        <v>20</v>
      </c>
      <c r="W1368" s="51">
        <v>0.24</v>
      </c>
      <c r="X1368" s="357">
        <v>0.68</v>
      </c>
      <c r="Y1368" s="351" t="s">
        <v>353</v>
      </c>
      <c r="Z1368" s="5" t="s">
        <v>8</v>
      </c>
      <c r="AA1368" s="112" t="s">
        <v>24</v>
      </c>
      <c r="AB1368" s="108" t="s">
        <v>176</v>
      </c>
      <c r="AC1368" s="57" t="s">
        <v>797</v>
      </c>
    </row>
    <row r="1369" spans="1:29" x14ac:dyDescent="0.25">
      <c r="A1369" s="329">
        <v>45961</v>
      </c>
      <c r="B1369" s="5">
        <v>11</v>
      </c>
      <c r="D1369" s="5" t="s">
        <v>161</v>
      </c>
      <c r="E1369" s="6">
        <v>0.88</v>
      </c>
      <c r="G1369" s="362">
        <v>2</v>
      </c>
      <c r="H1369" s="362">
        <v>1</v>
      </c>
      <c r="I1369" s="8">
        <v>1.43</v>
      </c>
      <c r="L1369" s="5" t="s">
        <v>69</v>
      </c>
      <c r="N1369" s="345" t="s">
        <v>36</v>
      </c>
      <c r="O1369" s="38" t="s">
        <v>69</v>
      </c>
      <c r="P1369" s="5" t="s">
        <v>806</v>
      </c>
      <c r="Q1369" s="5" t="s">
        <v>815</v>
      </c>
      <c r="R1369" s="5" t="s">
        <v>696</v>
      </c>
      <c r="S1369" s="7">
        <v>69</v>
      </c>
      <c r="T1369" s="5" t="s">
        <v>41</v>
      </c>
      <c r="U1369" s="5" t="s">
        <v>42</v>
      </c>
      <c r="V1369" s="57" t="s">
        <v>7</v>
      </c>
      <c r="W1369" s="51">
        <v>0.79</v>
      </c>
      <c r="X1369" s="357">
        <v>0.81</v>
      </c>
      <c r="Y1369" s="351" t="s">
        <v>353</v>
      </c>
      <c r="Z1369" s="5" t="s">
        <v>8</v>
      </c>
      <c r="AA1369" s="112" t="s">
        <v>34</v>
      </c>
    </row>
    <row r="1370" spans="1:29" ht="15.75" thickBot="1" x14ac:dyDescent="0.3">
      <c r="A1370" s="400">
        <v>45961</v>
      </c>
      <c r="B1370" s="401">
        <v>11</v>
      </c>
      <c r="C1370" s="474"/>
      <c r="D1370" s="401" t="s">
        <v>161</v>
      </c>
      <c r="E1370" s="404">
        <v>0.88</v>
      </c>
      <c r="F1370" s="404"/>
      <c r="G1370" s="363">
        <v>2</v>
      </c>
      <c r="H1370" s="363">
        <v>1</v>
      </c>
      <c r="I1370" s="475">
        <v>1.43</v>
      </c>
      <c r="J1370" s="475"/>
      <c r="K1370" s="474"/>
      <c r="L1370" s="401" t="s">
        <v>69</v>
      </c>
      <c r="M1370" s="235"/>
      <c r="N1370" s="347"/>
      <c r="O1370" s="343" t="s">
        <v>161</v>
      </c>
      <c r="P1370" s="199" t="s">
        <v>817</v>
      </c>
      <c r="Q1370" s="199" t="s">
        <v>721</v>
      </c>
      <c r="R1370" s="199" t="s">
        <v>707</v>
      </c>
      <c r="S1370" s="7">
        <v>67</v>
      </c>
      <c r="T1370" s="199"/>
      <c r="U1370" s="199"/>
      <c r="V1370" s="201"/>
      <c r="W1370" s="202"/>
      <c r="X1370" s="359"/>
      <c r="Y1370" s="353">
        <f>H1370</f>
        <v>1</v>
      </c>
      <c r="Z1370" s="199"/>
      <c r="AA1370" s="204"/>
      <c r="AB1370" s="205"/>
      <c r="AC1370" s="201"/>
    </row>
    <row r="1371" spans="1:29" ht="15.75" thickBot="1" x14ac:dyDescent="0.3">
      <c r="A1371" s="400">
        <v>45961</v>
      </c>
      <c r="B1371" s="401">
        <v>11</v>
      </c>
      <c r="C1371" s="474"/>
      <c r="D1371" s="401" t="s">
        <v>161</v>
      </c>
      <c r="E1371" s="404">
        <v>0.88</v>
      </c>
      <c r="F1371" s="404"/>
      <c r="G1371" s="363">
        <v>2</v>
      </c>
      <c r="H1371" s="363">
        <v>1</v>
      </c>
      <c r="I1371" s="475">
        <v>1.43</v>
      </c>
      <c r="J1371" s="475"/>
      <c r="K1371" s="474"/>
      <c r="L1371" s="401" t="s">
        <v>69</v>
      </c>
      <c r="M1371" s="235"/>
      <c r="N1371" s="347"/>
      <c r="O1371" s="343" t="s">
        <v>69</v>
      </c>
      <c r="P1371" s="199" t="s">
        <v>819</v>
      </c>
      <c r="Q1371" s="199" t="s">
        <v>479</v>
      </c>
      <c r="R1371" s="199" t="s">
        <v>707</v>
      </c>
      <c r="S1371" s="7">
        <v>62</v>
      </c>
      <c r="T1371" s="199"/>
      <c r="U1371" s="199"/>
      <c r="V1371" s="201"/>
      <c r="W1371" s="202"/>
      <c r="X1371" s="359"/>
      <c r="Y1371" s="353">
        <f>G1370</f>
        <v>2</v>
      </c>
      <c r="Z1371" s="199"/>
      <c r="AA1371" s="204"/>
      <c r="AB1371" s="205"/>
      <c r="AC1371" s="201"/>
    </row>
    <row r="1372" spans="1:29" x14ac:dyDescent="0.25">
      <c r="A1372" s="329">
        <v>45962</v>
      </c>
      <c r="B1372" s="5">
        <v>11</v>
      </c>
      <c r="C1372" s="121" t="s">
        <v>694</v>
      </c>
      <c r="D1372" s="5" t="s">
        <v>91</v>
      </c>
      <c r="E1372" s="6">
        <v>3.02</v>
      </c>
      <c r="G1372" s="362">
        <v>4</v>
      </c>
      <c r="H1372" s="362">
        <v>0</v>
      </c>
      <c r="I1372" s="8">
        <v>1.02</v>
      </c>
      <c r="K1372" s="121" t="s">
        <v>693</v>
      </c>
      <c r="L1372" s="5" t="s">
        <v>70</v>
      </c>
      <c r="N1372" s="345">
        <v>12</v>
      </c>
      <c r="O1372" s="38" t="s">
        <v>70</v>
      </c>
      <c r="P1372" s="5" t="s">
        <v>53</v>
      </c>
      <c r="Q1372" s="5" t="s">
        <v>405</v>
      </c>
      <c r="R1372" s="5" t="s">
        <v>684</v>
      </c>
      <c r="S1372" s="7">
        <v>61</v>
      </c>
      <c r="T1372" s="5" t="s">
        <v>41</v>
      </c>
      <c r="U1372" s="5" t="s">
        <v>45</v>
      </c>
      <c r="V1372" s="57" t="s">
        <v>10</v>
      </c>
      <c r="W1372" s="51">
        <v>0.04</v>
      </c>
      <c r="X1372" s="357">
        <v>0.37</v>
      </c>
      <c r="Z1372" s="5" t="s">
        <v>48</v>
      </c>
      <c r="AA1372" s="112" t="s">
        <v>28</v>
      </c>
    </row>
    <row r="1373" spans="1:29" x14ac:dyDescent="0.25">
      <c r="A1373" s="329">
        <v>45962</v>
      </c>
      <c r="B1373" s="5">
        <v>11</v>
      </c>
      <c r="D1373" s="5" t="s">
        <v>91</v>
      </c>
      <c r="E1373" s="6">
        <v>3.02</v>
      </c>
      <c r="G1373" s="362">
        <v>4</v>
      </c>
      <c r="H1373" s="362">
        <v>0</v>
      </c>
      <c r="I1373" s="8">
        <v>1.02</v>
      </c>
      <c r="L1373" s="5" t="s">
        <v>70</v>
      </c>
      <c r="N1373" s="476">
        <v>16</v>
      </c>
      <c r="O1373" s="477" t="s">
        <v>91</v>
      </c>
      <c r="P1373" s="478" t="s">
        <v>822</v>
      </c>
      <c r="Q1373" s="478" t="s">
        <v>99</v>
      </c>
      <c r="R1373" s="478" t="s">
        <v>718</v>
      </c>
      <c r="S1373" s="479">
        <v>87</v>
      </c>
      <c r="T1373" s="478" t="s">
        <v>41</v>
      </c>
      <c r="U1373" s="478" t="s">
        <v>43</v>
      </c>
      <c r="V1373" s="480" t="s">
        <v>10</v>
      </c>
      <c r="W1373" s="51">
        <v>0.1</v>
      </c>
      <c r="X1373" s="357" t="s">
        <v>53</v>
      </c>
      <c r="Z1373" s="5" t="s">
        <v>52</v>
      </c>
      <c r="AA1373" s="112" t="s">
        <v>28</v>
      </c>
    </row>
    <row r="1374" spans="1:29" x14ac:dyDescent="0.25">
      <c r="A1374" s="329">
        <v>45962</v>
      </c>
      <c r="B1374" s="5">
        <v>11</v>
      </c>
      <c r="D1374" s="5" t="s">
        <v>91</v>
      </c>
      <c r="E1374" s="6">
        <v>3.02</v>
      </c>
      <c r="G1374" s="362">
        <v>4</v>
      </c>
      <c r="H1374" s="362">
        <v>0</v>
      </c>
      <c r="I1374" s="8">
        <v>1.02</v>
      </c>
      <c r="L1374" s="5" t="s">
        <v>70</v>
      </c>
      <c r="N1374" s="476">
        <v>19</v>
      </c>
      <c r="O1374" s="477" t="s">
        <v>91</v>
      </c>
      <c r="P1374" s="478" t="s">
        <v>810</v>
      </c>
      <c r="Q1374" s="478" t="s">
        <v>844</v>
      </c>
      <c r="R1374" s="478" t="s">
        <v>688</v>
      </c>
      <c r="S1374" s="479">
        <v>73</v>
      </c>
      <c r="T1374" s="478" t="s">
        <v>41</v>
      </c>
      <c r="U1374" s="478" t="s">
        <v>43</v>
      </c>
      <c r="V1374" s="480" t="s">
        <v>10</v>
      </c>
      <c r="W1374" s="51">
        <v>0.11</v>
      </c>
      <c r="X1374" s="357" t="s">
        <v>53</v>
      </c>
      <c r="Z1374" s="5" t="s">
        <v>13</v>
      </c>
      <c r="AA1374" s="112" t="s">
        <v>28</v>
      </c>
    </row>
    <row r="1375" spans="1:29" x14ac:dyDescent="0.25">
      <c r="A1375" s="329">
        <v>45962</v>
      </c>
      <c r="B1375" s="5">
        <v>11</v>
      </c>
      <c r="D1375" s="5" t="s">
        <v>91</v>
      </c>
      <c r="E1375" s="6">
        <v>3.02</v>
      </c>
      <c r="G1375" s="362">
        <v>4</v>
      </c>
      <c r="H1375" s="362">
        <v>0</v>
      </c>
      <c r="I1375" s="8">
        <v>1.02</v>
      </c>
      <c r="L1375" s="5" t="s">
        <v>70</v>
      </c>
      <c r="N1375" s="476">
        <v>22</v>
      </c>
      <c r="O1375" s="477" t="s">
        <v>91</v>
      </c>
      <c r="P1375" s="478" t="s">
        <v>822</v>
      </c>
      <c r="Q1375" s="478" t="s">
        <v>99</v>
      </c>
      <c r="R1375" s="478" t="s">
        <v>718</v>
      </c>
      <c r="S1375" s="479">
        <v>87</v>
      </c>
      <c r="T1375" s="478" t="s">
        <v>41</v>
      </c>
      <c r="U1375" s="478" t="s">
        <v>42</v>
      </c>
      <c r="V1375" s="480" t="s">
        <v>10</v>
      </c>
      <c r="W1375" s="51">
        <v>7.0000000000000007E-2</v>
      </c>
      <c r="X1375" s="357">
        <v>0.59</v>
      </c>
      <c r="Z1375" s="5" t="s">
        <v>8</v>
      </c>
      <c r="AA1375" s="112" t="s">
        <v>19</v>
      </c>
      <c r="AB1375" s="108" t="s">
        <v>443</v>
      </c>
      <c r="AC1375" s="57" t="s">
        <v>444</v>
      </c>
    </row>
    <row r="1376" spans="1:29" x14ac:dyDescent="0.25">
      <c r="A1376" s="329">
        <v>45962</v>
      </c>
      <c r="B1376" s="5">
        <v>11</v>
      </c>
      <c r="D1376" s="5" t="s">
        <v>91</v>
      </c>
      <c r="E1376" s="6">
        <v>3.02</v>
      </c>
      <c r="G1376" s="362">
        <v>4</v>
      </c>
      <c r="H1376" s="362">
        <v>0</v>
      </c>
      <c r="I1376" s="8">
        <v>1.02</v>
      </c>
      <c r="L1376" s="5" t="s">
        <v>70</v>
      </c>
      <c r="N1376" s="476">
        <v>53</v>
      </c>
      <c r="O1376" s="477" t="s">
        <v>91</v>
      </c>
      <c r="P1376" s="478" t="s">
        <v>821</v>
      </c>
      <c r="Q1376" s="478" t="s">
        <v>449</v>
      </c>
      <c r="R1376" s="478" t="s">
        <v>696</v>
      </c>
      <c r="S1376" s="479">
        <v>70</v>
      </c>
      <c r="T1376" s="478" t="s">
        <v>47</v>
      </c>
      <c r="U1376" s="478" t="s">
        <v>43</v>
      </c>
      <c r="V1376" s="480" t="s">
        <v>18</v>
      </c>
      <c r="W1376" s="51">
        <v>0.32</v>
      </c>
      <c r="X1376" s="357" t="s">
        <v>53</v>
      </c>
      <c r="Z1376" s="5" t="s">
        <v>13</v>
      </c>
      <c r="AA1376" s="112" t="s">
        <v>19</v>
      </c>
    </row>
    <row r="1377" spans="1:29" x14ac:dyDescent="0.25">
      <c r="A1377" s="329">
        <v>45962</v>
      </c>
      <c r="B1377" s="5">
        <v>11</v>
      </c>
      <c r="D1377" s="5" t="s">
        <v>91</v>
      </c>
      <c r="E1377" s="6">
        <v>3.02</v>
      </c>
      <c r="G1377" s="362">
        <v>4</v>
      </c>
      <c r="H1377" s="362">
        <v>0</v>
      </c>
      <c r="I1377" s="8">
        <v>1.02</v>
      </c>
      <c r="L1377" s="5" t="s">
        <v>70</v>
      </c>
      <c r="N1377" s="476">
        <v>53</v>
      </c>
      <c r="O1377" s="477" t="s">
        <v>91</v>
      </c>
      <c r="P1377" s="478" t="s">
        <v>808</v>
      </c>
      <c r="Q1377" s="478" t="s">
        <v>97</v>
      </c>
      <c r="R1377" s="478" t="s">
        <v>686</v>
      </c>
      <c r="S1377" s="479">
        <v>74</v>
      </c>
      <c r="T1377" s="478" t="s">
        <v>47</v>
      </c>
      <c r="U1377" s="478" t="s">
        <v>43</v>
      </c>
      <c r="V1377" s="480" t="s">
        <v>18</v>
      </c>
      <c r="W1377" s="51">
        <v>0.89</v>
      </c>
      <c r="X1377" s="357" t="s">
        <v>53</v>
      </c>
      <c r="Y1377" s="351" t="s">
        <v>353</v>
      </c>
      <c r="Z1377" s="5" t="s">
        <v>13</v>
      </c>
      <c r="AA1377" s="112" t="s">
        <v>19</v>
      </c>
    </row>
    <row r="1378" spans="1:29" x14ac:dyDescent="0.25">
      <c r="A1378" s="329">
        <v>45962</v>
      </c>
      <c r="B1378" s="5">
        <v>11</v>
      </c>
      <c r="D1378" s="5" t="s">
        <v>91</v>
      </c>
      <c r="E1378" s="6">
        <v>3.02</v>
      </c>
      <c r="G1378" s="362">
        <v>4</v>
      </c>
      <c r="H1378" s="362">
        <v>0</v>
      </c>
      <c r="I1378" s="8">
        <v>1.02</v>
      </c>
      <c r="L1378" s="5" t="s">
        <v>70</v>
      </c>
      <c r="N1378" s="476">
        <v>56</v>
      </c>
      <c r="O1378" s="477" t="s">
        <v>91</v>
      </c>
      <c r="P1378" s="478" t="s">
        <v>810</v>
      </c>
      <c r="Q1378" s="478" t="s">
        <v>333</v>
      </c>
      <c r="R1378" s="478" t="s">
        <v>685</v>
      </c>
      <c r="S1378" s="479">
        <v>89</v>
      </c>
      <c r="T1378" s="478" t="s">
        <v>354</v>
      </c>
      <c r="U1378" s="478" t="s">
        <v>42</v>
      </c>
      <c r="V1378" s="480" t="s">
        <v>18</v>
      </c>
      <c r="W1378" s="51">
        <v>0.08</v>
      </c>
      <c r="X1378" s="357">
        <v>0.49</v>
      </c>
      <c r="Z1378" s="5" t="s">
        <v>8</v>
      </c>
      <c r="AA1378" s="112" t="s">
        <v>24</v>
      </c>
      <c r="AB1378" s="108" t="s">
        <v>575</v>
      </c>
      <c r="AC1378" s="57" t="s">
        <v>844</v>
      </c>
    </row>
    <row r="1379" spans="1:29" x14ac:dyDescent="0.25">
      <c r="A1379" s="329">
        <v>45962</v>
      </c>
      <c r="B1379" s="5">
        <v>11</v>
      </c>
      <c r="D1379" s="5" t="s">
        <v>91</v>
      </c>
      <c r="E1379" s="6">
        <v>3.02</v>
      </c>
      <c r="G1379" s="362">
        <v>4</v>
      </c>
      <c r="H1379" s="362">
        <v>0</v>
      </c>
      <c r="I1379" s="8">
        <v>1.02</v>
      </c>
      <c r="L1379" s="5" t="s">
        <v>70</v>
      </c>
      <c r="N1379" s="476">
        <v>58</v>
      </c>
      <c r="O1379" s="477" t="s">
        <v>91</v>
      </c>
      <c r="P1379" s="478" t="s">
        <v>807</v>
      </c>
      <c r="Q1379" s="478" t="s">
        <v>95</v>
      </c>
      <c r="R1379" s="478" t="s">
        <v>695</v>
      </c>
      <c r="S1379" s="479">
        <v>81</v>
      </c>
      <c r="T1379" s="478" t="s">
        <v>41</v>
      </c>
      <c r="U1379" s="478" t="s">
        <v>43</v>
      </c>
      <c r="V1379" s="480" t="s">
        <v>18</v>
      </c>
      <c r="W1379" s="51">
        <v>0.62</v>
      </c>
      <c r="X1379" s="357">
        <v>0.99</v>
      </c>
      <c r="Y1379" s="351" t="s">
        <v>353</v>
      </c>
      <c r="Z1379" s="5" t="s">
        <v>8</v>
      </c>
      <c r="AA1379" s="112" t="s">
        <v>27</v>
      </c>
      <c r="AB1379" s="108" t="s">
        <v>332</v>
      </c>
      <c r="AC1379" s="57" t="s">
        <v>333</v>
      </c>
    </row>
    <row r="1380" spans="1:29" x14ac:dyDescent="0.25">
      <c r="A1380" s="329">
        <v>45962</v>
      </c>
      <c r="B1380" s="5">
        <v>11</v>
      </c>
      <c r="D1380" s="5" t="s">
        <v>91</v>
      </c>
      <c r="E1380" s="6">
        <v>3.02</v>
      </c>
      <c r="G1380" s="362">
        <v>4</v>
      </c>
      <c r="H1380" s="362">
        <v>0</v>
      </c>
      <c r="I1380" s="8">
        <v>1.02</v>
      </c>
      <c r="L1380" s="5" t="s">
        <v>70</v>
      </c>
      <c r="N1380" s="476">
        <v>65</v>
      </c>
      <c r="O1380" s="477" t="s">
        <v>91</v>
      </c>
      <c r="P1380" s="478" t="s">
        <v>810</v>
      </c>
      <c r="Q1380" s="478" t="s">
        <v>352</v>
      </c>
      <c r="R1380" s="478" t="s">
        <v>696</v>
      </c>
      <c r="S1380" s="479">
        <v>68</v>
      </c>
      <c r="T1380" s="478" t="s">
        <v>41</v>
      </c>
      <c r="U1380" s="478" t="s">
        <v>43</v>
      </c>
      <c r="V1380" s="480" t="s">
        <v>540</v>
      </c>
      <c r="W1380" s="51">
        <v>0.44</v>
      </c>
      <c r="X1380" s="357">
        <v>0.36</v>
      </c>
      <c r="Y1380" s="351" t="s">
        <v>353</v>
      </c>
      <c r="Z1380" s="5" t="s">
        <v>8</v>
      </c>
      <c r="AA1380" s="112" t="s">
        <v>32</v>
      </c>
    </row>
    <row r="1381" spans="1:29" x14ac:dyDescent="0.25">
      <c r="A1381" s="329">
        <v>45962</v>
      </c>
      <c r="B1381" s="5">
        <v>11</v>
      </c>
      <c r="D1381" s="5" t="s">
        <v>91</v>
      </c>
      <c r="E1381" s="6">
        <v>3.02</v>
      </c>
      <c r="G1381" s="362">
        <v>4</v>
      </c>
      <c r="H1381" s="362">
        <v>0</v>
      </c>
      <c r="I1381" s="8">
        <v>1.02</v>
      </c>
      <c r="L1381" s="5" t="s">
        <v>70</v>
      </c>
      <c r="N1381" s="476">
        <v>69</v>
      </c>
      <c r="O1381" s="477" t="s">
        <v>91</v>
      </c>
      <c r="P1381" s="478" t="s">
        <v>807</v>
      </c>
      <c r="Q1381" s="478" t="s">
        <v>95</v>
      </c>
      <c r="R1381" s="478" t="s">
        <v>695</v>
      </c>
      <c r="S1381" s="479">
        <v>81</v>
      </c>
      <c r="T1381" s="478" t="s">
        <v>41</v>
      </c>
      <c r="U1381" s="478" t="s">
        <v>42</v>
      </c>
      <c r="V1381" s="480" t="s">
        <v>10</v>
      </c>
      <c r="W1381" s="51">
        <v>0.16</v>
      </c>
      <c r="X1381" s="357" t="s">
        <v>53</v>
      </c>
      <c r="Z1381" s="5" t="s">
        <v>13</v>
      </c>
      <c r="AA1381" s="112" t="s">
        <v>32</v>
      </c>
    </row>
    <row r="1382" spans="1:29" x14ac:dyDescent="0.25">
      <c r="A1382" s="329">
        <v>45962</v>
      </c>
      <c r="B1382" s="5">
        <v>11</v>
      </c>
      <c r="D1382" s="5" t="s">
        <v>91</v>
      </c>
      <c r="E1382" s="6">
        <v>3.02</v>
      </c>
      <c r="G1382" s="362">
        <v>4</v>
      </c>
      <c r="H1382" s="362">
        <v>0</v>
      </c>
      <c r="I1382" s="8">
        <v>1.02</v>
      </c>
      <c r="L1382" s="5" t="s">
        <v>70</v>
      </c>
      <c r="N1382" s="476">
        <v>75</v>
      </c>
      <c r="O1382" s="477" t="s">
        <v>91</v>
      </c>
      <c r="P1382" s="478" t="s">
        <v>821</v>
      </c>
      <c r="Q1382" s="478" t="s">
        <v>107</v>
      </c>
      <c r="R1382" s="478" t="s">
        <v>696</v>
      </c>
      <c r="S1382" s="479">
        <v>65</v>
      </c>
      <c r="T1382" s="478" t="s">
        <v>47</v>
      </c>
      <c r="U1382" s="478" t="s">
        <v>43</v>
      </c>
      <c r="V1382" s="480" t="s">
        <v>10</v>
      </c>
      <c r="W1382" s="51">
        <v>0.08</v>
      </c>
      <c r="X1382" s="357">
        <v>0.15</v>
      </c>
      <c r="Z1382" s="5" t="s">
        <v>48</v>
      </c>
      <c r="AA1382" s="112" t="s">
        <v>32</v>
      </c>
    </row>
    <row r="1383" spans="1:29" x14ac:dyDescent="0.25">
      <c r="A1383" s="329">
        <v>45962</v>
      </c>
      <c r="B1383" s="5">
        <v>11</v>
      </c>
      <c r="D1383" s="5" t="s">
        <v>91</v>
      </c>
      <c r="E1383" s="6">
        <v>3.02</v>
      </c>
      <c r="G1383" s="362">
        <v>4</v>
      </c>
      <c r="H1383" s="362">
        <v>0</v>
      </c>
      <c r="I1383" s="8">
        <v>1.02</v>
      </c>
      <c r="L1383" s="5" t="s">
        <v>70</v>
      </c>
      <c r="N1383" s="345">
        <v>86</v>
      </c>
      <c r="O1383" s="38" t="s">
        <v>70</v>
      </c>
      <c r="P1383" s="5" t="s">
        <v>811</v>
      </c>
      <c r="Q1383" s="5" t="s">
        <v>846</v>
      </c>
      <c r="R1383" s="5" t="s">
        <v>696</v>
      </c>
      <c r="S1383" s="7">
        <v>61</v>
      </c>
      <c r="T1383" s="5" t="s">
        <v>41</v>
      </c>
      <c r="U1383" s="5" t="s">
        <v>43</v>
      </c>
      <c r="V1383" s="57" t="s">
        <v>10</v>
      </c>
      <c r="W1383" s="51">
        <v>0.17</v>
      </c>
      <c r="X1383" s="357">
        <v>0.39</v>
      </c>
      <c r="Z1383" s="5" t="s">
        <v>48</v>
      </c>
      <c r="AA1383" s="112" t="s">
        <v>32</v>
      </c>
    </row>
    <row r="1384" spans="1:29" x14ac:dyDescent="0.25">
      <c r="A1384" s="329">
        <v>45962</v>
      </c>
      <c r="B1384" s="5">
        <v>11</v>
      </c>
      <c r="D1384" s="5" t="s">
        <v>91</v>
      </c>
      <c r="E1384" s="6">
        <v>3.02</v>
      </c>
      <c r="G1384" s="362">
        <v>4</v>
      </c>
      <c r="H1384" s="362">
        <v>0</v>
      </c>
      <c r="I1384" s="8">
        <v>1.02</v>
      </c>
      <c r="L1384" s="5" t="s">
        <v>70</v>
      </c>
      <c r="N1384" s="476">
        <v>89</v>
      </c>
      <c r="O1384" s="477" t="s">
        <v>91</v>
      </c>
      <c r="P1384" s="478" t="s">
        <v>817</v>
      </c>
      <c r="Q1384" s="478" t="s">
        <v>845</v>
      </c>
      <c r="R1384" s="478" t="s">
        <v>696</v>
      </c>
      <c r="S1384" s="479">
        <v>61</v>
      </c>
      <c r="T1384" s="478" t="s">
        <v>44</v>
      </c>
      <c r="U1384" s="478" t="s">
        <v>42</v>
      </c>
      <c r="V1384" s="480" t="s">
        <v>15</v>
      </c>
      <c r="W1384" s="51">
        <v>0.13</v>
      </c>
      <c r="X1384" s="357" t="s">
        <v>53</v>
      </c>
      <c r="Z1384" s="5" t="s">
        <v>17</v>
      </c>
      <c r="AA1384" s="112" t="s">
        <v>32</v>
      </c>
    </row>
    <row r="1385" spans="1:29" x14ac:dyDescent="0.25">
      <c r="A1385" s="329">
        <v>45962</v>
      </c>
      <c r="B1385" s="5">
        <v>11</v>
      </c>
      <c r="D1385" s="5" t="s">
        <v>91</v>
      </c>
      <c r="E1385" s="6">
        <v>3.02</v>
      </c>
      <c r="G1385" s="362">
        <v>4</v>
      </c>
      <c r="H1385" s="362">
        <v>0</v>
      </c>
      <c r="I1385" s="8">
        <v>1.02</v>
      </c>
      <c r="L1385" s="5" t="s">
        <v>70</v>
      </c>
      <c r="N1385" s="345" t="s">
        <v>35</v>
      </c>
      <c r="O1385" s="38" t="s">
        <v>70</v>
      </c>
      <c r="P1385" s="5" t="s">
        <v>810</v>
      </c>
      <c r="Q1385" s="5" t="s">
        <v>350</v>
      </c>
      <c r="R1385" s="5" t="s">
        <v>689</v>
      </c>
      <c r="S1385" s="7">
        <v>63</v>
      </c>
      <c r="T1385" s="5" t="s">
        <v>47</v>
      </c>
      <c r="U1385" s="5" t="s">
        <v>42</v>
      </c>
      <c r="V1385" s="57" t="s">
        <v>10</v>
      </c>
      <c r="W1385" s="51">
        <v>0.46</v>
      </c>
      <c r="X1385" s="357" t="s">
        <v>53</v>
      </c>
      <c r="Y1385" s="351" t="s">
        <v>353</v>
      </c>
      <c r="Z1385" s="5" t="s">
        <v>13</v>
      </c>
      <c r="AA1385" s="112" t="s">
        <v>32</v>
      </c>
    </row>
    <row r="1386" spans="1:29" ht="15.75" thickBot="1" x14ac:dyDescent="0.3">
      <c r="A1386" s="400">
        <v>45962</v>
      </c>
      <c r="B1386" s="401">
        <v>11</v>
      </c>
      <c r="C1386" s="474"/>
      <c r="D1386" s="401" t="s">
        <v>91</v>
      </c>
      <c r="E1386" s="404">
        <v>3.02</v>
      </c>
      <c r="F1386" s="404"/>
      <c r="G1386" s="363">
        <v>4</v>
      </c>
      <c r="H1386" s="363">
        <v>0</v>
      </c>
      <c r="I1386" s="475">
        <v>1.02</v>
      </c>
      <c r="J1386" s="475"/>
      <c r="K1386" s="474"/>
      <c r="L1386" s="401" t="s">
        <v>70</v>
      </c>
      <c r="M1386" s="235"/>
      <c r="N1386" s="347"/>
      <c r="O1386" s="343" t="s">
        <v>161</v>
      </c>
      <c r="P1386" s="199" t="s">
        <v>817</v>
      </c>
      <c r="Q1386" s="199" t="s">
        <v>721</v>
      </c>
      <c r="R1386" s="199" t="s">
        <v>707</v>
      </c>
      <c r="S1386" s="7">
        <v>79</v>
      </c>
      <c r="T1386" s="199"/>
      <c r="U1386" s="199"/>
      <c r="V1386" s="201"/>
      <c r="W1386" s="202"/>
      <c r="X1386" s="359"/>
      <c r="Y1386" s="353">
        <f>H1386</f>
        <v>0</v>
      </c>
      <c r="Z1386" s="199"/>
      <c r="AA1386" s="204"/>
      <c r="AB1386" s="205"/>
      <c r="AC1386" s="201"/>
    </row>
    <row r="1387" spans="1:29" ht="15.75" thickBot="1" x14ac:dyDescent="0.3">
      <c r="A1387" s="400">
        <v>45962</v>
      </c>
      <c r="B1387" s="401">
        <v>11</v>
      </c>
      <c r="C1387" s="474"/>
      <c r="D1387" s="401" t="s">
        <v>91</v>
      </c>
      <c r="E1387" s="404">
        <v>3.02</v>
      </c>
      <c r="F1387" s="404"/>
      <c r="G1387" s="363">
        <v>4</v>
      </c>
      <c r="H1387" s="363">
        <v>0</v>
      </c>
      <c r="I1387" s="475">
        <v>1.02</v>
      </c>
      <c r="J1387" s="475"/>
      <c r="K1387" s="474"/>
      <c r="L1387" s="401" t="s">
        <v>70</v>
      </c>
      <c r="M1387" s="235"/>
      <c r="N1387" s="347"/>
      <c r="O1387" s="343" t="s">
        <v>69</v>
      </c>
      <c r="P1387" s="199" t="s">
        <v>819</v>
      </c>
      <c r="Q1387" s="199" t="s">
        <v>479</v>
      </c>
      <c r="R1387" s="199" t="s">
        <v>707</v>
      </c>
      <c r="S1387" s="7">
        <v>58</v>
      </c>
      <c r="T1387" s="199"/>
      <c r="U1387" s="199"/>
      <c r="V1387" s="201"/>
      <c r="W1387" s="202"/>
      <c r="X1387" s="359"/>
      <c r="Y1387" s="353">
        <f>G1386</f>
        <v>4</v>
      </c>
      <c r="Z1387" s="199"/>
      <c r="AA1387" s="204"/>
      <c r="AB1387" s="205"/>
      <c r="AC1387" s="201"/>
    </row>
    <row r="1388" spans="1:29" x14ac:dyDescent="0.25">
      <c r="A1388" s="329">
        <v>45962</v>
      </c>
      <c r="B1388" s="5">
        <v>11</v>
      </c>
      <c r="C1388" s="121" t="s">
        <v>694</v>
      </c>
      <c r="D1388" s="5" t="s">
        <v>193</v>
      </c>
      <c r="E1388" s="6">
        <v>3.53</v>
      </c>
      <c r="G1388" s="362">
        <v>3</v>
      </c>
      <c r="H1388" s="362">
        <v>0</v>
      </c>
      <c r="I1388" s="8">
        <v>0.46</v>
      </c>
      <c r="K1388" s="121" t="s">
        <v>693</v>
      </c>
      <c r="L1388" s="5" t="s">
        <v>171</v>
      </c>
      <c r="N1388" s="476">
        <v>7</v>
      </c>
      <c r="O1388" s="477" t="s">
        <v>193</v>
      </c>
      <c r="P1388" s="478" t="s">
        <v>847</v>
      </c>
      <c r="Q1388" s="478" t="s">
        <v>748</v>
      </c>
      <c r="R1388" s="478" t="s">
        <v>713</v>
      </c>
      <c r="S1388" s="479">
        <v>70</v>
      </c>
      <c r="T1388" s="478" t="s">
        <v>41</v>
      </c>
      <c r="U1388" s="478" t="s">
        <v>45</v>
      </c>
      <c r="V1388" s="480" t="s">
        <v>33</v>
      </c>
      <c r="W1388" s="51">
        <v>0.21</v>
      </c>
      <c r="X1388" s="357" t="s">
        <v>53</v>
      </c>
      <c r="Y1388" s="351" t="s">
        <v>353</v>
      </c>
      <c r="Z1388" s="5" t="s">
        <v>13</v>
      </c>
      <c r="AA1388" s="112" t="s">
        <v>28</v>
      </c>
    </row>
    <row r="1389" spans="1:29" x14ac:dyDescent="0.25">
      <c r="A1389" s="329">
        <v>45962</v>
      </c>
      <c r="B1389" s="5">
        <v>11</v>
      </c>
      <c r="D1389" s="5" t="s">
        <v>193</v>
      </c>
      <c r="E1389" s="6">
        <v>3.53</v>
      </c>
      <c r="G1389" s="362">
        <v>3</v>
      </c>
      <c r="H1389" s="362">
        <v>0</v>
      </c>
      <c r="I1389" s="8">
        <v>0.46</v>
      </c>
      <c r="L1389" s="5" t="s">
        <v>171</v>
      </c>
      <c r="N1389" s="476">
        <v>29</v>
      </c>
      <c r="O1389" s="477" t="s">
        <v>193</v>
      </c>
      <c r="P1389" s="478" t="s">
        <v>810</v>
      </c>
      <c r="Q1389" s="478" t="s">
        <v>258</v>
      </c>
      <c r="R1389" s="478" t="s">
        <v>718</v>
      </c>
      <c r="S1389" s="479">
        <v>72</v>
      </c>
      <c r="T1389" s="478" t="s">
        <v>41</v>
      </c>
      <c r="U1389" s="478" t="s">
        <v>42</v>
      </c>
      <c r="V1389" s="480" t="s">
        <v>10</v>
      </c>
      <c r="W1389" s="51">
        <v>7.0000000000000007E-2</v>
      </c>
      <c r="X1389" s="357">
        <v>0.49</v>
      </c>
      <c r="Z1389" s="5" t="s">
        <v>48</v>
      </c>
      <c r="AA1389" s="112" t="s">
        <v>28</v>
      </c>
    </row>
    <row r="1390" spans="1:29" x14ac:dyDescent="0.25">
      <c r="A1390" s="329">
        <v>45962</v>
      </c>
      <c r="B1390" s="5">
        <v>11</v>
      </c>
      <c r="D1390" s="5" t="s">
        <v>193</v>
      </c>
      <c r="E1390" s="6">
        <v>3.53</v>
      </c>
      <c r="G1390" s="362">
        <v>3</v>
      </c>
      <c r="H1390" s="362">
        <v>0</v>
      </c>
      <c r="I1390" s="8">
        <v>0.46</v>
      </c>
      <c r="L1390" s="5" t="s">
        <v>171</v>
      </c>
      <c r="N1390" s="476">
        <v>37</v>
      </c>
      <c r="O1390" s="477" t="s">
        <v>193</v>
      </c>
      <c r="P1390" s="478" t="s">
        <v>808</v>
      </c>
      <c r="Q1390" s="478" t="s">
        <v>327</v>
      </c>
      <c r="R1390" s="478" t="s">
        <v>685</v>
      </c>
      <c r="S1390" s="479">
        <v>74</v>
      </c>
      <c r="T1390" s="478" t="s">
        <v>41</v>
      </c>
      <c r="U1390" s="478" t="s">
        <v>42</v>
      </c>
      <c r="V1390" s="480" t="s">
        <v>10</v>
      </c>
      <c r="W1390" s="51">
        <v>0.21</v>
      </c>
      <c r="X1390" s="357" t="s">
        <v>53</v>
      </c>
      <c r="Z1390" s="5" t="s">
        <v>17</v>
      </c>
      <c r="AA1390" s="112" t="s">
        <v>28</v>
      </c>
    </row>
    <row r="1391" spans="1:29" x14ac:dyDescent="0.25">
      <c r="A1391" s="329">
        <v>45962</v>
      </c>
      <c r="B1391" s="5">
        <v>11</v>
      </c>
      <c r="D1391" s="5" t="s">
        <v>193</v>
      </c>
      <c r="E1391" s="6">
        <v>3.53</v>
      </c>
      <c r="G1391" s="362">
        <v>3</v>
      </c>
      <c r="H1391" s="362">
        <v>0</v>
      </c>
      <c r="I1391" s="8">
        <v>0.46</v>
      </c>
      <c r="L1391" s="5" t="s">
        <v>171</v>
      </c>
      <c r="N1391" s="476">
        <v>45</v>
      </c>
      <c r="O1391" s="477" t="s">
        <v>193</v>
      </c>
      <c r="P1391" s="478" t="s">
        <v>808</v>
      </c>
      <c r="Q1391" s="478" t="s">
        <v>327</v>
      </c>
      <c r="R1391" s="478" t="s">
        <v>685</v>
      </c>
      <c r="S1391" s="479">
        <v>74</v>
      </c>
      <c r="T1391" s="478" t="s">
        <v>41</v>
      </c>
      <c r="U1391" s="478" t="s">
        <v>42</v>
      </c>
      <c r="V1391" s="480" t="s">
        <v>10</v>
      </c>
      <c r="W1391" s="51">
        <v>7.0000000000000007E-2</v>
      </c>
      <c r="X1391" s="357">
        <v>0.33</v>
      </c>
      <c r="Y1391" s="351" t="s">
        <v>353</v>
      </c>
      <c r="Z1391" s="5" t="s">
        <v>48</v>
      </c>
      <c r="AA1391" s="112" t="s">
        <v>28</v>
      </c>
    </row>
    <row r="1392" spans="1:29" x14ac:dyDescent="0.25">
      <c r="A1392" s="329">
        <v>45962</v>
      </c>
      <c r="B1392" s="5">
        <v>11</v>
      </c>
      <c r="D1392" s="5" t="s">
        <v>193</v>
      </c>
      <c r="E1392" s="6">
        <v>3.53</v>
      </c>
      <c r="G1392" s="362">
        <v>3</v>
      </c>
      <c r="H1392" s="362">
        <v>0</v>
      </c>
      <c r="I1392" s="8">
        <v>0.46</v>
      </c>
      <c r="L1392" s="5" t="s">
        <v>171</v>
      </c>
      <c r="N1392" s="476" t="s">
        <v>68</v>
      </c>
      <c r="O1392" s="477" t="s">
        <v>193</v>
      </c>
      <c r="P1392" s="478" t="s">
        <v>808</v>
      </c>
      <c r="Q1392" s="478" t="s">
        <v>327</v>
      </c>
      <c r="R1392" s="478" t="s">
        <v>685</v>
      </c>
      <c r="S1392" s="479">
        <v>74</v>
      </c>
      <c r="T1392" s="478" t="s">
        <v>41</v>
      </c>
      <c r="U1392" s="478" t="s">
        <v>43</v>
      </c>
      <c r="V1392" s="480" t="s">
        <v>18</v>
      </c>
      <c r="W1392" s="51">
        <v>0.15</v>
      </c>
      <c r="X1392" s="357" t="s">
        <v>53</v>
      </c>
      <c r="Y1392" s="351" t="s">
        <v>353</v>
      </c>
      <c r="Z1392" s="5" t="s">
        <v>13</v>
      </c>
      <c r="AA1392" s="112" t="s">
        <v>28</v>
      </c>
    </row>
    <row r="1393" spans="1:29" x14ac:dyDescent="0.25">
      <c r="A1393" s="329">
        <v>45962</v>
      </c>
      <c r="B1393" s="5">
        <v>11</v>
      </c>
      <c r="D1393" s="5" t="s">
        <v>193</v>
      </c>
      <c r="E1393" s="6">
        <v>3.53</v>
      </c>
      <c r="G1393" s="362">
        <v>3</v>
      </c>
      <c r="H1393" s="362">
        <v>0</v>
      </c>
      <c r="I1393" s="8">
        <v>0.46</v>
      </c>
      <c r="L1393" s="5" t="s">
        <v>171</v>
      </c>
      <c r="N1393" s="345">
        <v>53</v>
      </c>
      <c r="O1393" s="38" t="s">
        <v>171</v>
      </c>
      <c r="P1393" s="5" t="s">
        <v>823</v>
      </c>
      <c r="Q1393" s="5" t="s">
        <v>191</v>
      </c>
      <c r="R1393" s="5" t="s">
        <v>684</v>
      </c>
      <c r="S1393" s="7">
        <v>61</v>
      </c>
      <c r="T1393" s="5" t="s">
        <v>41</v>
      </c>
      <c r="U1393" s="5" t="s">
        <v>45</v>
      </c>
      <c r="V1393" s="57" t="s">
        <v>10</v>
      </c>
      <c r="W1393" s="51">
        <v>0.04</v>
      </c>
      <c r="X1393" s="357" t="s">
        <v>53</v>
      </c>
      <c r="Z1393" s="5" t="s">
        <v>55</v>
      </c>
      <c r="AA1393" s="112" t="s">
        <v>28</v>
      </c>
    </row>
    <row r="1394" spans="1:29" x14ac:dyDescent="0.25">
      <c r="A1394" s="329">
        <v>45962</v>
      </c>
      <c r="B1394" s="5">
        <v>11</v>
      </c>
      <c r="D1394" s="5" t="s">
        <v>193</v>
      </c>
      <c r="E1394" s="6">
        <v>3.53</v>
      </c>
      <c r="G1394" s="362">
        <v>3</v>
      </c>
      <c r="H1394" s="362">
        <v>0</v>
      </c>
      <c r="I1394" s="8">
        <v>0.46</v>
      </c>
      <c r="L1394" s="5" t="s">
        <v>171</v>
      </c>
      <c r="N1394" s="476">
        <v>59</v>
      </c>
      <c r="O1394" s="477" t="s">
        <v>193</v>
      </c>
      <c r="P1394" s="478" t="s">
        <v>808</v>
      </c>
      <c r="Q1394" s="478" t="s">
        <v>327</v>
      </c>
      <c r="R1394" s="478" t="s">
        <v>685</v>
      </c>
      <c r="S1394" s="479">
        <v>74</v>
      </c>
      <c r="T1394" s="478" t="s">
        <v>47</v>
      </c>
      <c r="U1394" s="478" t="s">
        <v>45</v>
      </c>
      <c r="V1394" s="480" t="s">
        <v>20</v>
      </c>
      <c r="W1394" s="51">
        <v>0.23</v>
      </c>
      <c r="X1394" s="357">
        <v>0.56000000000000005</v>
      </c>
      <c r="Z1394" s="5" t="s">
        <v>48</v>
      </c>
      <c r="AA1394" s="112" t="s">
        <v>28</v>
      </c>
    </row>
    <row r="1395" spans="1:29" x14ac:dyDescent="0.25">
      <c r="A1395" s="329">
        <v>45962</v>
      </c>
      <c r="B1395" s="5">
        <v>11</v>
      </c>
      <c r="D1395" s="5" t="s">
        <v>193</v>
      </c>
      <c r="E1395" s="6">
        <v>3.53</v>
      </c>
      <c r="G1395" s="362">
        <v>3</v>
      </c>
      <c r="H1395" s="362">
        <v>0</v>
      </c>
      <c r="I1395" s="8">
        <v>0.46</v>
      </c>
      <c r="L1395" s="5" t="s">
        <v>171</v>
      </c>
      <c r="N1395" s="476">
        <v>64</v>
      </c>
      <c r="O1395" s="477" t="s">
        <v>193</v>
      </c>
      <c r="P1395" s="478" t="s">
        <v>814</v>
      </c>
      <c r="Q1395" s="478" t="s">
        <v>201</v>
      </c>
      <c r="R1395" s="478" t="s">
        <v>717</v>
      </c>
      <c r="S1395" s="479">
        <v>76</v>
      </c>
      <c r="T1395" s="478" t="s">
        <v>41</v>
      </c>
      <c r="U1395" s="478" t="s">
        <v>42</v>
      </c>
      <c r="V1395" s="480" t="s">
        <v>7</v>
      </c>
      <c r="W1395" s="51">
        <v>0.79</v>
      </c>
      <c r="X1395" s="357">
        <v>0.85</v>
      </c>
      <c r="Y1395" s="351" t="s">
        <v>353</v>
      </c>
      <c r="Z1395" s="5" t="s">
        <v>8</v>
      </c>
      <c r="AA1395" s="112" t="s">
        <v>19</v>
      </c>
    </row>
    <row r="1396" spans="1:29" x14ac:dyDescent="0.25">
      <c r="A1396" s="329">
        <v>45962</v>
      </c>
      <c r="B1396" s="5">
        <v>11</v>
      </c>
      <c r="D1396" s="5" t="s">
        <v>193</v>
      </c>
      <c r="E1396" s="6">
        <v>3.53</v>
      </c>
      <c r="G1396" s="362">
        <v>3</v>
      </c>
      <c r="H1396" s="362">
        <v>0</v>
      </c>
      <c r="I1396" s="8">
        <v>0.46</v>
      </c>
      <c r="L1396" s="5" t="s">
        <v>171</v>
      </c>
      <c r="N1396" s="476">
        <v>77</v>
      </c>
      <c r="O1396" s="477" t="s">
        <v>193</v>
      </c>
      <c r="P1396" s="478" t="s">
        <v>821</v>
      </c>
      <c r="Q1396" s="478" t="s">
        <v>203</v>
      </c>
      <c r="R1396" s="478" t="s">
        <v>696</v>
      </c>
      <c r="S1396" s="479">
        <v>81</v>
      </c>
      <c r="T1396" s="478" t="s">
        <v>41</v>
      </c>
      <c r="U1396" s="478" t="s">
        <v>42</v>
      </c>
      <c r="V1396" s="480" t="s">
        <v>10</v>
      </c>
      <c r="W1396" s="51">
        <v>0.84</v>
      </c>
      <c r="X1396" s="357">
        <v>0.99</v>
      </c>
      <c r="Y1396" s="351" t="s">
        <v>353</v>
      </c>
      <c r="Z1396" s="5" t="s">
        <v>8</v>
      </c>
      <c r="AA1396" s="112" t="s">
        <v>24</v>
      </c>
      <c r="AB1396" s="108" t="s">
        <v>204</v>
      </c>
      <c r="AC1396" s="57" t="s">
        <v>205</v>
      </c>
    </row>
    <row r="1397" spans="1:29" x14ac:dyDescent="0.25">
      <c r="A1397" s="329">
        <v>45962</v>
      </c>
      <c r="B1397" s="5">
        <v>11</v>
      </c>
      <c r="D1397" s="5" t="s">
        <v>193</v>
      </c>
      <c r="E1397" s="6">
        <v>3.53</v>
      </c>
      <c r="G1397" s="362">
        <v>3</v>
      </c>
      <c r="H1397" s="362">
        <v>0</v>
      </c>
      <c r="I1397" s="8">
        <v>0.46</v>
      </c>
      <c r="L1397" s="5" t="s">
        <v>171</v>
      </c>
      <c r="N1397" s="476">
        <v>83</v>
      </c>
      <c r="O1397" s="477" t="s">
        <v>193</v>
      </c>
      <c r="P1397" s="478" t="s">
        <v>810</v>
      </c>
      <c r="Q1397" s="478" t="s">
        <v>207</v>
      </c>
      <c r="R1397" s="478" t="s">
        <v>696</v>
      </c>
      <c r="S1397" s="479">
        <v>70</v>
      </c>
      <c r="T1397" s="478" t="s">
        <v>41</v>
      </c>
      <c r="U1397" s="478" t="s">
        <v>43</v>
      </c>
      <c r="V1397" s="480" t="s">
        <v>18</v>
      </c>
      <c r="W1397" s="51">
        <v>0.64</v>
      </c>
      <c r="X1397" s="357" t="s">
        <v>53</v>
      </c>
      <c r="Y1397" s="351" t="s">
        <v>353</v>
      </c>
      <c r="Z1397" s="5" t="s">
        <v>13</v>
      </c>
      <c r="AA1397" s="112" t="s">
        <v>24</v>
      </c>
    </row>
    <row r="1398" spans="1:29" x14ac:dyDescent="0.25">
      <c r="A1398" s="329">
        <v>45962</v>
      </c>
      <c r="B1398" s="5">
        <v>11</v>
      </c>
      <c r="D1398" s="5" t="s">
        <v>193</v>
      </c>
      <c r="E1398" s="6">
        <v>3.53</v>
      </c>
      <c r="G1398" s="362">
        <v>3</v>
      </c>
      <c r="H1398" s="362">
        <v>0</v>
      </c>
      <c r="I1398" s="8">
        <v>0.46</v>
      </c>
      <c r="L1398" s="5" t="s">
        <v>171</v>
      </c>
      <c r="N1398" s="476">
        <v>90</v>
      </c>
      <c r="O1398" s="477" t="s">
        <v>193</v>
      </c>
      <c r="P1398" s="478" t="s">
        <v>810</v>
      </c>
      <c r="Q1398" s="478" t="s">
        <v>207</v>
      </c>
      <c r="R1398" s="478" t="s">
        <v>696</v>
      </c>
      <c r="S1398" s="479">
        <v>70</v>
      </c>
      <c r="T1398" s="478" t="s">
        <v>41</v>
      </c>
      <c r="U1398" s="478" t="s">
        <v>42</v>
      </c>
      <c r="V1398" s="480" t="s">
        <v>10</v>
      </c>
      <c r="W1398" s="51">
        <v>0.14000000000000001</v>
      </c>
      <c r="X1398" s="357">
        <v>0.41</v>
      </c>
      <c r="Z1398" s="5" t="s">
        <v>8</v>
      </c>
      <c r="AA1398" s="112" t="s">
        <v>27</v>
      </c>
      <c r="AB1398" s="108" t="s">
        <v>202</v>
      </c>
      <c r="AC1398" s="57" t="s">
        <v>203</v>
      </c>
    </row>
    <row r="1399" spans="1:29" ht="15.75" thickBot="1" x14ac:dyDescent="0.3">
      <c r="A1399" s="400">
        <v>45962</v>
      </c>
      <c r="B1399" s="401">
        <v>11</v>
      </c>
      <c r="C1399" s="474"/>
      <c r="D1399" s="401" t="s">
        <v>193</v>
      </c>
      <c r="E1399" s="404">
        <v>3.53</v>
      </c>
      <c r="F1399" s="404"/>
      <c r="G1399" s="363">
        <v>3</v>
      </c>
      <c r="H1399" s="363">
        <v>0</v>
      </c>
      <c r="I1399" s="475">
        <v>0.46</v>
      </c>
      <c r="J1399" s="475"/>
      <c r="K1399" s="474"/>
      <c r="L1399" s="401" t="s">
        <v>171</v>
      </c>
      <c r="M1399" s="235"/>
      <c r="N1399" s="347"/>
      <c r="O1399" s="343" t="s">
        <v>193</v>
      </c>
      <c r="P1399" s="199" t="s">
        <v>814</v>
      </c>
      <c r="Q1399" s="199" t="s">
        <v>581</v>
      </c>
      <c r="R1399" s="199" t="s">
        <v>707</v>
      </c>
      <c r="S1399" s="7">
        <v>70</v>
      </c>
      <c r="T1399" s="199"/>
      <c r="U1399" s="199"/>
      <c r="V1399" s="201"/>
      <c r="W1399" s="202"/>
      <c r="X1399" s="359"/>
      <c r="Y1399" s="353">
        <f>H1399</f>
        <v>0</v>
      </c>
      <c r="Z1399" s="199"/>
      <c r="AA1399" s="204"/>
      <c r="AB1399" s="205"/>
      <c r="AC1399" s="201"/>
    </row>
    <row r="1400" spans="1:29" ht="15.75" thickBot="1" x14ac:dyDescent="0.3">
      <c r="A1400" s="400">
        <v>45962</v>
      </c>
      <c r="B1400" s="401">
        <v>11</v>
      </c>
      <c r="C1400" s="474"/>
      <c r="D1400" s="401" t="s">
        <v>193</v>
      </c>
      <c r="E1400" s="404">
        <v>3.53</v>
      </c>
      <c r="F1400" s="404"/>
      <c r="G1400" s="363">
        <v>3</v>
      </c>
      <c r="H1400" s="363">
        <v>0</v>
      </c>
      <c r="I1400" s="475">
        <v>0.46</v>
      </c>
      <c r="J1400" s="475"/>
      <c r="K1400" s="474"/>
      <c r="L1400" s="401" t="s">
        <v>171</v>
      </c>
      <c r="M1400" s="235"/>
      <c r="N1400" s="347"/>
      <c r="O1400" s="343" t="s">
        <v>171</v>
      </c>
      <c r="P1400" s="199" t="s">
        <v>811</v>
      </c>
      <c r="Q1400" s="199" t="s">
        <v>525</v>
      </c>
      <c r="R1400" s="199" t="s">
        <v>707</v>
      </c>
      <c r="S1400" s="7">
        <v>60</v>
      </c>
      <c r="T1400" s="199"/>
      <c r="U1400" s="199"/>
      <c r="V1400" s="201"/>
      <c r="W1400" s="202"/>
      <c r="X1400" s="359"/>
      <c r="Y1400" s="353">
        <f>G1399</f>
        <v>3</v>
      </c>
      <c r="Z1400" s="199"/>
      <c r="AA1400" s="204"/>
      <c r="AB1400" s="205"/>
      <c r="AC1400" s="201"/>
    </row>
    <row r="1401" spans="1:29" x14ac:dyDescent="0.25">
      <c r="A1401" s="329">
        <v>45962</v>
      </c>
      <c r="B1401" s="5">
        <v>11</v>
      </c>
      <c r="C1401" s="121" t="s">
        <v>697</v>
      </c>
      <c r="D1401" s="5" t="s">
        <v>146</v>
      </c>
      <c r="E1401" s="6">
        <v>1.52</v>
      </c>
      <c r="G1401" s="362">
        <v>3</v>
      </c>
      <c r="H1401" s="362">
        <v>2</v>
      </c>
      <c r="I1401" s="8">
        <v>0.83</v>
      </c>
      <c r="K1401" s="121" t="s">
        <v>693</v>
      </c>
      <c r="L1401" s="5" t="s">
        <v>170</v>
      </c>
      <c r="N1401" s="476">
        <v>19</v>
      </c>
      <c r="O1401" s="477" t="s">
        <v>146</v>
      </c>
      <c r="P1401" s="478" t="s">
        <v>806</v>
      </c>
      <c r="Q1401" s="478" t="s">
        <v>376</v>
      </c>
      <c r="R1401" s="478" t="s">
        <v>695</v>
      </c>
      <c r="S1401" s="479">
        <v>62</v>
      </c>
      <c r="T1401" s="478" t="s">
        <v>44</v>
      </c>
      <c r="U1401" s="478" t="s">
        <v>43</v>
      </c>
      <c r="V1401" s="480" t="s">
        <v>20</v>
      </c>
      <c r="W1401" s="51">
        <v>0.02</v>
      </c>
      <c r="X1401" s="357">
        <v>0.47</v>
      </c>
      <c r="Z1401" s="5" t="s">
        <v>48</v>
      </c>
      <c r="AA1401" s="112" t="s">
        <v>28</v>
      </c>
    </row>
    <row r="1402" spans="1:29" x14ac:dyDescent="0.25">
      <c r="A1402" s="329">
        <v>45962</v>
      </c>
      <c r="B1402" s="5">
        <v>11</v>
      </c>
      <c r="D1402" s="5" t="s">
        <v>146</v>
      </c>
      <c r="E1402" s="6">
        <v>1.52</v>
      </c>
      <c r="G1402" s="362">
        <v>3</v>
      </c>
      <c r="H1402" s="362">
        <v>2</v>
      </c>
      <c r="I1402" s="8">
        <v>0.83</v>
      </c>
      <c r="L1402" s="5" t="s">
        <v>170</v>
      </c>
      <c r="N1402" s="345">
        <v>36</v>
      </c>
      <c r="O1402" s="38" t="s">
        <v>170</v>
      </c>
      <c r="P1402" s="5" t="s">
        <v>822</v>
      </c>
      <c r="Q1402" s="5" t="s">
        <v>380</v>
      </c>
      <c r="R1402" s="5" t="s">
        <v>684</v>
      </c>
      <c r="S1402" s="7">
        <v>74</v>
      </c>
      <c r="T1402" s="5" t="s">
        <v>41</v>
      </c>
      <c r="U1402" s="5" t="s">
        <v>45</v>
      </c>
      <c r="V1402" s="57" t="s">
        <v>10</v>
      </c>
      <c r="W1402" s="51">
        <v>0.04</v>
      </c>
      <c r="X1402" s="357" t="s">
        <v>53</v>
      </c>
      <c r="Z1402" s="5" t="s">
        <v>55</v>
      </c>
      <c r="AA1402" s="112" t="s">
        <v>28</v>
      </c>
    </row>
    <row r="1403" spans="1:29" x14ac:dyDescent="0.25">
      <c r="A1403" s="329">
        <v>45962</v>
      </c>
      <c r="B1403" s="5">
        <v>11</v>
      </c>
      <c r="D1403" s="5" t="s">
        <v>146</v>
      </c>
      <c r="E1403" s="6">
        <v>1.52</v>
      </c>
      <c r="G1403" s="362">
        <v>3</v>
      </c>
      <c r="H1403" s="362">
        <v>2</v>
      </c>
      <c r="I1403" s="8">
        <v>0.83</v>
      </c>
      <c r="L1403" s="5" t="s">
        <v>170</v>
      </c>
      <c r="N1403" s="476">
        <v>38</v>
      </c>
      <c r="O1403" s="477" t="s">
        <v>146</v>
      </c>
      <c r="P1403" s="478" t="s">
        <v>824</v>
      </c>
      <c r="Q1403" s="478" t="s">
        <v>154</v>
      </c>
      <c r="R1403" s="478" t="s">
        <v>695</v>
      </c>
      <c r="S1403" s="479">
        <v>78</v>
      </c>
      <c r="T1403" s="478" t="s">
        <v>41</v>
      </c>
      <c r="U1403" s="478" t="s">
        <v>42</v>
      </c>
      <c r="V1403" s="480" t="s">
        <v>10</v>
      </c>
      <c r="W1403" s="51">
        <v>0.55000000000000004</v>
      </c>
      <c r="X1403" s="357">
        <v>0.23</v>
      </c>
      <c r="Y1403" s="351" t="s">
        <v>353</v>
      </c>
      <c r="Z1403" s="5" t="s">
        <v>48</v>
      </c>
      <c r="AA1403" s="112" t="s">
        <v>28</v>
      </c>
    </row>
    <row r="1404" spans="1:29" x14ac:dyDescent="0.25">
      <c r="A1404" s="329">
        <v>45962</v>
      </c>
      <c r="B1404" s="5">
        <v>11</v>
      </c>
      <c r="D1404" s="5" t="s">
        <v>146</v>
      </c>
      <c r="E1404" s="6">
        <v>1.52</v>
      </c>
      <c r="G1404" s="362">
        <v>3</v>
      </c>
      <c r="H1404" s="362">
        <v>2</v>
      </c>
      <c r="I1404" s="8">
        <v>0.83</v>
      </c>
      <c r="L1404" s="5" t="s">
        <v>170</v>
      </c>
      <c r="N1404" s="476">
        <v>38</v>
      </c>
      <c r="O1404" s="477" t="s">
        <v>146</v>
      </c>
      <c r="P1404" s="478" t="s">
        <v>824</v>
      </c>
      <c r="Q1404" s="478" t="s">
        <v>154</v>
      </c>
      <c r="R1404" s="478" t="s">
        <v>695</v>
      </c>
      <c r="S1404" s="479">
        <v>78</v>
      </c>
      <c r="T1404" s="478" t="s">
        <v>47</v>
      </c>
      <c r="U1404" s="478" t="s">
        <v>43</v>
      </c>
      <c r="V1404" s="480" t="s">
        <v>540</v>
      </c>
      <c r="W1404" s="51">
        <v>0.82</v>
      </c>
      <c r="X1404" s="357">
        <v>0.99</v>
      </c>
      <c r="Y1404" s="351" t="s">
        <v>353</v>
      </c>
      <c r="Z1404" s="5" t="s">
        <v>8</v>
      </c>
      <c r="AA1404" s="112" t="s">
        <v>19</v>
      </c>
    </row>
    <row r="1405" spans="1:29" x14ac:dyDescent="0.25">
      <c r="A1405" s="329">
        <v>45962</v>
      </c>
      <c r="B1405" s="5">
        <v>11</v>
      </c>
      <c r="D1405" s="5" t="s">
        <v>146</v>
      </c>
      <c r="E1405" s="6">
        <v>1.52</v>
      </c>
      <c r="G1405" s="362">
        <v>3</v>
      </c>
      <c r="H1405" s="362">
        <v>2</v>
      </c>
      <c r="I1405" s="8">
        <v>0.83</v>
      </c>
      <c r="L1405" s="5" t="s">
        <v>170</v>
      </c>
      <c r="N1405" s="345">
        <v>42</v>
      </c>
      <c r="O1405" s="38" t="s">
        <v>170</v>
      </c>
      <c r="P1405" s="5" t="s">
        <v>822</v>
      </c>
      <c r="Q1405" s="5" t="s">
        <v>380</v>
      </c>
      <c r="R1405" s="5" t="s">
        <v>684</v>
      </c>
      <c r="S1405" s="7">
        <v>74</v>
      </c>
      <c r="T1405" s="5" t="s">
        <v>41</v>
      </c>
      <c r="U1405" s="5" t="s">
        <v>42</v>
      </c>
      <c r="V1405" s="57" t="s">
        <v>33</v>
      </c>
      <c r="W1405" s="51">
        <v>0.11</v>
      </c>
      <c r="X1405" s="357">
        <v>0.18</v>
      </c>
      <c r="Z1405" s="5" t="s">
        <v>8</v>
      </c>
      <c r="AA1405" s="112" t="s">
        <v>51</v>
      </c>
      <c r="AB1405" s="108" t="s">
        <v>848</v>
      </c>
      <c r="AC1405" s="57" t="s">
        <v>849</v>
      </c>
    </row>
    <row r="1406" spans="1:29" x14ac:dyDescent="0.25">
      <c r="A1406" s="329">
        <v>45962</v>
      </c>
      <c r="B1406" s="5">
        <v>11</v>
      </c>
      <c r="D1406" s="5" t="s">
        <v>146</v>
      </c>
      <c r="E1406" s="6">
        <v>1.52</v>
      </c>
      <c r="G1406" s="362">
        <v>3</v>
      </c>
      <c r="H1406" s="362">
        <v>2</v>
      </c>
      <c r="I1406" s="8">
        <v>0.83</v>
      </c>
      <c r="L1406" s="5" t="s">
        <v>170</v>
      </c>
      <c r="N1406" s="476">
        <v>47</v>
      </c>
      <c r="O1406" s="477" t="s">
        <v>146</v>
      </c>
      <c r="P1406" s="478" t="s">
        <v>822</v>
      </c>
      <c r="Q1406" s="478" t="s">
        <v>430</v>
      </c>
      <c r="R1406" s="478" t="s">
        <v>686</v>
      </c>
      <c r="S1406" s="479">
        <v>72</v>
      </c>
      <c r="T1406" s="478" t="s">
        <v>41</v>
      </c>
      <c r="U1406" s="478" t="s">
        <v>42</v>
      </c>
      <c r="V1406" s="480" t="s">
        <v>10</v>
      </c>
      <c r="W1406" s="51">
        <v>0.24</v>
      </c>
      <c r="X1406" s="357">
        <v>0.84</v>
      </c>
      <c r="Y1406" s="351" t="s">
        <v>353</v>
      </c>
      <c r="Z1406" s="5" t="s">
        <v>8</v>
      </c>
      <c r="AA1406" s="112" t="s">
        <v>34</v>
      </c>
      <c r="AB1406" s="108" t="s">
        <v>153</v>
      </c>
      <c r="AC1406" s="57" t="s">
        <v>154</v>
      </c>
    </row>
    <row r="1407" spans="1:29" x14ac:dyDescent="0.25">
      <c r="A1407" s="329">
        <v>45962</v>
      </c>
      <c r="B1407" s="5">
        <v>11</v>
      </c>
      <c r="D1407" s="5" t="s">
        <v>146</v>
      </c>
      <c r="E1407" s="6">
        <v>1.52</v>
      </c>
      <c r="G1407" s="362">
        <v>3</v>
      </c>
      <c r="H1407" s="362">
        <v>2</v>
      </c>
      <c r="I1407" s="8">
        <v>0.83</v>
      </c>
      <c r="L1407" s="5" t="s">
        <v>170</v>
      </c>
      <c r="N1407" s="345">
        <v>79</v>
      </c>
      <c r="O1407" s="38" t="s">
        <v>170</v>
      </c>
      <c r="P1407" s="5" t="s">
        <v>817</v>
      </c>
      <c r="Q1407" s="5" t="s">
        <v>521</v>
      </c>
      <c r="R1407" s="5" t="s">
        <v>713</v>
      </c>
      <c r="S1407" s="7">
        <v>67</v>
      </c>
      <c r="T1407" s="5" t="s">
        <v>47</v>
      </c>
      <c r="U1407" s="5" t="s">
        <v>45</v>
      </c>
      <c r="V1407" s="57" t="s">
        <v>33</v>
      </c>
      <c r="W1407" s="51">
        <v>0.17</v>
      </c>
      <c r="X1407" s="357">
        <v>0.41</v>
      </c>
      <c r="Z1407" s="5" t="s">
        <v>48</v>
      </c>
      <c r="AA1407" s="112" t="s">
        <v>34</v>
      </c>
    </row>
    <row r="1408" spans="1:29" x14ac:dyDescent="0.25">
      <c r="A1408" s="329">
        <v>45962</v>
      </c>
      <c r="B1408" s="5">
        <v>11</v>
      </c>
      <c r="D1408" s="5" t="s">
        <v>146</v>
      </c>
      <c r="E1408" s="6">
        <v>1.52</v>
      </c>
      <c r="G1408" s="362">
        <v>3</v>
      </c>
      <c r="H1408" s="362">
        <v>2</v>
      </c>
      <c r="I1408" s="8">
        <v>0.83</v>
      </c>
      <c r="L1408" s="5" t="s">
        <v>170</v>
      </c>
      <c r="N1408" s="345">
        <v>79</v>
      </c>
      <c r="O1408" s="38" t="s">
        <v>170</v>
      </c>
      <c r="P1408" s="5" t="s">
        <v>809</v>
      </c>
      <c r="Q1408" s="5" t="s">
        <v>179</v>
      </c>
      <c r="R1408" s="5" t="s">
        <v>685</v>
      </c>
      <c r="S1408" s="7">
        <v>70</v>
      </c>
      <c r="T1408" s="5" t="s">
        <v>47</v>
      </c>
      <c r="U1408" s="5" t="s">
        <v>43</v>
      </c>
      <c r="V1408" s="57" t="s">
        <v>33</v>
      </c>
      <c r="W1408" s="51">
        <v>0.44</v>
      </c>
      <c r="X1408" s="357">
        <v>0.39</v>
      </c>
      <c r="Y1408" s="351" t="s">
        <v>353</v>
      </c>
      <c r="Z1408" s="5" t="s">
        <v>8</v>
      </c>
      <c r="AA1408" s="112" t="s">
        <v>189</v>
      </c>
    </row>
    <row r="1409" spans="1:29" x14ac:dyDescent="0.25">
      <c r="A1409" s="329">
        <v>45962</v>
      </c>
      <c r="B1409" s="5">
        <v>11</v>
      </c>
      <c r="D1409" s="5" t="s">
        <v>146</v>
      </c>
      <c r="E1409" s="6">
        <v>1.52</v>
      </c>
      <c r="G1409" s="362">
        <v>3</v>
      </c>
      <c r="H1409" s="362">
        <v>2</v>
      </c>
      <c r="I1409" s="8">
        <v>0.83</v>
      </c>
      <c r="L1409" s="5" t="s">
        <v>170</v>
      </c>
      <c r="N1409" s="476" t="s">
        <v>35</v>
      </c>
      <c r="O1409" s="477" t="s">
        <v>146</v>
      </c>
      <c r="P1409" s="478" t="s">
        <v>814</v>
      </c>
      <c r="Q1409" s="478" t="s">
        <v>752</v>
      </c>
      <c r="R1409" s="478" t="s">
        <v>687</v>
      </c>
      <c r="S1409" s="479">
        <v>71</v>
      </c>
      <c r="T1409" s="478" t="s">
        <v>41</v>
      </c>
      <c r="U1409" s="478" t="s">
        <v>42</v>
      </c>
      <c r="V1409" s="480" t="s">
        <v>20</v>
      </c>
      <c r="W1409" s="51">
        <v>0.25</v>
      </c>
      <c r="X1409" s="357">
        <v>0.76</v>
      </c>
      <c r="Y1409" s="351" t="s">
        <v>353</v>
      </c>
      <c r="Z1409" s="5" t="s">
        <v>8</v>
      </c>
      <c r="AA1409" s="112" t="s">
        <v>180</v>
      </c>
      <c r="AB1409" s="108" t="s">
        <v>159</v>
      </c>
      <c r="AC1409" s="57" t="s">
        <v>160</v>
      </c>
    </row>
    <row r="1410" spans="1:29" ht="15.75" thickBot="1" x14ac:dyDescent="0.3">
      <c r="A1410" s="400">
        <v>45962</v>
      </c>
      <c r="B1410" s="401">
        <v>11</v>
      </c>
      <c r="C1410" s="474"/>
      <c r="D1410" s="401" t="s">
        <v>146</v>
      </c>
      <c r="E1410" s="404">
        <v>1.52</v>
      </c>
      <c r="F1410" s="404"/>
      <c r="G1410" s="363">
        <v>3</v>
      </c>
      <c r="H1410" s="363">
        <v>2</v>
      </c>
      <c r="I1410" s="475">
        <v>0.83</v>
      </c>
      <c r="J1410" s="475"/>
      <c r="K1410" s="474"/>
      <c r="L1410" s="401" t="s">
        <v>170</v>
      </c>
      <c r="M1410" s="235"/>
      <c r="N1410" s="347"/>
      <c r="O1410" s="343" t="s">
        <v>146</v>
      </c>
      <c r="P1410" s="199" t="s">
        <v>810</v>
      </c>
      <c r="Q1410" s="199" t="s">
        <v>423</v>
      </c>
      <c r="R1410" s="199" t="s">
        <v>707</v>
      </c>
      <c r="S1410" s="7">
        <v>63</v>
      </c>
      <c r="T1410" s="199"/>
      <c r="U1410" s="199"/>
      <c r="V1410" s="201"/>
      <c r="W1410" s="202"/>
      <c r="X1410" s="359"/>
      <c r="Y1410" s="353">
        <f>H1410</f>
        <v>2</v>
      </c>
      <c r="Z1410" s="199"/>
      <c r="AA1410" s="204"/>
      <c r="AB1410" s="205"/>
      <c r="AC1410" s="201"/>
    </row>
    <row r="1411" spans="1:29" ht="15.75" thickBot="1" x14ac:dyDescent="0.3">
      <c r="A1411" s="400">
        <v>45962</v>
      </c>
      <c r="B1411" s="401">
        <v>11</v>
      </c>
      <c r="C1411" s="474"/>
      <c r="D1411" s="401" t="s">
        <v>146</v>
      </c>
      <c r="E1411" s="404">
        <v>1.52</v>
      </c>
      <c r="F1411" s="404"/>
      <c r="G1411" s="363">
        <v>3</v>
      </c>
      <c r="H1411" s="363">
        <v>2</v>
      </c>
      <c r="I1411" s="475">
        <v>0.83</v>
      </c>
      <c r="J1411" s="475"/>
      <c r="K1411" s="474"/>
      <c r="L1411" s="401" t="s">
        <v>170</v>
      </c>
      <c r="M1411" s="235"/>
      <c r="N1411" s="347"/>
      <c r="O1411" s="343" t="s">
        <v>170</v>
      </c>
      <c r="P1411" s="199" t="s">
        <v>825</v>
      </c>
      <c r="Q1411" s="199" t="s">
        <v>722</v>
      </c>
      <c r="R1411" s="199" t="s">
        <v>707</v>
      </c>
      <c r="S1411" s="7">
        <v>61</v>
      </c>
      <c r="T1411" s="199"/>
      <c r="U1411" s="199"/>
      <c r="V1411" s="201"/>
      <c r="W1411" s="202"/>
      <c r="X1411" s="359"/>
      <c r="Y1411" s="353">
        <f>G1410</f>
        <v>3</v>
      </c>
      <c r="Z1411" s="199"/>
      <c r="AA1411" s="204"/>
      <c r="AB1411" s="205"/>
      <c r="AC1411" s="201"/>
    </row>
    <row r="1412" spans="1:29" x14ac:dyDescent="0.25">
      <c r="A1412" s="329">
        <v>45962</v>
      </c>
      <c r="B1412" s="5">
        <v>11</v>
      </c>
      <c r="C1412" s="121" t="s">
        <v>692</v>
      </c>
      <c r="D1412" s="5" t="s">
        <v>226</v>
      </c>
      <c r="E1412" s="6">
        <v>2.71</v>
      </c>
      <c r="G1412" s="362">
        <v>4</v>
      </c>
      <c r="H1412" s="362">
        <v>0</v>
      </c>
      <c r="I1412" s="8">
        <v>0.49</v>
      </c>
      <c r="K1412" s="121" t="s">
        <v>694</v>
      </c>
      <c r="L1412" s="5" t="s">
        <v>145</v>
      </c>
      <c r="N1412" s="476">
        <v>6</v>
      </c>
      <c r="O1412" s="477" t="s">
        <v>226</v>
      </c>
      <c r="P1412" s="478" t="s">
        <v>816</v>
      </c>
      <c r="Q1412" s="478" t="s">
        <v>288</v>
      </c>
      <c r="R1412" s="478" t="s">
        <v>689</v>
      </c>
      <c r="S1412" s="479">
        <v>83</v>
      </c>
      <c r="T1412" s="478" t="s">
        <v>354</v>
      </c>
      <c r="U1412" s="478" t="s">
        <v>42</v>
      </c>
      <c r="V1412" s="480" t="s">
        <v>20</v>
      </c>
      <c r="W1412" s="636">
        <v>0.01</v>
      </c>
      <c r="X1412" s="637" t="s">
        <v>53</v>
      </c>
      <c r="Y1412" s="638"/>
      <c r="Z1412" s="5" t="s">
        <v>16</v>
      </c>
      <c r="AA1412" s="112" t="s">
        <v>28</v>
      </c>
    </row>
    <row r="1413" spans="1:29" x14ac:dyDescent="0.25">
      <c r="A1413" s="329">
        <v>45962</v>
      </c>
      <c r="B1413" s="5">
        <v>11</v>
      </c>
      <c r="D1413" s="5" t="s">
        <v>226</v>
      </c>
      <c r="E1413" s="6">
        <v>2.71</v>
      </c>
      <c r="G1413" s="362">
        <v>4</v>
      </c>
      <c r="H1413" s="362">
        <v>0</v>
      </c>
      <c r="I1413" s="8">
        <v>0.49</v>
      </c>
      <c r="L1413" s="5" t="s">
        <v>145</v>
      </c>
      <c r="N1413" s="476">
        <v>14</v>
      </c>
      <c r="O1413" s="477" t="s">
        <v>226</v>
      </c>
      <c r="P1413" s="478" t="s">
        <v>814</v>
      </c>
      <c r="Q1413" s="478" t="s">
        <v>487</v>
      </c>
      <c r="R1413" s="478" t="s">
        <v>691</v>
      </c>
      <c r="S1413" s="479">
        <v>82</v>
      </c>
      <c r="T1413" s="478" t="s">
        <v>41</v>
      </c>
      <c r="U1413" s="478" t="s">
        <v>43</v>
      </c>
      <c r="V1413" s="480" t="s">
        <v>10</v>
      </c>
      <c r="W1413" s="636">
        <v>0.04</v>
      </c>
      <c r="X1413" s="637">
        <v>0.18</v>
      </c>
      <c r="Y1413" s="638"/>
      <c r="Z1413" s="5" t="s">
        <v>48</v>
      </c>
      <c r="AA1413" s="112" t="s">
        <v>28</v>
      </c>
    </row>
    <row r="1414" spans="1:29" x14ac:dyDescent="0.25">
      <c r="A1414" s="329">
        <v>45962</v>
      </c>
      <c r="B1414" s="5">
        <v>11</v>
      </c>
      <c r="D1414" s="5" t="s">
        <v>226</v>
      </c>
      <c r="E1414" s="6">
        <v>2.71</v>
      </c>
      <c r="G1414" s="362">
        <v>4</v>
      </c>
      <c r="H1414" s="362">
        <v>0</v>
      </c>
      <c r="I1414" s="8">
        <v>0.49</v>
      </c>
      <c r="L1414" s="5" t="s">
        <v>145</v>
      </c>
      <c r="N1414" s="476">
        <v>19</v>
      </c>
      <c r="O1414" s="477" t="s">
        <v>226</v>
      </c>
      <c r="P1414" s="478" t="s">
        <v>833</v>
      </c>
      <c r="Q1414" s="478" t="s">
        <v>232</v>
      </c>
      <c r="R1414" s="478" t="s">
        <v>684</v>
      </c>
      <c r="S1414" s="479">
        <v>82</v>
      </c>
      <c r="T1414" s="478" t="s">
        <v>41</v>
      </c>
      <c r="U1414" s="478" t="s">
        <v>42</v>
      </c>
      <c r="V1414" s="480" t="s">
        <v>7</v>
      </c>
      <c r="W1414" s="636">
        <v>0.79</v>
      </c>
      <c r="X1414" s="637">
        <v>0.76</v>
      </c>
      <c r="Y1414" s="638" t="s">
        <v>353</v>
      </c>
      <c r="Z1414" s="5" t="s">
        <v>8</v>
      </c>
      <c r="AA1414" s="112" t="s">
        <v>19</v>
      </c>
    </row>
    <row r="1415" spans="1:29" x14ac:dyDescent="0.25">
      <c r="A1415" s="329">
        <v>45962</v>
      </c>
      <c r="B1415" s="5">
        <v>11</v>
      </c>
      <c r="D1415" s="5" t="s">
        <v>226</v>
      </c>
      <c r="E1415" s="6">
        <v>2.71</v>
      </c>
      <c r="G1415" s="362">
        <v>4</v>
      </c>
      <c r="H1415" s="362">
        <v>0</v>
      </c>
      <c r="I1415" s="8">
        <v>0.49</v>
      </c>
      <c r="L1415" s="5" t="s">
        <v>145</v>
      </c>
      <c r="N1415" s="345">
        <v>30</v>
      </c>
      <c r="O1415" s="38" t="s">
        <v>145</v>
      </c>
      <c r="P1415" s="5" t="s">
        <v>817</v>
      </c>
      <c r="Q1415" s="5" t="s">
        <v>150</v>
      </c>
      <c r="R1415" s="5" t="s">
        <v>686</v>
      </c>
      <c r="S1415" s="7">
        <v>57</v>
      </c>
      <c r="T1415" s="5" t="s">
        <v>47</v>
      </c>
      <c r="U1415" s="5" t="s">
        <v>45</v>
      </c>
      <c r="V1415" s="57" t="s">
        <v>10</v>
      </c>
      <c r="W1415" s="51">
        <v>0.18</v>
      </c>
      <c r="X1415" s="357" t="s">
        <v>53</v>
      </c>
      <c r="Z1415" s="5" t="s">
        <v>52</v>
      </c>
      <c r="AA1415" s="112" t="s">
        <v>19</v>
      </c>
    </row>
    <row r="1416" spans="1:29" x14ac:dyDescent="0.25">
      <c r="A1416" s="329">
        <v>45962</v>
      </c>
      <c r="B1416" s="5">
        <v>11</v>
      </c>
      <c r="D1416" s="5" t="s">
        <v>226</v>
      </c>
      <c r="E1416" s="6">
        <v>2.71</v>
      </c>
      <c r="G1416" s="362">
        <v>4</v>
      </c>
      <c r="H1416" s="362">
        <v>0</v>
      </c>
      <c r="I1416" s="8">
        <v>0.49</v>
      </c>
      <c r="L1416" s="5" t="s">
        <v>145</v>
      </c>
      <c r="N1416" s="476">
        <v>31</v>
      </c>
      <c r="O1416" s="477" t="s">
        <v>226</v>
      </c>
      <c r="P1416" s="478" t="s">
        <v>833</v>
      </c>
      <c r="Q1416" s="478" t="s">
        <v>232</v>
      </c>
      <c r="R1416" s="478" t="s">
        <v>684</v>
      </c>
      <c r="S1416" s="479">
        <v>82</v>
      </c>
      <c r="T1416" s="478" t="s">
        <v>41</v>
      </c>
      <c r="U1416" s="478" t="s">
        <v>43</v>
      </c>
      <c r="V1416" s="480" t="s">
        <v>10</v>
      </c>
      <c r="W1416" s="636">
        <v>0.28999999999999998</v>
      </c>
      <c r="X1416" s="637">
        <v>0.77</v>
      </c>
      <c r="Y1416" s="638" t="s">
        <v>353</v>
      </c>
      <c r="Z1416" s="5" t="s">
        <v>8</v>
      </c>
      <c r="AA1416" s="112" t="s">
        <v>24</v>
      </c>
      <c r="AB1416" s="108" t="s">
        <v>56</v>
      </c>
      <c r="AC1416" s="57" t="s">
        <v>235</v>
      </c>
    </row>
    <row r="1417" spans="1:29" x14ac:dyDescent="0.25">
      <c r="A1417" s="329">
        <v>45962</v>
      </c>
      <c r="B1417" s="5">
        <v>11</v>
      </c>
      <c r="D1417" s="5" t="s">
        <v>226</v>
      </c>
      <c r="E1417" s="6">
        <v>2.71</v>
      </c>
      <c r="G1417" s="362">
        <v>4</v>
      </c>
      <c r="H1417" s="362">
        <v>0</v>
      </c>
      <c r="I1417" s="8">
        <v>0.49</v>
      </c>
      <c r="L1417" s="5" t="s">
        <v>145</v>
      </c>
      <c r="N1417" s="476">
        <v>43</v>
      </c>
      <c r="O1417" s="477" t="s">
        <v>226</v>
      </c>
      <c r="P1417" s="478" t="s">
        <v>829</v>
      </c>
      <c r="Q1417" s="478" t="s">
        <v>54</v>
      </c>
      <c r="R1417" s="478" t="s">
        <v>685</v>
      </c>
      <c r="S1417" s="479">
        <v>68</v>
      </c>
      <c r="T1417" s="478" t="s">
        <v>41</v>
      </c>
      <c r="U1417" s="478" t="s">
        <v>42</v>
      </c>
      <c r="V1417" s="480" t="s">
        <v>7</v>
      </c>
      <c r="W1417" s="636">
        <v>0.79</v>
      </c>
      <c r="X1417" s="637">
        <v>0.66</v>
      </c>
      <c r="Y1417" s="638" t="s">
        <v>353</v>
      </c>
      <c r="Z1417" s="5" t="s">
        <v>48</v>
      </c>
      <c r="AA1417" s="112" t="s">
        <v>24</v>
      </c>
    </row>
    <row r="1418" spans="1:29" x14ac:dyDescent="0.25">
      <c r="A1418" s="329">
        <v>45962</v>
      </c>
      <c r="B1418" s="5">
        <v>11</v>
      </c>
      <c r="D1418" s="5" t="s">
        <v>226</v>
      </c>
      <c r="E1418" s="6">
        <v>2.71</v>
      </c>
      <c r="G1418" s="362">
        <v>4</v>
      </c>
      <c r="H1418" s="362">
        <v>0</v>
      </c>
      <c r="I1418" s="8">
        <v>0.49</v>
      </c>
      <c r="L1418" s="5" t="s">
        <v>145</v>
      </c>
      <c r="N1418" s="476">
        <v>43</v>
      </c>
      <c r="O1418" s="477" t="s">
        <v>226</v>
      </c>
      <c r="P1418" s="478" t="s">
        <v>810</v>
      </c>
      <c r="Q1418" s="478" t="s">
        <v>235</v>
      </c>
      <c r="R1418" s="478" t="s">
        <v>690</v>
      </c>
      <c r="S1418" s="479">
        <v>79</v>
      </c>
      <c r="T1418" s="478" t="s">
        <v>41</v>
      </c>
      <c r="U1418" s="478" t="s">
        <v>42</v>
      </c>
      <c r="V1418" s="480" t="s">
        <v>33</v>
      </c>
      <c r="W1418" s="636">
        <v>0.22</v>
      </c>
      <c r="X1418" s="637">
        <v>0.57999999999999996</v>
      </c>
      <c r="Y1418" s="638" t="s">
        <v>353</v>
      </c>
      <c r="Z1418" s="5" t="s">
        <v>48</v>
      </c>
      <c r="AA1418" s="112" t="s">
        <v>24</v>
      </c>
    </row>
    <row r="1419" spans="1:29" x14ac:dyDescent="0.25">
      <c r="A1419" s="329">
        <v>45962</v>
      </c>
      <c r="B1419" s="5">
        <v>11</v>
      </c>
      <c r="D1419" s="5" t="s">
        <v>226</v>
      </c>
      <c r="E1419" s="6">
        <v>2.71</v>
      </c>
      <c r="G1419" s="362">
        <v>4</v>
      </c>
      <c r="H1419" s="362">
        <v>0</v>
      </c>
      <c r="I1419" s="8">
        <v>0.49</v>
      </c>
      <c r="L1419" s="5" t="s">
        <v>145</v>
      </c>
      <c r="N1419" s="476">
        <v>44</v>
      </c>
      <c r="O1419" s="477" t="s">
        <v>226</v>
      </c>
      <c r="P1419" s="478" t="s">
        <v>814</v>
      </c>
      <c r="Q1419" s="478" t="s">
        <v>487</v>
      </c>
      <c r="R1419" s="478" t="s">
        <v>691</v>
      </c>
      <c r="S1419" s="479">
        <v>82</v>
      </c>
      <c r="T1419" s="478" t="s">
        <v>44</v>
      </c>
      <c r="U1419" s="478" t="s">
        <v>42</v>
      </c>
      <c r="V1419" s="480" t="s">
        <v>10</v>
      </c>
      <c r="W1419" s="636">
        <v>0.05</v>
      </c>
      <c r="X1419" s="637">
        <v>0.45</v>
      </c>
      <c r="Y1419" s="638"/>
      <c r="Z1419" s="5" t="s">
        <v>8</v>
      </c>
      <c r="AA1419" s="112" t="s">
        <v>27</v>
      </c>
      <c r="AB1419" s="108" t="s">
        <v>287</v>
      </c>
      <c r="AC1419" s="57" t="s">
        <v>288</v>
      </c>
    </row>
    <row r="1420" spans="1:29" x14ac:dyDescent="0.25">
      <c r="A1420" s="329">
        <v>45962</v>
      </c>
      <c r="B1420" s="5">
        <v>11</v>
      </c>
      <c r="D1420" s="5" t="s">
        <v>226</v>
      </c>
      <c r="E1420" s="6">
        <v>2.71</v>
      </c>
      <c r="G1420" s="362">
        <v>4</v>
      </c>
      <c r="H1420" s="362">
        <v>0</v>
      </c>
      <c r="I1420" s="8">
        <v>0.49</v>
      </c>
      <c r="L1420" s="5" t="s">
        <v>145</v>
      </c>
      <c r="N1420" s="476" t="s">
        <v>63</v>
      </c>
      <c r="O1420" s="477" t="s">
        <v>226</v>
      </c>
      <c r="P1420" s="478" t="s">
        <v>810</v>
      </c>
      <c r="Q1420" s="478" t="s">
        <v>235</v>
      </c>
      <c r="R1420" s="478" t="s">
        <v>690</v>
      </c>
      <c r="S1420" s="479">
        <v>79</v>
      </c>
      <c r="T1420" s="478" t="s">
        <v>41</v>
      </c>
      <c r="U1420" s="478" t="s">
        <v>43</v>
      </c>
      <c r="V1420" s="480" t="s">
        <v>18</v>
      </c>
      <c r="W1420" s="636">
        <v>0.15</v>
      </c>
      <c r="X1420" s="637">
        <v>0.26</v>
      </c>
      <c r="Y1420" s="638"/>
      <c r="Z1420" s="5" t="s">
        <v>48</v>
      </c>
      <c r="AA1420" s="112" t="s">
        <v>27</v>
      </c>
    </row>
    <row r="1421" spans="1:29" x14ac:dyDescent="0.25">
      <c r="A1421" s="329">
        <v>45962</v>
      </c>
      <c r="B1421" s="5">
        <v>11</v>
      </c>
      <c r="D1421" s="5" t="s">
        <v>226</v>
      </c>
      <c r="E1421" s="6">
        <v>2.71</v>
      </c>
      <c r="G1421" s="362">
        <v>4</v>
      </c>
      <c r="H1421" s="362">
        <v>0</v>
      </c>
      <c r="I1421" s="8">
        <v>0.49</v>
      </c>
      <c r="L1421" s="5" t="s">
        <v>145</v>
      </c>
      <c r="N1421" s="476">
        <v>62</v>
      </c>
      <c r="O1421" s="477" t="s">
        <v>226</v>
      </c>
      <c r="P1421" s="478" t="s">
        <v>833</v>
      </c>
      <c r="Q1421" s="478" t="s">
        <v>232</v>
      </c>
      <c r="R1421" s="478" t="s">
        <v>684</v>
      </c>
      <c r="S1421" s="479">
        <v>82</v>
      </c>
      <c r="T1421" s="478" t="s">
        <v>41</v>
      </c>
      <c r="U1421" s="478" t="s">
        <v>43</v>
      </c>
      <c r="V1421" s="480" t="s">
        <v>18</v>
      </c>
      <c r="W1421" s="636">
        <v>0.12</v>
      </c>
      <c r="X1421" s="637">
        <v>0.46</v>
      </c>
      <c r="Y1421" s="638"/>
      <c r="Z1421" s="5" t="s">
        <v>48</v>
      </c>
      <c r="AA1421" s="112" t="s">
        <v>27</v>
      </c>
    </row>
    <row r="1422" spans="1:29" x14ac:dyDescent="0.25">
      <c r="A1422" s="329">
        <v>45962</v>
      </c>
      <c r="B1422" s="5">
        <v>11</v>
      </c>
      <c r="D1422" s="5" t="s">
        <v>226</v>
      </c>
      <c r="E1422" s="6">
        <v>2.71</v>
      </c>
      <c r="G1422" s="362">
        <v>4</v>
      </c>
      <c r="H1422" s="362">
        <v>0</v>
      </c>
      <c r="I1422" s="8">
        <v>0.49</v>
      </c>
      <c r="L1422" s="5" t="s">
        <v>145</v>
      </c>
      <c r="N1422" s="345">
        <v>63</v>
      </c>
      <c r="O1422" s="38" t="s">
        <v>145</v>
      </c>
      <c r="P1422" s="5" t="s">
        <v>836</v>
      </c>
      <c r="Q1422" s="5" t="s">
        <v>148</v>
      </c>
      <c r="R1422" s="5" t="s">
        <v>696</v>
      </c>
      <c r="S1422" s="7">
        <v>59</v>
      </c>
      <c r="T1422" s="5" t="s">
        <v>47</v>
      </c>
      <c r="U1422" s="5" t="s">
        <v>45</v>
      </c>
      <c r="V1422" s="57" t="s">
        <v>540</v>
      </c>
      <c r="W1422" s="51">
        <v>0.23</v>
      </c>
      <c r="X1422" s="357" t="s">
        <v>53</v>
      </c>
      <c r="Y1422" s="351" t="s">
        <v>353</v>
      </c>
      <c r="Z1422" s="5" t="s">
        <v>13</v>
      </c>
      <c r="AA1422" s="112" t="s">
        <v>27</v>
      </c>
    </row>
    <row r="1423" spans="1:29" x14ac:dyDescent="0.25">
      <c r="A1423" s="329">
        <v>45962</v>
      </c>
      <c r="B1423" s="5">
        <v>11</v>
      </c>
      <c r="D1423" s="5" t="s">
        <v>226</v>
      </c>
      <c r="E1423" s="6">
        <v>2.71</v>
      </c>
      <c r="G1423" s="362">
        <v>4</v>
      </c>
      <c r="H1423" s="362">
        <v>0</v>
      </c>
      <c r="I1423" s="8">
        <v>0.49</v>
      </c>
      <c r="L1423" s="5" t="s">
        <v>145</v>
      </c>
      <c r="N1423" s="476">
        <v>82</v>
      </c>
      <c r="O1423" s="477" t="s">
        <v>226</v>
      </c>
      <c r="P1423" s="478" t="s">
        <v>53</v>
      </c>
      <c r="Q1423" s="478" t="s">
        <v>286</v>
      </c>
      <c r="R1423" s="478" t="s">
        <v>696</v>
      </c>
      <c r="S1423" s="479">
        <v>64</v>
      </c>
      <c r="T1423" s="478" t="s">
        <v>41</v>
      </c>
      <c r="U1423" s="478" t="s">
        <v>42</v>
      </c>
      <c r="V1423" s="480" t="s">
        <v>10</v>
      </c>
      <c r="W1423" s="636">
        <v>0.04</v>
      </c>
      <c r="X1423" s="637" t="s">
        <v>53</v>
      </c>
      <c r="Y1423" s="638"/>
      <c r="Z1423" s="5" t="s">
        <v>52</v>
      </c>
      <c r="AA1423" s="112" t="s">
        <v>27</v>
      </c>
    </row>
    <row r="1424" spans="1:29" x14ac:dyDescent="0.25">
      <c r="A1424" s="329">
        <v>45962</v>
      </c>
      <c r="B1424" s="5">
        <v>11</v>
      </c>
      <c r="D1424" s="5" t="s">
        <v>226</v>
      </c>
      <c r="E1424" s="6">
        <v>2.71</v>
      </c>
      <c r="G1424" s="362">
        <v>4</v>
      </c>
      <c r="H1424" s="362">
        <v>0</v>
      </c>
      <c r="I1424" s="8">
        <v>0.49</v>
      </c>
      <c r="L1424" s="5" t="s">
        <v>145</v>
      </c>
      <c r="N1424" s="476">
        <v>82</v>
      </c>
      <c r="O1424" s="477" t="s">
        <v>226</v>
      </c>
      <c r="P1424" s="478" t="s">
        <v>810</v>
      </c>
      <c r="Q1424" s="478" t="s">
        <v>228</v>
      </c>
      <c r="R1424" s="478" t="s">
        <v>688</v>
      </c>
      <c r="S1424" s="479">
        <v>91</v>
      </c>
      <c r="T1424" s="478" t="s">
        <v>41</v>
      </c>
      <c r="U1424" s="478" t="s">
        <v>43</v>
      </c>
      <c r="V1424" s="480" t="s">
        <v>540</v>
      </c>
      <c r="W1424" s="636">
        <v>0.03</v>
      </c>
      <c r="X1424" s="637">
        <v>0.51</v>
      </c>
      <c r="Y1424" s="638"/>
      <c r="Z1424" s="5" t="s">
        <v>8</v>
      </c>
      <c r="AA1424" s="112" t="s">
        <v>32</v>
      </c>
    </row>
    <row r="1425" spans="1:29" x14ac:dyDescent="0.25">
      <c r="A1425" s="329">
        <v>45962</v>
      </c>
      <c r="B1425" s="5">
        <v>11</v>
      </c>
      <c r="D1425" s="5" t="s">
        <v>226</v>
      </c>
      <c r="E1425" s="6">
        <v>2.71</v>
      </c>
      <c r="G1425" s="362">
        <v>4</v>
      </c>
      <c r="H1425" s="362">
        <v>0</v>
      </c>
      <c r="I1425" s="8">
        <v>0.49</v>
      </c>
      <c r="L1425" s="5" t="s">
        <v>145</v>
      </c>
      <c r="N1425" s="345">
        <v>90</v>
      </c>
      <c r="O1425" s="38" t="s">
        <v>145</v>
      </c>
      <c r="P1425" s="5" t="s">
        <v>814</v>
      </c>
      <c r="Q1425" s="5" t="s">
        <v>452</v>
      </c>
      <c r="R1425" s="5" t="s">
        <v>696</v>
      </c>
      <c r="S1425" s="7">
        <v>62</v>
      </c>
      <c r="T1425" s="5" t="s">
        <v>41</v>
      </c>
      <c r="U1425" s="5" t="s">
        <v>42</v>
      </c>
      <c r="V1425" s="57" t="s">
        <v>10</v>
      </c>
      <c r="W1425" s="51">
        <v>0.06</v>
      </c>
      <c r="X1425" s="357" t="s">
        <v>53</v>
      </c>
      <c r="Z1425" s="5" t="s">
        <v>17</v>
      </c>
      <c r="AA1425" s="112" t="s">
        <v>32</v>
      </c>
    </row>
    <row r="1426" spans="1:29" ht="15.75" thickBot="1" x14ac:dyDescent="0.3">
      <c r="A1426" s="400">
        <v>45962</v>
      </c>
      <c r="B1426" s="401">
        <v>11</v>
      </c>
      <c r="C1426" s="474"/>
      <c r="D1426" s="401" t="s">
        <v>226</v>
      </c>
      <c r="E1426" s="404">
        <v>2.71</v>
      </c>
      <c r="F1426" s="404"/>
      <c r="G1426" s="363">
        <v>4</v>
      </c>
      <c r="H1426" s="363">
        <v>0</v>
      </c>
      <c r="I1426" s="475">
        <v>0.49</v>
      </c>
      <c r="J1426" s="475"/>
      <c r="K1426" s="474"/>
      <c r="L1426" s="401" t="s">
        <v>145</v>
      </c>
      <c r="M1426" s="235"/>
      <c r="N1426" s="347"/>
      <c r="O1426" s="343" t="s">
        <v>226</v>
      </c>
      <c r="P1426" s="199" t="s">
        <v>821</v>
      </c>
      <c r="Q1426" s="199" t="s">
        <v>727</v>
      </c>
      <c r="R1426" s="199" t="s">
        <v>707</v>
      </c>
      <c r="S1426" s="7">
        <v>69</v>
      </c>
      <c r="T1426" s="199"/>
      <c r="U1426" s="199"/>
      <c r="V1426" s="201"/>
      <c r="W1426" s="202"/>
      <c r="X1426" s="359"/>
      <c r="Y1426" s="353">
        <f>H1426</f>
        <v>0</v>
      </c>
      <c r="Z1426" s="199"/>
      <c r="AA1426" s="204"/>
      <c r="AB1426" s="205"/>
      <c r="AC1426" s="201"/>
    </row>
    <row r="1427" spans="1:29" ht="15.75" thickBot="1" x14ac:dyDescent="0.3">
      <c r="A1427" s="400">
        <v>45962</v>
      </c>
      <c r="B1427" s="401">
        <v>11</v>
      </c>
      <c r="C1427" s="474"/>
      <c r="D1427" s="401" t="s">
        <v>226</v>
      </c>
      <c r="E1427" s="404">
        <v>2.71</v>
      </c>
      <c r="F1427" s="404"/>
      <c r="G1427" s="363">
        <v>4</v>
      </c>
      <c r="H1427" s="363">
        <v>0</v>
      </c>
      <c r="I1427" s="475">
        <v>0.49</v>
      </c>
      <c r="J1427" s="475"/>
      <c r="K1427" s="474"/>
      <c r="L1427" s="401" t="s">
        <v>145</v>
      </c>
      <c r="M1427" s="235"/>
      <c r="N1427" s="347"/>
      <c r="O1427" s="343" t="s">
        <v>145</v>
      </c>
      <c r="P1427" s="199" t="s">
        <v>814</v>
      </c>
      <c r="Q1427" s="199" t="s">
        <v>483</v>
      </c>
      <c r="R1427" s="199" t="s">
        <v>707</v>
      </c>
      <c r="S1427" s="7">
        <v>82</v>
      </c>
      <c r="T1427" s="199"/>
      <c r="U1427" s="199"/>
      <c r="V1427" s="201"/>
      <c r="W1427" s="202"/>
      <c r="X1427" s="359"/>
      <c r="Y1427" s="353">
        <f>G1426</f>
        <v>4</v>
      </c>
      <c r="Z1427" s="199"/>
      <c r="AA1427" s="204"/>
      <c r="AB1427" s="205"/>
      <c r="AC1427" s="201"/>
    </row>
    <row r="1428" spans="1:29" x14ac:dyDescent="0.25">
      <c r="A1428" s="329">
        <v>45963</v>
      </c>
      <c r="B1428" s="5">
        <v>11</v>
      </c>
      <c r="C1428" s="121" t="s">
        <v>693</v>
      </c>
      <c r="D1428" s="5" t="s">
        <v>129</v>
      </c>
      <c r="E1428" s="6">
        <v>1.2</v>
      </c>
      <c r="G1428" s="362">
        <v>1</v>
      </c>
      <c r="H1428" s="362">
        <v>2</v>
      </c>
      <c r="I1428" s="8">
        <v>2</v>
      </c>
      <c r="K1428" s="121" t="s">
        <v>700</v>
      </c>
      <c r="L1428" s="5" t="s">
        <v>456</v>
      </c>
      <c r="M1428" s="242" t="s">
        <v>850</v>
      </c>
      <c r="N1428" s="476">
        <v>33</v>
      </c>
      <c r="O1428" s="477" t="s">
        <v>129</v>
      </c>
      <c r="P1428" s="478" t="s">
        <v>831</v>
      </c>
      <c r="Q1428" s="478" t="s">
        <v>105</v>
      </c>
      <c r="R1428" s="478" t="s">
        <v>684</v>
      </c>
      <c r="S1428" s="479">
        <v>64</v>
      </c>
      <c r="T1428" s="478" t="s">
        <v>41</v>
      </c>
      <c r="U1428" s="478" t="s">
        <v>42</v>
      </c>
      <c r="V1428" s="480" t="s">
        <v>10</v>
      </c>
      <c r="W1428" s="51">
        <v>0.08</v>
      </c>
      <c r="X1428" s="357">
        <v>0.42</v>
      </c>
      <c r="Z1428" s="5" t="s">
        <v>48</v>
      </c>
      <c r="AA1428" s="112" t="s">
        <v>28</v>
      </c>
    </row>
    <row r="1429" spans="1:29" x14ac:dyDescent="0.25">
      <c r="A1429" s="329">
        <v>45963</v>
      </c>
      <c r="B1429" s="5">
        <v>11</v>
      </c>
      <c r="D1429" s="5" t="s">
        <v>129</v>
      </c>
      <c r="E1429" s="6">
        <v>1.2</v>
      </c>
      <c r="G1429" s="362">
        <v>1</v>
      </c>
      <c r="H1429" s="362">
        <v>2</v>
      </c>
      <c r="I1429" s="8">
        <v>2</v>
      </c>
      <c r="L1429" s="5" t="s">
        <v>456</v>
      </c>
      <c r="M1429" s="242" t="s">
        <v>850</v>
      </c>
      <c r="N1429" s="476">
        <v>37</v>
      </c>
      <c r="O1429" s="477" t="s">
        <v>129</v>
      </c>
      <c r="P1429" s="478" t="s">
        <v>831</v>
      </c>
      <c r="Q1429" s="478" t="s">
        <v>105</v>
      </c>
      <c r="R1429" s="478" t="s">
        <v>684</v>
      </c>
      <c r="S1429" s="479">
        <v>64</v>
      </c>
      <c r="T1429" s="478" t="s">
        <v>41</v>
      </c>
      <c r="U1429" s="478" t="s">
        <v>42</v>
      </c>
      <c r="V1429" s="480" t="s">
        <v>7</v>
      </c>
      <c r="W1429" s="51">
        <v>0.79</v>
      </c>
      <c r="X1429" s="357" t="s">
        <v>53</v>
      </c>
      <c r="Y1429" s="351" t="s">
        <v>353</v>
      </c>
      <c r="Z1429" s="5" t="s">
        <v>17</v>
      </c>
      <c r="AA1429" s="112" t="s">
        <v>28</v>
      </c>
    </row>
    <row r="1430" spans="1:29" x14ac:dyDescent="0.25">
      <c r="A1430" s="329">
        <v>45963</v>
      </c>
      <c r="B1430" s="5">
        <v>11</v>
      </c>
      <c r="D1430" s="5" t="s">
        <v>129</v>
      </c>
      <c r="E1430" s="6">
        <v>1.2</v>
      </c>
      <c r="G1430" s="362">
        <v>1</v>
      </c>
      <c r="H1430" s="362">
        <v>2</v>
      </c>
      <c r="I1430" s="8">
        <v>2</v>
      </c>
      <c r="L1430" s="5" t="s">
        <v>456</v>
      </c>
      <c r="M1430" s="242" t="s">
        <v>850</v>
      </c>
      <c r="N1430" s="476">
        <v>38</v>
      </c>
      <c r="O1430" s="477" t="s">
        <v>129</v>
      </c>
      <c r="P1430" s="478" t="s">
        <v>809</v>
      </c>
      <c r="Q1430" s="478" t="s">
        <v>142</v>
      </c>
      <c r="R1430" s="478" t="s">
        <v>685</v>
      </c>
      <c r="S1430" s="479">
        <v>59</v>
      </c>
      <c r="T1430" s="478" t="s">
        <v>41</v>
      </c>
      <c r="U1430" s="478" t="s">
        <v>43</v>
      </c>
      <c r="V1430" s="480" t="s">
        <v>33</v>
      </c>
      <c r="W1430" s="51">
        <v>0.14000000000000001</v>
      </c>
      <c r="X1430" s="357" t="s">
        <v>53</v>
      </c>
      <c r="Y1430" s="351" t="s">
        <v>353</v>
      </c>
      <c r="Z1430" s="5" t="s">
        <v>13</v>
      </c>
      <c r="AA1430" s="112" t="s">
        <v>28</v>
      </c>
    </row>
    <row r="1431" spans="1:29" x14ac:dyDescent="0.25">
      <c r="A1431" s="329">
        <v>45963</v>
      </c>
      <c r="B1431" s="5">
        <v>11</v>
      </c>
      <c r="D1431" s="5" t="s">
        <v>129</v>
      </c>
      <c r="E1431" s="6">
        <v>1.2</v>
      </c>
      <c r="G1431" s="362">
        <v>1</v>
      </c>
      <c r="H1431" s="362">
        <v>2</v>
      </c>
      <c r="I1431" s="8">
        <v>2</v>
      </c>
      <c r="L1431" s="5" t="s">
        <v>456</v>
      </c>
      <c r="M1431" s="242" t="s">
        <v>850</v>
      </c>
      <c r="N1431" s="345">
        <v>39</v>
      </c>
      <c r="O1431" s="38" t="s">
        <v>456</v>
      </c>
      <c r="P1431" s="5" t="s">
        <v>816</v>
      </c>
      <c r="Q1431" s="5" t="s">
        <v>357</v>
      </c>
      <c r="R1431" s="5" t="s">
        <v>686</v>
      </c>
      <c r="S1431" s="7">
        <v>65</v>
      </c>
      <c r="T1431" s="5" t="s">
        <v>41</v>
      </c>
      <c r="U1431" s="5" t="s">
        <v>42</v>
      </c>
      <c r="V1431" s="57" t="s">
        <v>10</v>
      </c>
      <c r="W1431" s="51">
        <v>0.12</v>
      </c>
      <c r="X1431" s="357">
        <v>0.09</v>
      </c>
      <c r="Z1431" s="5" t="s">
        <v>48</v>
      </c>
      <c r="AA1431" s="112" t="s">
        <v>28</v>
      </c>
    </row>
    <row r="1432" spans="1:29" x14ac:dyDescent="0.25">
      <c r="A1432" s="329">
        <v>45963</v>
      </c>
      <c r="B1432" s="5">
        <v>11</v>
      </c>
      <c r="D1432" s="5" t="s">
        <v>129</v>
      </c>
      <c r="E1432" s="6">
        <v>1.2</v>
      </c>
      <c r="G1432" s="362">
        <v>1</v>
      </c>
      <c r="H1432" s="362">
        <v>2</v>
      </c>
      <c r="I1432" s="8">
        <v>2</v>
      </c>
      <c r="L1432" s="5" t="s">
        <v>456</v>
      </c>
      <c r="M1432" s="242" t="s">
        <v>850</v>
      </c>
      <c r="N1432" s="345">
        <v>39</v>
      </c>
      <c r="O1432" s="38" t="s">
        <v>456</v>
      </c>
      <c r="P1432" s="5" t="s">
        <v>824</v>
      </c>
      <c r="Q1432" s="5" t="s">
        <v>301</v>
      </c>
      <c r="R1432" s="5" t="s">
        <v>684</v>
      </c>
      <c r="S1432" s="7">
        <v>64</v>
      </c>
      <c r="T1432" s="5" t="s">
        <v>47</v>
      </c>
      <c r="U1432" s="5" t="s">
        <v>45</v>
      </c>
      <c r="V1432" s="57" t="s">
        <v>540</v>
      </c>
      <c r="W1432" s="51">
        <v>0.35</v>
      </c>
      <c r="X1432" s="357">
        <v>0.21</v>
      </c>
      <c r="Y1432" s="351" t="s">
        <v>353</v>
      </c>
      <c r="Z1432" s="5" t="s">
        <v>48</v>
      </c>
      <c r="AA1432" s="112" t="s">
        <v>28</v>
      </c>
    </row>
    <row r="1433" spans="1:29" x14ac:dyDescent="0.25">
      <c r="A1433" s="329">
        <v>45963</v>
      </c>
      <c r="B1433" s="5">
        <v>11</v>
      </c>
      <c r="D1433" s="5" t="s">
        <v>129</v>
      </c>
      <c r="E1433" s="6">
        <v>1.2</v>
      </c>
      <c r="G1433" s="362">
        <v>1</v>
      </c>
      <c r="H1433" s="362">
        <v>2</v>
      </c>
      <c r="I1433" s="8">
        <v>2</v>
      </c>
      <c r="L1433" s="5" t="s">
        <v>456</v>
      </c>
      <c r="M1433" s="242" t="s">
        <v>850</v>
      </c>
      <c r="N1433" s="345">
        <v>40</v>
      </c>
      <c r="O1433" s="38" t="s">
        <v>456</v>
      </c>
      <c r="P1433" s="5" t="s">
        <v>811</v>
      </c>
      <c r="Q1433" s="5" t="s">
        <v>385</v>
      </c>
      <c r="R1433" s="5" t="s">
        <v>689</v>
      </c>
      <c r="S1433" s="7">
        <v>83</v>
      </c>
      <c r="T1433" s="5" t="s">
        <v>354</v>
      </c>
      <c r="U1433" s="5" t="s">
        <v>42</v>
      </c>
      <c r="V1433" s="57" t="s">
        <v>20</v>
      </c>
      <c r="W1433" s="51">
        <v>0.02</v>
      </c>
      <c r="X1433" s="357">
        <v>0.28000000000000003</v>
      </c>
      <c r="Z1433" s="5" t="s">
        <v>8</v>
      </c>
      <c r="AA1433" s="112" t="s">
        <v>9</v>
      </c>
      <c r="AB1433" s="108" t="s">
        <v>298</v>
      </c>
      <c r="AC1433" s="57" t="s">
        <v>853</v>
      </c>
    </row>
    <row r="1434" spans="1:29" x14ac:dyDescent="0.25">
      <c r="A1434" s="329">
        <v>45963</v>
      </c>
      <c r="B1434" s="5">
        <v>11</v>
      </c>
      <c r="D1434" s="5" t="s">
        <v>129</v>
      </c>
      <c r="E1434" s="6">
        <v>1.2</v>
      </c>
      <c r="G1434" s="362">
        <v>1</v>
      </c>
      <c r="H1434" s="362">
        <v>2</v>
      </c>
      <c r="I1434" s="8">
        <v>2</v>
      </c>
      <c r="L1434" s="5" t="s">
        <v>456</v>
      </c>
      <c r="M1434" s="242" t="s">
        <v>850</v>
      </c>
      <c r="N1434" s="345" t="s">
        <v>123</v>
      </c>
      <c r="O1434" s="38" t="s">
        <v>456</v>
      </c>
      <c r="P1434" s="5" t="s">
        <v>805</v>
      </c>
      <c r="Q1434" s="5" t="s">
        <v>851</v>
      </c>
      <c r="R1434" s="5" t="s">
        <v>712</v>
      </c>
      <c r="S1434" s="7">
        <v>72</v>
      </c>
      <c r="T1434" s="5" t="s">
        <v>47</v>
      </c>
      <c r="U1434" s="5" t="s">
        <v>43</v>
      </c>
      <c r="V1434" s="57" t="s">
        <v>10</v>
      </c>
      <c r="W1434" s="51">
        <v>0.08</v>
      </c>
      <c r="X1434" s="357">
        <v>0.15</v>
      </c>
      <c r="Z1434" s="5" t="s">
        <v>48</v>
      </c>
      <c r="AA1434" s="112" t="s">
        <v>9</v>
      </c>
    </row>
    <row r="1435" spans="1:29" x14ac:dyDescent="0.25">
      <c r="A1435" s="329">
        <v>45963</v>
      </c>
      <c r="B1435" s="5">
        <v>11</v>
      </c>
      <c r="D1435" s="5" t="s">
        <v>129</v>
      </c>
      <c r="E1435" s="6">
        <v>1.2</v>
      </c>
      <c r="G1435" s="362">
        <v>1</v>
      </c>
      <c r="H1435" s="362">
        <v>2</v>
      </c>
      <c r="I1435" s="8">
        <v>2</v>
      </c>
      <c r="L1435" s="5" t="s">
        <v>456</v>
      </c>
      <c r="M1435" s="242" t="s">
        <v>850</v>
      </c>
      <c r="N1435" s="345">
        <v>57</v>
      </c>
      <c r="O1435" s="38" t="s">
        <v>456</v>
      </c>
      <c r="P1435" s="5" t="s">
        <v>824</v>
      </c>
      <c r="Q1435" s="5" t="s">
        <v>165</v>
      </c>
      <c r="R1435" s="5" t="s">
        <v>685</v>
      </c>
      <c r="S1435" s="7">
        <v>71</v>
      </c>
      <c r="T1435" s="5" t="s">
        <v>44</v>
      </c>
      <c r="U1435" s="5" t="s">
        <v>42</v>
      </c>
      <c r="V1435" s="57" t="s">
        <v>10</v>
      </c>
      <c r="W1435" s="51">
        <v>0.02</v>
      </c>
      <c r="X1435" s="357" t="s">
        <v>53</v>
      </c>
      <c r="Z1435" s="5" t="s">
        <v>22</v>
      </c>
      <c r="AA1435" s="112" t="s">
        <v>9</v>
      </c>
    </row>
    <row r="1436" spans="1:29" x14ac:dyDescent="0.25">
      <c r="A1436" s="329">
        <v>45963</v>
      </c>
      <c r="B1436" s="5">
        <v>11</v>
      </c>
      <c r="D1436" s="5" t="s">
        <v>129</v>
      </c>
      <c r="E1436" s="6">
        <v>1.2</v>
      </c>
      <c r="G1436" s="362">
        <v>1</v>
      </c>
      <c r="H1436" s="362">
        <v>2</v>
      </c>
      <c r="I1436" s="8">
        <v>2</v>
      </c>
      <c r="L1436" s="5" t="s">
        <v>456</v>
      </c>
      <c r="M1436" s="242" t="s">
        <v>850</v>
      </c>
      <c r="N1436" s="345">
        <v>64</v>
      </c>
      <c r="O1436" s="38" t="s">
        <v>456</v>
      </c>
      <c r="P1436" s="5" t="s">
        <v>816</v>
      </c>
      <c r="Q1436" s="5" t="s">
        <v>256</v>
      </c>
      <c r="R1436" s="5" t="s">
        <v>695</v>
      </c>
      <c r="S1436" s="7">
        <v>65</v>
      </c>
      <c r="T1436" s="5" t="s">
        <v>41</v>
      </c>
      <c r="U1436" s="5" t="s">
        <v>43</v>
      </c>
      <c r="V1436" s="57" t="s">
        <v>10</v>
      </c>
      <c r="W1436" s="51">
        <v>0.12</v>
      </c>
      <c r="X1436" s="357">
        <v>0.63</v>
      </c>
      <c r="Z1436" s="5" t="s">
        <v>48</v>
      </c>
      <c r="AA1436" s="112" t="s">
        <v>9</v>
      </c>
    </row>
    <row r="1437" spans="1:29" x14ac:dyDescent="0.25">
      <c r="A1437" s="329">
        <v>45963</v>
      </c>
      <c r="B1437" s="5">
        <v>11</v>
      </c>
      <c r="D1437" s="5" t="s">
        <v>129</v>
      </c>
      <c r="E1437" s="6">
        <v>1.2</v>
      </c>
      <c r="G1437" s="362">
        <v>1</v>
      </c>
      <c r="H1437" s="362">
        <v>2</v>
      </c>
      <c r="I1437" s="8">
        <v>2</v>
      </c>
      <c r="L1437" s="5" t="s">
        <v>456</v>
      </c>
      <c r="M1437" s="242" t="s">
        <v>850</v>
      </c>
      <c r="N1437" s="476">
        <v>65</v>
      </c>
      <c r="O1437" s="477" t="s">
        <v>129</v>
      </c>
      <c r="P1437" s="478" t="s">
        <v>831</v>
      </c>
      <c r="Q1437" s="478" t="s">
        <v>105</v>
      </c>
      <c r="R1437" s="478" t="s">
        <v>684</v>
      </c>
      <c r="S1437" s="479">
        <v>64</v>
      </c>
      <c r="T1437" s="478" t="s">
        <v>41</v>
      </c>
      <c r="U1437" s="478" t="s">
        <v>42</v>
      </c>
      <c r="V1437" s="480" t="s">
        <v>33</v>
      </c>
      <c r="W1437" s="51">
        <v>0.05</v>
      </c>
      <c r="X1437" s="357">
        <v>0.19</v>
      </c>
      <c r="Z1437" s="5" t="s">
        <v>48</v>
      </c>
      <c r="AA1437" s="112" t="s">
        <v>9</v>
      </c>
    </row>
    <row r="1438" spans="1:29" x14ac:dyDescent="0.25">
      <c r="A1438" s="329">
        <v>45963</v>
      </c>
      <c r="B1438" s="5">
        <v>11</v>
      </c>
      <c r="D1438" s="5" t="s">
        <v>129</v>
      </c>
      <c r="E1438" s="6">
        <v>1.2</v>
      </c>
      <c r="G1438" s="362">
        <v>1</v>
      </c>
      <c r="H1438" s="362">
        <v>2</v>
      </c>
      <c r="I1438" s="8">
        <v>2</v>
      </c>
      <c r="L1438" s="5" t="s">
        <v>456</v>
      </c>
      <c r="M1438" s="242" t="s">
        <v>850</v>
      </c>
      <c r="N1438" s="476">
        <v>66</v>
      </c>
      <c r="O1438" s="477" t="s">
        <v>129</v>
      </c>
      <c r="P1438" s="478" t="s">
        <v>805</v>
      </c>
      <c r="Q1438" s="478" t="s">
        <v>99</v>
      </c>
      <c r="R1438" s="478" t="s">
        <v>712</v>
      </c>
      <c r="S1438" s="479">
        <v>66</v>
      </c>
      <c r="T1438" s="478" t="s">
        <v>41</v>
      </c>
      <c r="U1438" s="478" t="s">
        <v>45</v>
      </c>
      <c r="V1438" s="480" t="s">
        <v>20</v>
      </c>
      <c r="W1438" s="51">
        <v>0.06</v>
      </c>
      <c r="X1438" s="357" t="s">
        <v>53</v>
      </c>
      <c r="Z1438" s="5" t="s">
        <v>52</v>
      </c>
      <c r="AA1438" s="112" t="s">
        <v>9</v>
      </c>
    </row>
    <row r="1439" spans="1:29" x14ac:dyDescent="0.25">
      <c r="A1439" s="329">
        <v>45963</v>
      </c>
      <c r="B1439" s="5">
        <v>11</v>
      </c>
      <c r="D1439" s="5" t="s">
        <v>129</v>
      </c>
      <c r="E1439" s="6">
        <v>1.2</v>
      </c>
      <c r="G1439" s="362">
        <v>1</v>
      </c>
      <c r="H1439" s="362">
        <v>2</v>
      </c>
      <c r="I1439" s="8">
        <v>2</v>
      </c>
      <c r="L1439" s="5" t="s">
        <v>456</v>
      </c>
      <c r="M1439" s="242" t="s">
        <v>850</v>
      </c>
      <c r="N1439" s="476">
        <v>66</v>
      </c>
      <c r="O1439" s="477" t="s">
        <v>129</v>
      </c>
      <c r="P1439" s="478" t="s">
        <v>833</v>
      </c>
      <c r="Q1439" s="478" t="s">
        <v>852</v>
      </c>
      <c r="R1439" s="478" t="s">
        <v>687</v>
      </c>
      <c r="S1439" s="479">
        <v>72</v>
      </c>
      <c r="T1439" s="478" t="s">
        <v>41</v>
      </c>
      <c r="U1439" s="478" t="s">
        <v>42</v>
      </c>
      <c r="V1439" s="480" t="s">
        <v>20</v>
      </c>
      <c r="W1439" s="51">
        <v>0.06</v>
      </c>
      <c r="X1439" s="357">
        <v>0.19</v>
      </c>
      <c r="Z1439" s="5" t="s">
        <v>8</v>
      </c>
      <c r="AA1439" s="112" t="s">
        <v>51</v>
      </c>
    </row>
    <row r="1440" spans="1:29" x14ac:dyDescent="0.25">
      <c r="A1440" s="329">
        <v>45963</v>
      </c>
      <c r="B1440" s="5">
        <v>11</v>
      </c>
      <c r="D1440" s="5" t="s">
        <v>129</v>
      </c>
      <c r="E1440" s="6">
        <v>1.2</v>
      </c>
      <c r="G1440" s="362">
        <v>1</v>
      </c>
      <c r="H1440" s="362">
        <v>2</v>
      </c>
      <c r="I1440" s="8">
        <v>2</v>
      </c>
      <c r="L1440" s="5" t="s">
        <v>456</v>
      </c>
      <c r="M1440" s="242" t="s">
        <v>850</v>
      </c>
      <c r="N1440" s="345">
        <v>81</v>
      </c>
      <c r="O1440" s="38" t="s">
        <v>456</v>
      </c>
      <c r="P1440" s="5" t="s">
        <v>805</v>
      </c>
      <c r="Q1440" s="5" t="s">
        <v>464</v>
      </c>
      <c r="R1440" s="5" t="s">
        <v>696</v>
      </c>
      <c r="S1440" s="7">
        <v>71</v>
      </c>
      <c r="T1440" s="5" t="s">
        <v>41</v>
      </c>
      <c r="U1440" s="5" t="s">
        <v>42</v>
      </c>
      <c r="V1440" s="57" t="s">
        <v>10</v>
      </c>
      <c r="W1440" s="51">
        <v>0.13</v>
      </c>
      <c r="X1440" s="357" t="s">
        <v>53</v>
      </c>
      <c r="Z1440" s="5" t="s">
        <v>13</v>
      </c>
      <c r="AA1440" s="112" t="s">
        <v>51</v>
      </c>
    </row>
    <row r="1441" spans="1:29" x14ac:dyDescent="0.25">
      <c r="A1441" s="329">
        <v>45963</v>
      </c>
      <c r="B1441" s="5">
        <v>11</v>
      </c>
      <c r="D1441" s="5" t="s">
        <v>129</v>
      </c>
      <c r="E1441" s="6">
        <v>1.2</v>
      </c>
      <c r="G1441" s="362">
        <v>1</v>
      </c>
      <c r="H1441" s="362">
        <v>2</v>
      </c>
      <c r="I1441" s="8">
        <v>2</v>
      </c>
      <c r="L1441" s="5" t="s">
        <v>456</v>
      </c>
      <c r="M1441" s="242" t="s">
        <v>850</v>
      </c>
      <c r="N1441" s="345">
        <v>81</v>
      </c>
      <c r="O1441" s="38" t="s">
        <v>456</v>
      </c>
      <c r="P1441" s="5" t="s">
        <v>824</v>
      </c>
      <c r="Q1441" s="5" t="s">
        <v>301</v>
      </c>
      <c r="R1441" s="5" t="s">
        <v>684</v>
      </c>
      <c r="S1441" s="7">
        <v>64</v>
      </c>
      <c r="T1441" s="5" t="s">
        <v>47</v>
      </c>
      <c r="U1441" s="5" t="s">
        <v>42</v>
      </c>
      <c r="V1441" s="57" t="s">
        <v>10</v>
      </c>
      <c r="W1441" s="51">
        <v>0.28000000000000003</v>
      </c>
      <c r="X1441" s="357" t="s">
        <v>53</v>
      </c>
      <c r="Z1441" s="5" t="s">
        <v>13</v>
      </c>
      <c r="AA1441" s="112" t="s">
        <v>51</v>
      </c>
    </row>
    <row r="1442" spans="1:29" x14ac:dyDescent="0.25">
      <c r="A1442" s="329">
        <v>45963</v>
      </c>
      <c r="B1442" s="5">
        <v>11</v>
      </c>
      <c r="D1442" s="5" t="s">
        <v>129</v>
      </c>
      <c r="E1442" s="6">
        <v>1.2</v>
      </c>
      <c r="G1442" s="362">
        <v>1</v>
      </c>
      <c r="H1442" s="362">
        <v>2</v>
      </c>
      <c r="I1442" s="8">
        <v>2</v>
      </c>
      <c r="L1442" s="5" t="s">
        <v>456</v>
      </c>
      <c r="M1442" s="242" t="s">
        <v>850</v>
      </c>
      <c r="N1442" s="345">
        <v>87</v>
      </c>
      <c r="O1442" s="38" t="s">
        <v>456</v>
      </c>
      <c r="P1442" s="5" t="s">
        <v>814</v>
      </c>
      <c r="Q1442" s="5" t="s">
        <v>750</v>
      </c>
      <c r="R1442" s="5" t="s">
        <v>696</v>
      </c>
      <c r="S1442" s="7">
        <v>59</v>
      </c>
      <c r="T1442" s="5" t="s">
        <v>41</v>
      </c>
      <c r="U1442" s="5" t="s">
        <v>42</v>
      </c>
      <c r="V1442" s="57" t="s">
        <v>18</v>
      </c>
      <c r="W1442" s="51">
        <v>0.33</v>
      </c>
      <c r="X1442" s="357" t="s">
        <v>53</v>
      </c>
      <c r="Z1442" s="5" t="s">
        <v>52</v>
      </c>
      <c r="AA1442" s="112" t="s">
        <v>51</v>
      </c>
    </row>
    <row r="1443" spans="1:29" x14ac:dyDescent="0.25">
      <c r="A1443" s="329">
        <v>45963</v>
      </c>
      <c r="B1443" s="5">
        <v>11</v>
      </c>
      <c r="D1443" s="5" t="s">
        <v>129</v>
      </c>
      <c r="E1443" s="6">
        <v>1.2</v>
      </c>
      <c r="G1443" s="362">
        <v>1</v>
      </c>
      <c r="H1443" s="362">
        <v>2</v>
      </c>
      <c r="I1443" s="8">
        <v>2</v>
      </c>
      <c r="L1443" s="5" t="s">
        <v>456</v>
      </c>
      <c r="M1443" s="242" t="s">
        <v>850</v>
      </c>
      <c r="N1443" s="345" t="s">
        <v>268</v>
      </c>
      <c r="O1443" s="38" t="s">
        <v>456</v>
      </c>
      <c r="P1443" s="5" t="s">
        <v>805</v>
      </c>
      <c r="Q1443" s="5" t="s">
        <v>464</v>
      </c>
      <c r="R1443" s="5" t="s">
        <v>696</v>
      </c>
      <c r="S1443" s="7">
        <v>71</v>
      </c>
      <c r="T1443" s="5" t="s">
        <v>41</v>
      </c>
      <c r="U1443" s="5" t="s">
        <v>42</v>
      </c>
      <c r="V1443" s="57" t="s">
        <v>10</v>
      </c>
      <c r="W1443" s="51">
        <v>0.14000000000000001</v>
      </c>
      <c r="X1443" s="357">
        <v>0.65</v>
      </c>
      <c r="Z1443" s="5" t="s">
        <v>8</v>
      </c>
      <c r="AA1443" s="112" t="s">
        <v>67</v>
      </c>
      <c r="AB1443" s="108" t="s">
        <v>384</v>
      </c>
      <c r="AC1443" s="57" t="s">
        <v>385</v>
      </c>
    </row>
    <row r="1444" spans="1:29" ht="15.75" thickBot="1" x14ac:dyDescent="0.3">
      <c r="A1444" s="400">
        <v>45963</v>
      </c>
      <c r="B1444" s="401">
        <v>11</v>
      </c>
      <c r="C1444" s="474"/>
      <c r="D1444" s="401" t="s">
        <v>129</v>
      </c>
      <c r="E1444" s="404">
        <v>1.2</v>
      </c>
      <c r="F1444" s="404"/>
      <c r="G1444" s="363">
        <v>1</v>
      </c>
      <c r="H1444" s="363">
        <v>2</v>
      </c>
      <c r="I1444" s="475">
        <v>2</v>
      </c>
      <c r="J1444" s="475"/>
      <c r="K1444" s="474"/>
      <c r="L1444" s="401" t="s">
        <v>456</v>
      </c>
      <c r="M1444" s="235"/>
      <c r="N1444" s="347"/>
      <c r="O1444" s="343" t="s">
        <v>129</v>
      </c>
      <c r="P1444" s="199" t="s">
        <v>805</v>
      </c>
      <c r="Q1444" s="199" t="s">
        <v>732</v>
      </c>
      <c r="R1444" s="199" t="s">
        <v>707</v>
      </c>
      <c r="S1444" s="7">
        <v>69</v>
      </c>
      <c r="T1444" s="199"/>
      <c r="U1444" s="199"/>
      <c r="V1444" s="201"/>
      <c r="W1444" s="202"/>
      <c r="X1444" s="359"/>
      <c r="Y1444" s="353">
        <f>H1444</f>
        <v>2</v>
      </c>
      <c r="Z1444" s="199"/>
      <c r="AA1444" s="204"/>
      <c r="AB1444" s="205"/>
      <c r="AC1444" s="201"/>
    </row>
    <row r="1445" spans="1:29" ht="15.75" thickBot="1" x14ac:dyDescent="0.3">
      <c r="A1445" s="400">
        <v>45963</v>
      </c>
      <c r="B1445" s="401">
        <v>11</v>
      </c>
      <c r="C1445" s="474"/>
      <c r="D1445" s="401" t="s">
        <v>129</v>
      </c>
      <c r="E1445" s="404">
        <v>1.2</v>
      </c>
      <c r="F1445" s="404"/>
      <c r="G1445" s="363">
        <v>1</v>
      </c>
      <c r="H1445" s="363">
        <v>2</v>
      </c>
      <c r="I1445" s="475">
        <v>2</v>
      </c>
      <c r="J1445" s="475"/>
      <c r="K1445" s="474"/>
      <c r="L1445" s="401" t="s">
        <v>456</v>
      </c>
      <c r="M1445" s="235"/>
      <c r="N1445" s="347"/>
      <c r="O1445" s="343" t="s">
        <v>456</v>
      </c>
      <c r="P1445" s="199" t="s">
        <v>823</v>
      </c>
      <c r="Q1445" s="199" t="s">
        <v>720</v>
      </c>
      <c r="R1445" s="199" t="s">
        <v>707</v>
      </c>
      <c r="S1445" s="7">
        <v>66</v>
      </c>
      <c r="T1445" s="199"/>
      <c r="U1445" s="199"/>
      <c r="V1445" s="201"/>
      <c r="W1445" s="202"/>
      <c r="X1445" s="359"/>
      <c r="Y1445" s="353">
        <f>G1444</f>
        <v>1</v>
      </c>
      <c r="Z1445" s="199"/>
      <c r="AA1445" s="204"/>
      <c r="AB1445" s="205"/>
      <c r="AC1445" s="201"/>
    </row>
    <row r="1446" spans="1:29" x14ac:dyDescent="0.25">
      <c r="A1446" s="329">
        <v>45963</v>
      </c>
      <c r="B1446" s="5">
        <v>11</v>
      </c>
      <c r="C1446" s="121" t="s">
        <v>694</v>
      </c>
      <c r="D1446" s="5" t="s">
        <v>128</v>
      </c>
      <c r="E1446" s="6">
        <v>1.22</v>
      </c>
      <c r="G1446" s="362">
        <v>2</v>
      </c>
      <c r="H1446" s="362">
        <v>1</v>
      </c>
      <c r="I1446" s="8">
        <v>1.06</v>
      </c>
      <c r="K1446" s="121" t="s">
        <v>694</v>
      </c>
      <c r="L1446" s="5" t="s">
        <v>192</v>
      </c>
      <c r="M1446" s="242" t="s">
        <v>856</v>
      </c>
      <c r="N1446" s="476">
        <v>5</v>
      </c>
      <c r="O1446" s="477" t="s">
        <v>128</v>
      </c>
      <c r="P1446" s="478" t="s">
        <v>817</v>
      </c>
      <c r="Q1446" s="478" t="s">
        <v>854</v>
      </c>
      <c r="R1446" s="478" t="s">
        <v>695</v>
      </c>
      <c r="S1446" s="479">
        <v>75</v>
      </c>
      <c r="T1446" s="478" t="s">
        <v>41</v>
      </c>
      <c r="U1446" s="478" t="s">
        <v>42</v>
      </c>
      <c r="V1446" s="480" t="s">
        <v>540</v>
      </c>
      <c r="W1446" s="51">
        <v>0.17</v>
      </c>
      <c r="X1446" s="357">
        <v>0.31</v>
      </c>
      <c r="Y1446" s="351" t="s">
        <v>353</v>
      </c>
      <c r="Z1446" s="5" t="s">
        <v>8</v>
      </c>
      <c r="AA1446" s="112" t="s">
        <v>19</v>
      </c>
    </row>
    <row r="1447" spans="1:29" x14ac:dyDescent="0.25">
      <c r="A1447" s="329">
        <v>45963</v>
      </c>
      <c r="B1447" s="5">
        <v>11</v>
      </c>
      <c r="D1447" s="5" t="s">
        <v>128</v>
      </c>
      <c r="E1447" s="6">
        <v>1.22</v>
      </c>
      <c r="G1447" s="362">
        <v>2</v>
      </c>
      <c r="H1447" s="362">
        <v>1</v>
      </c>
      <c r="I1447" s="8">
        <v>1.06</v>
      </c>
      <c r="K1447" s="121" t="s">
        <v>694</v>
      </c>
      <c r="L1447" s="5" t="s">
        <v>192</v>
      </c>
      <c r="M1447" s="242" t="s">
        <v>856</v>
      </c>
      <c r="N1447" s="476">
        <v>12</v>
      </c>
      <c r="O1447" s="477" t="s">
        <v>128</v>
      </c>
      <c r="P1447" s="478" t="s">
        <v>826</v>
      </c>
      <c r="Q1447" s="478" t="s">
        <v>520</v>
      </c>
      <c r="R1447" s="478" t="s">
        <v>717</v>
      </c>
      <c r="S1447" s="479">
        <v>74</v>
      </c>
      <c r="T1447" s="478" t="s">
        <v>47</v>
      </c>
      <c r="U1447" s="478" t="s">
        <v>42</v>
      </c>
      <c r="V1447" s="480" t="s">
        <v>10</v>
      </c>
      <c r="W1447" s="51">
        <v>0.1</v>
      </c>
      <c r="X1447" s="357">
        <v>0.47</v>
      </c>
      <c r="Y1447" s="351" t="s">
        <v>353</v>
      </c>
      <c r="Z1447" s="5" t="s">
        <v>48</v>
      </c>
      <c r="AA1447" s="112" t="s">
        <v>19</v>
      </c>
    </row>
    <row r="1448" spans="1:29" x14ac:dyDescent="0.25">
      <c r="A1448" s="329">
        <v>45963</v>
      </c>
      <c r="B1448" s="5">
        <v>11</v>
      </c>
      <c r="D1448" s="5" t="s">
        <v>128</v>
      </c>
      <c r="E1448" s="6">
        <v>1.22</v>
      </c>
      <c r="G1448" s="362">
        <v>2</v>
      </c>
      <c r="H1448" s="362">
        <v>1</v>
      </c>
      <c r="I1448" s="8">
        <v>1.06</v>
      </c>
      <c r="K1448" s="121" t="s">
        <v>694</v>
      </c>
      <c r="L1448" s="5" t="s">
        <v>192</v>
      </c>
      <c r="M1448" s="242" t="s">
        <v>856</v>
      </c>
      <c r="N1448" s="476">
        <v>18</v>
      </c>
      <c r="O1448" s="477" t="s">
        <v>128</v>
      </c>
      <c r="P1448" s="478" t="s">
        <v>53</v>
      </c>
      <c r="Q1448" s="478" t="s">
        <v>855</v>
      </c>
      <c r="R1448" s="478" t="s">
        <v>686</v>
      </c>
      <c r="S1448" s="479">
        <v>71</v>
      </c>
      <c r="T1448" s="478" t="s">
        <v>44</v>
      </c>
      <c r="U1448" s="478" t="s">
        <v>43</v>
      </c>
      <c r="V1448" s="480" t="s">
        <v>10</v>
      </c>
      <c r="W1448" s="51">
        <v>0.02</v>
      </c>
      <c r="X1448" s="357" t="s">
        <v>53</v>
      </c>
      <c r="Z1448" s="5" t="s">
        <v>16</v>
      </c>
      <c r="AA1448" s="112" t="s">
        <v>19</v>
      </c>
    </row>
    <row r="1449" spans="1:29" x14ac:dyDescent="0.25">
      <c r="A1449" s="329">
        <v>45963</v>
      </c>
      <c r="B1449" s="5">
        <v>11</v>
      </c>
      <c r="D1449" s="5" t="s">
        <v>128</v>
      </c>
      <c r="E1449" s="6">
        <v>1.22</v>
      </c>
      <c r="G1449" s="362">
        <v>2</v>
      </c>
      <c r="H1449" s="362">
        <v>1</v>
      </c>
      <c r="I1449" s="8">
        <v>1.06</v>
      </c>
      <c r="K1449" s="121" t="s">
        <v>694</v>
      </c>
      <c r="L1449" s="5" t="s">
        <v>192</v>
      </c>
      <c r="M1449" s="242" t="s">
        <v>856</v>
      </c>
      <c r="N1449" s="345">
        <v>27</v>
      </c>
      <c r="O1449" s="38" t="s">
        <v>192</v>
      </c>
      <c r="P1449" s="5" t="s">
        <v>819</v>
      </c>
      <c r="Q1449" s="5" t="s">
        <v>199</v>
      </c>
      <c r="R1449" s="5" t="s">
        <v>718</v>
      </c>
      <c r="S1449" s="7">
        <v>72</v>
      </c>
      <c r="T1449" s="5" t="s">
        <v>41</v>
      </c>
      <c r="U1449" s="5" t="s">
        <v>43</v>
      </c>
      <c r="V1449" s="57" t="s">
        <v>29</v>
      </c>
      <c r="W1449" s="51">
        <v>0.08</v>
      </c>
      <c r="X1449" s="357">
        <v>0.13</v>
      </c>
      <c r="Z1449" s="5" t="s">
        <v>48</v>
      </c>
      <c r="AA1449" s="112" t="s">
        <v>19</v>
      </c>
    </row>
    <row r="1450" spans="1:29" x14ac:dyDescent="0.25">
      <c r="A1450" s="329">
        <v>45963</v>
      </c>
      <c r="B1450" s="5">
        <v>11</v>
      </c>
      <c r="D1450" s="5" t="s">
        <v>128</v>
      </c>
      <c r="E1450" s="6">
        <v>1.22</v>
      </c>
      <c r="G1450" s="362">
        <v>2</v>
      </c>
      <c r="H1450" s="362">
        <v>1</v>
      </c>
      <c r="I1450" s="8">
        <v>1.06</v>
      </c>
      <c r="K1450" s="121" t="s">
        <v>694</v>
      </c>
      <c r="L1450" s="5" t="s">
        <v>192</v>
      </c>
      <c r="M1450" s="242" t="s">
        <v>856</v>
      </c>
      <c r="N1450" s="476">
        <v>40</v>
      </c>
      <c r="O1450" s="477" t="s">
        <v>128</v>
      </c>
      <c r="P1450" s="478" t="s">
        <v>826</v>
      </c>
      <c r="Q1450" s="478" t="s">
        <v>520</v>
      </c>
      <c r="R1450" s="478" t="s">
        <v>717</v>
      </c>
      <c r="S1450" s="479">
        <v>74</v>
      </c>
      <c r="T1450" s="478" t="s">
        <v>41</v>
      </c>
      <c r="U1450" s="478" t="s">
        <v>42</v>
      </c>
      <c r="V1450" s="480" t="s">
        <v>540</v>
      </c>
      <c r="W1450" s="51">
        <v>0.04</v>
      </c>
      <c r="X1450" s="357">
        <v>0.26</v>
      </c>
      <c r="Z1450" s="5" t="s">
        <v>8</v>
      </c>
      <c r="AA1450" s="112" t="s">
        <v>24</v>
      </c>
    </row>
    <row r="1451" spans="1:29" x14ac:dyDescent="0.25">
      <c r="A1451" s="329">
        <v>45963</v>
      </c>
      <c r="B1451" s="5">
        <v>11</v>
      </c>
      <c r="D1451" s="5" t="s">
        <v>128</v>
      </c>
      <c r="E1451" s="6">
        <v>1.22</v>
      </c>
      <c r="G1451" s="362">
        <v>2</v>
      </c>
      <c r="H1451" s="362">
        <v>1</v>
      </c>
      <c r="I1451" s="8">
        <v>1.06</v>
      </c>
      <c r="K1451" s="121" t="s">
        <v>694</v>
      </c>
      <c r="L1451" s="5" t="s">
        <v>192</v>
      </c>
      <c r="M1451" s="242" t="s">
        <v>856</v>
      </c>
      <c r="N1451" s="345">
        <v>49</v>
      </c>
      <c r="O1451" s="38" t="s">
        <v>192</v>
      </c>
      <c r="P1451" s="5" t="s">
        <v>809</v>
      </c>
      <c r="Q1451" s="5" t="s">
        <v>361</v>
      </c>
      <c r="R1451" s="5" t="s">
        <v>696</v>
      </c>
      <c r="S1451" s="7">
        <v>67</v>
      </c>
      <c r="T1451" s="5" t="s">
        <v>41</v>
      </c>
      <c r="U1451" s="5" t="s">
        <v>43</v>
      </c>
      <c r="V1451" s="57" t="s">
        <v>10</v>
      </c>
      <c r="W1451" s="51">
        <v>0.28999999999999998</v>
      </c>
      <c r="X1451" s="357" t="s">
        <v>53</v>
      </c>
      <c r="Y1451" s="351" t="s">
        <v>353</v>
      </c>
      <c r="Z1451" s="5" t="s">
        <v>13</v>
      </c>
      <c r="AA1451" s="112" t="s">
        <v>24</v>
      </c>
    </row>
    <row r="1452" spans="1:29" x14ac:dyDescent="0.25">
      <c r="A1452" s="329">
        <v>45963</v>
      </c>
      <c r="B1452" s="5">
        <v>11</v>
      </c>
      <c r="D1452" s="5" t="s">
        <v>128</v>
      </c>
      <c r="E1452" s="6">
        <v>1.22</v>
      </c>
      <c r="G1452" s="362">
        <v>2</v>
      </c>
      <c r="H1452" s="362">
        <v>1</v>
      </c>
      <c r="I1452" s="8">
        <v>1.06</v>
      </c>
      <c r="K1452" s="121" t="s">
        <v>694</v>
      </c>
      <c r="L1452" s="5" t="s">
        <v>192</v>
      </c>
      <c r="M1452" s="242" t="s">
        <v>856</v>
      </c>
      <c r="N1452" s="345">
        <v>56</v>
      </c>
      <c r="O1452" s="38" t="s">
        <v>192</v>
      </c>
      <c r="P1452" s="5" t="s">
        <v>809</v>
      </c>
      <c r="Q1452" s="5" t="s">
        <v>361</v>
      </c>
      <c r="R1452" s="5" t="s">
        <v>696</v>
      </c>
      <c r="S1452" s="7">
        <v>67</v>
      </c>
      <c r="T1452" s="5" t="s">
        <v>41</v>
      </c>
      <c r="U1452" s="5" t="s">
        <v>45</v>
      </c>
      <c r="V1452" s="57" t="s">
        <v>29</v>
      </c>
      <c r="W1452" s="51">
        <v>7.0000000000000007E-2</v>
      </c>
      <c r="X1452" s="357">
        <v>0.82</v>
      </c>
      <c r="Z1452" s="5" t="s">
        <v>8</v>
      </c>
      <c r="AA1452" s="112" t="s">
        <v>34</v>
      </c>
      <c r="AB1452" s="108" t="s">
        <v>46</v>
      </c>
      <c r="AC1452" s="57" t="s">
        <v>191</v>
      </c>
    </row>
    <row r="1453" spans="1:29" x14ac:dyDescent="0.25">
      <c r="A1453" s="329">
        <v>45963</v>
      </c>
      <c r="B1453" s="5">
        <v>11</v>
      </c>
      <c r="D1453" s="5" t="s">
        <v>128</v>
      </c>
      <c r="E1453" s="6">
        <v>1.22</v>
      </c>
      <c r="G1453" s="362">
        <v>2</v>
      </c>
      <c r="H1453" s="362">
        <v>1</v>
      </c>
      <c r="I1453" s="8">
        <v>1.06</v>
      </c>
      <c r="K1453" s="121" t="s">
        <v>694</v>
      </c>
      <c r="L1453" s="5" t="s">
        <v>192</v>
      </c>
      <c r="M1453" s="242" t="s">
        <v>856</v>
      </c>
      <c r="N1453" s="345">
        <v>68</v>
      </c>
      <c r="O1453" s="38" t="s">
        <v>192</v>
      </c>
      <c r="P1453" s="5" t="s">
        <v>809</v>
      </c>
      <c r="Q1453" s="5" t="s">
        <v>361</v>
      </c>
      <c r="R1453" s="5" t="s">
        <v>696</v>
      </c>
      <c r="S1453" s="7">
        <v>67</v>
      </c>
      <c r="T1453" s="5" t="s">
        <v>41</v>
      </c>
      <c r="U1453" s="5" t="s">
        <v>42</v>
      </c>
      <c r="V1453" s="57" t="s">
        <v>33</v>
      </c>
      <c r="W1453" s="51">
        <v>0.17</v>
      </c>
      <c r="X1453" s="357" t="s">
        <v>53</v>
      </c>
      <c r="Z1453" s="5" t="s">
        <v>52</v>
      </c>
      <c r="AA1453" s="112" t="s">
        <v>34</v>
      </c>
    </row>
    <row r="1454" spans="1:29" x14ac:dyDescent="0.25">
      <c r="A1454" s="329">
        <v>45963</v>
      </c>
      <c r="B1454" s="5">
        <v>11</v>
      </c>
      <c r="D1454" s="5" t="s">
        <v>128</v>
      </c>
      <c r="E1454" s="6">
        <v>1.22</v>
      </c>
      <c r="G1454" s="362">
        <v>2</v>
      </c>
      <c r="H1454" s="362">
        <v>1</v>
      </c>
      <c r="I1454" s="8">
        <v>1.06</v>
      </c>
      <c r="K1454" s="121" t="s">
        <v>694</v>
      </c>
      <c r="L1454" s="5" t="s">
        <v>192</v>
      </c>
      <c r="M1454" s="242" t="s">
        <v>856</v>
      </c>
      <c r="N1454" s="476">
        <v>70</v>
      </c>
      <c r="O1454" s="477" t="s">
        <v>128</v>
      </c>
      <c r="P1454" s="478" t="s">
        <v>810</v>
      </c>
      <c r="Q1454" s="478" t="s">
        <v>568</v>
      </c>
      <c r="R1454" s="478" t="s">
        <v>695</v>
      </c>
      <c r="S1454" s="479">
        <v>77</v>
      </c>
      <c r="T1454" s="478" t="s">
        <v>47</v>
      </c>
      <c r="U1454" s="478" t="s">
        <v>45</v>
      </c>
      <c r="V1454" s="480" t="s">
        <v>20</v>
      </c>
      <c r="W1454" s="51">
        <v>0.18</v>
      </c>
      <c r="X1454" s="357" t="s">
        <v>53</v>
      </c>
      <c r="Z1454" s="5" t="s">
        <v>13</v>
      </c>
      <c r="AA1454" s="112" t="s">
        <v>34</v>
      </c>
    </row>
    <row r="1455" spans="1:29" x14ac:dyDescent="0.25">
      <c r="A1455" s="329">
        <v>45963</v>
      </c>
      <c r="B1455" s="5">
        <v>11</v>
      </c>
      <c r="D1455" s="5" t="s">
        <v>128</v>
      </c>
      <c r="E1455" s="6">
        <v>1.22</v>
      </c>
      <c r="G1455" s="362">
        <v>2</v>
      </c>
      <c r="H1455" s="362">
        <v>1</v>
      </c>
      <c r="I1455" s="8">
        <v>1.06</v>
      </c>
      <c r="K1455" s="121" t="s">
        <v>694</v>
      </c>
      <c r="L1455" s="5" t="s">
        <v>192</v>
      </c>
      <c r="M1455" s="242" t="s">
        <v>856</v>
      </c>
      <c r="N1455" s="476">
        <v>77</v>
      </c>
      <c r="O1455" s="477" t="s">
        <v>128</v>
      </c>
      <c r="P1455" s="478" t="s">
        <v>806</v>
      </c>
      <c r="Q1455" s="478" t="s">
        <v>132</v>
      </c>
      <c r="R1455" s="478" t="s">
        <v>696</v>
      </c>
      <c r="S1455" s="479">
        <v>60</v>
      </c>
      <c r="T1455" s="478" t="s">
        <v>41</v>
      </c>
      <c r="U1455" s="478" t="s">
        <v>42</v>
      </c>
      <c r="V1455" s="480" t="s">
        <v>540</v>
      </c>
      <c r="W1455" s="51">
        <v>0.39</v>
      </c>
      <c r="X1455" s="357" t="s">
        <v>53</v>
      </c>
      <c r="Y1455" s="351" t="s">
        <v>353</v>
      </c>
      <c r="Z1455" s="5" t="s">
        <v>13</v>
      </c>
      <c r="AA1455" s="112" t="s">
        <v>34</v>
      </c>
    </row>
    <row r="1456" spans="1:29" x14ac:dyDescent="0.25">
      <c r="A1456" s="329">
        <v>45963</v>
      </c>
      <c r="B1456" s="5">
        <v>11</v>
      </c>
      <c r="D1456" s="5" t="s">
        <v>128</v>
      </c>
      <c r="E1456" s="6">
        <v>1.22</v>
      </c>
      <c r="G1456" s="362">
        <v>2</v>
      </c>
      <c r="H1456" s="362">
        <v>1</v>
      </c>
      <c r="I1456" s="8">
        <v>1.06</v>
      </c>
      <c r="K1456" s="121" t="s">
        <v>694</v>
      </c>
      <c r="L1456" s="5" t="s">
        <v>192</v>
      </c>
      <c r="M1456" s="242" t="s">
        <v>856</v>
      </c>
      <c r="N1456" s="476">
        <v>89</v>
      </c>
      <c r="O1456" s="477" t="s">
        <v>128</v>
      </c>
      <c r="P1456" s="478" t="s">
        <v>810</v>
      </c>
      <c r="Q1456" s="478" t="s">
        <v>498</v>
      </c>
      <c r="R1456" s="478" t="s">
        <v>696</v>
      </c>
      <c r="S1456" s="479">
        <v>65</v>
      </c>
      <c r="T1456" s="478" t="s">
        <v>41</v>
      </c>
      <c r="U1456" s="478" t="s">
        <v>43</v>
      </c>
      <c r="V1456" s="480" t="s">
        <v>18</v>
      </c>
      <c r="W1456" s="51">
        <v>0.15</v>
      </c>
      <c r="X1456" s="357" t="s">
        <v>53</v>
      </c>
      <c r="Y1456" s="351" t="s">
        <v>353</v>
      </c>
      <c r="Z1456" s="5" t="s">
        <v>17</v>
      </c>
      <c r="AA1456" s="112" t="s">
        <v>34</v>
      </c>
    </row>
    <row r="1457" spans="1:29" ht="15.75" thickBot="1" x14ac:dyDescent="0.3">
      <c r="A1457" s="400">
        <v>45963</v>
      </c>
      <c r="B1457" s="401">
        <v>11</v>
      </c>
      <c r="C1457" s="474"/>
      <c r="D1457" s="401" t="s">
        <v>128</v>
      </c>
      <c r="E1457" s="404">
        <v>1.22</v>
      </c>
      <c r="F1457" s="404"/>
      <c r="G1457" s="363">
        <v>2</v>
      </c>
      <c r="H1457" s="363">
        <v>1</v>
      </c>
      <c r="I1457" s="475">
        <v>1.06</v>
      </c>
      <c r="J1457" s="475"/>
      <c r="K1457" s="474" t="s">
        <v>694</v>
      </c>
      <c r="L1457" s="401" t="s">
        <v>192</v>
      </c>
      <c r="M1457" s="235"/>
      <c r="N1457" s="347"/>
      <c r="O1457" s="343" t="s">
        <v>128</v>
      </c>
      <c r="P1457" s="199" t="s">
        <v>810</v>
      </c>
      <c r="Q1457" s="199" t="s">
        <v>476</v>
      </c>
      <c r="R1457" s="199" t="s">
        <v>707</v>
      </c>
      <c r="S1457" s="7">
        <v>64</v>
      </c>
      <c r="T1457" s="199"/>
      <c r="U1457" s="199"/>
      <c r="V1457" s="201"/>
      <c r="W1457" s="202"/>
      <c r="X1457" s="359"/>
      <c r="Y1457" s="353">
        <f>H1457</f>
        <v>1</v>
      </c>
      <c r="Z1457" s="199"/>
      <c r="AA1457" s="204"/>
      <c r="AB1457" s="205"/>
      <c r="AC1457" s="201"/>
    </row>
    <row r="1458" spans="1:29" ht="15.75" thickBot="1" x14ac:dyDescent="0.3">
      <c r="A1458" s="400">
        <v>45963</v>
      </c>
      <c r="B1458" s="401">
        <v>11</v>
      </c>
      <c r="C1458" s="474"/>
      <c r="D1458" s="401" t="s">
        <v>128</v>
      </c>
      <c r="E1458" s="404">
        <v>1.22</v>
      </c>
      <c r="F1458" s="404"/>
      <c r="G1458" s="363">
        <v>2</v>
      </c>
      <c r="H1458" s="363">
        <v>1</v>
      </c>
      <c r="I1458" s="475">
        <v>1.06</v>
      </c>
      <c r="J1458" s="475"/>
      <c r="K1458" s="474" t="s">
        <v>694</v>
      </c>
      <c r="L1458" s="401" t="s">
        <v>192</v>
      </c>
      <c r="M1458" s="235"/>
      <c r="N1458" s="347"/>
      <c r="O1458" s="343" t="s">
        <v>192</v>
      </c>
      <c r="P1458" s="199" t="s">
        <v>805</v>
      </c>
      <c r="Q1458" s="199" t="s">
        <v>724</v>
      </c>
      <c r="R1458" s="199" t="s">
        <v>707</v>
      </c>
      <c r="S1458" s="7">
        <v>63</v>
      </c>
      <c r="T1458" s="199"/>
      <c r="U1458" s="199"/>
      <c r="V1458" s="201"/>
      <c r="W1458" s="202"/>
      <c r="X1458" s="359"/>
      <c r="Y1458" s="353">
        <f>G1457</f>
        <v>2</v>
      </c>
      <c r="Z1458" s="199"/>
      <c r="AA1458" s="204"/>
      <c r="AB1458" s="205"/>
      <c r="AC1458" s="201"/>
    </row>
    <row r="1459" spans="1:29" x14ac:dyDescent="0.25">
      <c r="A1459" s="329">
        <v>45963</v>
      </c>
      <c r="B1459" s="5">
        <v>11</v>
      </c>
      <c r="C1459" s="121" t="s">
        <v>693</v>
      </c>
      <c r="D1459" s="5" t="s">
        <v>113</v>
      </c>
      <c r="E1459" s="6">
        <v>1.88</v>
      </c>
      <c r="G1459" s="362">
        <v>3</v>
      </c>
      <c r="H1459" s="362">
        <v>1</v>
      </c>
      <c r="I1459" s="8">
        <v>0.66</v>
      </c>
      <c r="K1459" s="121" t="s">
        <v>697</v>
      </c>
      <c r="L1459" s="5" t="s">
        <v>208</v>
      </c>
      <c r="N1459" s="476">
        <v>9</v>
      </c>
      <c r="O1459" s="477" t="s">
        <v>113</v>
      </c>
      <c r="P1459" s="478" t="s">
        <v>826</v>
      </c>
      <c r="Q1459" s="478" t="s">
        <v>121</v>
      </c>
      <c r="R1459" s="478" t="s">
        <v>686</v>
      </c>
      <c r="S1459" s="479">
        <v>73</v>
      </c>
      <c r="T1459" s="478" t="s">
        <v>41</v>
      </c>
      <c r="U1459" s="478" t="s">
        <v>43</v>
      </c>
      <c r="V1459" s="480" t="s">
        <v>10</v>
      </c>
      <c r="W1459" s="51">
        <v>0.15</v>
      </c>
      <c r="X1459" s="357">
        <v>0.81</v>
      </c>
      <c r="Y1459" s="351" t="s">
        <v>353</v>
      </c>
      <c r="Z1459" s="5" t="s">
        <v>8</v>
      </c>
      <c r="AA1459" s="112" t="s">
        <v>19</v>
      </c>
      <c r="AB1459" s="108" t="s">
        <v>347</v>
      </c>
      <c r="AC1459" s="57" t="s">
        <v>857</v>
      </c>
    </row>
    <row r="1460" spans="1:29" x14ac:dyDescent="0.25">
      <c r="A1460" s="329">
        <v>45963</v>
      </c>
      <c r="B1460" s="5">
        <v>11</v>
      </c>
      <c r="D1460" s="5" t="s">
        <v>113</v>
      </c>
      <c r="E1460" s="6">
        <v>1.88</v>
      </c>
      <c r="G1460" s="362">
        <v>3</v>
      </c>
      <c r="H1460" s="362">
        <v>1</v>
      </c>
      <c r="I1460" s="8">
        <v>0.66</v>
      </c>
      <c r="L1460" s="5" t="s">
        <v>208</v>
      </c>
      <c r="N1460" s="476">
        <v>12</v>
      </c>
      <c r="O1460" s="477" t="s">
        <v>113</v>
      </c>
      <c r="P1460" s="478" t="s">
        <v>816</v>
      </c>
      <c r="Q1460" s="478" t="s">
        <v>119</v>
      </c>
      <c r="R1460" s="478" t="s">
        <v>684</v>
      </c>
      <c r="S1460" s="479">
        <v>83</v>
      </c>
      <c r="T1460" s="478" t="s">
        <v>47</v>
      </c>
      <c r="U1460" s="478" t="s">
        <v>42</v>
      </c>
      <c r="V1460" s="480" t="s">
        <v>10</v>
      </c>
      <c r="W1460" s="51">
        <v>0.56999999999999995</v>
      </c>
      <c r="X1460" s="357">
        <v>0.96</v>
      </c>
      <c r="Y1460" s="351" t="s">
        <v>353</v>
      </c>
      <c r="Z1460" s="5" t="s">
        <v>8</v>
      </c>
      <c r="AA1460" s="112" t="s">
        <v>24</v>
      </c>
      <c r="AB1460" s="108" t="s">
        <v>406</v>
      </c>
      <c r="AC1460" s="57" t="s">
        <v>150</v>
      </c>
    </row>
    <row r="1461" spans="1:29" x14ac:dyDescent="0.25">
      <c r="A1461" s="329">
        <v>45963</v>
      </c>
      <c r="B1461" s="5">
        <v>11</v>
      </c>
      <c r="D1461" s="5" t="s">
        <v>113</v>
      </c>
      <c r="E1461" s="6">
        <v>1.88</v>
      </c>
      <c r="G1461" s="362">
        <v>3</v>
      </c>
      <c r="H1461" s="362">
        <v>1</v>
      </c>
      <c r="I1461" s="8">
        <v>0.66</v>
      </c>
      <c r="L1461" s="5" t="s">
        <v>208</v>
      </c>
      <c r="N1461" s="476">
        <v>39</v>
      </c>
      <c r="O1461" s="477" t="s">
        <v>113</v>
      </c>
      <c r="P1461" s="478" t="s">
        <v>816</v>
      </c>
      <c r="Q1461" s="478" t="s">
        <v>119</v>
      </c>
      <c r="R1461" s="478" t="s">
        <v>684</v>
      </c>
      <c r="S1461" s="479">
        <v>83</v>
      </c>
      <c r="T1461" s="478" t="s">
        <v>44</v>
      </c>
      <c r="U1461" s="478" t="s">
        <v>42</v>
      </c>
      <c r="V1461" s="480" t="s">
        <v>20</v>
      </c>
      <c r="W1461" s="51">
        <v>0.02</v>
      </c>
      <c r="X1461" s="357">
        <v>0.27</v>
      </c>
      <c r="Z1461" s="5" t="s">
        <v>48</v>
      </c>
      <c r="AA1461" s="112" t="s">
        <v>24</v>
      </c>
    </row>
    <row r="1462" spans="1:29" x14ac:dyDescent="0.25">
      <c r="A1462" s="329">
        <v>45963</v>
      </c>
      <c r="B1462" s="5">
        <v>11</v>
      </c>
      <c r="D1462" s="5" t="s">
        <v>113</v>
      </c>
      <c r="E1462" s="6">
        <v>1.88</v>
      </c>
      <c r="G1462" s="362">
        <v>3</v>
      </c>
      <c r="H1462" s="362">
        <v>1</v>
      </c>
      <c r="I1462" s="8">
        <v>0.66</v>
      </c>
      <c r="L1462" s="5" t="s">
        <v>208</v>
      </c>
      <c r="N1462" s="345">
        <v>42</v>
      </c>
      <c r="O1462" s="38" t="s">
        <v>208</v>
      </c>
      <c r="P1462" s="5" t="s">
        <v>809</v>
      </c>
      <c r="Q1462" s="5" t="s">
        <v>261</v>
      </c>
      <c r="R1462" s="5" t="s">
        <v>685</v>
      </c>
      <c r="S1462" s="7">
        <v>73</v>
      </c>
      <c r="T1462" s="5" t="s">
        <v>41</v>
      </c>
      <c r="U1462" s="5" t="s">
        <v>42</v>
      </c>
      <c r="V1462" s="57" t="s">
        <v>10</v>
      </c>
      <c r="W1462" s="51">
        <v>0.05</v>
      </c>
      <c r="X1462" s="357">
        <v>0.76</v>
      </c>
      <c r="Z1462" s="5" t="s">
        <v>8</v>
      </c>
      <c r="AA1462" s="112" t="s">
        <v>34</v>
      </c>
      <c r="AB1462" s="108" t="s">
        <v>74</v>
      </c>
      <c r="AC1462" s="57" t="s">
        <v>858</v>
      </c>
    </row>
    <row r="1463" spans="1:29" x14ac:dyDescent="0.25">
      <c r="A1463" s="329">
        <v>45963</v>
      </c>
      <c r="B1463" s="5">
        <v>11</v>
      </c>
      <c r="D1463" s="5" t="s">
        <v>113</v>
      </c>
      <c r="E1463" s="6">
        <v>1.88</v>
      </c>
      <c r="G1463" s="362">
        <v>3</v>
      </c>
      <c r="H1463" s="362">
        <v>1</v>
      </c>
      <c r="I1463" s="8">
        <v>0.66</v>
      </c>
      <c r="L1463" s="5" t="s">
        <v>208</v>
      </c>
      <c r="N1463" s="476" t="s">
        <v>68</v>
      </c>
      <c r="O1463" s="477" t="s">
        <v>113</v>
      </c>
      <c r="P1463" s="478" t="s">
        <v>816</v>
      </c>
      <c r="Q1463" s="478" t="s">
        <v>119</v>
      </c>
      <c r="R1463" s="478" t="s">
        <v>684</v>
      </c>
      <c r="S1463" s="479">
        <v>83</v>
      </c>
      <c r="T1463" s="478" t="s">
        <v>41</v>
      </c>
      <c r="U1463" s="478" t="s">
        <v>43</v>
      </c>
      <c r="V1463" s="480" t="s">
        <v>10</v>
      </c>
      <c r="W1463" s="51">
        <v>0.37</v>
      </c>
      <c r="X1463" s="357">
        <v>0.73</v>
      </c>
      <c r="Y1463" s="351" t="s">
        <v>353</v>
      </c>
      <c r="Z1463" s="5" t="s">
        <v>48</v>
      </c>
      <c r="AA1463" s="112" t="s">
        <v>34</v>
      </c>
    </row>
    <row r="1464" spans="1:29" x14ac:dyDescent="0.25">
      <c r="A1464" s="329">
        <v>45963</v>
      </c>
      <c r="B1464" s="5">
        <v>11</v>
      </c>
      <c r="D1464" s="5" t="s">
        <v>113</v>
      </c>
      <c r="E1464" s="6">
        <v>1.88</v>
      </c>
      <c r="G1464" s="362">
        <v>3</v>
      </c>
      <c r="H1464" s="362">
        <v>1</v>
      </c>
      <c r="I1464" s="8">
        <v>0.66</v>
      </c>
      <c r="L1464" s="5" t="s">
        <v>208</v>
      </c>
      <c r="N1464" s="476">
        <v>46</v>
      </c>
      <c r="O1464" s="477" t="s">
        <v>113</v>
      </c>
      <c r="P1464" s="478" t="s">
        <v>805</v>
      </c>
      <c r="Q1464" s="478" t="s">
        <v>469</v>
      </c>
      <c r="R1464" s="478" t="s">
        <v>685</v>
      </c>
      <c r="S1464" s="479">
        <v>77</v>
      </c>
      <c r="T1464" s="478" t="s">
        <v>41</v>
      </c>
      <c r="U1464" s="478" t="s">
        <v>42</v>
      </c>
      <c r="V1464" s="480" t="s">
        <v>10</v>
      </c>
      <c r="W1464" s="51">
        <v>0.08</v>
      </c>
      <c r="X1464" s="357" t="s">
        <v>53</v>
      </c>
      <c r="Y1464" s="351" t="s">
        <v>353</v>
      </c>
      <c r="Z1464" s="5" t="s">
        <v>13</v>
      </c>
      <c r="AA1464" s="112" t="s">
        <v>427</v>
      </c>
    </row>
    <row r="1465" spans="1:29" x14ac:dyDescent="0.25">
      <c r="A1465" s="329">
        <v>45963</v>
      </c>
      <c r="B1465" s="5">
        <v>11</v>
      </c>
      <c r="D1465" s="5" t="s">
        <v>113</v>
      </c>
      <c r="E1465" s="6">
        <v>1.88</v>
      </c>
      <c r="G1465" s="362">
        <v>3</v>
      </c>
      <c r="H1465" s="362">
        <v>1</v>
      </c>
      <c r="I1465" s="8">
        <v>0.66</v>
      </c>
      <c r="L1465" s="5" t="s">
        <v>208</v>
      </c>
      <c r="N1465" s="345">
        <v>55</v>
      </c>
      <c r="O1465" s="38" t="s">
        <v>208</v>
      </c>
      <c r="P1465" s="5" t="s">
        <v>809</v>
      </c>
      <c r="Q1465" s="5" t="s">
        <v>261</v>
      </c>
      <c r="R1465" s="5" t="s">
        <v>685</v>
      </c>
      <c r="S1465" s="7">
        <v>73</v>
      </c>
      <c r="T1465" s="5" t="s">
        <v>41</v>
      </c>
      <c r="U1465" s="5" t="s">
        <v>42</v>
      </c>
      <c r="V1465" s="57" t="s">
        <v>10</v>
      </c>
      <c r="W1465" s="51">
        <v>0.06</v>
      </c>
      <c r="X1465" s="357" t="s">
        <v>53</v>
      </c>
      <c r="Z1465" s="5" t="s">
        <v>17</v>
      </c>
      <c r="AA1465" s="112" t="s">
        <v>34</v>
      </c>
    </row>
    <row r="1466" spans="1:29" x14ac:dyDescent="0.25">
      <c r="A1466" s="329">
        <v>45963</v>
      </c>
      <c r="B1466" s="5">
        <v>11</v>
      </c>
      <c r="D1466" s="5" t="s">
        <v>113</v>
      </c>
      <c r="E1466" s="6">
        <v>1.88</v>
      </c>
      <c r="G1466" s="362">
        <v>3</v>
      </c>
      <c r="H1466" s="362">
        <v>1</v>
      </c>
      <c r="I1466" s="8">
        <v>0.66</v>
      </c>
      <c r="L1466" s="5" t="s">
        <v>208</v>
      </c>
      <c r="N1466" s="476">
        <v>61</v>
      </c>
      <c r="O1466" s="477" t="s">
        <v>113</v>
      </c>
      <c r="P1466" s="478" t="s">
        <v>805</v>
      </c>
      <c r="Q1466" s="478" t="s">
        <v>469</v>
      </c>
      <c r="R1466" s="478" t="s">
        <v>685</v>
      </c>
      <c r="S1466" s="479">
        <v>77</v>
      </c>
      <c r="T1466" s="478" t="s">
        <v>41</v>
      </c>
      <c r="U1466" s="478" t="s">
        <v>43</v>
      </c>
      <c r="V1466" s="480" t="s">
        <v>10</v>
      </c>
      <c r="W1466" s="51">
        <v>0.05</v>
      </c>
      <c r="X1466" s="357">
        <v>0.06</v>
      </c>
      <c r="Z1466" s="5" t="s">
        <v>8</v>
      </c>
      <c r="AA1466" s="112" t="s">
        <v>427</v>
      </c>
      <c r="AB1466" s="108" t="s">
        <v>406</v>
      </c>
      <c r="AC1466" s="57" t="s">
        <v>150</v>
      </c>
    </row>
    <row r="1467" spans="1:29" x14ac:dyDescent="0.25">
      <c r="A1467" s="329">
        <v>45963</v>
      </c>
      <c r="B1467" s="5">
        <v>11</v>
      </c>
      <c r="D1467" s="5" t="s">
        <v>113</v>
      </c>
      <c r="E1467" s="6">
        <v>1.88</v>
      </c>
      <c r="G1467" s="362">
        <v>3</v>
      </c>
      <c r="H1467" s="362">
        <v>1</v>
      </c>
      <c r="I1467" s="8">
        <v>0.66</v>
      </c>
      <c r="L1467" s="5" t="s">
        <v>208</v>
      </c>
      <c r="N1467" s="345">
        <v>68</v>
      </c>
      <c r="O1467" s="38" t="s">
        <v>208</v>
      </c>
      <c r="P1467" s="5" t="s">
        <v>809</v>
      </c>
      <c r="Q1467" s="5" t="s">
        <v>261</v>
      </c>
      <c r="R1467" s="5" t="s">
        <v>685</v>
      </c>
      <c r="S1467" s="7">
        <v>73</v>
      </c>
      <c r="T1467" s="5" t="s">
        <v>41</v>
      </c>
      <c r="U1467" s="5" t="s">
        <v>42</v>
      </c>
      <c r="V1467" s="57" t="s">
        <v>10</v>
      </c>
      <c r="W1467" s="51">
        <v>0.15</v>
      </c>
      <c r="X1467" s="357">
        <v>0.27</v>
      </c>
      <c r="Y1467" s="351" t="s">
        <v>353</v>
      </c>
      <c r="Z1467" s="5" t="s">
        <v>48</v>
      </c>
      <c r="AA1467" s="112" t="s">
        <v>427</v>
      </c>
    </row>
    <row r="1468" spans="1:29" x14ac:dyDescent="0.25">
      <c r="A1468" s="329">
        <v>45963</v>
      </c>
      <c r="B1468" s="5">
        <v>11</v>
      </c>
      <c r="D1468" s="5" t="s">
        <v>113</v>
      </c>
      <c r="E1468" s="6">
        <v>1.88</v>
      </c>
      <c r="G1468" s="362">
        <v>3</v>
      </c>
      <c r="H1468" s="362">
        <v>1</v>
      </c>
      <c r="I1468" s="8">
        <v>0.66</v>
      </c>
      <c r="L1468" s="5" t="s">
        <v>208</v>
      </c>
      <c r="N1468" s="345">
        <v>77</v>
      </c>
      <c r="O1468" s="38" t="s">
        <v>208</v>
      </c>
      <c r="P1468" s="5" t="s">
        <v>809</v>
      </c>
      <c r="Q1468" s="5" t="s">
        <v>261</v>
      </c>
      <c r="R1468" s="5" t="s">
        <v>685</v>
      </c>
      <c r="S1468" s="7">
        <v>73</v>
      </c>
      <c r="T1468" s="5" t="s">
        <v>41</v>
      </c>
      <c r="U1468" s="5" t="s">
        <v>42</v>
      </c>
      <c r="V1468" s="57" t="s">
        <v>10</v>
      </c>
      <c r="W1468" s="51">
        <v>0.12</v>
      </c>
      <c r="X1468" s="357">
        <v>0.06</v>
      </c>
      <c r="Z1468" s="5" t="s">
        <v>48</v>
      </c>
      <c r="AA1468" s="112" t="s">
        <v>427</v>
      </c>
    </row>
    <row r="1469" spans="1:29" x14ac:dyDescent="0.25">
      <c r="A1469" s="329">
        <v>45963</v>
      </c>
      <c r="B1469" s="5">
        <v>11</v>
      </c>
      <c r="D1469" s="5" t="s">
        <v>113</v>
      </c>
      <c r="E1469" s="6">
        <v>1.88</v>
      </c>
      <c r="G1469" s="362">
        <v>3</v>
      </c>
      <c r="H1469" s="362">
        <v>1</v>
      </c>
      <c r="I1469" s="8">
        <v>0.66</v>
      </c>
      <c r="L1469" s="5" t="s">
        <v>208</v>
      </c>
      <c r="N1469" s="345">
        <v>78</v>
      </c>
      <c r="O1469" s="38" t="s">
        <v>208</v>
      </c>
      <c r="P1469" s="5" t="s">
        <v>809</v>
      </c>
      <c r="Q1469" s="5" t="s">
        <v>261</v>
      </c>
      <c r="R1469" s="5" t="s">
        <v>685</v>
      </c>
      <c r="S1469" s="7">
        <v>73</v>
      </c>
      <c r="T1469" s="5" t="s">
        <v>47</v>
      </c>
      <c r="U1469" s="5" t="s">
        <v>42</v>
      </c>
      <c r="V1469" s="57" t="s">
        <v>10</v>
      </c>
      <c r="W1469" s="51">
        <v>0.2</v>
      </c>
      <c r="X1469" s="357" t="s">
        <v>53</v>
      </c>
      <c r="Z1469" s="5" t="s">
        <v>13</v>
      </c>
      <c r="AA1469" s="112" t="s">
        <v>427</v>
      </c>
    </row>
    <row r="1470" spans="1:29" x14ac:dyDescent="0.25">
      <c r="A1470" s="329">
        <v>45963</v>
      </c>
      <c r="B1470" s="5">
        <v>11</v>
      </c>
      <c r="D1470" s="5" t="s">
        <v>113</v>
      </c>
      <c r="E1470" s="6">
        <v>1.88</v>
      </c>
      <c r="G1470" s="362">
        <v>3</v>
      </c>
      <c r="H1470" s="362">
        <v>1</v>
      </c>
      <c r="I1470" s="8">
        <v>0.66</v>
      </c>
      <c r="L1470" s="5" t="s">
        <v>208</v>
      </c>
      <c r="N1470" s="476">
        <v>78</v>
      </c>
      <c r="O1470" s="477" t="s">
        <v>113</v>
      </c>
      <c r="P1470" s="478" t="s">
        <v>826</v>
      </c>
      <c r="Q1470" s="478" t="s">
        <v>121</v>
      </c>
      <c r="R1470" s="478" t="s">
        <v>686</v>
      </c>
      <c r="S1470" s="479">
        <v>73</v>
      </c>
      <c r="T1470" s="478" t="s">
        <v>41</v>
      </c>
      <c r="U1470" s="478" t="s">
        <v>43</v>
      </c>
      <c r="V1470" s="480" t="s">
        <v>10</v>
      </c>
      <c r="W1470" s="51">
        <v>0.12</v>
      </c>
      <c r="X1470" s="357" t="s">
        <v>53</v>
      </c>
      <c r="Y1470" s="351" t="s">
        <v>353</v>
      </c>
      <c r="Z1470" s="5" t="s">
        <v>13</v>
      </c>
      <c r="AA1470" s="112" t="s">
        <v>427</v>
      </c>
    </row>
    <row r="1471" spans="1:29" ht="15.75" thickBot="1" x14ac:dyDescent="0.3">
      <c r="A1471" s="400">
        <v>45963</v>
      </c>
      <c r="B1471" s="401">
        <v>11</v>
      </c>
      <c r="C1471" s="474"/>
      <c r="D1471" s="401" t="s">
        <v>113</v>
      </c>
      <c r="E1471" s="404">
        <v>1.88</v>
      </c>
      <c r="F1471" s="404"/>
      <c r="G1471" s="363">
        <v>3</v>
      </c>
      <c r="H1471" s="363">
        <v>1</v>
      </c>
      <c r="I1471" s="475">
        <v>0.66</v>
      </c>
      <c r="J1471" s="475"/>
      <c r="K1471" s="474"/>
      <c r="L1471" s="401" t="s">
        <v>208</v>
      </c>
      <c r="M1471" s="235"/>
      <c r="N1471" s="347"/>
      <c r="O1471" s="343" t="s">
        <v>113</v>
      </c>
      <c r="P1471" s="199" t="s">
        <v>834</v>
      </c>
      <c r="Q1471" s="199" t="s">
        <v>740</v>
      </c>
      <c r="R1471" s="199" t="s">
        <v>707</v>
      </c>
      <c r="S1471" s="7">
        <v>67</v>
      </c>
      <c r="T1471" s="199"/>
      <c r="U1471" s="199"/>
      <c r="V1471" s="201"/>
      <c r="W1471" s="202"/>
      <c r="X1471" s="359"/>
      <c r="Y1471" s="353">
        <f>H1471</f>
        <v>1</v>
      </c>
      <c r="Z1471" s="199"/>
      <c r="AA1471" s="204"/>
      <c r="AB1471" s="205"/>
      <c r="AC1471" s="201"/>
    </row>
    <row r="1472" spans="1:29" ht="15.75" thickBot="1" x14ac:dyDescent="0.3">
      <c r="A1472" s="400">
        <v>45963</v>
      </c>
      <c r="B1472" s="401">
        <v>11</v>
      </c>
      <c r="C1472" s="474"/>
      <c r="D1472" s="401" t="s">
        <v>113</v>
      </c>
      <c r="E1472" s="404">
        <v>1.88</v>
      </c>
      <c r="F1472" s="404"/>
      <c r="G1472" s="363">
        <v>3</v>
      </c>
      <c r="H1472" s="363">
        <v>1</v>
      </c>
      <c r="I1472" s="475">
        <v>0.66</v>
      </c>
      <c r="J1472" s="475"/>
      <c r="K1472" s="474"/>
      <c r="L1472" s="401" t="s">
        <v>208</v>
      </c>
      <c r="M1472" s="235"/>
      <c r="N1472" s="347"/>
      <c r="O1472" s="343" t="s">
        <v>208</v>
      </c>
      <c r="P1472" s="199" t="s">
        <v>823</v>
      </c>
      <c r="Q1472" s="199" t="s">
        <v>735</v>
      </c>
      <c r="R1472" s="199" t="s">
        <v>707</v>
      </c>
      <c r="S1472" s="7">
        <v>58</v>
      </c>
      <c r="T1472" s="199"/>
      <c r="U1472" s="199"/>
      <c r="V1472" s="201"/>
      <c r="W1472" s="202"/>
      <c r="X1472" s="359"/>
      <c r="Y1472" s="353">
        <f>G1471</f>
        <v>3</v>
      </c>
      <c r="Z1472" s="199"/>
      <c r="AA1472" s="204"/>
      <c r="AB1472" s="205"/>
      <c r="AC1472" s="201"/>
    </row>
    <row r="1473" spans="1:29" x14ac:dyDescent="0.25">
      <c r="A1473" s="329">
        <v>45963</v>
      </c>
      <c r="B1473" s="5">
        <v>11</v>
      </c>
      <c r="C1473" s="121" t="s">
        <v>693</v>
      </c>
      <c r="D1473" s="5" t="s">
        <v>209</v>
      </c>
      <c r="E1473" s="6">
        <v>2.36</v>
      </c>
      <c r="G1473" s="362">
        <v>3</v>
      </c>
      <c r="H1473" s="362">
        <v>0</v>
      </c>
      <c r="I1473" s="8">
        <v>0.62</v>
      </c>
      <c r="K1473" s="121" t="s">
        <v>693</v>
      </c>
      <c r="L1473" s="5" t="s">
        <v>112</v>
      </c>
      <c r="N1473" s="476">
        <v>3</v>
      </c>
      <c r="O1473" s="477" t="s">
        <v>209</v>
      </c>
      <c r="P1473" s="478" t="s">
        <v>53</v>
      </c>
      <c r="Q1473" s="478" t="s">
        <v>395</v>
      </c>
      <c r="R1473" s="478" t="s">
        <v>686</v>
      </c>
      <c r="S1473" s="479">
        <v>95</v>
      </c>
      <c r="T1473" s="478" t="s">
        <v>354</v>
      </c>
      <c r="U1473" s="478" t="s">
        <v>43</v>
      </c>
      <c r="V1473" s="480" t="s">
        <v>10</v>
      </c>
      <c r="W1473" s="51">
        <v>0.03</v>
      </c>
      <c r="X1473" s="357" t="s">
        <v>53</v>
      </c>
      <c r="Z1473" s="5" t="s">
        <v>22</v>
      </c>
      <c r="AA1473" s="112" t="s">
        <v>28</v>
      </c>
    </row>
    <row r="1474" spans="1:29" x14ac:dyDescent="0.25">
      <c r="A1474" s="329">
        <v>45963</v>
      </c>
      <c r="B1474" s="5">
        <v>11</v>
      </c>
      <c r="D1474" s="5" t="s">
        <v>209</v>
      </c>
      <c r="E1474" s="6">
        <v>2.36</v>
      </c>
      <c r="G1474" s="362">
        <v>3</v>
      </c>
      <c r="H1474" s="362">
        <v>0</v>
      </c>
      <c r="I1474" s="8">
        <v>0.62</v>
      </c>
      <c r="L1474" s="5" t="s">
        <v>112</v>
      </c>
      <c r="N1474" s="476">
        <v>10</v>
      </c>
      <c r="O1474" s="477" t="s">
        <v>209</v>
      </c>
      <c r="P1474" s="478" t="s">
        <v>53</v>
      </c>
      <c r="Q1474" s="478" t="s">
        <v>395</v>
      </c>
      <c r="R1474" s="478" t="s">
        <v>686</v>
      </c>
      <c r="S1474" s="479">
        <v>95</v>
      </c>
      <c r="T1474" s="478" t="s">
        <v>354</v>
      </c>
      <c r="U1474" s="478" t="s">
        <v>43</v>
      </c>
      <c r="V1474" s="480" t="s">
        <v>10</v>
      </c>
      <c r="W1474" s="51">
        <v>0.03</v>
      </c>
      <c r="X1474" s="357">
        <v>0.06</v>
      </c>
      <c r="Z1474" s="5" t="s">
        <v>8</v>
      </c>
      <c r="AA1474" s="112" t="s">
        <v>19</v>
      </c>
      <c r="AB1474" s="108" t="s">
        <v>220</v>
      </c>
      <c r="AC1474" s="57" t="s">
        <v>221</v>
      </c>
    </row>
    <row r="1475" spans="1:29" x14ac:dyDescent="0.25">
      <c r="A1475" s="329">
        <v>45963</v>
      </c>
      <c r="B1475" s="5">
        <v>11</v>
      </c>
      <c r="D1475" s="5" t="s">
        <v>209</v>
      </c>
      <c r="E1475" s="6">
        <v>2.36</v>
      </c>
      <c r="G1475" s="362">
        <v>3</v>
      </c>
      <c r="H1475" s="362">
        <v>0</v>
      </c>
      <c r="I1475" s="8">
        <v>0.62</v>
      </c>
      <c r="L1475" s="5" t="s">
        <v>112</v>
      </c>
      <c r="N1475" s="345">
        <v>27</v>
      </c>
      <c r="O1475" s="38" t="s">
        <v>112</v>
      </c>
      <c r="P1475" s="5" t="s">
        <v>829</v>
      </c>
      <c r="Q1475" s="5" t="s">
        <v>115</v>
      </c>
      <c r="R1475" s="5" t="s">
        <v>684</v>
      </c>
      <c r="S1475" s="7">
        <v>60</v>
      </c>
      <c r="T1475" s="5" t="s">
        <v>41</v>
      </c>
      <c r="U1475" s="5" t="s">
        <v>45</v>
      </c>
      <c r="V1475" s="57" t="s">
        <v>10</v>
      </c>
      <c r="W1475" s="51">
        <v>0.08</v>
      </c>
      <c r="X1475" s="357" t="s">
        <v>53</v>
      </c>
      <c r="Y1475" s="351" t="s">
        <v>353</v>
      </c>
      <c r="Z1475" s="5" t="s">
        <v>22</v>
      </c>
      <c r="AA1475" s="112" t="s">
        <v>19</v>
      </c>
    </row>
    <row r="1476" spans="1:29" x14ac:dyDescent="0.25">
      <c r="A1476" s="329">
        <v>45963</v>
      </c>
      <c r="B1476" s="5">
        <v>11</v>
      </c>
      <c r="D1476" s="5" t="s">
        <v>209</v>
      </c>
      <c r="E1476" s="6">
        <v>2.36</v>
      </c>
      <c r="G1476" s="362">
        <v>3</v>
      </c>
      <c r="H1476" s="362">
        <v>0</v>
      </c>
      <c r="I1476" s="8">
        <v>0.62</v>
      </c>
      <c r="L1476" s="5" t="s">
        <v>112</v>
      </c>
      <c r="N1476" s="476">
        <v>34</v>
      </c>
      <c r="O1476" s="477" t="s">
        <v>209</v>
      </c>
      <c r="P1476" s="478" t="s">
        <v>53</v>
      </c>
      <c r="Q1476" s="478" t="s">
        <v>395</v>
      </c>
      <c r="R1476" s="478" t="s">
        <v>686</v>
      </c>
      <c r="S1476" s="479">
        <v>95</v>
      </c>
      <c r="T1476" s="478" t="s">
        <v>44</v>
      </c>
      <c r="U1476" s="478" t="s">
        <v>43</v>
      </c>
      <c r="V1476" s="480" t="s">
        <v>10</v>
      </c>
      <c r="W1476" s="51">
        <v>0.02</v>
      </c>
      <c r="X1476" s="357">
        <v>0.15</v>
      </c>
      <c r="Z1476" s="5" t="s">
        <v>8</v>
      </c>
      <c r="AA1476" s="112" t="s">
        <v>24</v>
      </c>
      <c r="AB1476" s="108" t="s">
        <v>216</v>
      </c>
      <c r="AC1476" s="57" t="s">
        <v>217</v>
      </c>
    </row>
    <row r="1477" spans="1:29" x14ac:dyDescent="0.25">
      <c r="A1477" s="329">
        <v>45963</v>
      </c>
      <c r="B1477" s="5">
        <v>11</v>
      </c>
      <c r="D1477" s="5" t="s">
        <v>209</v>
      </c>
      <c r="E1477" s="6">
        <v>2.36</v>
      </c>
      <c r="G1477" s="362">
        <v>3</v>
      </c>
      <c r="H1477" s="362">
        <v>0</v>
      </c>
      <c r="I1477" s="8">
        <v>0.62</v>
      </c>
      <c r="L1477" s="5" t="s">
        <v>112</v>
      </c>
      <c r="N1477" s="476">
        <v>37</v>
      </c>
      <c r="O1477" s="477" t="s">
        <v>209</v>
      </c>
      <c r="P1477" s="478" t="s">
        <v>810</v>
      </c>
      <c r="Q1477" s="478" t="s">
        <v>425</v>
      </c>
      <c r="R1477" s="478" t="s">
        <v>685</v>
      </c>
      <c r="S1477" s="479">
        <v>77</v>
      </c>
      <c r="T1477" s="478" t="s">
        <v>41</v>
      </c>
      <c r="U1477" s="478" t="s">
        <v>42</v>
      </c>
      <c r="V1477" s="480" t="s">
        <v>10</v>
      </c>
      <c r="W1477" s="51">
        <v>0.11</v>
      </c>
      <c r="X1477" s="357">
        <v>0.37</v>
      </c>
      <c r="Y1477" s="351" t="s">
        <v>353</v>
      </c>
      <c r="Z1477" s="5" t="s">
        <v>8</v>
      </c>
      <c r="AA1477" s="112" t="s">
        <v>27</v>
      </c>
      <c r="AB1477" s="108" t="s">
        <v>53</v>
      </c>
      <c r="AC1477" s="57" t="s">
        <v>395</v>
      </c>
    </row>
    <row r="1478" spans="1:29" x14ac:dyDescent="0.25">
      <c r="A1478" s="329">
        <v>45963</v>
      </c>
      <c r="B1478" s="5">
        <v>11</v>
      </c>
      <c r="D1478" s="5" t="s">
        <v>209</v>
      </c>
      <c r="E1478" s="6">
        <v>2.36</v>
      </c>
      <c r="G1478" s="362">
        <v>3</v>
      </c>
      <c r="H1478" s="362">
        <v>0</v>
      </c>
      <c r="I1478" s="8">
        <v>0.62</v>
      </c>
      <c r="L1478" s="5" t="s">
        <v>112</v>
      </c>
      <c r="N1478" s="476">
        <v>41</v>
      </c>
      <c r="O1478" s="477" t="s">
        <v>209</v>
      </c>
      <c r="P1478" s="478" t="s">
        <v>806</v>
      </c>
      <c r="Q1478" s="478" t="s">
        <v>221</v>
      </c>
      <c r="R1478" s="478" t="s">
        <v>684</v>
      </c>
      <c r="S1478" s="479">
        <v>77</v>
      </c>
      <c r="T1478" s="478" t="s">
        <v>41</v>
      </c>
      <c r="U1478" s="478" t="s">
        <v>42</v>
      </c>
      <c r="V1478" s="480" t="s">
        <v>540</v>
      </c>
      <c r="W1478" s="51">
        <v>0.13</v>
      </c>
      <c r="X1478" s="357" t="s">
        <v>53</v>
      </c>
      <c r="Z1478" s="5" t="s">
        <v>52</v>
      </c>
      <c r="AA1478" s="112" t="s">
        <v>27</v>
      </c>
    </row>
    <row r="1479" spans="1:29" x14ac:dyDescent="0.25">
      <c r="A1479" s="329">
        <v>45963</v>
      </c>
      <c r="B1479" s="5">
        <v>11</v>
      </c>
      <c r="D1479" s="5" t="s">
        <v>209</v>
      </c>
      <c r="E1479" s="6">
        <v>2.36</v>
      </c>
      <c r="G1479" s="362">
        <v>3</v>
      </c>
      <c r="H1479" s="362">
        <v>0</v>
      </c>
      <c r="I1479" s="8">
        <v>0.62</v>
      </c>
      <c r="L1479" s="5" t="s">
        <v>112</v>
      </c>
      <c r="N1479" s="476" t="s">
        <v>428</v>
      </c>
      <c r="O1479" s="477" t="s">
        <v>209</v>
      </c>
      <c r="P1479" s="478" t="s">
        <v>806</v>
      </c>
      <c r="Q1479" s="478" t="s">
        <v>221</v>
      </c>
      <c r="R1479" s="478" t="s">
        <v>684</v>
      </c>
      <c r="S1479" s="479">
        <v>77</v>
      </c>
      <c r="T1479" s="478" t="s">
        <v>41</v>
      </c>
      <c r="U1479" s="478" t="s">
        <v>43</v>
      </c>
      <c r="V1479" s="480" t="s">
        <v>10</v>
      </c>
      <c r="W1479" s="51">
        <v>0.52</v>
      </c>
      <c r="X1479" s="357">
        <v>0.63</v>
      </c>
      <c r="Y1479" s="351" t="s">
        <v>353</v>
      </c>
      <c r="Z1479" s="5" t="s">
        <v>48</v>
      </c>
      <c r="AA1479" s="112" t="s">
        <v>27</v>
      </c>
    </row>
    <row r="1480" spans="1:29" x14ac:dyDescent="0.25">
      <c r="A1480" s="329">
        <v>45963</v>
      </c>
      <c r="B1480" s="5">
        <v>11</v>
      </c>
      <c r="D1480" s="5" t="s">
        <v>209</v>
      </c>
      <c r="E1480" s="6">
        <v>2.36</v>
      </c>
      <c r="G1480" s="362">
        <v>3</v>
      </c>
      <c r="H1480" s="362">
        <v>0</v>
      </c>
      <c r="I1480" s="8">
        <v>0.62</v>
      </c>
      <c r="L1480" s="5" t="s">
        <v>112</v>
      </c>
      <c r="N1480" s="476">
        <v>58</v>
      </c>
      <c r="O1480" s="477" t="s">
        <v>209</v>
      </c>
      <c r="P1480" s="478" t="s">
        <v>806</v>
      </c>
      <c r="Q1480" s="478" t="s">
        <v>221</v>
      </c>
      <c r="R1480" s="478" t="s">
        <v>684</v>
      </c>
      <c r="S1480" s="479">
        <v>77</v>
      </c>
      <c r="T1480" s="478" t="s">
        <v>41</v>
      </c>
      <c r="U1480" s="478" t="s">
        <v>43</v>
      </c>
      <c r="V1480" s="480" t="s">
        <v>10</v>
      </c>
      <c r="W1480" s="51">
        <v>0.23</v>
      </c>
      <c r="X1480" s="357" t="s">
        <v>53</v>
      </c>
      <c r="Z1480" s="5" t="s">
        <v>55</v>
      </c>
      <c r="AA1480" s="112" t="s">
        <v>27</v>
      </c>
    </row>
    <row r="1481" spans="1:29" x14ac:dyDescent="0.25">
      <c r="A1481" s="329">
        <v>45963</v>
      </c>
      <c r="B1481" s="5">
        <v>11</v>
      </c>
      <c r="D1481" s="5" t="s">
        <v>209</v>
      </c>
      <c r="E1481" s="6">
        <v>2.36</v>
      </c>
      <c r="G1481" s="362">
        <v>3</v>
      </c>
      <c r="H1481" s="362">
        <v>0</v>
      </c>
      <c r="I1481" s="8">
        <v>0.62</v>
      </c>
      <c r="L1481" s="5" t="s">
        <v>112</v>
      </c>
      <c r="N1481" s="476">
        <v>62</v>
      </c>
      <c r="O1481" s="477" t="s">
        <v>209</v>
      </c>
      <c r="P1481" s="478" t="s">
        <v>806</v>
      </c>
      <c r="Q1481" s="478" t="s">
        <v>221</v>
      </c>
      <c r="R1481" s="478" t="s">
        <v>684</v>
      </c>
      <c r="S1481" s="479">
        <v>77</v>
      </c>
      <c r="T1481" s="478" t="s">
        <v>41</v>
      </c>
      <c r="U1481" s="478" t="s">
        <v>42</v>
      </c>
      <c r="V1481" s="480" t="s">
        <v>10</v>
      </c>
      <c r="W1481" s="51">
        <v>0.12</v>
      </c>
      <c r="X1481" s="357">
        <v>0.06</v>
      </c>
      <c r="Y1481" s="351" t="s">
        <v>353</v>
      </c>
      <c r="Z1481" s="5" t="s">
        <v>48</v>
      </c>
      <c r="AA1481" s="112" t="s">
        <v>27</v>
      </c>
    </row>
    <row r="1482" spans="1:29" x14ac:dyDescent="0.25">
      <c r="A1482" s="329">
        <v>45963</v>
      </c>
      <c r="B1482" s="5">
        <v>11</v>
      </c>
      <c r="D1482" s="5" t="s">
        <v>209</v>
      </c>
      <c r="E1482" s="6">
        <v>2.36</v>
      </c>
      <c r="G1482" s="362">
        <v>3</v>
      </c>
      <c r="H1482" s="362">
        <v>0</v>
      </c>
      <c r="I1482" s="8">
        <v>0.62</v>
      </c>
      <c r="L1482" s="5" t="s">
        <v>112</v>
      </c>
      <c r="N1482" s="476">
        <v>66</v>
      </c>
      <c r="O1482" s="477" t="s">
        <v>209</v>
      </c>
      <c r="P1482" s="478" t="s">
        <v>806</v>
      </c>
      <c r="Q1482" s="478" t="s">
        <v>221</v>
      </c>
      <c r="R1482" s="478" t="s">
        <v>684</v>
      </c>
      <c r="S1482" s="479">
        <v>77</v>
      </c>
      <c r="T1482" s="478" t="s">
        <v>41</v>
      </c>
      <c r="U1482" s="478" t="s">
        <v>42</v>
      </c>
      <c r="V1482" s="480" t="s">
        <v>18</v>
      </c>
      <c r="W1482" s="51">
        <v>0.22</v>
      </c>
      <c r="X1482" s="357" t="s">
        <v>53</v>
      </c>
      <c r="Z1482" s="5" t="s">
        <v>52</v>
      </c>
      <c r="AA1482" s="112" t="s">
        <v>27</v>
      </c>
    </row>
    <row r="1483" spans="1:29" x14ac:dyDescent="0.25">
      <c r="A1483" s="329">
        <v>45963</v>
      </c>
      <c r="B1483" s="5">
        <v>11</v>
      </c>
      <c r="D1483" s="5" t="s">
        <v>209</v>
      </c>
      <c r="E1483" s="6">
        <v>2.36</v>
      </c>
      <c r="G1483" s="362">
        <v>3</v>
      </c>
      <c r="H1483" s="362">
        <v>0</v>
      </c>
      <c r="I1483" s="8">
        <v>0.62</v>
      </c>
      <c r="L1483" s="5" t="s">
        <v>112</v>
      </c>
      <c r="N1483" s="476">
        <v>68</v>
      </c>
      <c r="O1483" s="477" t="s">
        <v>209</v>
      </c>
      <c r="P1483" s="478" t="s">
        <v>810</v>
      </c>
      <c r="Q1483" s="478" t="s">
        <v>425</v>
      </c>
      <c r="R1483" s="478" t="s">
        <v>685</v>
      </c>
      <c r="S1483" s="479">
        <v>77</v>
      </c>
      <c r="T1483" s="478" t="s">
        <v>44</v>
      </c>
      <c r="U1483" s="478" t="s">
        <v>42</v>
      </c>
      <c r="V1483" s="480" t="s">
        <v>10</v>
      </c>
      <c r="W1483" s="51">
        <v>0.05</v>
      </c>
      <c r="X1483" s="357" t="s">
        <v>53</v>
      </c>
      <c r="Y1483" s="351" t="s">
        <v>353</v>
      </c>
      <c r="Z1483" s="5" t="s">
        <v>16</v>
      </c>
      <c r="AA1483" s="112" t="s">
        <v>27</v>
      </c>
    </row>
    <row r="1484" spans="1:29" x14ac:dyDescent="0.25">
      <c r="A1484" s="329">
        <v>45963</v>
      </c>
      <c r="B1484" s="5">
        <v>11</v>
      </c>
      <c r="D1484" s="5" t="s">
        <v>209</v>
      </c>
      <c r="E1484" s="6">
        <v>2.36</v>
      </c>
      <c r="G1484" s="362">
        <v>3</v>
      </c>
      <c r="H1484" s="362">
        <v>0</v>
      </c>
      <c r="I1484" s="8">
        <v>0.62</v>
      </c>
      <c r="L1484" s="5" t="s">
        <v>112</v>
      </c>
      <c r="N1484" s="476">
        <v>76</v>
      </c>
      <c r="O1484" s="477" t="s">
        <v>209</v>
      </c>
      <c r="P1484" s="478" t="s">
        <v>53</v>
      </c>
      <c r="Q1484" s="478" t="s">
        <v>395</v>
      </c>
      <c r="R1484" s="478" t="s">
        <v>686</v>
      </c>
      <c r="S1484" s="479">
        <v>95</v>
      </c>
      <c r="T1484" s="478" t="s">
        <v>41</v>
      </c>
      <c r="U1484" s="478" t="s">
        <v>43</v>
      </c>
      <c r="V1484" s="480" t="s">
        <v>18</v>
      </c>
      <c r="W1484" s="51">
        <v>0.74</v>
      </c>
      <c r="X1484" s="357">
        <v>0.61</v>
      </c>
      <c r="Y1484" s="351" t="s">
        <v>353</v>
      </c>
      <c r="Z1484" s="5" t="s">
        <v>48</v>
      </c>
      <c r="AA1484" s="112" t="s">
        <v>27</v>
      </c>
    </row>
    <row r="1485" spans="1:29" x14ac:dyDescent="0.25">
      <c r="A1485" s="329">
        <v>45963</v>
      </c>
      <c r="B1485" s="5">
        <v>11</v>
      </c>
      <c r="D1485" s="5" t="s">
        <v>209</v>
      </c>
      <c r="E1485" s="6">
        <v>2.36</v>
      </c>
      <c r="G1485" s="362">
        <v>3</v>
      </c>
      <c r="H1485" s="362">
        <v>0</v>
      </c>
      <c r="I1485" s="8">
        <v>0.62</v>
      </c>
      <c r="L1485" s="5" t="s">
        <v>112</v>
      </c>
      <c r="N1485" s="345">
        <v>78</v>
      </c>
      <c r="O1485" s="38" t="s">
        <v>112</v>
      </c>
      <c r="P1485" s="5" t="s">
        <v>829</v>
      </c>
      <c r="Q1485" s="5" t="s">
        <v>115</v>
      </c>
      <c r="R1485" s="5" t="s">
        <v>684</v>
      </c>
      <c r="S1485" s="7">
        <v>60</v>
      </c>
      <c r="T1485" s="5" t="s">
        <v>44</v>
      </c>
      <c r="U1485" s="5" t="s">
        <v>42</v>
      </c>
      <c r="V1485" s="57" t="s">
        <v>10</v>
      </c>
      <c r="W1485" s="51">
        <v>0.06</v>
      </c>
      <c r="X1485" s="357">
        <v>0.17</v>
      </c>
      <c r="Z1485" s="5" t="s">
        <v>48</v>
      </c>
      <c r="AA1485" s="112" t="s">
        <v>27</v>
      </c>
    </row>
    <row r="1486" spans="1:29" x14ac:dyDescent="0.25">
      <c r="A1486" s="329">
        <v>45963</v>
      </c>
      <c r="B1486" s="5">
        <v>11</v>
      </c>
      <c r="D1486" s="5" t="s">
        <v>209</v>
      </c>
      <c r="E1486" s="6">
        <v>2.36</v>
      </c>
      <c r="G1486" s="362">
        <v>3</v>
      </c>
      <c r="H1486" s="362">
        <v>0</v>
      </c>
      <c r="I1486" s="8">
        <v>0.62</v>
      </c>
      <c r="L1486" s="5" t="s">
        <v>112</v>
      </c>
      <c r="N1486" s="345">
        <v>83</v>
      </c>
      <c r="O1486" s="38" t="s">
        <v>112</v>
      </c>
      <c r="P1486" s="5" t="s">
        <v>807</v>
      </c>
      <c r="Q1486" s="5" t="s">
        <v>559</v>
      </c>
      <c r="R1486" s="5" t="s">
        <v>687</v>
      </c>
      <c r="S1486" s="7">
        <v>57</v>
      </c>
      <c r="T1486" s="5" t="s">
        <v>41</v>
      </c>
      <c r="U1486" s="5" t="s">
        <v>45</v>
      </c>
      <c r="V1486" s="57" t="s">
        <v>20</v>
      </c>
      <c r="W1486" s="51">
        <v>7.0000000000000007E-2</v>
      </c>
      <c r="X1486" s="357" t="s">
        <v>53</v>
      </c>
      <c r="Z1486" s="5" t="s">
        <v>55</v>
      </c>
      <c r="AA1486" s="112" t="s">
        <v>27</v>
      </c>
    </row>
    <row r="1487" spans="1:29" x14ac:dyDescent="0.25">
      <c r="A1487" s="329">
        <v>45963</v>
      </c>
      <c r="B1487" s="5">
        <v>11</v>
      </c>
      <c r="D1487" s="5" t="s">
        <v>209</v>
      </c>
      <c r="E1487" s="6">
        <v>2.36</v>
      </c>
      <c r="G1487" s="362">
        <v>3</v>
      </c>
      <c r="H1487" s="362">
        <v>0</v>
      </c>
      <c r="I1487" s="8">
        <v>0.62</v>
      </c>
      <c r="L1487" s="5" t="s">
        <v>112</v>
      </c>
      <c r="N1487" s="476">
        <v>89</v>
      </c>
      <c r="O1487" s="477" t="s">
        <v>209</v>
      </c>
      <c r="P1487" s="478" t="s">
        <v>819</v>
      </c>
      <c r="Q1487" s="478" t="s">
        <v>75</v>
      </c>
      <c r="R1487" s="478" t="s">
        <v>696</v>
      </c>
      <c r="S1487" s="479">
        <v>62</v>
      </c>
      <c r="T1487" s="478" t="s">
        <v>41</v>
      </c>
      <c r="U1487" s="478" t="s">
        <v>43</v>
      </c>
      <c r="V1487" s="480" t="s">
        <v>10</v>
      </c>
      <c r="W1487" s="51">
        <v>0.05</v>
      </c>
      <c r="X1487" s="357">
        <v>0.3</v>
      </c>
      <c r="Z1487" s="5" t="s">
        <v>48</v>
      </c>
      <c r="AA1487" s="112" t="s">
        <v>27</v>
      </c>
    </row>
    <row r="1488" spans="1:29" ht="15.75" thickBot="1" x14ac:dyDescent="0.3">
      <c r="A1488" s="400">
        <v>45963</v>
      </c>
      <c r="B1488" s="401">
        <v>11</v>
      </c>
      <c r="C1488" s="474"/>
      <c r="D1488" s="401" t="s">
        <v>209</v>
      </c>
      <c r="E1488" s="404">
        <v>2.36</v>
      </c>
      <c r="F1488" s="404"/>
      <c r="G1488" s="363">
        <v>3</v>
      </c>
      <c r="H1488" s="363">
        <v>0</v>
      </c>
      <c r="I1488" s="475">
        <v>0.62</v>
      </c>
      <c r="J1488" s="475"/>
      <c r="K1488" s="474"/>
      <c r="L1488" s="401" t="s">
        <v>112</v>
      </c>
      <c r="M1488" s="235"/>
      <c r="N1488" s="347"/>
      <c r="O1488" s="343" t="s">
        <v>209</v>
      </c>
      <c r="P1488" s="199" t="s">
        <v>810</v>
      </c>
      <c r="Q1488" s="199" t="s">
        <v>730</v>
      </c>
      <c r="R1488" s="199" t="s">
        <v>707</v>
      </c>
      <c r="S1488" s="7">
        <v>65</v>
      </c>
      <c r="T1488" s="199"/>
      <c r="U1488" s="199"/>
      <c r="V1488" s="201"/>
      <c r="W1488" s="202"/>
      <c r="X1488" s="359"/>
      <c r="Y1488" s="353">
        <f>H1488</f>
        <v>0</v>
      </c>
      <c r="Z1488" s="199"/>
      <c r="AA1488" s="204"/>
      <c r="AB1488" s="205"/>
      <c r="AC1488" s="201"/>
    </row>
    <row r="1489" spans="1:29" ht="15.75" thickBot="1" x14ac:dyDescent="0.3">
      <c r="A1489" s="400">
        <v>45963</v>
      </c>
      <c r="B1489" s="401">
        <v>11</v>
      </c>
      <c r="C1489" s="474"/>
      <c r="D1489" s="401" t="s">
        <v>209</v>
      </c>
      <c r="E1489" s="404">
        <v>2.36</v>
      </c>
      <c r="F1489" s="404"/>
      <c r="G1489" s="363">
        <v>3</v>
      </c>
      <c r="H1489" s="363">
        <v>0</v>
      </c>
      <c r="I1489" s="475">
        <v>0.62</v>
      </c>
      <c r="J1489" s="475"/>
      <c r="K1489" s="474"/>
      <c r="L1489" s="401" t="s">
        <v>112</v>
      </c>
      <c r="M1489" s="235"/>
      <c r="N1489" s="347"/>
      <c r="O1489" s="343" t="s">
        <v>112</v>
      </c>
      <c r="P1489" s="199" t="s">
        <v>826</v>
      </c>
      <c r="Q1489" s="199" t="s">
        <v>859</v>
      </c>
      <c r="R1489" s="199" t="s">
        <v>707</v>
      </c>
      <c r="S1489" s="7">
        <v>65</v>
      </c>
      <c r="T1489" s="199"/>
      <c r="U1489" s="199"/>
      <c r="V1489" s="201"/>
      <c r="W1489" s="202"/>
      <c r="X1489" s="359"/>
      <c r="Y1489" s="353">
        <f>G1488</f>
        <v>3</v>
      </c>
      <c r="Z1489" s="199"/>
      <c r="AA1489" s="204"/>
      <c r="AB1489" s="205"/>
      <c r="AC1489" s="201"/>
    </row>
  </sheetData>
  <autoFilter ref="A1:AA1489" xr:uid="{E2C898AD-6651-4C4A-862D-0A9507C6CA25}"/>
  <phoneticPr fontId="10" type="noConversion"/>
  <conditionalFormatting sqref="S1:S1048576">
    <cfRule type="cellIs" dxfId="1332" priority="20" operator="between">
      <formula>80</formula>
      <formula>105</formula>
    </cfRule>
    <cfRule type="cellIs" dxfId="1331" priority="21" operator="between">
      <formula>70</formula>
      <formula>79</formula>
    </cfRule>
    <cfRule type="cellIs" dxfId="1330" priority="22" operator="between">
      <formula>65</formula>
      <formula>69</formula>
    </cfRule>
    <cfRule type="cellIs" dxfId="1329" priority="23" operator="between">
      <formula>10</formula>
      <formula>64</formula>
    </cfRule>
  </conditionalFormatting>
  <conditionalFormatting sqref="V1:V12 V15:V31 V34:V49 V52:V61 V64:V72 V75:V79 V82:V93 V96:V107 V110:V119 V122:V131 V134:V147 V150:V158 V161:V166 V169:V186 V189:V191 V194:V204 V207:V215 V218:V230 V233:V240 V243:V251 V254:V260 V263:V271 V274:V284 V287:V294 V297:V304 V307:V319 V322:V331 V334:V342 V345:V353 V356:V367 V370:V383 V386:V392 V395:V402 V405:V422 V425:V431 V434:V441 V444:V459 V462:V476 V479:V494 V497:V509 V512:V525 V528:V548 V551:V565 V568:V580 V583:V587 V590:V607 V610:V618 V621:V633 V636:V646 V649:V663 V666:V676 V679:V688 V691:V708 V711:V730 V733:V745 V748:V752 V755:V772 V775:V785 V788:V799 V802:V817 V820:V830 V833:V836 V839:V848 V851:V858 V861:V875 V878:V885 V888:V901 V904:V914 V917:V923 V926:V938 V941:V946 V949:V963 V966:V979 V982:V991 V994:V1008 V1011:V1024 V1027:V1041 V1044:V1061 V1064:V1073 V1076:V1087 V1090:V1105 V1108:V1120 V1123:V1138 V1141:V1152 V1155:V1168 V1171:V1174 V1177:V1187 V1190:V1198 V1201:V1209 V1212:V1221 V1224:V1229 V1232:V1242 V1245:V1262 V1265:V1268 V1271:V1278 V1281:V1297 V1300:V1315 V1318:V1332 V1335:V1345 V1348:V1357 V1360:V1369 V1372:V1385 V1388:V1398 V1401:V1409 V1412:V1425 V1428:V1443 V1446:V1456 V1459:V1470 V1473:V1487 V1490:V1048576">
    <cfRule type="containsText" dxfId="1328" priority="1076" operator="containsText" text="penaltı">
      <formula>NOT(ISERROR(SEARCH("penaltı",V1)))</formula>
    </cfRule>
  </conditionalFormatting>
  <conditionalFormatting sqref="V13:V14">
    <cfRule type="cellIs" dxfId="1327" priority="1069" operator="equal">
      <formula>"Penaltı"</formula>
    </cfRule>
  </conditionalFormatting>
  <conditionalFormatting sqref="V32:V33">
    <cfRule type="cellIs" dxfId="1326" priority="1058" operator="equal">
      <formula>"Penaltı"</formula>
    </cfRule>
  </conditionalFormatting>
  <conditionalFormatting sqref="V50:V51">
    <cfRule type="cellIs" dxfId="1325" priority="1047" operator="equal">
      <formula>"Penaltı"</formula>
    </cfRule>
  </conditionalFormatting>
  <conditionalFormatting sqref="V62:V63">
    <cfRule type="cellIs" dxfId="1324" priority="1036" operator="equal">
      <formula>"Penaltı"</formula>
    </cfRule>
  </conditionalFormatting>
  <conditionalFormatting sqref="V73:V74">
    <cfRule type="cellIs" dxfId="1323" priority="1025" operator="equal">
      <formula>"Penaltı"</formula>
    </cfRule>
  </conditionalFormatting>
  <conditionalFormatting sqref="V80:V81">
    <cfRule type="cellIs" dxfId="1322" priority="1014" operator="equal">
      <formula>"Penaltı"</formula>
    </cfRule>
  </conditionalFormatting>
  <conditionalFormatting sqref="V94:V95">
    <cfRule type="cellIs" dxfId="1321" priority="1003" operator="equal">
      <formula>"Penaltı"</formula>
    </cfRule>
  </conditionalFormatting>
  <conditionalFormatting sqref="V108:V109">
    <cfRule type="cellIs" dxfId="1320" priority="992" operator="equal">
      <formula>"Penaltı"</formula>
    </cfRule>
  </conditionalFormatting>
  <conditionalFormatting sqref="V120:V121">
    <cfRule type="cellIs" dxfId="1319" priority="981" operator="equal">
      <formula>"Penaltı"</formula>
    </cfRule>
  </conditionalFormatting>
  <conditionalFormatting sqref="V132:V133">
    <cfRule type="cellIs" dxfId="1318" priority="970" operator="equal">
      <formula>"Penaltı"</formula>
    </cfRule>
  </conditionalFormatting>
  <conditionalFormatting sqref="V148:V149">
    <cfRule type="cellIs" dxfId="1317" priority="959" operator="equal">
      <formula>"Penaltı"</formula>
    </cfRule>
  </conditionalFormatting>
  <conditionalFormatting sqref="V159:V160">
    <cfRule type="cellIs" dxfId="1316" priority="948" operator="equal">
      <formula>"Penaltı"</formula>
    </cfRule>
  </conditionalFormatting>
  <conditionalFormatting sqref="V167:V168">
    <cfRule type="cellIs" dxfId="1315" priority="937" operator="equal">
      <formula>"Penaltı"</formula>
    </cfRule>
  </conditionalFormatting>
  <conditionalFormatting sqref="V187:V188">
    <cfRule type="cellIs" dxfId="1314" priority="926" operator="equal">
      <formula>"Penaltı"</formula>
    </cfRule>
  </conditionalFormatting>
  <conditionalFormatting sqref="V192:V193">
    <cfRule type="cellIs" dxfId="1313" priority="915" operator="equal">
      <formula>"Penaltı"</formula>
    </cfRule>
  </conditionalFormatting>
  <conditionalFormatting sqref="V205:V206">
    <cfRule type="cellIs" dxfId="1312" priority="904" operator="equal">
      <formula>"Penaltı"</formula>
    </cfRule>
  </conditionalFormatting>
  <conditionalFormatting sqref="V216:V217">
    <cfRule type="cellIs" dxfId="1311" priority="893" operator="equal">
      <formula>"Penaltı"</formula>
    </cfRule>
  </conditionalFormatting>
  <conditionalFormatting sqref="V231:V232">
    <cfRule type="cellIs" dxfId="1310" priority="882" operator="equal">
      <formula>"Penaltı"</formula>
    </cfRule>
  </conditionalFormatting>
  <conditionalFormatting sqref="V241:V242">
    <cfRule type="cellIs" dxfId="1309" priority="871" operator="equal">
      <formula>"Penaltı"</formula>
    </cfRule>
  </conditionalFormatting>
  <conditionalFormatting sqref="V252:V253">
    <cfRule type="cellIs" dxfId="1308" priority="860" operator="equal">
      <formula>"Penaltı"</formula>
    </cfRule>
  </conditionalFormatting>
  <conditionalFormatting sqref="V261:V262">
    <cfRule type="cellIs" dxfId="1307" priority="849" operator="equal">
      <formula>"Penaltı"</formula>
    </cfRule>
  </conditionalFormatting>
  <conditionalFormatting sqref="V272:V273">
    <cfRule type="cellIs" dxfId="1306" priority="838" operator="equal">
      <formula>"Penaltı"</formula>
    </cfRule>
  </conditionalFormatting>
  <conditionalFormatting sqref="V285:V286">
    <cfRule type="cellIs" dxfId="1305" priority="827" operator="equal">
      <formula>"Penaltı"</formula>
    </cfRule>
  </conditionalFormatting>
  <conditionalFormatting sqref="V295:V296">
    <cfRule type="cellIs" dxfId="1304" priority="816" operator="equal">
      <formula>"Penaltı"</formula>
    </cfRule>
  </conditionalFormatting>
  <conditionalFormatting sqref="V305:V306">
    <cfRule type="cellIs" dxfId="1303" priority="805" operator="equal">
      <formula>"Penaltı"</formula>
    </cfRule>
  </conditionalFormatting>
  <conditionalFormatting sqref="V320:V321">
    <cfRule type="cellIs" dxfId="1302" priority="794" operator="equal">
      <formula>"Penaltı"</formula>
    </cfRule>
  </conditionalFormatting>
  <conditionalFormatting sqref="V332:V333">
    <cfRule type="cellIs" dxfId="1301" priority="783" operator="equal">
      <formula>"Penaltı"</formula>
    </cfRule>
  </conditionalFormatting>
  <conditionalFormatting sqref="V343:V344">
    <cfRule type="cellIs" dxfId="1300" priority="772" operator="equal">
      <formula>"Penaltı"</formula>
    </cfRule>
  </conditionalFormatting>
  <conditionalFormatting sqref="V354:V355">
    <cfRule type="cellIs" dxfId="1299" priority="761" operator="equal">
      <formula>"Penaltı"</formula>
    </cfRule>
  </conditionalFormatting>
  <conditionalFormatting sqref="V368:V369">
    <cfRule type="cellIs" dxfId="1298" priority="750" operator="equal">
      <formula>"Penaltı"</formula>
    </cfRule>
  </conditionalFormatting>
  <conditionalFormatting sqref="V384:V385">
    <cfRule type="cellIs" dxfId="1297" priority="739" operator="equal">
      <formula>"Penaltı"</formula>
    </cfRule>
  </conditionalFormatting>
  <conditionalFormatting sqref="V393:V394">
    <cfRule type="cellIs" dxfId="1296" priority="728" operator="equal">
      <formula>"Penaltı"</formula>
    </cfRule>
  </conditionalFormatting>
  <conditionalFormatting sqref="V403:V404">
    <cfRule type="cellIs" dxfId="1295" priority="717" operator="equal">
      <formula>"Penaltı"</formula>
    </cfRule>
  </conditionalFormatting>
  <conditionalFormatting sqref="V423:V424">
    <cfRule type="cellIs" dxfId="1294" priority="706" operator="equal">
      <formula>"Penaltı"</formula>
    </cfRule>
  </conditionalFormatting>
  <conditionalFormatting sqref="V432:V433">
    <cfRule type="cellIs" dxfId="1293" priority="695" operator="equal">
      <formula>"Penaltı"</formula>
    </cfRule>
  </conditionalFormatting>
  <conditionalFormatting sqref="V442:V443">
    <cfRule type="cellIs" dxfId="1292" priority="684" operator="equal">
      <formula>"Penaltı"</formula>
    </cfRule>
  </conditionalFormatting>
  <conditionalFormatting sqref="V460:V461">
    <cfRule type="cellIs" dxfId="1291" priority="673" operator="equal">
      <formula>"Penaltı"</formula>
    </cfRule>
  </conditionalFormatting>
  <conditionalFormatting sqref="V477:V478">
    <cfRule type="cellIs" dxfId="1290" priority="662" operator="equal">
      <formula>"Penaltı"</formula>
    </cfRule>
  </conditionalFormatting>
  <conditionalFormatting sqref="V495:V496">
    <cfRule type="cellIs" dxfId="1289" priority="651" operator="equal">
      <formula>"Penaltı"</formula>
    </cfRule>
  </conditionalFormatting>
  <conditionalFormatting sqref="V510:V511">
    <cfRule type="cellIs" dxfId="1288" priority="640" operator="equal">
      <formula>"Penaltı"</formula>
    </cfRule>
  </conditionalFormatting>
  <conditionalFormatting sqref="V526:V527">
    <cfRule type="cellIs" dxfId="1287" priority="629" operator="equal">
      <formula>"Penaltı"</formula>
    </cfRule>
  </conditionalFormatting>
  <conditionalFormatting sqref="V549:V550">
    <cfRule type="cellIs" dxfId="1286" priority="618" operator="equal">
      <formula>"Penaltı"</formula>
    </cfRule>
  </conditionalFormatting>
  <conditionalFormatting sqref="V566:V567">
    <cfRule type="cellIs" dxfId="1285" priority="607" operator="equal">
      <formula>"Penaltı"</formula>
    </cfRule>
  </conditionalFormatting>
  <conditionalFormatting sqref="V581:V582">
    <cfRule type="cellIs" dxfId="1284" priority="596" operator="equal">
      <formula>"Penaltı"</formula>
    </cfRule>
  </conditionalFormatting>
  <conditionalFormatting sqref="V588:V589">
    <cfRule type="cellIs" dxfId="1283" priority="585" operator="equal">
      <formula>"Penaltı"</formula>
    </cfRule>
  </conditionalFormatting>
  <conditionalFormatting sqref="V608:V609">
    <cfRule type="cellIs" dxfId="1282" priority="574" operator="equal">
      <formula>"Penaltı"</formula>
    </cfRule>
  </conditionalFormatting>
  <conditionalFormatting sqref="V619:V620">
    <cfRule type="cellIs" dxfId="1281" priority="563" operator="equal">
      <formula>"Penaltı"</formula>
    </cfRule>
  </conditionalFormatting>
  <conditionalFormatting sqref="V634:V635">
    <cfRule type="cellIs" dxfId="1280" priority="552" operator="equal">
      <formula>"Penaltı"</formula>
    </cfRule>
  </conditionalFormatting>
  <conditionalFormatting sqref="V647:V648">
    <cfRule type="cellIs" dxfId="1279" priority="541" operator="equal">
      <formula>"Penaltı"</formula>
    </cfRule>
  </conditionalFormatting>
  <conditionalFormatting sqref="V664:V665">
    <cfRule type="cellIs" dxfId="1278" priority="530" operator="equal">
      <formula>"Penaltı"</formula>
    </cfRule>
  </conditionalFormatting>
  <conditionalFormatting sqref="V677:V678">
    <cfRule type="cellIs" dxfId="1277" priority="519" operator="equal">
      <formula>"Penaltı"</formula>
    </cfRule>
  </conditionalFormatting>
  <conditionalFormatting sqref="V689:V690">
    <cfRule type="cellIs" dxfId="1276" priority="508" operator="equal">
      <formula>"Penaltı"</formula>
    </cfRule>
  </conditionalFormatting>
  <conditionalFormatting sqref="V709:V710">
    <cfRule type="cellIs" dxfId="1275" priority="497" operator="equal">
      <formula>"Penaltı"</formula>
    </cfRule>
  </conditionalFormatting>
  <conditionalFormatting sqref="V731:V732">
    <cfRule type="cellIs" dxfId="1274" priority="486" operator="equal">
      <formula>"Penaltı"</formula>
    </cfRule>
  </conditionalFormatting>
  <conditionalFormatting sqref="V746:V747">
    <cfRule type="cellIs" dxfId="1273" priority="475" operator="equal">
      <formula>"Penaltı"</formula>
    </cfRule>
  </conditionalFormatting>
  <conditionalFormatting sqref="V753:V754">
    <cfRule type="cellIs" dxfId="1272" priority="464" operator="equal">
      <formula>"Penaltı"</formula>
    </cfRule>
  </conditionalFormatting>
  <conditionalFormatting sqref="V773:V774">
    <cfRule type="cellIs" dxfId="1271" priority="453" operator="equal">
      <formula>"Penaltı"</formula>
    </cfRule>
  </conditionalFormatting>
  <conditionalFormatting sqref="V786:V787">
    <cfRule type="cellIs" dxfId="1270" priority="442" operator="equal">
      <formula>"Penaltı"</formula>
    </cfRule>
  </conditionalFormatting>
  <conditionalFormatting sqref="V800:V801">
    <cfRule type="cellIs" dxfId="1269" priority="431" operator="equal">
      <formula>"Penaltı"</formula>
    </cfRule>
  </conditionalFormatting>
  <conditionalFormatting sqref="V818:V819">
    <cfRule type="cellIs" dxfId="1268" priority="420" operator="equal">
      <formula>"Penaltı"</formula>
    </cfRule>
  </conditionalFormatting>
  <conditionalFormatting sqref="V831:V832">
    <cfRule type="cellIs" dxfId="1267" priority="409" operator="equal">
      <formula>"Penaltı"</formula>
    </cfRule>
  </conditionalFormatting>
  <conditionalFormatting sqref="V837:V838">
    <cfRule type="cellIs" dxfId="1266" priority="398" operator="equal">
      <formula>"Penaltı"</formula>
    </cfRule>
  </conditionalFormatting>
  <conditionalFormatting sqref="V849:V850">
    <cfRule type="cellIs" dxfId="1265" priority="387" operator="equal">
      <formula>"Penaltı"</formula>
    </cfRule>
  </conditionalFormatting>
  <conditionalFormatting sqref="V859:V860">
    <cfRule type="cellIs" dxfId="1264" priority="376" operator="equal">
      <formula>"Penaltı"</formula>
    </cfRule>
  </conditionalFormatting>
  <conditionalFormatting sqref="V876:V877">
    <cfRule type="cellIs" dxfId="1263" priority="365" operator="equal">
      <formula>"Penaltı"</formula>
    </cfRule>
  </conditionalFormatting>
  <conditionalFormatting sqref="V886:V887">
    <cfRule type="cellIs" dxfId="1262" priority="354" operator="equal">
      <formula>"Penaltı"</formula>
    </cfRule>
  </conditionalFormatting>
  <conditionalFormatting sqref="V902:V903">
    <cfRule type="cellIs" dxfId="1261" priority="343" operator="equal">
      <formula>"Penaltı"</formula>
    </cfRule>
  </conditionalFormatting>
  <conditionalFormatting sqref="V915:V916">
    <cfRule type="cellIs" dxfId="1260" priority="332" operator="equal">
      <formula>"Penaltı"</formula>
    </cfRule>
  </conditionalFormatting>
  <conditionalFormatting sqref="V924:V925">
    <cfRule type="cellIs" dxfId="1259" priority="321" operator="equal">
      <formula>"Penaltı"</formula>
    </cfRule>
  </conditionalFormatting>
  <conditionalFormatting sqref="V939:V940">
    <cfRule type="cellIs" dxfId="1258" priority="310" operator="equal">
      <formula>"Penaltı"</formula>
    </cfRule>
  </conditionalFormatting>
  <conditionalFormatting sqref="V947:V948">
    <cfRule type="cellIs" dxfId="1257" priority="299" operator="equal">
      <formula>"Penaltı"</formula>
    </cfRule>
  </conditionalFormatting>
  <conditionalFormatting sqref="V964:V965">
    <cfRule type="cellIs" dxfId="1256" priority="288" operator="equal">
      <formula>"Penaltı"</formula>
    </cfRule>
  </conditionalFormatting>
  <conditionalFormatting sqref="V980:V981">
    <cfRule type="cellIs" dxfId="1255" priority="277" operator="equal">
      <formula>"Penaltı"</formula>
    </cfRule>
  </conditionalFormatting>
  <conditionalFormatting sqref="V992:V993">
    <cfRule type="cellIs" dxfId="1254" priority="266" operator="equal">
      <formula>"Penaltı"</formula>
    </cfRule>
  </conditionalFormatting>
  <conditionalFormatting sqref="V1009:V1010">
    <cfRule type="cellIs" dxfId="1253" priority="255" operator="equal">
      <formula>"Penaltı"</formula>
    </cfRule>
  </conditionalFormatting>
  <conditionalFormatting sqref="V1025:V1026">
    <cfRule type="cellIs" dxfId="1252" priority="244" operator="equal">
      <formula>"Penaltı"</formula>
    </cfRule>
  </conditionalFormatting>
  <conditionalFormatting sqref="V1042:V1043">
    <cfRule type="cellIs" dxfId="1251" priority="233" operator="equal">
      <formula>"Penaltı"</formula>
    </cfRule>
  </conditionalFormatting>
  <conditionalFormatting sqref="V1062:V1063">
    <cfRule type="cellIs" dxfId="1250" priority="222" operator="equal">
      <formula>"Penaltı"</formula>
    </cfRule>
  </conditionalFormatting>
  <conditionalFormatting sqref="V1074:V1075">
    <cfRule type="cellIs" dxfId="1249" priority="211" operator="equal">
      <formula>"Penaltı"</formula>
    </cfRule>
  </conditionalFormatting>
  <conditionalFormatting sqref="V1088:V1089">
    <cfRule type="cellIs" dxfId="1248" priority="200" operator="equal">
      <formula>"Penaltı"</formula>
    </cfRule>
  </conditionalFormatting>
  <conditionalFormatting sqref="V1106:V1107">
    <cfRule type="cellIs" dxfId="1247" priority="189" operator="equal">
      <formula>"Penaltı"</formula>
    </cfRule>
  </conditionalFormatting>
  <conditionalFormatting sqref="V1121:V1122">
    <cfRule type="cellIs" dxfId="1246" priority="184" operator="equal">
      <formula>"Penaltı"</formula>
    </cfRule>
  </conditionalFormatting>
  <conditionalFormatting sqref="V1139:V1140">
    <cfRule type="cellIs" dxfId="1245" priority="179" operator="equal">
      <formula>"Penaltı"</formula>
    </cfRule>
  </conditionalFormatting>
  <conditionalFormatting sqref="V1153:V1154">
    <cfRule type="cellIs" dxfId="1244" priority="174" operator="equal">
      <formula>"Penaltı"</formula>
    </cfRule>
  </conditionalFormatting>
  <conditionalFormatting sqref="V1169:V1170">
    <cfRule type="cellIs" dxfId="1243" priority="169" operator="equal">
      <formula>"Penaltı"</formula>
    </cfRule>
  </conditionalFormatting>
  <conditionalFormatting sqref="V1175:V1176">
    <cfRule type="cellIs" dxfId="1242" priority="68" operator="equal">
      <formula>"Penaltı"</formula>
    </cfRule>
  </conditionalFormatting>
  <conditionalFormatting sqref="V1188:V1189">
    <cfRule type="cellIs" dxfId="1241" priority="60" operator="equal">
      <formula>"Penaltı"</formula>
    </cfRule>
  </conditionalFormatting>
  <conditionalFormatting sqref="V1199:V1200">
    <cfRule type="cellIs" dxfId="1240" priority="52" operator="equal">
      <formula>"Penaltı"</formula>
    </cfRule>
  </conditionalFormatting>
  <conditionalFormatting sqref="V1210:V1211">
    <cfRule type="cellIs" dxfId="1239" priority="44" operator="equal">
      <formula>"Penaltı"</formula>
    </cfRule>
  </conditionalFormatting>
  <conditionalFormatting sqref="V1222:V1223">
    <cfRule type="cellIs" dxfId="1238" priority="36" operator="equal">
      <formula>"Penaltı"</formula>
    </cfRule>
  </conditionalFormatting>
  <conditionalFormatting sqref="V1230:V1231">
    <cfRule type="cellIs" dxfId="1237" priority="28" operator="equal">
      <formula>"Penaltı"</formula>
    </cfRule>
  </conditionalFormatting>
  <conditionalFormatting sqref="V1243:V1244">
    <cfRule type="cellIs" dxfId="1236" priority="19" operator="equal">
      <formula>"Penaltı"</formula>
    </cfRule>
  </conditionalFormatting>
  <conditionalFormatting sqref="V1263:V1264">
    <cfRule type="cellIs" dxfId="1235" priority="18" operator="equal">
      <formula>"Penaltı"</formula>
    </cfRule>
  </conditionalFormatting>
  <conditionalFormatting sqref="V1269:V1270">
    <cfRule type="cellIs" dxfId="1234" priority="17" operator="equal">
      <formula>"Penaltı"</formula>
    </cfRule>
  </conditionalFormatting>
  <conditionalFormatting sqref="V1279:V1280">
    <cfRule type="cellIs" dxfId="1233" priority="16" operator="equal">
      <formula>"Penaltı"</formula>
    </cfRule>
  </conditionalFormatting>
  <conditionalFormatting sqref="V1298:V1299">
    <cfRule type="cellIs" dxfId="1232" priority="15" operator="equal">
      <formula>"Penaltı"</formula>
    </cfRule>
  </conditionalFormatting>
  <conditionalFormatting sqref="V1316:V1317">
    <cfRule type="cellIs" dxfId="1231" priority="14" operator="equal">
      <formula>"Penaltı"</formula>
    </cfRule>
  </conditionalFormatting>
  <conditionalFormatting sqref="V1333:V1334">
    <cfRule type="cellIs" dxfId="1230" priority="12" operator="equal">
      <formula>"Penaltı"</formula>
    </cfRule>
  </conditionalFormatting>
  <conditionalFormatting sqref="V1346:V1347">
    <cfRule type="cellIs" dxfId="1229" priority="11" operator="equal">
      <formula>"Penaltı"</formula>
    </cfRule>
  </conditionalFormatting>
  <conditionalFormatting sqref="V1358:V1359">
    <cfRule type="cellIs" dxfId="1228" priority="10" operator="equal">
      <formula>"Penaltı"</formula>
    </cfRule>
  </conditionalFormatting>
  <conditionalFormatting sqref="V1370:V1371">
    <cfRule type="cellIs" dxfId="1227" priority="9" operator="equal">
      <formula>"Penaltı"</formula>
    </cfRule>
  </conditionalFormatting>
  <conditionalFormatting sqref="V1386:V1387">
    <cfRule type="cellIs" dxfId="1226" priority="8" operator="equal">
      <formula>"Penaltı"</formula>
    </cfRule>
  </conditionalFormatting>
  <conditionalFormatting sqref="V1399:V1400">
    <cfRule type="cellIs" dxfId="1225" priority="7" operator="equal">
      <formula>"Penaltı"</formula>
    </cfRule>
  </conditionalFormatting>
  <conditionalFormatting sqref="V1410:V1411">
    <cfRule type="cellIs" dxfId="1224" priority="6" operator="equal">
      <formula>"Penaltı"</formula>
    </cfRule>
  </conditionalFormatting>
  <conditionalFormatting sqref="V1426:V1427">
    <cfRule type="cellIs" dxfId="1223" priority="5" operator="equal">
      <formula>"Penaltı"</formula>
    </cfRule>
  </conditionalFormatting>
  <conditionalFormatting sqref="W725:X725 W726:Y1048576">
    <cfRule type="cellIs" dxfId="1222" priority="1081" operator="between">
      <formula>0.6</formula>
      <formula>0.99</formula>
    </cfRule>
    <cfRule type="cellIs" dxfId="1221" priority="1082" operator="between">
      <formula>0.3</formula>
      <formula>0.6</formula>
    </cfRule>
    <cfRule type="cellIs" dxfId="1220" priority="1083" operator="between">
      <formula>0.1</formula>
      <formula>0.3</formula>
    </cfRule>
  </conditionalFormatting>
  <conditionalFormatting sqref="W1:Y724">
    <cfRule type="cellIs" dxfId="1219" priority="487" operator="between">
      <formula>0.6</formula>
      <formula>0.99</formula>
    </cfRule>
    <cfRule type="cellIs" dxfId="1218" priority="488" operator="between">
      <formula>0.3</formula>
      <formula>0.6</formula>
    </cfRule>
    <cfRule type="cellIs" dxfId="1217" priority="489" operator="between">
      <formula>0.1</formula>
      <formula>0.3</formula>
    </cfRule>
  </conditionalFormatting>
  <conditionalFormatting sqref="Z1:Z1048576">
    <cfRule type="cellIs" dxfId="1216" priority="13" operator="equal">
      <formula>"Çizgiden Çıkarıldı"</formula>
    </cfRule>
    <cfRule type="cellIs" dxfId="1215" priority="197" operator="equal">
      <formula>"Kendi Kalesine Gol"</formula>
    </cfRule>
    <cfRule type="cellIs" dxfId="1214" priority="198" operator="equal">
      <formula>"Direkten Döndü"</formula>
    </cfRule>
    <cfRule type="cellIs" dxfId="1213" priority="199" operator="equal">
      <formula>"Gol"</formula>
    </cfRule>
  </conditionalFormatting>
  <conditionalFormatting sqref="V1444:V1445">
    <cfRule type="cellIs" dxfId="1212" priority="4" operator="equal">
      <formula>"Penaltı"</formula>
    </cfRule>
  </conditionalFormatting>
  <conditionalFormatting sqref="V1457:V1458">
    <cfRule type="cellIs" dxfId="1211" priority="3" operator="equal">
      <formula>"Penaltı"</formula>
    </cfRule>
  </conditionalFormatting>
  <conditionalFormatting sqref="V1471:V1472">
    <cfRule type="cellIs" dxfId="1210" priority="2" operator="equal">
      <formula>"Penaltı"</formula>
    </cfRule>
  </conditionalFormatting>
  <conditionalFormatting sqref="V1488:V1489">
    <cfRule type="cellIs" dxfId="0" priority="1" operator="equal">
      <formula>"Penaltı"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6CB9-1209-44CF-B88F-4FAE71139759}">
  <sheetPr>
    <tabColor theme="9" tint="0.39997558519241921"/>
  </sheetPr>
  <dimension ref="A1:BF111"/>
  <sheetViews>
    <sheetView workbookViewId="0">
      <pane ySplit="1" topLeftCell="A85" activePane="bottomLeft" state="frozen"/>
      <selection pane="bottomLeft" activeCell="J115" sqref="J115"/>
    </sheetView>
  </sheetViews>
  <sheetFormatPr defaultRowHeight="15" x14ac:dyDescent="0.25"/>
  <cols>
    <col min="1" max="1" width="13.28515625" style="329" customWidth="1"/>
    <col min="2" max="2" width="2.7109375" style="5" customWidth="1"/>
    <col min="3" max="3" width="12.7109375" style="5" customWidth="1"/>
    <col min="4" max="5" width="4.7109375" style="7" customWidth="1"/>
    <col min="6" max="6" width="12.7109375" style="5" customWidth="1"/>
    <col min="7" max="7" width="9.7109375" style="44" customWidth="1"/>
    <col min="8" max="8" width="3.7109375" style="42" customWidth="1"/>
    <col min="9" max="9" width="3.7109375" style="26" customWidth="1"/>
    <col min="10" max="10" width="5.28515625" style="33" customWidth="1"/>
    <col min="11" max="11" width="5.28515625" style="34" customWidth="1"/>
    <col min="12" max="12" width="3.7109375" style="25" customWidth="1"/>
    <col min="13" max="13" width="3.7109375" style="26" customWidth="1"/>
    <col min="14" max="14" width="3.7109375" style="25" customWidth="1"/>
    <col min="15" max="15" width="3.7109375" style="26" customWidth="1"/>
    <col min="16" max="16" width="3.7109375" style="25" customWidth="1"/>
    <col min="17" max="17" width="3.7109375" style="26" customWidth="1"/>
    <col min="18" max="18" width="3.7109375" style="25" customWidth="1"/>
    <col min="19" max="19" width="3.7109375" style="26" customWidth="1"/>
    <col min="20" max="20" width="5.28515625" style="33" customWidth="1"/>
    <col min="21" max="21" width="5.28515625" style="484" customWidth="1"/>
    <col min="22" max="22" width="3.7109375" style="25" customWidth="1"/>
    <col min="23" max="23" width="3.7109375" style="26" customWidth="1"/>
    <col min="24" max="24" width="3.7109375" style="25" customWidth="1"/>
    <col min="25" max="25" width="3.7109375" style="26" customWidth="1"/>
    <col min="26" max="26" width="4.28515625" style="25" customWidth="1"/>
    <col min="27" max="27" width="4.28515625" style="26" customWidth="1"/>
    <col min="28" max="28" width="3.7109375" style="25" customWidth="1"/>
    <col min="29" max="29" width="3.7109375" style="26" customWidth="1"/>
    <col min="30" max="30" width="3.7109375" style="25" customWidth="1"/>
    <col min="31" max="31" width="3.7109375" style="26" customWidth="1"/>
    <col min="32" max="32" width="2.7109375" style="25" customWidth="1"/>
    <col min="33" max="33" width="2.7109375" style="26" customWidth="1"/>
    <col min="34" max="34" width="3.28515625" style="487" customWidth="1"/>
    <col min="35" max="35" width="3.28515625" style="488" customWidth="1"/>
    <col min="36" max="36" width="3.28515625" style="487" customWidth="1"/>
    <col min="37" max="37" width="3.28515625" style="489" customWidth="1"/>
    <col min="38" max="38" width="4.7109375" style="173" customWidth="1"/>
    <col min="39" max="39" width="5.28515625" style="364" customWidth="1"/>
    <col min="40" max="43" width="4.28515625" style="144" customWidth="1"/>
    <col min="44" max="44" width="5.28515625" style="365" customWidth="1"/>
    <col min="45" max="45" width="4.28515625" style="144" customWidth="1"/>
    <col min="46" max="46" width="4.7109375" style="5" customWidth="1"/>
    <col min="47" max="47" width="5.28515625" style="372" customWidth="1"/>
    <col min="48" max="51" width="4.28515625" style="5" customWidth="1"/>
    <col min="52" max="52" width="5.28515625" style="372" customWidth="1"/>
    <col min="53" max="53" width="4.28515625" style="57" customWidth="1"/>
    <col min="54" max="54" width="3.7109375" style="393" customWidth="1"/>
    <col min="55" max="55" width="3.7109375" style="394" customWidth="1"/>
    <col min="56" max="56" width="3.7109375" style="395" customWidth="1"/>
    <col min="57" max="57" width="3.7109375" style="396" customWidth="1"/>
    <col min="58" max="58" width="9.140625" style="38"/>
    <col min="59" max="16384" width="9.140625" style="5"/>
  </cols>
  <sheetData>
    <row r="1" spans="1:57" x14ac:dyDescent="0.25">
      <c r="A1" s="322" t="s">
        <v>37</v>
      </c>
      <c r="B1" s="24" t="s">
        <v>38</v>
      </c>
      <c r="C1" s="1" t="s">
        <v>635</v>
      </c>
      <c r="D1" s="3" t="s">
        <v>636</v>
      </c>
      <c r="E1" s="3" t="s">
        <v>637</v>
      </c>
      <c r="F1" s="1" t="s">
        <v>638</v>
      </c>
      <c r="G1" s="35" t="s">
        <v>586</v>
      </c>
      <c r="H1" s="369" t="s">
        <v>587</v>
      </c>
      <c r="I1" s="39" t="s">
        <v>588</v>
      </c>
      <c r="J1" s="370" t="s">
        <v>589</v>
      </c>
      <c r="K1" s="370" t="s">
        <v>590</v>
      </c>
      <c r="L1" s="87" t="s">
        <v>593</v>
      </c>
      <c r="M1" s="87" t="s">
        <v>594</v>
      </c>
      <c r="N1" s="87" t="s">
        <v>595</v>
      </c>
      <c r="O1" s="87" t="s">
        <v>596</v>
      </c>
      <c r="P1" s="40" t="s">
        <v>597</v>
      </c>
      <c r="Q1" s="40" t="s">
        <v>598</v>
      </c>
      <c r="R1" s="40" t="s">
        <v>599</v>
      </c>
      <c r="S1" s="40" t="s">
        <v>600</v>
      </c>
      <c r="T1" s="371" t="s">
        <v>601</v>
      </c>
      <c r="U1" s="483" t="s">
        <v>602</v>
      </c>
      <c r="V1" s="39" t="s">
        <v>603</v>
      </c>
      <c r="W1" s="39" t="s">
        <v>604</v>
      </c>
      <c r="X1" s="39" t="s">
        <v>605</v>
      </c>
      <c r="Y1" s="39" t="s">
        <v>606</v>
      </c>
      <c r="Z1" s="39" t="s">
        <v>607</v>
      </c>
      <c r="AA1" s="39" t="s">
        <v>608</v>
      </c>
      <c r="AB1" s="39" t="s">
        <v>609</v>
      </c>
      <c r="AC1" s="39" t="s">
        <v>610</v>
      </c>
      <c r="AD1" s="39" t="s">
        <v>611</v>
      </c>
      <c r="AE1" s="39" t="s">
        <v>612</v>
      </c>
      <c r="AF1" s="39" t="s">
        <v>613</v>
      </c>
      <c r="AG1" s="39" t="s">
        <v>614</v>
      </c>
      <c r="AH1" s="485" t="s">
        <v>615</v>
      </c>
      <c r="AI1" s="485" t="s">
        <v>616</v>
      </c>
      <c r="AJ1" s="485" t="s">
        <v>617</v>
      </c>
      <c r="AK1" s="486" t="s">
        <v>618</v>
      </c>
      <c r="AL1" s="85" t="s">
        <v>619</v>
      </c>
      <c r="AM1" s="84" t="s">
        <v>639</v>
      </c>
      <c r="AN1" s="39" t="s">
        <v>620</v>
      </c>
      <c r="AO1" s="39" t="s">
        <v>621</v>
      </c>
      <c r="AP1" s="40" t="s">
        <v>622</v>
      </c>
      <c r="AQ1" s="87" t="s">
        <v>623</v>
      </c>
      <c r="AR1" s="341" t="s">
        <v>640</v>
      </c>
      <c r="AS1" s="39" t="s">
        <v>624</v>
      </c>
      <c r="AT1" s="87" t="s">
        <v>625</v>
      </c>
      <c r="AU1" s="341" t="s">
        <v>641</v>
      </c>
      <c r="AV1" s="39" t="s">
        <v>626</v>
      </c>
      <c r="AW1" s="39" t="s">
        <v>627</v>
      </c>
      <c r="AX1" s="40" t="s">
        <v>628</v>
      </c>
      <c r="AY1" s="87" t="s">
        <v>629</v>
      </c>
      <c r="AZ1" s="341" t="s">
        <v>642</v>
      </c>
      <c r="BA1" s="41" t="s">
        <v>630</v>
      </c>
      <c r="BB1" s="391" t="s">
        <v>631</v>
      </c>
      <c r="BC1" s="391" t="s">
        <v>632</v>
      </c>
      <c r="BD1" s="391" t="s">
        <v>633</v>
      </c>
      <c r="BE1" s="392" t="s">
        <v>634</v>
      </c>
    </row>
    <row r="2" spans="1:57" x14ac:dyDescent="0.25">
      <c r="A2" s="329">
        <v>45884</v>
      </c>
      <c r="B2" s="5">
        <v>1</v>
      </c>
      <c r="C2" s="26" t="s">
        <v>69</v>
      </c>
      <c r="D2" s="7">
        <v>1</v>
      </c>
      <c r="E2" s="7">
        <v>3</v>
      </c>
      <c r="F2" s="5" t="s">
        <v>70</v>
      </c>
      <c r="G2" s="242" t="s">
        <v>534</v>
      </c>
      <c r="H2" s="42">
        <v>44</v>
      </c>
      <c r="I2" s="26">
        <v>56</v>
      </c>
      <c r="J2" s="33">
        <v>0.56000000000000005</v>
      </c>
      <c r="K2" s="34">
        <v>3.43</v>
      </c>
      <c r="L2" s="25">
        <v>1</v>
      </c>
      <c r="M2" s="26">
        <v>4</v>
      </c>
      <c r="N2" s="25">
        <v>7</v>
      </c>
      <c r="O2" s="26">
        <v>16</v>
      </c>
      <c r="P2" s="25">
        <v>2</v>
      </c>
      <c r="Q2" s="26">
        <v>1</v>
      </c>
      <c r="R2" s="25">
        <v>0</v>
      </c>
      <c r="S2" s="26">
        <v>0</v>
      </c>
      <c r="T2" s="33">
        <v>0.2</v>
      </c>
      <c r="U2" s="484">
        <v>-0.28000000000000003</v>
      </c>
      <c r="V2" s="25">
        <v>2</v>
      </c>
      <c r="W2" s="26">
        <v>4</v>
      </c>
      <c r="X2" s="25">
        <v>8</v>
      </c>
      <c r="Y2" s="26">
        <v>17</v>
      </c>
      <c r="Z2" s="25">
        <v>382</v>
      </c>
      <c r="AA2" s="26">
        <v>481</v>
      </c>
      <c r="AB2" s="25">
        <v>13</v>
      </c>
      <c r="AC2" s="26">
        <v>27</v>
      </c>
      <c r="AD2" s="25">
        <v>17</v>
      </c>
      <c r="AE2" s="26">
        <v>7</v>
      </c>
      <c r="AF2" s="25">
        <v>0</v>
      </c>
      <c r="AG2" s="26">
        <v>1</v>
      </c>
      <c r="AH2" s="487">
        <v>1</v>
      </c>
      <c r="AI2" s="488">
        <v>0</v>
      </c>
      <c r="AJ2" s="487">
        <v>0</v>
      </c>
      <c r="AK2" s="489">
        <v>1</v>
      </c>
      <c r="AL2" s="173">
        <v>2</v>
      </c>
      <c r="AM2" s="364">
        <f>AL2/N2</f>
        <v>0.2857142857142857</v>
      </c>
      <c r="AN2" s="144">
        <v>0</v>
      </c>
      <c r="AO2" s="144">
        <v>2</v>
      </c>
      <c r="AP2" s="144">
        <v>3</v>
      </c>
      <c r="AQ2" s="144">
        <v>3</v>
      </c>
      <c r="AR2" s="365">
        <f>AQ2/N2</f>
        <v>0.42857142857142855</v>
      </c>
      <c r="AS2" s="144">
        <v>4</v>
      </c>
      <c r="AT2" s="5">
        <v>5</v>
      </c>
      <c r="AU2" s="372">
        <f>AT2/O2</f>
        <v>0.3125</v>
      </c>
      <c r="AV2" s="5">
        <v>0</v>
      </c>
      <c r="AW2" s="5">
        <v>10</v>
      </c>
      <c r="AX2" s="5">
        <v>1</v>
      </c>
      <c r="AY2" s="5">
        <v>12</v>
      </c>
      <c r="AZ2" s="372">
        <f>AY2/O2</f>
        <v>0.75</v>
      </c>
      <c r="BA2" s="57">
        <v>4</v>
      </c>
      <c r="BB2" s="393">
        <v>2</v>
      </c>
      <c r="BC2" s="394">
        <v>1</v>
      </c>
      <c r="BD2" s="395">
        <v>1</v>
      </c>
      <c r="BE2" s="396">
        <v>0</v>
      </c>
    </row>
    <row r="3" spans="1:57" x14ac:dyDescent="0.25">
      <c r="A3" s="329">
        <v>45884</v>
      </c>
      <c r="B3" s="5">
        <v>1</v>
      </c>
      <c r="C3" s="5" t="s">
        <v>91</v>
      </c>
      <c r="D3" s="7">
        <v>2</v>
      </c>
      <c r="E3" s="7">
        <v>0</v>
      </c>
      <c r="F3" s="26" t="s">
        <v>92</v>
      </c>
      <c r="G3" s="242" t="s">
        <v>535</v>
      </c>
      <c r="H3" s="42">
        <v>68</v>
      </c>
      <c r="I3" s="26">
        <v>32</v>
      </c>
      <c r="J3" s="33">
        <v>2.44</v>
      </c>
      <c r="K3" s="34">
        <v>0.93</v>
      </c>
      <c r="L3" s="25">
        <v>3</v>
      </c>
      <c r="M3" s="26">
        <v>1</v>
      </c>
      <c r="N3" s="25">
        <v>25</v>
      </c>
      <c r="O3" s="26">
        <v>5</v>
      </c>
      <c r="P3" s="25">
        <v>4</v>
      </c>
      <c r="Q3" s="26">
        <v>8</v>
      </c>
      <c r="R3" s="25">
        <v>1</v>
      </c>
      <c r="S3" s="26">
        <v>2</v>
      </c>
      <c r="T3" s="33">
        <v>1.0900000000000001</v>
      </c>
      <c r="U3" s="484">
        <v>0.2</v>
      </c>
      <c r="V3" s="25">
        <v>10</v>
      </c>
      <c r="W3" s="26">
        <v>1</v>
      </c>
      <c r="X3" s="25">
        <v>10</v>
      </c>
      <c r="Y3" s="26">
        <v>8</v>
      </c>
      <c r="Z3" s="25">
        <v>668</v>
      </c>
      <c r="AA3" s="26">
        <v>326</v>
      </c>
      <c r="AB3" s="25">
        <v>11</v>
      </c>
      <c r="AC3" s="26">
        <v>11</v>
      </c>
      <c r="AD3" s="25">
        <v>8</v>
      </c>
      <c r="AE3" s="26">
        <v>9</v>
      </c>
      <c r="AF3" s="25">
        <v>1</v>
      </c>
      <c r="AG3" s="26">
        <v>2</v>
      </c>
      <c r="AH3" s="487">
        <v>0</v>
      </c>
      <c r="AI3" s="488">
        <v>1</v>
      </c>
      <c r="AJ3" s="487">
        <v>0</v>
      </c>
      <c r="AK3" s="489">
        <v>1</v>
      </c>
      <c r="AL3" s="173">
        <v>10</v>
      </c>
      <c r="AM3" s="364">
        <f t="shared" ref="AM3:AM66" si="0">AL3/N3</f>
        <v>0.4</v>
      </c>
      <c r="AN3" s="144">
        <v>0</v>
      </c>
      <c r="AO3" s="144">
        <v>11</v>
      </c>
      <c r="AP3" s="144">
        <v>4</v>
      </c>
      <c r="AQ3" s="144">
        <v>17</v>
      </c>
      <c r="AR3" s="365">
        <f t="shared" ref="AR3:AR66" si="1">AQ3/N3</f>
        <v>0.68</v>
      </c>
      <c r="AS3" s="144">
        <v>8</v>
      </c>
      <c r="AT3" s="5">
        <v>4</v>
      </c>
      <c r="AU3" s="372">
        <f t="shared" ref="AU3:AU66" si="2">AT3/O3</f>
        <v>0.8</v>
      </c>
      <c r="AV3" s="5">
        <v>0</v>
      </c>
      <c r="AW3" s="5">
        <v>1</v>
      </c>
      <c r="AX3" s="5">
        <v>0</v>
      </c>
      <c r="AY3" s="5">
        <v>3</v>
      </c>
      <c r="AZ3" s="372">
        <f t="shared" ref="AZ3:AZ66" si="3">AY3/O3</f>
        <v>0.6</v>
      </c>
      <c r="BA3" s="57">
        <v>2</v>
      </c>
      <c r="BB3" s="393">
        <v>1</v>
      </c>
      <c r="BC3" s="394">
        <v>0</v>
      </c>
      <c r="BD3" s="395">
        <v>2</v>
      </c>
      <c r="BE3" s="396">
        <v>0</v>
      </c>
    </row>
    <row r="4" spans="1:57" x14ac:dyDescent="0.25">
      <c r="A4" s="329">
        <v>45885</v>
      </c>
      <c r="B4" s="5">
        <v>1</v>
      </c>
      <c r="C4" s="26" t="s">
        <v>112</v>
      </c>
      <c r="D4" s="7">
        <v>0</v>
      </c>
      <c r="E4" s="7">
        <v>3</v>
      </c>
      <c r="F4" s="5" t="s">
        <v>113</v>
      </c>
      <c r="G4" s="242" t="s">
        <v>760</v>
      </c>
      <c r="H4" s="42">
        <v>29</v>
      </c>
      <c r="I4" s="26">
        <v>71</v>
      </c>
      <c r="J4" s="33">
        <v>0.21</v>
      </c>
      <c r="K4" s="34">
        <v>2.13</v>
      </c>
      <c r="L4" s="25">
        <v>1</v>
      </c>
      <c r="M4" s="26">
        <v>1</v>
      </c>
      <c r="N4" s="25">
        <v>4</v>
      </c>
      <c r="O4" s="26">
        <v>24</v>
      </c>
      <c r="P4" s="25">
        <v>5</v>
      </c>
      <c r="Q4" s="26">
        <v>1</v>
      </c>
      <c r="R4" s="25">
        <v>2</v>
      </c>
      <c r="S4" s="26">
        <v>0</v>
      </c>
      <c r="T4" s="33">
        <v>-0.59</v>
      </c>
      <c r="U4" s="484">
        <v>0.22</v>
      </c>
      <c r="V4" s="25">
        <v>3</v>
      </c>
      <c r="W4" s="26">
        <v>6</v>
      </c>
      <c r="X4" s="25">
        <v>8</v>
      </c>
      <c r="Y4" s="26">
        <v>17</v>
      </c>
      <c r="Z4" s="25">
        <v>225</v>
      </c>
      <c r="AA4" s="26">
        <v>569</v>
      </c>
      <c r="AB4" s="25">
        <v>12</v>
      </c>
      <c r="AC4" s="26">
        <v>15</v>
      </c>
      <c r="AD4" s="25">
        <v>17</v>
      </c>
      <c r="AE4" s="26">
        <v>8</v>
      </c>
      <c r="AF4" s="25">
        <v>4</v>
      </c>
      <c r="AG4" s="26">
        <v>1</v>
      </c>
      <c r="AH4" s="487">
        <v>2</v>
      </c>
      <c r="AI4" s="488">
        <v>0</v>
      </c>
      <c r="AJ4" s="487">
        <v>0</v>
      </c>
      <c r="AK4" s="489">
        <v>0</v>
      </c>
      <c r="AL4" s="173">
        <v>1</v>
      </c>
      <c r="AM4" s="364">
        <f t="shared" si="0"/>
        <v>0.25</v>
      </c>
      <c r="AN4" s="144">
        <v>0</v>
      </c>
      <c r="AO4" s="144">
        <v>2</v>
      </c>
      <c r="AP4" s="144">
        <v>1</v>
      </c>
      <c r="AQ4" s="144">
        <v>3</v>
      </c>
      <c r="AR4" s="365">
        <f t="shared" si="1"/>
        <v>0.75</v>
      </c>
      <c r="AS4" s="144">
        <v>1</v>
      </c>
      <c r="AT4" s="5">
        <v>8</v>
      </c>
      <c r="AU4" s="372">
        <f t="shared" si="2"/>
        <v>0.33333333333333331</v>
      </c>
      <c r="AV4" s="5">
        <v>2</v>
      </c>
      <c r="AW4" s="5">
        <v>9</v>
      </c>
      <c r="AX4" s="5">
        <v>7</v>
      </c>
      <c r="AY4" s="5">
        <v>11</v>
      </c>
      <c r="AZ4" s="372">
        <f t="shared" si="3"/>
        <v>0.45833333333333331</v>
      </c>
      <c r="BA4" s="57">
        <v>13</v>
      </c>
      <c r="BB4" s="393">
        <v>0</v>
      </c>
      <c r="BC4" s="394">
        <v>0</v>
      </c>
      <c r="BD4" s="395">
        <v>0</v>
      </c>
      <c r="BE4" s="396">
        <v>0</v>
      </c>
    </row>
    <row r="5" spans="1:57" x14ac:dyDescent="0.25">
      <c r="A5" s="329">
        <v>45885</v>
      </c>
      <c r="B5" s="5">
        <v>1</v>
      </c>
      <c r="C5" s="5" t="s">
        <v>128</v>
      </c>
      <c r="D5" s="7">
        <v>2</v>
      </c>
      <c r="E5" s="7">
        <v>1</v>
      </c>
      <c r="F5" s="5" t="s">
        <v>129</v>
      </c>
      <c r="H5" s="42">
        <v>62</v>
      </c>
      <c r="I5" s="26">
        <v>38</v>
      </c>
      <c r="J5" s="33">
        <v>1.29</v>
      </c>
      <c r="K5" s="34">
        <v>0.87</v>
      </c>
      <c r="L5" s="25">
        <v>2</v>
      </c>
      <c r="M5" s="26">
        <v>1</v>
      </c>
      <c r="N5" s="25">
        <v>15</v>
      </c>
      <c r="O5" s="26">
        <v>7</v>
      </c>
      <c r="P5" s="25">
        <v>2</v>
      </c>
      <c r="Q5" s="26">
        <v>2</v>
      </c>
      <c r="R5" s="25">
        <v>0</v>
      </c>
      <c r="S5" s="26">
        <v>1</v>
      </c>
      <c r="T5" s="33">
        <v>0.34</v>
      </c>
      <c r="U5" s="484">
        <v>0.22</v>
      </c>
      <c r="V5" s="25">
        <v>10</v>
      </c>
      <c r="W5" s="26">
        <v>1</v>
      </c>
      <c r="X5" s="25">
        <v>15</v>
      </c>
      <c r="Y5" s="26">
        <v>13</v>
      </c>
      <c r="Z5" s="25">
        <v>471</v>
      </c>
      <c r="AA5" s="26">
        <v>296</v>
      </c>
      <c r="AB5" s="25">
        <v>15</v>
      </c>
      <c r="AC5" s="26">
        <v>16</v>
      </c>
      <c r="AD5" s="25">
        <v>13</v>
      </c>
      <c r="AE5" s="26">
        <v>15</v>
      </c>
      <c r="AF5" s="25">
        <v>0</v>
      </c>
      <c r="AG5" s="26">
        <v>1</v>
      </c>
      <c r="AH5" s="487">
        <v>0</v>
      </c>
      <c r="AI5" s="488">
        <v>0</v>
      </c>
      <c r="AJ5" s="487">
        <v>0</v>
      </c>
      <c r="AK5" s="489">
        <v>0</v>
      </c>
      <c r="AL5" s="173">
        <v>4</v>
      </c>
      <c r="AM5" s="364">
        <f t="shared" si="0"/>
        <v>0.26666666666666666</v>
      </c>
      <c r="AN5" s="144">
        <v>0</v>
      </c>
      <c r="AO5" s="144">
        <v>7</v>
      </c>
      <c r="AP5" s="144">
        <v>4</v>
      </c>
      <c r="AQ5" s="144">
        <v>10</v>
      </c>
      <c r="AR5" s="365">
        <f t="shared" si="1"/>
        <v>0.66666666666666663</v>
      </c>
      <c r="AS5" s="144">
        <v>5</v>
      </c>
      <c r="AT5" s="5">
        <v>3</v>
      </c>
      <c r="AU5" s="372">
        <f t="shared" si="2"/>
        <v>0.42857142857142855</v>
      </c>
      <c r="AV5" s="5">
        <v>0</v>
      </c>
      <c r="AW5" s="5">
        <v>1</v>
      </c>
      <c r="AX5" s="5">
        <v>3</v>
      </c>
      <c r="AY5" s="5">
        <v>4</v>
      </c>
      <c r="AZ5" s="372">
        <f t="shared" si="3"/>
        <v>0.5714285714285714</v>
      </c>
      <c r="BA5" s="57">
        <v>3</v>
      </c>
      <c r="BB5" s="393">
        <v>0</v>
      </c>
      <c r="BC5" s="394">
        <v>0</v>
      </c>
      <c r="BD5" s="395">
        <v>0</v>
      </c>
      <c r="BE5" s="396">
        <v>1</v>
      </c>
    </row>
    <row r="6" spans="1:57" x14ac:dyDescent="0.25">
      <c r="A6" s="329">
        <v>45885</v>
      </c>
      <c r="B6" s="5">
        <v>1</v>
      </c>
      <c r="C6" s="5" t="s">
        <v>145</v>
      </c>
      <c r="D6" s="7">
        <v>1</v>
      </c>
      <c r="E6" s="7">
        <v>1</v>
      </c>
      <c r="F6" s="5" t="s">
        <v>146</v>
      </c>
      <c r="H6" s="42">
        <v>54</v>
      </c>
      <c r="I6" s="26">
        <v>46</v>
      </c>
      <c r="J6" s="33">
        <v>2.04</v>
      </c>
      <c r="K6" s="34">
        <v>0.81</v>
      </c>
      <c r="L6" s="25">
        <v>2</v>
      </c>
      <c r="M6" s="26">
        <v>1</v>
      </c>
      <c r="N6" s="25">
        <v>18</v>
      </c>
      <c r="O6" s="26">
        <v>13</v>
      </c>
      <c r="P6" s="25">
        <v>2</v>
      </c>
      <c r="Q6" s="26">
        <v>1</v>
      </c>
      <c r="R6" s="25">
        <v>0</v>
      </c>
      <c r="S6" s="26">
        <v>0</v>
      </c>
      <c r="T6" s="33">
        <v>-0.44</v>
      </c>
      <c r="U6" s="484">
        <v>-0.48</v>
      </c>
      <c r="V6" s="25">
        <v>8</v>
      </c>
      <c r="W6" s="26">
        <v>7</v>
      </c>
      <c r="X6" s="25">
        <v>5</v>
      </c>
      <c r="Y6" s="26">
        <v>11</v>
      </c>
      <c r="Z6" s="25">
        <v>395</v>
      </c>
      <c r="AA6" s="26">
        <v>340</v>
      </c>
      <c r="AB6" s="25">
        <v>12</v>
      </c>
      <c r="AC6" s="26">
        <v>19</v>
      </c>
      <c r="AD6" s="25">
        <v>11</v>
      </c>
      <c r="AE6" s="26">
        <v>5</v>
      </c>
      <c r="AF6" s="25">
        <v>1</v>
      </c>
      <c r="AG6" s="26">
        <v>2</v>
      </c>
      <c r="AH6" s="487">
        <v>0</v>
      </c>
      <c r="AI6" s="488">
        <v>0</v>
      </c>
      <c r="AJ6" s="487">
        <v>0</v>
      </c>
      <c r="AK6" s="489">
        <v>0</v>
      </c>
      <c r="AL6" s="173">
        <v>2</v>
      </c>
      <c r="AM6" s="364">
        <f t="shared" si="0"/>
        <v>0.1111111111111111</v>
      </c>
      <c r="AN6" s="144">
        <v>0</v>
      </c>
      <c r="AO6" s="144">
        <v>7</v>
      </c>
      <c r="AP6" s="144">
        <v>9</v>
      </c>
      <c r="AQ6" s="144">
        <v>11</v>
      </c>
      <c r="AR6" s="365">
        <f t="shared" si="1"/>
        <v>0.61111111111111116</v>
      </c>
      <c r="AS6" s="144">
        <v>7</v>
      </c>
      <c r="AT6" s="5">
        <v>3</v>
      </c>
      <c r="AU6" s="372">
        <f t="shared" si="2"/>
        <v>0.23076923076923078</v>
      </c>
      <c r="AV6" s="5">
        <v>0</v>
      </c>
      <c r="AW6" s="5">
        <v>7</v>
      </c>
      <c r="AX6" s="5">
        <v>3</v>
      </c>
      <c r="AY6" s="5">
        <v>6</v>
      </c>
      <c r="AZ6" s="372">
        <f t="shared" si="3"/>
        <v>0.46153846153846156</v>
      </c>
      <c r="BA6" s="57">
        <v>7</v>
      </c>
      <c r="BB6" s="393">
        <v>0</v>
      </c>
      <c r="BC6" s="394">
        <v>0</v>
      </c>
      <c r="BD6" s="395">
        <v>0</v>
      </c>
      <c r="BE6" s="396">
        <v>0</v>
      </c>
    </row>
    <row r="7" spans="1:57" x14ac:dyDescent="0.25">
      <c r="A7" s="329">
        <v>45886</v>
      </c>
      <c r="B7" s="5">
        <v>1</v>
      </c>
      <c r="C7" s="5" t="s">
        <v>456</v>
      </c>
      <c r="D7" s="7">
        <v>0</v>
      </c>
      <c r="E7" s="7">
        <v>2</v>
      </c>
      <c r="F7" s="5" t="s">
        <v>161</v>
      </c>
      <c r="H7" s="42">
        <v>69</v>
      </c>
      <c r="I7" s="26">
        <v>31</v>
      </c>
      <c r="J7" s="33">
        <v>0.73</v>
      </c>
      <c r="K7" s="34">
        <v>1.43</v>
      </c>
      <c r="L7" s="25">
        <v>1</v>
      </c>
      <c r="M7" s="26">
        <v>2</v>
      </c>
      <c r="N7" s="25">
        <v>11</v>
      </c>
      <c r="O7" s="26">
        <v>10</v>
      </c>
      <c r="P7" s="25">
        <v>1</v>
      </c>
      <c r="Q7" s="26">
        <v>4</v>
      </c>
      <c r="R7" s="25">
        <v>0</v>
      </c>
      <c r="S7" s="26">
        <v>2</v>
      </c>
      <c r="T7" s="33">
        <v>-0.28000000000000003</v>
      </c>
      <c r="U7" s="484">
        <v>0.44</v>
      </c>
      <c r="V7" s="25">
        <v>9</v>
      </c>
      <c r="W7" s="26">
        <v>3</v>
      </c>
      <c r="X7" s="25">
        <v>15</v>
      </c>
      <c r="Y7" s="26">
        <v>17</v>
      </c>
      <c r="Z7" s="25">
        <v>571</v>
      </c>
      <c r="AA7" s="26">
        <v>257</v>
      </c>
      <c r="AB7" s="25">
        <v>23</v>
      </c>
      <c r="AC7" s="26">
        <v>21</v>
      </c>
      <c r="AD7" s="25">
        <v>17</v>
      </c>
      <c r="AE7" s="26">
        <v>15</v>
      </c>
      <c r="AF7" s="25">
        <v>3</v>
      </c>
      <c r="AG7" s="26">
        <v>2</v>
      </c>
      <c r="AH7" s="487">
        <v>0</v>
      </c>
      <c r="AI7" s="488">
        <v>0</v>
      </c>
      <c r="AJ7" s="487">
        <v>0</v>
      </c>
      <c r="AK7" s="489">
        <v>0</v>
      </c>
      <c r="AL7" s="173">
        <v>3</v>
      </c>
      <c r="AM7" s="364">
        <f t="shared" si="0"/>
        <v>0.27272727272727271</v>
      </c>
      <c r="AN7" s="144">
        <v>0</v>
      </c>
      <c r="AO7" s="144">
        <v>3</v>
      </c>
      <c r="AP7" s="144">
        <v>5</v>
      </c>
      <c r="AQ7" s="144">
        <v>6</v>
      </c>
      <c r="AR7" s="365">
        <f t="shared" si="1"/>
        <v>0.54545454545454541</v>
      </c>
      <c r="AS7" s="144">
        <v>5</v>
      </c>
      <c r="AT7" s="5">
        <v>3</v>
      </c>
      <c r="AU7" s="372">
        <f t="shared" si="2"/>
        <v>0.3</v>
      </c>
      <c r="AV7" s="5">
        <v>0</v>
      </c>
      <c r="AW7" s="5">
        <v>3</v>
      </c>
      <c r="AX7" s="5">
        <v>4</v>
      </c>
      <c r="AY7" s="5">
        <v>6</v>
      </c>
      <c r="AZ7" s="372">
        <f t="shared" si="3"/>
        <v>0.6</v>
      </c>
      <c r="BA7" s="57">
        <v>4</v>
      </c>
      <c r="BB7" s="393">
        <v>1</v>
      </c>
      <c r="BC7" s="394">
        <v>1</v>
      </c>
      <c r="BD7" s="395">
        <v>1</v>
      </c>
      <c r="BE7" s="396">
        <v>0</v>
      </c>
    </row>
    <row r="8" spans="1:57" x14ac:dyDescent="0.25">
      <c r="A8" s="329">
        <v>45886</v>
      </c>
      <c r="B8" s="5">
        <v>1</v>
      </c>
      <c r="C8" s="5" t="s">
        <v>170</v>
      </c>
      <c r="D8" s="7">
        <v>3</v>
      </c>
      <c r="E8" s="7">
        <v>2</v>
      </c>
      <c r="F8" s="5" t="s">
        <v>171</v>
      </c>
      <c r="H8" s="42">
        <v>46</v>
      </c>
      <c r="I8" s="26">
        <v>54</v>
      </c>
      <c r="J8" s="33">
        <v>2.89</v>
      </c>
      <c r="K8" s="34">
        <v>1.01</v>
      </c>
      <c r="L8" s="25">
        <v>3</v>
      </c>
      <c r="M8" s="26">
        <v>0</v>
      </c>
      <c r="N8" s="25">
        <v>14</v>
      </c>
      <c r="O8" s="26">
        <v>12</v>
      </c>
      <c r="P8" s="25">
        <v>4</v>
      </c>
      <c r="Q8" s="26">
        <v>0</v>
      </c>
      <c r="R8" s="25">
        <v>0</v>
      </c>
      <c r="S8" s="26">
        <v>0</v>
      </c>
      <c r="T8" s="33">
        <v>-0.26</v>
      </c>
      <c r="U8" s="484">
        <v>-0.41</v>
      </c>
      <c r="V8" s="25">
        <v>10</v>
      </c>
      <c r="W8" s="26">
        <v>1</v>
      </c>
      <c r="X8" s="25">
        <v>8</v>
      </c>
      <c r="Y8" s="26">
        <v>12</v>
      </c>
      <c r="Z8" s="25">
        <v>387</v>
      </c>
      <c r="AA8" s="26">
        <v>477</v>
      </c>
      <c r="AB8" s="25">
        <v>11</v>
      </c>
      <c r="AC8" s="26">
        <v>18</v>
      </c>
      <c r="AD8" s="25">
        <v>11</v>
      </c>
      <c r="AE8" s="26">
        <v>8</v>
      </c>
      <c r="AF8" s="25">
        <v>0</v>
      </c>
      <c r="AG8" s="26">
        <v>2</v>
      </c>
      <c r="AH8" s="487">
        <v>0</v>
      </c>
      <c r="AI8" s="488">
        <v>0</v>
      </c>
      <c r="AJ8" s="487">
        <v>1</v>
      </c>
      <c r="AK8" s="489">
        <v>0</v>
      </c>
      <c r="AL8" s="173">
        <v>3</v>
      </c>
      <c r="AM8" s="364">
        <f t="shared" si="0"/>
        <v>0.21428571428571427</v>
      </c>
      <c r="AN8" s="144">
        <v>1</v>
      </c>
      <c r="AO8" s="144">
        <v>3</v>
      </c>
      <c r="AP8" s="144">
        <v>8</v>
      </c>
      <c r="AQ8" s="144">
        <v>11</v>
      </c>
      <c r="AR8" s="365">
        <f t="shared" si="1"/>
        <v>0.7857142857142857</v>
      </c>
      <c r="AS8" s="144">
        <v>3</v>
      </c>
      <c r="AT8" s="5">
        <v>6</v>
      </c>
      <c r="AU8" s="372">
        <f t="shared" si="2"/>
        <v>0.5</v>
      </c>
      <c r="AV8" s="5">
        <v>0</v>
      </c>
      <c r="AW8" s="5">
        <v>4</v>
      </c>
      <c r="AX8" s="5">
        <v>2</v>
      </c>
      <c r="AY8" s="5">
        <v>10</v>
      </c>
      <c r="AZ8" s="372">
        <f t="shared" si="3"/>
        <v>0.83333333333333337</v>
      </c>
      <c r="BA8" s="57">
        <v>2</v>
      </c>
      <c r="BB8" s="393">
        <v>0</v>
      </c>
      <c r="BC8" s="394">
        <v>0</v>
      </c>
      <c r="BD8" s="395">
        <v>1</v>
      </c>
      <c r="BE8" s="396">
        <v>0</v>
      </c>
    </row>
    <row r="9" spans="1:57" x14ac:dyDescent="0.25">
      <c r="A9" s="329">
        <v>45887</v>
      </c>
      <c r="B9" s="5">
        <v>1</v>
      </c>
      <c r="C9" s="5" t="s">
        <v>192</v>
      </c>
      <c r="D9" s="7">
        <v>2</v>
      </c>
      <c r="E9" s="7">
        <v>1</v>
      </c>
      <c r="F9" s="5" t="s">
        <v>193</v>
      </c>
      <c r="H9" s="42">
        <v>40</v>
      </c>
      <c r="I9" s="26">
        <v>60</v>
      </c>
      <c r="J9" s="33">
        <v>1.26</v>
      </c>
      <c r="K9" s="34">
        <v>1.1000000000000001</v>
      </c>
      <c r="L9" s="25">
        <v>2</v>
      </c>
      <c r="M9" s="26">
        <v>1</v>
      </c>
      <c r="N9" s="25">
        <v>9</v>
      </c>
      <c r="O9" s="26">
        <v>15</v>
      </c>
      <c r="P9" s="25">
        <v>3</v>
      </c>
      <c r="Q9" s="26">
        <v>3</v>
      </c>
      <c r="R9" s="25">
        <v>0</v>
      </c>
      <c r="S9" s="26">
        <v>0</v>
      </c>
      <c r="T9" s="33">
        <v>0.26</v>
      </c>
      <c r="U9" s="484">
        <v>-0.55000000000000004</v>
      </c>
      <c r="V9" s="25">
        <v>1</v>
      </c>
      <c r="W9" s="26">
        <v>3</v>
      </c>
      <c r="X9" s="25">
        <v>14</v>
      </c>
      <c r="Y9" s="26">
        <v>11</v>
      </c>
      <c r="Z9" s="25">
        <v>394</v>
      </c>
      <c r="AA9" s="26">
        <v>618</v>
      </c>
      <c r="AB9" s="25">
        <v>10</v>
      </c>
      <c r="AC9" s="26">
        <v>11</v>
      </c>
      <c r="AD9" s="25">
        <v>11</v>
      </c>
      <c r="AE9" s="26">
        <v>14</v>
      </c>
      <c r="AF9" s="25">
        <v>3</v>
      </c>
      <c r="AG9" s="26">
        <v>3</v>
      </c>
      <c r="AH9" s="487">
        <v>0</v>
      </c>
      <c r="AI9" s="488">
        <v>0</v>
      </c>
      <c r="AJ9" s="487">
        <v>0</v>
      </c>
      <c r="AK9" s="489">
        <v>0</v>
      </c>
      <c r="AL9" s="173">
        <v>5</v>
      </c>
      <c r="AM9" s="364">
        <f t="shared" si="0"/>
        <v>0.55555555555555558</v>
      </c>
      <c r="AN9" s="144">
        <v>0</v>
      </c>
      <c r="AO9" s="144">
        <v>4</v>
      </c>
      <c r="AP9" s="144">
        <v>0</v>
      </c>
      <c r="AQ9" s="144">
        <v>6</v>
      </c>
      <c r="AR9" s="365">
        <f t="shared" si="1"/>
        <v>0.66666666666666663</v>
      </c>
      <c r="AS9" s="144">
        <v>3</v>
      </c>
      <c r="AT9" s="5">
        <v>4</v>
      </c>
      <c r="AU9" s="372">
        <f t="shared" si="2"/>
        <v>0.26666666666666666</v>
      </c>
      <c r="AV9" s="5">
        <v>1</v>
      </c>
      <c r="AW9" s="5">
        <v>7</v>
      </c>
      <c r="AX9" s="5">
        <v>4</v>
      </c>
      <c r="AY9" s="5">
        <v>9</v>
      </c>
      <c r="AZ9" s="372">
        <f t="shared" si="3"/>
        <v>0.6</v>
      </c>
      <c r="BA9" s="57">
        <v>6</v>
      </c>
      <c r="BB9" s="393">
        <v>0</v>
      </c>
      <c r="BC9" s="394">
        <v>0</v>
      </c>
      <c r="BD9" s="395">
        <v>0</v>
      </c>
      <c r="BE9" s="396">
        <v>0</v>
      </c>
    </row>
    <row r="10" spans="1:57" x14ac:dyDescent="0.25">
      <c r="A10" s="329">
        <v>45887</v>
      </c>
      <c r="B10" s="5">
        <v>1</v>
      </c>
      <c r="C10" s="5" t="s">
        <v>208</v>
      </c>
      <c r="D10" s="7">
        <v>1</v>
      </c>
      <c r="E10" s="7">
        <v>1</v>
      </c>
      <c r="F10" s="5" t="s">
        <v>209</v>
      </c>
      <c r="H10" s="42">
        <v>68</v>
      </c>
      <c r="I10" s="26">
        <v>32</v>
      </c>
      <c r="J10" s="33">
        <v>0.64</v>
      </c>
      <c r="K10" s="34">
        <v>1.86</v>
      </c>
      <c r="L10" s="25">
        <v>2</v>
      </c>
      <c r="M10" s="26">
        <v>2</v>
      </c>
      <c r="N10" s="25">
        <v>6</v>
      </c>
      <c r="O10" s="26">
        <v>12</v>
      </c>
      <c r="P10" s="25">
        <v>3</v>
      </c>
      <c r="Q10" s="26">
        <v>1</v>
      </c>
      <c r="R10" s="25">
        <v>0</v>
      </c>
      <c r="S10" s="26">
        <v>0</v>
      </c>
      <c r="T10" s="33">
        <v>0.54</v>
      </c>
      <c r="U10" s="484">
        <v>-0.27</v>
      </c>
      <c r="V10" s="25">
        <v>1</v>
      </c>
      <c r="W10" s="26">
        <v>3</v>
      </c>
      <c r="X10" s="25">
        <v>14</v>
      </c>
      <c r="Y10" s="26">
        <v>13</v>
      </c>
      <c r="Z10" s="25">
        <v>683</v>
      </c>
      <c r="AA10" s="26">
        <v>323</v>
      </c>
      <c r="AB10" s="25">
        <v>13</v>
      </c>
      <c r="AC10" s="26">
        <v>18</v>
      </c>
      <c r="AD10" s="25">
        <v>13</v>
      </c>
      <c r="AE10" s="26">
        <v>14</v>
      </c>
      <c r="AF10" s="25">
        <v>0</v>
      </c>
      <c r="AG10" s="26">
        <v>1</v>
      </c>
      <c r="AH10" s="487">
        <v>0</v>
      </c>
      <c r="AI10" s="488">
        <v>0</v>
      </c>
      <c r="AJ10" s="487">
        <v>0</v>
      </c>
      <c r="AK10" s="489">
        <v>0</v>
      </c>
      <c r="AL10" s="173">
        <v>2</v>
      </c>
      <c r="AM10" s="364">
        <f t="shared" si="0"/>
        <v>0.33333333333333331</v>
      </c>
      <c r="AN10" s="144">
        <v>0</v>
      </c>
      <c r="AO10" s="144">
        <v>3</v>
      </c>
      <c r="AP10" s="144">
        <v>1</v>
      </c>
      <c r="AQ10" s="144">
        <v>3</v>
      </c>
      <c r="AR10" s="365">
        <f t="shared" si="1"/>
        <v>0.5</v>
      </c>
      <c r="AS10" s="144">
        <v>3</v>
      </c>
      <c r="AT10" s="5">
        <v>4</v>
      </c>
      <c r="AU10" s="372">
        <f t="shared" si="2"/>
        <v>0.33333333333333331</v>
      </c>
      <c r="AV10" s="5">
        <v>0</v>
      </c>
      <c r="AW10" s="5">
        <v>4</v>
      </c>
      <c r="AX10" s="5">
        <v>4</v>
      </c>
      <c r="AY10" s="5">
        <v>6</v>
      </c>
      <c r="AZ10" s="372">
        <f t="shared" si="3"/>
        <v>0.5</v>
      </c>
      <c r="BA10" s="57">
        <v>6</v>
      </c>
      <c r="BB10" s="393">
        <v>1</v>
      </c>
      <c r="BC10" s="394">
        <v>0</v>
      </c>
      <c r="BD10" s="395">
        <v>0</v>
      </c>
      <c r="BE10" s="396">
        <v>0</v>
      </c>
    </row>
    <row r="11" spans="1:57" x14ac:dyDescent="0.25">
      <c r="A11" s="329">
        <v>45888</v>
      </c>
      <c r="B11" s="5">
        <v>1</v>
      </c>
      <c r="C11" s="5" t="s">
        <v>226</v>
      </c>
      <c r="D11" s="7">
        <v>1</v>
      </c>
      <c r="E11" s="7">
        <v>0</v>
      </c>
      <c r="F11" s="26" t="s">
        <v>227</v>
      </c>
      <c r="G11" s="242" t="s">
        <v>536</v>
      </c>
      <c r="H11" s="42">
        <v>71</v>
      </c>
      <c r="I11" s="26">
        <v>29</v>
      </c>
      <c r="J11" s="33">
        <v>1.64</v>
      </c>
      <c r="K11" s="34">
        <v>0.36</v>
      </c>
      <c r="L11" s="25">
        <v>1</v>
      </c>
      <c r="M11" s="26">
        <v>0</v>
      </c>
      <c r="N11" s="25">
        <v>18</v>
      </c>
      <c r="O11" s="26">
        <v>2</v>
      </c>
      <c r="P11" s="25">
        <v>0</v>
      </c>
      <c r="Q11" s="26">
        <v>4</v>
      </c>
      <c r="R11" s="25">
        <v>0</v>
      </c>
      <c r="S11" s="26">
        <v>1</v>
      </c>
      <c r="T11" s="33">
        <v>0</v>
      </c>
      <c r="U11" s="484">
        <v>0.31</v>
      </c>
      <c r="V11" s="25">
        <v>7</v>
      </c>
      <c r="W11" s="26">
        <v>0</v>
      </c>
      <c r="X11" s="25">
        <v>10</v>
      </c>
      <c r="Y11" s="26">
        <v>12</v>
      </c>
      <c r="Z11" s="25">
        <v>721</v>
      </c>
      <c r="AA11" s="26">
        <v>299</v>
      </c>
      <c r="AB11" s="25">
        <v>16</v>
      </c>
      <c r="AC11" s="26">
        <v>20</v>
      </c>
      <c r="AD11" s="25">
        <v>11</v>
      </c>
      <c r="AE11" s="26">
        <v>10</v>
      </c>
      <c r="AF11" s="25">
        <v>1</v>
      </c>
      <c r="AG11" s="26">
        <v>0</v>
      </c>
      <c r="AH11" s="487">
        <v>0</v>
      </c>
      <c r="AI11" s="488">
        <v>1</v>
      </c>
      <c r="AJ11" s="487">
        <v>1</v>
      </c>
      <c r="AK11" s="489">
        <v>0</v>
      </c>
      <c r="AL11" s="173">
        <v>5</v>
      </c>
      <c r="AM11" s="364">
        <f t="shared" si="0"/>
        <v>0.27777777777777779</v>
      </c>
      <c r="AN11" s="144">
        <v>0</v>
      </c>
      <c r="AO11" s="144">
        <v>7</v>
      </c>
      <c r="AP11" s="144">
        <v>6</v>
      </c>
      <c r="AQ11" s="144">
        <v>11</v>
      </c>
      <c r="AR11" s="365">
        <f t="shared" si="1"/>
        <v>0.61111111111111116</v>
      </c>
      <c r="AS11" s="144">
        <v>7</v>
      </c>
      <c r="AT11" s="5">
        <v>0</v>
      </c>
      <c r="AU11" s="372">
        <f t="shared" si="2"/>
        <v>0</v>
      </c>
      <c r="AV11" s="5">
        <v>0</v>
      </c>
      <c r="AW11" s="5">
        <v>2</v>
      </c>
      <c r="AX11" s="5">
        <v>0</v>
      </c>
      <c r="AY11" s="5">
        <v>2</v>
      </c>
      <c r="AZ11" s="372">
        <f t="shared" si="3"/>
        <v>1</v>
      </c>
      <c r="BA11" s="57">
        <v>0</v>
      </c>
      <c r="BB11" s="393">
        <v>1</v>
      </c>
      <c r="BC11" s="394">
        <v>0</v>
      </c>
      <c r="BD11" s="395">
        <v>0</v>
      </c>
      <c r="BE11" s="396">
        <v>0</v>
      </c>
    </row>
    <row r="12" spans="1:57" x14ac:dyDescent="0.25">
      <c r="A12" s="329">
        <v>45891</v>
      </c>
      <c r="B12" s="5">
        <v>2</v>
      </c>
      <c r="C12" s="5" t="s">
        <v>209</v>
      </c>
      <c r="D12" s="7">
        <v>1</v>
      </c>
      <c r="E12" s="7">
        <v>0</v>
      </c>
      <c r="F12" s="5" t="s">
        <v>128</v>
      </c>
      <c r="H12" s="42">
        <v>49</v>
      </c>
      <c r="I12" s="26">
        <v>51</v>
      </c>
      <c r="J12" s="33">
        <v>1.95</v>
      </c>
      <c r="K12" s="34">
        <v>1.1200000000000001</v>
      </c>
      <c r="L12" s="25">
        <v>3</v>
      </c>
      <c r="M12" s="26">
        <v>3</v>
      </c>
      <c r="N12" s="25">
        <v>16</v>
      </c>
      <c r="O12" s="26">
        <v>11</v>
      </c>
      <c r="P12" s="25">
        <v>5</v>
      </c>
      <c r="Q12" s="26">
        <v>5</v>
      </c>
      <c r="R12" s="25">
        <v>0</v>
      </c>
      <c r="S12" s="26">
        <v>1</v>
      </c>
      <c r="T12" s="33">
        <v>0.33</v>
      </c>
      <c r="U12" s="484">
        <v>0.41</v>
      </c>
      <c r="V12" s="25">
        <v>5</v>
      </c>
      <c r="W12" s="26">
        <v>2</v>
      </c>
      <c r="X12" s="25">
        <v>10</v>
      </c>
      <c r="Y12" s="26">
        <v>17</v>
      </c>
      <c r="Z12" s="25">
        <v>470</v>
      </c>
      <c r="AA12" s="26">
        <v>485</v>
      </c>
      <c r="AB12" s="25">
        <v>11</v>
      </c>
      <c r="AC12" s="26">
        <v>23</v>
      </c>
      <c r="AD12" s="25">
        <v>17</v>
      </c>
      <c r="AE12" s="26">
        <v>10</v>
      </c>
      <c r="AF12" s="25">
        <v>2</v>
      </c>
      <c r="AG12" s="26">
        <v>3</v>
      </c>
      <c r="AH12" s="487">
        <v>0</v>
      </c>
      <c r="AI12" s="488">
        <v>0</v>
      </c>
      <c r="AJ12" s="487">
        <v>0</v>
      </c>
      <c r="AK12" s="489">
        <v>0</v>
      </c>
      <c r="AL12" s="173">
        <v>5</v>
      </c>
      <c r="AM12" s="364">
        <f t="shared" si="0"/>
        <v>0.3125</v>
      </c>
      <c r="AN12" s="144">
        <v>1</v>
      </c>
      <c r="AO12" s="144">
        <v>7</v>
      </c>
      <c r="AP12" s="144">
        <v>4</v>
      </c>
      <c r="AQ12" s="144">
        <v>10</v>
      </c>
      <c r="AR12" s="365">
        <f t="shared" si="1"/>
        <v>0.625</v>
      </c>
      <c r="AS12" s="144">
        <v>6</v>
      </c>
      <c r="AT12" s="5">
        <v>5</v>
      </c>
      <c r="AU12" s="372">
        <f t="shared" si="2"/>
        <v>0.45454545454545453</v>
      </c>
      <c r="AV12" s="5">
        <v>0</v>
      </c>
      <c r="AW12" s="5">
        <v>5</v>
      </c>
      <c r="AX12" s="5">
        <v>1</v>
      </c>
      <c r="AY12" s="5">
        <v>6</v>
      </c>
      <c r="AZ12" s="372">
        <f t="shared" si="3"/>
        <v>0.54545454545454541</v>
      </c>
      <c r="BA12" s="57">
        <v>5</v>
      </c>
      <c r="BB12" s="393">
        <v>1</v>
      </c>
      <c r="BC12" s="394">
        <v>0</v>
      </c>
      <c r="BD12" s="395">
        <v>1</v>
      </c>
      <c r="BE12" s="396">
        <v>0</v>
      </c>
    </row>
    <row r="13" spans="1:57" x14ac:dyDescent="0.25">
      <c r="A13" s="329">
        <v>45892</v>
      </c>
      <c r="B13" s="5">
        <v>2</v>
      </c>
      <c r="C13" s="5" t="s">
        <v>112</v>
      </c>
      <c r="D13" s="7">
        <v>1</v>
      </c>
      <c r="E13" s="7">
        <v>1</v>
      </c>
      <c r="F13" s="5" t="s">
        <v>456</v>
      </c>
      <c r="H13" s="42">
        <v>50</v>
      </c>
      <c r="I13" s="26">
        <v>50</v>
      </c>
      <c r="J13" s="33">
        <v>0.68</v>
      </c>
      <c r="K13" s="34">
        <v>0.74</v>
      </c>
      <c r="L13" s="25">
        <v>1</v>
      </c>
      <c r="M13" s="26">
        <v>2</v>
      </c>
      <c r="N13" s="25">
        <v>12</v>
      </c>
      <c r="O13" s="26">
        <v>8</v>
      </c>
      <c r="P13" s="25">
        <v>1</v>
      </c>
      <c r="Q13" s="26">
        <v>3</v>
      </c>
      <c r="R13" s="25">
        <v>1</v>
      </c>
      <c r="S13" s="26">
        <v>1</v>
      </c>
      <c r="T13" s="33">
        <v>-0.65</v>
      </c>
      <c r="U13" s="484">
        <v>0.04</v>
      </c>
      <c r="V13" s="25">
        <v>3</v>
      </c>
      <c r="W13" s="26">
        <v>4</v>
      </c>
      <c r="X13" s="25">
        <v>12</v>
      </c>
      <c r="Y13" s="26">
        <v>12</v>
      </c>
      <c r="Z13" s="25">
        <v>433</v>
      </c>
      <c r="AA13" s="26">
        <v>445</v>
      </c>
      <c r="AB13" s="25">
        <v>9</v>
      </c>
      <c r="AC13" s="26">
        <v>11</v>
      </c>
      <c r="AD13" s="25">
        <v>12</v>
      </c>
      <c r="AE13" s="26">
        <v>12</v>
      </c>
      <c r="AF13" s="25">
        <v>3</v>
      </c>
      <c r="AG13" s="26">
        <v>3</v>
      </c>
      <c r="AH13" s="487">
        <v>0</v>
      </c>
      <c r="AI13" s="488">
        <v>0</v>
      </c>
      <c r="AJ13" s="487">
        <v>0</v>
      </c>
      <c r="AK13" s="489">
        <v>0</v>
      </c>
      <c r="AL13" s="173">
        <v>4</v>
      </c>
      <c r="AM13" s="364">
        <f t="shared" si="0"/>
        <v>0.33333333333333331</v>
      </c>
      <c r="AN13" s="144">
        <v>0</v>
      </c>
      <c r="AO13" s="144">
        <v>7</v>
      </c>
      <c r="AP13" s="144">
        <v>1</v>
      </c>
      <c r="AQ13" s="144">
        <v>8</v>
      </c>
      <c r="AR13" s="365">
        <f t="shared" si="1"/>
        <v>0.66666666666666663</v>
      </c>
      <c r="AS13" s="144">
        <v>4</v>
      </c>
      <c r="AT13" s="5">
        <v>2</v>
      </c>
      <c r="AU13" s="372">
        <f t="shared" si="2"/>
        <v>0.25</v>
      </c>
      <c r="AV13" s="5">
        <v>0</v>
      </c>
      <c r="AW13" s="5">
        <v>4</v>
      </c>
      <c r="AX13" s="5">
        <v>2</v>
      </c>
      <c r="AY13" s="5">
        <v>3</v>
      </c>
      <c r="AZ13" s="372">
        <f t="shared" si="3"/>
        <v>0.375</v>
      </c>
      <c r="BA13" s="57">
        <v>5</v>
      </c>
      <c r="BB13" s="393">
        <v>0</v>
      </c>
      <c r="BC13" s="394">
        <v>0</v>
      </c>
      <c r="BD13" s="395">
        <v>1</v>
      </c>
      <c r="BE13" s="396">
        <v>0</v>
      </c>
    </row>
    <row r="14" spans="1:57" x14ac:dyDescent="0.25">
      <c r="A14" s="329">
        <v>45892</v>
      </c>
      <c r="B14" s="5">
        <v>2</v>
      </c>
      <c r="C14" s="5" t="s">
        <v>193</v>
      </c>
      <c r="D14" s="7">
        <v>1</v>
      </c>
      <c r="E14" s="7">
        <v>1</v>
      </c>
      <c r="F14" s="5" t="s">
        <v>208</v>
      </c>
      <c r="H14" s="42">
        <v>58</v>
      </c>
      <c r="I14" s="26">
        <v>42</v>
      </c>
      <c r="J14" s="33">
        <v>1.74</v>
      </c>
      <c r="K14" s="34">
        <v>0.56999999999999995</v>
      </c>
      <c r="L14" s="25">
        <v>3</v>
      </c>
      <c r="M14" s="26">
        <v>1</v>
      </c>
      <c r="N14" s="25">
        <v>13</v>
      </c>
      <c r="O14" s="26">
        <v>6</v>
      </c>
      <c r="P14" s="25">
        <v>1</v>
      </c>
      <c r="Q14" s="26">
        <v>5</v>
      </c>
      <c r="R14" s="25">
        <v>0</v>
      </c>
      <c r="S14" s="26">
        <v>0</v>
      </c>
      <c r="T14" s="33">
        <v>-0.59</v>
      </c>
      <c r="U14" s="484">
        <v>-7.0000000000000007E-2</v>
      </c>
      <c r="V14" s="25">
        <v>10</v>
      </c>
      <c r="W14" s="26">
        <v>2</v>
      </c>
      <c r="X14" s="25">
        <v>14</v>
      </c>
      <c r="Y14" s="26">
        <v>7</v>
      </c>
      <c r="Z14" s="25">
        <v>545</v>
      </c>
      <c r="AA14" s="26">
        <v>413</v>
      </c>
      <c r="AB14" s="25">
        <v>20</v>
      </c>
      <c r="AC14" s="26">
        <v>19</v>
      </c>
      <c r="AD14" s="25">
        <v>7</v>
      </c>
      <c r="AE14" s="26">
        <v>14</v>
      </c>
      <c r="AF14" s="25">
        <v>0</v>
      </c>
      <c r="AG14" s="26">
        <v>3</v>
      </c>
      <c r="AH14" s="487">
        <v>0</v>
      </c>
      <c r="AI14" s="488">
        <v>0</v>
      </c>
      <c r="AJ14" s="487">
        <v>0</v>
      </c>
      <c r="AK14" s="489">
        <v>0</v>
      </c>
      <c r="AL14" s="173">
        <v>6</v>
      </c>
      <c r="AM14" s="364">
        <f t="shared" si="0"/>
        <v>0.46153846153846156</v>
      </c>
      <c r="AN14" s="144">
        <v>0</v>
      </c>
      <c r="AO14" s="144">
        <v>4</v>
      </c>
      <c r="AP14" s="144">
        <v>3</v>
      </c>
      <c r="AQ14" s="144">
        <v>7</v>
      </c>
      <c r="AR14" s="365">
        <f t="shared" si="1"/>
        <v>0.53846153846153844</v>
      </c>
      <c r="AS14" s="144">
        <v>6</v>
      </c>
      <c r="AT14" s="5">
        <v>2</v>
      </c>
      <c r="AU14" s="372">
        <f t="shared" si="2"/>
        <v>0.33333333333333331</v>
      </c>
      <c r="AV14" s="5">
        <v>0</v>
      </c>
      <c r="AW14" s="5">
        <v>3</v>
      </c>
      <c r="AX14" s="5">
        <v>1</v>
      </c>
      <c r="AY14" s="5">
        <v>5</v>
      </c>
      <c r="AZ14" s="372">
        <f t="shared" si="3"/>
        <v>0.83333333333333337</v>
      </c>
      <c r="BA14" s="57">
        <v>1</v>
      </c>
      <c r="BB14" s="393">
        <v>0</v>
      </c>
      <c r="BC14" s="394">
        <v>0</v>
      </c>
      <c r="BD14" s="395">
        <v>0</v>
      </c>
      <c r="BE14" s="396">
        <v>0</v>
      </c>
    </row>
    <row r="15" spans="1:57" x14ac:dyDescent="0.25">
      <c r="A15" s="329">
        <v>45892</v>
      </c>
      <c r="B15" s="5">
        <v>2</v>
      </c>
      <c r="C15" s="5" t="s">
        <v>129</v>
      </c>
      <c r="D15" s="7">
        <v>2</v>
      </c>
      <c r="E15" s="7">
        <v>3</v>
      </c>
      <c r="F15" s="5" t="s">
        <v>113</v>
      </c>
      <c r="H15" s="42">
        <v>18</v>
      </c>
      <c r="I15" s="26">
        <v>82</v>
      </c>
      <c r="J15" s="33">
        <v>2.14</v>
      </c>
      <c r="K15" s="34">
        <v>1.93</v>
      </c>
      <c r="L15" s="25">
        <v>6</v>
      </c>
      <c r="M15" s="26">
        <v>3</v>
      </c>
      <c r="N15" s="25">
        <v>8</v>
      </c>
      <c r="O15" s="26">
        <v>26</v>
      </c>
      <c r="P15" s="25">
        <v>9</v>
      </c>
      <c r="Q15" s="26">
        <v>3</v>
      </c>
      <c r="R15" s="25">
        <v>1</v>
      </c>
      <c r="S15" s="26">
        <v>0</v>
      </c>
      <c r="T15" s="33">
        <v>-0.47</v>
      </c>
      <c r="U15" s="484">
        <v>0.69</v>
      </c>
      <c r="V15" s="25">
        <v>0</v>
      </c>
      <c r="W15" s="26">
        <v>11</v>
      </c>
      <c r="X15" s="25">
        <v>10</v>
      </c>
      <c r="Y15" s="26">
        <v>8</v>
      </c>
      <c r="Z15" s="25">
        <v>160</v>
      </c>
      <c r="AA15" s="26">
        <v>761</v>
      </c>
      <c r="AB15" s="25">
        <v>31</v>
      </c>
      <c r="AC15" s="26">
        <v>11</v>
      </c>
      <c r="AD15" s="25">
        <v>7</v>
      </c>
      <c r="AE15" s="26">
        <v>10</v>
      </c>
      <c r="AF15" s="25">
        <v>3</v>
      </c>
      <c r="AG15" s="26">
        <v>1</v>
      </c>
      <c r="AH15" s="487">
        <v>0</v>
      </c>
      <c r="AI15" s="488">
        <v>0</v>
      </c>
      <c r="AJ15" s="487">
        <v>0</v>
      </c>
      <c r="AK15" s="489">
        <v>0</v>
      </c>
      <c r="AL15" s="173">
        <v>5</v>
      </c>
      <c r="AM15" s="364">
        <f t="shared" si="0"/>
        <v>0.625</v>
      </c>
      <c r="AN15" s="144">
        <v>0</v>
      </c>
      <c r="AO15" s="144">
        <v>1</v>
      </c>
      <c r="AP15" s="144">
        <v>2</v>
      </c>
      <c r="AQ15" s="144">
        <v>8</v>
      </c>
      <c r="AR15" s="365">
        <f t="shared" si="1"/>
        <v>1</v>
      </c>
      <c r="AS15" s="144">
        <v>0</v>
      </c>
      <c r="AT15" s="5">
        <v>10</v>
      </c>
      <c r="AU15" s="372">
        <f t="shared" si="2"/>
        <v>0.38461538461538464</v>
      </c>
      <c r="AV15" s="5">
        <v>1</v>
      </c>
      <c r="AW15" s="5">
        <v>8</v>
      </c>
      <c r="AX15" s="5">
        <v>8</v>
      </c>
      <c r="AY15" s="5">
        <v>16</v>
      </c>
      <c r="AZ15" s="372">
        <f t="shared" si="3"/>
        <v>0.61538461538461542</v>
      </c>
      <c r="BA15" s="57">
        <v>10</v>
      </c>
      <c r="BB15" s="393">
        <v>0</v>
      </c>
      <c r="BC15" s="394">
        <v>0</v>
      </c>
      <c r="BD15" s="395">
        <v>0</v>
      </c>
      <c r="BE15" s="396">
        <v>0</v>
      </c>
    </row>
    <row r="16" spans="1:57" x14ac:dyDescent="0.25">
      <c r="A16" s="329">
        <v>45893</v>
      </c>
      <c r="B16" s="5">
        <v>2</v>
      </c>
      <c r="C16" s="5" t="s">
        <v>227</v>
      </c>
      <c r="D16" s="7">
        <v>1</v>
      </c>
      <c r="E16" s="7">
        <v>0</v>
      </c>
      <c r="F16" s="26" t="s">
        <v>145</v>
      </c>
      <c r="G16" s="242" t="s">
        <v>356</v>
      </c>
      <c r="H16" s="42">
        <v>56</v>
      </c>
      <c r="I16" s="26">
        <v>44</v>
      </c>
      <c r="J16" s="33">
        <v>0.83</v>
      </c>
      <c r="K16" s="34">
        <v>0.41</v>
      </c>
      <c r="L16" s="25">
        <v>1</v>
      </c>
      <c r="M16" s="26">
        <v>1</v>
      </c>
      <c r="N16" s="25">
        <v>16</v>
      </c>
      <c r="O16" s="26">
        <v>4</v>
      </c>
      <c r="P16" s="25">
        <v>1</v>
      </c>
      <c r="Q16" s="26">
        <v>3</v>
      </c>
      <c r="R16" s="25">
        <v>1</v>
      </c>
      <c r="S16" s="26">
        <v>1</v>
      </c>
      <c r="T16" s="33">
        <v>0.02</v>
      </c>
      <c r="U16" s="484">
        <v>-0.34</v>
      </c>
      <c r="V16" s="25">
        <v>3</v>
      </c>
      <c r="W16" s="26">
        <v>4</v>
      </c>
      <c r="X16" s="25">
        <v>14</v>
      </c>
      <c r="Y16" s="26">
        <v>13</v>
      </c>
      <c r="Z16" s="25">
        <v>464</v>
      </c>
      <c r="AA16" s="26">
        <v>370</v>
      </c>
      <c r="AB16" s="25">
        <v>13</v>
      </c>
      <c r="AC16" s="26">
        <v>12</v>
      </c>
      <c r="AD16" s="25">
        <v>13</v>
      </c>
      <c r="AE16" s="26">
        <v>14</v>
      </c>
      <c r="AF16" s="25">
        <v>2</v>
      </c>
      <c r="AG16" s="26">
        <v>1</v>
      </c>
      <c r="AH16" s="487">
        <v>0</v>
      </c>
      <c r="AI16" s="488">
        <v>1</v>
      </c>
      <c r="AJ16" s="487">
        <v>0</v>
      </c>
      <c r="AK16" s="489">
        <v>0</v>
      </c>
      <c r="AL16" s="173">
        <v>4</v>
      </c>
      <c r="AM16" s="364">
        <f t="shared" si="0"/>
        <v>0.25</v>
      </c>
      <c r="AN16" s="144">
        <v>0</v>
      </c>
      <c r="AO16" s="144">
        <v>6</v>
      </c>
      <c r="AP16" s="144">
        <v>6</v>
      </c>
      <c r="AQ16" s="144">
        <v>9</v>
      </c>
      <c r="AR16" s="365">
        <f t="shared" si="1"/>
        <v>0.5625</v>
      </c>
      <c r="AS16" s="144">
        <v>7</v>
      </c>
      <c r="AT16" s="5">
        <v>1</v>
      </c>
      <c r="AU16" s="372">
        <f t="shared" si="2"/>
        <v>0.25</v>
      </c>
      <c r="AV16" s="5">
        <v>0</v>
      </c>
      <c r="AW16" s="5">
        <v>2</v>
      </c>
      <c r="AX16" s="5">
        <v>1</v>
      </c>
      <c r="AY16" s="5">
        <v>1</v>
      </c>
      <c r="AZ16" s="372">
        <f t="shared" si="3"/>
        <v>0.25</v>
      </c>
      <c r="BA16" s="57">
        <v>3</v>
      </c>
      <c r="BB16" s="393">
        <v>0</v>
      </c>
      <c r="BC16" s="394">
        <v>0</v>
      </c>
      <c r="BD16" s="395">
        <v>0</v>
      </c>
      <c r="BE16" s="396">
        <v>0</v>
      </c>
    </row>
    <row r="17" spans="1:57" x14ac:dyDescent="0.25">
      <c r="A17" s="329">
        <v>45893</v>
      </c>
      <c r="B17" s="5">
        <v>2</v>
      </c>
      <c r="C17" s="5" t="s">
        <v>146</v>
      </c>
      <c r="D17" s="7">
        <v>2</v>
      </c>
      <c r="E17" s="7">
        <v>2</v>
      </c>
      <c r="F17" s="5" t="s">
        <v>192</v>
      </c>
      <c r="H17" s="42">
        <v>62</v>
      </c>
      <c r="I17" s="26">
        <v>38</v>
      </c>
      <c r="J17" s="33">
        <v>1.0900000000000001</v>
      </c>
      <c r="K17" s="34">
        <v>1.81</v>
      </c>
      <c r="L17" s="25">
        <v>3</v>
      </c>
      <c r="M17" s="26">
        <v>2</v>
      </c>
      <c r="N17" s="25">
        <v>15</v>
      </c>
      <c r="O17" s="26">
        <v>14</v>
      </c>
      <c r="P17" s="25">
        <v>1</v>
      </c>
      <c r="Q17" s="26">
        <v>5</v>
      </c>
      <c r="R17" s="25">
        <v>0</v>
      </c>
      <c r="S17" s="26">
        <v>2</v>
      </c>
      <c r="T17" s="33">
        <v>-0.27</v>
      </c>
      <c r="U17" s="484">
        <v>7.0000000000000007E-2</v>
      </c>
      <c r="V17" s="25">
        <v>5</v>
      </c>
      <c r="W17" s="26">
        <v>2</v>
      </c>
      <c r="X17" s="25">
        <v>16</v>
      </c>
      <c r="Y17" s="26">
        <v>18</v>
      </c>
      <c r="Z17" s="25">
        <v>198</v>
      </c>
      <c r="AA17" s="26">
        <v>305</v>
      </c>
      <c r="AB17" s="25">
        <v>16</v>
      </c>
      <c r="AC17" s="26">
        <v>21</v>
      </c>
      <c r="AD17" s="25">
        <v>18</v>
      </c>
      <c r="AE17" s="26">
        <v>15</v>
      </c>
      <c r="AF17" s="25">
        <v>2</v>
      </c>
      <c r="AG17" s="26">
        <v>2</v>
      </c>
      <c r="AH17" s="487">
        <v>0</v>
      </c>
      <c r="AI17" s="488">
        <v>0</v>
      </c>
      <c r="AJ17" s="487">
        <v>0</v>
      </c>
      <c r="AK17" s="489">
        <v>1</v>
      </c>
      <c r="AL17" s="173">
        <v>7</v>
      </c>
      <c r="AM17" s="364">
        <f t="shared" si="0"/>
        <v>0.46666666666666667</v>
      </c>
      <c r="AN17" s="144">
        <v>0</v>
      </c>
      <c r="AO17" s="144">
        <v>4</v>
      </c>
      <c r="AP17" s="144">
        <v>4</v>
      </c>
      <c r="AQ17" s="144">
        <v>11</v>
      </c>
      <c r="AR17" s="365">
        <f t="shared" si="1"/>
        <v>0.73333333333333328</v>
      </c>
      <c r="AS17" s="144">
        <v>4</v>
      </c>
      <c r="AT17" s="5">
        <v>3</v>
      </c>
      <c r="AU17" s="372">
        <f t="shared" si="2"/>
        <v>0.21428571428571427</v>
      </c>
      <c r="AV17" s="5">
        <v>0</v>
      </c>
      <c r="AW17" s="5">
        <v>7</v>
      </c>
      <c r="AX17" s="5">
        <v>4</v>
      </c>
      <c r="AY17" s="5">
        <v>5</v>
      </c>
      <c r="AZ17" s="372">
        <f t="shared" si="3"/>
        <v>0.35714285714285715</v>
      </c>
      <c r="BA17" s="57">
        <v>9</v>
      </c>
      <c r="BB17" s="393">
        <v>0</v>
      </c>
      <c r="BC17" s="394">
        <v>0</v>
      </c>
      <c r="BD17" s="395">
        <v>0</v>
      </c>
      <c r="BE17" s="396">
        <v>1</v>
      </c>
    </row>
    <row r="18" spans="1:57" x14ac:dyDescent="0.25">
      <c r="A18" s="329">
        <v>45893</v>
      </c>
      <c r="B18" s="5">
        <v>2</v>
      </c>
      <c r="C18" s="5" t="s">
        <v>91</v>
      </c>
      <c r="D18" s="7">
        <v>5</v>
      </c>
      <c r="E18" s="7">
        <v>0</v>
      </c>
      <c r="F18" s="5" t="s">
        <v>69</v>
      </c>
      <c r="H18" s="42">
        <v>53</v>
      </c>
      <c r="I18" s="26">
        <v>47</v>
      </c>
      <c r="J18" s="33">
        <v>2.2999999999999998</v>
      </c>
      <c r="K18" s="34">
        <v>0.14000000000000001</v>
      </c>
      <c r="L18" s="25">
        <v>4</v>
      </c>
      <c r="M18" s="26">
        <v>0</v>
      </c>
      <c r="N18" s="25">
        <v>19</v>
      </c>
      <c r="O18" s="26">
        <v>5</v>
      </c>
      <c r="P18" s="25">
        <v>2</v>
      </c>
      <c r="Q18" s="26">
        <v>2</v>
      </c>
      <c r="R18" s="25">
        <v>0</v>
      </c>
      <c r="S18" s="26">
        <v>0</v>
      </c>
      <c r="T18" s="33">
        <v>0.05</v>
      </c>
      <c r="U18" s="484">
        <v>-3.08</v>
      </c>
      <c r="V18" s="25">
        <v>8</v>
      </c>
      <c r="W18" s="26">
        <v>1</v>
      </c>
      <c r="X18" s="25">
        <v>8</v>
      </c>
      <c r="Y18" s="26">
        <v>9</v>
      </c>
      <c r="Z18" s="25">
        <v>517</v>
      </c>
      <c r="AA18" s="26">
        <v>470</v>
      </c>
      <c r="AB18" s="25">
        <v>22</v>
      </c>
      <c r="AC18" s="26">
        <v>18</v>
      </c>
      <c r="AD18" s="25">
        <v>9</v>
      </c>
      <c r="AE18" s="26">
        <v>8</v>
      </c>
      <c r="AF18" s="25">
        <v>1</v>
      </c>
      <c r="AG18" s="26">
        <v>2</v>
      </c>
      <c r="AH18" s="487">
        <v>0</v>
      </c>
      <c r="AI18" s="488">
        <v>0</v>
      </c>
      <c r="AJ18" s="487">
        <v>0</v>
      </c>
      <c r="AK18" s="489">
        <v>0</v>
      </c>
      <c r="AL18" s="173">
        <v>7</v>
      </c>
      <c r="AM18" s="364">
        <f t="shared" si="0"/>
        <v>0.36842105263157893</v>
      </c>
      <c r="AN18" s="144">
        <v>0</v>
      </c>
      <c r="AO18" s="144">
        <v>7</v>
      </c>
      <c r="AP18" s="144">
        <v>5</v>
      </c>
      <c r="AQ18" s="144">
        <v>13</v>
      </c>
      <c r="AR18" s="365">
        <f t="shared" si="1"/>
        <v>0.68421052631578949</v>
      </c>
      <c r="AS18" s="144">
        <v>6</v>
      </c>
      <c r="AT18" s="5">
        <v>2</v>
      </c>
      <c r="AU18" s="372">
        <f t="shared" si="2"/>
        <v>0.4</v>
      </c>
      <c r="AV18" s="5">
        <v>0</v>
      </c>
      <c r="AW18" s="5">
        <v>1</v>
      </c>
      <c r="AX18" s="5">
        <v>2</v>
      </c>
      <c r="AY18" s="5">
        <v>3</v>
      </c>
      <c r="AZ18" s="372">
        <f t="shared" si="3"/>
        <v>0.6</v>
      </c>
      <c r="BA18" s="57">
        <v>2</v>
      </c>
      <c r="BB18" s="393">
        <v>0</v>
      </c>
      <c r="BC18" s="394">
        <v>0</v>
      </c>
      <c r="BD18" s="395">
        <v>0</v>
      </c>
      <c r="BE18" s="396">
        <v>1</v>
      </c>
    </row>
    <row r="19" spans="1:57" x14ac:dyDescent="0.25">
      <c r="A19" s="329">
        <v>45893</v>
      </c>
      <c r="B19" s="5">
        <v>2</v>
      </c>
      <c r="C19" s="5" t="s">
        <v>92</v>
      </c>
      <c r="D19" s="7">
        <v>0</v>
      </c>
      <c r="E19" s="7">
        <v>3</v>
      </c>
      <c r="F19" s="5" t="s">
        <v>226</v>
      </c>
      <c r="H19" s="42">
        <v>35</v>
      </c>
      <c r="I19" s="26">
        <v>65</v>
      </c>
      <c r="J19" s="33">
        <v>0.5</v>
      </c>
      <c r="K19" s="34">
        <v>2.68</v>
      </c>
      <c r="L19" s="25">
        <v>0</v>
      </c>
      <c r="M19" s="26">
        <v>4</v>
      </c>
      <c r="N19" s="25">
        <v>6</v>
      </c>
      <c r="O19" s="26">
        <v>26</v>
      </c>
      <c r="P19" s="25">
        <v>8</v>
      </c>
      <c r="Q19" s="26">
        <v>3</v>
      </c>
      <c r="R19" s="25">
        <v>3</v>
      </c>
      <c r="S19" s="26">
        <v>0</v>
      </c>
      <c r="T19" s="33">
        <v>-0.09</v>
      </c>
      <c r="U19" s="484">
        <v>0.28999999999999998</v>
      </c>
      <c r="V19" s="25">
        <v>1</v>
      </c>
      <c r="W19" s="26">
        <v>9</v>
      </c>
      <c r="X19" s="25">
        <v>8</v>
      </c>
      <c r="Y19" s="26">
        <v>7</v>
      </c>
      <c r="Z19" s="25">
        <v>376</v>
      </c>
      <c r="AA19" s="26">
        <v>699</v>
      </c>
      <c r="AB19" s="25">
        <v>20</v>
      </c>
      <c r="AC19" s="26">
        <v>23</v>
      </c>
      <c r="AD19" s="25">
        <v>7</v>
      </c>
      <c r="AE19" s="26">
        <v>8</v>
      </c>
      <c r="AF19" s="25">
        <v>2</v>
      </c>
      <c r="AG19" s="26">
        <v>1</v>
      </c>
      <c r="AH19" s="487">
        <v>0</v>
      </c>
      <c r="AI19" s="488">
        <v>0</v>
      </c>
      <c r="AJ19" s="487">
        <v>0</v>
      </c>
      <c r="AK19" s="489">
        <v>0</v>
      </c>
      <c r="AL19" s="173">
        <v>3</v>
      </c>
      <c r="AM19" s="364">
        <f t="shared" si="0"/>
        <v>0.5</v>
      </c>
      <c r="AN19" s="144">
        <v>1</v>
      </c>
      <c r="AO19" s="144">
        <v>3</v>
      </c>
      <c r="AP19" s="144">
        <v>0</v>
      </c>
      <c r="AQ19" s="144">
        <v>3</v>
      </c>
      <c r="AR19" s="365">
        <f t="shared" si="1"/>
        <v>0.5</v>
      </c>
      <c r="AS19" s="144">
        <v>3</v>
      </c>
      <c r="AT19" s="5">
        <v>10</v>
      </c>
      <c r="AU19" s="372">
        <f t="shared" si="2"/>
        <v>0.38461538461538464</v>
      </c>
      <c r="AV19" s="5">
        <v>0</v>
      </c>
      <c r="AW19" s="5">
        <v>6</v>
      </c>
      <c r="AX19" s="5">
        <v>10</v>
      </c>
      <c r="AY19" s="5">
        <v>14</v>
      </c>
      <c r="AZ19" s="372">
        <f t="shared" si="3"/>
        <v>0.53846153846153844</v>
      </c>
      <c r="BA19" s="57">
        <v>12</v>
      </c>
      <c r="BB19" s="393">
        <v>0</v>
      </c>
      <c r="BC19" s="394">
        <v>2</v>
      </c>
      <c r="BD19" s="395">
        <v>0</v>
      </c>
      <c r="BE19" s="396">
        <v>0</v>
      </c>
    </row>
    <row r="20" spans="1:57" x14ac:dyDescent="0.25">
      <c r="A20" s="329">
        <v>45894</v>
      </c>
      <c r="B20" s="5">
        <v>2</v>
      </c>
      <c r="C20" s="5" t="s">
        <v>170</v>
      </c>
      <c r="D20" s="7">
        <v>1</v>
      </c>
      <c r="E20" s="7">
        <v>0</v>
      </c>
      <c r="F20" s="5" t="s">
        <v>70</v>
      </c>
      <c r="H20" s="42">
        <v>41</v>
      </c>
      <c r="I20" s="26">
        <v>59</v>
      </c>
      <c r="J20" s="33">
        <v>1.51</v>
      </c>
      <c r="K20" s="34">
        <v>0.28999999999999998</v>
      </c>
      <c r="L20" s="25">
        <v>2</v>
      </c>
      <c r="M20" s="26">
        <v>1</v>
      </c>
      <c r="N20" s="25">
        <v>11</v>
      </c>
      <c r="O20" s="26">
        <v>6</v>
      </c>
      <c r="P20" s="25">
        <v>1</v>
      </c>
      <c r="Q20" s="26">
        <v>3</v>
      </c>
      <c r="R20" s="25">
        <v>0</v>
      </c>
      <c r="S20" s="26">
        <v>1</v>
      </c>
      <c r="T20" s="33">
        <v>0.17</v>
      </c>
      <c r="U20" s="484">
        <v>0.26</v>
      </c>
      <c r="V20" s="25">
        <v>3</v>
      </c>
      <c r="W20" s="26">
        <v>6</v>
      </c>
      <c r="X20" s="25">
        <v>13</v>
      </c>
      <c r="Y20" s="26">
        <v>13</v>
      </c>
      <c r="Z20" s="25">
        <v>334</v>
      </c>
      <c r="AA20" s="26">
        <v>498</v>
      </c>
      <c r="AB20" s="25">
        <v>14</v>
      </c>
      <c r="AC20" s="26">
        <v>16</v>
      </c>
      <c r="AD20" s="25">
        <v>12</v>
      </c>
      <c r="AE20" s="26">
        <v>13</v>
      </c>
      <c r="AF20" s="25">
        <v>0</v>
      </c>
      <c r="AG20" s="26">
        <v>4</v>
      </c>
      <c r="AH20" s="487">
        <v>0</v>
      </c>
      <c r="AI20" s="488">
        <v>0</v>
      </c>
      <c r="AJ20" s="487">
        <v>1</v>
      </c>
      <c r="AK20" s="489">
        <v>0</v>
      </c>
      <c r="AL20" s="173">
        <v>4</v>
      </c>
      <c r="AM20" s="364">
        <f t="shared" si="0"/>
        <v>0.36363636363636365</v>
      </c>
      <c r="AN20" s="144">
        <v>0</v>
      </c>
      <c r="AO20" s="144">
        <v>3</v>
      </c>
      <c r="AP20" s="144">
        <v>4</v>
      </c>
      <c r="AQ20" s="144">
        <v>5</v>
      </c>
      <c r="AR20" s="365">
        <f t="shared" si="1"/>
        <v>0.45454545454545453</v>
      </c>
      <c r="AS20" s="144">
        <v>6</v>
      </c>
      <c r="AT20" s="5">
        <v>1</v>
      </c>
      <c r="AU20" s="372">
        <f t="shared" si="2"/>
        <v>0.16666666666666666</v>
      </c>
      <c r="AV20" s="5">
        <v>0</v>
      </c>
      <c r="AW20" s="5">
        <v>2</v>
      </c>
      <c r="AX20" s="5">
        <v>3</v>
      </c>
      <c r="AY20" s="5">
        <v>2</v>
      </c>
      <c r="AZ20" s="372">
        <f t="shared" si="3"/>
        <v>0.33333333333333331</v>
      </c>
      <c r="BA20" s="57">
        <v>4</v>
      </c>
      <c r="BB20" s="393">
        <v>1</v>
      </c>
      <c r="BC20" s="394">
        <v>0</v>
      </c>
      <c r="BD20" s="395">
        <v>0</v>
      </c>
      <c r="BE20" s="396">
        <v>0</v>
      </c>
    </row>
    <row r="21" spans="1:57" x14ac:dyDescent="0.25">
      <c r="A21" s="329">
        <v>45894</v>
      </c>
      <c r="B21" s="5">
        <v>2</v>
      </c>
      <c r="C21" s="5" t="s">
        <v>171</v>
      </c>
      <c r="D21" s="7">
        <v>1</v>
      </c>
      <c r="E21" s="7">
        <v>2</v>
      </c>
      <c r="F21" s="5" t="s">
        <v>161</v>
      </c>
      <c r="H21" s="42">
        <v>71</v>
      </c>
      <c r="I21" s="26">
        <v>29</v>
      </c>
      <c r="J21" s="33">
        <v>0.51</v>
      </c>
      <c r="K21" s="34">
        <v>0.71</v>
      </c>
      <c r="L21" s="25">
        <v>1</v>
      </c>
      <c r="M21" s="26">
        <v>3</v>
      </c>
      <c r="N21" s="25">
        <v>12</v>
      </c>
      <c r="O21" s="26">
        <v>9</v>
      </c>
      <c r="P21" s="25">
        <v>4</v>
      </c>
      <c r="Q21" s="26">
        <v>3</v>
      </c>
      <c r="R21" s="25">
        <v>0</v>
      </c>
      <c r="S21" s="26">
        <v>0</v>
      </c>
      <c r="T21" s="33">
        <v>-1.1000000000000001</v>
      </c>
      <c r="U21" s="484">
        <v>-0.84</v>
      </c>
      <c r="V21" s="25">
        <v>5</v>
      </c>
      <c r="W21" s="26">
        <v>3</v>
      </c>
      <c r="X21" s="25">
        <v>10</v>
      </c>
      <c r="Y21" s="26">
        <v>24</v>
      </c>
      <c r="Z21" s="25">
        <v>533</v>
      </c>
      <c r="AA21" s="26">
        <v>221</v>
      </c>
      <c r="AB21" s="25">
        <v>24</v>
      </c>
      <c r="AC21" s="26">
        <v>16</v>
      </c>
      <c r="AD21" s="25">
        <v>24</v>
      </c>
      <c r="AE21" s="26">
        <v>10</v>
      </c>
      <c r="AF21" s="25">
        <v>2</v>
      </c>
      <c r="AG21" s="26">
        <v>2</v>
      </c>
      <c r="AH21" s="487">
        <v>0</v>
      </c>
      <c r="AI21" s="488">
        <v>0</v>
      </c>
      <c r="AJ21" s="487">
        <v>0</v>
      </c>
      <c r="AK21" s="489">
        <v>0</v>
      </c>
      <c r="AL21" s="173">
        <v>3</v>
      </c>
      <c r="AM21" s="364">
        <f t="shared" si="0"/>
        <v>0.25</v>
      </c>
      <c r="AN21" s="144">
        <v>1</v>
      </c>
      <c r="AO21" s="144">
        <v>8</v>
      </c>
      <c r="AP21" s="144">
        <v>1</v>
      </c>
      <c r="AQ21" s="144">
        <v>8</v>
      </c>
      <c r="AR21" s="365">
        <f t="shared" si="1"/>
        <v>0.66666666666666663</v>
      </c>
      <c r="AS21" s="144">
        <v>4</v>
      </c>
      <c r="AT21" s="5">
        <v>6</v>
      </c>
      <c r="AU21" s="372">
        <f t="shared" si="2"/>
        <v>0.66666666666666663</v>
      </c>
      <c r="AV21" s="5">
        <v>0</v>
      </c>
      <c r="AW21" s="5">
        <v>1</v>
      </c>
      <c r="AX21" s="5">
        <v>2</v>
      </c>
      <c r="AY21" s="5">
        <v>3</v>
      </c>
      <c r="AZ21" s="372">
        <f t="shared" si="3"/>
        <v>0.33333333333333331</v>
      </c>
      <c r="BA21" s="57">
        <v>6</v>
      </c>
      <c r="BB21" s="393">
        <v>1</v>
      </c>
      <c r="BC21" s="394">
        <v>0</v>
      </c>
      <c r="BD21" s="395">
        <v>0</v>
      </c>
      <c r="BE21" s="396">
        <v>0</v>
      </c>
    </row>
    <row r="22" spans="1:57" x14ac:dyDescent="0.25">
      <c r="A22" s="329">
        <v>45896</v>
      </c>
      <c r="B22" s="5">
        <v>6</v>
      </c>
      <c r="C22" s="5" t="s">
        <v>456</v>
      </c>
      <c r="D22" s="7">
        <v>1</v>
      </c>
      <c r="E22" s="7">
        <v>1</v>
      </c>
      <c r="F22" s="5" t="s">
        <v>209</v>
      </c>
      <c r="H22" s="42">
        <v>47</v>
      </c>
      <c r="I22" s="26">
        <v>53</v>
      </c>
      <c r="J22" s="33">
        <v>0.83</v>
      </c>
      <c r="K22" s="34">
        <v>0.33</v>
      </c>
      <c r="L22" s="25">
        <v>2</v>
      </c>
      <c r="M22" s="26">
        <v>2</v>
      </c>
      <c r="N22" s="25">
        <v>14</v>
      </c>
      <c r="O22" s="26">
        <v>7</v>
      </c>
      <c r="P22" s="25">
        <v>0</v>
      </c>
      <c r="Q22" s="26">
        <v>4</v>
      </c>
      <c r="R22" s="25">
        <v>0</v>
      </c>
      <c r="S22" s="26">
        <v>1</v>
      </c>
      <c r="T22" s="33">
        <v>-0.56000000000000005</v>
      </c>
      <c r="U22" s="484">
        <v>-0.5</v>
      </c>
      <c r="V22" s="25">
        <v>10</v>
      </c>
      <c r="W22" s="26">
        <v>4</v>
      </c>
      <c r="X22" s="25">
        <v>13</v>
      </c>
      <c r="Y22" s="26">
        <v>11</v>
      </c>
      <c r="Z22" s="25">
        <v>496</v>
      </c>
      <c r="AA22" s="26">
        <v>568</v>
      </c>
      <c r="AB22" s="25">
        <v>17</v>
      </c>
      <c r="AC22" s="26">
        <v>15</v>
      </c>
      <c r="AD22" s="25">
        <v>11</v>
      </c>
      <c r="AE22" s="26">
        <v>13</v>
      </c>
      <c r="AF22" s="25">
        <v>1</v>
      </c>
      <c r="AG22" s="26">
        <v>2</v>
      </c>
      <c r="AH22" s="487">
        <v>0</v>
      </c>
      <c r="AI22" s="488">
        <v>0</v>
      </c>
      <c r="AJ22" s="487">
        <v>0</v>
      </c>
      <c r="AK22" s="489">
        <v>0</v>
      </c>
      <c r="AL22" s="173">
        <v>5</v>
      </c>
      <c r="AM22" s="364">
        <f t="shared" si="0"/>
        <v>0.35714285714285715</v>
      </c>
      <c r="AN22" s="144">
        <v>0</v>
      </c>
      <c r="AO22" s="144">
        <v>6</v>
      </c>
      <c r="AP22" s="144">
        <v>3</v>
      </c>
      <c r="AQ22" s="144">
        <v>10</v>
      </c>
      <c r="AR22" s="365">
        <f t="shared" si="1"/>
        <v>0.7142857142857143</v>
      </c>
      <c r="AS22" s="144">
        <v>4</v>
      </c>
      <c r="AT22" s="5">
        <v>2</v>
      </c>
      <c r="AU22" s="372">
        <f t="shared" si="2"/>
        <v>0.2857142857142857</v>
      </c>
      <c r="AV22" s="5">
        <v>0</v>
      </c>
      <c r="AW22" s="5">
        <v>2</v>
      </c>
      <c r="AX22" s="5">
        <v>3</v>
      </c>
      <c r="AY22" s="5">
        <v>3</v>
      </c>
      <c r="AZ22" s="372">
        <f t="shared" si="3"/>
        <v>0.42857142857142855</v>
      </c>
      <c r="BA22" s="57">
        <v>4</v>
      </c>
      <c r="BB22" s="393">
        <v>1</v>
      </c>
      <c r="BC22" s="394">
        <v>0</v>
      </c>
      <c r="BD22" s="395">
        <v>0</v>
      </c>
      <c r="BE22" s="396">
        <v>0</v>
      </c>
    </row>
    <row r="23" spans="1:57" x14ac:dyDescent="0.25">
      <c r="A23" s="329">
        <v>45898</v>
      </c>
      <c r="B23" s="5">
        <v>3</v>
      </c>
      <c r="C23" s="5" t="s">
        <v>208</v>
      </c>
      <c r="D23" s="7">
        <v>2</v>
      </c>
      <c r="E23" s="7">
        <v>0</v>
      </c>
      <c r="F23" s="5" t="s">
        <v>129</v>
      </c>
      <c r="H23" s="42">
        <v>67</v>
      </c>
      <c r="I23" s="26">
        <v>33</v>
      </c>
      <c r="J23" s="33">
        <v>1.1200000000000001</v>
      </c>
      <c r="K23" s="34">
        <v>0.71</v>
      </c>
      <c r="L23" s="25">
        <v>1</v>
      </c>
      <c r="M23" s="26">
        <v>1</v>
      </c>
      <c r="N23" s="25">
        <v>16</v>
      </c>
      <c r="O23" s="26">
        <v>11</v>
      </c>
      <c r="P23" s="25">
        <v>1</v>
      </c>
      <c r="Q23" s="26">
        <v>3</v>
      </c>
      <c r="R23" s="25">
        <v>0</v>
      </c>
      <c r="S23" s="26">
        <v>0</v>
      </c>
      <c r="T23" s="33">
        <v>0.23</v>
      </c>
      <c r="U23" s="484">
        <v>-0.37</v>
      </c>
      <c r="V23" s="25">
        <v>4</v>
      </c>
      <c r="W23" s="26">
        <v>2</v>
      </c>
      <c r="X23" s="25">
        <v>14</v>
      </c>
      <c r="Y23" s="26">
        <v>17</v>
      </c>
      <c r="Z23" s="25">
        <v>569</v>
      </c>
      <c r="AA23" s="26">
        <v>272</v>
      </c>
      <c r="AB23" s="25">
        <v>13</v>
      </c>
      <c r="AC23" s="26">
        <v>13</v>
      </c>
      <c r="AD23" s="25">
        <v>17</v>
      </c>
      <c r="AE23" s="26">
        <v>14</v>
      </c>
      <c r="AF23" s="25">
        <v>1</v>
      </c>
      <c r="AG23" s="26">
        <v>2</v>
      </c>
      <c r="AH23" s="487">
        <v>0</v>
      </c>
      <c r="AI23" s="488">
        <v>0</v>
      </c>
      <c r="AJ23" s="487">
        <v>0</v>
      </c>
      <c r="AK23" s="489">
        <v>0</v>
      </c>
      <c r="AL23" s="173">
        <v>5</v>
      </c>
      <c r="AM23" s="364">
        <f t="shared" si="0"/>
        <v>0.3125</v>
      </c>
      <c r="AN23" s="144">
        <v>0</v>
      </c>
      <c r="AO23" s="144">
        <v>7</v>
      </c>
      <c r="AP23" s="144">
        <v>4</v>
      </c>
      <c r="AQ23" s="144">
        <v>13</v>
      </c>
      <c r="AR23" s="365">
        <f t="shared" si="1"/>
        <v>0.8125</v>
      </c>
      <c r="AS23" s="144">
        <v>3</v>
      </c>
      <c r="AT23" s="5">
        <v>1</v>
      </c>
      <c r="AU23" s="372">
        <f t="shared" si="2"/>
        <v>9.0909090909090912E-2</v>
      </c>
      <c r="AV23" s="5">
        <v>0</v>
      </c>
      <c r="AW23" s="5">
        <v>8</v>
      </c>
      <c r="AX23" s="5">
        <v>2</v>
      </c>
      <c r="AY23" s="5">
        <v>5</v>
      </c>
      <c r="AZ23" s="372">
        <f t="shared" si="3"/>
        <v>0.45454545454545453</v>
      </c>
      <c r="BA23" s="57">
        <v>6</v>
      </c>
      <c r="BB23" s="393">
        <v>1</v>
      </c>
      <c r="BC23" s="394">
        <v>0</v>
      </c>
      <c r="BD23" s="395">
        <v>0</v>
      </c>
      <c r="BE23" s="396">
        <v>0</v>
      </c>
    </row>
    <row r="24" spans="1:57" x14ac:dyDescent="0.25">
      <c r="A24" s="329">
        <v>45898</v>
      </c>
      <c r="B24" s="5">
        <v>3</v>
      </c>
      <c r="C24" s="5" t="s">
        <v>145</v>
      </c>
      <c r="D24" s="7">
        <v>3</v>
      </c>
      <c r="E24" s="7">
        <v>0</v>
      </c>
      <c r="F24" s="5" t="s">
        <v>161</v>
      </c>
      <c r="H24" s="42">
        <v>58</v>
      </c>
      <c r="I24" s="26">
        <v>42</v>
      </c>
      <c r="J24" s="33">
        <v>1.08</v>
      </c>
      <c r="K24" s="34">
        <v>0.74</v>
      </c>
      <c r="L24" s="25">
        <v>3</v>
      </c>
      <c r="M24" s="26">
        <v>1</v>
      </c>
      <c r="N24" s="25">
        <v>7</v>
      </c>
      <c r="O24" s="26">
        <v>11</v>
      </c>
      <c r="P24" s="25">
        <v>1</v>
      </c>
      <c r="Q24" s="26">
        <v>1</v>
      </c>
      <c r="R24" s="25">
        <v>0</v>
      </c>
      <c r="S24" s="26">
        <v>0</v>
      </c>
      <c r="T24" s="33">
        <v>0.35</v>
      </c>
      <c r="U24" s="484">
        <v>-1.6</v>
      </c>
      <c r="V24" s="25">
        <v>8</v>
      </c>
      <c r="W24" s="26">
        <v>6</v>
      </c>
      <c r="X24" s="25">
        <v>18</v>
      </c>
      <c r="Y24" s="26">
        <v>7</v>
      </c>
      <c r="Z24" s="25">
        <v>408</v>
      </c>
      <c r="AA24" s="26">
        <v>296</v>
      </c>
      <c r="AB24" s="25">
        <v>12</v>
      </c>
      <c r="AC24" s="26">
        <v>16</v>
      </c>
      <c r="AD24" s="25">
        <v>7</v>
      </c>
      <c r="AE24" s="26">
        <v>18</v>
      </c>
      <c r="AF24" s="25">
        <v>2</v>
      </c>
      <c r="AG24" s="26">
        <v>0</v>
      </c>
      <c r="AH24" s="487">
        <v>0</v>
      </c>
      <c r="AI24" s="488">
        <v>0</v>
      </c>
      <c r="AJ24" s="487">
        <v>0</v>
      </c>
      <c r="AK24" s="489">
        <v>0</v>
      </c>
      <c r="AL24" s="173">
        <v>4</v>
      </c>
      <c r="AM24" s="364">
        <f t="shared" si="0"/>
        <v>0.5714285714285714</v>
      </c>
      <c r="AN24" s="144">
        <v>0</v>
      </c>
      <c r="AO24" s="144">
        <v>1</v>
      </c>
      <c r="AP24" s="144">
        <v>2</v>
      </c>
      <c r="AQ24" s="144">
        <v>5</v>
      </c>
      <c r="AR24" s="365">
        <f t="shared" si="1"/>
        <v>0.7142857142857143</v>
      </c>
      <c r="AS24" s="144">
        <v>2</v>
      </c>
      <c r="AT24" s="5">
        <v>1</v>
      </c>
      <c r="AU24" s="372">
        <f t="shared" si="2"/>
        <v>9.0909090909090912E-2</v>
      </c>
      <c r="AV24" s="5">
        <v>1</v>
      </c>
      <c r="AW24" s="5">
        <v>6</v>
      </c>
      <c r="AX24" s="5">
        <v>4</v>
      </c>
      <c r="AY24" s="5">
        <v>7</v>
      </c>
      <c r="AZ24" s="372">
        <f t="shared" si="3"/>
        <v>0.63636363636363635</v>
      </c>
      <c r="BA24" s="57">
        <v>4</v>
      </c>
      <c r="BB24" s="393">
        <v>0</v>
      </c>
      <c r="BC24" s="394">
        <v>0</v>
      </c>
      <c r="BD24" s="395">
        <v>0</v>
      </c>
      <c r="BE24" s="396">
        <v>0</v>
      </c>
    </row>
    <row r="25" spans="1:57" x14ac:dyDescent="0.25">
      <c r="A25" s="329">
        <v>45899</v>
      </c>
      <c r="B25" s="5">
        <v>3</v>
      </c>
      <c r="C25" s="5" t="s">
        <v>128</v>
      </c>
      <c r="D25" s="7">
        <v>1</v>
      </c>
      <c r="E25" s="7">
        <v>1</v>
      </c>
      <c r="F25" s="5" t="s">
        <v>193</v>
      </c>
      <c r="H25" s="42">
        <v>40</v>
      </c>
      <c r="I25" s="26">
        <v>60</v>
      </c>
      <c r="J25" s="33">
        <v>0.91</v>
      </c>
      <c r="K25" s="34">
        <v>1.06</v>
      </c>
      <c r="L25" s="25">
        <v>1</v>
      </c>
      <c r="M25" s="26">
        <v>1</v>
      </c>
      <c r="N25" s="25">
        <v>5</v>
      </c>
      <c r="O25" s="26">
        <v>15</v>
      </c>
      <c r="P25" s="25">
        <v>5</v>
      </c>
      <c r="Q25" s="26">
        <v>1</v>
      </c>
      <c r="R25" s="25">
        <v>0</v>
      </c>
      <c r="S25" s="26">
        <v>0</v>
      </c>
      <c r="T25" s="33">
        <v>1.33</v>
      </c>
      <c r="U25" s="484">
        <v>0.24</v>
      </c>
      <c r="V25" s="25">
        <v>1</v>
      </c>
      <c r="W25" s="26">
        <v>6</v>
      </c>
      <c r="X25" s="25">
        <v>10</v>
      </c>
      <c r="Y25" s="26">
        <v>17</v>
      </c>
      <c r="Z25" s="25">
        <v>377</v>
      </c>
      <c r="AA25" s="26">
        <v>550</v>
      </c>
      <c r="AB25" s="25">
        <v>14</v>
      </c>
      <c r="AC25" s="26">
        <v>19</v>
      </c>
      <c r="AD25" s="25">
        <v>16</v>
      </c>
      <c r="AE25" s="26">
        <v>10</v>
      </c>
      <c r="AF25" s="25">
        <v>2</v>
      </c>
      <c r="AG25" s="26">
        <v>3</v>
      </c>
      <c r="AH25" s="487">
        <v>0</v>
      </c>
      <c r="AI25" s="488">
        <v>0</v>
      </c>
      <c r="AJ25" s="487">
        <v>1</v>
      </c>
      <c r="AK25" s="489">
        <v>0</v>
      </c>
      <c r="AL25" s="173">
        <v>2</v>
      </c>
      <c r="AM25" s="364">
        <f t="shared" si="0"/>
        <v>0.4</v>
      </c>
      <c r="AN25" s="144">
        <v>0</v>
      </c>
      <c r="AO25" s="144">
        <v>2</v>
      </c>
      <c r="AP25" s="144">
        <v>1</v>
      </c>
      <c r="AQ25" s="144">
        <v>3</v>
      </c>
      <c r="AR25" s="365">
        <f t="shared" si="1"/>
        <v>0.6</v>
      </c>
      <c r="AS25" s="144">
        <v>2</v>
      </c>
      <c r="AT25" s="5">
        <v>6</v>
      </c>
      <c r="AU25" s="372">
        <f t="shared" si="2"/>
        <v>0.4</v>
      </c>
      <c r="AV25" s="5">
        <v>1</v>
      </c>
      <c r="AW25" s="5">
        <v>6</v>
      </c>
      <c r="AX25" s="5">
        <v>3</v>
      </c>
      <c r="AY25" s="5">
        <v>11</v>
      </c>
      <c r="AZ25" s="372">
        <f t="shared" si="3"/>
        <v>0.73333333333333328</v>
      </c>
      <c r="BA25" s="57">
        <v>4</v>
      </c>
      <c r="BB25" s="393">
        <v>1</v>
      </c>
      <c r="BC25" s="394">
        <v>0</v>
      </c>
      <c r="BD25" s="395">
        <v>1</v>
      </c>
      <c r="BE25" s="396">
        <v>0</v>
      </c>
    </row>
    <row r="26" spans="1:57" x14ac:dyDescent="0.25">
      <c r="A26" s="329">
        <v>45899</v>
      </c>
      <c r="B26" s="5">
        <v>3</v>
      </c>
      <c r="C26" s="5" t="s">
        <v>92</v>
      </c>
      <c r="D26" s="7">
        <v>1</v>
      </c>
      <c r="E26" s="7">
        <v>0</v>
      </c>
      <c r="F26" s="5" t="s">
        <v>146</v>
      </c>
      <c r="H26" s="42">
        <v>43</v>
      </c>
      <c r="I26" s="26">
        <v>57</v>
      </c>
      <c r="J26" s="33">
        <v>0.5</v>
      </c>
      <c r="K26" s="34">
        <v>1.07</v>
      </c>
      <c r="L26" s="25">
        <v>0</v>
      </c>
      <c r="M26" s="26">
        <v>0</v>
      </c>
      <c r="N26" s="25">
        <v>8</v>
      </c>
      <c r="O26" s="26">
        <v>18</v>
      </c>
      <c r="P26" s="25">
        <v>6</v>
      </c>
      <c r="Q26" s="26">
        <v>0</v>
      </c>
      <c r="R26" s="25">
        <v>2</v>
      </c>
      <c r="S26" s="26">
        <v>0</v>
      </c>
      <c r="T26" s="33">
        <v>2.1</v>
      </c>
      <c r="U26" s="484">
        <v>-0.2</v>
      </c>
      <c r="V26" s="25">
        <v>1</v>
      </c>
      <c r="W26" s="26">
        <v>10</v>
      </c>
      <c r="X26" s="25">
        <v>7</v>
      </c>
      <c r="Y26" s="26">
        <v>18</v>
      </c>
      <c r="Z26" s="25">
        <v>409</v>
      </c>
      <c r="AA26" s="26">
        <v>528</v>
      </c>
      <c r="AB26" s="25">
        <v>14</v>
      </c>
      <c r="AC26" s="26">
        <v>15</v>
      </c>
      <c r="AD26" s="25">
        <v>18</v>
      </c>
      <c r="AE26" s="26">
        <v>7</v>
      </c>
      <c r="AF26" s="25">
        <v>2</v>
      </c>
      <c r="AG26" s="26">
        <v>1</v>
      </c>
      <c r="AH26" s="487">
        <v>0</v>
      </c>
      <c r="AI26" s="488">
        <v>0</v>
      </c>
      <c r="AJ26" s="487">
        <v>0</v>
      </c>
      <c r="AK26" s="489">
        <v>0</v>
      </c>
      <c r="AL26" s="173">
        <v>1</v>
      </c>
      <c r="AM26" s="364">
        <f t="shared" si="0"/>
        <v>0.125</v>
      </c>
      <c r="AN26" s="144">
        <v>1</v>
      </c>
      <c r="AO26" s="144">
        <v>7</v>
      </c>
      <c r="AP26" s="144">
        <v>0</v>
      </c>
      <c r="AQ26" s="144">
        <v>4</v>
      </c>
      <c r="AR26" s="365">
        <f t="shared" si="1"/>
        <v>0.5</v>
      </c>
      <c r="AS26" s="144">
        <v>4</v>
      </c>
      <c r="AT26" s="5">
        <v>6</v>
      </c>
      <c r="AU26" s="372">
        <f t="shared" si="2"/>
        <v>0.33333333333333331</v>
      </c>
      <c r="AV26" s="5">
        <v>0</v>
      </c>
      <c r="AW26" s="5">
        <v>9</v>
      </c>
      <c r="AX26" s="5">
        <v>3</v>
      </c>
      <c r="AY26" s="5">
        <v>9</v>
      </c>
      <c r="AZ26" s="372">
        <f t="shared" si="3"/>
        <v>0.5</v>
      </c>
      <c r="BA26" s="57">
        <v>9</v>
      </c>
      <c r="BB26" s="393">
        <v>3</v>
      </c>
      <c r="BC26" s="394">
        <v>0</v>
      </c>
      <c r="BD26" s="395">
        <v>2</v>
      </c>
      <c r="BE26" s="396">
        <v>0</v>
      </c>
    </row>
    <row r="27" spans="1:57" x14ac:dyDescent="0.25">
      <c r="A27" s="329">
        <v>45899</v>
      </c>
      <c r="B27" s="5">
        <v>3</v>
      </c>
      <c r="C27" s="5" t="s">
        <v>69</v>
      </c>
      <c r="D27" s="7">
        <v>0</v>
      </c>
      <c r="E27" s="7">
        <v>2</v>
      </c>
      <c r="F27" s="5" t="s">
        <v>171</v>
      </c>
      <c r="H27" s="42">
        <v>59</v>
      </c>
      <c r="I27" s="26">
        <v>41</v>
      </c>
      <c r="J27" s="33">
        <v>2.13</v>
      </c>
      <c r="K27" s="34">
        <v>1.32</v>
      </c>
      <c r="L27" s="25">
        <v>3</v>
      </c>
      <c r="M27" s="26">
        <v>2</v>
      </c>
      <c r="N27" s="25">
        <v>20</v>
      </c>
      <c r="O27" s="26">
        <v>13</v>
      </c>
      <c r="P27" s="25">
        <v>2</v>
      </c>
      <c r="Q27" s="26">
        <v>5</v>
      </c>
      <c r="R27" s="25">
        <v>0</v>
      </c>
      <c r="S27" s="26">
        <v>1</v>
      </c>
      <c r="T27" s="33">
        <v>-0.74</v>
      </c>
      <c r="U27" s="484">
        <v>1.96</v>
      </c>
      <c r="V27" s="25">
        <v>11</v>
      </c>
      <c r="W27" s="26">
        <v>3</v>
      </c>
      <c r="X27" s="25">
        <v>5</v>
      </c>
      <c r="Y27" s="26">
        <v>14</v>
      </c>
      <c r="Z27" s="25">
        <v>427</v>
      </c>
      <c r="AA27" s="26">
        <v>322</v>
      </c>
      <c r="AB27" s="25">
        <v>15</v>
      </c>
      <c r="AC27" s="26">
        <v>17</v>
      </c>
      <c r="AD27" s="25">
        <v>14</v>
      </c>
      <c r="AE27" s="26">
        <v>5</v>
      </c>
      <c r="AF27" s="25">
        <v>0</v>
      </c>
      <c r="AG27" s="26">
        <v>2</v>
      </c>
      <c r="AH27" s="487">
        <v>0</v>
      </c>
      <c r="AI27" s="488">
        <v>0</v>
      </c>
      <c r="AJ27" s="487">
        <v>0</v>
      </c>
      <c r="AK27" s="489">
        <v>0</v>
      </c>
      <c r="AL27" s="173">
        <v>5</v>
      </c>
      <c r="AM27" s="364">
        <f t="shared" si="0"/>
        <v>0.25</v>
      </c>
      <c r="AN27" s="144">
        <v>0</v>
      </c>
      <c r="AO27" s="144">
        <v>6</v>
      </c>
      <c r="AP27" s="144">
        <v>9</v>
      </c>
      <c r="AQ27" s="144">
        <v>12</v>
      </c>
      <c r="AR27" s="365">
        <f t="shared" si="1"/>
        <v>0.6</v>
      </c>
      <c r="AS27" s="144">
        <v>8</v>
      </c>
      <c r="AT27" s="5">
        <v>4</v>
      </c>
      <c r="AU27" s="372">
        <f t="shared" si="2"/>
        <v>0.30769230769230771</v>
      </c>
      <c r="AV27" s="5">
        <v>1</v>
      </c>
      <c r="AW27" s="5">
        <v>6</v>
      </c>
      <c r="AX27" s="5">
        <v>3</v>
      </c>
      <c r="AY27" s="5">
        <v>10</v>
      </c>
      <c r="AZ27" s="372">
        <f t="shared" si="3"/>
        <v>0.76923076923076927</v>
      </c>
      <c r="BA27" s="57">
        <v>3</v>
      </c>
      <c r="BB27" s="393">
        <v>2</v>
      </c>
      <c r="BC27" s="394">
        <v>1</v>
      </c>
      <c r="BD27" s="395">
        <v>0</v>
      </c>
      <c r="BE27" s="396">
        <v>0</v>
      </c>
    </row>
    <row r="28" spans="1:57" x14ac:dyDescent="0.25">
      <c r="A28" s="329">
        <v>45899</v>
      </c>
      <c r="B28" s="5">
        <v>3</v>
      </c>
      <c r="C28" s="5" t="s">
        <v>226</v>
      </c>
      <c r="D28" s="7">
        <v>2</v>
      </c>
      <c r="E28" s="7">
        <v>1</v>
      </c>
      <c r="F28" s="5" t="s">
        <v>112</v>
      </c>
      <c r="H28" s="42">
        <v>58</v>
      </c>
      <c r="I28" s="26">
        <v>42</v>
      </c>
      <c r="J28" s="33">
        <v>1.82</v>
      </c>
      <c r="K28" s="34">
        <v>0.72</v>
      </c>
      <c r="L28" s="25">
        <v>2</v>
      </c>
      <c r="M28" s="26">
        <v>1</v>
      </c>
      <c r="N28" s="25">
        <v>17</v>
      </c>
      <c r="O28" s="26">
        <v>9</v>
      </c>
      <c r="P28" s="25">
        <v>2</v>
      </c>
      <c r="Q28" s="26">
        <v>5</v>
      </c>
      <c r="R28" s="25">
        <v>1</v>
      </c>
      <c r="S28" s="26">
        <v>0</v>
      </c>
      <c r="T28" s="33">
        <v>-0.28999999999999998</v>
      </c>
      <c r="U28" s="484">
        <v>0.25</v>
      </c>
      <c r="V28" s="25">
        <v>4</v>
      </c>
      <c r="W28" s="26">
        <v>5</v>
      </c>
      <c r="X28" s="25">
        <v>12</v>
      </c>
      <c r="Y28" s="26">
        <v>7</v>
      </c>
      <c r="Z28" s="25">
        <v>538</v>
      </c>
      <c r="AA28" s="26">
        <v>382</v>
      </c>
      <c r="AB28" s="25">
        <v>13</v>
      </c>
      <c r="AC28" s="26">
        <v>14</v>
      </c>
      <c r="AD28" s="25">
        <v>7</v>
      </c>
      <c r="AE28" s="26">
        <v>12</v>
      </c>
      <c r="AF28" s="25">
        <v>2</v>
      </c>
      <c r="AG28" s="26">
        <v>0</v>
      </c>
      <c r="AH28" s="487">
        <v>0</v>
      </c>
      <c r="AI28" s="488">
        <v>0</v>
      </c>
      <c r="AJ28" s="487">
        <v>0</v>
      </c>
      <c r="AK28" s="489">
        <v>0</v>
      </c>
      <c r="AL28" s="173">
        <v>7</v>
      </c>
      <c r="AM28" s="364">
        <f t="shared" si="0"/>
        <v>0.41176470588235292</v>
      </c>
      <c r="AN28" s="144">
        <v>0</v>
      </c>
      <c r="AO28" s="144">
        <v>6</v>
      </c>
      <c r="AP28" s="144">
        <v>4</v>
      </c>
      <c r="AQ28" s="144">
        <v>7</v>
      </c>
      <c r="AR28" s="365">
        <f t="shared" si="1"/>
        <v>0.41176470588235292</v>
      </c>
      <c r="AS28" s="144">
        <v>10</v>
      </c>
      <c r="AT28" s="5">
        <v>5</v>
      </c>
      <c r="AU28" s="372">
        <f t="shared" si="2"/>
        <v>0.55555555555555558</v>
      </c>
      <c r="AV28" s="5">
        <v>0</v>
      </c>
      <c r="AW28" s="5">
        <v>2</v>
      </c>
      <c r="AX28" s="5">
        <v>2</v>
      </c>
      <c r="AY28" s="5">
        <v>8</v>
      </c>
      <c r="AZ28" s="372">
        <f t="shared" si="3"/>
        <v>0.88888888888888884</v>
      </c>
      <c r="BA28" s="57">
        <v>1</v>
      </c>
      <c r="BB28" s="393">
        <v>0</v>
      </c>
      <c r="BC28" s="394">
        <v>0</v>
      </c>
      <c r="BD28" s="395">
        <v>0</v>
      </c>
      <c r="BE28" s="396">
        <v>1</v>
      </c>
    </row>
    <row r="29" spans="1:57" x14ac:dyDescent="0.25">
      <c r="A29" s="329">
        <v>45900</v>
      </c>
      <c r="B29" s="5">
        <v>3</v>
      </c>
      <c r="C29" s="5" t="s">
        <v>456</v>
      </c>
      <c r="D29" s="7">
        <v>1</v>
      </c>
      <c r="E29" s="7">
        <v>1</v>
      </c>
      <c r="F29" s="5" t="s">
        <v>91</v>
      </c>
      <c r="H29" s="42">
        <v>65</v>
      </c>
      <c r="I29" s="26">
        <v>35</v>
      </c>
      <c r="J29" s="33">
        <v>0.96</v>
      </c>
      <c r="K29" s="34">
        <v>1.04</v>
      </c>
      <c r="L29" s="25">
        <v>2</v>
      </c>
      <c r="M29" s="26">
        <v>1</v>
      </c>
      <c r="N29" s="25">
        <v>10</v>
      </c>
      <c r="O29" s="26">
        <v>8</v>
      </c>
      <c r="P29" s="25">
        <v>2</v>
      </c>
      <c r="Q29" s="26">
        <v>2</v>
      </c>
      <c r="R29" s="25">
        <v>0</v>
      </c>
      <c r="S29" s="26">
        <v>0</v>
      </c>
      <c r="T29" s="33">
        <v>-0.1</v>
      </c>
      <c r="U29" s="484">
        <v>-0.3</v>
      </c>
      <c r="V29" s="25">
        <v>1</v>
      </c>
      <c r="W29" s="26">
        <v>5</v>
      </c>
      <c r="X29" s="25">
        <v>11</v>
      </c>
      <c r="Y29" s="26">
        <v>8</v>
      </c>
      <c r="Z29" s="25">
        <v>742</v>
      </c>
      <c r="AA29" s="26">
        <v>394</v>
      </c>
      <c r="AB29" s="25">
        <v>19</v>
      </c>
      <c r="AC29" s="26">
        <v>28</v>
      </c>
      <c r="AD29" s="25">
        <v>8</v>
      </c>
      <c r="AE29" s="26">
        <v>11</v>
      </c>
      <c r="AF29" s="25">
        <v>1</v>
      </c>
      <c r="AG29" s="26">
        <v>1</v>
      </c>
      <c r="AH29" s="487">
        <v>0</v>
      </c>
      <c r="AI29" s="488">
        <v>0</v>
      </c>
      <c r="AJ29" s="487">
        <v>0</v>
      </c>
      <c r="AK29" s="489">
        <v>0</v>
      </c>
      <c r="AL29" s="173">
        <v>2</v>
      </c>
      <c r="AM29" s="364">
        <f t="shared" si="0"/>
        <v>0.2</v>
      </c>
      <c r="AN29" s="144">
        <v>0</v>
      </c>
      <c r="AO29" s="144">
        <v>4</v>
      </c>
      <c r="AP29" s="144">
        <v>4</v>
      </c>
      <c r="AQ29" s="144">
        <v>6</v>
      </c>
      <c r="AR29" s="365">
        <f t="shared" si="1"/>
        <v>0.6</v>
      </c>
      <c r="AS29" s="144">
        <v>4</v>
      </c>
      <c r="AT29" s="5">
        <v>3</v>
      </c>
      <c r="AU29" s="372">
        <f t="shared" si="2"/>
        <v>0.375</v>
      </c>
      <c r="AV29" s="5">
        <v>0</v>
      </c>
      <c r="AW29" s="5">
        <v>4</v>
      </c>
      <c r="AX29" s="5">
        <v>1</v>
      </c>
      <c r="AY29" s="5">
        <v>5</v>
      </c>
      <c r="AZ29" s="372">
        <f t="shared" si="3"/>
        <v>0.625</v>
      </c>
      <c r="BA29" s="57">
        <v>3</v>
      </c>
      <c r="BB29" s="393">
        <v>0</v>
      </c>
      <c r="BC29" s="394">
        <v>0</v>
      </c>
      <c r="BD29" s="395">
        <v>2</v>
      </c>
      <c r="BE29" s="396">
        <v>0</v>
      </c>
    </row>
    <row r="30" spans="1:57" x14ac:dyDescent="0.25">
      <c r="A30" s="329">
        <v>45900</v>
      </c>
      <c r="B30" s="5">
        <v>3</v>
      </c>
      <c r="C30" s="5" t="s">
        <v>209</v>
      </c>
      <c r="D30" s="7">
        <v>1</v>
      </c>
      <c r="E30" s="7">
        <v>2</v>
      </c>
      <c r="F30" s="5" t="s">
        <v>170</v>
      </c>
      <c r="H30" s="42">
        <v>50</v>
      </c>
      <c r="I30" s="26">
        <v>50</v>
      </c>
      <c r="J30" s="33">
        <v>0.62</v>
      </c>
      <c r="K30" s="34">
        <v>1.1100000000000001</v>
      </c>
      <c r="L30" s="25">
        <v>1</v>
      </c>
      <c r="M30" s="26">
        <v>2</v>
      </c>
      <c r="N30" s="25">
        <v>9</v>
      </c>
      <c r="O30" s="26">
        <v>15</v>
      </c>
      <c r="P30" s="25">
        <v>5</v>
      </c>
      <c r="Q30" s="26">
        <v>1</v>
      </c>
      <c r="R30" s="25">
        <v>0</v>
      </c>
      <c r="S30" s="26">
        <v>0</v>
      </c>
      <c r="T30" s="33">
        <v>-1.1399999999999999</v>
      </c>
      <c r="U30" s="484">
        <v>0.02</v>
      </c>
      <c r="V30" s="25">
        <v>4</v>
      </c>
      <c r="W30" s="26">
        <v>10</v>
      </c>
      <c r="X30" s="25">
        <v>9</v>
      </c>
      <c r="Y30" s="26">
        <v>16</v>
      </c>
      <c r="Z30" s="25">
        <v>454</v>
      </c>
      <c r="AA30" s="26">
        <v>440</v>
      </c>
      <c r="AB30" s="25">
        <v>25</v>
      </c>
      <c r="AC30" s="26">
        <v>15</v>
      </c>
      <c r="AD30" s="25">
        <v>16</v>
      </c>
      <c r="AE30" s="26">
        <v>9</v>
      </c>
      <c r="AF30" s="25">
        <v>1</v>
      </c>
      <c r="AG30" s="26">
        <v>4</v>
      </c>
      <c r="AH30" s="487">
        <v>0</v>
      </c>
      <c r="AI30" s="488">
        <v>1</v>
      </c>
      <c r="AJ30" s="487">
        <v>0</v>
      </c>
      <c r="AK30" s="489">
        <v>0</v>
      </c>
      <c r="AL30" s="173">
        <v>2</v>
      </c>
      <c r="AM30" s="364">
        <f t="shared" si="0"/>
        <v>0.22222222222222221</v>
      </c>
      <c r="AN30" s="144">
        <v>0</v>
      </c>
      <c r="AO30" s="144">
        <v>4</v>
      </c>
      <c r="AP30" s="144">
        <v>3</v>
      </c>
      <c r="AQ30" s="144">
        <v>6</v>
      </c>
      <c r="AR30" s="365">
        <f t="shared" si="1"/>
        <v>0.66666666666666663</v>
      </c>
      <c r="AS30" s="144">
        <v>3</v>
      </c>
      <c r="AT30" s="5">
        <v>6</v>
      </c>
      <c r="AU30" s="372">
        <f t="shared" si="2"/>
        <v>0.4</v>
      </c>
      <c r="AV30" s="5">
        <v>0</v>
      </c>
      <c r="AW30" s="5">
        <v>5</v>
      </c>
      <c r="AX30" s="5">
        <v>4</v>
      </c>
      <c r="AY30" s="5">
        <v>9</v>
      </c>
      <c r="AZ30" s="372">
        <f t="shared" si="3"/>
        <v>0.6</v>
      </c>
      <c r="BA30" s="57">
        <v>6</v>
      </c>
      <c r="BB30" s="393">
        <v>0</v>
      </c>
      <c r="BC30" s="394">
        <v>0</v>
      </c>
      <c r="BD30" s="395">
        <v>1</v>
      </c>
      <c r="BE30" s="396">
        <v>0</v>
      </c>
    </row>
    <row r="31" spans="1:57" x14ac:dyDescent="0.25">
      <c r="A31" s="329">
        <v>45900</v>
      </c>
      <c r="B31" s="5">
        <v>3</v>
      </c>
      <c r="C31" s="5" t="s">
        <v>192</v>
      </c>
      <c r="D31" s="7">
        <v>1</v>
      </c>
      <c r="E31" s="7">
        <v>0</v>
      </c>
      <c r="F31" s="5" t="s">
        <v>227</v>
      </c>
      <c r="H31" s="42">
        <v>45</v>
      </c>
      <c r="I31" s="26">
        <v>55</v>
      </c>
      <c r="J31" s="33">
        <v>1.21</v>
      </c>
      <c r="K31" s="34">
        <v>1.37</v>
      </c>
      <c r="L31" s="25">
        <v>2</v>
      </c>
      <c r="M31" s="26">
        <v>3</v>
      </c>
      <c r="N31" s="25">
        <v>10</v>
      </c>
      <c r="O31" s="26">
        <v>10</v>
      </c>
      <c r="P31" s="25">
        <v>3</v>
      </c>
      <c r="Q31" s="26">
        <v>3</v>
      </c>
      <c r="R31" s="25">
        <v>1</v>
      </c>
      <c r="S31" s="26">
        <v>1</v>
      </c>
      <c r="T31" s="33">
        <v>0.56999999999999995</v>
      </c>
      <c r="U31" s="484">
        <v>0.41</v>
      </c>
      <c r="V31" s="25">
        <v>2</v>
      </c>
      <c r="W31" s="26">
        <v>3</v>
      </c>
      <c r="X31" s="25">
        <v>13</v>
      </c>
      <c r="Y31" s="26">
        <v>14</v>
      </c>
      <c r="Z31" s="25">
        <v>408</v>
      </c>
      <c r="AA31" s="26">
        <v>493</v>
      </c>
      <c r="AB31" s="25">
        <v>16</v>
      </c>
      <c r="AC31" s="26">
        <v>14</v>
      </c>
      <c r="AD31" s="25">
        <v>14</v>
      </c>
      <c r="AE31" s="26">
        <v>13</v>
      </c>
      <c r="AF31" s="25">
        <v>2</v>
      </c>
      <c r="AG31" s="26">
        <v>3</v>
      </c>
      <c r="AH31" s="487">
        <v>0</v>
      </c>
      <c r="AI31" s="488">
        <v>0</v>
      </c>
      <c r="AJ31" s="487">
        <v>0</v>
      </c>
      <c r="AK31" s="489">
        <v>0</v>
      </c>
      <c r="AL31" s="173">
        <v>4</v>
      </c>
      <c r="AM31" s="364">
        <f t="shared" si="0"/>
        <v>0.4</v>
      </c>
      <c r="AN31" s="144">
        <v>0</v>
      </c>
      <c r="AO31" s="144">
        <v>5</v>
      </c>
      <c r="AP31" s="144">
        <v>1</v>
      </c>
      <c r="AQ31" s="144">
        <v>7</v>
      </c>
      <c r="AR31" s="365">
        <f t="shared" si="1"/>
        <v>0.7</v>
      </c>
      <c r="AS31" s="144">
        <v>3</v>
      </c>
      <c r="AT31" s="5">
        <v>3</v>
      </c>
      <c r="AU31" s="372">
        <f t="shared" si="2"/>
        <v>0.3</v>
      </c>
      <c r="AV31" s="5">
        <v>1</v>
      </c>
      <c r="AW31" s="5">
        <v>5</v>
      </c>
      <c r="AX31" s="5">
        <v>2</v>
      </c>
      <c r="AY31" s="5">
        <v>6</v>
      </c>
      <c r="AZ31" s="372">
        <f t="shared" si="3"/>
        <v>0.6</v>
      </c>
      <c r="BA31" s="57">
        <v>4</v>
      </c>
      <c r="BB31" s="393">
        <v>0</v>
      </c>
      <c r="BC31" s="394">
        <v>0</v>
      </c>
      <c r="BD31" s="395">
        <v>0</v>
      </c>
      <c r="BE31" s="396">
        <v>0</v>
      </c>
    </row>
    <row r="32" spans="1:57" x14ac:dyDescent="0.25">
      <c r="A32" s="329">
        <v>45900</v>
      </c>
      <c r="B32" s="5">
        <v>3</v>
      </c>
      <c r="C32" s="5" t="s">
        <v>70</v>
      </c>
      <c r="D32" s="7">
        <v>1</v>
      </c>
      <c r="E32" s="7">
        <v>1</v>
      </c>
      <c r="F32" s="5" t="s">
        <v>113</v>
      </c>
      <c r="H32" s="42">
        <v>43</v>
      </c>
      <c r="I32" s="26">
        <v>57</v>
      </c>
      <c r="J32" s="33">
        <v>1.85</v>
      </c>
      <c r="K32" s="34">
        <v>1.83</v>
      </c>
      <c r="L32" s="25">
        <v>5</v>
      </c>
      <c r="M32" s="26">
        <v>4</v>
      </c>
      <c r="N32" s="25">
        <v>12</v>
      </c>
      <c r="O32" s="26">
        <v>12</v>
      </c>
      <c r="P32" s="25">
        <v>2</v>
      </c>
      <c r="Q32" s="26">
        <v>5</v>
      </c>
      <c r="R32" s="25">
        <v>0</v>
      </c>
      <c r="S32" s="26">
        <v>0</v>
      </c>
      <c r="T32" s="33">
        <v>-0.1</v>
      </c>
      <c r="U32" s="484">
        <v>0.77</v>
      </c>
      <c r="V32" s="25">
        <v>9</v>
      </c>
      <c r="W32" s="26">
        <v>4</v>
      </c>
      <c r="X32" s="25">
        <v>16</v>
      </c>
      <c r="Y32" s="26">
        <v>8</v>
      </c>
      <c r="Z32" s="25">
        <v>338</v>
      </c>
      <c r="AA32" s="26">
        <v>444</v>
      </c>
      <c r="AB32" s="25">
        <v>17</v>
      </c>
      <c r="AC32" s="26">
        <v>18</v>
      </c>
      <c r="AD32" s="25">
        <v>8</v>
      </c>
      <c r="AE32" s="26">
        <v>15</v>
      </c>
      <c r="AF32" s="25">
        <v>4</v>
      </c>
      <c r="AG32" s="26">
        <v>1</v>
      </c>
      <c r="AH32" s="487">
        <v>0</v>
      </c>
      <c r="AI32" s="488">
        <v>0</v>
      </c>
      <c r="AJ32" s="487">
        <v>0</v>
      </c>
      <c r="AK32" s="489">
        <v>1</v>
      </c>
      <c r="AL32" s="173">
        <v>6</v>
      </c>
      <c r="AM32" s="364">
        <f t="shared" si="0"/>
        <v>0.5</v>
      </c>
      <c r="AN32" s="144">
        <v>0</v>
      </c>
      <c r="AO32" s="144">
        <v>3</v>
      </c>
      <c r="AP32" s="144">
        <v>3</v>
      </c>
      <c r="AQ32" s="144">
        <v>9</v>
      </c>
      <c r="AR32" s="365">
        <f t="shared" si="1"/>
        <v>0.75</v>
      </c>
      <c r="AS32" s="144">
        <v>3</v>
      </c>
      <c r="AT32" s="5">
        <v>3</v>
      </c>
      <c r="AU32" s="372">
        <f t="shared" si="2"/>
        <v>0.25</v>
      </c>
      <c r="AV32" s="5">
        <v>0</v>
      </c>
      <c r="AW32" s="5">
        <v>6</v>
      </c>
      <c r="AX32" s="5">
        <v>3</v>
      </c>
      <c r="AY32" s="5">
        <v>8</v>
      </c>
      <c r="AZ32" s="372">
        <f t="shared" si="3"/>
        <v>0.66666666666666663</v>
      </c>
      <c r="BA32" s="57">
        <v>4</v>
      </c>
      <c r="BB32" s="393">
        <v>1</v>
      </c>
      <c r="BC32" s="394">
        <v>0</v>
      </c>
      <c r="BD32" s="395">
        <v>0</v>
      </c>
      <c r="BE32" s="396">
        <v>0</v>
      </c>
    </row>
    <row r="33" spans="1:57" x14ac:dyDescent="0.25">
      <c r="A33" s="329">
        <v>45912</v>
      </c>
      <c r="B33" s="5">
        <v>4</v>
      </c>
      <c r="C33" s="5" t="s">
        <v>171</v>
      </c>
      <c r="D33" s="7">
        <v>2</v>
      </c>
      <c r="E33" s="7">
        <v>2</v>
      </c>
      <c r="F33" s="5" t="s">
        <v>208</v>
      </c>
      <c r="H33" s="42">
        <v>53</v>
      </c>
      <c r="I33" s="26">
        <v>47</v>
      </c>
      <c r="J33" s="33">
        <v>0.4</v>
      </c>
      <c r="K33" s="34">
        <v>0.95</v>
      </c>
      <c r="L33" s="25">
        <v>0</v>
      </c>
      <c r="M33" s="26">
        <v>3</v>
      </c>
      <c r="N33" s="25">
        <v>7</v>
      </c>
      <c r="O33" s="26">
        <v>5</v>
      </c>
      <c r="P33" s="25">
        <v>0</v>
      </c>
      <c r="Q33" s="26">
        <v>1</v>
      </c>
      <c r="R33" s="25">
        <v>0</v>
      </c>
      <c r="S33" s="26">
        <v>1</v>
      </c>
      <c r="T33" s="33">
        <v>-1.1399999999999999</v>
      </c>
      <c r="U33" s="484">
        <v>-0.91</v>
      </c>
      <c r="V33" s="25">
        <v>2</v>
      </c>
      <c r="W33" s="26">
        <v>2</v>
      </c>
      <c r="X33" s="25">
        <v>23</v>
      </c>
      <c r="Y33" s="26">
        <v>19</v>
      </c>
      <c r="Z33" s="25">
        <v>392</v>
      </c>
      <c r="AA33" s="26">
        <v>362</v>
      </c>
      <c r="AB33" s="25">
        <v>22</v>
      </c>
      <c r="AC33" s="26">
        <v>25</v>
      </c>
      <c r="AD33" s="25">
        <v>19</v>
      </c>
      <c r="AE33" s="26">
        <v>23</v>
      </c>
      <c r="AF33" s="25">
        <v>4</v>
      </c>
      <c r="AG33" s="26">
        <v>3</v>
      </c>
      <c r="AH33" s="487">
        <v>0</v>
      </c>
      <c r="AI33" s="488">
        <v>0</v>
      </c>
      <c r="AJ33" s="487">
        <v>0</v>
      </c>
      <c r="AK33" s="489">
        <v>0</v>
      </c>
      <c r="AL33" s="173">
        <v>3</v>
      </c>
      <c r="AM33" s="364">
        <f t="shared" si="0"/>
        <v>0.42857142857142855</v>
      </c>
      <c r="AN33" s="144">
        <v>0</v>
      </c>
      <c r="AO33" s="144">
        <v>2</v>
      </c>
      <c r="AP33" s="144">
        <v>2</v>
      </c>
      <c r="AQ33" s="144">
        <v>4</v>
      </c>
      <c r="AR33" s="365">
        <f t="shared" si="1"/>
        <v>0.5714285714285714</v>
      </c>
      <c r="AS33" s="144">
        <v>3</v>
      </c>
      <c r="AT33" s="5">
        <v>2</v>
      </c>
      <c r="AU33" s="372">
        <f t="shared" si="2"/>
        <v>0.4</v>
      </c>
      <c r="AV33" s="5">
        <v>0</v>
      </c>
      <c r="AW33" s="5">
        <v>3</v>
      </c>
      <c r="AX33" s="5">
        <v>0</v>
      </c>
      <c r="AY33" s="5">
        <v>2</v>
      </c>
      <c r="AZ33" s="372">
        <f t="shared" si="3"/>
        <v>0.4</v>
      </c>
      <c r="BA33" s="57">
        <v>3</v>
      </c>
      <c r="BB33" s="393">
        <v>0</v>
      </c>
      <c r="BC33" s="394">
        <v>0</v>
      </c>
      <c r="BD33" s="395">
        <v>1</v>
      </c>
      <c r="BE33" s="396">
        <v>0</v>
      </c>
    </row>
    <row r="34" spans="1:57" x14ac:dyDescent="0.25">
      <c r="A34" s="329">
        <v>45913</v>
      </c>
      <c r="B34" s="5">
        <v>4</v>
      </c>
      <c r="C34" s="5" t="s">
        <v>161</v>
      </c>
      <c r="D34" s="7">
        <v>2</v>
      </c>
      <c r="E34" s="7">
        <v>0</v>
      </c>
      <c r="F34" s="26" t="s">
        <v>92</v>
      </c>
      <c r="G34" s="242" t="s">
        <v>537</v>
      </c>
      <c r="H34" s="42">
        <v>48</v>
      </c>
      <c r="I34" s="26">
        <v>52</v>
      </c>
      <c r="J34" s="33">
        <v>0.75</v>
      </c>
      <c r="K34" s="34">
        <v>0.46</v>
      </c>
      <c r="L34" s="25">
        <v>2</v>
      </c>
      <c r="M34" s="26">
        <v>1</v>
      </c>
      <c r="N34" s="25">
        <v>10</v>
      </c>
      <c r="O34" s="26">
        <v>5</v>
      </c>
      <c r="P34" s="25">
        <v>1</v>
      </c>
      <c r="Q34" s="26">
        <v>1</v>
      </c>
      <c r="R34" s="25">
        <v>0</v>
      </c>
      <c r="S34" s="26">
        <v>1</v>
      </c>
      <c r="T34" s="33">
        <v>0.06</v>
      </c>
      <c r="U34" s="484">
        <v>-0.32</v>
      </c>
      <c r="V34" s="25">
        <v>4</v>
      </c>
      <c r="W34" s="26">
        <v>3</v>
      </c>
      <c r="X34" s="25">
        <v>12</v>
      </c>
      <c r="Y34" s="26">
        <v>18</v>
      </c>
      <c r="Z34" s="25">
        <v>342</v>
      </c>
      <c r="AA34" s="26">
        <v>373</v>
      </c>
      <c r="AB34" s="25">
        <v>16</v>
      </c>
      <c r="AC34" s="26">
        <v>20</v>
      </c>
      <c r="AD34" s="25">
        <v>18</v>
      </c>
      <c r="AE34" s="26">
        <v>12</v>
      </c>
      <c r="AF34" s="25">
        <v>2</v>
      </c>
      <c r="AG34" s="26">
        <v>5</v>
      </c>
      <c r="AH34" s="487">
        <v>0</v>
      </c>
      <c r="AI34" s="488">
        <v>1</v>
      </c>
      <c r="AJ34" s="487">
        <v>0</v>
      </c>
      <c r="AK34" s="489">
        <v>0</v>
      </c>
      <c r="AL34" s="173">
        <v>3</v>
      </c>
      <c r="AM34" s="364">
        <f t="shared" si="0"/>
        <v>0.3</v>
      </c>
      <c r="AN34" s="144">
        <v>0</v>
      </c>
      <c r="AO34" s="144">
        <v>4</v>
      </c>
      <c r="AP34" s="144">
        <v>3</v>
      </c>
      <c r="AQ34" s="144">
        <v>6</v>
      </c>
      <c r="AR34" s="365">
        <f t="shared" si="1"/>
        <v>0.6</v>
      </c>
      <c r="AS34" s="144">
        <v>4</v>
      </c>
      <c r="AT34" s="5">
        <v>1</v>
      </c>
      <c r="AU34" s="372">
        <f t="shared" si="2"/>
        <v>0.2</v>
      </c>
      <c r="AV34" s="5">
        <v>1</v>
      </c>
      <c r="AW34" s="5">
        <v>2</v>
      </c>
      <c r="AX34" s="5">
        <v>2</v>
      </c>
      <c r="AY34" s="5">
        <v>1</v>
      </c>
      <c r="AZ34" s="372">
        <f t="shared" si="3"/>
        <v>0.2</v>
      </c>
      <c r="BA34" s="57">
        <v>4</v>
      </c>
      <c r="BB34" s="393">
        <v>0</v>
      </c>
      <c r="BC34" s="394">
        <v>0</v>
      </c>
      <c r="BD34" s="395">
        <v>1</v>
      </c>
      <c r="BE34" s="396">
        <v>1</v>
      </c>
    </row>
    <row r="35" spans="1:57" x14ac:dyDescent="0.25">
      <c r="A35" s="329">
        <v>45913</v>
      </c>
      <c r="B35" s="5">
        <v>4</v>
      </c>
      <c r="C35" s="5" t="s">
        <v>146</v>
      </c>
      <c r="D35" s="7">
        <v>1</v>
      </c>
      <c r="E35" s="7">
        <v>2</v>
      </c>
      <c r="F35" s="26" t="s">
        <v>226</v>
      </c>
      <c r="G35" s="242" t="s">
        <v>538</v>
      </c>
      <c r="H35" s="42">
        <v>64</v>
      </c>
      <c r="I35" s="26">
        <v>36</v>
      </c>
      <c r="J35" s="33">
        <v>2.23</v>
      </c>
      <c r="K35" s="34">
        <v>2.42</v>
      </c>
      <c r="L35" s="25">
        <v>5</v>
      </c>
      <c r="M35" s="26">
        <v>3</v>
      </c>
      <c r="N35" s="25">
        <v>23</v>
      </c>
      <c r="O35" s="26">
        <v>16</v>
      </c>
      <c r="P35" s="25">
        <v>4</v>
      </c>
      <c r="Q35" s="26">
        <v>3</v>
      </c>
      <c r="R35" s="25">
        <v>1</v>
      </c>
      <c r="S35" s="26">
        <v>0</v>
      </c>
      <c r="T35" s="33">
        <v>0.42</v>
      </c>
      <c r="U35" s="484">
        <v>-0.02</v>
      </c>
      <c r="V35" s="25">
        <v>12</v>
      </c>
      <c r="W35" s="26">
        <v>4</v>
      </c>
      <c r="X35" s="25">
        <v>17</v>
      </c>
      <c r="Y35" s="26">
        <v>7</v>
      </c>
      <c r="Z35" s="25">
        <v>521</v>
      </c>
      <c r="AA35" s="26">
        <v>314</v>
      </c>
      <c r="AB35" s="25">
        <v>13</v>
      </c>
      <c r="AC35" s="26">
        <v>9</v>
      </c>
      <c r="AD35" s="25">
        <v>6</v>
      </c>
      <c r="AE35" s="26">
        <v>17</v>
      </c>
      <c r="AF35" s="25">
        <v>2</v>
      </c>
      <c r="AG35" s="26">
        <v>1</v>
      </c>
      <c r="AH35" s="487">
        <v>0</v>
      </c>
      <c r="AI35" s="488">
        <v>1</v>
      </c>
      <c r="AJ35" s="487">
        <v>1</v>
      </c>
      <c r="AK35" s="489">
        <v>0</v>
      </c>
      <c r="AL35" s="173">
        <v>4</v>
      </c>
      <c r="AM35" s="364">
        <f t="shared" si="0"/>
        <v>0.17391304347826086</v>
      </c>
      <c r="AN35" s="144">
        <v>0</v>
      </c>
      <c r="AO35" s="144">
        <v>7</v>
      </c>
      <c r="AP35" s="144">
        <v>12</v>
      </c>
      <c r="AQ35" s="144">
        <v>15</v>
      </c>
      <c r="AR35" s="365">
        <f t="shared" si="1"/>
        <v>0.65217391304347827</v>
      </c>
      <c r="AS35" s="144">
        <v>8</v>
      </c>
      <c r="AT35" s="5">
        <v>6</v>
      </c>
      <c r="AU35" s="372">
        <f t="shared" si="2"/>
        <v>0.375</v>
      </c>
      <c r="AV35" s="5">
        <v>2</v>
      </c>
      <c r="AW35" s="5">
        <v>7</v>
      </c>
      <c r="AX35" s="5">
        <v>3</v>
      </c>
      <c r="AY35" s="5">
        <v>14</v>
      </c>
      <c r="AZ35" s="372">
        <f t="shared" si="3"/>
        <v>0.875</v>
      </c>
      <c r="BA35" s="57">
        <v>2</v>
      </c>
      <c r="BB35" s="393">
        <v>0</v>
      </c>
      <c r="BC35" s="394">
        <v>1</v>
      </c>
      <c r="BD35" s="395">
        <v>0</v>
      </c>
      <c r="BE35" s="396">
        <v>0</v>
      </c>
    </row>
    <row r="36" spans="1:57" x14ac:dyDescent="0.25">
      <c r="A36" s="329">
        <v>45913</v>
      </c>
      <c r="B36" s="5">
        <v>4</v>
      </c>
      <c r="C36" s="5" t="s">
        <v>170</v>
      </c>
      <c r="D36" s="7">
        <v>0</v>
      </c>
      <c r="E36" s="7">
        <v>1</v>
      </c>
      <c r="F36" s="5" t="s">
        <v>128</v>
      </c>
      <c r="H36" s="42">
        <v>58</v>
      </c>
      <c r="I36" s="26">
        <v>42</v>
      </c>
      <c r="J36" s="33">
        <v>1.08</v>
      </c>
      <c r="K36" s="34">
        <v>0.09</v>
      </c>
      <c r="L36" s="25">
        <v>1</v>
      </c>
      <c r="M36" s="26">
        <v>0</v>
      </c>
      <c r="N36" s="25">
        <v>12</v>
      </c>
      <c r="O36" s="26">
        <v>4</v>
      </c>
      <c r="P36" s="25">
        <v>2</v>
      </c>
      <c r="Q36" s="26">
        <v>3</v>
      </c>
      <c r="R36" s="25">
        <v>0</v>
      </c>
      <c r="S36" s="26">
        <v>1</v>
      </c>
      <c r="T36" s="33">
        <v>-0.65</v>
      </c>
      <c r="U36" s="484">
        <v>0.82</v>
      </c>
      <c r="V36" s="25">
        <v>6</v>
      </c>
      <c r="W36" s="26">
        <v>6</v>
      </c>
      <c r="X36" s="25">
        <v>17</v>
      </c>
      <c r="Y36" s="26">
        <v>21</v>
      </c>
      <c r="Z36" s="25">
        <v>461</v>
      </c>
      <c r="AA36" s="26">
        <v>350</v>
      </c>
      <c r="AB36" s="25">
        <v>20</v>
      </c>
      <c r="AC36" s="26">
        <v>20</v>
      </c>
      <c r="AD36" s="25">
        <v>21</v>
      </c>
      <c r="AE36" s="26">
        <v>17</v>
      </c>
      <c r="AF36" s="25">
        <v>2</v>
      </c>
      <c r="AG36" s="26">
        <v>4</v>
      </c>
      <c r="AH36" s="487">
        <v>0</v>
      </c>
      <c r="AI36" s="488">
        <v>0</v>
      </c>
      <c r="AJ36" s="487">
        <v>0</v>
      </c>
      <c r="AK36" s="489">
        <v>0</v>
      </c>
      <c r="AL36" s="173">
        <v>3</v>
      </c>
      <c r="AM36" s="364">
        <f t="shared" si="0"/>
        <v>0.25</v>
      </c>
      <c r="AN36" s="144">
        <v>0</v>
      </c>
      <c r="AO36" s="144">
        <v>4</v>
      </c>
      <c r="AP36" s="144">
        <v>5</v>
      </c>
      <c r="AQ36" s="144">
        <v>7</v>
      </c>
      <c r="AR36" s="365">
        <f t="shared" si="1"/>
        <v>0.58333333333333337</v>
      </c>
      <c r="AS36" s="144">
        <v>5</v>
      </c>
      <c r="AT36" s="5">
        <v>2</v>
      </c>
      <c r="AU36" s="372">
        <f t="shared" si="2"/>
        <v>0.5</v>
      </c>
      <c r="AV36" s="5">
        <v>0</v>
      </c>
      <c r="AW36" s="5">
        <v>2</v>
      </c>
      <c r="AX36" s="5">
        <v>0</v>
      </c>
      <c r="AY36" s="5">
        <v>0</v>
      </c>
      <c r="AZ36" s="372">
        <f t="shared" si="3"/>
        <v>0</v>
      </c>
      <c r="BA36" s="57">
        <v>4</v>
      </c>
      <c r="BB36" s="393">
        <v>1</v>
      </c>
      <c r="BC36" s="394">
        <v>0</v>
      </c>
      <c r="BD36" s="395">
        <v>1</v>
      </c>
      <c r="BE36" s="396">
        <v>0</v>
      </c>
    </row>
    <row r="37" spans="1:57" x14ac:dyDescent="0.25">
      <c r="A37" s="329">
        <v>45913</v>
      </c>
      <c r="B37" s="5">
        <v>4</v>
      </c>
      <c r="C37" s="5" t="s">
        <v>193</v>
      </c>
      <c r="D37" s="7">
        <v>2</v>
      </c>
      <c r="E37" s="7">
        <v>0</v>
      </c>
      <c r="F37" s="5" t="s">
        <v>91</v>
      </c>
      <c r="H37" s="42">
        <v>61</v>
      </c>
      <c r="I37" s="26">
        <v>39</v>
      </c>
      <c r="J37" s="33">
        <v>1.01</v>
      </c>
      <c r="K37" s="34">
        <v>1.03</v>
      </c>
      <c r="L37" s="25">
        <v>3</v>
      </c>
      <c r="M37" s="26">
        <v>1</v>
      </c>
      <c r="N37" s="25">
        <v>8</v>
      </c>
      <c r="O37" s="26">
        <v>8</v>
      </c>
      <c r="P37" s="25">
        <v>1</v>
      </c>
      <c r="Q37" s="26">
        <v>1</v>
      </c>
      <c r="R37" s="25">
        <v>0</v>
      </c>
      <c r="S37" s="26">
        <v>0</v>
      </c>
      <c r="T37" s="33">
        <v>0.12</v>
      </c>
      <c r="U37" s="484">
        <v>-0.57999999999999996</v>
      </c>
      <c r="V37" s="25">
        <v>8</v>
      </c>
      <c r="W37" s="26">
        <v>3</v>
      </c>
      <c r="X37" s="25">
        <v>12</v>
      </c>
      <c r="Y37" s="26">
        <v>15</v>
      </c>
      <c r="Z37" s="25">
        <v>623</v>
      </c>
      <c r="AA37" s="26">
        <v>395</v>
      </c>
      <c r="AB37" s="25">
        <v>11</v>
      </c>
      <c r="AC37" s="26">
        <v>12</v>
      </c>
      <c r="AD37" s="25">
        <v>15</v>
      </c>
      <c r="AE37" s="26">
        <v>12</v>
      </c>
      <c r="AF37" s="25">
        <v>2</v>
      </c>
      <c r="AG37" s="26">
        <v>4</v>
      </c>
      <c r="AH37" s="487">
        <v>0</v>
      </c>
      <c r="AI37" s="488">
        <v>0</v>
      </c>
      <c r="AJ37" s="487">
        <v>0</v>
      </c>
      <c r="AK37" s="489">
        <v>0</v>
      </c>
      <c r="AL37" s="173">
        <v>3</v>
      </c>
      <c r="AM37" s="364">
        <f t="shared" si="0"/>
        <v>0.375</v>
      </c>
      <c r="AN37" s="144">
        <v>0</v>
      </c>
      <c r="AO37" s="144">
        <v>3</v>
      </c>
      <c r="AP37" s="144">
        <v>2</v>
      </c>
      <c r="AQ37" s="144">
        <v>5</v>
      </c>
      <c r="AR37" s="365">
        <f t="shared" si="1"/>
        <v>0.625</v>
      </c>
      <c r="AS37" s="144">
        <v>3</v>
      </c>
      <c r="AT37" s="5">
        <v>1</v>
      </c>
      <c r="AU37" s="372">
        <f t="shared" si="2"/>
        <v>0.125</v>
      </c>
      <c r="AV37" s="5">
        <v>1</v>
      </c>
      <c r="AW37" s="5">
        <v>4</v>
      </c>
      <c r="AX37" s="5">
        <v>3</v>
      </c>
      <c r="AY37" s="5">
        <v>5</v>
      </c>
      <c r="AZ37" s="372">
        <f t="shared" si="3"/>
        <v>0.625</v>
      </c>
      <c r="BA37" s="57">
        <v>3</v>
      </c>
      <c r="BB37" s="393">
        <v>1</v>
      </c>
      <c r="BC37" s="394">
        <v>0</v>
      </c>
      <c r="BD37" s="395">
        <v>0</v>
      </c>
      <c r="BE37" s="396">
        <v>1</v>
      </c>
    </row>
    <row r="38" spans="1:57" x14ac:dyDescent="0.25">
      <c r="A38" s="329">
        <v>45914</v>
      </c>
      <c r="B38" s="5">
        <v>4</v>
      </c>
      <c r="C38" s="5" t="s">
        <v>456</v>
      </c>
      <c r="D38" s="7">
        <v>1</v>
      </c>
      <c r="E38" s="7">
        <v>1</v>
      </c>
      <c r="F38" s="5" t="s">
        <v>69</v>
      </c>
      <c r="H38" s="42">
        <v>60</v>
      </c>
      <c r="I38" s="26">
        <v>40</v>
      </c>
      <c r="J38" s="33">
        <v>2.5</v>
      </c>
      <c r="K38" s="34">
        <v>0.64</v>
      </c>
      <c r="L38" s="25">
        <v>2</v>
      </c>
      <c r="M38" s="26">
        <v>2</v>
      </c>
      <c r="N38" s="25">
        <v>21</v>
      </c>
      <c r="O38" s="26">
        <v>13</v>
      </c>
      <c r="P38" s="25">
        <v>7</v>
      </c>
      <c r="Q38" s="26">
        <v>6</v>
      </c>
      <c r="R38" s="25">
        <v>1</v>
      </c>
      <c r="S38" s="26">
        <v>2</v>
      </c>
      <c r="T38" s="33">
        <v>0.24</v>
      </c>
      <c r="U38" s="484">
        <v>1.75</v>
      </c>
      <c r="V38" s="25">
        <v>10</v>
      </c>
      <c r="W38" s="26">
        <v>3</v>
      </c>
      <c r="X38" s="25">
        <v>7</v>
      </c>
      <c r="Y38" s="26">
        <v>9</v>
      </c>
      <c r="Z38" s="25">
        <v>630</v>
      </c>
      <c r="AA38" s="26">
        <v>439</v>
      </c>
      <c r="AB38" s="25">
        <v>15</v>
      </c>
      <c r="AC38" s="26">
        <v>16</v>
      </c>
      <c r="AD38" s="25">
        <v>8</v>
      </c>
      <c r="AE38" s="26">
        <v>7</v>
      </c>
      <c r="AF38" s="25">
        <v>0</v>
      </c>
      <c r="AG38" s="26">
        <v>3</v>
      </c>
      <c r="AH38" s="487">
        <v>0</v>
      </c>
      <c r="AI38" s="488">
        <v>0</v>
      </c>
      <c r="AJ38" s="487">
        <v>1</v>
      </c>
      <c r="AK38" s="489">
        <v>0</v>
      </c>
      <c r="AL38" s="173">
        <v>7</v>
      </c>
      <c r="AM38" s="364">
        <f t="shared" si="0"/>
        <v>0.33333333333333331</v>
      </c>
      <c r="AN38" s="144">
        <v>0</v>
      </c>
      <c r="AO38" s="144">
        <v>9</v>
      </c>
      <c r="AP38" s="144">
        <v>5</v>
      </c>
      <c r="AQ38" s="144">
        <v>14</v>
      </c>
      <c r="AR38" s="365">
        <f t="shared" si="1"/>
        <v>0.66666666666666663</v>
      </c>
      <c r="AS38" s="144">
        <v>7</v>
      </c>
      <c r="AT38" s="5">
        <v>8</v>
      </c>
      <c r="AU38" s="372">
        <f t="shared" si="2"/>
        <v>0.61538461538461542</v>
      </c>
      <c r="AV38" s="5">
        <v>0</v>
      </c>
      <c r="AW38" s="5">
        <v>2</v>
      </c>
      <c r="AX38" s="5">
        <v>3</v>
      </c>
      <c r="AY38" s="5">
        <v>10</v>
      </c>
      <c r="AZ38" s="372">
        <f t="shared" si="3"/>
        <v>0.76923076923076927</v>
      </c>
      <c r="BA38" s="57">
        <v>3</v>
      </c>
      <c r="BB38" s="393">
        <v>0</v>
      </c>
      <c r="BC38" s="394">
        <v>0</v>
      </c>
      <c r="BD38" s="395">
        <v>0</v>
      </c>
      <c r="BE38" s="396">
        <v>0</v>
      </c>
    </row>
    <row r="39" spans="1:57" x14ac:dyDescent="0.25">
      <c r="A39" s="329">
        <v>45914</v>
      </c>
      <c r="B39" s="5">
        <v>4</v>
      </c>
      <c r="C39" s="5" t="s">
        <v>129</v>
      </c>
      <c r="D39" s="7">
        <v>2</v>
      </c>
      <c r="E39" s="7">
        <v>2</v>
      </c>
      <c r="F39" s="5" t="s">
        <v>209</v>
      </c>
      <c r="H39" s="42">
        <v>33</v>
      </c>
      <c r="I39" s="26">
        <v>67</v>
      </c>
      <c r="J39" s="33">
        <v>0.73</v>
      </c>
      <c r="K39" s="34">
        <v>2.12</v>
      </c>
      <c r="L39" s="25">
        <v>2</v>
      </c>
      <c r="M39" s="26">
        <v>3</v>
      </c>
      <c r="N39" s="25">
        <v>5</v>
      </c>
      <c r="O39" s="26">
        <v>28</v>
      </c>
      <c r="P39" s="25">
        <v>7</v>
      </c>
      <c r="Q39" s="26">
        <v>0</v>
      </c>
      <c r="R39" s="25">
        <v>1</v>
      </c>
      <c r="S39" s="26">
        <v>0</v>
      </c>
      <c r="T39" s="33">
        <v>-0.28000000000000003</v>
      </c>
      <c r="U39" s="484">
        <v>-0.73</v>
      </c>
      <c r="V39" s="25">
        <v>4</v>
      </c>
      <c r="W39" s="26">
        <v>12</v>
      </c>
      <c r="X39" s="25">
        <v>16</v>
      </c>
      <c r="Y39" s="26">
        <v>11</v>
      </c>
      <c r="Z39" s="25">
        <v>268</v>
      </c>
      <c r="AA39" s="26">
        <v>544</v>
      </c>
      <c r="AB39" s="25">
        <v>13</v>
      </c>
      <c r="AC39" s="26">
        <v>17</v>
      </c>
      <c r="AD39" s="25">
        <v>11</v>
      </c>
      <c r="AE39" s="26">
        <v>16</v>
      </c>
      <c r="AF39" s="25">
        <v>4</v>
      </c>
      <c r="AG39" s="26">
        <v>2</v>
      </c>
      <c r="AH39" s="487">
        <v>0</v>
      </c>
      <c r="AI39" s="488">
        <v>0</v>
      </c>
      <c r="AJ39" s="487">
        <v>0</v>
      </c>
      <c r="AK39" s="489">
        <v>0</v>
      </c>
      <c r="AL39" s="173">
        <v>2</v>
      </c>
      <c r="AM39" s="364">
        <f t="shared" si="0"/>
        <v>0.4</v>
      </c>
      <c r="AN39" s="144">
        <v>0</v>
      </c>
      <c r="AO39" s="144">
        <v>2</v>
      </c>
      <c r="AP39" s="144">
        <v>1</v>
      </c>
      <c r="AQ39" s="144">
        <v>4</v>
      </c>
      <c r="AR39" s="365">
        <f t="shared" si="1"/>
        <v>0.8</v>
      </c>
      <c r="AS39" s="144">
        <v>1</v>
      </c>
      <c r="AT39" s="5">
        <v>9</v>
      </c>
      <c r="AU39" s="372">
        <f t="shared" si="2"/>
        <v>0.32142857142857145</v>
      </c>
      <c r="AV39" s="5">
        <v>1</v>
      </c>
      <c r="AW39" s="5">
        <v>8</v>
      </c>
      <c r="AX39" s="5">
        <v>11</v>
      </c>
      <c r="AY39" s="5">
        <v>21</v>
      </c>
      <c r="AZ39" s="372">
        <f t="shared" si="3"/>
        <v>0.75</v>
      </c>
      <c r="BA39" s="57">
        <v>7</v>
      </c>
      <c r="BB39" s="393">
        <v>0</v>
      </c>
      <c r="BC39" s="394">
        <v>0</v>
      </c>
      <c r="BD39" s="395">
        <v>0</v>
      </c>
      <c r="BE39" s="396">
        <v>2</v>
      </c>
    </row>
    <row r="40" spans="1:57" x14ac:dyDescent="0.25">
      <c r="A40" s="329">
        <v>45914</v>
      </c>
      <c r="B40" s="5">
        <v>4</v>
      </c>
      <c r="C40" s="5" t="s">
        <v>227</v>
      </c>
      <c r="D40" s="7">
        <v>2</v>
      </c>
      <c r="E40" s="7">
        <v>0</v>
      </c>
      <c r="F40" s="5" t="s">
        <v>70</v>
      </c>
      <c r="H40" s="42">
        <v>38</v>
      </c>
      <c r="I40" s="26">
        <v>64</v>
      </c>
      <c r="J40" s="33">
        <v>1.59</v>
      </c>
      <c r="K40" s="34">
        <v>1.0900000000000001</v>
      </c>
      <c r="L40" s="25">
        <v>3</v>
      </c>
      <c r="M40" s="26">
        <v>0</v>
      </c>
      <c r="N40" s="25">
        <v>9</v>
      </c>
      <c r="O40" s="26">
        <v>19</v>
      </c>
      <c r="P40" s="25">
        <v>6</v>
      </c>
      <c r="Q40" s="26">
        <v>4</v>
      </c>
      <c r="R40" s="25">
        <v>0</v>
      </c>
      <c r="S40" s="26">
        <v>1</v>
      </c>
      <c r="T40" s="33">
        <v>1.28</v>
      </c>
      <c r="U40" s="484">
        <v>0.03</v>
      </c>
      <c r="V40" s="25">
        <v>3</v>
      </c>
      <c r="W40" s="26">
        <v>6</v>
      </c>
      <c r="X40" s="25">
        <v>13</v>
      </c>
      <c r="Y40" s="26">
        <v>7</v>
      </c>
      <c r="Z40" s="25">
        <v>306</v>
      </c>
      <c r="AA40" s="26">
        <v>539</v>
      </c>
      <c r="AB40" s="25">
        <v>9</v>
      </c>
      <c r="AC40" s="26">
        <v>13</v>
      </c>
      <c r="AD40" s="25">
        <v>7</v>
      </c>
      <c r="AE40" s="26">
        <v>13</v>
      </c>
      <c r="AF40" s="25">
        <v>3</v>
      </c>
      <c r="AG40" s="26">
        <v>2</v>
      </c>
      <c r="AH40" s="487">
        <v>0</v>
      </c>
      <c r="AI40" s="488">
        <v>0</v>
      </c>
      <c r="AJ40" s="487">
        <v>0</v>
      </c>
      <c r="AK40" s="489">
        <v>0</v>
      </c>
      <c r="AL40" s="173">
        <v>7</v>
      </c>
      <c r="AM40" s="364">
        <f t="shared" si="0"/>
        <v>0.77777777777777779</v>
      </c>
      <c r="AN40" s="144">
        <v>0</v>
      </c>
      <c r="AO40" s="144">
        <v>1</v>
      </c>
      <c r="AP40" s="144">
        <v>1</v>
      </c>
      <c r="AQ40" s="144">
        <v>6</v>
      </c>
      <c r="AR40" s="365">
        <f t="shared" si="1"/>
        <v>0.66666666666666663</v>
      </c>
      <c r="AS40" s="144">
        <v>3</v>
      </c>
      <c r="AT40" s="5">
        <v>6</v>
      </c>
      <c r="AU40" s="372">
        <f t="shared" si="2"/>
        <v>0.31578947368421051</v>
      </c>
      <c r="AV40" s="5">
        <v>1</v>
      </c>
      <c r="AW40" s="5">
        <v>7</v>
      </c>
      <c r="AX40" s="5">
        <v>6</v>
      </c>
      <c r="AY40" s="5">
        <v>12</v>
      </c>
      <c r="AZ40" s="372">
        <f t="shared" si="3"/>
        <v>0.63157894736842102</v>
      </c>
      <c r="BA40" s="57">
        <v>7</v>
      </c>
      <c r="BB40" s="393">
        <v>0</v>
      </c>
      <c r="BC40" s="394">
        <v>0</v>
      </c>
      <c r="BD40" s="395">
        <v>1</v>
      </c>
      <c r="BE40" s="396">
        <v>0</v>
      </c>
    </row>
    <row r="41" spans="1:57" x14ac:dyDescent="0.25">
      <c r="A41" s="329">
        <v>45914</v>
      </c>
      <c r="B41" s="5">
        <v>4</v>
      </c>
      <c r="C41" s="5" t="s">
        <v>113</v>
      </c>
      <c r="D41" s="7">
        <v>6</v>
      </c>
      <c r="E41" s="7">
        <v>0</v>
      </c>
      <c r="F41" s="5" t="s">
        <v>145</v>
      </c>
      <c r="H41" s="42">
        <v>72</v>
      </c>
      <c r="I41" s="26">
        <v>28</v>
      </c>
      <c r="J41" s="33">
        <v>4.0199999999999996</v>
      </c>
      <c r="K41" s="34">
        <v>0.18</v>
      </c>
      <c r="L41" s="25">
        <v>6</v>
      </c>
      <c r="M41" s="26">
        <v>0</v>
      </c>
      <c r="N41" s="25">
        <v>24</v>
      </c>
      <c r="O41" s="26">
        <v>2</v>
      </c>
      <c r="P41" s="25">
        <v>1</v>
      </c>
      <c r="Q41" s="26">
        <v>5</v>
      </c>
      <c r="R41" s="25">
        <v>0</v>
      </c>
      <c r="S41" s="26">
        <v>0</v>
      </c>
      <c r="T41" s="33">
        <v>0.31</v>
      </c>
      <c r="U41" s="484">
        <v>-3.31</v>
      </c>
      <c r="V41" s="25">
        <v>5</v>
      </c>
      <c r="W41" s="26">
        <v>4</v>
      </c>
      <c r="X41" s="25">
        <v>9</v>
      </c>
      <c r="Y41" s="26">
        <v>8</v>
      </c>
      <c r="Z41" s="25">
        <v>677</v>
      </c>
      <c r="AA41" s="26">
        <v>248</v>
      </c>
      <c r="AB41" s="25">
        <v>17</v>
      </c>
      <c r="AC41" s="26">
        <v>19</v>
      </c>
      <c r="AD41" s="25">
        <v>8</v>
      </c>
      <c r="AE41" s="26">
        <v>9</v>
      </c>
      <c r="AF41" s="25">
        <v>0</v>
      </c>
      <c r="AG41" s="26">
        <v>1</v>
      </c>
      <c r="AH41" s="487">
        <v>0</v>
      </c>
      <c r="AI41" s="488">
        <v>0</v>
      </c>
      <c r="AJ41" s="487">
        <v>0</v>
      </c>
      <c r="AK41" s="489">
        <v>0</v>
      </c>
      <c r="AL41" s="173">
        <v>10</v>
      </c>
      <c r="AM41" s="364">
        <f t="shared" si="0"/>
        <v>0.41666666666666669</v>
      </c>
      <c r="AN41" s="144">
        <v>1</v>
      </c>
      <c r="AO41" s="144">
        <v>10</v>
      </c>
      <c r="AP41" s="144">
        <v>4</v>
      </c>
      <c r="AQ41" s="144">
        <v>16</v>
      </c>
      <c r="AR41" s="365">
        <f t="shared" si="1"/>
        <v>0.66666666666666663</v>
      </c>
      <c r="AS41" s="144">
        <v>8</v>
      </c>
      <c r="AT41" s="5">
        <v>1</v>
      </c>
      <c r="AU41" s="372">
        <f t="shared" si="2"/>
        <v>0.5</v>
      </c>
      <c r="AV41" s="5">
        <v>0</v>
      </c>
      <c r="AW41" s="5">
        <v>1</v>
      </c>
      <c r="AX41" s="5">
        <v>0</v>
      </c>
      <c r="AY41" s="5">
        <v>2</v>
      </c>
      <c r="AZ41" s="372">
        <f t="shared" si="3"/>
        <v>1</v>
      </c>
      <c r="BA41" s="57">
        <v>0</v>
      </c>
      <c r="BB41" s="393">
        <v>0</v>
      </c>
      <c r="BC41" s="394">
        <v>0</v>
      </c>
      <c r="BD41" s="395">
        <v>1</v>
      </c>
      <c r="BE41" s="396">
        <v>2</v>
      </c>
    </row>
    <row r="42" spans="1:57" x14ac:dyDescent="0.25">
      <c r="A42" s="329">
        <v>45915</v>
      </c>
      <c r="B42" s="5">
        <v>4</v>
      </c>
      <c r="C42" s="26" t="s">
        <v>192</v>
      </c>
      <c r="D42" s="7">
        <v>3</v>
      </c>
      <c r="E42" s="7">
        <v>2</v>
      </c>
      <c r="F42" s="5" t="s">
        <v>112</v>
      </c>
      <c r="G42" s="268" t="s">
        <v>734</v>
      </c>
      <c r="H42" s="42">
        <v>38</v>
      </c>
      <c r="I42" s="26">
        <v>62</v>
      </c>
      <c r="J42" s="33">
        <v>2.46</v>
      </c>
      <c r="K42" s="34">
        <v>2.23</v>
      </c>
      <c r="L42" s="25">
        <v>4</v>
      </c>
      <c r="M42" s="26">
        <v>2</v>
      </c>
      <c r="N42" s="25">
        <v>9</v>
      </c>
      <c r="O42" s="26">
        <v>24</v>
      </c>
      <c r="P42" s="25">
        <v>8</v>
      </c>
      <c r="Q42" s="26">
        <v>0</v>
      </c>
      <c r="R42" s="25">
        <v>4</v>
      </c>
      <c r="S42" s="26">
        <v>0</v>
      </c>
      <c r="T42" s="33">
        <v>0.03</v>
      </c>
      <c r="U42" s="484">
        <v>-0.81</v>
      </c>
      <c r="V42" s="25">
        <v>3</v>
      </c>
      <c r="W42" s="26">
        <v>9</v>
      </c>
      <c r="X42" s="25">
        <v>9</v>
      </c>
      <c r="Y42" s="26">
        <v>16</v>
      </c>
      <c r="Z42" s="25">
        <v>303</v>
      </c>
      <c r="AA42" s="26">
        <v>493</v>
      </c>
      <c r="AB42" s="25">
        <v>11</v>
      </c>
      <c r="AC42" s="26">
        <v>20</v>
      </c>
      <c r="AD42" s="25">
        <v>15</v>
      </c>
      <c r="AE42" s="26">
        <v>8</v>
      </c>
      <c r="AF42" s="25">
        <v>2</v>
      </c>
      <c r="AG42" s="26">
        <v>1</v>
      </c>
      <c r="AH42" s="487">
        <v>1</v>
      </c>
      <c r="AI42" s="488">
        <v>0</v>
      </c>
      <c r="AJ42" s="487">
        <v>1</v>
      </c>
      <c r="AK42" s="489">
        <v>1</v>
      </c>
      <c r="AL42" s="173">
        <v>3</v>
      </c>
      <c r="AM42" s="364">
        <f t="shared" si="0"/>
        <v>0.33333333333333331</v>
      </c>
      <c r="AN42" s="144">
        <v>1</v>
      </c>
      <c r="AO42" s="144">
        <v>5</v>
      </c>
      <c r="AP42" s="144">
        <v>1</v>
      </c>
      <c r="AQ42" s="144">
        <v>6</v>
      </c>
      <c r="AR42" s="365">
        <f t="shared" si="1"/>
        <v>0.66666666666666663</v>
      </c>
      <c r="AS42" s="144">
        <v>3</v>
      </c>
      <c r="AT42" s="5">
        <v>10</v>
      </c>
      <c r="AU42" s="372">
        <f t="shared" si="2"/>
        <v>0.41666666666666669</v>
      </c>
      <c r="AV42" s="5">
        <v>0</v>
      </c>
      <c r="AW42" s="5">
        <v>6</v>
      </c>
      <c r="AX42" s="5">
        <v>8</v>
      </c>
      <c r="AY42" s="5">
        <v>14</v>
      </c>
      <c r="AZ42" s="372">
        <f t="shared" si="3"/>
        <v>0.58333333333333337</v>
      </c>
      <c r="BA42" s="57">
        <v>10</v>
      </c>
      <c r="BB42" s="393">
        <v>0</v>
      </c>
      <c r="BC42" s="394">
        <v>0</v>
      </c>
      <c r="BD42" s="395">
        <v>0</v>
      </c>
      <c r="BE42" s="396">
        <v>1</v>
      </c>
    </row>
    <row r="43" spans="1:57" x14ac:dyDescent="0.25">
      <c r="A43" s="329">
        <v>45919</v>
      </c>
      <c r="B43" s="5">
        <v>5</v>
      </c>
      <c r="C43" s="5" t="s">
        <v>209</v>
      </c>
      <c r="D43" s="7">
        <v>3</v>
      </c>
      <c r="E43" s="7">
        <v>1</v>
      </c>
      <c r="F43" s="5" t="s">
        <v>146</v>
      </c>
      <c r="H43" s="42">
        <v>50</v>
      </c>
      <c r="I43" s="26">
        <v>50</v>
      </c>
      <c r="J43" s="33">
        <v>2.25</v>
      </c>
      <c r="K43" s="34">
        <v>0.67</v>
      </c>
      <c r="L43" s="25">
        <v>3</v>
      </c>
      <c r="M43" s="26">
        <v>1</v>
      </c>
      <c r="N43" s="25">
        <v>21</v>
      </c>
      <c r="O43" s="26">
        <v>11</v>
      </c>
      <c r="P43" s="25">
        <v>4</v>
      </c>
      <c r="Q43" s="26">
        <v>4</v>
      </c>
      <c r="R43" s="25">
        <v>0</v>
      </c>
      <c r="S43" s="26">
        <v>1</v>
      </c>
      <c r="T43" s="33">
        <v>-0.21</v>
      </c>
      <c r="U43" s="484">
        <v>0.06</v>
      </c>
      <c r="V43" s="25">
        <v>3</v>
      </c>
      <c r="W43" s="26">
        <v>5</v>
      </c>
      <c r="X43" s="25">
        <v>7</v>
      </c>
      <c r="Y43" s="26">
        <v>20</v>
      </c>
      <c r="Z43" s="25">
        <v>491</v>
      </c>
      <c r="AA43" s="26">
        <v>481</v>
      </c>
      <c r="AB43" s="25">
        <v>26</v>
      </c>
      <c r="AC43" s="26">
        <v>25</v>
      </c>
      <c r="AD43" s="25">
        <v>20</v>
      </c>
      <c r="AE43" s="26">
        <v>7</v>
      </c>
      <c r="AF43" s="25">
        <v>3</v>
      </c>
      <c r="AG43" s="26">
        <v>6</v>
      </c>
      <c r="AH43" s="487">
        <v>0</v>
      </c>
      <c r="AI43" s="488">
        <v>0</v>
      </c>
      <c r="AJ43" s="487">
        <v>0</v>
      </c>
      <c r="AK43" s="489">
        <v>0</v>
      </c>
      <c r="AL43" s="173">
        <v>6</v>
      </c>
      <c r="AM43" s="364">
        <f t="shared" si="0"/>
        <v>0.2857142857142857</v>
      </c>
      <c r="AN43" s="144">
        <v>1</v>
      </c>
      <c r="AO43" s="144">
        <v>8</v>
      </c>
      <c r="AP43" s="144">
        <v>7</v>
      </c>
      <c r="AQ43" s="144">
        <v>12</v>
      </c>
      <c r="AR43" s="365">
        <f t="shared" si="1"/>
        <v>0.5714285714285714</v>
      </c>
      <c r="AS43" s="144">
        <v>9</v>
      </c>
      <c r="AT43" s="5">
        <v>5</v>
      </c>
      <c r="AU43" s="372">
        <f t="shared" si="2"/>
        <v>0.45454545454545453</v>
      </c>
      <c r="AV43" s="5">
        <v>0</v>
      </c>
      <c r="AW43" s="5">
        <v>2</v>
      </c>
      <c r="AX43" s="5">
        <v>4</v>
      </c>
      <c r="AY43" s="5">
        <v>8</v>
      </c>
      <c r="AZ43" s="372">
        <f t="shared" si="3"/>
        <v>0.72727272727272729</v>
      </c>
      <c r="BA43" s="57">
        <v>3</v>
      </c>
      <c r="BB43" s="393">
        <v>1</v>
      </c>
      <c r="BC43" s="394">
        <v>1</v>
      </c>
      <c r="BD43" s="395">
        <v>1</v>
      </c>
      <c r="BE43" s="396">
        <v>1</v>
      </c>
    </row>
    <row r="44" spans="1:57" x14ac:dyDescent="0.25">
      <c r="A44" s="329">
        <v>45920</v>
      </c>
      <c r="B44" s="5">
        <v>5</v>
      </c>
      <c r="C44" s="26" t="s">
        <v>69</v>
      </c>
      <c r="D44" s="7">
        <v>0</v>
      </c>
      <c r="E44" s="7">
        <v>4</v>
      </c>
      <c r="F44" s="5" t="s">
        <v>129</v>
      </c>
      <c r="G44" s="242" t="s">
        <v>539</v>
      </c>
      <c r="H44" s="42">
        <v>35</v>
      </c>
      <c r="I44" s="26">
        <v>65</v>
      </c>
      <c r="J44" s="33">
        <v>0.5</v>
      </c>
      <c r="K44" s="34">
        <v>2.88</v>
      </c>
      <c r="L44" s="25">
        <v>0</v>
      </c>
      <c r="M44" s="26">
        <v>8</v>
      </c>
      <c r="N44" s="25">
        <v>7</v>
      </c>
      <c r="O44" s="26">
        <v>14</v>
      </c>
      <c r="P44" s="25">
        <v>2</v>
      </c>
      <c r="Q44" s="26">
        <v>1</v>
      </c>
      <c r="R44" s="25">
        <v>0</v>
      </c>
      <c r="S44" s="26">
        <v>0</v>
      </c>
      <c r="T44" s="33">
        <v>-0.44</v>
      </c>
      <c r="U44" s="484">
        <v>0.76</v>
      </c>
      <c r="V44" s="25">
        <v>5</v>
      </c>
      <c r="W44" s="26">
        <v>4</v>
      </c>
      <c r="X44" s="25">
        <v>11</v>
      </c>
      <c r="Y44" s="26">
        <v>17</v>
      </c>
      <c r="Z44" s="25">
        <v>295</v>
      </c>
      <c r="AA44" s="26">
        <v>575</v>
      </c>
      <c r="AB44" s="25">
        <v>16</v>
      </c>
      <c r="AC44" s="26">
        <v>15</v>
      </c>
      <c r="AD44" s="25">
        <v>17</v>
      </c>
      <c r="AE44" s="26">
        <v>11</v>
      </c>
      <c r="AF44" s="25">
        <v>4</v>
      </c>
      <c r="AG44" s="26">
        <v>3</v>
      </c>
      <c r="AH44" s="487">
        <v>2</v>
      </c>
      <c r="AI44" s="488">
        <v>0</v>
      </c>
      <c r="AJ44" s="487">
        <v>0</v>
      </c>
      <c r="AK44" s="489">
        <v>0</v>
      </c>
      <c r="AL44" s="173">
        <v>1</v>
      </c>
      <c r="AM44" s="364">
        <f t="shared" si="0"/>
        <v>0.14285714285714285</v>
      </c>
      <c r="AN44" s="144">
        <v>0</v>
      </c>
      <c r="AO44" s="144">
        <v>3</v>
      </c>
      <c r="AP44" s="144">
        <v>3</v>
      </c>
      <c r="AQ44" s="144">
        <v>5</v>
      </c>
      <c r="AR44" s="365">
        <f t="shared" si="1"/>
        <v>0.7142857142857143</v>
      </c>
      <c r="AS44" s="144">
        <v>2</v>
      </c>
      <c r="AT44" s="5">
        <v>7</v>
      </c>
      <c r="AU44" s="372">
        <f t="shared" si="2"/>
        <v>0.5</v>
      </c>
      <c r="AV44" s="5">
        <v>3</v>
      </c>
      <c r="AW44" s="5">
        <v>6</v>
      </c>
      <c r="AX44" s="5">
        <v>1</v>
      </c>
      <c r="AY44" s="5">
        <v>11</v>
      </c>
      <c r="AZ44" s="372">
        <f t="shared" si="3"/>
        <v>0.7857142857142857</v>
      </c>
      <c r="BA44" s="57">
        <v>3</v>
      </c>
      <c r="BB44" s="393">
        <v>0</v>
      </c>
      <c r="BC44" s="394">
        <v>0</v>
      </c>
      <c r="BD44" s="395">
        <v>0</v>
      </c>
      <c r="BE44" s="396">
        <v>0</v>
      </c>
    </row>
    <row r="45" spans="1:57" x14ac:dyDescent="0.25">
      <c r="A45" s="329">
        <v>45920</v>
      </c>
      <c r="B45" s="5">
        <v>5</v>
      </c>
      <c r="C45" s="5" t="s">
        <v>226</v>
      </c>
      <c r="D45" s="7">
        <v>2</v>
      </c>
      <c r="E45" s="7">
        <v>0</v>
      </c>
      <c r="F45" s="5" t="s">
        <v>192</v>
      </c>
      <c r="H45" s="42">
        <v>72</v>
      </c>
      <c r="I45" s="26">
        <v>28</v>
      </c>
      <c r="J45" s="33">
        <v>1.18</v>
      </c>
      <c r="K45" s="34">
        <v>0.96</v>
      </c>
      <c r="L45" s="25">
        <v>3</v>
      </c>
      <c r="M45" s="26">
        <v>1</v>
      </c>
      <c r="N45" s="25">
        <v>16</v>
      </c>
      <c r="O45" s="26">
        <v>8</v>
      </c>
      <c r="P45" s="25">
        <v>1</v>
      </c>
      <c r="Q45" s="26">
        <v>3</v>
      </c>
      <c r="R45" s="25">
        <v>0</v>
      </c>
      <c r="S45" s="26">
        <v>1</v>
      </c>
      <c r="T45" s="33">
        <v>0.18</v>
      </c>
      <c r="U45" s="484">
        <v>-0.94</v>
      </c>
      <c r="V45" s="25">
        <v>5</v>
      </c>
      <c r="W45" s="26">
        <v>3</v>
      </c>
      <c r="X45" s="25">
        <v>10</v>
      </c>
      <c r="Y45" s="26">
        <v>20</v>
      </c>
      <c r="Z45" s="25">
        <v>753</v>
      </c>
      <c r="AA45" s="26">
        <v>374</v>
      </c>
      <c r="AB45" s="25">
        <v>18</v>
      </c>
      <c r="AC45" s="26">
        <v>21</v>
      </c>
      <c r="AD45" s="25">
        <v>20</v>
      </c>
      <c r="AE45" s="26">
        <v>10</v>
      </c>
      <c r="AF45" s="25">
        <v>2</v>
      </c>
      <c r="AG45" s="26">
        <v>0</v>
      </c>
      <c r="AH45" s="487">
        <v>0</v>
      </c>
      <c r="AI45" s="488">
        <v>0</v>
      </c>
      <c r="AJ45" s="487">
        <v>0</v>
      </c>
      <c r="AK45" s="489">
        <v>0</v>
      </c>
      <c r="AL45" s="173">
        <v>5</v>
      </c>
      <c r="AM45" s="364">
        <f t="shared" si="0"/>
        <v>0.3125</v>
      </c>
      <c r="AN45" s="144">
        <v>1</v>
      </c>
      <c r="AO45" s="144">
        <v>6</v>
      </c>
      <c r="AP45" s="144">
        <v>5</v>
      </c>
      <c r="AQ45" s="144">
        <v>11</v>
      </c>
      <c r="AR45" s="365">
        <f t="shared" si="1"/>
        <v>0.6875</v>
      </c>
      <c r="AS45" s="144">
        <v>5</v>
      </c>
      <c r="AT45" s="5">
        <v>1</v>
      </c>
      <c r="AU45" s="372">
        <f t="shared" si="2"/>
        <v>0.125</v>
      </c>
      <c r="AV45" s="5">
        <v>0</v>
      </c>
      <c r="AW45" s="5">
        <v>2</v>
      </c>
      <c r="AX45" s="5">
        <v>5</v>
      </c>
      <c r="AY45" s="5">
        <v>5</v>
      </c>
      <c r="AZ45" s="372">
        <f t="shared" si="3"/>
        <v>0.625</v>
      </c>
      <c r="BA45" s="57">
        <v>3</v>
      </c>
      <c r="BB45" s="393">
        <v>0</v>
      </c>
      <c r="BC45" s="394">
        <v>0</v>
      </c>
      <c r="BD45" s="395">
        <v>0</v>
      </c>
      <c r="BE45" s="396">
        <v>0</v>
      </c>
    </row>
    <row r="46" spans="1:57" x14ac:dyDescent="0.25">
      <c r="A46" s="329">
        <v>45920</v>
      </c>
      <c r="B46" s="5">
        <v>5</v>
      </c>
      <c r="C46" s="5" t="s">
        <v>128</v>
      </c>
      <c r="D46" s="7">
        <v>1</v>
      </c>
      <c r="E46" s="7">
        <v>2</v>
      </c>
      <c r="F46" s="5" t="s">
        <v>171</v>
      </c>
      <c r="H46" s="42">
        <v>48</v>
      </c>
      <c r="I46" s="26">
        <v>52</v>
      </c>
      <c r="J46" s="33">
        <v>0.95</v>
      </c>
      <c r="K46" s="34">
        <v>0.48</v>
      </c>
      <c r="L46" s="25">
        <v>1</v>
      </c>
      <c r="M46" s="26">
        <v>2</v>
      </c>
      <c r="N46" s="25">
        <v>8</v>
      </c>
      <c r="O46" s="26">
        <v>9</v>
      </c>
      <c r="P46" s="25">
        <v>1</v>
      </c>
      <c r="Q46" s="26">
        <v>4</v>
      </c>
      <c r="R46" s="25">
        <v>0</v>
      </c>
      <c r="S46" s="26">
        <v>0</v>
      </c>
      <c r="T46" s="33">
        <v>-0.48</v>
      </c>
      <c r="U46" s="484">
        <v>0</v>
      </c>
      <c r="V46" s="25">
        <v>4</v>
      </c>
      <c r="W46" s="26">
        <v>4</v>
      </c>
      <c r="X46" s="25">
        <v>20</v>
      </c>
      <c r="Y46" s="26">
        <v>19</v>
      </c>
      <c r="Z46" s="25">
        <v>394</v>
      </c>
      <c r="AA46" s="26">
        <v>423</v>
      </c>
      <c r="AB46" s="25">
        <v>21</v>
      </c>
      <c r="AC46" s="26">
        <v>20</v>
      </c>
      <c r="AD46" s="25">
        <v>18</v>
      </c>
      <c r="AE46" s="26">
        <v>20</v>
      </c>
      <c r="AF46" s="25">
        <v>1</v>
      </c>
      <c r="AG46" s="26">
        <v>7</v>
      </c>
      <c r="AH46" s="487">
        <v>0</v>
      </c>
      <c r="AI46" s="488">
        <v>0</v>
      </c>
      <c r="AJ46" s="487">
        <v>1</v>
      </c>
      <c r="AK46" s="489">
        <v>0</v>
      </c>
      <c r="AL46" s="173">
        <v>5</v>
      </c>
      <c r="AM46" s="364">
        <f t="shared" si="0"/>
        <v>0.625</v>
      </c>
      <c r="AN46" s="144">
        <v>0</v>
      </c>
      <c r="AO46" s="144">
        <v>2</v>
      </c>
      <c r="AP46" s="144">
        <v>1</v>
      </c>
      <c r="AQ46" s="144">
        <v>4</v>
      </c>
      <c r="AR46" s="365">
        <f t="shared" si="1"/>
        <v>0.5</v>
      </c>
      <c r="AS46" s="144">
        <v>4</v>
      </c>
      <c r="AT46" s="5">
        <v>3</v>
      </c>
      <c r="AU46" s="372">
        <f t="shared" si="2"/>
        <v>0.33333333333333331</v>
      </c>
      <c r="AV46" s="5">
        <v>0</v>
      </c>
      <c r="AW46" s="5">
        <v>4</v>
      </c>
      <c r="AX46" s="5">
        <v>2</v>
      </c>
      <c r="AY46" s="5">
        <v>5</v>
      </c>
      <c r="AZ46" s="372">
        <f t="shared" si="3"/>
        <v>0.55555555555555558</v>
      </c>
      <c r="BA46" s="57">
        <v>4</v>
      </c>
      <c r="BB46" s="393">
        <v>0</v>
      </c>
      <c r="BC46" s="394">
        <v>1</v>
      </c>
      <c r="BD46" s="395">
        <v>0</v>
      </c>
      <c r="BE46" s="396">
        <v>0</v>
      </c>
    </row>
    <row r="47" spans="1:57" x14ac:dyDescent="0.25">
      <c r="A47" s="329">
        <v>45920</v>
      </c>
      <c r="B47" s="5">
        <v>5</v>
      </c>
      <c r="C47" s="5" t="s">
        <v>91</v>
      </c>
      <c r="D47" s="7">
        <v>2</v>
      </c>
      <c r="E47" s="7">
        <v>1</v>
      </c>
      <c r="F47" s="26" t="s">
        <v>227</v>
      </c>
      <c r="G47" s="242" t="s">
        <v>451</v>
      </c>
      <c r="H47" s="42">
        <v>66</v>
      </c>
      <c r="I47" s="26">
        <v>34</v>
      </c>
      <c r="J47" s="33">
        <v>2.5499999999999998</v>
      </c>
      <c r="K47" s="34">
        <v>1.8</v>
      </c>
      <c r="L47" s="25">
        <v>6</v>
      </c>
      <c r="M47" s="26">
        <v>3</v>
      </c>
      <c r="N47" s="25">
        <v>26</v>
      </c>
      <c r="O47" s="26">
        <v>6</v>
      </c>
      <c r="P47" s="25">
        <v>2</v>
      </c>
      <c r="Q47" s="26">
        <v>6</v>
      </c>
      <c r="R47" s="25">
        <v>0</v>
      </c>
      <c r="S47" s="26">
        <v>2</v>
      </c>
      <c r="T47" s="33">
        <v>0.86</v>
      </c>
      <c r="U47" s="484">
        <v>1.4</v>
      </c>
      <c r="V47" s="25">
        <v>7</v>
      </c>
      <c r="W47" s="26">
        <v>0</v>
      </c>
      <c r="X47" s="25">
        <v>10</v>
      </c>
      <c r="Y47" s="26">
        <v>11</v>
      </c>
      <c r="Z47" s="25">
        <v>502</v>
      </c>
      <c r="AA47" s="26">
        <v>274</v>
      </c>
      <c r="AB47" s="25">
        <v>15</v>
      </c>
      <c r="AC47" s="26">
        <v>20</v>
      </c>
      <c r="AD47" s="25">
        <v>11</v>
      </c>
      <c r="AE47" s="26">
        <v>9</v>
      </c>
      <c r="AF47" s="25">
        <v>2</v>
      </c>
      <c r="AG47" s="26">
        <v>3</v>
      </c>
      <c r="AH47" s="487">
        <v>0</v>
      </c>
      <c r="AI47" s="488">
        <v>1</v>
      </c>
      <c r="AJ47" s="487">
        <v>0</v>
      </c>
      <c r="AK47" s="489">
        <v>1</v>
      </c>
      <c r="AL47" s="173">
        <v>8</v>
      </c>
      <c r="AM47" s="364">
        <f t="shared" si="0"/>
        <v>0.30769230769230771</v>
      </c>
      <c r="AN47" s="144">
        <v>0</v>
      </c>
      <c r="AO47" s="144">
        <v>12</v>
      </c>
      <c r="AP47" s="144">
        <v>6</v>
      </c>
      <c r="AQ47" s="144">
        <v>14</v>
      </c>
      <c r="AR47" s="365">
        <f t="shared" si="1"/>
        <v>0.53846153846153844</v>
      </c>
      <c r="AS47" s="144">
        <v>12</v>
      </c>
      <c r="AT47" s="5">
        <v>3</v>
      </c>
      <c r="AU47" s="372">
        <f t="shared" si="2"/>
        <v>0.5</v>
      </c>
      <c r="AV47" s="5">
        <v>0</v>
      </c>
      <c r="AW47" s="5">
        <v>3</v>
      </c>
      <c r="AX47" s="5">
        <v>0</v>
      </c>
      <c r="AY47" s="5">
        <v>6</v>
      </c>
      <c r="AZ47" s="372">
        <f t="shared" si="3"/>
        <v>1</v>
      </c>
      <c r="BA47" s="57">
        <v>0</v>
      </c>
      <c r="BB47" s="393">
        <v>0</v>
      </c>
      <c r="BC47" s="394">
        <v>0</v>
      </c>
      <c r="BD47" s="395">
        <v>0</v>
      </c>
      <c r="BE47" s="396">
        <v>0</v>
      </c>
    </row>
    <row r="48" spans="1:57" x14ac:dyDescent="0.25">
      <c r="A48" s="329">
        <v>45920</v>
      </c>
      <c r="B48" s="5">
        <v>5</v>
      </c>
      <c r="C48" s="5" t="s">
        <v>145</v>
      </c>
      <c r="D48" s="7">
        <v>2</v>
      </c>
      <c r="E48" s="7">
        <v>0</v>
      </c>
      <c r="F48" s="26" t="s">
        <v>170</v>
      </c>
      <c r="G48" s="242" t="s">
        <v>455</v>
      </c>
      <c r="H48" s="42">
        <v>44</v>
      </c>
      <c r="I48" s="26">
        <v>56</v>
      </c>
      <c r="J48" s="33">
        <v>1.88</v>
      </c>
      <c r="K48" s="34">
        <v>0.49</v>
      </c>
      <c r="L48" s="25">
        <v>4</v>
      </c>
      <c r="M48" s="26">
        <v>0</v>
      </c>
      <c r="N48" s="25">
        <v>13</v>
      </c>
      <c r="O48" s="26">
        <v>11</v>
      </c>
      <c r="P48" s="25">
        <v>6</v>
      </c>
      <c r="Q48" s="26">
        <v>3</v>
      </c>
      <c r="R48" s="25">
        <v>2</v>
      </c>
      <c r="S48" s="26">
        <v>1</v>
      </c>
      <c r="T48" s="33">
        <v>0.64</v>
      </c>
      <c r="U48" s="484">
        <v>0.47</v>
      </c>
      <c r="V48" s="25">
        <v>5</v>
      </c>
      <c r="W48" s="26">
        <v>6</v>
      </c>
      <c r="X48" s="25">
        <v>13</v>
      </c>
      <c r="Y48" s="26">
        <v>6</v>
      </c>
      <c r="Z48" s="25">
        <v>378</v>
      </c>
      <c r="AA48" s="26">
        <v>486</v>
      </c>
      <c r="AB48" s="25">
        <v>20</v>
      </c>
      <c r="AC48" s="26">
        <v>14</v>
      </c>
      <c r="AD48" s="25">
        <v>6</v>
      </c>
      <c r="AE48" s="26">
        <v>13</v>
      </c>
      <c r="AF48" s="25">
        <v>1</v>
      </c>
      <c r="AG48" s="26">
        <v>1</v>
      </c>
      <c r="AH48" s="487">
        <v>0</v>
      </c>
      <c r="AI48" s="488">
        <v>1</v>
      </c>
      <c r="AJ48" s="487">
        <v>0</v>
      </c>
      <c r="AK48" s="489">
        <v>0</v>
      </c>
      <c r="AL48" s="173">
        <v>5</v>
      </c>
      <c r="AM48" s="364">
        <f t="shared" si="0"/>
        <v>0.38461538461538464</v>
      </c>
      <c r="AN48" s="144">
        <v>0</v>
      </c>
      <c r="AO48" s="144">
        <v>6</v>
      </c>
      <c r="AP48" s="144">
        <v>2</v>
      </c>
      <c r="AQ48" s="144">
        <v>10</v>
      </c>
      <c r="AR48" s="365">
        <f t="shared" si="1"/>
        <v>0.76923076923076927</v>
      </c>
      <c r="AS48" s="144">
        <v>3</v>
      </c>
      <c r="AT48" s="5">
        <v>5</v>
      </c>
      <c r="AU48" s="372">
        <f t="shared" si="2"/>
        <v>0.45454545454545453</v>
      </c>
      <c r="AV48" s="5">
        <v>0</v>
      </c>
      <c r="AW48" s="5">
        <v>2</v>
      </c>
      <c r="AX48" s="5">
        <v>4</v>
      </c>
      <c r="AY48" s="5">
        <v>7</v>
      </c>
      <c r="AZ48" s="372">
        <f t="shared" si="3"/>
        <v>0.63636363636363635</v>
      </c>
      <c r="BA48" s="57">
        <v>4</v>
      </c>
      <c r="BB48" s="393">
        <v>0</v>
      </c>
      <c r="BC48" s="394">
        <v>0</v>
      </c>
      <c r="BD48" s="395">
        <v>0</v>
      </c>
      <c r="BE48" s="396">
        <v>0</v>
      </c>
    </row>
    <row r="49" spans="1:57" x14ac:dyDescent="0.25">
      <c r="A49" s="329">
        <v>45921</v>
      </c>
      <c r="B49" s="5">
        <v>5</v>
      </c>
      <c r="C49" s="5" t="s">
        <v>70</v>
      </c>
      <c r="D49" s="7">
        <v>1</v>
      </c>
      <c r="E49" s="7">
        <v>1</v>
      </c>
      <c r="F49" s="5" t="s">
        <v>456</v>
      </c>
      <c r="H49" s="42">
        <v>59</v>
      </c>
      <c r="I49" s="26">
        <v>41</v>
      </c>
      <c r="J49" s="33">
        <v>1.08</v>
      </c>
      <c r="K49" s="34">
        <v>0.81</v>
      </c>
      <c r="L49" s="25">
        <v>3</v>
      </c>
      <c r="M49" s="26">
        <v>3</v>
      </c>
      <c r="N49" s="25">
        <v>15</v>
      </c>
      <c r="O49" s="26">
        <v>9</v>
      </c>
      <c r="P49" s="25">
        <v>4</v>
      </c>
      <c r="Q49" s="26">
        <v>4</v>
      </c>
      <c r="R49" s="25">
        <v>1</v>
      </c>
      <c r="S49" s="26">
        <v>1</v>
      </c>
      <c r="T49" s="33">
        <v>0.61</v>
      </c>
      <c r="U49" s="484">
        <v>-0.17</v>
      </c>
      <c r="V49" s="25">
        <v>5</v>
      </c>
      <c r="W49" s="26">
        <v>7</v>
      </c>
      <c r="X49" s="25">
        <v>8</v>
      </c>
      <c r="Y49" s="26">
        <v>10</v>
      </c>
      <c r="Z49" s="25">
        <v>533</v>
      </c>
      <c r="AA49" s="26">
        <v>370</v>
      </c>
      <c r="AB49" s="25">
        <v>11</v>
      </c>
      <c r="AC49" s="26">
        <v>13</v>
      </c>
      <c r="AD49" s="25">
        <v>10</v>
      </c>
      <c r="AE49" s="26">
        <v>8</v>
      </c>
      <c r="AF49" s="25">
        <v>1</v>
      </c>
      <c r="AG49" s="26">
        <v>1</v>
      </c>
      <c r="AH49" s="487">
        <v>0</v>
      </c>
      <c r="AI49" s="488">
        <v>0</v>
      </c>
      <c r="AJ49" s="487">
        <v>0</v>
      </c>
      <c r="AK49" s="489">
        <v>0</v>
      </c>
      <c r="AL49" s="173">
        <v>5</v>
      </c>
      <c r="AM49" s="364">
        <f t="shared" si="0"/>
        <v>0.33333333333333331</v>
      </c>
      <c r="AN49" s="144">
        <v>1</v>
      </c>
      <c r="AO49" s="144">
        <v>8</v>
      </c>
      <c r="AP49" s="144">
        <v>2</v>
      </c>
      <c r="AQ49" s="144">
        <v>8</v>
      </c>
      <c r="AR49" s="365">
        <f t="shared" si="1"/>
        <v>0.53333333333333333</v>
      </c>
      <c r="AS49" s="144">
        <v>7</v>
      </c>
      <c r="AT49" s="5">
        <v>5</v>
      </c>
      <c r="AU49" s="372">
        <f t="shared" si="2"/>
        <v>0.55555555555555558</v>
      </c>
      <c r="AV49" s="5">
        <v>0</v>
      </c>
      <c r="AW49" s="5">
        <v>1</v>
      </c>
      <c r="AX49" s="5">
        <v>3</v>
      </c>
      <c r="AY49" s="5">
        <v>6</v>
      </c>
      <c r="AZ49" s="372">
        <f t="shared" si="3"/>
        <v>0.66666666666666663</v>
      </c>
      <c r="BA49" s="57">
        <v>3</v>
      </c>
      <c r="BB49" s="393">
        <v>0</v>
      </c>
      <c r="BC49" s="394">
        <v>0</v>
      </c>
      <c r="BD49" s="395">
        <v>1</v>
      </c>
      <c r="BE49" s="396">
        <v>0</v>
      </c>
    </row>
    <row r="50" spans="1:57" x14ac:dyDescent="0.25">
      <c r="A50" s="329">
        <v>45921</v>
      </c>
      <c r="B50" s="5">
        <v>5</v>
      </c>
      <c r="C50" s="5" t="s">
        <v>112</v>
      </c>
      <c r="D50" s="7">
        <v>1</v>
      </c>
      <c r="E50" s="7">
        <v>1</v>
      </c>
      <c r="F50" s="26" t="s">
        <v>193</v>
      </c>
      <c r="G50" s="242" t="s">
        <v>463</v>
      </c>
      <c r="H50" s="42">
        <v>43</v>
      </c>
      <c r="I50" s="26">
        <v>57</v>
      </c>
      <c r="J50" s="33">
        <v>0.6</v>
      </c>
      <c r="K50" s="34">
        <v>2.2599999999999998</v>
      </c>
      <c r="L50" s="25">
        <v>1</v>
      </c>
      <c r="M50" s="26">
        <v>4</v>
      </c>
      <c r="N50" s="25">
        <v>8</v>
      </c>
      <c r="O50" s="26">
        <v>12</v>
      </c>
      <c r="P50" s="25">
        <v>6</v>
      </c>
      <c r="Q50" s="26">
        <v>2</v>
      </c>
      <c r="R50" s="25">
        <v>3</v>
      </c>
      <c r="S50" s="26">
        <v>0</v>
      </c>
      <c r="T50" s="33">
        <v>2.17</v>
      </c>
      <c r="U50" s="484">
        <v>0.01</v>
      </c>
      <c r="V50" s="25">
        <v>3</v>
      </c>
      <c r="W50" s="26">
        <v>6</v>
      </c>
      <c r="X50" s="25">
        <v>14</v>
      </c>
      <c r="Y50" s="26">
        <v>6</v>
      </c>
      <c r="Z50" s="25">
        <v>396</v>
      </c>
      <c r="AA50" s="26">
        <v>550</v>
      </c>
      <c r="AB50" s="25">
        <v>13</v>
      </c>
      <c r="AC50" s="26">
        <v>10</v>
      </c>
      <c r="AD50" s="25">
        <v>6</v>
      </c>
      <c r="AE50" s="26">
        <v>13</v>
      </c>
      <c r="AF50" s="25">
        <v>0</v>
      </c>
      <c r="AG50" s="26">
        <v>0</v>
      </c>
      <c r="AH50" s="487">
        <v>0</v>
      </c>
      <c r="AI50" s="488">
        <v>1</v>
      </c>
      <c r="AJ50" s="487">
        <v>0</v>
      </c>
      <c r="AK50" s="489">
        <v>1</v>
      </c>
      <c r="AL50" s="173">
        <v>3</v>
      </c>
      <c r="AM50" s="364">
        <f t="shared" si="0"/>
        <v>0.375</v>
      </c>
      <c r="AN50" s="144">
        <v>0</v>
      </c>
      <c r="AO50" s="144">
        <v>3</v>
      </c>
      <c r="AP50" s="144">
        <v>2</v>
      </c>
      <c r="AQ50" s="144">
        <v>3</v>
      </c>
      <c r="AR50" s="365">
        <f t="shared" si="1"/>
        <v>0.375</v>
      </c>
      <c r="AS50" s="144">
        <v>5</v>
      </c>
      <c r="AT50" s="5">
        <v>7</v>
      </c>
      <c r="AU50" s="372">
        <f t="shared" si="2"/>
        <v>0.58333333333333337</v>
      </c>
      <c r="AV50" s="5">
        <v>0</v>
      </c>
      <c r="AW50" s="5">
        <v>4</v>
      </c>
      <c r="AX50" s="5">
        <v>1</v>
      </c>
      <c r="AY50" s="5">
        <v>9</v>
      </c>
      <c r="AZ50" s="372">
        <f t="shared" si="3"/>
        <v>0.75</v>
      </c>
      <c r="BA50" s="57">
        <v>3</v>
      </c>
      <c r="BB50" s="393">
        <v>0</v>
      </c>
      <c r="BC50" s="394">
        <v>0</v>
      </c>
      <c r="BD50" s="395">
        <v>0</v>
      </c>
      <c r="BE50" s="396">
        <v>0</v>
      </c>
    </row>
    <row r="51" spans="1:57" x14ac:dyDescent="0.25">
      <c r="A51" s="329">
        <v>45921</v>
      </c>
      <c r="B51" s="5">
        <v>5</v>
      </c>
      <c r="C51" s="5" t="s">
        <v>208</v>
      </c>
      <c r="D51" s="7">
        <v>1</v>
      </c>
      <c r="E51" s="7">
        <v>0</v>
      </c>
      <c r="F51" s="5" t="s">
        <v>92</v>
      </c>
      <c r="H51" s="42">
        <v>61</v>
      </c>
      <c r="I51" s="26">
        <v>39</v>
      </c>
      <c r="J51" s="33">
        <v>1.55</v>
      </c>
      <c r="K51" s="34">
        <v>1.0900000000000001</v>
      </c>
      <c r="L51" s="25">
        <v>1</v>
      </c>
      <c r="M51" s="26">
        <v>2</v>
      </c>
      <c r="N51" s="25">
        <v>15</v>
      </c>
      <c r="O51" s="26">
        <v>12</v>
      </c>
      <c r="P51" s="25">
        <v>4</v>
      </c>
      <c r="Q51" s="26">
        <v>4</v>
      </c>
      <c r="R51" s="25">
        <v>0</v>
      </c>
      <c r="S51" s="26">
        <v>0</v>
      </c>
      <c r="T51" s="33">
        <v>0.54</v>
      </c>
      <c r="U51" s="484">
        <v>0.44</v>
      </c>
      <c r="V51" s="25">
        <v>3</v>
      </c>
      <c r="W51" s="26">
        <v>3</v>
      </c>
      <c r="X51" s="25">
        <v>9</v>
      </c>
      <c r="Y51" s="26">
        <v>18</v>
      </c>
      <c r="Z51" s="25">
        <v>601</v>
      </c>
      <c r="AA51" s="26">
        <v>372</v>
      </c>
      <c r="AB51" s="25">
        <v>18</v>
      </c>
      <c r="AC51" s="26">
        <v>16</v>
      </c>
      <c r="AD51" s="25">
        <v>18</v>
      </c>
      <c r="AE51" s="26">
        <v>9</v>
      </c>
      <c r="AF51" s="25">
        <v>2</v>
      </c>
      <c r="AG51" s="26">
        <v>2</v>
      </c>
      <c r="AH51" s="487">
        <v>0</v>
      </c>
      <c r="AI51" s="488">
        <v>0</v>
      </c>
      <c r="AJ51" s="487">
        <v>0</v>
      </c>
      <c r="AK51" s="489">
        <v>0</v>
      </c>
      <c r="AL51" s="173">
        <v>5</v>
      </c>
      <c r="AM51" s="364">
        <f t="shared" si="0"/>
        <v>0.33333333333333331</v>
      </c>
      <c r="AN51" s="144">
        <v>1</v>
      </c>
      <c r="AO51" s="144">
        <v>4</v>
      </c>
      <c r="AP51" s="144">
        <v>6</v>
      </c>
      <c r="AQ51" s="144">
        <v>10</v>
      </c>
      <c r="AR51" s="365">
        <f t="shared" si="1"/>
        <v>0.66666666666666663</v>
      </c>
      <c r="AS51" s="144">
        <v>5</v>
      </c>
      <c r="AT51" s="5">
        <v>4</v>
      </c>
      <c r="AU51" s="372">
        <f t="shared" si="2"/>
        <v>0.33333333333333331</v>
      </c>
      <c r="AV51" s="5">
        <v>0</v>
      </c>
      <c r="AW51" s="5">
        <v>5</v>
      </c>
      <c r="AX51" s="5">
        <v>3</v>
      </c>
      <c r="AY51" s="5">
        <v>8</v>
      </c>
      <c r="AZ51" s="372">
        <f t="shared" si="3"/>
        <v>0.66666666666666663</v>
      </c>
      <c r="BA51" s="57">
        <v>4</v>
      </c>
      <c r="BB51" s="393">
        <v>2</v>
      </c>
      <c r="BC51" s="394">
        <v>0</v>
      </c>
      <c r="BD51" s="395">
        <v>1</v>
      </c>
      <c r="BE51" s="396">
        <v>0</v>
      </c>
    </row>
    <row r="52" spans="1:57" x14ac:dyDescent="0.25">
      <c r="A52" s="329">
        <v>45921</v>
      </c>
      <c r="B52" s="5">
        <v>5</v>
      </c>
      <c r="C52" s="5" t="s">
        <v>113</v>
      </c>
      <c r="D52" s="7">
        <v>3</v>
      </c>
      <c r="E52" s="7">
        <v>0</v>
      </c>
      <c r="F52" s="5" t="s">
        <v>161</v>
      </c>
      <c r="H52" s="42">
        <v>71</v>
      </c>
      <c r="I52" s="26">
        <v>29</v>
      </c>
      <c r="J52" s="33">
        <v>1.97</v>
      </c>
      <c r="K52" s="34">
        <v>0.27</v>
      </c>
      <c r="L52" s="25">
        <v>5</v>
      </c>
      <c r="M52" s="26">
        <v>0</v>
      </c>
      <c r="N52" s="25">
        <v>16</v>
      </c>
      <c r="O52" s="26">
        <v>3</v>
      </c>
      <c r="P52" s="25">
        <v>2</v>
      </c>
      <c r="Q52" s="26">
        <v>4</v>
      </c>
      <c r="R52" s="25">
        <v>0</v>
      </c>
      <c r="S52" s="26">
        <v>0</v>
      </c>
      <c r="T52" s="33">
        <v>0.14000000000000001</v>
      </c>
      <c r="U52" s="484">
        <v>0.31</v>
      </c>
      <c r="V52" s="25">
        <v>3</v>
      </c>
      <c r="W52" s="26">
        <v>2</v>
      </c>
      <c r="X52" s="25">
        <v>9</v>
      </c>
      <c r="Y52" s="26">
        <v>16</v>
      </c>
      <c r="Z52" s="25">
        <v>738</v>
      </c>
      <c r="AA52" s="26">
        <v>300</v>
      </c>
      <c r="AB52" s="25">
        <v>12</v>
      </c>
      <c r="AC52" s="26">
        <v>22</v>
      </c>
      <c r="AD52" s="25">
        <v>16</v>
      </c>
      <c r="AE52" s="26">
        <v>9</v>
      </c>
      <c r="AF52" s="25">
        <v>2</v>
      </c>
      <c r="AG52" s="26">
        <v>4</v>
      </c>
      <c r="AH52" s="487">
        <v>0</v>
      </c>
      <c r="AI52" s="488">
        <v>0</v>
      </c>
      <c r="AJ52" s="487">
        <v>0</v>
      </c>
      <c r="AK52" s="489">
        <v>0</v>
      </c>
      <c r="AL52" s="173">
        <v>7</v>
      </c>
      <c r="AM52" s="364">
        <f t="shared" si="0"/>
        <v>0.4375</v>
      </c>
      <c r="AN52" s="144">
        <v>1</v>
      </c>
      <c r="AO52" s="144">
        <v>7</v>
      </c>
      <c r="AP52" s="144">
        <v>2</v>
      </c>
      <c r="AQ52" s="144">
        <v>10</v>
      </c>
      <c r="AR52" s="365">
        <f t="shared" si="1"/>
        <v>0.625</v>
      </c>
      <c r="AS52" s="144">
        <v>6</v>
      </c>
      <c r="AT52" s="5">
        <v>2</v>
      </c>
      <c r="AU52" s="372">
        <f t="shared" si="2"/>
        <v>0.66666666666666663</v>
      </c>
      <c r="AV52" s="5">
        <v>0</v>
      </c>
      <c r="AW52" s="5">
        <v>1</v>
      </c>
      <c r="AX52" s="5">
        <v>0</v>
      </c>
      <c r="AY52" s="5">
        <v>3</v>
      </c>
      <c r="AZ52" s="372">
        <f t="shared" si="3"/>
        <v>1</v>
      </c>
      <c r="BA52" s="57">
        <v>0</v>
      </c>
      <c r="BB52" s="393">
        <v>0</v>
      </c>
      <c r="BC52" s="394">
        <v>0</v>
      </c>
      <c r="BD52" s="395">
        <v>0</v>
      </c>
      <c r="BE52" s="396">
        <v>0</v>
      </c>
    </row>
    <row r="53" spans="1:57" x14ac:dyDescent="0.25">
      <c r="A53" s="331">
        <v>45923</v>
      </c>
      <c r="B53" s="5">
        <v>6</v>
      </c>
      <c r="C53" s="5" t="s">
        <v>170</v>
      </c>
      <c r="D53" s="7">
        <v>1</v>
      </c>
      <c r="E53" s="7">
        <v>1</v>
      </c>
      <c r="F53" s="5" t="s">
        <v>69</v>
      </c>
      <c r="H53" s="42">
        <v>67</v>
      </c>
      <c r="I53" s="26">
        <v>33</v>
      </c>
      <c r="J53" s="33">
        <v>1.46</v>
      </c>
      <c r="K53" s="34">
        <v>0.78</v>
      </c>
      <c r="L53" s="25">
        <v>4</v>
      </c>
      <c r="M53" s="26">
        <v>2</v>
      </c>
      <c r="N53" s="25">
        <v>17</v>
      </c>
      <c r="O53" s="26">
        <v>6</v>
      </c>
      <c r="P53" s="25">
        <v>2</v>
      </c>
      <c r="Q53" s="26">
        <v>4</v>
      </c>
      <c r="R53" s="25">
        <v>0</v>
      </c>
      <c r="S53" s="26">
        <v>1</v>
      </c>
      <c r="T53" s="33">
        <v>0.19</v>
      </c>
      <c r="U53" s="484">
        <v>0.44</v>
      </c>
      <c r="V53" s="25">
        <v>8</v>
      </c>
      <c r="W53" s="26">
        <v>1</v>
      </c>
      <c r="X53" s="25">
        <v>19</v>
      </c>
      <c r="Y53" s="26">
        <v>15</v>
      </c>
      <c r="Z53" s="25">
        <v>600</v>
      </c>
      <c r="AA53" s="26">
        <v>305</v>
      </c>
      <c r="AB53" s="25">
        <v>18</v>
      </c>
      <c r="AC53" s="26">
        <v>10</v>
      </c>
      <c r="AD53" s="25">
        <v>15</v>
      </c>
      <c r="AE53" s="26">
        <v>19</v>
      </c>
      <c r="AF53" s="25">
        <v>0</v>
      </c>
      <c r="AG53" s="26">
        <v>2</v>
      </c>
      <c r="AH53" s="487">
        <v>0</v>
      </c>
      <c r="AI53" s="488">
        <v>0</v>
      </c>
      <c r="AJ53" s="487">
        <v>0</v>
      </c>
      <c r="AK53" s="489">
        <v>0</v>
      </c>
      <c r="AL53" s="173">
        <v>5</v>
      </c>
      <c r="AM53" s="364">
        <f t="shared" si="0"/>
        <v>0.29411764705882354</v>
      </c>
      <c r="AN53" s="144">
        <v>0</v>
      </c>
      <c r="AO53" s="144">
        <v>7</v>
      </c>
      <c r="AP53" s="144">
        <v>5</v>
      </c>
      <c r="AQ53" s="144">
        <v>14</v>
      </c>
      <c r="AR53" s="365">
        <f t="shared" si="1"/>
        <v>0.82352941176470584</v>
      </c>
      <c r="AS53" s="144">
        <v>3</v>
      </c>
      <c r="AT53" s="5">
        <v>3</v>
      </c>
      <c r="AU53" s="372">
        <f t="shared" si="2"/>
        <v>0.5</v>
      </c>
      <c r="AV53" s="5">
        <v>0</v>
      </c>
      <c r="AW53" s="5">
        <v>2</v>
      </c>
      <c r="AX53" s="5">
        <v>1</v>
      </c>
      <c r="AY53" s="5">
        <v>4</v>
      </c>
      <c r="AZ53" s="372">
        <f t="shared" si="3"/>
        <v>0.66666666666666663</v>
      </c>
      <c r="BA53" s="57">
        <v>2</v>
      </c>
      <c r="BB53" s="393">
        <v>1</v>
      </c>
      <c r="BC53" s="394">
        <v>0</v>
      </c>
      <c r="BD53" s="395">
        <v>1</v>
      </c>
      <c r="BE53" s="396">
        <v>1</v>
      </c>
    </row>
    <row r="54" spans="1:57" x14ac:dyDescent="0.25">
      <c r="A54" s="329">
        <v>45923</v>
      </c>
      <c r="B54" s="5">
        <v>6</v>
      </c>
      <c r="C54" s="5" t="s">
        <v>192</v>
      </c>
      <c r="D54" s="7">
        <v>2</v>
      </c>
      <c r="E54" s="7">
        <v>2</v>
      </c>
      <c r="F54" s="5" t="s">
        <v>145</v>
      </c>
      <c r="H54" s="42">
        <v>56</v>
      </c>
      <c r="I54" s="26">
        <v>44</v>
      </c>
      <c r="J54" s="33">
        <v>2.57</v>
      </c>
      <c r="K54" s="34">
        <v>0.74</v>
      </c>
      <c r="L54" s="25">
        <v>7</v>
      </c>
      <c r="M54" s="26">
        <v>2</v>
      </c>
      <c r="N54" s="25">
        <v>21</v>
      </c>
      <c r="O54" s="26">
        <v>5</v>
      </c>
      <c r="P54" s="25">
        <v>0</v>
      </c>
      <c r="Q54" s="26">
        <v>6</v>
      </c>
      <c r="R54" s="25">
        <v>0</v>
      </c>
      <c r="S54" s="26">
        <v>0</v>
      </c>
      <c r="T54" s="33">
        <v>-0.68</v>
      </c>
      <c r="U54" s="484">
        <v>0.45</v>
      </c>
      <c r="V54" s="25">
        <v>8</v>
      </c>
      <c r="W54" s="26">
        <v>3</v>
      </c>
      <c r="X54" s="25">
        <v>9</v>
      </c>
      <c r="Y54" s="26">
        <v>9</v>
      </c>
      <c r="Z54" s="25">
        <v>440</v>
      </c>
      <c r="AA54" s="26">
        <v>369</v>
      </c>
      <c r="AB54" s="25">
        <v>7</v>
      </c>
      <c r="AC54" s="26">
        <v>25</v>
      </c>
      <c r="AD54" s="25">
        <v>9</v>
      </c>
      <c r="AE54" s="26">
        <v>9</v>
      </c>
      <c r="AF54" s="25">
        <v>1</v>
      </c>
      <c r="AG54" s="26">
        <v>4</v>
      </c>
      <c r="AH54" s="487">
        <v>0</v>
      </c>
      <c r="AI54" s="488">
        <v>0</v>
      </c>
      <c r="AJ54" s="487">
        <v>0</v>
      </c>
      <c r="AK54" s="489">
        <v>0</v>
      </c>
      <c r="AL54" s="173">
        <v>10</v>
      </c>
      <c r="AM54" s="364">
        <f t="shared" si="0"/>
        <v>0.47619047619047616</v>
      </c>
      <c r="AN54" s="144">
        <v>0</v>
      </c>
      <c r="AO54" s="144">
        <v>7</v>
      </c>
      <c r="AP54" s="144">
        <v>4</v>
      </c>
      <c r="AQ54" s="144">
        <v>15</v>
      </c>
      <c r="AR54" s="365">
        <f t="shared" si="1"/>
        <v>0.7142857142857143</v>
      </c>
      <c r="AS54" s="144">
        <v>6</v>
      </c>
      <c r="AT54" s="5">
        <v>2</v>
      </c>
      <c r="AU54" s="372">
        <f t="shared" si="2"/>
        <v>0.4</v>
      </c>
      <c r="AV54" s="5">
        <v>0</v>
      </c>
      <c r="AW54" s="5">
        <v>2</v>
      </c>
      <c r="AX54" s="5">
        <v>1</v>
      </c>
      <c r="AY54" s="5">
        <v>4</v>
      </c>
      <c r="AZ54" s="372">
        <f t="shared" si="3"/>
        <v>0.8</v>
      </c>
      <c r="BA54" s="57">
        <v>1</v>
      </c>
      <c r="BB54" s="393">
        <v>0</v>
      </c>
      <c r="BC54" s="394">
        <v>0</v>
      </c>
      <c r="BD54" s="395">
        <v>0</v>
      </c>
      <c r="BE54" s="396">
        <v>0</v>
      </c>
    </row>
    <row r="55" spans="1:57" x14ac:dyDescent="0.25">
      <c r="A55" s="329">
        <v>45923</v>
      </c>
      <c r="B55" s="5">
        <v>6</v>
      </c>
      <c r="C55" s="5" t="s">
        <v>129</v>
      </c>
      <c r="D55" s="7">
        <v>1</v>
      </c>
      <c r="E55" s="7">
        <v>4</v>
      </c>
      <c r="F55" s="5" t="s">
        <v>226</v>
      </c>
      <c r="H55" s="42">
        <v>37</v>
      </c>
      <c r="I55" s="26">
        <v>63</v>
      </c>
      <c r="J55" s="33">
        <v>1.6</v>
      </c>
      <c r="K55" s="34">
        <v>3.94</v>
      </c>
      <c r="L55" s="25">
        <v>3</v>
      </c>
      <c r="M55" s="26">
        <v>6</v>
      </c>
      <c r="N55" s="25">
        <v>11</v>
      </c>
      <c r="O55" s="26">
        <v>24</v>
      </c>
      <c r="P55" s="25">
        <v>6</v>
      </c>
      <c r="Q55" s="26">
        <v>1</v>
      </c>
      <c r="R55" s="25">
        <v>1</v>
      </c>
      <c r="S55" s="26">
        <v>0</v>
      </c>
      <c r="T55" s="33">
        <v>0.12</v>
      </c>
      <c r="U55" s="484">
        <v>0.09</v>
      </c>
      <c r="V55" s="25">
        <v>1</v>
      </c>
      <c r="W55" s="26">
        <v>7</v>
      </c>
      <c r="X55" s="25">
        <v>17</v>
      </c>
      <c r="Y55" s="26">
        <v>9</v>
      </c>
      <c r="Z55" s="25">
        <v>416</v>
      </c>
      <c r="AA55" s="26">
        <v>696</v>
      </c>
      <c r="AB55" s="25">
        <v>19</v>
      </c>
      <c r="AC55" s="26">
        <v>22</v>
      </c>
      <c r="AD55" s="25">
        <v>9</v>
      </c>
      <c r="AE55" s="26">
        <v>16</v>
      </c>
      <c r="AF55" s="25">
        <v>1</v>
      </c>
      <c r="AG55" s="26">
        <v>1</v>
      </c>
      <c r="AH55" s="487">
        <v>0</v>
      </c>
      <c r="AI55" s="488">
        <v>0</v>
      </c>
      <c r="AJ55" s="487">
        <v>0</v>
      </c>
      <c r="AK55" s="489">
        <v>1</v>
      </c>
      <c r="AL55" s="173">
        <v>2</v>
      </c>
      <c r="AM55" s="364">
        <f t="shared" si="0"/>
        <v>0.18181818181818182</v>
      </c>
      <c r="AN55" s="144">
        <v>0</v>
      </c>
      <c r="AO55" s="144">
        <v>3</v>
      </c>
      <c r="AP55" s="144">
        <v>6</v>
      </c>
      <c r="AQ55" s="144">
        <v>8</v>
      </c>
      <c r="AR55" s="365">
        <f t="shared" si="1"/>
        <v>0.72727272727272729</v>
      </c>
      <c r="AS55" s="144">
        <v>3</v>
      </c>
      <c r="AT55" s="5">
        <v>10</v>
      </c>
      <c r="AU55" s="372">
        <f t="shared" si="2"/>
        <v>0.41666666666666669</v>
      </c>
      <c r="AV55" s="5">
        <v>1</v>
      </c>
      <c r="AW55" s="5">
        <v>11</v>
      </c>
      <c r="AX55" s="5">
        <v>3</v>
      </c>
      <c r="AY55" s="5">
        <v>16</v>
      </c>
      <c r="AZ55" s="372">
        <f t="shared" si="3"/>
        <v>0.66666666666666663</v>
      </c>
      <c r="BA55" s="57">
        <v>8</v>
      </c>
      <c r="BB55" s="393">
        <v>3</v>
      </c>
      <c r="BC55" s="394">
        <v>0</v>
      </c>
      <c r="BD55" s="395">
        <v>1</v>
      </c>
      <c r="BE55" s="396">
        <v>0</v>
      </c>
    </row>
    <row r="56" spans="1:57" x14ac:dyDescent="0.25">
      <c r="A56" s="329">
        <v>45923</v>
      </c>
      <c r="B56" s="5">
        <v>6</v>
      </c>
      <c r="C56" s="5" t="s">
        <v>171</v>
      </c>
      <c r="D56" s="7">
        <v>1</v>
      </c>
      <c r="E56" s="7">
        <v>2</v>
      </c>
      <c r="F56" s="5" t="s">
        <v>91</v>
      </c>
      <c r="H56" s="42">
        <v>65</v>
      </c>
      <c r="I56" s="26">
        <v>35</v>
      </c>
      <c r="J56" s="33">
        <v>0.97</v>
      </c>
      <c r="K56" s="34">
        <v>1.95</v>
      </c>
      <c r="L56" s="25">
        <v>1</v>
      </c>
      <c r="M56" s="26">
        <v>6</v>
      </c>
      <c r="N56" s="25">
        <v>16</v>
      </c>
      <c r="O56" s="26">
        <v>12</v>
      </c>
      <c r="P56" s="25">
        <v>3</v>
      </c>
      <c r="Q56" s="26">
        <v>1</v>
      </c>
      <c r="R56" s="25">
        <v>0</v>
      </c>
      <c r="S56" s="26">
        <v>1</v>
      </c>
      <c r="T56" s="33">
        <v>-0.27</v>
      </c>
      <c r="U56" s="484">
        <v>-0.55000000000000004</v>
      </c>
      <c r="V56" s="25">
        <v>3</v>
      </c>
      <c r="W56" s="26">
        <v>3</v>
      </c>
      <c r="X56" s="25">
        <v>17</v>
      </c>
      <c r="Y56" s="26">
        <v>14</v>
      </c>
      <c r="Z56" s="25">
        <v>599</v>
      </c>
      <c r="AA56" s="26">
        <v>324</v>
      </c>
      <c r="AB56" s="25">
        <v>23</v>
      </c>
      <c r="AC56" s="26">
        <v>18</v>
      </c>
      <c r="AD56" s="25">
        <v>14</v>
      </c>
      <c r="AE56" s="26">
        <v>17</v>
      </c>
      <c r="AF56" s="25">
        <v>2</v>
      </c>
      <c r="AG56" s="26">
        <v>3</v>
      </c>
      <c r="AH56" s="487">
        <v>0</v>
      </c>
      <c r="AI56" s="488">
        <v>0</v>
      </c>
      <c r="AJ56" s="487">
        <v>0</v>
      </c>
      <c r="AK56" s="489">
        <v>0</v>
      </c>
      <c r="AL56" s="173">
        <v>2</v>
      </c>
      <c r="AM56" s="364">
        <f t="shared" si="0"/>
        <v>0.125</v>
      </c>
      <c r="AN56" s="144">
        <v>0</v>
      </c>
      <c r="AO56" s="144">
        <v>6</v>
      </c>
      <c r="AP56" s="144">
        <v>8</v>
      </c>
      <c r="AQ56" s="144">
        <v>10</v>
      </c>
      <c r="AR56" s="365">
        <f t="shared" si="1"/>
        <v>0.625</v>
      </c>
      <c r="AS56" s="144">
        <v>6</v>
      </c>
      <c r="AT56" s="5">
        <v>5</v>
      </c>
      <c r="AU56" s="372">
        <f t="shared" si="2"/>
        <v>0.41666666666666669</v>
      </c>
      <c r="AV56" s="5">
        <v>0</v>
      </c>
      <c r="AW56" s="5">
        <v>4</v>
      </c>
      <c r="AX56" s="5">
        <v>3</v>
      </c>
      <c r="AY56" s="5">
        <v>11</v>
      </c>
      <c r="AZ56" s="372">
        <f t="shared" si="3"/>
        <v>0.91666666666666663</v>
      </c>
      <c r="BA56" s="57">
        <v>1</v>
      </c>
      <c r="BB56" s="393">
        <v>0</v>
      </c>
      <c r="BC56" s="394">
        <v>0</v>
      </c>
      <c r="BD56" s="395">
        <v>0</v>
      </c>
      <c r="BE56" s="396">
        <v>0</v>
      </c>
    </row>
    <row r="57" spans="1:57" x14ac:dyDescent="0.25">
      <c r="A57" s="329">
        <v>45924</v>
      </c>
      <c r="B57" s="5">
        <v>6</v>
      </c>
      <c r="C57" s="5" t="s">
        <v>161</v>
      </c>
      <c r="D57" s="7">
        <v>1</v>
      </c>
      <c r="E57" s="7">
        <v>1</v>
      </c>
      <c r="F57" s="5" t="s">
        <v>128</v>
      </c>
      <c r="H57" s="42">
        <v>46</v>
      </c>
      <c r="I57" s="26">
        <v>54</v>
      </c>
      <c r="J57" s="33">
        <v>0.24</v>
      </c>
      <c r="K57" s="34">
        <v>0.56999999999999995</v>
      </c>
      <c r="L57" s="25">
        <v>1</v>
      </c>
      <c r="M57" s="26">
        <v>2</v>
      </c>
      <c r="N57" s="25">
        <v>7</v>
      </c>
      <c r="O57" s="26">
        <v>10</v>
      </c>
      <c r="P57" s="25">
        <v>4</v>
      </c>
      <c r="Q57" s="26">
        <v>0</v>
      </c>
      <c r="R57" s="25">
        <v>1</v>
      </c>
      <c r="S57" s="26">
        <v>0</v>
      </c>
      <c r="T57" s="33">
        <v>-0.34</v>
      </c>
      <c r="U57" s="484">
        <v>-0.66</v>
      </c>
      <c r="V57" s="25">
        <v>2</v>
      </c>
      <c r="W57" s="26">
        <v>7</v>
      </c>
      <c r="X57" s="25">
        <v>14</v>
      </c>
      <c r="Y57" s="26">
        <v>20</v>
      </c>
      <c r="Z57" s="25">
        <v>304</v>
      </c>
      <c r="AA57" s="26">
        <v>352</v>
      </c>
      <c r="AB57" s="25">
        <v>25</v>
      </c>
      <c r="AC57" s="26">
        <v>15</v>
      </c>
      <c r="AD57" s="25">
        <v>20</v>
      </c>
      <c r="AE57" s="26">
        <v>14</v>
      </c>
      <c r="AF57" s="25">
        <v>2</v>
      </c>
      <c r="AG57" s="26">
        <v>3</v>
      </c>
      <c r="AH57" s="487">
        <v>0</v>
      </c>
      <c r="AI57" s="488">
        <v>0</v>
      </c>
      <c r="AJ57" s="487">
        <v>0</v>
      </c>
      <c r="AK57" s="489">
        <v>0</v>
      </c>
      <c r="AL57" s="173">
        <v>1</v>
      </c>
      <c r="AM57" s="364">
        <f t="shared" si="0"/>
        <v>0.14285714285714285</v>
      </c>
      <c r="AN57" s="144">
        <v>0</v>
      </c>
      <c r="AO57" s="144">
        <v>1</v>
      </c>
      <c r="AP57" s="144">
        <v>5</v>
      </c>
      <c r="AQ57" s="144">
        <v>3</v>
      </c>
      <c r="AR57" s="365">
        <f t="shared" si="1"/>
        <v>0.42857142857142855</v>
      </c>
      <c r="AS57" s="144">
        <v>4</v>
      </c>
      <c r="AT57" s="5">
        <v>4</v>
      </c>
      <c r="AU57" s="372">
        <f t="shared" si="2"/>
        <v>0.4</v>
      </c>
      <c r="AV57" s="5">
        <v>0</v>
      </c>
      <c r="AW57" s="5">
        <v>3</v>
      </c>
      <c r="AX57" s="5">
        <v>3</v>
      </c>
      <c r="AY57" s="5">
        <v>6</v>
      </c>
      <c r="AZ57" s="372">
        <f t="shared" si="3"/>
        <v>0.6</v>
      </c>
      <c r="BA57" s="57">
        <v>4</v>
      </c>
      <c r="BB57" s="393">
        <v>2</v>
      </c>
      <c r="BC57" s="394">
        <v>0</v>
      </c>
      <c r="BD57" s="395">
        <v>0</v>
      </c>
      <c r="BE57" s="396">
        <v>0</v>
      </c>
    </row>
    <row r="58" spans="1:57" x14ac:dyDescent="0.25">
      <c r="A58" s="329">
        <v>45924</v>
      </c>
      <c r="B58" s="5">
        <v>6</v>
      </c>
      <c r="C58" s="5" t="s">
        <v>193</v>
      </c>
      <c r="D58" s="7">
        <v>3</v>
      </c>
      <c r="E58" s="7">
        <v>2</v>
      </c>
      <c r="F58" s="5" t="s">
        <v>70</v>
      </c>
      <c r="H58" s="42">
        <v>61</v>
      </c>
      <c r="I58" s="26">
        <v>39</v>
      </c>
      <c r="J58" s="33">
        <v>3.61</v>
      </c>
      <c r="K58" s="34">
        <v>1.6</v>
      </c>
      <c r="L58" s="25">
        <v>7</v>
      </c>
      <c r="M58" s="26">
        <v>3</v>
      </c>
      <c r="N58" s="25">
        <v>20</v>
      </c>
      <c r="O58" s="26">
        <v>9</v>
      </c>
      <c r="P58" s="25">
        <v>1</v>
      </c>
      <c r="Q58" s="26">
        <v>5</v>
      </c>
      <c r="R58" s="25">
        <v>0</v>
      </c>
      <c r="S58" s="26">
        <v>0</v>
      </c>
      <c r="T58" s="33">
        <v>-0.61</v>
      </c>
      <c r="U58" s="484">
        <v>0.04</v>
      </c>
      <c r="V58" s="25">
        <v>8</v>
      </c>
      <c r="W58" s="26">
        <v>6</v>
      </c>
      <c r="X58" s="25">
        <v>6</v>
      </c>
      <c r="Y58" s="26">
        <v>12</v>
      </c>
      <c r="Z58" s="25">
        <v>579</v>
      </c>
      <c r="AA58" s="26">
        <v>370</v>
      </c>
      <c r="AB58" s="25">
        <v>12</v>
      </c>
      <c r="AC58" s="26">
        <v>21</v>
      </c>
      <c r="AD58" s="25">
        <v>12</v>
      </c>
      <c r="AE58" s="26">
        <v>6</v>
      </c>
      <c r="AF58" s="25">
        <v>3</v>
      </c>
      <c r="AG58" s="26">
        <v>5</v>
      </c>
      <c r="AH58" s="487">
        <v>0</v>
      </c>
      <c r="AI58" s="488">
        <v>0</v>
      </c>
      <c r="AJ58" s="487">
        <v>0</v>
      </c>
      <c r="AK58" s="489">
        <v>0</v>
      </c>
      <c r="AL58" s="173">
        <v>8</v>
      </c>
      <c r="AM58" s="364">
        <f t="shared" si="0"/>
        <v>0.4</v>
      </c>
      <c r="AN58" s="144">
        <v>1</v>
      </c>
      <c r="AO58" s="144">
        <v>8</v>
      </c>
      <c r="AP58" s="144">
        <v>4</v>
      </c>
      <c r="AQ58" s="144">
        <v>17</v>
      </c>
      <c r="AR58" s="365">
        <f t="shared" si="1"/>
        <v>0.85</v>
      </c>
      <c r="AS58" s="144">
        <v>3</v>
      </c>
      <c r="AT58" s="5">
        <v>3</v>
      </c>
      <c r="AU58" s="372">
        <f t="shared" si="2"/>
        <v>0.33333333333333331</v>
      </c>
      <c r="AV58" s="5">
        <v>0</v>
      </c>
      <c r="AW58" s="5">
        <v>6</v>
      </c>
      <c r="AX58" s="5">
        <v>0</v>
      </c>
      <c r="AY58" s="5">
        <v>5</v>
      </c>
      <c r="AZ58" s="372">
        <f t="shared" si="3"/>
        <v>0.55555555555555558</v>
      </c>
      <c r="BA58" s="57">
        <v>4</v>
      </c>
      <c r="BB58" s="393">
        <v>1</v>
      </c>
      <c r="BC58" s="394">
        <v>1</v>
      </c>
      <c r="BD58" s="395">
        <v>0</v>
      </c>
      <c r="BE58" s="396">
        <v>0</v>
      </c>
    </row>
    <row r="59" spans="1:57" x14ac:dyDescent="0.25">
      <c r="A59" s="329">
        <v>45924</v>
      </c>
      <c r="B59" s="5">
        <v>6</v>
      </c>
      <c r="C59" s="5" t="s">
        <v>146</v>
      </c>
      <c r="D59" s="7">
        <v>1</v>
      </c>
      <c r="E59" s="7">
        <v>0</v>
      </c>
      <c r="F59" s="5" t="s">
        <v>112</v>
      </c>
      <c r="H59" s="42">
        <v>64</v>
      </c>
      <c r="I59" s="26">
        <v>36</v>
      </c>
      <c r="J59" s="33">
        <v>2.76</v>
      </c>
      <c r="K59" s="34">
        <v>0.76</v>
      </c>
      <c r="L59" s="25">
        <v>4</v>
      </c>
      <c r="M59" s="26">
        <v>1</v>
      </c>
      <c r="N59" s="25">
        <v>17</v>
      </c>
      <c r="O59" s="26">
        <v>7</v>
      </c>
      <c r="P59" s="25">
        <v>3</v>
      </c>
      <c r="Q59" s="26">
        <v>3</v>
      </c>
      <c r="R59" s="25">
        <v>0</v>
      </c>
      <c r="S59" s="26">
        <v>2</v>
      </c>
      <c r="T59" s="33">
        <v>0.15</v>
      </c>
      <c r="U59" s="484">
        <v>0.85</v>
      </c>
      <c r="V59" s="25">
        <v>11</v>
      </c>
      <c r="W59" s="26">
        <v>2</v>
      </c>
      <c r="X59" s="25">
        <v>13</v>
      </c>
      <c r="Y59" s="26">
        <v>15</v>
      </c>
      <c r="Z59" s="25">
        <v>548</v>
      </c>
      <c r="AA59" s="26">
        <v>310</v>
      </c>
      <c r="AB59" s="25">
        <v>13</v>
      </c>
      <c r="AC59" s="26">
        <v>15</v>
      </c>
      <c r="AD59" s="25">
        <v>15</v>
      </c>
      <c r="AE59" s="26">
        <v>13</v>
      </c>
      <c r="AF59" s="25">
        <v>2</v>
      </c>
      <c r="AG59" s="26">
        <v>2</v>
      </c>
      <c r="AH59" s="487">
        <v>0</v>
      </c>
      <c r="AI59" s="488">
        <v>0</v>
      </c>
      <c r="AJ59" s="487">
        <v>0</v>
      </c>
      <c r="AK59" s="489">
        <v>0</v>
      </c>
      <c r="AL59" s="173">
        <v>4</v>
      </c>
      <c r="AM59" s="364">
        <f t="shared" si="0"/>
        <v>0.23529411764705882</v>
      </c>
      <c r="AN59" s="144">
        <v>0</v>
      </c>
      <c r="AO59" s="144">
        <v>10</v>
      </c>
      <c r="AP59" s="144">
        <v>3</v>
      </c>
      <c r="AQ59" s="144">
        <v>12</v>
      </c>
      <c r="AR59" s="365">
        <f t="shared" si="1"/>
        <v>0.70588235294117652</v>
      </c>
      <c r="AS59" s="144">
        <v>5</v>
      </c>
      <c r="AT59" s="5">
        <v>3</v>
      </c>
      <c r="AU59" s="372">
        <f t="shared" si="2"/>
        <v>0.42857142857142855</v>
      </c>
      <c r="AV59" s="5">
        <v>0</v>
      </c>
      <c r="AW59" s="5">
        <v>3</v>
      </c>
      <c r="AX59" s="5">
        <v>1</v>
      </c>
      <c r="AY59" s="5">
        <v>6</v>
      </c>
      <c r="AZ59" s="372">
        <f t="shared" si="3"/>
        <v>0.8571428571428571</v>
      </c>
      <c r="BA59" s="57">
        <v>1</v>
      </c>
      <c r="BB59" s="393">
        <v>0</v>
      </c>
      <c r="BC59" s="394">
        <v>0</v>
      </c>
      <c r="BD59" s="395">
        <v>1</v>
      </c>
      <c r="BE59" s="396">
        <v>0</v>
      </c>
    </row>
    <row r="60" spans="1:57" x14ac:dyDescent="0.25">
      <c r="A60" s="329">
        <v>45925</v>
      </c>
      <c r="B60" s="5">
        <v>6</v>
      </c>
      <c r="C60" s="5" t="s">
        <v>227</v>
      </c>
      <c r="D60" s="7">
        <v>1</v>
      </c>
      <c r="E60" s="7">
        <v>1</v>
      </c>
      <c r="F60" s="5" t="s">
        <v>208</v>
      </c>
      <c r="H60" s="42">
        <v>40</v>
      </c>
      <c r="I60" s="26">
        <v>60</v>
      </c>
      <c r="J60" s="33">
        <v>0.9</v>
      </c>
      <c r="K60" s="34">
        <v>0.82</v>
      </c>
      <c r="L60" s="25">
        <v>1</v>
      </c>
      <c r="M60" s="26">
        <v>3</v>
      </c>
      <c r="N60" s="25">
        <v>9</v>
      </c>
      <c r="O60" s="26">
        <v>12</v>
      </c>
      <c r="P60" s="25">
        <v>3</v>
      </c>
      <c r="Q60" s="26">
        <v>1</v>
      </c>
      <c r="R60" s="25">
        <v>0</v>
      </c>
      <c r="S60" s="26">
        <v>0</v>
      </c>
      <c r="T60" s="33">
        <v>0.2</v>
      </c>
      <c r="U60" s="484">
        <v>-0.75</v>
      </c>
      <c r="V60" s="25">
        <v>2</v>
      </c>
      <c r="W60" s="26">
        <v>3</v>
      </c>
      <c r="X60" s="25">
        <v>19</v>
      </c>
      <c r="Y60" s="26">
        <v>13</v>
      </c>
      <c r="Z60" s="25">
        <v>375</v>
      </c>
      <c r="AA60" s="26">
        <v>588</v>
      </c>
      <c r="AB60" s="25">
        <v>21</v>
      </c>
      <c r="AC60" s="26">
        <v>15</v>
      </c>
      <c r="AD60" s="25">
        <v>13</v>
      </c>
      <c r="AE60" s="26">
        <v>19</v>
      </c>
      <c r="AF60" s="25">
        <v>2</v>
      </c>
      <c r="AG60" s="26">
        <v>2</v>
      </c>
      <c r="AH60" s="487">
        <v>0</v>
      </c>
      <c r="AI60" s="488">
        <v>0</v>
      </c>
      <c r="AJ60" s="487">
        <v>0</v>
      </c>
      <c r="AK60" s="489">
        <v>0</v>
      </c>
      <c r="AL60" s="173">
        <v>2</v>
      </c>
      <c r="AM60" s="364">
        <f t="shared" si="0"/>
        <v>0.22222222222222221</v>
      </c>
      <c r="AN60" s="144">
        <v>0</v>
      </c>
      <c r="AO60" s="144">
        <v>4</v>
      </c>
      <c r="AP60" s="144">
        <v>3</v>
      </c>
      <c r="AQ60" s="144">
        <v>7</v>
      </c>
      <c r="AR60" s="365">
        <f t="shared" si="1"/>
        <v>0.77777777777777779</v>
      </c>
      <c r="AS60" s="144">
        <v>2</v>
      </c>
      <c r="AT60" s="5">
        <v>4</v>
      </c>
      <c r="AU60" s="372">
        <f t="shared" si="2"/>
        <v>0.33333333333333331</v>
      </c>
      <c r="AV60" s="5">
        <v>1</v>
      </c>
      <c r="AW60" s="5">
        <v>2</v>
      </c>
      <c r="AX60" s="5">
        <v>6</v>
      </c>
      <c r="AY60" s="5">
        <v>7</v>
      </c>
      <c r="AZ60" s="372">
        <f t="shared" si="3"/>
        <v>0.58333333333333337</v>
      </c>
      <c r="BA60" s="57">
        <v>5</v>
      </c>
      <c r="BB60" s="393">
        <v>0</v>
      </c>
      <c r="BC60" s="394">
        <v>1</v>
      </c>
      <c r="BD60" s="395">
        <v>0</v>
      </c>
      <c r="BE60" s="396">
        <v>0</v>
      </c>
    </row>
    <row r="61" spans="1:57" x14ac:dyDescent="0.25">
      <c r="A61" s="329">
        <v>45925</v>
      </c>
      <c r="B61" s="5">
        <v>6</v>
      </c>
      <c r="C61" s="5" t="s">
        <v>92</v>
      </c>
      <c r="D61" s="7">
        <v>1</v>
      </c>
      <c r="E61" s="7">
        <v>3</v>
      </c>
      <c r="F61" s="5" t="s">
        <v>113</v>
      </c>
      <c r="H61" s="42">
        <v>21</v>
      </c>
      <c r="I61" s="26">
        <v>79</v>
      </c>
      <c r="J61" s="33">
        <v>1.04</v>
      </c>
      <c r="K61" s="34">
        <v>2.0699999999999998</v>
      </c>
      <c r="L61" s="25">
        <v>2</v>
      </c>
      <c r="M61" s="26">
        <v>2</v>
      </c>
      <c r="N61" s="25">
        <v>7</v>
      </c>
      <c r="O61" s="26">
        <v>22</v>
      </c>
      <c r="P61" s="25">
        <v>7</v>
      </c>
      <c r="Q61" s="26">
        <v>2</v>
      </c>
      <c r="R61" s="25">
        <v>2</v>
      </c>
      <c r="S61" s="26">
        <v>0</v>
      </c>
      <c r="T61" s="33">
        <v>-0.51</v>
      </c>
      <c r="U61" s="484">
        <v>0</v>
      </c>
      <c r="V61" s="25">
        <v>6</v>
      </c>
      <c r="W61" s="26">
        <v>9</v>
      </c>
      <c r="X61" s="25">
        <v>10</v>
      </c>
      <c r="Y61" s="26">
        <v>6</v>
      </c>
      <c r="Z61" s="25">
        <v>194</v>
      </c>
      <c r="AA61" s="26">
        <v>787</v>
      </c>
      <c r="AB61" s="25">
        <v>21</v>
      </c>
      <c r="AC61" s="26">
        <v>18</v>
      </c>
      <c r="AD61" s="25">
        <v>6</v>
      </c>
      <c r="AE61" s="26">
        <v>10</v>
      </c>
      <c r="AF61" s="25">
        <v>1</v>
      </c>
      <c r="AG61" s="26">
        <v>0</v>
      </c>
      <c r="AH61" s="487">
        <v>0</v>
      </c>
      <c r="AI61" s="488">
        <v>0</v>
      </c>
      <c r="AJ61" s="487">
        <v>0</v>
      </c>
      <c r="AK61" s="489">
        <v>0</v>
      </c>
      <c r="AL61" s="173">
        <v>3</v>
      </c>
      <c r="AM61" s="364">
        <f t="shared" si="0"/>
        <v>0.42857142857142855</v>
      </c>
      <c r="AN61" s="144">
        <v>0</v>
      </c>
      <c r="AO61" s="144">
        <v>1</v>
      </c>
      <c r="AP61" s="144">
        <v>3</v>
      </c>
      <c r="AQ61" s="144">
        <v>5</v>
      </c>
      <c r="AR61" s="365">
        <f t="shared" si="1"/>
        <v>0.7142857142857143</v>
      </c>
      <c r="AS61" s="144">
        <v>2</v>
      </c>
      <c r="AT61" s="5">
        <v>10</v>
      </c>
      <c r="AU61" s="372">
        <f t="shared" si="2"/>
        <v>0.45454545454545453</v>
      </c>
      <c r="AV61" s="5">
        <v>1</v>
      </c>
      <c r="AW61" s="5">
        <v>4</v>
      </c>
      <c r="AX61" s="5">
        <v>8</v>
      </c>
      <c r="AY61" s="5">
        <v>13</v>
      </c>
      <c r="AZ61" s="372">
        <f t="shared" si="3"/>
        <v>0.59090909090909094</v>
      </c>
      <c r="BA61" s="57">
        <v>9</v>
      </c>
      <c r="BB61" s="393">
        <v>0</v>
      </c>
      <c r="BC61" s="394">
        <v>0</v>
      </c>
      <c r="BD61" s="395">
        <v>0</v>
      </c>
      <c r="BE61" s="396">
        <v>1</v>
      </c>
    </row>
    <row r="62" spans="1:57" x14ac:dyDescent="0.25">
      <c r="A62" s="329">
        <v>45926</v>
      </c>
      <c r="B62" s="5">
        <v>7</v>
      </c>
      <c r="C62" s="5" t="s">
        <v>69</v>
      </c>
      <c r="D62" s="7">
        <v>0</v>
      </c>
      <c r="E62" s="7">
        <v>0</v>
      </c>
      <c r="F62" s="5" t="s">
        <v>192</v>
      </c>
      <c r="H62" s="42">
        <v>60</v>
      </c>
      <c r="I62" s="26">
        <v>40</v>
      </c>
      <c r="J62" s="33">
        <v>1.08</v>
      </c>
      <c r="K62" s="34">
        <v>1.08</v>
      </c>
      <c r="L62" s="25">
        <v>1</v>
      </c>
      <c r="M62" s="26">
        <v>0</v>
      </c>
      <c r="N62" s="25">
        <v>12</v>
      </c>
      <c r="O62" s="26">
        <v>20</v>
      </c>
      <c r="P62" s="25">
        <v>5</v>
      </c>
      <c r="Q62" s="26">
        <v>3</v>
      </c>
      <c r="R62" s="25">
        <v>1</v>
      </c>
      <c r="S62" s="26">
        <v>0</v>
      </c>
      <c r="T62" s="33">
        <v>1.67</v>
      </c>
      <c r="U62" s="484">
        <v>0.89</v>
      </c>
      <c r="V62" s="25">
        <v>8</v>
      </c>
      <c r="W62" s="26">
        <v>4</v>
      </c>
      <c r="X62" s="25">
        <v>9</v>
      </c>
      <c r="Y62" s="26">
        <v>11</v>
      </c>
      <c r="Z62" s="25">
        <v>522</v>
      </c>
      <c r="AA62" s="26">
        <v>338</v>
      </c>
      <c r="AB62" s="25">
        <v>6</v>
      </c>
      <c r="AC62" s="26">
        <v>20</v>
      </c>
      <c r="AD62" s="25">
        <v>11</v>
      </c>
      <c r="AE62" s="26">
        <v>9</v>
      </c>
      <c r="AF62" s="25">
        <v>0</v>
      </c>
      <c r="AG62" s="26">
        <v>1</v>
      </c>
      <c r="AH62" s="487">
        <v>0</v>
      </c>
      <c r="AI62" s="488">
        <v>0</v>
      </c>
      <c r="AJ62" s="487">
        <v>0</v>
      </c>
      <c r="AK62" s="489">
        <v>0</v>
      </c>
      <c r="AL62" s="173">
        <v>3</v>
      </c>
      <c r="AM62" s="364">
        <f t="shared" si="0"/>
        <v>0.25</v>
      </c>
      <c r="AN62" s="144">
        <v>0</v>
      </c>
      <c r="AO62" s="144">
        <v>4</v>
      </c>
      <c r="AP62" s="144">
        <v>5</v>
      </c>
      <c r="AQ62" s="144">
        <v>7</v>
      </c>
      <c r="AR62" s="365">
        <f t="shared" si="1"/>
        <v>0.58333333333333337</v>
      </c>
      <c r="AS62" s="144">
        <v>5</v>
      </c>
      <c r="AT62" s="5">
        <v>5</v>
      </c>
      <c r="AU62" s="372">
        <f t="shared" si="2"/>
        <v>0.25</v>
      </c>
      <c r="AV62" s="5">
        <v>0</v>
      </c>
      <c r="AW62" s="5">
        <v>10</v>
      </c>
      <c r="AX62" s="5">
        <v>5</v>
      </c>
      <c r="AY62" s="5">
        <v>11</v>
      </c>
      <c r="AZ62" s="372">
        <f t="shared" si="3"/>
        <v>0.55000000000000004</v>
      </c>
      <c r="BA62" s="57">
        <v>9</v>
      </c>
      <c r="BB62" s="393">
        <v>1</v>
      </c>
      <c r="BC62" s="394">
        <v>0</v>
      </c>
      <c r="BD62" s="395">
        <v>1</v>
      </c>
      <c r="BE62" s="396">
        <v>0</v>
      </c>
    </row>
    <row r="63" spans="1:57" x14ac:dyDescent="0.25">
      <c r="A63" s="329">
        <v>45927</v>
      </c>
      <c r="B63" s="5">
        <v>7</v>
      </c>
      <c r="C63" s="5" t="s">
        <v>161</v>
      </c>
      <c r="D63" s="7">
        <v>1</v>
      </c>
      <c r="E63" s="7">
        <v>1</v>
      </c>
      <c r="F63" s="5" t="s">
        <v>129</v>
      </c>
      <c r="H63" s="42">
        <v>54</v>
      </c>
      <c r="I63" s="26">
        <v>46</v>
      </c>
      <c r="J63" s="33">
        <v>0.55000000000000004</v>
      </c>
      <c r="K63" s="34">
        <v>1.24</v>
      </c>
      <c r="L63" s="25">
        <v>2</v>
      </c>
      <c r="M63" s="26">
        <v>3</v>
      </c>
      <c r="N63" s="25">
        <v>11</v>
      </c>
      <c r="O63" s="26">
        <v>11</v>
      </c>
      <c r="P63" s="25">
        <v>2</v>
      </c>
      <c r="Q63" s="26">
        <v>3</v>
      </c>
      <c r="R63" s="25">
        <v>0</v>
      </c>
      <c r="S63" s="26">
        <v>1</v>
      </c>
      <c r="T63" s="33">
        <v>-0.48</v>
      </c>
      <c r="U63" s="484">
        <v>0.02</v>
      </c>
      <c r="V63" s="25">
        <v>6</v>
      </c>
      <c r="W63" s="26">
        <v>2</v>
      </c>
      <c r="X63" s="25">
        <v>15</v>
      </c>
      <c r="Y63" s="26">
        <v>16</v>
      </c>
      <c r="Z63" s="25">
        <v>328</v>
      </c>
      <c r="AA63" s="26">
        <v>288</v>
      </c>
      <c r="AB63" s="25">
        <v>19</v>
      </c>
      <c r="AC63" s="26">
        <v>18</v>
      </c>
      <c r="AD63" s="25">
        <v>16</v>
      </c>
      <c r="AE63" s="26">
        <v>15</v>
      </c>
      <c r="AF63" s="25">
        <v>4</v>
      </c>
      <c r="AG63" s="26">
        <v>3</v>
      </c>
      <c r="AH63" s="487">
        <v>0</v>
      </c>
      <c r="AI63" s="488">
        <v>0</v>
      </c>
      <c r="AJ63" s="487">
        <v>0</v>
      </c>
      <c r="AK63" s="489">
        <v>0</v>
      </c>
      <c r="AL63" s="173">
        <v>4</v>
      </c>
      <c r="AM63" s="364">
        <f t="shared" si="0"/>
        <v>0.36363636363636365</v>
      </c>
      <c r="AN63" s="144">
        <v>0</v>
      </c>
      <c r="AO63" s="144">
        <v>6</v>
      </c>
      <c r="AP63" s="144">
        <v>1</v>
      </c>
      <c r="AQ63" s="144">
        <v>3</v>
      </c>
      <c r="AR63" s="365">
        <f t="shared" si="1"/>
        <v>0.27272727272727271</v>
      </c>
      <c r="AS63" s="144">
        <v>8</v>
      </c>
      <c r="AT63" s="5">
        <v>3</v>
      </c>
      <c r="AU63" s="372">
        <f t="shared" si="2"/>
        <v>0.27272727272727271</v>
      </c>
      <c r="AV63" s="5">
        <v>0</v>
      </c>
      <c r="AW63" s="5">
        <v>6</v>
      </c>
      <c r="AX63" s="5">
        <v>2</v>
      </c>
      <c r="AY63" s="5">
        <v>7</v>
      </c>
      <c r="AZ63" s="372">
        <f t="shared" si="3"/>
        <v>0.63636363636363635</v>
      </c>
      <c r="BA63" s="57">
        <v>4</v>
      </c>
      <c r="BB63" s="393">
        <v>1</v>
      </c>
      <c r="BC63" s="394">
        <v>0</v>
      </c>
      <c r="BD63" s="395">
        <v>0</v>
      </c>
      <c r="BE63" s="396">
        <v>0</v>
      </c>
    </row>
    <row r="64" spans="1:57" x14ac:dyDescent="0.25">
      <c r="A64" s="329">
        <v>45927</v>
      </c>
      <c r="B64" s="5">
        <v>7</v>
      </c>
      <c r="C64" s="5" t="s">
        <v>193</v>
      </c>
      <c r="D64" s="7">
        <v>5</v>
      </c>
      <c r="E64" s="7">
        <v>2</v>
      </c>
      <c r="F64" s="5" t="s">
        <v>226</v>
      </c>
      <c r="H64" s="42">
        <v>37</v>
      </c>
      <c r="I64" s="26">
        <v>63</v>
      </c>
      <c r="J64" s="33">
        <v>2.34</v>
      </c>
      <c r="K64" s="34">
        <v>0.66</v>
      </c>
      <c r="L64" s="25">
        <v>6</v>
      </c>
      <c r="M64" s="26">
        <v>2</v>
      </c>
      <c r="N64" s="25">
        <v>13</v>
      </c>
      <c r="O64" s="26">
        <v>6</v>
      </c>
      <c r="P64" s="25">
        <v>0</v>
      </c>
      <c r="Q64" s="26">
        <v>2</v>
      </c>
      <c r="R64" s="25">
        <v>0</v>
      </c>
      <c r="S64" s="26">
        <v>0</v>
      </c>
      <c r="T64" s="33">
        <v>-1.3</v>
      </c>
      <c r="U64" s="484">
        <v>-2.98</v>
      </c>
      <c r="V64" s="25">
        <v>7</v>
      </c>
      <c r="W64" s="26">
        <v>2</v>
      </c>
      <c r="X64" s="25">
        <v>17</v>
      </c>
      <c r="Y64" s="26">
        <v>14</v>
      </c>
      <c r="Z64" s="25">
        <v>306</v>
      </c>
      <c r="AA64" s="26">
        <v>538</v>
      </c>
      <c r="AB64" s="25">
        <v>14</v>
      </c>
      <c r="AC64" s="26">
        <v>11</v>
      </c>
      <c r="AD64" s="25">
        <v>13</v>
      </c>
      <c r="AE64" s="26">
        <v>17</v>
      </c>
      <c r="AF64" s="25">
        <v>5</v>
      </c>
      <c r="AG64" s="26">
        <v>4</v>
      </c>
      <c r="AH64" s="487">
        <v>0</v>
      </c>
      <c r="AI64" s="488">
        <v>0</v>
      </c>
      <c r="AJ64" s="487">
        <v>1</v>
      </c>
      <c r="AK64" s="489">
        <v>0</v>
      </c>
      <c r="AL64" s="173">
        <v>7</v>
      </c>
      <c r="AM64" s="364">
        <f t="shared" si="0"/>
        <v>0.53846153846153844</v>
      </c>
      <c r="AN64" s="144">
        <v>1</v>
      </c>
      <c r="AO64" s="144">
        <v>4</v>
      </c>
      <c r="AP64" s="144">
        <v>2</v>
      </c>
      <c r="AQ64" s="144">
        <v>8</v>
      </c>
      <c r="AR64" s="365">
        <f t="shared" si="1"/>
        <v>0.61538461538461542</v>
      </c>
      <c r="AS64" s="144">
        <v>5</v>
      </c>
      <c r="AT64" s="5">
        <v>2</v>
      </c>
      <c r="AU64" s="372">
        <f t="shared" si="2"/>
        <v>0.33333333333333331</v>
      </c>
      <c r="AV64" s="5">
        <v>0</v>
      </c>
      <c r="AW64" s="5">
        <v>2</v>
      </c>
      <c r="AX64" s="5">
        <v>2</v>
      </c>
      <c r="AY64" s="5">
        <v>3</v>
      </c>
      <c r="AZ64" s="372">
        <f t="shared" si="3"/>
        <v>0.5</v>
      </c>
      <c r="BA64" s="57">
        <v>3</v>
      </c>
      <c r="BB64" s="393">
        <v>0</v>
      </c>
      <c r="BC64" s="394">
        <v>1</v>
      </c>
      <c r="BD64" s="395">
        <v>1</v>
      </c>
      <c r="BE64" s="396">
        <v>1</v>
      </c>
    </row>
    <row r="65" spans="1:57" x14ac:dyDescent="0.25">
      <c r="A65" s="329">
        <v>45927</v>
      </c>
      <c r="B65" s="5">
        <v>7</v>
      </c>
      <c r="C65" s="5" t="s">
        <v>112</v>
      </c>
      <c r="D65" s="7">
        <v>1</v>
      </c>
      <c r="E65" s="7">
        <v>0</v>
      </c>
      <c r="F65" s="5" t="s">
        <v>128</v>
      </c>
      <c r="H65" s="42">
        <v>39</v>
      </c>
      <c r="I65" s="26">
        <v>61</v>
      </c>
      <c r="J65" s="33">
        <v>0.74</v>
      </c>
      <c r="K65" s="34">
        <v>0.78</v>
      </c>
      <c r="L65" s="25">
        <v>1</v>
      </c>
      <c r="M65" s="26">
        <v>0</v>
      </c>
      <c r="N65" s="25">
        <v>12</v>
      </c>
      <c r="O65" s="26">
        <v>12</v>
      </c>
      <c r="P65" s="25">
        <v>3</v>
      </c>
      <c r="Q65" s="26">
        <v>1</v>
      </c>
      <c r="R65" s="25">
        <v>1</v>
      </c>
      <c r="S65" s="26">
        <v>0</v>
      </c>
      <c r="T65" s="33">
        <v>0.38</v>
      </c>
      <c r="U65" s="484">
        <v>-0.23</v>
      </c>
      <c r="V65" s="25">
        <v>4</v>
      </c>
      <c r="W65" s="26">
        <v>8</v>
      </c>
      <c r="X65" s="25">
        <v>14</v>
      </c>
      <c r="Y65" s="26">
        <v>18</v>
      </c>
      <c r="Z65" s="25">
        <v>327</v>
      </c>
      <c r="AA65" s="26">
        <v>518</v>
      </c>
      <c r="AB65" s="25">
        <v>22</v>
      </c>
      <c r="AC65" s="26">
        <v>26</v>
      </c>
      <c r="AD65" s="25">
        <v>18</v>
      </c>
      <c r="AE65" s="26">
        <v>14</v>
      </c>
      <c r="AF65" s="25">
        <v>2</v>
      </c>
      <c r="AG65" s="26">
        <v>3</v>
      </c>
      <c r="AH65" s="487">
        <v>0</v>
      </c>
      <c r="AI65" s="488">
        <v>0</v>
      </c>
      <c r="AJ65" s="487">
        <v>0</v>
      </c>
      <c r="AK65" s="489">
        <v>0</v>
      </c>
      <c r="AL65" s="173">
        <v>3</v>
      </c>
      <c r="AM65" s="364">
        <f t="shared" si="0"/>
        <v>0.25</v>
      </c>
      <c r="AN65" s="144">
        <v>0</v>
      </c>
      <c r="AO65" s="144">
        <v>4</v>
      </c>
      <c r="AP65" s="144">
        <v>5</v>
      </c>
      <c r="AQ65" s="144">
        <v>6</v>
      </c>
      <c r="AR65" s="365">
        <f t="shared" si="1"/>
        <v>0.5</v>
      </c>
      <c r="AS65" s="144">
        <v>6</v>
      </c>
      <c r="AT65" s="5">
        <v>3</v>
      </c>
      <c r="AU65" s="372">
        <f t="shared" si="2"/>
        <v>0.25</v>
      </c>
      <c r="AV65" s="5">
        <v>1</v>
      </c>
      <c r="AW65" s="5">
        <v>6</v>
      </c>
      <c r="AX65" s="5">
        <v>3</v>
      </c>
      <c r="AY65" s="5">
        <v>9</v>
      </c>
      <c r="AZ65" s="372">
        <f t="shared" si="3"/>
        <v>0.75</v>
      </c>
      <c r="BA65" s="57">
        <v>3</v>
      </c>
      <c r="BB65" s="393">
        <v>1</v>
      </c>
      <c r="BC65" s="394">
        <v>0</v>
      </c>
      <c r="BD65" s="395">
        <v>0</v>
      </c>
      <c r="BE65" s="396">
        <v>0</v>
      </c>
    </row>
    <row r="66" spans="1:57" x14ac:dyDescent="0.25">
      <c r="A66" s="329">
        <v>45927</v>
      </c>
      <c r="B66" s="5">
        <v>7</v>
      </c>
      <c r="C66" s="5" t="s">
        <v>91</v>
      </c>
      <c r="D66" s="7">
        <v>1</v>
      </c>
      <c r="E66" s="7">
        <v>0</v>
      </c>
      <c r="F66" s="5" t="s">
        <v>170</v>
      </c>
      <c r="H66" s="42">
        <v>42</v>
      </c>
      <c r="I66" s="26">
        <v>58</v>
      </c>
      <c r="J66" s="33">
        <v>1.22</v>
      </c>
      <c r="K66" s="34">
        <v>1.44</v>
      </c>
      <c r="L66" s="25">
        <v>3</v>
      </c>
      <c r="M66" s="26">
        <v>2</v>
      </c>
      <c r="N66" s="25">
        <v>14</v>
      </c>
      <c r="O66" s="26">
        <v>16</v>
      </c>
      <c r="P66" s="25">
        <v>4</v>
      </c>
      <c r="Q66" s="26">
        <v>4</v>
      </c>
      <c r="R66" s="25">
        <v>0</v>
      </c>
      <c r="S66" s="26">
        <v>0</v>
      </c>
      <c r="T66" s="33">
        <v>0.72</v>
      </c>
      <c r="U66" s="484">
        <v>0.57999999999999996</v>
      </c>
      <c r="V66" s="25">
        <v>6</v>
      </c>
      <c r="W66" s="26">
        <v>5</v>
      </c>
      <c r="X66" s="25">
        <v>13</v>
      </c>
      <c r="Y66" s="26">
        <v>11</v>
      </c>
      <c r="Z66" s="25">
        <v>373</v>
      </c>
      <c r="AA66" s="26">
        <v>506</v>
      </c>
      <c r="AB66" s="25">
        <v>23</v>
      </c>
      <c r="AC66" s="26">
        <v>12</v>
      </c>
      <c r="AD66" s="25">
        <v>11</v>
      </c>
      <c r="AE66" s="26">
        <v>13</v>
      </c>
      <c r="AF66" s="25">
        <v>2</v>
      </c>
      <c r="AG66" s="26">
        <v>0</v>
      </c>
      <c r="AH66" s="487">
        <v>0</v>
      </c>
      <c r="AI66" s="488">
        <v>0</v>
      </c>
      <c r="AJ66" s="487">
        <v>0</v>
      </c>
      <c r="AK66" s="489">
        <v>0</v>
      </c>
      <c r="AL66" s="173">
        <v>5</v>
      </c>
      <c r="AM66" s="364">
        <f t="shared" si="0"/>
        <v>0.35714285714285715</v>
      </c>
      <c r="AN66" s="144">
        <v>1</v>
      </c>
      <c r="AO66" s="144">
        <v>6</v>
      </c>
      <c r="AP66" s="144">
        <v>3</v>
      </c>
      <c r="AQ66" s="144">
        <v>10</v>
      </c>
      <c r="AR66" s="365">
        <f t="shared" si="1"/>
        <v>0.7142857142857143</v>
      </c>
      <c r="AS66" s="144">
        <v>4</v>
      </c>
      <c r="AT66" s="5">
        <v>4</v>
      </c>
      <c r="AU66" s="372">
        <f t="shared" si="2"/>
        <v>0.25</v>
      </c>
      <c r="AV66" s="5">
        <v>1</v>
      </c>
      <c r="AW66" s="5">
        <v>5</v>
      </c>
      <c r="AX66" s="5">
        <v>7</v>
      </c>
      <c r="AY66" s="5">
        <v>10</v>
      </c>
      <c r="AZ66" s="372">
        <f t="shared" si="3"/>
        <v>0.625</v>
      </c>
      <c r="BA66" s="57">
        <v>6</v>
      </c>
      <c r="BB66" s="393">
        <v>2</v>
      </c>
      <c r="BC66" s="394">
        <v>0</v>
      </c>
      <c r="BD66" s="395">
        <v>2</v>
      </c>
      <c r="BE66" s="396">
        <v>0</v>
      </c>
    </row>
    <row r="67" spans="1:57" x14ac:dyDescent="0.25">
      <c r="A67" s="329">
        <v>45928</v>
      </c>
      <c r="B67" s="5">
        <v>7</v>
      </c>
      <c r="C67" s="26" t="s">
        <v>70</v>
      </c>
      <c r="D67" s="7">
        <v>0</v>
      </c>
      <c r="E67" s="7">
        <v>1</v>
      </c>
      <c r="F67" s="5" t="s">
        <v>171</v>
      </c>
      <c r="G67" s="268" t="s">
        <v>526</v>
      </c>
      <c r="H67" s="42">
        <v>64</v>
      </c>
      <c r="I67" s="26">
        <v>36</v>
      </c>
      <c r="J67" s="33">
        <v>1.89</v>
      </c>
      <c r="K67" s="34">
        <v>0.63</v>
      </c>
      <c r="L67" s="25">
        <v>2</v>
      </c>
      <c r="M67" s="26">
        <v>1</v>
      </c>
      <c r="N67" s="25">
        <v>18</v>
      </c>
      <c r="O67" s="26">
        <v>4</v>
      </c>
      <c r="P67" s="25">
        <v>0</v>
      </c>
      <c r="Q67" s="26">
        <v>6</v>
      </c>
      <c r="R67" s="25">
        <v>0</v>
      </c>
      <c r="S67" s="26">
        <v>3</v>
      </c>
      <c r="T67" s="33">
        <v>-0.03</v>
      </c>
      <c r="U67" s="484">
        <v>1.65</v>
      </c>
      <c r="V67" s="25">
        <v>12</v>
      </c>
      <c r="W67" s="26">
        <v>4</v>
      </c>
      <c r="X67" s="25">
        <v>11</v>
      </c>
      <c r="Y67" s="26">
        <v>15</v>
      </c>
      <c r="Z67" s="25">
        <v>486</v>
      </c>
      <c r="AA67" s="26">
        <v>280</v>
      </c>
      <c r="AB67" s="25">
        <v>14</v>
      </c>
      <c r="AC67" s="26">
        <v>15</v>
      </c>
      <c r="AD67" s="25">
        <v>15</v>
      </c>
      <c r="AE67" s="26">
        <v>12</v>
      </c>
      <c r="AF67" s="25">
        <v>3</v>
      </c>
      <c r="AG67" s="26">
        <v>2</v>
      </c>
      <c r="AH67" s="487">
        <v>1</v>
      </c>
      <c r="AI67" s="488">
        <v>0</v>
      </c>
      <c r="AJ67" s="487">
        <v>0</v>
      </c>
      <c r="AK67" s="489">
        <v>0</v>
      </c>
      <c r="AL67" s="173">
        <v>6</v>
      </c>
      <c r="AM67" s="364">
        <f t="shared" ref="AM67:AM110" si="4">AL67/N67</f>
        <v>0.33333333333333331</v>
      </c>
      <c r="AN67" s="144">
        <v>0</v>
      </c>
      <c r="AO67" s="144">
        <v>7</v>
      </c>
      <c r="AP67" s="144">
        <v>5</v>
      </c>
      <c r="AQ67" s="144">
        <v>13</v>
      </c>
      <c r="AR67" s="365">
        <f t="shared" ref="AR67:AR110" si="5">AQ67/N67</f>
        <v>0.72222222222222221</v>
      </c>
      <c r="AS67" s="144">
        <v>5</v>
      </c>
      <c r="AT67" s="5">
        <v>1</v>
      </c>
      <c r="AU67" s="372">
        <f t="shared" ref="AU67:AU110" si="6">AT67/O67</f>
        <v>0.25</v>
      </c>
      <c r="AV67" s="5">
        <v>0</v>
      </c>
      <c r="AW67" s="5">
        <v>1</v>
      </c>
      <c r="AX67" s="5">
        <v>2</v>
      </c>
      <c r="AY67" s="5">
        <v>2</v>
      </c>
      <c r="AZ67" s="372">
        <f t="shared" ref="AZ67:AZ110" si="7">AY67/O67</f>
        <v>0.5</v>
      </c>
      <c r="BA67" s="57">
        <v>2</v>
      </c>
      <c r="BB67" s="393">
        <v>1</v>
      </c>
      <c r="BC67" s="394">
        <v>0</v>
      </c>
      <c r="BD67" s="395">
        <v>1</v>
      </c>
      <c r="BE67" s="396">
        <v>0</v>
      </c>
    </row>
    <row r="68" spans="1:57" x14ac:dyDescent="0.25">
      <c r="A68" s="329">
        <v>45928</v>
      </c>
      <c r="B68" s="5">
        <v>7</v>
      </c>
      <c r="C68" s="5" t="s">
        <v>208</v>
      </c>
      <c r="D68" s="7">
        <v>2</v>
      </c>
      <c r="E68" s="7">
        <v>1</v>
      </c>
      <c r="F68" s="5" t="s">
        <v>456</v>
      </c>
      <c r="H68" s="42">
        <v>62</v>
      </c>
      <c r="I68" s="26">
        <v>38</v>
      </c>
      <c r="J68" s="33">
        <v>3.58</v>
      </c>
      <c r="K68" s="34">
        <v>1.77</v>
      </c>
      <c r="L68" s="25">
        <v>7</v>
      </c>
      <c r="M68" s="26">
        <v>2</v>
      </c>
      <c r="N68" s="25">
        <v>17</v>
      </c>
      <c r="O68" s="26">
        <v>8</v>
      </c>
      <c r="P68" s="25">
        <v>1</v>
      </c>
      <c r="Q68" s="26">
        <v>6</v>
      </c>
      <c r="R68" s="25">
        <v>0</v>
      </c>
      <c r="S68" s="26">
        <v>1</v>
      </c>
      <c r="T68" s="33">
        <v>-0.73</v>
      </c>
      <c r="U68" s="484">
        <v>0.87</v>
      </c>
      <c r="V68" s="25">
        <v>7</v>
      </c>
      <c r="W68" s="26">
        <v>2</v>
      </c>
      <c r="X68" s="25">
        <v>12</v>
      </c>
      <c r="Y68" s="26">
        <v>20</v>
      </c>
      <c r="Z68" s="25">
        <v>574</v>
      </c>
      <c r="AA68" s="26">
        <v>358</v>
      </c>
      <c r="AB68" s="25">
        <v>16</v>
      </c>
      <c r="AC68" s="26">
        <v>23</v>
      </c>
      <c r="AD68" s="25">
        <v>19</v>
      </c>
      <c r="AE68" s="26">
        <v>12</v>
      </c>
      <c r="AF68" s="25">
        <v>3</v>
      </c>
      <c r="AG68" s="26">
        <v>3</v>
      </c>
      <c r="AH68" s="487">
        <v>0</v>
      </c>
      <c r="AI68" s="488">
        <v>0</v>
      </c>
      <c r="AJ68" s="487">
        <v>1</v>
      </c>
      <c r="AK68" s="489">
        <v>0</v>
      </c>
      <c r="AL68" s="173">
        <v>8</v>
      </c>
      <c r="AM68" s="364">
        <f t="shared" si="4"/>
        <v>0.47058823529411764</v>
      </c>
      <c r="AN68" s="144">
        <v>0</v>
      </c>
      <c r="AO68" s="144">
        <v>4</v>
      </c>
      <c r="AP68" s="144">
        <v>5</v>
      </c>
      <c r="AQ68" s="144">
        <v>15</v>
      </c>
      <c r="AR68" s="365">
        <f t="shared" si="5"/>
        <v>0.88235294117647056</v>
      </c>
      <c r="AS68" s="144">
        <v>2</v>
      </c>
      <c r="AT68" s="5">
        <v>2</v>
      </c>
      <c r="AU68" s="372">
        <f t="shared" si="6"/>
        <v>0.25</v>
      </c>
      <c r="AV68" s="5">
        <v>0</v>
      </c>
      <c r="AW68" s="5">
        <v>3</v>
      </c>
      <c r="AX68" s="5">
        <v>3</v>
      </c>
      <c r="AY68" s="5">
        <v>7</v>
      </c>
      <c r="AZ68" s="372">
        <f t="shared" si="7"/>
        <v>0.875</v>
      </c>
      <c r="BA68" s="57">
        <v>1</v>
      </c>
      <c r="BB68" s="393">
        <v>1</v>
      </c>
      <c r="BC68" s="394">
        <v>0</v>
      </c>
      <c r="BD68" s="395">
        <v>0</v>
      </c>
      <c r="BE68" s="396">
        <v>0</v>
      </c>
    </row>
    <row r="69" spans="1:57" x14ac:dyDescent="0.25">
      <c r="A69" s="329">
        <v>45928</v>
      </c>
      <c r="B69" s="5">
        <v>7</v>
      </c>
      <c r="C69" s="5" t="s">
        <v>113</v>
      </c>
      <c r="D69" s="7">
        <v>2</v>
      </c>
      <c r="E69" s="7">
        <v>1</v>
      </c>
      <c r="F69" s="5" t="s">
        <v>146</v>
      </c>
      <c r="H69" s="42">
        <v>75</v>
      </c>
      <c r="I69" s="26">
        <v>25</v>
      </c>
      <c r="J69" s="33">
        <v>2.21</v>
      </c>
      <c r="K69" s="34">
        <v>0.97</v>
      </c>
      <c r="L69" s="25">
        <v>4</v>
      </c>
      <c r="M69" s="26">
        <v>2</v>
      </c>
      <c r="N69" s="25">
        <v>22</v>
      </c>
      <c r="O69" s="26">
        <v>7</v>
      </c>
      <c r="P69" s="25">
        <v>1</v>
      </c>
      <c r="Q69" s="26">
        <v>8</v>
      </c>
      <c r="R69" s="25">
        <v>0</v>
      </c>
      <c r="S69" s="26">
        <v>3</v>
      </c>
      <c r="T69" s="33">
        <v>-0.05</v>
      </c>
      <c r="U69" s="484">
        <v>-0.41</v>
      </c>
      <c r="V69" s="25">
        <v>12</v>
      </c>
      <c r="W69" s="26">
        <v>1</v>
      </c>
      <c r="X69" s="25">
        <v>6</v>
      </c>
      <c r="Y69" s="26">
        <v>12</v>
      </c>
      <c r="Z69" s="25">
        <v>745</v>
      </c>
      <c r="AA69" s="26">
        <v>250</v>
      </c>
      <c r="AB69" s="25">
        <v>12</v>
      </c>
      <c r="AC69" s="26">
        <v>26</v>
      </c>
      <c r="AD69" s="25">
        <v>12</v>
      </c>
      <c r="AE69" s="26">
        <v>6</v>
      </c>
      <c r="AF69" s="25">
        <v>1</v>
      </c>
      <c r="AG69" s="26">
        <v>2</v>
      </c>
      <c r="AH69" s="487">
        <v>0</v>
      </c>
      <c r="AI69" s="488">
        <v>0</v>
      </c>
      <c r="AJ69" s="487">
        <v>0</v>
      </c>
      <c r="AK69" s="489">
        <v>0</v>
      </c>
      <c r="AL69" s="173">
        <v>12</v>
      </c>
      <c r="AM69" s="364">
        <f t="shared" si="4"/>
        <v>0.54545454545454541</v>
      </c>
      <c r="AN69" s="144">
        <v>1</v>
      </c>
      <c r="AO69" s="144">
        <v>5</v>
      </c>
      <c r="AP69" s="144">
        <v>5</v>
      </c>
      <c r="AQ69" s="144">
        <v>14</v>
      </c>
      <c r="AR69" s="365">
        <f t="shared" si="5"/>
        <v>0.63636363636363635</v>
      </c>
      <c r="AS69" s="144">
        <v>8</v>
      </c>
      <c r="AT69" s="5">
        <v>2</v>
      </c>
      <c r="AU69" s="372">
        <f t="shared" si="6"/>
        <v>0.2857142857142857</v>
      </c>
      <c r="AV69" s="5">
        <v>1</v>
      </c>
      <c r="AW69" s="5">
        <v>3</v>
      </c>
      <c r="AX69" s="5">
        <v>2</v>
      </c>
      <c r="AY69" s="5">
        <v>5</v>
      </c>
      <c r="AZ69" s="372">
        <f t="shared" si="7"/>
        <v>0.7142857142857143</v>
      </c>
      <c r="BA69" s="57">
        <v>2</v>
      </c>
      <c r="BB69" s="393">
        <v>1</v>
      </c>
      <c r="BC69" s="394">
        <v>0</v>
      </c>
      <c r="BD69" s="395">
        <v>0</v>
      </c>
      <c r="BE69" s="396">
        <v>0</v>
      </c>
    </row>
    <row r="70" spans="1:57" x14ac:dyDescent="0.25">
      <c r="A70" s="329">
        <v>45928</v>
      </c>
      <c r="B70" s="5">
        <v>7</v>
      </c>
      <c r="C70" s="5" t="s">
        <v>209</v>
      </c>
      <c r="D70" s="7">
        <v>2</v>
      </c>
      <c r="E70" s="7">
        <v>0</v>
      </c>
      <c r="F70" s="5" t="s">
        <v>227</v>
      </c>
      <c r="H70" s="42">
        <v>51</v>
      </c>
      <c r="I70" s="26">
        <v>49</v>
      </c>
      <c r="J70" s="33">
        <v>0.76</v>
      </c>
      <c r="K70" s="34">
        <v>0.7</v>
      </c>
      <c r="L70" s="25">
        <v>1</v>
      </c>
      <c r="M70" s="26">
        <v>0</v>
      </c>
      <c r="N70" s="25">
        <v>12</v>
      </c>
      <c r="O70" s="26">
        <v>12</v>
      </c>
      <c r="P70" s="25">
        <v>1</v>
      </c>
      <c r="Q70" s="26">
        <v>4</v>
      </c>
      <c r="R70" s="25">
        <v>0</v>
      </c>
      <c r="S70" s="26">
        <v>2</v>
      </c>
      <c r="T70" s="33">
        <v>0.09</v>
      </c>
      <c r="U70" s="484">
        <v>-0.62</v>
      </c>
      <c r="V70" s="25">
        <v>5</v>
      </c>
      <c r="W70" s="26">
        <v>5</v>
      </c>
      <c r="X70" s="25">
        <v>6</v>
      </c>
      <c r="Y70" s="26">
        <v>7</v>
      </c>
      <c r="Z70" s="25">
        <v>519</v>
      </c>
      <c r="AA70" s="26">
        <v>493</v>
      </c>
      <c r="AB70" s="25">
        <v>13</v>
      </c>
      <c r="AC70" s="26">
        <v>12</v>
      </c>
      <c r="AD70" s="25">
        <v>7</v>
      </c>
      <c r="AE70" s="26">
        <v>6</v>
      </c>
      <c r="AF70" s="25">
        <v>0</v>
      </c>
      <c r="AG70" s="26">
        <v>1</v>
      </c>
      <c r="AH70" s="487">
        <v>0</v>
      </c>
      <c r="AI70" s="488">
        <v>0</v>
      </c>
      <c r="AJ70" s="487">
        <v>0</v>
      </c>
      <c r="AK70" s="489">
        <v>0</v>
      </c>
      <c r="AL70" s="173">
        <v>6</v>
      </c>
      <c r="AM70" s="364">
        <f t="shared" si="4"/>
        <v>0.5</v>
      </c>
      <c r="AN70" s="144">
        <v>0</v>
      </c>
      <c r="AO70" s="144">
        <v>3</v>
      </c>
      <c r="AP70" s="144">
        <v>3</v>
      </c>
      <c r="AQ70" s="144">
        <v>6</v>
      </c>
      <c r="AR70" s="365">
        <f t="shared" si="5"/>
        <v>0.5</v>
      </c>
      <c r="AS70" s="144">
        <v>6</v>
      </c>
      <c r="AT70" s="5">
        <v>1</v>
      </c>
      <c r="AU70" s="372">
        <f t="shared" si="6"/>
        <v>8.3333333333333329E-2</v>
      </c>
      <c r="AV70" s="5">
        <v>0</v>
      </c>
      <c r="AW70" s="5">
        <v>8</v>
      </c>
      <c r="AX70" s="5">
        <v>3</v>
      </c>
      <c r="AY70" s="5">
        <v>9</v>
      </c>
      <c r="AZ70" s="372">
        <f t="shared" si="7"/>
        <v>0.75</v>
      </c>
      <c r="BA70" s="57">
        <v>3</v>
      </c>
      <c r="BB70" s="393">
        <v>0</v>
      </c>
      <c r="BC70" s="394">
        <v>0</v>
      </c>
      <c r="BD70" s="395">
        <v>1</v>
      </c>
      <c r="BE70" s="396">
        <v>2</v>
      </c>
    </row>
    <row r="71" spans="1:57" x14ac:dyDescent="0.25">
      <c r="A71" s="329">
        <v>45929</v>
      </c>
      <c r="B71" s="5">
        <v>7</v>
      </c>
      <c r="C71" s="5" t="s">
        <v>145</v>
      </c>
      <c r="D71" s="7">
        <v>1</v>
      </c>
      <c r="E71" s="7">
        <v>2</v>
      </c>
      <c r="F71" s="26" t="s">
        <v>92</v>
      </c>
      <c r="G71" s="242" t="s">
        <v>543</v>
      </c>
      <c r="H71" s="42">
        <v>57</v>
      </c>
      <c r="I71" s="26">
        <v>43</v>
      </c>
      <c r="J71" s="33">
        <v>1.51</v>
      </c>
      <c r="K71" s="34">
        <v>0.77</v>
      </c>
      <c r="L71" s="25">
        <v>3</v>
      </c>
      <c r="M71" s="26">
        <v>1</v>
      </c>
      <c r="N71" s="25">
        <v>16</v>
      </c>
      <c r="O71" s="26">
        <v>10</v>
      </c>
      <c r="P71" s="25">
        <v>2</v>
      </c>
      <c r="Q71" s="26">
        <v>4</v>
      </c>
      <c r="R71" s="25">
        <v>1</v>
      </c>
      <c r="S71" s="26">
        <v>1</v>
      </c>
      <c r="T71" s="33">
        <v>-0.54</v>
      </c>
      <c r="U71" s="484">
        <v>0.6</v>
      </c>
      <c r="V71" s="25">
        <v>5</v>
      </c>
      <c r="W71" s="26">
        <v>4</v>
      </c>
      <c r="X71" s="25">
        <v>14</v>
      </c>
      <c r="Y71" s="26">
        <v>12</v>
      </c>
      <c r="Z71" s="25">
        <v>541</v>
      </c>
      <c r="AA71" s="26">
        <v>414</v>
      </c>
      <c r="AB71" s="25">
        <v>10</v>
      </c>
      <c r="AC71" s="26">
        <v>17</v>
      </c>
      <c r="AD71" s="25">
        <v>11</v>
      </c>
      <c r="AE71" s="26">
        <v>14</v>
      </c>
      <c r="AF71" s="25">
        <v>1</v>
      </c>
      <c r="AG71" s="26">
        <v>4</v>
      </c>
      <c r="AH71" s="487">
        <v>0</v>
      </c>
      <c r="AI71" s="488">
        <v>1</v>
      </c>
      <c r="AJ71" s="487">
        <v>1</v>
      </c>
      <c r="AK71" s="489">
        <v>0</v>
      </c>
      <c r="AL71" s="173">
        <v>5</v>
      </c>
      <c r="AM71" s="364">
        <f t="shared" si="4"/>
        <v>0.3125</v>
      </c>
      <c r="AN71" s="144">
        <v>0</v>
      </c>
      <c r="AO71" s="144">
        <v>8</v>
      </c>
      <c r="AP71" s="144">
        <v>3</v>
      </c>
      <c r="AQ71" s="144">
        <v>12</v>
      </c>
      <c r="AR71" s="365">
        <f t="shared" si="5"/>
        <v>0.75</v>
      </c>
      <c r="AS71" s="144">
        <v>4</v>
      </c>
      <c r="AT71" s="5">
        <v>4</v>
      </c>
      <c r="AU71" s="372">
        <f t="shared" si="6"/>
        <v>0.4</v>
      </c>
      <c r="AV71" s="5">
        <v>0</v>
      </c>
      <c r="AW71" s="5">
        <v>3</v>
      </c>
      <c r="AX71" s="5">
        <v>3</v>
      </c>
      <c r="AY71" s="5">
        <v>5</v>
      </c>
      <c r="AZ71" s="372">
        <f t="shared" si="7"/>
        <v>0.5</v>
      </c>
      <c r="BA71" s="57">
        <v>5</v>
      </c>
      <c r="BB71" s="393">
        <v>0</v>
      </c>
      <c r="BC71" s="394">
        <v>0</v>
      </c>
      <c r="BD71" s="395">
        <v>1</v>
      </c>
      <c r="BE71" s="396">
        <v>0</v>
      </c>
    </row>
    <row r="72" spans="1:57" x14ac:dyDescent="0.25">
      <c r="A72" s="329">
        <v>45933</v>
      </c>
      <c r="B72" s="5">
        <v>8</v>
      </c>
      <c r="C72" s="5" t="s">
        <v>227</v>
      </c>
      <c r="D72" s="7">
        <v>2</v>
      </c>
      <c r="E72" s="7">
        <v>1</v>
      </c>
      <c r="F72" s="5" t="s">
        <v>161</v>
      </c>
      <c r="H72" s="42">
        <v>58</v>
      </c>
      <c r="I72" s="26">
        <v>42</v>
      </c>
      <c r="J72" s="33">
        <v>0.43</v>
      </c>
      <c r="K72" s="34">
        <v>0.86</v>
      </c>
      <c r="L72" s="25">
        <v>1</v>
      </c>
      <c r="M72" s="26">
        <v>2</v>
      </c>
      <c r="N72" s="25">
        <v>7</v>
      </c>
      <c r="O72" s="26">
        <v>6</v>
      </c>
      <c r="P72" s="25">
        <v>1</v>
      </c>
      <c r="Q72" s="26">
        <v>2</v>
      </c>
      <c r="R72" s="25">
        <v>0</v>
      </c>
      <c r="S72" s="26">
        <v>1</v>
      </c>
      <c r="T72" s="33">
        <v>-0.56999999999999995</v>
      </c>
      <c r="U72" s="484">
        <v>-0.35</v>
      </c>
      <c r="V72" s="25">
        <v>1</v>
      </c>
      <c r="W72" s="26">
        <v>6</v>
      </c>
      <c r="X72" s="25">
        <v>11</v>
      </c>
      <c r="Y72" s="26">
        <v>14</v>
      </c>
      <c r="Z72" s="25">
        <v>438</v>
      </c>
      <c r="AA72" s="26">
        <v>318</v>
      </c>
      <c r="AB72" s="25">
        <v>9</v>
      </c>
      <c r="AC72" s="26">
        <v>15</v>
      </c>
      <c r="AD72" s="25">
        <v>14</v>
      </c>
      <c r="AE72" s="26">
        <v>11</v>
      </c>
      <c r="AF72" s="25">
        <v>1</v>
      </c>
      <c r="AG72" s="26">
        <v>4</v>
      </c>
      <c r="AH72" s="487">
        <v>0</v>
      </c>
      <c r="AI72" s="488">
        <v>0</v>
      </c>
      <c r="AJ72" s="487">
        <v>0</v>
      </c>
      <c r="AK72" s="489">
        <v>0</v>
      </c>
      <c r="AL72" s="173">
        <v>3</v>
      </c>
      <c r="AM72" s="364">
        <f t="shared" si="4"/>
        <v>0.42857142857142855</v>
      </c>
      <c r="AN72" s="144">
        <v>0</v>
      </c>
      <c r="AO72" s="144">
        <v>4</v>
      </c>
      <c r="AP72" s="144">
        <v>6</v>
      </c>
      <c r="AQ72" s="144">
        <v>6</v>
      </c>
      <c r="AR72" s="365">
        <f t="shared" si="5"/>
        <v>0.8571428571428571</v>
      </c>
      <c r="AS72" s="144">
        <v>1</v>
      </c>
      <c r="AT72" s="5">
        <v>2</v>
      </c>
      <c r="AU72" s="372">
        <f t="shared" si="6"/>
        <v>0.33333333333333331</v>
      </c>
      <c r="AV72" s="5">
        <v>0</v>
      </c>
      <c r="AW72" s="5">
        <v>3</v>
      </c>
      <c r="AX72" s="5">
        <v>1</v>
      </c>
      <c r="AY72" s="5">
        <v>6</v>
      </c>
      <c r="AZ72" s="372">
        <f t="shared" si="7"/>
        <v>1</v>
      </c>
      <c r="BA72" s="57">
        <v>0</v>
      </c>
      <c r="BB72" s="393">
        <v>0</v>
      </c>
      <c r="BC72" s="394">
        <v>0</v>
      </c>
      <c r="BD72" s="395">
        <v>0</v>
      </c>
      <c r="BE72" s="396">
        <v>0</v>
      </c>
    </row>
    <row r="73" spans="1:57" x14ac:dyDescent="0.25">
      <c r="A73" s="329">
        <v>45934</v>
      </c>
      <c r="B73" s="5">
        <v>8</v>
      </c>
      <c r="C73" s="5" t="s">
        <v>92</v>
      </c>
      <c r="D73" s="7">
        <v>0</v>
      </c>
      <c r="E73" s="7">
        <v>2</v>
      </c>
      <c r="F73" s="5" t="s">
        <v>129</v>
      </c>
      <c r="H73" s="42">
        <v>57</v>
      </c>
      <c r="I73" s="26">
        <v>43</v>
      </c>
      <c r="J73" s="33">
        <v>1.31</v>
      </c>
      <c r="K73" s="34">
        <v>1.94</v>
      </c>
      <c r="L73" s="25">
        <v>3</v>
      </c>
      <c r="M73" s="26">
        <v>1</v>
      </c>
      <c r="N73" s="25">
        <v>13</v>
      </c>
      <c r="O73" s="26">
        <v>14</v>
      </c>
      <c r="P73" s="25">
        <v>3</v>
      </c>
      <c r="Q73" s="26">
        <v>2</v>
      </c>
      <c r="R73" s="25">
        <v>0</v>
      </c>
      <c r="S73" s="26">
        <v>0</v>
      </c>
      <c r="T73" s="33">
        <v>0.2</v>
      </c>
      <c r="U73" s="484">
        <v>0.54</v>
      </c>
      <c r="V73" s="25">
        <v>9</v>
      </c>
      <c r="W73" s="26">
        <v>3</v>
      </c>
      <c r="X73" s="25">
        <v>10</v>
      </c>
      <c r="Y73" s="26">
        <v>10</v>
      </c>
      <c r="Z73" s="25">
        <v>484</v>
      </c>
      <c r="AA73" s="26">
        <v>370</v>
      </c>
      <c r="AB73" s="25">
        <v>15</v>
      </c>
      <c r="AC73" s="26">
        <v>14</v>
      </c>
      <c r="AD73" s="25">
        <v>10</v>
      </c>
      <c r="AE73" s="26">
        <v>10</v>
      </c>
      <c r="AF73" s="25">
        <v>2</v>
      </c>
      <c r="AG73" s="26">
        <v>2</v>
      </c>
      <c r="AH73" s="487">
        <v>0</v>
      </c>
      <c r="AI73" s="488">
        <v>0</v>
      </c>
      <c r="AJ73" s="487">
        <v>0</v>
      </c>
      <c r="AK73" s="489">
        <v>0</v>
      </c>
      <c r="AL73" s="173">
        <v>2</v>
      </c>
      <c r="AM73" s="364">
        <f t="shared" si="4"/>
        <v>0.15384615384615385</v>
      </c>
      <c r="AN73" s="144">
        <v>1</v>
      </c>
      <c r="AO73" s="144">
        <v>6</v>
      </c>
      <c r="AP73" s="144">
        <v>5</v>
      </c>
      <c r="AQ73" s="144">
        <v>9</v>
      </c>
      <c r="AR73" s="365">
        <f t="shared" si="5"/>
        <v>0.69230769230769229</v>
      </c>
      <c r="AS73" s="144">
        <v>4</v>
      </c>
      <c r="AT73" s="5">
        <v>5</v>
      </c>
      <c r="AU73" s="372">
        <f t="shared" si="6"/>
        <v>0.35714285714285715</v>
      </c>
      <c r="AV73" s="5">
        <v>0</v>
      </c>
      <c r="AW73" s="5">
        <v>1</v>
      </c>
      <c r="AX73" s="5">
        <v>8</v>
      </c>
      <c r="AY73" s="5">
        <v>9</v>
      </c>
      <c r="AZ73" s="372">
        <f t="shared" si="7"/>
        <v>0.6428571428571429</v>
      </c>
      <c r="BA73" s="57">
        <v>5</v>
      </c>
      <c r="BB73" s="393">
        <v>1</v>
      </c>
      <c r="BC73" s="394">
        <v>0</v>
      </c>
      <c r="BD73" s="395">
        <v>0</v>
      </c>
      <c r="BE73" s="396">
        <v>0</v>
      </c>
    </row>
    <row r="74" spans="1:57" x14ac:dyDescent="0.25">
      <c r="A74" s="329">
        <v>45934</v>
      </c>
      <c r="B74" s="5">
        <v>8</v>
      </c>
      <c r="C74" s="26" t="s">
        <v>69</v>
      </c>
      <c r="D74" s="7">
        <v>2</v>
      </c>
      <c r="E74" s="7">
        <v>1</v>
      </c>
      <c r="F74" s="5" t="s">
        <v>145</v>
      </c>
      <c r="G74" s="242" t="s">
        <v>557</v>
      </c>
      <c r="H74" s="42">
        <v>45</v>
      </c>
      <c r="I74" s="26">
        <v>55</v>
      </c>
      <c r="J74" s="33">
        <v>1.02</v>
      </c>
      <c r="K74" s="34">
        <v>1.1399999999999999</v>
      </c>
      <c r="L74" s="25">
        <v>3</v>
      </c>
      <c r="M74" s="26">
        <v>3</v>
      </c>
      <c r="N74" s="25">
        <v>4</v>
      </c>
      <c r="O74" s="26">
        <v>19</v>
      </c>
      <c r="P74" s="25">
        <v>5</v>
      </c>
      <c r="Q74" s="26">
        <v>2</v>
      </c>
      <c r="R74" s="25">
        <v>2</v>
      </c>
      <c r="S74" s="26">
        <v>0</v>
      </c>
      <c r="T74" s="33">
        <v>-0.09</v>
      </c>
      <c r="U74" s="484">
        <v>0.12</v>
      </c>
      <c r="V74" s="25">
        <v>0</v>
      </c>
      <c r="W74" s="26">
        <v>7</v>
      </c>
      <c r="X74" s="25">
        <v>13</v>
      </c>
      <c r="Y74" s="26">
        <v>12</v>
      </c>
      <c r="Z74" s="25">
        <v>387</v>
      </c>
      <c r="AA74" s="26">
        <v>461</v>
      </c>
      <c r="AB74" s="25">
        <v>10</v>
      </c>
      <c r="AC74" s="26">
        <v>10</v>
      </c>
      <c r="AD74" s="25">
        <v>12</v>
      </c>
      <c r="AE74" s="26">
        <v>13</v>
      </c>
      <c r="AF74" s="25">
        <v>5</v>
      </c>
      <c r="AG74" s="26">
        <v>1</v>
      </c>
      <c r="AH74" s="487">
        <v>1</v>
      </c>
      <c r="AI74" s="488">
        <v>0</v>
      </c>
      <c r="AJ74" s="487">
        <v>0</v>
      </c>
      <c r="AK74" s="489">
        <v>0</v>
      </c>
      <c r="AL74" s="173">
        <v>4</v>
      </c>
      <c r="AM74" s="364">
        <f t="shared" si="4"/>
        <v>1</v>
      </c>
      <c r="AN74" s="144">
        <v>0</v>
      </c>
      <c r="AO74" s="144">
        <v>0</v>
      </c>
      <c r="AP74" s="144">
        <v>0</v>
      </c>
      <c r="AQ74" s="144">
        <v>3</v>
      </c>
      <c r="AR74" s="365">
        <f t="shared" si="5"/>
        <v>0.75</v>
      </c>
      <c r="AS74" s="144">
        <v>1</v>
      </c>
      <c r="AT74" s="5">
        <v>6</v>
      </c>
      <c r="AU74" s="372">
        <f t="shared" si="6"/>
        <v>0.31578947368421051</v>
      </c>
      <c r="AV74" s="5">
        <v>1</v>
      </c>
      <c r="AW74" s="5">
        <v>8</v>
      </c>
      <c r="AX74" s="5">
        <v>5</v>
      </c>
      <c r="AY74" s="5">
        <v>9</v>
      </c>
      <c r="AZ74" s="372">
        <f t="shared" si="7"/>
        <v>0.47368421052631576</v>
      </c>
      <c r="BA74" s="57">
        <v>10</v>
      </c>
      <c r="BB74" s="393">
        <v>1</v>
      </c>
      <c r="BC74" s="394">
        <v>0</v>
      </c>
      <c r="BD74" s="395">
        <v>0</v>
      </c>
      <c r="BE74" s="396">
        <v>0</v>
      </c>
    </row>
    <row r="75" spans="1:57" x14ac:dyDescent="0.25">
      <c r="A75" s="329">
        <v>45934</v>
      </c>
      <c r="B75" s="5">
        <v>8</v>
      </c>
      <c r="C75" s="5" t="s">
        <v>170</v>
      </c>
      <c r="D75" s="7">
        <v>2</v>
      </c>
      <c r="E75" s="7">
        <v>1</v>
      </c>
      <c r="F75" s="26" t="s">
        <v>112</v>
      </c>
      <c r="G75" s="242" t="s">
        <v>562</v>
      </c>
      <c r="H75" s="42">
        <v>52</v>
      </c>
      <c r="I75" s="26">
        <v>48</v>
      </c>
      <c r="J75" s="33">
        <v>2.0499999999999998</v>
      </c>
      <c r="K75" s="34">
        <v>0.32</v>
      </c>
      <c r="L75" s="25">
        <v>2</v>
      </c>
      <c r="M75" s="26">
        <v>1</v>
      </c>
      <c r="N75" s="25">
        <v>18</v>
      </c>
      <c r="O75" s="26">
        <v>6</v>
      </c>
      <c r="P75" s="25">
        <v>1</v>
      </c>
      <c r="Q75" s="26">
        <v>3</v>
      </c>
      <c r="R75" s="25">
        <v>0</v>
      </c>
      <c r="S75" s="26">
        <v>0</v>
      </c>
      <c r="T75" s="33">
        <v>-0.83</v>
      </c>
      <c r="U75" s="484">
        <v>-0.26</v>
      </c>
      <c r="V75" s="25">
        <v>7</v>
      </c>
      <c r="W75" s="26">
        <v>2</v>
      </c>
      <c r="X75" s="25">
        <v>16</v>
      </c>
      <c r="Y75" s="26">
        <v>13</v>
      </c>
      <c r="Z75" s="25">
        <v>442</v>
      </c>
      <c r="AA75" s="26">
        <v>416</v>
      </c>
      <c r="AB75" s="25">
        <v>8</v>
      </c>
      <c r="AC75" s="26">
        <v>18</v>
      </c>
      <c r="AD75" s="25">
        <v>12</v>
      </c>
      <c r="AE75" s="26">
        <v>16</v>
      </c>
      <c r="AF75" s="25">
        <v>4</v>
      </c>
      <c r="AG75" s="26">
        <v>6</v>
      </c>
      <c r="AH75" s="487">
        <v>0</v>
      </c>
      <c r="AI75" s="488">
        <v>1</v>
      </c>
      <c r="AJ75" s="487">
        <v>1</v>
      </c>
      <c r="AK75" s="489">
        <v>0</v>
      </c>
      <c r="AL75" s="173">
        <v>5</v>
      </c>
      <c r="AM75" s="364">
        <f t="shared" si="4"/>
        <v>0.27777777777777779</v>
      </c>
      <c r="AN75" s="144">
        <v>0</v>
      </c>
      <c r="AO75" s="144">
        <v>6</v>
      </c>
      <c r="AP75" s="144">
        <v>7</v>
      </c>
      <c r="AQ75" s="144">
        <v>10</v>
      </c>
      <c r="AR75" s="365">
        <f t="shared" si="5"/>
        <v>0.55555555555555558</v>
      </c>
      <c r="AS75" s="144">
        <v>8</v>
      </c>
      <c r="AT75" s="5">
        <v>2</v>
      </c>
      <c r="AU75" s="372">
        <f t="shared" si="6"/>
        <v>0.33333333333333331</v>
      </c>
      <c r="AV75" s="5">
        <v>0</v>
      </c>
      <c r="AW75" s="5">
        <v>4</v>
      </c>
      <c r="AX75" s="5">
        <v>0</v>
      </c>
      <c r="AY75" s="5">
        <v>2</v>
      </c>
      <c r="AZ75" s="372">
        <f t="shared" si="7"/>
        <v>0.33333333333333331</v>
      </c>
      <c r="BA75" s="57">
        <v>4</v>
      </c>
      <c r="BB75" s="393">
        <v>0</v>
      </c>
      <c r="BC75" s="394">
        <v>0</v>
      </c>
      <c r="BD75" s="395">
        <v>0</v>
      </c>
      <c r="BE75" s="396">
        <v>0</v>
      </c>
    </row>
    <row r="76" spans="1:57" x14ac:dyDescent="0.25">
      <c r="A76" s="329">
        <v>45934</v>
      </c>
      <c r="B76" s="5">
        <v>8</v>
      </c>
      <c r="C76" s="5" t="s">
        <v>226</v>
      </c>
      <c r="D76" s="7">
        <v>3</v>
      </c>
      <c r="E76" s="7">
        <v>1</v>
      </c>
      <c r="F76" s="26" t="s">
        <v>91</v>
      </c>
      <c r="G76" s="242" t="s">
        <v>563</v>
      </c>
      <c r="H76" s="42">
        <v>70</v>
      </c>
      <c r="I76" s="26">
        <v>30</v>
      </c>
      <c r="J76" s="33">
        <v>3.52</v>
      </c>
      <c r="K76" s="34">
        <v>1</v>
      </c>
      <c r="L76" s="25">
        <v>7</v>
      </c>
      <c r="M76" s="26">
        <v>2</v>
      </c>
      <c r="N76" s="25">
        <v>26</v>
      </c>
      <c r="O76" s="26">
        <v>9</v>
      </c>
      <c r="P76" s="25">
        <v>1</v>
      </c>
      <c r="Q76" s="26">
        <v>4</v>
      </c>
      <c r="R76" s="25">
        <v>0</v>
      </c>
      <c r="S76" s="26">
        <v>0</v>
      </c>
      <c r="T76" s="33">
        <v>-0.05</v>
      </c>
      <c r="U76" s="484">
        <v>-0.34</v>
      </c>
      <c r="V76" s="25">
        <v>4</v>
      </c>
      <c r="W76" s="26">
        <v>0</v>
      </c>
      <c r="X76" s="25">
        <v>9</v>
      </c>
      <c r="Y76" s="26">
        <v>14</v>
      </c>
      <c r="Z76" s="25">
        <v>711</v>
      </c>
      <c r="AA76" s="26">
        <v>317</v>
      </c>
      <c r="AB76" s="25">
        <v>26</v>
      </c>
      <c r="AC76" s="26">
        <v>29</v>
      </c>
      <c r="AD76" s="25">
        <v>13</v>
      </c>
      <c r="AE76" s="26">
        <v>9</v>
      </c>
      <c r="AF76" s="25">
        <v>2</v>
      </c>
      <c r="AG76" s="26">
        <v>4</v>
      </c>
      <c r="AH76" s="487">
        <v>0</v>
      </c>
      <c r="AI76" s="488">
        <v>1</v>
      </c>
      <c r="AJ76" s="487">
        <v>1</v>
      </c>
      <c r="AK76" s="489">
        <v>0</v>
      </c>
      <c r="AL76" s="173">
        <v>7</v>
      </c>
      <c r="AM76" s="364">
        <f t="shared" si="4"/>
        <v>0.26923076923076922</v>
      </c>
      <c r="AN76" s="144">
        <v>0</v>
      </c>
      <c r="AO76" s="144">
        <v>10</v>
      </c>
      <c r="AP76" s="144">
        <v>9</v>
      </c>
      <c r="AQ76" s="144">
        <v>16</v>
      </c>
      <c r="AR76" s="365">
        <f t="shared" si="5"/>
        <v>0.61538461538461542</v>
      </c>
      <c r="AS76" s="144">
        <v>10</v>
      </c>
      <c r="AT76" s="5">
        <v>2</v>
      </c>
      <c r="AU76" s="372">
        <f t="shared" si="6"/>
        <v>0.22222222222222221</v>
      </c>
      <c r="AV76" s="5">
        <v>0</v>
      </c>
      <c r="AW76" s="5">
        <v>3</v>
      </c>
      <c r="AX76" s="5">
        <v>4</v>
      </c>
      <c r="AY76" s="5">
        <v>3</v>
      </c>
      <c r="AZ76" s="372">
        <f t="shared" si="7"/>
        <v>0.33333333333333331</v>
      </c>
      <c r="BA76" s="57">
        <v>6</v>
      </c>
      <c r="BB76" s="393">
        <v>1</v>
      </c>
      <c r="BC76" s="394">
        <v>0</v>
      </c>
      <c r="BD76" s="395">
        <v>1</v>
      </c>
      <c r="BE76" s="396">
        <v>1</v>
      </c>
    </row>
    <row r="77" spans="1:57" x14ac:dyDescent="0.25">
      <c r="A77" s="329">
        <v>45935</v>
      </c>
      <c r="B77" s="5">
        <v>8</v>
      </c>
      <c r="C77" s="5" t="s">
        <v>128</v>
      </c>
      <c r="D77" s="7">
        <v>3</v>
      </c>
      <c r="E77" s="7">
        <v>1</v>
      </c>
      <c r="F77" s="26" t="s">
        <v>208</v>
      </c>
      <c r="G77" s="242" t="s">
        <v>564</v>
      </c>
      <c r="H77" s="42">
        <v>47</v>
      </c>
      <c r="I77" s="26">
        <v>53</v>
      </c>
      <c r="J77" s="33">
        <v>2.42</v>
      </c>
      <c r="K77" s="34">
        <v>0.38</v>
      </c>
      <c r="L77" s="25">
        <v>3</v>
      </c>
      <c r="M77" s="26">
        <v>2</v>
      </c>
      <c r="N77" s="25">
        <v>25</v>
      </c>
      <c r="O77" s="26">
        <v>6</v>
      </c>
      <c r="P77" s="25">
        <v>2</v>
      </c>
      <c r="Q77" s="26">
        <v>2</v>
      </c>
      <c r="R77" s="25">
        <v>0</v>
      </c>
      <c r="S77" s="26">
        <v>2</v>
      </c>
      <c r="T77" s="33">
        <v>-0.8</v>
      </c>
      <c r="U77" s="484">
        <v>-0.37</v>
      </c>
      <c r="V77" s="25">
        <v>14</v>
      </c>
      <c r="W77" s="26">
        <v>4</v>
      </c>
      <c r="X77" s="25">
        <v>13</v>
      </c>
      <c r="Y77" s="26">
        <v>9</v>
      </c>
      <c r="Z77" s="25">
        <v>395</v>
      </c>
      <c r="AA77" s="26">
        <v>461</v>
      </c>
      <c r="AB77" s="25">
        <v>20</v>
      </c>
      <c r="AC77" s="26">
        <v>18</v>
      </c>
      <c r="AD77" s="25">
        <v>8</v>
      </c>
      <c r="AE77" s="26">
        <v>13</v>
      </c>
      <c r="AF77" s="25">
        <v>3</v>
      </c>
      <c r="AG77" s="26">
        <v>1</v>
      </c>
      <c r="AH77" s="487">
        <v>0</v>
      </c>
      <c r="AI77" s="488">
        <v>1</v>
      </c>
      <c r="AJ77" s="487">
        <v>1</v>
      </c>
      <c r="AK77" s="489">
        <v>0</v>
      </c>
      <c r="AL77" s="173">
        <v>5</v>
      </c>
      <c r="AM77" s="364">
        <f t="shared" si="4"/>
        <v>0.2</v>
      </c>
      <c r="AN77" s="144">
        <v>0</v>
      </c>
      <c r="AO77" s="144">
        <v>8</v>
      </c>
      <c r="AP77" s="144">
        <v>12</v>
      </c>
      <c r="AQ77" s="144">
        <v>14</v>
      </c>
      <c r="AR77" s="365">
        <f t="shared" si="5"/>
        <v>0.56000000000000005</v>
      </c>
      <c r="AS77" s="144">
        <v>11</v>
      </c>
      <c r="AT77" s="5">
        <v>3</v>
      </c>
      <c r="AU77" s="372">
        <f t="shared" si="6"/>
        <v>0.5</v>
      </c>
      <c r="AV77" s="5">
        <v>0</v>
      </c>
      <c r="AW77" s="5">
        <v>1</v>
      </c>
      <c r="AX77" s="5">
        <v>2</v>
      </c>
      <c r="AY77" s="5">
        <v>3</v>
      </c>
      <c r="AZ77" s="372">
        <f t="shared" si="7"/>
        <v>0.5</v>
      </c>
      <c r="BA77" s="57">
        <v>3</v>
      </c>
      <c r="BB77" s="393">
        <v>0</v>
      </c>
      <c r="BC77" s="394">
        <v>0</v>
      </c>
      <c r="BD77" s="395">
        <v>0</v>
      </c>
      <c r="BE77" s="396">
        <v>0</v>
      </c>
    </row>
    <row r="78" spans="1:57" x14ac:dyDescent="0.25">
      <c r="A78" s="329">
        <v>45935</v>
      </c>
      <c r="B78" s="5">
        <v>8</v>
      </c>
      <c r="C78" s="5" t="s">
        <v>171</v>
      </c>
      <c r="D78" s="7">
        <v>4</v>
      </c>
      <c r="E78" s="7">
        <v>1</v>
      </c>
      <c r="F78" s="5" t="s">
        <v>113</v>
      </c>
      <c r="H78" s="42">
        <v>39</v>
      </c>
      <c r="I78" s="26">
        <v>61</v>
      </c>
      <c r="J78" s="33">
        <v>2.8</v>
      </c>
      <c r="K78" s="34">
        <v>2.25</v>
      </c>
      <c r="L78" s="25">
        <v>5</v>
      </c>
      <c r="M78" s="26">
        <v>5</v>
      </c>
      <c r="N78" s="25">
        <v>13</v>
      </c>
      <c r="O78" s="26">
        <v>17</v>
      </c>
      <c r="P78" s="25">
        <v>7</v>
      </c>
      <c r="Q78" s="26">
        <v>1</v>
      </c>
      <c r="R78" s="25">
        <v>1</v>
      </c>
      <c r="S78" s="26">
        <v>1</v>
      </c>
      <c r="T78" s="33">
        <v>1.41</v>
      </c>
      <c r="U78" s="484">
        <v>-0.54</v>
      </c>
      <c r="V78" s="25">
        <v>7</v>
      </c>
      <c r="W78" s="26">
        <v>6</v>
      </c>
      <c r="X78" s="25">
        <v>18</v>
      </c>
      <c r="Y78" s="26">
        <v>9</v>
      </c>
      <c r="Z78" s="25">
        <v>266</v>
      </c>
      <c r="AA78" s="26">
        <v>427</v>
      </c>
      <c r="AB78" s="25">
        <v>18</v>
      </c>
      <c r="AC78" s="26">
        <v>19</v>
      </c>
      <c r="AD78" s="25">
        <v>8</v>
      </c>
      <c r="AE78" s="26">
        <v>17</v>
      </c>
      <c r="AF78" s="25">
        <v>7</v>
      </c>
      <c r="AG78" s="26">
        <v>5</v>
      </c>
      <c r="AH78" s="487">
        <v>0</v>
      </c>
      <c r="AI78" s="488">
        <v>0</v>
      </c>
      <c r="AJ78" s="487">
        <v>1</v>
      </c>
      <c r="AK78" s="489">
        <v>1</v>
      </c>
      <c r="AL78" s="173">
        <v>5</v>
      </c>
      <c r="AM78" s="364">
        <f t="shared" si="4"/>
        <v>0.38461538461538464</v>
      </c>
      <c r="AN78" s="144">
        <v>0</v>
      </c>
      <c r="AO78" s="144">
        <v>6</v>
      </c>
      <c r="AP78" s="144">
        <v>2</v>
      </c>
      <c r="AQ78" s="144">
        <v>12</v>
      </c>
      <c r="AR78" s="365">
        <f t="shared" si="5"/>
        <v>0.92307692307692313</v>
      </c>
      <c r="AS78" s="144">
        <v>1</v>
      </c>
      <c r="AT78" s="5">
        <v>8</v>
      </c>
      <c r="AU78" s="372">
        <f t="shared" si="6"/>
        <v>0.47058823529411764</v>
      </c>
      <c r="AV78" s="5">
        <v>0</v>
      </c>
      <c r="AW78" s="5">
        <v>4</v>
      </c>
      <c r="AX78" s="5">
        <v>5</v>
      </c>
      <c r="AY78" s="5">
        <v>14</v>
      </c>
      <c r="AZ78" s="372">
        <f t="shared" si="7"/>
        <v>0.82352941176470584</v>
      </c>
      <c r="BA78" s="57">
        <v>3</v>
      </c>
      <c r="BB78" s="393">
        <v>0</v>
      </c>
      <c r="BC78" s="394">
        <v>1</v>
      </c>
      <c r="BD78" s="395">
        <v>0</v>
      </c>
      <c r="BE78" s="396">
        <v>0</v>
      </c>
    </row>
    <row r="79" spans="1:57" x14ac:dyDescent="0.25">
      <c r="A79" s="329">
        <v>45935</v>
      </c>
      <c r="B79" s="5">
        <v>8</v>
      </c>
      <c r="C79" s="5" t="s">
        <v>192</v>
      </c>
      <c r="D79" s="7">
        <v>1</v>
      </c>
      <c r="E79" s="7">
        <v>2</v>
      </c>
      <c r="F79" s="5" t="s">
        <v>209</v>
      </c>
      <c r="H79" s="42">
        <v>50</v>
      </c>
      <c r="I79" s="26">
        <v>50</v>
      </c>
      <c r="J79" s="33">
        <v>2.2400000000000002</v>
      </c>
      <c r="K79" s="34">
        <v>1.33</v>
      </c>
      <c r="L79" s="25">
        <v>2</v>
      </c>
      <c r="M79" s="26">
        <v>2</v>
      </c>
      <c r="N79" s="25">
        <v>14</v>
      </c>
      <c r="O79" s="26">
        <v>12</v>
      </c>
      <c r="P79" s="25">
        <v>1</v>
      </c>
      <c r="Q79" s="26">
        <v>4</v>
      </c>
      <c r="R79" s="25">
        <v>1</v>
      </c>
      <c r="S79" s="26">
        <v>2</v>
      </c>
      <c r="T79" s="33">
        <v>-0.5</v>
      </c>
      <c r="U79" s="484">
        <v>1.38</v>
      </c>
      <c r="V79" s="25">
        <v>10</v>
      </c>
      <c r="W79" s="26">
        <v>5</v>
      </c>
      <c r="X79" s="25">
        <v>16</v>
      </c>
      <c r="Y79" s="26">
        <v>4</v>
      </c>
      <c r="Z79" s="25">
        <v>448</v>
      </c>
      <c r="AA79" s="26">
        <v>463</v>
      </c>
      <c r="AB79" s="25">
        <v>15</v>
      </c>
      <c r="AC79" s="26">
        <v>17</v>
      </c>
      <c r="AD79" s="25">
        <v>3</v>
      </c>
      <c r="AE79" s="26">
        <v>16</v>
      </c>
      <c r="AF79" s="25">
        <v>2</v>
      </c>
      <c r="AG79" s="26">
        <v>6</v>
      </c>
      <c r="AH79" s="487">
        <v>0</v>
      </c>
      <c r="AI79" s="488">
        <v>0</v>
      </c>
      <c r="AJ79" s="487">
        <v>1</v>
      </c>
      <c r="AK79" s="489">
        <v>0</v>
      </c>
      <c r="AL79" s="173">
        <v>5</v>
      </c>
      <c r="AM79" s="364">
        <f t="shared" si="4"/>
        <v>0.35714285714285715</v>
      </c>
      <c r="AN79" s="144">
        <v>0</v>
      </c>
      <c r="AO79" s="144">
        <v>8</v>
      </c>
      <c r="AP79" s="144">
        <v>1</v>
      </c>
      <c r="AQ79" s="144">
        <v>9</v>
      </c>
      <c r="AR79" s="365">
        <f t="shared" si="5"/>
        <v>0.6428571428571429</v>
      </c>
      <c r="AS79" s="144">
        <v>5</v>
      </c>
      <c r="AT79" s="5">
        <v>3</v>
      </c>
      <c r="AU79" s="372">
        <f t="shared" si="6"/>
        <v>0.25</v>
      </c>
      <c r="AV79" s="5">
        <v>0</v>
      </c>
      <c r="AW79" s="5">
        <v>6</v>
      </c>
      <c r="AX79" s="5">
        <v>3</v>
      </c>
      <c r="AY79" s="5">
        <v>7</v>
      </c>
      <c r="AZ79" s="372">
        <f t="shared" si="7"/>
        <v>0.58333333333333337</v>
      </c>
      <c r="BA79" s="57">
        <v>5</v>
      </c>
      <c r="BB79" s="393">
        <v>0</v>
      </c>
      <c r="BC79" s="394">
        <v>0</v>
      </c>
      <c r="BD79" s="395">
        <v>0</v>
      </c>
      <c r="BE79" s="396">
        <v>0</v>
      </c>
    </row>
    <row r="80" spans="1:57" x14ac:dyDescent="0.25">
      <c r="A80" s="329">
        <v>45935</v>
      </c>
      <c r="B80" s="5">
        <v>8</v>
      </c>
      <c r="C80" s="5" t="s">
        <v>146</v>
      </c>
      <c r="D80" s="7">
        <v>0</v>
      </c>
      <c r="E80" s="7">
        <v>1</v>
      </c>
      <c r="F80" s="5" t="s">
        <v>70</v>
      </c>
      <c r="H80" s="42">
        <v>51</v>
      </c>
      <c r="I80" s="26">
        <v>49</v>
      </c>
      <c r="J80" s="33">
        <v>0.79</v>
      </c>
      <c r="K80" s="34">
        <v>0.8</v>
      </c>
      <c r="L80" s="25">
        <v>1</v>
      </c>
      <c r="M80" s="26">
        <v>3</v>
      </c>
      <c r="N80" s="25">
        <v>10</v>
      </c>
      <c r="O80" s="26">
        <v>7</v>
      </c>
      <c r="P80" s="25">
        <v>1</v>
      </c>
      <c r="Q80" s="26">
        <v>3</v>
      </c>
      <c r="R80" s="25">
        <v>1</v>
      </c>
      <c r="S80" s="26">
        <v>0</v>
      </c>
      <c r="T80" s="33">
        <v>-0.38</v>
      </c>
      <c r="U80" s="484">
        <v>1.02</v>
      </c>
      <c r="V80" s="25">
        <v>7</v>
      </c>
      <c r="W80" s="26">
        <v>5</v>
      </c>
      <c r="X80" s="25">
        <v>13</v>
      </c>
      <c r="Y80" s="26">
        <v>21</v>
      </c>
      <c r="Z80" s="25">
        <v>421</v>
      </c>
      <c r="AA80" s="26">
        <v>414</v>
      </c>
      <c r="AB80" s="25">
        <v>11</v>
      </c>
      <c r="AC80" s="26">
        <v>13</v>
      </c>
      <c r="AD80" s="25">
        <v>21</v>
      </c>
      <c r="AE80" s="26">
        <v>13</v>
      </c>
      <c r="AF80" s="25">
        <v>1</v>
      </c>
      <c r="AG80" s="26">
        <v>2</v>
      </c>
      <c r="AH80" s="487">
        <v>0</v>
      </c>
      <c r="AI80" s="488">
        <v>0</v>
      </c>
      <c r="AJ80" s="487">
        <v>0</v>
      </c>
      <c r="AK80" s="489">
        <v>0</v>
      </c>
      <c r="AL80" s="173">
        <v>3</v>
      </c>
      <c r="AM80" s="364">
        <f t="shared" si="4"/>
        <v>0.3</v>
      </c>
      <c r="AN80" s="144">
        <v>0</v>
      </c>
      <c r="AO80" s="144">
        <v>1</v>
      </c>
      <c r="AP80" s="144">
        <v>6</v>
      </c>
      <c r="AQ80" s="144">
        <v>7</v>
      </c>
      <c r="AR80" s="365">
        <f t="shared" si="5"/>
        <v>0.7</v>
      </c>
      <c r="AS80" s="144">
        <v>3</v>
      </c>
      <c r="AT80" s="5">
        <v>2</v>
      </c>
      <c r="AU80" s="372">
        <f t="shared" si="6"/>
        <v>0.2857142857142857</v>
      </c>
      <c r="AV80" s="5">
        <v>0</v>
      </c>
      <c r="AW80" s="5">
        <v>3</v>
      </c>
      <c r="AX80" s="5">
        <v>2</v>
      </c>
      <c r="AY80" s="5">
        <v>5</v>
      </c>
      <c r="AZ80" s="372">
        <f t="shared" si="7"/>
        <v>0.7142857142857143</v>
      </c>
      <c r="BA80" s="57">
        <v>2</v>
      </c>
      <c r="BB80" s="393">
        <v>1</v>
      </c>
      <c r="BC80" s="394">
        <v>0</v>
      </c>
      <c r="BD80" s="395">
        <v>0</v>
      </c>
      <c r="BE80" s="396">
        <v>0</v>
      </c>
    </row>
    <row r="81" spans="1:57" x14ac:dyDescent="0.25">
      <c r="A81" s="329">
        <v>45935</v>
      </c>
      <c r="B81" s="5">
        <v>8</v>
      </c>
      <c r="C81" s="5" t="s">
        <v>456</v>
      </c>
      <c r="D81" s="7">
        <v>1</v>
      </c>
      <c r="E81" s="7">
        <v>1</v>
      </c>
      <c r="F81" s="26" t="s">
        <v>193</v>
      </c>
      <c r="G81" s="242" t="s">
        <v>582</v>
      </c>
      <c r="H81" s="42">
        <v>59</v>
      </c>
      <c r="I81" s="26">
        <v>41</v>
      </c>
      <c r="J81" s="33">
        <v>1.92</v>
      </c>
      <c r="K81" s="34">
        <v>0.3</v>
      </c>
      <c r="L81" s="25">
        <v>3</v>
      </c>
      <c r="M81" s="26">
        <v>1</v>
      </c>
      <c r="N81" s="25">
        <v>18</v>
      </c>
      <c r="O81" s="26">
        <v>6</v>
      </c>
      <c r="P81" s="25">
        <v>1</v>
      </c>
      <c r="Q81" s="26">
        <v>3</v>
      </c>
      <c r="R81" s="25">
        <v>0</v>
      </c>
      <c r="S81" s="26">
        <v>1</v>
      </c>
      <c r="T81" s="33">
        <v>-0.84</v>
      </c>
      <c r="U81" s="484">
        <v>0.56000000000000005</v>
      </c>
      <c r="V81" s="25">
        <v>6</v>
      </c>
      <c r="W81" s="26">
        <v>3</v>
      </c>
      <c r="X81" s="25">
        <v>7</v>
      </c>
      <c r="Y81" s="26">
        <v>10</v>
      </c>
      <c r="Z81" s="25">
        <v>726</v>
      </c>
      <c r="AA81" s="26">
        <v>501</v>
      </c>
      <c r="AB81" s="25">
        <v>18</v>
      </c>
      <c r="AC81" s="26">
        <v>14</v>
      </c>
      <c r="AD81" s="25">
        <v>10</v>
      </c>
      <c r="AE81" s="26">
        <v>7</v>
      </c>
      <c r="AF81" s="25">
        <v>1</v>
      </c>
      <c r="AG81" s="26">
        <v>3</v>
      </c>
      <c r="AH81" s="487">
        <v>0</v>
      </c>
      <c r="AI81" s="488">
        <v>1</v>
      </c>
      <c r="AJ81" s="487">
        <v>0</v>
      </c>
      <c r="AK81" s="489">
        <v>0</v>
      </c>
      <c r="AL81" s="173">
        <v>4</v>
      </c>
      <c r="AM81" s="364">
        <f t="shared" si="4"/>
        <v>0.22222222222222221</v>
      </c>
      <c r="AN81" s="144">
        <v>0</v>
      </c>
      <c r="AO81" s="144">
        <v>11</v>
      </c>
      <c r="AP81" s="144">
        <v>3</v>
      </c>
      <c r="AQ81" s="144">
        <v>9</v>
      </c>
      <c r="AR81" s="365">
        <f t="shared" si="5"/>
        <v>0.5</v>
      </c>
      <c r="AS81" s="144">
        <v>9</v>
      </c>
      <c r="AT81" s="5">
        <v>1</v>
      </c>
      <c r="AU81" s="372">
        <f t="shared" si="6"/>
        <v>0.16666666666666666</v>
      </c>
      <c r="AV81" s="5">
        <v>0</v>
      </c>
      <c r="AW81" s="5">
        <v>4</v>
      </c>
      <c r="AX81" s="5">
        <v>1</v>
      </c>
      <c r="AY81" s="5">
        <v>4</v>
      </c>
      <c r="AZ81" s="372">
        <f t="shared" si="7"/>
        <v>0.66666666666666663</v>
      </c>
      <c r="BA81" s="57">
        <v>2</v>
      </c>
      <c r="BB81" s="393">
        <v>0</v>
      </c>
      <c r="BC81" s="394">
        <v>0</v>
      </c>
      <c r="BD81" s="395">
        <v>1</v>
      </c>
      <c r="BE81" s="396">
        <v>0</v>
      </c>
    </row>
    <row r="82" spans="1:57" x14ac:dyDescent="0.25">
      <c r="A82" s="329">
        <v>45947</v>
      </c>
      <c r="B82" s="5">
        <v>9</v>
      </c>
      <c r="C82" s="443" t="s">
        <v>92</v>
      </c>
      <c r="D82" s="7">
        <v>0</v>
      </c>
      <c r="E82" s="7">
        <v>2</v>
      </c>
      <c r="F82" s="5" t="s">
        <v>192</v>
      </c>
      <c r="H82" s="42">
        <v>61</v>
      </c>
      <c r="I82" s="26">
        <v>39</v>
      </c>
      <c r="J82" s="33">
        <v>0.77</v>
      </c>
      <c r="K82" s="34">
        <v>3.74</v>
      </c>
      <c r="L82" s="25">
        <v>1</v>
      </c>
      <c r="M82" s="26">
        <v>6</v>
      </c>
      <c r="N82" s="25">
        <v>13</v>
      </c>
      <c r="O82" s="26">
        <v>19</v>
      </c>
      <c r="P82" s="25">
        <v>8</v>
      </c>
      <c r="Q82" s="26">
        <v>4</v>
      </c>
      <c r="R82" s="25">
        <v>2</v>
      </c>
      <c r="S82" s="26">
        <v>0</v>
      </c>
      <c r="T82" s="33">
        <v>2.6</v>
      </c>
      <c r="U82" s="484">
        <v>0.16</v>
      </c>
      <c r="V82" s="25">
        <v>3</v>
      </c>
      <c r="W82" s="26">
        <v>5</v>
      </c>
      <c r="X82" s="25">
        <v>9</v>
      </c>
      <c r="Y82" s="26">
        <v>8</v>
      </c>
      <c r="Z82" s="25">
        <v>528</v>
      </c>
      <c r="AA82" s="26">
        <v>321</v>
      </c>
      <c r="AB82" s="25">
        <v>13</v>
      </c>
      <c r="AC82" s="26">
        <v>11</v>
      </c>
      <c r="AD82" s="25">
        <v>8</v>
      </c>
      <c r="AE82" s="26">
        <v>9</v>
      </c>
      <c r="AF82" s="25">
        <v>2</v>
      </c>
      <c r="AG82" s="26">
        <v>1</v>
      </c>
      <c r="AH82" s="487">
        <v>0</v>
      </c>
      <c r="AI82" s="488">
        <v>0</v>
      </c>
      <c r="AJ82" s="487">
        <v>0</v>
      </c>
      <c r="AK82" s="489">
        <v>0</v>
      </c>
      <c r="AL82" s="173">
        <v>4</v>
      </c>
      <c r="AM82" s="364">
        <f t="shared" si="4"/>
        <v>0.30769230769230771</v>
      </c>
      <c r="AN82" s="144">
        <v>1</v>
      </c>
      <c r="AO82" s="144">
        <v>5</v>
      </c>
      <c r="AP82" s="144">
        <v>4</v>
      </c>
      <c r="AQ82" s="144">
        <v>7</v>
      </c>
      <c r="AR82" s="365">
        <f t="shared" si="5"/>
        <v>0.53846153846153844</v>
      </c>
      <c r="AS82" s="144">
        <v>6</v>
      </c>
      <c r="AT82" s="5">
        <v>10</v>
      </c>
      <c r="AU82" s="372">
        <f t="shared" si="6"/>
        <v>0.52631578947368418</v>
      </c>
      <c r="AV82" s="5">
        <v>0</v>
      </c>
      <c r="AW82" s="5">
        <v>5</v>
      </c>
      <c r="AX82" s="5">
        <v>4</v>
      </c>
      <c r="AY82" s="5">
        <v>15</v>
      </c>
      <c r="AZ82" s="372">
        <f t="shared" si="7"/>
        <v>0.78947368421052633</v>
      </c>
      <c r="BA82" s="57">
        <v>4</v>
      </c>
      <c r="BB82" s="393">
        <v>0</v>
      </c>
      <c r="BC82" s="394">
        <v>0</v>
      </c>
      <c r="BD82" s="395">
        <v>1</v>
      </c>
      <c r="BE82" s="396">
        <v>0</v>
      </c>
    </row>
    <row r="83" spans="1:57" x14ac:dyDescent="0.25">
      <c r="A83" s="329">
        <v>45948</v>
      </c>
      <c r="B83" s="5">
        <v>9</v>
      </c>
      <c r="C83" s="5" t="s">
        <v>171</v>
      </c>
      <c r="D83" s="7">
        <v>1</v>
      </c>
      <c r="E83" s="7">
        <v>3</v>
      </c>
      <c r="F83" s="5" t="s">
        <v>112</v>
      </c>
      <c r="H83" s="42">
        <v>58</v>
      </c>
      <c r="I83" s="26">
        <v>42</v>
      </c>
      <c r="J83" s="33">
        <v>1.26</v>
      </c>
      <c r="K83" s="34">
        <v>1.85</v>
      </c>
      <c r="L83" s="25">
        <v>1</v>
      </c>
      <c r="M83" s="26">
        <v>3</v>
      </c>
      <c r="N83" s="25">
        <v>13</v>
      </c>
      <c r="O83" s="26">
        <v>7</v>
      </c>
      <c r="P83" s="25">
        <v>3</v>
      </c>
      <c r="Q83" s="26">
        <v>3</v>
      </c>
      <c r="R83" s="25">
        <v>0</v>
      </c>
      <c r="S83" s="26">
        <v>0</v>
      </c>
      <c r="T83" s="33">
        <v>-0.86</v>
      </c>
      <c r="U83" s="484">
        <v>-0.03</v>
      </c>
      <c r="V83" s="25">
        <v>9</v>
      </c>
      <c r="W83" s="26">
        <v>2</v>
      </c>
      <c r="X83" s="25">
        <v>16</v>
      </c>
      <c r="Y83" s="26">
        <v>13</v>
      </c>
      <c r="Z83" s="25">
        <v>413</v>
      </c>
      <c r="AA83" s="26">
        <v>299</v>
      </c>
      <c r="AB83" s="25">
        <v>15</v>
      </c>
      <c r="AC83" s="26">
        <v>16</v>
      </c>
      <c r="AD83" s="25">
        <v>13</v>
      </c>
      <c r="AE83" s="26">
        <v>16</v>
      </c>
      <c r="AF83" s="25">
        <v>2</v>
      </c>
      <c r="AG83" s="26">
        <v>1</v>
      </c>
      <c r="AH83" s="487">
        <v>0</v>
      </c>
      <c r="AI83" s="488">
        <v>0</v>
      </c>
      <c r="AJ83" s="487">
        <v>0</v>
      </c>
      <c r="AK83" s="489">
        <v>0</v>
      </c>
      <c r="AL83" s="173">
        <v>4</v>
      </c>
      <c r="AM83" s="364">
        <f t="shared" si="4"/>
        <v>0.30769230769230771</v>
      </c>
      <c r="AN83" s="144">
        <v>0</v>
      </c>
      <c r="AO83" s="144">
        <v>2</v>
      </c>
      <c r="AP83" s="144">
        <v>7</v>
      </c>
      <c r="AQ83" s="144">
        <v>11</v>
      </c>
      <c r="AR83" s="365">
        <f t="shared" si="5"/>
        <v>0.84615384615384615</v>
      </c>
      <c r="AS83" s="144">
        <v>2</v>
      </c>
      <c r="AT83" s="5">
        <v>6</v>
      </c>
      <c r="AU83" s="372">
        <f t="shared" si="6"/>
        <v>0.8571428571428571</v>
      </c>
      <c r="AV83" s="5">
        <v>0</v>
      </c>
      <c r="AW83" s="5">
        <v>1</v>
      </c>
      <c r="AX83" s="5">
        <v>0</v>
      </c>
      <c r="AY83" s="5">
        <v>6</v>
      </c>
      <c r="AZ83" s="372">
        <f t="shared" si="7"/>
        <v>0.8571428571428571</v>
      </c>
      <c r="BA83" s="57">
        <v>1</v>
      </c>
      <c r="BB83" s="393">
        <v>1</v>
      </c>
      <c r="BC83" s="394">
        <v>1</v>
      </c>
      <c r="BD83" s="395">
        <v>1</v>
      </c>
      <c r="BE83" s="396">
        <v>0</v>
      </c>
    </row>
    <row r="84" spans="1:57" x14ac:dyDescent="0.25">
      <c r="A84" s="329">
        <v>45948</v>
      </c>
      <c r="B84" s="5">
        <v>9</v>
      </c>
      <c r="C84" s="5" t="s">
        <v>113</v>
      </c>
      <c r="D84" s="7">
        <v>2</v>
      </c>
      <c r="E84" s="7">
        <v>1</v>
      </c>
      <c r="F84" s="5" t="s">
        <v>69</v>
      </c>
      <c r="H84" s="42">
        <v>68</v>
      </c>
      <c r="I84" s="26">
        <v>32</v>
      </c>
      <c r="J84" s="33">
        <v>1.61</v>
      </c>
      <c r="K84" s="34">
        <v>1.55</v>
      </c>
      <c r="L84" s="25">
        <v>2</v>
      </c>
      <c r="M84" s="26">
        <v>3</v>
      </c>
      <c r="N84" s="25">
        <v>27</v>
      </c>
      <c r="O84" s="26">
        <v>11</v>
      </c>
      <c r="P84" s="25">
        <v>3</v>
      </c>
      <c r="Q84" s="26">
        <v>7</v>
      </c>
      <c r="R84" s="25">
        <v>0</v>
      </c>
      <c r="S84" s="26">
        <v>5</v>
      </c>
      <c r="T84" s="33">
        <v>0.76</v>
      </c>
      <c r="U84" s="484">
        <v>0.3</v>
      </c>
      <c r="V84" s="25">
        <v>11</v>
      </c>
      <c r="W84" s="26">
        <v>5</v>
      </c>
      <c r="X84" s="25">
        <v>10</v>
      </c>
      <c r="Y84" s="26">
        <v>7</v>
      </c>
      <c r="Z84" s="25">
        <v>670</v>
      </c>
      <c r="AA84" s="26">
        <v>309</v>
      </c>
      <c r="AB84" s="25">
        <v>20</v>
      </c>
      <c r="AC84" s="26">
        <v>11</v>
      </c>
      <c r="AD84" s="25">
        <v>7</v>
      </c>
      <c r="AE84" s="26">
        <v>10</v>
      </c>
      <c r="AF84" s="25">
        <v>2</v>
      </c>
      <c r="AG84" s="26">
        <v>2</v>
      </c>
      <c r="AH84" s="487">
        <v>0</v>
      </c>
      <c r="AI84" s="488">
        <v>0</v>
      </c>
      <c r="AJ84" s="487">
        <v>0</v>
      </c>
      <c r="AK84" s="489">
        <v>0</v>
      </c>
      <c r="AL84" s="173">
        <v>9</v>
      </c>
      <c r="AM84" s="364">
        <f t="shared" si="4"/>
        <v>0.33333333333333331</v>
      </c>
      <c r="AN84" s="144">
        <v>2</v>
      </c>
      <c r="AO84" s="144">
        <v>12</v>
      </c>
      <c r="AP84" s="144">
        <v>6</v>
      </c>
      <c r="AQ84" s="144">
        <v>15</v>
      </c>
      <c r="AR84" s="365">
        <f t="shared" si="5"/>
        <v>0.55555555555555558</v>
      </c>
      <c r="AS84" s="144">
        <v>12</v>
      </c>
      <c r="AT84" s="5">
        <v>4</v>
      </c>
      <c r="AU84" s="372">
        <f t="shared" si="6"/>
        <v>0.36363636363636365</v>
      </c>
      <c r="AV84" s="5">
        <v>0</v>
      </c>
      <c r="AW84" s="5">
        <v>4</v>
      </c>
      <c r="AX84" s="5">
        <v>3</v>
      </c>
      <c r="AY84" s="5">
        <v>10</v>
      </c>
      <c r="AZ84" s="372">
        <f t="shared" si="7"/>
        <v>0.90909090909090906</v>
      </c>
      <c r="BA84" s="57">
        <v>1</v>
      </c>
      <c r="BB84" s="393">
        <v>1</v>
      </c>
      <c r="BC84" s="394">
        <v>0</v>
      </c>
      <c r="BD84" s="395">
        <v>2</v>
      </c>
      <c r="BE84" s="396">
        <v>0</v>
      </c>
    </row>
    <row r="85" spans="1:57" x14ac:dyDescent="0.25">
      <c r="A85" s="329">
        <v>45948</v>
      </c>
      <c r="B85" s="5">
        <v>9</v>
      </c>
      <c r="C85" s="5" t="s">
        <v>91</v>
      </c>
      <c r="D85" s="7">
        <v>2</v>
      </c>
      <c r="E85" s="7">
        <v>2</v>
      </c>
      <c r="F85" s="5" t="s">
        <v>209</v>
      </c>
      <c r="H85" s="42">
        <v>40</v>
      </c>
      <c r="I85" s="26">
        <v>60</v>
      </c>
      <c r="J85" s="33">
        <v>0.66</v>
      </c>
      <c r="K85" s="34">
        <v>1.18</v>
      </c>
      <c r="L85" s="25">
        <v>2</v>
      </c>
      <c r="M85" s="26">
        <v>0</v>
      </c>
      <c r="N85" s="25">
        <v>7</v>
      </c>
      <c r="O85" s="26">
        <v>16</v>
      </c>
      <c r="P85" s="25">
        <v>1</v>
      </c>
      <c r="Q85" s="26">
        <v>2</v>
      </c>
      <c r="R85" s="25">
        <v>1</v>
      </c>
      <c r="S85" s="26">
        <v>0</v>
      </c>
      <c r="T85" s="33">
        <v>-0.81</v>
      </c>
      <c r="U85" s="484">
        <v>-1.2</v>
      </c>
      <c r="V85" s="25">
        <v>5</v>
      </c>
      <c r="W85" s="26">
        <v>6</v>
      </c>
      <c r="X85" s="25">
        <v>13</v>
      </c>
      <c r="Y85" s="26">
        <v>10</v>
      </c>
      <c r="Z85" s="25">
        <v>372</v>
      </c>
      <c r="AA85" s="26">
        <v>561</v>
      </c>
      <c r="AB85" s="25">
        <v>11</v>
      </c>
      <c r="AC85" s="26">
        <v>12</v>
      </c>
      <c r="AD85" s="25">
        <v>10</v>
      </c>
      <c r="AE85" s="26">
        <v>13</v>
      </c>
      <c r="AF85" s="25">
        <v>1</v>
      </c>
      <c r="AG85" s="26">
        <v>1</v>
      </c>
      <c r="AH85" s="487">
        <v>0</v>
      </c>
      <c r="AI85" s="488">
        <v>0</v>
      </c>
      <c r="AJ85" s="487">
        <v>0</v>
      </c>
      <c r="AK85" s="489">
        <v>0</v>
      </c>
      <c r="AL85" s="173">
        <v>3</v>
      </c>
      <c r="AM85" s="364">
        <f t="shared" si="4"/>
        <v>0.42857142857142855</v>
      </c>
      <c r="AN85" s="144">
        <v>0</v>
      </c>
      <c r="AO85" s="144">
        <v>4</v>
      </c>
      <c r="AP85" s="144">
        <v>0</v>
      </c>
      <c r="AQ85" s="144">
        <v>5</v>
      </c>
      <c r="AR85" s="365">
        <f t="shared" si="5"/>
        <v>0.7142857142857143</v>
      </c>
      <c r="AS85" s="144">
        <v>2</v>
      </c>
      <c r="AT85" s="5">
        <v>3</v>
      </c>
      <c r="AU85" s="372">
        <f t="shared" si="6"/>
        <v>0.1875</v>
      </c>
      <c r="AV85" s="5">
        <v>0</v>
      </c>
      <c r="AW85" s="5">
        <v>7</v>
      </c>
      <c r="AX85" s="5">
        <v>6</v>
      </c>
      <c r="AY85" s="5">
        <v>11</v>
      </c>
      <c r="AZ85" s="372">
        <f t="shared" si="7"/>
        <v>0.6875</v>
      </c>
      <c r="BA85" s="57">
        <v>5</v>
      </c>
      <c r="BB85" s="393">
        <v>0</v>
      </c>
      <c r="BC85" s="394">
        <v>0</v>
      </c>
      <c r="BD85" s="395">
        <v>0</v>
      </c>
      <c r="BE85" s="396">
        <v>1</v>
      </c>
    </row>
    <row r="86" spans="1:57" x14ac:dyDescent="0.25">
      <c r="A86" s="329">
        <v>45948</v>
      </c>
      <c r="B86" s="5">
        <v>9</v>
      </c>
      <c r="C86" s="5" t="s">
        <v>193</v>
      </c>
      <c r="D86" s="7">
        <v>1</v>
      </c>
      <c r="E86" s="7">
        <v>0</v>
      </c>
      <c r="F86" s="5" t="s">
        <v>227</v>
      </c>
      <c r="H86" s="42">
        <v>59</v>
      </c>
      <c r="I86" s="26">
        <v>41</v>
      </c>
      <c r="J86" s="33">
        <v>2.58</v>
      </c>
      <c r="K86" s="34">
        <v>1.44</v>
      </c>
      <c r="L86" s="25">
        <v>5</v>
      </c>
      <c r="M86" s="26">
        <v>1</v>
      </c>
      <c r="N86" s="25">
        <v>18</v>
      </c>
      <c r="O86" s="26">
        <v>9</v>
      </c>
      <c r="P86" s="25">
        <v>2</v>
      </c>
      <c r="Q86" s="26">
        <v>8</v>
      </c>
      <c r="R86" s="25">
        <v>0</v>
      </c>
      <c r="S86" s="26">
        <v>0</v>
      </c>
      <c r="T86" s="33">
        <v>0.66</v>
      </c>
      <c r="U86" s="484">
        <v>1.66</v>
      </c>
      <c r="V86" s="25">
        <v>4</v>
      </c>
      <c r="W86" s="26">
        <v>2</v>
      </c>
      <c r="X86" s="25">
        <v>10</v>
      </c>
      <c r="Y86" s="26">
        <v>11</v>
      </c>
      <c r="Z86" s="25">
        <v>529</v>
      </c>
      <c r="AA86" s="26">
        <v>366</v>
      </c>
      <c r="AB86" s="25">
        <v>16</v>
      </c>
      <c r="AC86" s="26">
        <v>18</v>
      </c>
      <c r="AD86" s="25">
        <v>11</v>
      </c>
      <c r="AE86" s="26">
        <v>10</v>
      </c>
      <c r="AF86" s="25">
        <v>1</v>
      </c>
      <c r="AG86" s="26">
        <v>3</v>
      </c>
      <c r="AH86" s="487">
        <v>0</v>
      </c>
      <c r="AI86" s="488">
        <v>0</v>
      </c>
      <c r="AJ86" s="487">
        <v>0</v>
      </c>
      <c r="AK86" s="489">
        <v>0</v>
      </c>
      <c r="AL86" s="173">
        <v>9</v>
      </c>
      <c r="AM86" s="364">
        <f t="shared" si="4"/>
        <v>0.5</v>
      </c>
      <c r="AN86" s="144">
        <v>0</v>
      </c>
      <c r="AO86" s="144">
        <v>9</v>
      </c>
      <c r="AP86" s="144">
        <v>0</v>
      </c>
      <c r="AQ86" s="144">
        <v>11</v>
      </c>
      <c r="AR86" s="365">
        <f t="shared" si="5"/>
        <v>0.61111111111111116</v>
      </c>
      <c r="AS86" s="144">
        <v>7</v>
      </c>
      <c r="AT86" s="5">
        <v>2</v>
      </c>
      <c r="AU86" s="372">
        <f t="shared" si="6"/>
        <v>0.22222222222222221</v>
      </c>
      <c r="AV86" s="5">
        <v>0</v>
      </c>
      <c r="AW86" s="5">
        <v>5</v>
      </c>
      <c r="AX86" s="5">
        <v>2</v>
      </c>
      <c r="AY86" s="5">
        <v>6</v>
      </c>
      <c r="AZ86" s="372">
        <f t="shared" si="7"/>
        <v>0.66666666666666663</v>
      </c>
      <c r="BA86" s="57">
        <v>3</v>
      </c>
      <c r="BB86" s="393">
        <v>0</v>
      </c>
      <c r="BC86" s="394">
        <v>0</v>
      </c>
      <c r="BD86" s="395">
        <v>0</v>
      </c>
      <c r="BE86" s="396">
        <v>0</v>
      </c>
    </row>
    <row r="87" spans="1:57" x14ac:dyDescent="0.25">
      <c r="A87" s="329">
        <v>45949</v>
      </c>
      <c r="B87" s="5">
        <v>9</v>
      </c>
      <c r="C87" s="5" t="s">
        <v>208</v>
      </c>
      <c r="D87" s="7">
        <v>0</v>
      </c>
      <c r="E87" s="7">
        <v>0</v>
      </c>
      <c r="F87" s="5" t="s">
        <v>170</v>
      </c>
      <c r="H87" s="42">
        <v>69</v>
      </c>
      <c r="I87" s="26">
        <v>31</v>
      </c>
      <c r="J87" s="33">
        <v>1.08</v>
      </c>
      <c r="K87" s="34">
        <v>0.25</v>
      </c>
      <c r="L87" s="25">
        <v>0</v>
      </c>
      <c r="M87" s="26">
        <v>0</v>
      </c>
      <c r="N87" s="25">
        <v>15</v>
      </c>
      <c r="O87" s="26">
        <v>4</v>
      </c>
      <c r="P87" s="25">
        <v>1</v>
      </c>
      <c r="Q87" s="26">
        <v>5</v>
      </c>
      <c r="R87" s="25">
        <v>0</v>
      </c>
      <c r="S87" s="26">
        <v>2</v>
      </c>
      <c r="T87" s="33">
        <v>0.03</v>
      </c>
      <c r="U87" s="484">
        <v>0.83</v>
      </c>
      <c r="V87" s="25">
        <v>6</v>
      </c>
      <c r="W87" s="26">
        <v>2</v>
      </c>
      <c r="X87" s="25">
        <v>14</v>
      </c>
      <c r="Y87" s="26">
        <v>20</v>
      </c>
      <c r="Z87" s="25">
        <v>596</v>
      </c>
      <c r="AA87" s="26">
        <v>271</v>
      </c>
      <c r="AB87" s="25">
        <v>12</v>
      </c>
      <c r="AC87" s="26">
        <v>13</v>
      </c>
      <c r="AD87" s="25">
        <v>20</v>
      </c>
      <c r="AE87" s="26">
        <v>14</v>
      </c>
      <c r="AF87" s="25">
        <v>2</v>
      </c>
      <c r="AG87" s="26">
        <v>3</v>
      </c>
      <c r="AH87" s="487">
        <v>0</v>
      </c>
      <c r="AI87" s="488">
        <v>0</v>
      </c>
      <c r="AJ87" s="487">
        <v>0</v>
      </c>
      <c r="AK87" s="489">
        <v>0</v>
      </c>
      <c r="AL87" s="173">
        <v>5</v>
      </c>
      <c r="AM87" s="364">
        <f t="shared" si="4"/>
        <v>0.33333333333333331</v>
      </c>
      <c r="AN87" s="144">
        <v>0</v>
      </c>
      <c r="AO87" s="144">
        <v>4</v>
      </c>
      <c r="AP87" s="144">
        <v>6</v>
      </c>
      <c r="AQ87" s="144">
        <v>11</v>
      </c>
      <c r="AR87" s="365">
        <f t="shared" si="5"/>
        <v>0.73333333333333328</v>
      </c>
      <c r="AS87" s="144">
        <v>4</v>
      </c>
      <c r="AT87" s="5">
        <v>1</v>
      </c>
      <c r="AU87" s="372">
        <f t="shared" si="6"/>
        <v>0.25</v>
      </c>
      <c r="AV87" s="5">
        <v>0</v>
      </c>
      <c r="AW87" s="5">
        <v>2</v>
      </c>
      <c r="AX87" s="5">
        <v>1</v>
      </c>
      <c r="AY87" s="5">
        <v>4</v>
      </c>
      <c r="AZ87" s="372">
        <f t="shared" si="7"/>
        <v>1</v>
      </c>
      <c r="BA87" s="57">
        <v>0</v>
      </c>
      <c r="BB87" s="393">
        <v>0</v>
      </c>
      <c r="BC87" s="394">
        <v>0</v>
      </c>
      <c r="BD87" s="395">
        <v>2</v>
      </c>
      <c r="BE87" s="396">
        <v>0</v>
      </c>
    </row>
    <row r="88" spans="1:57" x14ac:dyDescent="0.25">
      <c r="A88" s="329">
        <v>45949</v>
      </c>
      <c r="B88" s="5">
        <v>9</v>
      </c>
      <c r="C88" s="26" t="s">
        <v>456</v>
      </c>
      <c r="D88" s="7">
        <v>1</v>
      </c>
      <c r="E88" s="7">
        <v>1</v>
      </c>
      <c r="F88" s="5" t="s">
        <v>146</v>
      </c>
      <c r="G88" s="442" t="s">
        <v>753</v>
      </c>
      <c r="H88" s="42">
        <v>41</v>
      </c>
      <c r="I88" s="26">
        <v>59</v>
      </c>
      <c r="J88" s="33">
        <v>0.95</v>
      </c>
      <c r="K88" s="34">
        <v>1.55</v>
      </c>
      <c r="L88" s="25">
        <v>2</v>
      </c>
      <c r="M88" s="26">
        <v>4</v>
      </c>
      <c r="N88" s="25">
        <v>4</v>
      </c>
      <c r="O88" s="26">
        <v>17</v>
      </c>
      <c r="P88" s="25">
        <v>6</v>
      </c>
      <c r="Q88" s="26">
        <v>0</v>
      </c>
      <c r="R88" s="25">
        <v>1</v>
      </c>
      <c r="S88" s="26">
        <v>0</v>
      </c>
      <c r="T88" s="33">
        <v>-0.02</v>
      </c>
      <c r="U88" s="484">
        <v>-0.37</v>
      </c>
      <c r="V88" s="25">
        <v>1</v>
      </c>
      <c r="W88" s="26">
        <v>10</v>
      </c>
      <c r="X88" s="25">
        <v>10</v>
      </c>
      <c r="Y88" s="26">
        <v>20</v>
      </c>
      <c r="Z88" s="25">
        <v>380</v>
      </c>
      <c r="AA88" s="26">
        <v>518</v>
      </c>
      <c r="AB88" s="25">
        <v>15</v>
      </c>
      <c r="AC88" s="26">
        <v>8</v>
      </c>
      <c r="AD88" s="25">
        <v>20</v>
      </c>
      <c r="AE88" s="26">
        <v>10</v>
      </c>
      <c r="AF88" s="25">
        <v>4</v>
      </c>
      <c r="AG88" s="26">
        <v>3</v>
      </c>
      <c r="AH88" s="487">
        <v>1</v>
      </c>
      <c r="AI88" s="488">
        <v>0</v>
      </c>
      <c r="AJ88" s="487">
        <v>0</v>
      </c>
      <c r="AK88" s="489">
        <v>0</v>
      </c>
      <c r="AL88" s="173">
        <v>1</v>
      </c>
      <c r="AM88" s="364">
        <f t="shared" si="4"/>
        <v>0.25</v>
      </c>
      <c r="AN88" s="144">
        <v>0</v>
      </c>
      <c r="AO88" s="144">
        <v>3</v>
      </c>
      <c r="AP88" s="144">
        <v>0</v>
      </c>
      <c r="AQ88" s="144">
        <v>2</v>
      </c>
      <c r="AR88" s="365">
        <f t="shared" si="5"/>
        <v>0.5</v>
      </c>
      <c r="AS88" s="144">
        <v>2</v>
      </c>
      <c r="AT88" s="5">
        <v>7</v>
      </c>
      <c r="AU88" s="372">
        <f t="shared" si="6"/>
        <v>0.41176470588235292</v>
      </c>
      <c r="AV88" s="5">
        <v>0</v>
      </c>
      <c r="AW88" s="5">
        <v>4</v>
      </c>
      <c r="AX88" s="5">
        <v>6</v>
      </c>
      <c r="AY88" s="5">
        <v>10</v>
      </c>
      <c r="AZ88" s="372">
        <f t="shared" si="7"/>
        <v>0.58823529411764708</v>
      </c>
      <c r="BA88" s="57">
        <v>7</v>
      </c>
      <c r="BB88" s="393">
        <v>1</v>
      </c>
      <c r="BC88" s="394">
        <v>0</v>
      </c>
      <c r="BD88" s="395">
        <v>0</v>
      </c>
      <c r="BE88" s="396">
        <v>0</v>
      </c>
    </row>
    <row r="89" spans="1:57" x14ac:dyDescent="0.25">
      <c r="A89" s="329">
        <v>45949</v>
      </c>
      <c r="B89" s="5">
        <v>9</v>
      </c>
      <c r="C89" s="5" t="s">
        <v>129</v>
      </c>
      <c r="D89" s="7">
        <v>0</v>
      </c>
      <c r="E89" s="7">
        <v>3</v>
      </c>
      <c r="F89" s="5" t="s">
        <v>70</v>
      </c>
      <c r="H89" s="42">
        <v>54</v>
      </c>
      <c r="I89" s="26">
        <v>46</v>
      </c>
      <c r="J89" s="33">
        <v>0.91</v>
      </c>
      <c r="K89" s="34">
        <v>1.55</v>
      </c>
      <c r="L89" s="25">
        <v>1</v>
      </c>
      <c r="M89" s="26">
        <v>5</v>
      </c>
      <c r="N89" s="25">
        <v>17</v>
      </c>
      <c r="O89" s="26">
        <v>10</v>
      </c>
      <c r="P89" s="25">
        <v>1</v>
      </c>
      <c r="Q89" s="26">
        <v>4</v>
      </c>
      <c r="R89" s="25">
        <v>0</v>
      </c>
      <c r="S89" s="26">
        <v>1</v>
      </c>
      <c r="T89" s="33">
        <v>-1.34</v>
      </c>
      <c r="U89" s="484">
        <v>0.31</v>
      </c>
      <c r="V89" s="25">
        <v>11</v>
      </c>
      <c r="W89" s="26">
        <v>4</v>
      </c>
      <c r="X89" s="25">
        <v>6</v>
      </c>
      <c r="Y89" s="26">
        <v>18</v>
      </c>
      <c r="Z89" s="25">
        <v>419</v>
      </c>
      <c r="AA89" s="26">
        <v>365</v>
      </c>
      <c r="AB89" s="25">
        <v>16</v>
      </c>
      <c r="AC89" s="26">
        <v>27</v>
      </c>
      <c r="AD89" s="25">
        <v>18</v>
      </c>
      <c r="AE89" s="26">
        <v>6</v>
      </c>
      <c r="AF89" s="25">
        <v>0</v>
      </c>
      <c r="AG89" s="26">
        <v>1</v>
      </c>
      <c r="AH89" s="487">
        <v>0</v>
      </c>
      <c r="AI89" s="488">
        <v>0</v>
      </c>
      <c r="AJ89" s="487">
        <v>0</v>
      </c>
      <c r="AK89" s="489">
        <v>0</v>
      </c>
      <c r="AL89" s="173">
        <v>4</v>
      </c>
      <c r="AM89" s="364">
        <f t="shared" si="4"/>
        <v>0.23529411764705882</v>
      </c>
      <c r="AN89" s="144">
        <v>0</v>
      </c>
      <c r="AO89" s="144">
        <v>5</v>
      </c>
      <c r="AP89" s="144">
        <v>8</v>
      </c>
      <c r="AQ89" s="144">
        <v>9</v>
      </c>
      <c r="AR89" s="365">
        <f t="shared" si="5"/>
        <v>0.52941176470588236</v>
      </c>
      <c r="AS89" s="144">
        <v>8</v>
      </c>
      <c r="AT89" s="5">
        <v>5</v>
      </c>
      <c r="AU89" s="372">
        <f t="shared" si="6"/>
        <v>0.5</v>
      </c>
      <c r="AV89" s="5">
        <v>0</v>
      </c>
      <c r="AW89" s="5">
        <v>3</v>
      </c>
      <c r="AX89" s="5">
        <v>2</v>
      </c>
      <c r="AY89" s="5">
        <v>7</v>
      </c>
      <c r="AZ89" s="372">
        <f t="shared" si="7"/>
        <v>0.7</v>
      </c>
      <c r="BA89" s="57">
        <v>3</v>
      </c>
      <c r="BB89" s="393">
        <v>0</v>
      </c>
      <c r="BC89" s="394">
        <v>0</v>
      </c>
      <c r="BD89" s="395">
        <v>1</v>
      </c>
      <c r="BE89" s="396">
        <v>0</v>
      </c>
    </row>
    <row r="90" spans="1:57" x14ac:dyDescent="0.25">
      <c r="A90" s="329">
        <v>45949</v>
      </c>
      <c r="B90" s="5">
        <v>9</v>
      </c>
      <c r="C90" s="26" t="s">
        <v>161</v>
      </c>
      <c r="D90" s="7">
        <v>0</v>
      </c>
      <c r="E90" s="7">
        <v>1</v>
      </c>
      <c r="F90" s="5" t="s">
        <v>226</v>
      </c>
      <c r="G90" s="242" t="s">
        <v>758</v>
      </c>
      <c r="H90" s="42">
        <v>24</v>
      </c>
      <c r="I90" s="26">
        <v>76</v>
      </c>
      <c r="J90" s="33">
        <v>0.48</v>
      </c>
      <c r="K90" s="34">
        <v>1.96</v>
      </c>
      <c r="L90" s="25">
        <v>1</v>
      </c>
      <c r="M90" s="26">
        <v>3</v>
      </c>
      <c r="N90" s="25">
        <v>7</v>
      </c>
      <c r="O90" s="26">
        <v>23</v>
      </c>
      <c r="P90" s="25">
        <v>9</v>
      </c>
      <c r="Q90" s="26">
        <v>1</v>
      </c>
      <c r="R90" s="25">
        <v>0</v>
      </c>
      <c r="S90" s="26">
        <v>0</v>
      </c>
      <c r="T90" s="33">
        <v>0.54</v>
      </c>
      <c r="U90" s="484">
        <v>0.21</v>
      </c>
      <c r="V90" s="25">
        <v>1</v>
      </c>
      <c r="W90" s="26">
        <v>4</v>
      </c>
      <c r="X90" s="25">
        <v>27</v>
      </c>
      <c r="Y90" s="26">
        <v>11</v>
      </c>
      <c r="Z90" s="25">
        <v>194</v>
      </c>
      <c r="AA90" s="26">
        <v>636</v>
      </c>
      <c r="AB90" s="25">
        <v>19</v>
      </c>
      <c r="AC90" s="26">
        <v>17</v>
      </c>
      <c r="AD90" s="25">
        <v>11</v>
      </c>
      <c r="AE90" s="26">
        <v>27</v>
      </c>
      <c r="AF90" s="25">
        <v>4</v>
      </c>
      <c r="AG90" s="26">
        <v>1</v>
      </c>
      <c r="AH90" s="487">
        <v>2</v>
      </c>
      <c r="AI90" s="488">
        <v>0</v>
      </c>
      <c r="AJ90" s="487">
        <v>0</v>
      </c>
      <c r="AK90" s="489">
        <v>0</v>
      </c>
      <c r="AL90" s="173">
        <v>1</v>
      </c>
      <c r="AM90" s="364">
        <f t="shared" si="4"/>
        <v>0.14285714285714285</v>
      </c>
      <c r="AN90" s="144">
        <v>0</v>
      </c>
      <c r="AO90" s="144">
        <v>5</v>
      </c>
      <c r="AP90" s="144">
        <v>1</v>
      </c>
      <c r="AQ90" s="144">
        <v>2</v>
      </c>
      <c r="AR90" s="365">
        <f t="shared" si="5"/>
        <v>0.2857142857142857</v>
      </c>
      <c r="AS90" s="144">
        <v>5</v>
      </c>
      <c r="AT90" s="5">
        <v>10</v>
      </c>
      <c r="AU90" s="372">
        <f t="shared" si="6"/>
        <v>0.43478260869565216</v>
      </c>
      <c r="AV90" s="5">
        <v>0</v>
      </c>
      <c r="AW90" s="5">
        <v>9</v>
      </c>
      <c r="AX90" s="5">
        <v>4</v>
      </c>
      <c r="AY90" s="5">
        <v>12</v>
      </c>
      <c r="AZ90" s="372">
        <f t="shared" si="7"/>
        <v>0.52173913043478259</v>
      </c>
      <c r="BA90" s="57">
        <v>11</v>
      </c>
      <c r="BB90" s="393">
        <v>0</v>
      </c>
      <c r="BC90" s="394">
        <v>0</v>
      </c>
      <c r="BD90" s="395">
        <v>0</v>
      </c>
      <c r="BE90" s="396">
        <v>0</v>
      </c>
    </row>
    <row r="91" spans="1:57" x14ac:dyDescent="0.25">
      <c r="A91" s="329">
        <v>45950</v>
      </c>
      <c r="B91" s="5">
        <v>9</v>
      </c>
      <c r="C91" s="5" t="s">
        <v>128</v>
      </c>
      <c r="D91" s="7">
        <v>0</v>
      </c>
      <c r="E91" s="7">
        <v>0</v>
      </c>
      <c r="F91" s="5" t="s">
        <v>145</v>
      </c>
      <c r="H91" s="42">
        <v>63</v>
      </c>
      <c r="I91" s="26">
        <v>37</v>
      </c>
      <c r="J91" s="33">
        <v>0.74</v>
      </c>
      <c r="K91" s="34">
        <v>0.45</v>
      </c>
      <c r="L91" s="25">
        <v>1</v>
      </c>
      <c r="M91" s="26">
        <v>1</v>
      </c>
      <c r="N91" s="25">
        <v>13</v>
      </c>
      <c r="O91" s="26">
        <v>5</v>
      </c>
      <c r="P91" s="25">
        <v>2</v>
      </c>
      <c r="Q91" s="26">
        <v>3</v>
      </c>
      <c r="R91" s="25">
        <v>1</v>
      </c>
      <c r="S91" s="26">
        <v>1</v>
      </c>
      <c r="T91" s="33">
        <v>0.45</v>
      </c>
      <c r="U91" s="484">
        <v>0.35</v>
      </c>
      <c r="V91" s="25">
        <v>7</v>
      </c>
      <c r="W91" s="26">
        <v>0</v>
      </c>
      <c r="X91" s="25">
        <v>13</v>
      </c>
      <c r="Y91" s="26">
        <v>20</v>
      </c>
      <c r="Z91" s="25">
        <v>512</v>
      </c>
      <c r="AA91" s="26">
        <v>309</v>
      </c>
      <c r="AB91" s="25">
        <v>10</v>
      </c>
      <c r="AC91" s="26">
        <v>18</v>
      </c>
      <c r="AD91" s="25">
        <v>20</v>
      </c>
      <c r="AE91" s="26">
        <v>13</v>
      </c>
      <c r="AF91" s="25">
        <v>1</v>
      </c>
      <c r="AG91" s="26">
        <v>2</v>
      </c>
      <c r="AH91" s="487">
        <v>0</v>
      </c>
      <c r="AI91" s="488">
        <v>0</v>
      </c>
      <c r="AJ91" s="487">
        <v>0</v>
      </c>
      <c r="AK91" s="489">
        <v>0</v>
      </c>
      <c r="AL91" s="173">
        <v>3</v>
      </c>
      <c r="AM91" s="364">
        <f t="shared" si="4"/>
        <v>0.23076923076923078</v>
      </c>
      <c r="AN91" s="144">
        <v>0</v>
      </c>
      <c r="AO91" s="144">
        <v>7</v>
      </c>
      <c r="AP91" s="144">
        <v>3</v>
      </c>
      <c r="AQ91" s="144">
        <v>10</v>
      </c>
      <c r="AR91" s="365">
        <f t="shared" si="5"/>
        <v>0.76923076923076927</v>
      </c>
      <c r="AS91" s="144">
        <v>3</v>
      </c>
      <c r="AT91" s="5">
        <v>2</v>
      </c>
      <c r="AU91" s="372">
        <f t="shared" si="6"/>
        <v>0.4</v>
      </c>
      <c r="AV91" s="5">
        <v>0</v>
      </c>
      <c r="AW91" s="5">
        <v>3</v>
      </c>
      <c r="AX91" s="5">
        <v>0</v>
      </c>
      <c r="AY91" s="5">
        <v>3</v>
      </c>
      <c r="AZ91" s="372">
        <f t="shared" si="7"/>
        <v>0.6</v>
      </c>
      <c r="BA91" s="57">
        <v>2</v>
      </c>
      <c r="BB91" s="393">
        <v>0</v>
      </c>
      <c r="BC91" s="394">
        <v>0</v>
      </c>
      <c r="BD91" s="395">
        <v>0</v>
      </c>
      <c r="BE91" s="396">
        <v>0</v>
      </c>
    </row>
    <row r="92" spans="1:57" x14ac:dyDescent="0.25">
      <c r="A92" s="329">
        <v>45954</v>
      </c>
      <c r="B92" s="5">
        <v>10</v>
      </c>
      <c r="C92" s="5" t="s">
        <v>146</v>
      </c>
      <c r="D92" s="7">
        <v>2</v>
      </c>
      <c r="E92" s="7">
        <v>1</v>
      </c>
      <c r="F92" s="5" t="s">
        <v>171</v>
      </c>
      <c r="H92" s="42">
        <v>40</v>
      </c>
      <c r="I92" s="26">
        <v>60</v>
      </c>
      <c r="J92" s="33">
        <v>1.61</v>
      </c>
      <c r="K92" s="34">
        <v>0.23</v>
      </c>
      <c r="L92" s="25">
        <v>3</v>
      </c>
      <c r="M92" s="26">
        <v>0</v>
      </c>
      <c r="N92" s="25">
        <v>5</v>
      </c>
      <c r="O92" s="26">
        <v>6</v>
      </c>
      <c r="P92" s="25">
        <v>0</v>
      </c>
      <c r="Q92" s="26">
        <v>1</v>
      </c>
      <c r="R92" s="25">
        <v>0</v>
      </c>
      <c r="S92" s="26">
        <v>0</v>
      </c>
      <c r="T92" s="33">
        <v>-0.48</v>
      </c>
      <c r="U92" s="484">
        <v>-0.39</v>
      </c>
      <c r="V92" s="25">
        <v>1</v>
      </c>
      <c r="W92" s="26">
        <v>9</v>
      </c>
      <c r="X92" s="25">
        <v>18</v>
      </c>
      <c r="Y92" s="26">
        <v>14</v>
      </c>
      <c r="Z92" s="25">
        <v>303</v>
      </c>
      <c r="AA92" s="26">
        <v>464</v>
      </c>
      <c r="AB92" s="25">
        <v>22</v>
      </c>
      <c r="AC92" s="26">
        <v>13</v>
      </c>
      <c r="AD92" s="25">
        <v>13</v>
      </c>
      <c r="AE92" s="26">
        <v>19</v>
      </c>
      <c r="AF92" s="25">
        <v>1</v>
      </c>
      <c r="AG92" s="26">
        <v>3</v>
      </c>
      <c r="AH92" s="487">
        <v>0</v>
      </c>
      <c r="AI92" s="488">
        <v>0</v>
      </c>
      <c r="AJ92" s="487">
        <v>1</v>
      </c>
      <c r="AK92" s="489">
        <v>0</v>
      </c>
      <c r="AL92" s="173">
        <v>3</v>
      </c>
      <c r="AM92" s="364">
        <f t="shared" si="4"/>
        <v>0.6</v>
      </c>
      <c r="AN92" s="144">
        <v>0</v>
      </c>
      <c r="AO92" s="144">
        <v>2</v>
      </c>
      <c r="AP92" s="144">
        <v>0</v>
      </c>
      <c r="AQ92" s="144">
        <v>4</v>
      </c>
      <c r="AR92" s="365">
        <f t="shared" si="5"/>
        <v>0.8</v>
      </c>
      <c r="AS92" s="144">
        <v>1</v>
      </c>
      <c r="AT92" s="5">
        <v>1</v>
      </c>
      <c r="AU92" s="372">
        <f t="shared" si="6"/>
        <v>0.16666666666666666</v>
      </c>
      <c r="AV92" s="5">
        <v>0</v>
      </c>
      <c r="AW92" s="5">
        <v>3</v>
      </c>
      <c r="AX92" s="5">
        <v>2</v>
      </c>
      <c r="AY92" s="5">
        <v>2</v>
      </c>
      <c r="AZ92" s="372">
        <f t="shared" si="7"/>
        <v>0.33333333333333331</v>
      </c>
      <c r="BA92" s="57">
        <v>4</v>
      </c>
      <c r="BB92" s="393">
        <v>0</v>
      </c>
      <c r="BC92" s="394">
        <v>0</v>
      </c>
      <c r="BD92" s="395">
        <v>1</v>
      </c>
      <c r="BE92" s="396">
        <v>1</v>
      </c>
    </row>
    <row r="93" spans="1:57" x14ac:dyDescent="0.25">
      <c r="A93" s="329">
        <v>45955</v>
      </c>
      <c r="B93" s="5">
        <v>10</v>
      </c>
      <c r="C93" s="5" t="s">
        <v>69</v>
      </c>
      <c r="D93" s="7">
        <v>3</v>
      </c>
      <c r="E93" s="7">
        <v>3</v>
      </c>
      <c r="F93" s="5" t="s">
        <v>92</v>
      </c>
      <c r="H93" s="42">
        <v>65</v>
      </c>
      <c r="I93" s="26">
        <v>35</v>
      </c>
      <c r="J93" s="33">
        <v>2.0299999999999998</v>
      </c>
      <c r="K93" s="34">
        <v>1.79</v>
      </c>
      <c r="L93" s="25">
        <v>4</v>
      </c>
      <c r="M93" s="26">
        <v>4</v>
      </c>
      <c r="N93" s="25">
        <v>8</v>
      </c>
      <c r="O93" s="26">
        <v>10</v>
      </c>
      <c r="P93" s="25">
        <v>2</v>
      </c>
      <c r="Q93" s="26">
        <v>3</v>
      </c>
      <c r="R93" s="25">
        <v>1</v>
      </c>
      <c r="S93" s="26">
        <v>2</v>
      </c>
      <c r="T93" s="33">
        <v>0.24</v>
      </c>
      <c r="U93" s="484">
        <v>-0.32</v>
      </c>
      <c r="V93" s="25">
        <v>11</v>
      </c>
      <c r="W93" s="26">
        <v>4</v>
      </c>
      <c r="X93" s="25">
        <v>13</v>
      </c>
      <c r="Y93" s="26">
        <v>16</v>
      </c>
      <c r="Z93" s="25">
        <v>551</v>
      </c>
      <c r="AA93" s="26">
        <v>296</v>
      </c>
      <c r="AB93" s="25">
        <v>12</v>
      </c>
      <c r="AC93" s="26">
        <v>20</v>
      </c>
      <c r="AD93" s="25">
        <v>14</v>
      </c>
      <c r="AE93" s="26">
        <v>12</v>
      </c>
      <c r="AF93" s="25">
        <v>4</v>
      </c>
      <c r="AG93" s="26">
        <v>3</v>
      </c>
      <c r="AH93" s="487">
        <v>0</v>
      </c>
      <c r="AI93" s="488">
        <v>0</v>
      </c>
      <c r="AJ93" s="487">
        <v>2</v>
      </c>
      <c r="AK93" s="489">
        <v>1</v>
      </c>
      <c r="AL93" s="173">
        <v>6</v>
      </c>
      <c r="AM93" s="364">
        <f t="shared" si="4"/>
        <v>0.75</v>
      </c>
      <c r="AN93" s="144">
        <v>0</v>
      </c>
      <c r="AO93" s="144">
        <v>1</v>
      </c>
      <c r="AP93" s="144">
        <v>1</v>
      </c>
      <c r="AQ93" s="144">
        <v>4</v>
      </c>
      <c r="AR93" s="365">
        <f t="shared" si="5"/>
        <v>0.5</v>
      </c>
      <c r="AS93" s="144">
        <v>4</v>
      </c>
      <c r="AT93" s="5">
        <v>5</v>
      </c>
      <c r="AU93" s="372">
        <f t="shared" si="6"/>
        <v>0.5</v>
      </c>
      <c r="AV93" s="5">
        <v>0</v>
      </c>
      <c r="AW93" s="5">
        <v>3</v>
      </c>
      <c r="AX93" s="5">
        <v>2</v>
      </c>
      <c r="AY93" s="5">
        <v>8</v>
      </c>
      <c r="AZ93" s="372">
        <f t="shared" si="7"/>
        <v>0.8</v>
      </c>
      <c r="BA93" s="57">
        <v>2</v>
      </c>
      <c r="BB93" s="393">
        <v>0</v>
      </c>
      <c r="BC93" s="394">
        <v>0</v>
      </c>
      <c r="BD93" s="395">
        <v>0</v>
      </c>
      <c r="BE93" s="396">
        <v>0</v>
      </c>
    </row>
    <row r="94" spans="1:57" x14ac:dyDescent="0.25">
      <c r="A94" s="329">
        <v>45955</v>
      </c>
      <c r="B94" s="5">
        <v>10</v>
      </c>
      <c r="C94" s="5" t="s">
        <v>192</v>
      </c>
      <c r="D94" s="7">
        <v>1</v>
      </c>
      <c r="E94" s="7">
        <v>0</v>
      </c>
      <c r="F94" s="5" t="s">
        <v>208</v>
      </c>
      <c r="H94" s="42">
        <v>32</v>
      </c>
      <c r="I94" s="26">
        <v>68</v>
      </c>
      <c r="J94" s="33">
        <v>1.93</v>
      </c>
      <c r="K94" s="34">
        <v>0.86</v>
      </c>
      <c r="L94" s="25">
        <v>3</v>
      </c>
      <c r="M94" s="26">
        <v>2</v>
      </c>
      <c r="N94" s="25">
        <v>16</v>
      </c>
      <c r="O94" s="26">
        <v>13</v>
      </c>
      <c r="P94" s="25">
        <v>4</v>
      </c>
      <c r="Q94" s="26">
        <v>6</v>
      </c>
      <c r="R94" s="25">
        <v>0</v>
      </c>
      <c r="S94" s="26">
        <v>2</v>
      </c>
      <c r="T94" s="33">
        <v>0.53</v>
      </c>
      <c r="U94" s="484">
        <v>1.32</v>
      </c>
      <c r="V94" s="25">
        <v>4</v>
      </c>
      <c r="W94" s="26">
        <v>2</v>
      </c>
      <c r="X94" s="25">
        <v>14</v>
      </c>
      <c r="Y94" s="26">
        <v>15</v>
      </c>
      <c r="Z94" s="25">
        <v>266</v>
      </c>
      <c r="AA94" s="26">
        <v>598</v>
      </c>
      <c r="AB94" s="25">
        <v>16</v>
      </c>
      <c r="AC94" s="26">
        <v>14</v>
      </c>
      <c r="AD94" s="25">
        <v>15</v>
      </c>
      <c r="AE94" s="26">
        <v>14</v>
      </c>
      <c r="AF94" s="25">
        <v>4</v>
      </c>
      <c r="AG94" s="26">
        <v>2</v>
      </c>
      <c r="AH94" s="487">
        <v>0</v>
      </c>
      <c r="AI94" s="488">
        <v>0</v>
      </c>
      <c r="AJ94" s="487">
        <v>0</v>
      </c>
      <c r="AK94" s="489">
        <v>0</v>
      </c>
      <c r="AL94" s="173">
        <v>7</v>
      </c>
      <c r="AM94" s="364">
        <f t="shared" si="4"/>
        <v>0.4375</v>
      </c>
      <c r="AN94" s="144">
        <v>0</v>
      </c>
      <c r="AO94" s="144">
        <v>8</v>
      </c>
      <c r="AP94" s="144">
        <v>1</v>
      </c>
      <c r="AQ94" s="144">
        <v>10</v>
      </c>
      <c r="AR94" s="365">
        <f t="shared" si="5"/>
        <v>0.625</v>
      </c>
      <c r="AS94" s="144">
        <v>6</v>
      </c>
      <c r="AT94" s="5">
        <v>4</v>
      </c>
      <c r="AU94" s="372">
        <f t="shared" si="6"/>
        <v>0.30769230769230771</v>
      </c>
      <c r="AV94" s="5">
        <v>0</v>
      </c>
      <c r="AW94" s="5">
        <v>4</v>
      </c>
      <c r="AX94" s="5">
        <v>5</v>
      </c>
      <c r="AY94" s="5">
        <v>7</v>
      </c>
      <c r="AZ94" s="372">
        <f t="shared" si="7"/>
        <v>0.53846153846153844</v>
      </c>
      <c r="BA94" s="57">
        <v>6</v>
      </c>
      <c r="BB94" s="393">
        <v>0</v>
      </c>
      <c r="BC94" s="394">
        <v>0</v>
      </c>
      <c r="BD94" s="395">
        <v>1</v>
      </c>
      <c r="BE94" s="396">
        <v>0</v>
      </c>
    </row>
    <row r="95" spans="1:57" x14ac:dyDescent="0.25">
      <c r="A95" s="329">
        <v>45955</v>
      </c>
      <c r="B95" s="5">
        <v>10</v>
      </c>
      <c r="C95" s="5" t="s">
        <v>170</v>
      </c>
      <c r="D95" s="7">
        <v>0</v>
      </c>
      <c r="E95" s="7">
        <v>1</v>
      </c>
      <c r="F95" s="5" t="s">
        <v>161</v>
      </c>
      <c r="H95" s="42">
        <v>57</v>
      </c>
      <c r="I95" s="26">
        <v>43</v>
      </c>
      <c r="J95" s="33">
        <v>0.39</v>
      </c>
      <c r="K95" s="34">
        <v>0.93</v>
      </c>
      <c r="L95" s="25">
        <v>0</v>
      </c>
      <c r="M95" s="26">
        <v>2</v>
      </c>
      <c r="N95" s="25">
        <v>7</v>
      </c>
      <c r="O95" s="26">
        <v>8</v>
      </c>
      <c r="P95" s="25">
        <v>3</v>
      </c>
      <c r="Q95" s="26">
        <v>4</v>
      </c>
      <c r="R95" s="25">
        <v>0</v>
      </c>
      <c r="S95" s="26">
        <v>0</v>
      </c>
      <c r="T95" s="33">
        <v>0.52</v>
      </c>
      <c r="U95" s="484">
        <v>0.5</v>
      </c>
      <c r="V95" s="25">
        <v>1</v>
      </c>
      <c r="W95" s="26">
        <v>5</v>
      </c>
      <c r="X95" s="25">
        <v>15</v>
      </c>
      <c r="Y95" s="26">
        <v>14</v>
      </c>
      <c r="Z95" s="25">
        <v>435</v>
      </c>
      <c r="AA95" s="26">
        <v>323</v>
      </c>
      <c r="AB95" s="25">
        <v>13</v>
      </c>
      <c r="AC95" s="26">
        <v>23</v>
      </c>
      <c r="AD95" s="25">
        <v>14</v>
      </c>
      <c r="AE95" s="26">
        <v>15</v>
      </c>
      <c r="AF95" s="25">
        <v>1</v>
      </c>
      <c r="AG95" s="26">
        <v>3</v>
      </c>
      <c r="AH95" s="487">
        <v>1</v>
      </c>
      <c r="AI95" s="488">
        <v>0</v>
      </c>
      <c r="AJ95" s="487">
        <v>0</v>
      </c>
      <c r="AK95" s="489">
        <v>0</v>
      </c>
      <c r="AL95" s="173">
        <v>4</v>
      </c>
      <c r="AM95" s="364">
        <f t="shared" si="4"/>
        <v>0.5714285714285714</v>
      </c>
      <c r="AN95" s="144">
        <v>0</v>
      </c>
      <c r="AO95" s="144">
        <v>1</v>
      </c>
      <c r="AP95" s="144">
        <v>2</v>
      </c>
      <c r="AQ95" s="144">
        <v>4</v>
      </c>
      <c r="AR95" s="365">
        <f t="shared" si="5"/>
        <v>0.5714285714285714</v>
      </c>
      <c r="AS95" s="144">
        <v>3</v>
      </c>
      <c r="AT95" s="5">
        <v>3</v>
      </c>
      <c r="AU95" s="372">
        <f t="shared" si="6"/>
        <v>0.375</v>
      </c>
      <c r="AV95" s="5">
        <v>0</v>
      </c>
      <c r="AW95" s="5">
        <v>1</v>
      </c>
      <c r="AX95" s="5">
        <v>4</v>
      </c>
      <c r="AY95" s="5">
        <v>5</v>
      </c>
      <c r="AZ95" s="372">
        <f t="shared" si="7"/>
        <v>0.625</v>
      </c>
      <c r="BA95" s="57">
        <v>3</v>
      </c>
      <c r="BB95" s="393">
        <v>1</v>
      </c>
      <c r="BC95" s="394">
        <v>0</v>
      </c>
      <c r="BD95" s="395">
        <v>0</v>
      </c>
      <c r="BE95" s="396">
        <v>0</v>
      </c>
    </row>
    <row r="96" spans="1:57" x14ac:dyDescent="0.25">
      <c r="A96" s="329">
        <v>45955</v>
      </c>
      <c r="B96" s="5">
        <v>10</v>
      </c>
      <c r="C96" s="5" t="s">
        <v>145</v>
      </c>
      <c r="D96" s="7">
        <v>0</v>
      </c>
      <c r="E96" s="7">
        <v>2</v>
      </c>
      <c r="F96" s="5" t="s">
        <v>91</v>
      </c>
      <c r="H96" s="42">
        <v>57</v>
      </c>
      <c r="I96" s="26">
        <v>43</v>
      </c>
      <c r="J96" s="33">
        <v>0.8</v>
      </c>
      <c r="K96" s="34">
        <v>2.1800000000000002</v>
      </c>
      <c r="L96" s="25">
        <v>0</v>
      </c>
      <c r="M96" s="26">
        <v>4</v>
      </c>
      <c r="N96" s="25">
        <v>15</v>
      </c>
      <c r="O96" s="26">
        <v>12</v>
      </c>
      <c r="P96" s="25">
        <v>3</v>
      </c>
      <c r="Q96" s="26">
        <v>3</v>
      </c>
      <c r="R96" s="25">
        <v>0</v>
      </c>
      <c r="S96" s="26">
        <v>1</v>
      </c>
      <c r="T96" s="33">
        <v>-0.16</v>
      </c>
      <c r="U96" s="484">
        <v>0.49</v>
      </c>
      <c r="V96" s="25">
        <v>7</v>
      </c>
      <c r="W96" s="26">
        <v>5</v>
      </c>
      <c r="X96" s="25">
        <v>13</v>
      </c>
      <c r="Y96" s="26">
        <v>14</v>
      </c>
      <c r="Z96" s="25">
        <v>540</v>
      </c>
      <c r="AA96" s="26">
        <v>416</v>
      </c>
      <c r="AB96" s="25">
        <v>23</v>
      </c>
      <c r="AC96" s="26">
        <v>12</v>
      </c>
      <c r="AD96" s="25">
        <v>14</v>
      </c>
      <c r="AE96" s="26">
        <v>12</v>
      </c>
      <c r="AF96" s="25">
        <v>2</v>
      </c>
      <c r="AG96" s="26">
        <v>4</v>
      </c>
      <c r="AH96" s="487">
        <v>0</v>
      </c>
      <c r="AI96" s="488">
        <v>0</v>
      </c>
      <c r="AJ96" s="487">
        <v>0</v>
      </c>
      <c r="AK96" s="489">
        <v>1</v>
      </c>
      <c r="AL96" s="173">
        <v>3</v>
      </c>
      <c r="AM96" s="364">
        <f t="shared" si="4"/>
        <v>0.2</v>
      </c>
      <c r="AN96" s="144">
        <v>0</v>
      </c>
      <c r="AO96" s="144">
        <v>6</v>
      </c>
      <c r="AP96" s="144">
        <v>6</v>
      </c>
      <c r="AQ96" s="144">
        <v>7</v>
      </c>
      <c r="AR96" s="365">
        <f t="shared" si="5"/>
        <v>0.46666666666666667</v>
      </c>
      <c r="AS96" s="144">
        <v>8</v>
      </c>
      <c r="AT96" s="5">
        <v>5</v>
      </c>
      <c r="AU96" s="372">
        <f t="shared" si="6"/>
        <v>0.41666666666666669</v>
      </c>
      <c r="AV96" s="5">
        <v>0</v>
      </c>
      <c r="AW96" s="5">
        <v>4</v>
      </c>
      <c r="AX96" s="5">
        <v>3</v>
      </c>
      <c r="AY96" s="5">
        <v>11</v>
      </c>
      <c r="AZ96" s="372">
        <f t="shared" si="7"/>
        <v>0.91666666666666663</v>
      </c>
      <c r="BA96" s="57">
        <v>1</v>
      </c>
      <c r="BB96" s="393">
        <v>0</v>
      </c>
      <c r="BC96" s="394">
        <v>0</v>
      </c>
      <c r="BD96" s="395">
        <v>3</v>
      </c>
      <c r="BE96" s="396">
        <v>0</v>
      </c>
    </row>
    <row r="97" spans="1:57" x14ac:dyDescent="0.25">
      <c r="A97" s="329">
        <v>45956</v>
      </c>
      <c r="B97" s="5">
        <v>10</v>
      </c>
      <c r="C97" s="5" t="s">
        <v>112</v>
      </c>
      <c r="D97" s="7">
        <v>1</v>
      </c>
      <c r="E97" s="7">
        <v>1</v>
      </c>
      <c r="F97" s="5" t="s">
        <v>129</v>
      </c>
      <c r="H97" s="42">
        <v>63</v>
      </c>
      <c r="I97" s="26">
        <v>37</v>
      </c>
      <c r="J97" s="33">
        <v>1.58</v>
      </c>
      <c r="K97" s="34">
        <v>2.08</v>
      </c>
      <c r="L97" s="25">
        <v>5</v>
      </c>
      <c r="M97" s="26">
        <v>4</v>
      </c>
      <c r="N97" s="25">
        <v>20</v>
      </c>
      <c r="O97" s="26">
        <v>13</v>
      </c>
      <c r="P97" s="25">
        <v>4</v>
      </c>
      <c r="Q97" s="26">
        <v>4</v>
      </c>
      <c r="R97" s="25">
        <v>0</v>
      </c>
      <c r="S97" s="26">
        <v>1</v>
      </c>
      <c r="T97" s="33">
        <v>0.56999999999999995</v>
      </c>
      <c r="U97" s="484">
        <v>-0.08</v>
      </c>
      <c r="V97" s="25">
        <v>5</v>
      </c>
      <c r="W97" s="26">
        <v>4</v>
      </c>
      <c r="X97" s="25">
        <v>8</v>
      </c>
      <c r="Y97" s="26">
        <v>13</v>
      </c>
      <c r="Z97" s="25">
        <v>551</v>
      </c>
      <c r="AA97" s="26">
        <v>331</v>
      </c>
      <c r="AB97" s="25">
        <v>10</v>
      </c>
      <c r="AC97" s="26">
        <v>22</v>
      </c>
      <c r="AD97" s="25">
        <v>13</v>
      </c>
      <c r="AE97" s="26">
        <v>8</v>
      </c>
      <c r="AF97" s="25">
        <v>3</v>
      </c>
      <c r="AG97" s="26">
        <v>2</v>
      </c>
      <c r="AH97" s="487">
        <v>0</v>
      </c>
      <c r="AI97" s="488">
        <v>0</v>
      </c>
      <c r="AJ97" s="487">
        <v>0</v>
      </c>
      <c r="AK97" s="489">
        <v>0</v>
      </c>
      <c r="AL97" s="173">
        <v>4</v>
      </c>
      <c r="AM97" s="364">
        <f t="shared" si="4"/>
        <v>0.2</v>
      </c>
      <c r="AN97" s="144">
        <v>0</v>
      </c>
      <c r="AO97" s="144">
        <v>11</v>
      </c>
      <c r="AP97" s="144">
        <v>5</v>
      </c>
      <c r="AQ97" s="144">
        <v>13</v>
      </c>
      <c r="AR97" s="365">
        <f t="shared" si="5"/>
        <v>0.65</v>
      </c>
      <c r="AS97" s="144">
        <v>7</v>
      </c>
      <c r="AT97" s="5">
        <v>5</v>
      </c>
      <c r="AU97" s="372">
        <f t="shared" si="6"/>
        <v>0.38461538461538464</v>
      </c>
      <c r="AV97" s="5">
        <v>0</v>
      </c>
      <c r="AW97" s="5">
        <v>3</v>
      </c>
      <c r="AX97" s="5">
        <v>5</v>
      </c>
      <c r="AY97" s="5">
        <v>10</v>
      </c>
      <c r="AZ97" s="372">
        <f t="shared" si="7"/>
        <v>0.76923076923076927</v>
      </c>
      <c r="BA97" s="57">
        <v>3</v>
      </c>
      <c r="BB97" s="393">
        <v>1</v>
      </c>
      <c r="BC97" s="394">
        <v>0</v>
      </c>
      <c r="BD97" s="395">
        <v>1</v>
      </c>
      <c r="BE97" s="396">
        <v>0</v>
      </c>
    </row>
    <row r="98" spans="1:57" x14ac:dyDescent="0.25">
      <c r="A98" s="329">
        <v>45956</v>
      </c>
      <c r="B98" s="5">
        <v>10</v>
      </c>
      <c r="C98" s="5" t="s">
        <v>226</v>
      </c>
      <c r="D98" s="7">
        <v>2</v>
      </c>
      <c r="E98" s="7">
        <v>1</v>
      </c>
      <c r="F98" s="5" t="s">
        <v>113</v>
      </c>
      <c r="G98" s="242" t="s">
        <v>835</v>
      </c>
      <c r="H98" s="42">
        <v>32</v>
      </c>
      <c r="I98" s="26">
        <v>68</v>
      </c>
      <c r="J98" s="33">
        <v>3.63</v>
      </c>
      <c r="K98" s="34">
        <v>1.03</v>
      </c>
      <c r="L98" s="25">
        <v>4</v>
      </c>
      <c r="M98" s="26">
        <v>2</v>
      </c>
      <c r="N98" s="25">
        <v>23</v>
      </c>
      <c r="O98" s="26">
        <v>15</v>
      </c>
      <c r="P98" s="25">
        <v>4</v>
      </c>
      <c r="Q98" s="26">
        <v>9</v>
      </c>
      <c r="R98" s="25">
        <v>0</v>
      </c>
      <c r="S98" s="26">
        <v>7</v>
      </c>
      <c r="T98" s="33">
        <v>-0.36</v>
      </c>
      <c r="U98" s="484">
        <v>2.34</v>
      </c>
      <c r="V98" s="25">
        <v>12</v>
      </c>
      <c r="W98" s="26">
        <v>4</v>
      </c>
      <c r="X98" s="25">
        <v>12</v>
      </c>
      <c r="Y98" s="26">
        <v>9</v>
      </c>
      <c r="Z98" s="25">
        <v>275</v>
      </c>
      <c r="AA98" s="26">
        <v>640</v>
      </c>
      <c r="AB98" s="25">
        <v>24</v>
      </c>
      <c r="AC98" s="26">
        <v>20</v>
      </c>
      <c r="AD98" s="25">
        <v>8</v>
      </c>
      <c r="AE98" s="26">
        <v>12</v>
      </c>
      <c r="AF98" s="25">
        <v>5</v>
      </c>
      <c r="AG98" s="26">
        <v>5</v>
      </c>
      <c r="AH98" s="487">
        <v>0</v>
      </c>
      <c r="AI98" s="488">
        <v>1</v>
      </c>
      <c r="AJ98" s="487">
        <v>1</v>
      </c>
      <c r="AK98" s="489">
        <v>0</v>
      </c>
      <c r="AL98" s="173">
        <v>10</v>
      </c>
      <c r="AM98" s="364">
        <f t="shared" si="4"/>
        <v>0.43478260869565216</v>
      </c>
      <c r="AN98" s="144">
        <v>0</v>
      </c>
      <c r="AO98" s="144">
        <v>6</v>
      </c>
      <c r="AP98" s="144">
        <v>7</v>
      </c>
      <c r="AQ98" s="144">
        <v>17</v>
      </c>
      <c r="AR98" s="365">
        <f t="shared" si="5"/>
        <v>0.73913043478260865</v>
      </c>
      <c r="AS98" s="144">
        <v>6</v>
      </c>
      <c r="AT98" s="5">
        <v>6</v>
      </c>
      <c r="AU98" s="372">
        <f t="shared" si="6"/>
        <v>0.4</v>
      </c>
      <c r="AV98" s="5">
        <v>0</v>
      </c>
      <c r="AW98" s="5">
        <v>5</v>
      </c>
      <c r="AX98" s="5">
        <v>4</v>
      </c>
      <c r="AY98" s="5">
        <v>6</v>
      </c>
      <c r="AZ98" s="372">
        <f t="shared" si="7"/>
        <v>0.4</v>
      </c>
      <c r="BA98" s="57">
        <v>9</v>
      </c>
      <c r="BB98" s="393">
        <v>1</v>
      </c>
      <c r="BC98" s="394">
        <v>1</v>
      </c>
      <c r="BD98" s="395">
        <v>1</v>
      </c>
      <c r="BE98" s="396">
        <v>0</v>
      </c>
    </row>
    <row r="99" spans="1:57" x14ac:dyDescent="0.25">
      <c r="A99" s="329">
        <v>45956</v>
      </c>
      <c r="B99" s="5">
        <v>10</v>
      </c>
      <c r="C99" s="5" t="s">
        <v>227</v>
      </c>
      <c r="D99" s="7">
        <v>2</v>
      </c>
      <c r="E99" s="7">
        <v>3</v>
      </c>
      <c r="F99" s="5" t="s">
        <v>456</v>
      </c>
      <c r="H99" s="42">
        <v>61</v>
      </c>
      <c r="I99" s="26">
        <v>39</v>
      </c>
      <c r="J99" s="33">
        <v>2.37</v>
      </c>
      <c r="K99" s="34">
        <v>1.96</v>
      </c>
      <c r="L99" s="25">
        <v>3</v>
      </c>
      <c r="M99" s="26">
        <v>2</v>
      </c>
      <c r="N99" s="25">
        <v>17</v>
      </c>
      <c r="O99" s="26">
        <v>11</v>
      </c>
      <c r="P99" s="25">
        <v>2</v>
      </c>
      <c r="Q99" s="26">
        <v>5</v>
      </c>
      <c r="R99" s="25">
        <v>0</v>
      </c>
      <c r="S99" s="26">
        <v>1</v>
      </c>
      <c r="T99" s="33">
        <v>-0.25</v>
      </c>
      <c r="U99" s="484">
        <v>0.42</v>
      </c>
      <c r="V99" s="25">
        <v>5</v>
      </c>
      <c r="W99" s="26">
        <v>2</v>
      </c>
      <c r="X99" s="25">
        <v>10</v>
      </c>
      <c r="Y99" s="26">
        <v>13</v>
      </c>
      <c r="Z99" s="25">
        <v>555</v>
      </c>
      <c r="AA99" s="26">
        <v>357</v>
      </c>
      <c r="AB99" s="25">
        <v>14</v>
      </c>
      <c r="AC99" s="26">
        <v>9</v>
      </c>
      <c r="AD99" s="25">
        <v>11</v>
      </c>
      <c r="AE99" s="26">
        <v>10</v>
      </c>
      <c r="AF99" s="25">
        <v>3</v>
      </c>
      <c r="AG99" s="26">
        <v>4</v>
      </c>
      <c r="AH99" s="487">
        <v>0</v>
      </c>
      <c r="AI99" s="488">
        <v>0</v>
      </c>
      <c r="AJ99" s="487">
        <v>2</v>
      </c>
      <c r="AK99" s="489">
        <v>0</v>
      </c>
      <c r="AL99" s="173">
        <v>7</v>
      </c>
      <c r="AM99" s="364">
        <f t="shared" si="4"/>
        <v>0.41176470588235292</v>
      </c>
      <c r="AN99" s="144">
        <v>1</v>
      </c>
      <c r="AO99" s="144">
        <v>7</v>
      </c>
      <c r="AP99" s="144">
        <v>3</v>
      </c>
      <c r="AQ99" s="144">
        <v>10</v>
      </c>
      <c r="AR99" s="365">
        <f t="shared" si="5"/>
        <v>0.58823529411764708</v>
      </c>
      <c r="AS99" s="144">
        <v>7</v>
      </c>
      <c r="AT99" s="5">
        <v>5</v>
      </c>
      <c r="AU99" s="372">
        <f t="shared" si="6"/>
        <v>0.45454545454545453</v>
      </c>
      <c r="AV99" s="5">
        <v>0</v>
      </c>
      <c r="AW99" s="5">
        <v>4</v>
      </c>
      <c r="AX99" s="5">
        <v>2</v>
      </c>
      <c r="AY99" s="5">
        <v>5</v>
      </c>
      <c r="AZ99" s="372">
        <f t="shared" si="7"/>
        <v>0.45454545454545453</v>
      </c>
      <c r="BA99" s="57">
        <v>6</v>
      </c>
      <c r="BB99" s="393">
        <v>1</v>
      </c>
      <c r="BC99" s="394">
        <v>1</v>
      </c>
      <c r="BD99" s="395">
        <v>4</v>
      </c>
      <c r="BE99" s="396">
        <v>0</v>
      </c>
    </row>
    <row r="100" spans="1:57" x14ac:dyDescent="0.25">
      <c r="A100" s="329">
        <v>45956</v>
      </c>
      <c r="B100" s="5">
        <v>10</v>
      </c>
      <c r="C100" s="5" t="s">
        <v>70</v>
      </c>
      <c r="D100" s="7">
        <v>1</v>
      </c>
      <c r="E100" s="7">
        <v>0</v>
      </c>
      <c r="F100" s="5" t="s">
        <v>128</v>
      </c>
      <c r="H100" s="42">
        <v>54</v>
      </c>
      <c r="I100" s="26">
        <v>46</v>
      </c>
      <c r="J100" s="33">
        <v>1.18</v>
      </c>
      <c r="K100" s="34">
        <v>0.84</v>
      </c>
      <c r="L100" s="25">
        <v>2</v>
      </c>
      <c r="M100" s="26">
        <v>1</v>
      </c>
      <c r="N100" s="25">
        <v>15</v>
      </c>
      <c r="O100" s="26">
        <v>12</v>
      </c>
      <c r="P100" s="25">
        <v>2</v>
      </c>
      <c r="Q100" s="26">
        <v>4</v>
      </c>
      <c r="R100" s="25">
        <v>0</v>
      </c>
      <c r="S100" s="26">
        <v>0</v>
      </c>
      <c r="T100" s="33">
        <v>0.55000000000000004</v>
      </c>
      <c r="U100" s="484">
        <v>-0.3</v>
      </c>
      <c r="V100" s="25">
        <v>7</v>
      </c>
      <c r="W100" s="26">
        <v>5</v>
      </c>
      <c r="X100" s="25">
        <v>13</v>
      </c>
      <c r="Y100" s="26">
        <v>11</v>
      </c>
      <c r="Z100" s="25">
        <v>419</v>
      </c>
      <c r="AA100" s="26">
        <v>358</v>
      </c>
      <c r="AB100" s="25">
        <v>18</v>
      </c>
      <c r="AC100" s="26">
        <v>27</v>
      </c>
      <c r="AD100" s="25">
        <v>11</v>
      </c>
      <c r="AE100" s="26">
        <v>13</v>
      </c>
      <c r="AF100" s="25">
        <v>1</v>
      </c>
      <c r="AG100" s="26">
        <v>3</v>
      </c>
      <c r="AH100" s="487">
        <v>0</v>
      </c>
      <c r="AI100" s="488">
        <v>0</v>
      </c>
      <c r="AJ100" s="487">
        <v>0</v>
      </c>
      <c r="AK100" s="489">
        <v>0</v>
      </c>
      <c r="AL100" s="173">
        <v>5</v>
      </c>
      <c r="AM100" s="364">
        <f t="shared" si="4"/>
        <v>0.33333333333333331</v>
      </c>
      <c r="AN100" s="144">
        <v>1</v>
      </c>
      <c r="AO100" s="144">
        <v>8</v>
      </c>
      <c r="AP100" s="144">
        <v>2</v>
      </c>
      <c r="AQ100" s="144">
        <v>8</v>
      </c>
      <c r="AR100" s="365">
        <f t="shared" si="5"/>
        <v>0.53333333333333333</v>
      </c>
      <c r="AS100" s="144">
        <v>7</v>
      </c>
      <c r="AT100" s="5">
        <v>2</v>
      </c>
      <c r="AU100" s="372">
        <f t="shared" si="6"/>
        <v>0.16666666666666666</v>
      </c>
      <c r="AV100" s="5">
        <v>0</v>
      </c>
      <c r="AW100" s="5">
        <v>3</v>
      </c>
      <c r="AX100" s="5">
        <v>7</v>
      </c>
      <c r="AY100" s="5">
        <v>6</v>
      </c>
      <c r="AZ100" s="372">
        <f t="shared" si="7"/>
        <v>0.5</v>
      </c>
      <c r="BA100" s="57">
        <v>6</v>
      </c>
      <c r="BB100" s="393">
        <v>1</v>
      </c>
      <c r="BC100" s="394">
        <v>0</v>
      </c>
      <c r="BD100" s="395">
        <v>0</v>
      </c>
      <c r="BE100" s="396">
        <v>0</v>
      </c>
    </row>
    <row r="101" spans="1:57" x14ac:dyDescent="0.25">
      <c r="A101" s="329">
        <v>45957</v>
      </c>
      <c r="B101" s="5">
        <v>10</v>
      </c>
      <c r="C101" s="5" t="s">
        <v>209</v>
      </c>
      <c r="D101" s="7">
        <v>0</v>
      </c>
      <c r="E101" s="7">
        <v>2</v>
      </c>
      <c r="F101" s="5" t="s">
        <v>193</v>
      </c>
      <c r="H101" s="42">
        <v>57</v>
      </c>
      <c r="I101" s="26">
        <v>43</v>
      </c>
      <c r="J101" s="33">
        <v>1.07</v>
      </c>
      <c r="K101" s="34">
        <v>0.6</v>
      </c>
      <c r="L101" s="25">
        <v>2</v>
      </c>
      <c r="M101" s="26">
        <v>1</v>
      </c>
      <c r="N101" s="25">
        <v>17</v>
      </c>
      <c r="O101" s="26">
        <v>9</v>
      </c>
      <c r="P101" s="25">
        <v>2</v>
      </c>
      <c r="Q101" s="26">
        <v>5</v>
      </c>
      <c r="R101" s="25">
        <v>1</v>
      </c>
      <c r="S101" s="26">
        <v>1</v>
      </c>
      <c r="T101" s="33">
        <v>-0.49</v>
      </c>
      <c r="U101" s="484">
        <v>1.28</v>
      </c>
      <c r="V101" s="25">
        <v>2</v>
      </c>
      <c r="W101" s="26">
        <v>5</v>
      </c>
      <c r="X101" s="25">
        <v>9</v>
      </c>
      <c r="Y101" s="26">
        <v>18</v>
      </c>
      <c r="Z101" s="25">
        <v>545</v>
      </c>
      <c r="AA101" s="26">
        <v>421</v>
      </c>
      <c r="AB101" s="25">
        <v>20</v>
      </c>
      <c r="AC101" s="26">
        <v>29</v>
      </c>
      <c r="AD101" s="25">
        <v>18</v>
      </c>
      <c r="AE101" s="26">
        <v>9</v>
      </c>
      <c r="AF101" s="25">
        <v>2</v>
      </c>
      <c r="AG101" s="26">
        <v>1</v>
      </c>
      <c r="AH101" s="487">
        <v>0</v>
      </c>
      <c r="AI101" s="488">
        <v>0</v>
      </c>
      <c r="AJ101" s="487">
        <v>0</v>
      </c>
      <c r="AK101" s="489">
        <v>0</v>
      </c>
      <c r="AL101" s="173">
        <v>5</v>
      </c>
      <c r="AM101" s="364">
        <f t="shared" si="4"/>
        <v>0.29411764705882354</v>
      </c>
      <c r="AN101" s="144">
        <v>1</v>
      </c>
      <c r="AO101" s="144">
        <v>7</v>
      </c>
      <c r="AP101" s="144">
        <v>5</v>
      </c>
      <c r="AQ101" s="144">
        <v>7</v>
      </c>
      <c r="AR101" s="365">
        <f t="shared" si="5"/>
        <v>0.41176470588235292</v>
      </c>
      <c r="AS101" s="144">
        <v>10</v>
      </c>
      <c r="AT101" s="5">
        <v>4</v>
      </c>
      <c r="AU101" s="372">
        <f t="shared" si="6"/>
        <v>0.44444444444444442</v>
      </c>
      <c r="AV101" s="5">
        <v>0</v>
      </c>
      <c r="AW101" s="5">
        <v>4</v>
      </c>
      <c r="AX101" s="5">
        <v>1</v>
      </c>
      <c r="AY101" s="5">
        <v>5</v>
      </c>
      <c r="AZ101" s="372">
        <f t="shared" si="7"/>
        <v>0.55555555555555558</v>
      </c>
      <c r="BA101" s="57">
        <v>4</v>
      </c>
      <c r="BB101" s="393">
        <v>0</v>
      </c>
      <c r="BC101" s="394">
        <v>0</v>
      </c>
      <c r="BD101" s="395">
        <v>0</v>
      </c>
      <c r="BE101" s="396">
        <v>0</v>
      </c>
    </row>
    <row r="102" spans="1:57" x14ac:dyDescent="0.25">
      <c r="A102" s="329">
        <v>45961</v>
      </c>
      <c r="B102" s="5">
        <v>11</v>
      </c>
      <c r="C102" s="5" t="s">
        <v>161</v>
      </c>
      <c r="D102" s="7">
        <v>2</v>
      </c>
      <c r="E102" s="7">
        <v>1</v>
      </c>
      <c r="F102" s="5" t="s">
        <v>69</v>
      </c>
      <c r="H102" s="42">
        <v>40</v>
      </c>
      <c r="I102" s="26">
        <v>60</v>
      </c>
      <c r="J102" s="33">
        <v>0.88</v>
      </c>
      <c r="K102" s="34">
        <v>1.43</v>
      </c>
      <c r="L102" s="25">
        <v>2</v>
      </c>
      <c r="M102" s="26">
        <v>2</v>
      </c>
      <c r="N102" s="25">
        <v>12</v>
      </c>
      <c r="O102" s="26">
        <v>8</v>
      </c>
      <c r="P102" s="25">
        <v>3</v>
      </c>
      <c r="Q102" s="26">
        <v>2</v>
      </c>
      <c r="R102" s="25">
        <v>2</v>
      </c>
      <c r="S102" s="26">
        <v>1</v>
      </c>
      <c r="T102" s="33">
        <v>0.3</v>
      </c>
      <c r="U102" s="484">
        <v>-0.1</v>
      </c>
      <c r="V102" s="25">
        <v>8</v>
      </c>
      <c r="W102" s="26">
        <v>3</v>
      </c>
      <c r="X102" s="25">
        <v>17</v>
      </c>
      <c r="Y102" s="26">
        <v>15</v>
      </c>
      <c r="Z102" s="25">
        <v>247</v>
      </c>
      <c r="AA102" s="26">
        <v>403</v>
      </c>
      <c r="AB102" s="25">
        <v>19</v>
      </c>
      <c r="AC102" s="26">
        <v>17</v>
      </c>
      <c r="AD102" s="25">
        <v>15</v>
      </c>
      <c r="AE102" s="26">
        <v>16</v>
      </c>
      <c r="AF102" s="25">
        <v>1</v>
      </c>
      <c r="AG102" s="26">
        <v>2</v>
      </c>
      <c r="AH102" s="487">
        <v>0</v>
      </c>
      <c r="AI102" s="488">
        <v>0</v>
      </c>
      <c r="AJ102" s="487">
        <v>0</v>
      </c>
      <c r="AK102" s="489">
        <v>1</v>
      </c>
      <c r="AL102" s="173">
        <v>4</v>
      </c>
      <c r="AM102" s="364">
        <f t="shared" si="4"/>
        <v>0.33333333333333331</v>
      </c>
      <c r="AN102" s="144">
        <v>0</v>
      </c>
      <c r="AO102" s="144">
        <v>7</v>
      </c>
      <c r="AP102" s="144">
        <v>1</v>
      </c>
      <c r="AQ102" s="144">
        <v>7</v>
      </c>
      <c r="AR102" s="365">
        <f t="shared" si="5"/>
        <v>0.58333333333333337</v>
      </c>
      <c r="AS102" s="144">
        <v>5</v>
      </c>
      <c r="AT102" s="5">
        <v>4</v>
      </c>
      <c r="AU102" s="372">
        <f t="shared" si="6"/>
        <v>0.5</v>
      </c>
      <c r="AV102" s="5">
        <v>0</v>
      </c>
      <c r="AW102" s="5">
        <v>2</v>
      </c>
      <c r="AX102" s="5">
        <v>2</v>
      </c>
      <c r="AY102" s="5">
        <v>4</v>
      </c>
      <c r="AZ102" s="372">
        <f t="shared" si="7"/>
        <v>0.5</v>
      </c>
      <c r="BA102" s="57">
        <v>4</v>
      </c>
      <c r="BB102" s="393">
        <v>1</v>
      </c>
      <c r="BC102" s="394">
        <v>0</v>
      </c>
      <c r="BD102" s="395">
        <v>0</v>
      </c>
      <c r="BE102" s="396">
        <v>0</v>
      </c>
    </row>
    <row r="103" spans="1:57" x14ac:dyDescent="0.25">
      <c r="A103" s="329">
        <v>45962</v>
      </c>
      <c r="B103" s="5">
        <v>11</v>
      </c>
      <c r="C103" s="5" t="s">
        <v>91</v>
      </c>
      <c r="D103" s="7">
        <v>4</v>
      </c>
      <c r="E103" s="7">
        <v>0</v>
      </c>
      <c r="F103" s="5" t="s">
        <v>70</v>
      </c>
      <c r="H103" s="42">
        <v>47</v>
      </c>
      <c r="I103" s="26">
        <v>53</v>
      </c>
      <c r="J103" s="33">
        <v>3.02</v>
      </c>
      <c r="K103" s="34">
        <v>1.02</v>
      </c>
      <c r="L103" s="25">
        <v>3</v>
      </c>
      <c r="M103" s="26">
        <v>1</v>
      </c>
      <c r="N103" s="25">
        <v>16</v>
      </c>
      <c r="O103" s="26">
        <v>13</v>
      </c>
      <c r="P103" s="25">
        <v>3</v>
      </c>
      <c r="Q103" s="26">
        <v>3</v>
      </c>
      <c r="R103" s="25">
        <v>1</v>
      </c>
      <c r="S103" s="26">
        <v>1</v>
      </c>
      <c r="T103" s="33">
        <v>1.06</v>
      </c>
      <c r="U103" s="484">
        <v>-1.79</v>
      </c>
      <c r="V103" s="25">
        <v>3</v>
      </c>
      <c r="W103" s="26">
        <v>5</v>
      </c>
      <c r="X103" s="25">
        <v>7</v>
      </c>
      <c r="Y103" s="26">
        <v>11</v>
      </c>
      <c r="Z103" s="25">
        <v>426</v>
      </c>
      <c r="AA103" s="26">
        <v>459</v>
      </c>
      <c r="AB103" s="25">
        <v>10</v>
      </c>
      <c r="AC103" s="26">
        <v>17</v>
      </c>
      <c r="AD103" s="25">
        <v>11</v>
      </c>
      <c r="AE103" s="26">
        <v>7</v>
      </c>
      <c r="AF103" s="25">
        <v>1</v>
      </c>
      <c r="AG103" s="26">
        <v>1</v>
      </c>
      <c r="AH103" s="487">
        <v>0</v>
      </c>
      <c r="AI103" s="488">
        <v>0</v>
      </c>
      <c r="AJ103" s="487">
        <v>0</v>
      </c>
      <c r="AK103" s="489">
        <v>0</v>
      </c>
      <c r="AL103" s="173">
        <v>7</v>
      </c>
      <c r="AM103" s="364">
        <f t="shared" si="4"/>
        <v>0.4375</v>
      </c>
      <c r="AN103" s="144">
        <v>1</v>
      </c>
      <c r="AO103" s="144">
        <v>6</v>
      </c>
      <c r="AP103" s="144">
        <v>3</v>
      </c>
      <c r="AQ103" s="144">
        <v>11</v>
      </c>
      <c r="AR103" s="365">
        <f t="shared" si="5"/>
        <v>0.6875</v>
      </c>
      <c r="AS103" s="144">
        <v>5</v>
      </c>
      <c r="AT103" s="5">
        <v>3</v>
      </c>
      <c r="AU103" s="372">
        <f t="shared" si="6"/>
        <v>0.23076923076923078</v>
      </c>
      <c r="AV103" s="5">
        <v>0</v>
      </c>
      <c r="AW103" s="5">
        <v>7</v>
      </c>
      <c r="AX103" s="5">
        <v>3</v>
      </c>
      <c r="AY103" s="5">
        <v>7</v>
      </c>
      <c r="AZ103" s="372">
        <f t="shared" si="7"/>
        <v>0.53846153846153844</v>
      </c>
      <c r="BA103" s="57">
        <v>6</v>
      </c>
      <c r="BB103" s="393">
        <v>1</v>
      </c>
      <c r="BC103" s="394">
        <v>0</v>
      </c>
      <c r="BD103" s="395">
        <v>0</v>
      </c>
      <c r="BE103" s="396">
        <v>1</v>
      </c>
    </row>
    <row r="104" spans="1:57" x14ac:dyDescent="0.25">
      <c r="A104" s="329">
        <v>45962</v>
      </c>
      <c r="B104" s="5">
        <v>11</v>
      </c>
      <c r="C104" s="5" t="s">
        <v>193</v>
      </c>
      <c r="D104" s="7">
        <v>3</v>
      </c>
      <c r="E104" s="7">
        <v>0</v>
      </c>
      <c r="F104" s="5" t="s">
        <v>171</v>
      </c>
      <c r="H104" s="42">
        <v>47</v>
      </c>
      <c r="I104" s="26">
        <v>53</v>
      </c>
      <c r="J104" s="33">
        <v>3.53</v>
      </c>
      <c r="K104" s="34">
        <v>0.46</v>
      </c>
      <c r="L104" s="25">
        <v>6</v>
      </c>
      <c r="M104" s="26">
        <v>0</v>
      </c>
      <c r="N104" s="25">
        <v>15</v>
      </c>
      <c r="O104" s="26">
        <v>10</v>
      </c>
      <c r="P104" s="25">
        <v>2</v>
      </c>
      <c r="Q104" s="26">
        <v>3</v>
      </c>
      <c r="R104" s="25">
        <v>1</v>
      </c>
      <c r="S104" s="26">
        <v>1</v>
      </c>
      <c r="T104" s="33">
        <v>0.31</v>
      </c>
      <c r="U104" s="484">
        <v>0.63</v>
      </c>
      <c r="V104" s="25">
        <v>9</v>
      </c>
      <c r="W104" s="26">
        <v>4</v>
      </c>
      <c r="X104" s="25">
        <v>9</v>
      </c>
      <c r="Y104" s="26">
        <v>12</v>
      </c>
      <c r="Z104" s="25">
        <v>459</v>
      </c>
      <c r="AA104" s="26">
        <v>531</v>
      </c>
      <c r="AB104" s="25">
        <v>15</v>
      </c>
      <c r="AC104" s="26">
        <v>24</v>
      </c>
      <c r="AD104" s="25">
        <v>11</v>
      </c>
      <c r="AE104" s="26">
        <v>9</v>
      </c>
      <c r="AF104" s="25">
        <v>0</v>
      </c>
      <c r="AG104" s="26">
        <v>3</v>
      </c>
      <c r="AH104" s="487">
        <v>0</v>
      </c>
      <c r="AI104" s="488">
        <v>0</v>
      </c>
      <c r="AJ104" s="487">
        <v>1</v>
      </c>
      <c r="AK104" s="489">
        <v>0</v>
      </c>
      <c r="AL104" s="173">
        <v>6</v>
      </c>
      <c r="AM104" s="364">
        <f t="shared" si="4"/>
        <v>0.4</v>
      </c>
      <c r="AN104" s="144">
        <v>1</v>
      </c>
      <c r="AO104" s="144">
        <v>6</v>
      </c>
      <c r="AP104" s="144">
        <v>3</v>
      </c>
      <c r="AQ104" s="144">
        <v>12</v>
      </c>
      <c r="AR104" s="365">
        <f t="shared" si="5"/>
        <v>0.8</v>
      </c>
      <c r="AS104" s="144">
        <v>3</v>
      </c>
      <c r="AT104" s="5">
        <v>2</v>
      </c>
      <c r="AU104" s="372">
        <f t="shared" si="6"/>
        <v>0.2</v>
      </c>
      <c r="AV104" s="5">
        <v>0</v>
      </c>
      <c r="AW104" s="5">
        <v>7</v>
      </c>
      <c r="AX104" s="5">
        <v>1</v>
      </c>
      <c r="AY104" s="5">
        <v>5</v>
      </c>
      <c r="AZ104" s="372">
        <f t="shared" si="7"/>
        <v>0.5</v>
      </c>
      <c r="BA104" s="57">
        <v>5</v>
      </c>
      <c r="BB104" s="393">
        <v>1</v>
      </c>
      <c r="BC104" s="394">
        <v>0</v>
      </c>
      <c r="BD104" s="395">
        <v>1</v>
      </c>
      <c r="BE104" s="396">
        <v>0</v>
      </c>
    </row>
    <row r="105" spans="1:57" x14ac:dyDescent="0.25">
      <c r="A105" s="329">
        <v>45962</v>
      </c>
      <c r="B105" s="5">
        <v>11</v>
      </c>
      <c r="C105" s="5" t="s">
        <v>146</v>
      </c>
      <c r="D105" s="7">
        <v>3</v>
      </c>
      <c r="E105" s="7">
        <v>2</v>
      </c>
      <c r="F105" s="5" t="s">
        <v>170</v>
      </c>
      <c r="H105" s="42">
        <v>51</v>
      </c>
      <c r="I105" s="26">
        <v>49</v>
      </c>
      <c r="J105" s="33">
        <v>1.52</v>
      </c>
      <c r="K105" s="34">
        <v>0.83</v>
      </c>
      <c r="L105" s="25">
        <v>4</v>
      </c>
      <c r="M105" s="26">
        <v>2</v>
      </c>
      <c r="N105" s="25">
        <v>9</v>
      </c>
      <c r="O105" s="26">
        <v>11</v>
      </c>
      <c r="P105" s="25">
        <v>2</v>
      </c>
      <c r="Q105" s="26">
        <v>2</v>
      </c>
      <c r="R105" s="25">
        <v>0</v>
      </c>
      <c r="S105" s="26">
        <v>1</v>
      </c>
      <c r="T105" s="33">
        <v>-1.36</v>
      </c>
      <c r="U105" s="484">
        <v>0.3</v>
      </c>
      <c r="V105" s="25">
        <v>6</v>
      </c>
      <c r="W105" s="26">
        <v>2</v>
      </c>
      <c r="X105" s="25">
        <v>20</v>
      </c>
      <c r="Y105" s="26">
        <v>8</v>
      </c>
      <c r="Z105" s="25">
        <v>363</v>
      </c>
      <c r="AA105" s="26">
        <v>357</v>
      </c>
      <c r="AB105" s="25">
        <v>20</v>
      </c>
      <c r="AC105" s="26">
        <v>20</v>
      </c>
      <c r="AD105" s="25">
        <v>8</v>
      </c>
      <c r="AE105" s="26">
        <v>20</v>
      </c>
      <c r="AF105" s="25">
        <v>2</v>
      </c>
      <c r="AG105" s="26">
        <v>3</v>
      </c>
      <c r="AH105" s="487">
        <v>0</v>
      </c>
      <c r="AI105" s="488">
        <v>0</v>
      </c>
      <c r="AJ105" s="487">
        <v>0</v>
      </c>
      <c r="AK105" s="489">
        <v>0</v>
      </c>
      <c r="AL105" s="173">
        <v>5</v>
      </c>
      <c r="AM105" s="364">
        <f t="shared" si="4"/>
        <v>0.55555555555555558</v>
      </c>
      <c r="AN105" s="144">
        <v>0</v>
      </c>
      <c r="AO105" s="144">
        <v>3</v>
      </c>
      <c r="AP105" s="144">
        <v>1</v>
      </c>
      <c r="AQ105" s="144">
        <v>7</v>
      </c>
      <c r="AR105" s="365">
        <f t="shared" si="5"/>
        <v>0.77777777777777779</v>
      </c>
      <c r="AS105" s="144">
        <v>2</v>
      </c>
      <c r="AT105" s="5">
        <v>4</v>
      </c>
      <c r="AU105" s="372">
        <f t="shared" si="6"/>
        <v>0.36363636363636365</v>
      </c>
      <c r="AV105" s="5">
        <v>0</v>
      </c>
      <c r="AW105" s="5">
        <v>5</v>
      </c>
      <c r="AX105" s="5">
        <v>5</v>
      </c>
      <c r="AY105" s="5">
        <v>2</v>
      </c>
      <c r="AZ105" s="372">
        <f t="shared" si="7"/>
        <v>0.18181818181818182</v>
      </c>
      <c r="BA105" s="57">
        <v>8</v>
      </c>
      <c r="BB105" s="393">
        <v>0</v>
      </c>
      <c r="BC105" s="394">
        <v>0</v>
      </c>
      <c r="BD105" s="395">
        <v>0</v>
      </c>
      <c r="BE105" s="396">
        <v>0</v>
      </c>
    </row>
    <row r="106" spans="1:57" x14ac:dyDescent="0.25">
      <c r="A106" s="329">
        <v>45962</v>
      </c>
      <c r="B106" s="5">
        <v>11</v>
      </c>
      <c r="C106" s="5" t="s">
        <v>226</v>
      </c>
      <c r="D106" s="7">
        <v>4</v>
      </c>
      <c r="E106" s="7">
        <v>0</v>
      </c>
      <c r="F106" s="5" t="s">
        <v>145</v>
      </c>
      <c r="H106" s="42">
        <v>65</v>
      </c>
      <c r="I106" s="26">
        <v>35</v>
      </c>
      <c r="J106" s="33">
        <v>2.71</v>
      </c>
      <c r="K106" s="34">
        <v>0.49</v>
      </c>
      <c r="L106" s="25">
        <v>4</v>
      </c>
      <c r="M106" s="26">
        <v>1</v>
      </c>
      <c r="N106" s="25">
        <v>21</v>
      </c>
      <c r="O106" s="26">
        <v>4</v>
      </c>
      <c r="P106" s="25">
        <v>1</v>
      </c>
      <c r="Q106" s="26">
        <v>7</v>
      </c>
      <c r="R106" s="25">
        <v>0</v>
      </c>
      <c r="S106" s="26">
        <v>1</v>
      </c>
      <c r="T106" s="33">
        <v>0.05</v>
      </c>
      <c r="U106" s="484">
        <v>0.7</v>
      </c>
      <c r="V106" s="25">
        <v>7</v>
      </c>
      <c r="W106" s="26">
        <v>1</v>
      </c>
      <c r="X106" s="25">
        <v>14</v>
      </c>
      <c r="Y106" s="26">
        <v>7</v>
      </c>
      <c r="Z106" s="25">
        <v>715</v>
      </c>
      <c r="AA106" s="26">
        <v>381</v>
      </c>
      <c r="AB106" s="25">
        <v>21</v>
      </c>
      <c r="AC106" s="26">
        <v>23</v>
      </c>
      <c r="AD106" s="25">
        <v>5</v>
      </c>
      <c r="AE106" s="26">
        <v>14</v>
      </c>
      <c r="AF106" s="25">
        <v>1</v>
      </c>
      <c r="AG106" s="26">
        <v>1</v>
      </c>
      <c r="AH106" s="487">
        <v>0</v>
      </c>
      <c r="AI106" s="488">
        <v>0</v>
      </c>
      <c r="AJ106" s="487">
        <v>2</v>
      </c>
      <c r="AK106" s="489">
        <v>0</v>
      </c>
      <c r="AL106" s="173">
        <v>11</v>
      </c>
      <c r="AM106" s="364">
        <f t="shared" si="4"/>
        <v>0.52380952380952384</v>
      </c>
      <c r="AN106" s="144">
        <v>0</v>
      </c>
      <c r="AO106" s="144">
        <v>4</v>
      </c>
      <c r="AP106" s="144">
        <v>6</v>
      </c>
      <c r="AQ106" s="144">
        <v>12</v>
      </c>
      <c r="AR106" s="365">
        <f t="shared" si="5"/>
        <v>0.5714285714285714</v>
      </c>
      <c r="AS106" s="144">
        <v>9</v>
      </c>
      <c r="AT106" s="5">
        <v>1</v>
      </c>
      <c r="AU106" s="372">
        <f t="shared" si="6"/>
        <v>0.25</v>
      </c>
      <c r="AV106" s="5">
        <v>1</v>
      </c>
      <c r="AW106" s="5">
        <v>2</v>
      </c>
      <c r="AX106" s="5">
        <v>1</v>
      </c>
      <c r="AY106" s="5">
        <v>3</v>
      </c>
      <c r="AZ106" s="372">
        <f t="shared" si="7"/>
        <v>0.75</v>
      </c>
      <c r="BA106" s="57">
        <v>1</v>
      </c>
      <c r="BB106" s="393">
        <v>0</v>
      </c>
      <c r="BC106" s="394">
        <v>0</v>
      </c>
      <c r="BD106" s="395">
        <v>2</v>
      </c>
      <c r="BE106" s="396">
        <v>0</v>
      </c>
    </row>
    <row r="107" spans="1:57" x14ac:dyDescent="0.25">
      <c r="A107" s="329">
        <v>45963</v>
      </c>
      <c r="B107" s="5">
        <v>11</v>
      </c>
      <c r="C107" s="26" t="s">
        <v>129</v>
      </c>
      <c r="D107" s="7">
        <v>1</v>
      </c>
      <c r="E107" s="7">
        <v>2</v>
      </c>
      <c r="F107" s="5" t="s">
        <v>456</v>
      </c>
      <c r="G107" s="242" t="s">
        <v>850</v>
      </c>
      <c r="H107" s="42">
        <v>36</v>
      </c>
      <c r="I107" s="26">
        <v>64</v>
      </c>
      <c r="J107" s="33">
        <v>1.2</v>
      </c>
      <c r="K107" s="34">
        <v>2</v>
      </c>
      <c r="L107" s="25">
        <v>2</v>
      </c>
      <c r="M107" s="26">
        <v>1</v>
      </c>
      <c r="N107" s="25">
        <v>9</v>
      </c>
      <c r="O107" s="26">
        <v>20</v>
      </c>
      <c r="P107" s="25">
        <v>5</v>
      </c>
      <c r="Q107" s="26">
        <v>2</v>
      </c>
      <c r="R107" s="25">
        <v>1</v>
      </c>
      <c r="S107" s="26">
        <v>1</v>
      </c>
      <c r="T107" s="33">
        <v>0.02</v>
      </c>
      <c r="U107" s="484">
        <v>-0.51</v>
      </c>
      <c r="V107" s="25">
        <v>4</v>
      </c>
      <c r="W107" s="26">
        <v>4</v>
      </c>
      <c r="X107" s="25">
        <v>10</v>
      </c>
      <c r="Y107" s="26">
        <v>12</v>
      </c>
      <c r="Z107" s="25">
        <v>328</v>
      </c>
      <c r="AA107" s="26">
        <v>609</v>
      </c>
      <c r="AB107" s="25">
        <v>17</v>
      </c>
      <c r="AC107" s="26">
        <v>15</v>
      </c>
      <c r="AD107" s="25">
        <v>11</v>
      </c>
      <c r="AE107" s="26">
        <v>10</v>
      </c>
      <c r="AF107" s="25">
        <v>2</v>
      </c>
      <c r="AG107" s="26">
        <v>3</v>
      </c>
      <c r="AH107" s="487">
        <v>1</v>
      </c>
      <c r="AI107" s="488">
        <v>0</v>
      </c>
      <c r="AJ107" s="487">
        <v>1</v>
      </c>
      <c r="AK107" s="489">
        <v>0</v>
      </c>
      <c r="AL107" s="173">
        <v>3</v>
      </c>
      <c r="AM107" s="364">
        <f t="shared" si="4"/>
        <v>0.33333333333333331</v>
      </c>
      <c r="AN107" s="144">
        <v>1</v>
      </c>
      <c r="AO107" s="144">
        <v>5</v>
      </c>
      <c r="AP107" s="144">
        <v>1</v>
      </c>
      <c r="AQ107" s="144">
        <v>8</v>
      </c>
      <c r="AR107" s="365">
        <f t="shared" si="5"/>
        <v>0.88888888888888884</v>
      </c>
      <c r="AS107" s="144">
        <v>1</v>
      </c>
      <c r="AT107" s="5">
        <v>6</v>
      </c>
      <c r="AU107" s="372">
        <f t="shared" si="6"/>
        <v>0.3</v>
      </c>
      <c r="AV107" s="5">
        <v>0</v>
      </c>
      <c r="AW107" s="5">
        <v>9</v>
      </c>
      <c r="AX107" s="5">
        <v>5</v>
      </c>
      <c r="AY107" s="5">
        <v>15</v>
      </c>
      <c r="AZ107" s="372">
        <f t="shared" si="7"/>
        <v>0.75</v>
      </c>
      <c r="BA107" s="57">
        <v>5</v>
      </c>
      <c r="BB107" s="393">
        <v>1</v>
      </c>
      <c r="BC107" s="394">
        <v>0</v>
      </c>
      <c r="BD107" s="395">
        <v>0</v>
      </c>
      <c r="BE107" s="396">
        <v>0</v>
      </c>
    </row>
    <row r="108" spans="1:57" x14ac:dyDescent="0.25">
      <c r="A108" s="329">
        <v>45963</v>
      </c>
      <c r="B108" s="5">
        <v>11</v>
      </c>
      <c r="C108" s="5" t="s">
        <v>128</v>
      </c>
      <c r="D108" s="7">
        <v>2</v>
      </c>
      <c r="E108" s="7">
        <v>1</v>
      </c>
      <c r="F108" s="5" t="s">
        <v>192</v>
      </c>
      <c r="G108" s="242" t="s">
        <v>856</v>
      </c>
      <c r="H108" s="42">
        <v>54</v>
      </c>
      <c r="I108" s="26">
        <v>46</v>
      </c>
      <c r="J108" s="33">
        <v>1.22</v>
      </c>
      <c r="K108" s="34">
        <v>1.06</v>
      </c>
      <c r="L108" s="25">
        <v>4</v>
      </c>
      <c r="M108" s="26">
        <v>1</v>
      </c>
      <c r="N108" s="25">
        <v>13</v>
      </c>
      <c r="O108" s="26">
        <v>18</v>
      </c>
      <c r="P108" s="25">
        <v>1</v>
      </c>
      <c r="Q108" s="26">
        <v>2</v>
      </c>
      <c r="R108" s="25">
        <v>0</v>
      </c>
      <c r="S108" s="26">
        <v>1</v>
      </c>
      <c r="T108" s="33">
        <v>-0.05</v>
      </c>
      <c r="U108" s="484">
        <v>-0.9</v>
      </c>
      <c r="V108" s="25">
        <v>1</v>
      </c>
      <c r="W108" s="26">
        <v>6</v>
      </c>
      <c r="X108" s="25">
        <v>14</v>
      </c>
      <c r="Y108" s="26">
        <v>12</v>
      </c>
      <c r="Z108" s="25">
        <v>474</v>
      </c>
      <c r="AA108" s="26">
        <v>374</v>
      </c>
      <c r="AB108" s="25">
        <v>19</v>
      </c>
      <c r="AC108" s="26">
        <v>22</v>
      </c>
      <c r="AD108" s="25">
        <v>12</v>
      </c>
      <c r="AE108" s="26">
        <v>14</v>
      </c>
      <c r="AF108" s="25">
        <v>4</v>
      </c>
      <c r="AG108" s="26">
        <v>2</v>
      </c>
      <c r="AH108" s="487">
        <v>1</v>
      </c>
      <c r="AI108" s="488">
        <v>0</v>
      </c>
      <c r="AJ108" s="487">
        <v>0</v>
      </c>
      <c r="AK108" s="489">
        <v>0</v>
      </c>
      <c r="AL108" s="173">
        <v>4</v>
      </c>
      <c r="AM108" s="364">
        <f t="shared" si="4"/>
        <v>0.30769230769230771</v>
      </c>
      <c r="AN108" s="144">
        <v>1</v>
      </c>
      <c r="AO108" s="144">
        <v>6</v>
      </c>
      <c r="AP108" s="144">
        <v>3</v>
      </c>
      <c r="AQ108" s="144">
        <v>9</v>
      </c>
      <c r="AR108" s="365">
        <f t="shared" si="5"/>
        <v>0.69230769230769229</v>
      </c>
      <c r="AS108" s="144">
        <v>4</v>
      </c>
      <c r="AT108" s="5">
        <v>2</v>
      </c>
      <c r="AU108" s="372">
        <f t="shared" si="6"/>
        <v>0.1111111111111111</v>
      </c>
      <c r="AV108" s="5">
        <v>0</v>
      </c>
      <c r="AW108" s="5">
        <v>6</v>
      </c>
      <c r="AX108" s="5">
        <v>10</v>
      </c>
      <c r="AY108" s="5">
        <v>12</v>
      </c>
      <c r="AZ108" s="372">
        <f t="shared" si="7"/>
        <v>0.66666666666666663</v>
      </c>
      <c r="BA108" s="57">
        <v>6</v>
      </c>
      <c r="BB108" s="393">
        <v>0</v>
      </c>
      <c r="BC108" s="394">
        <v>0</v>
      </c>
      <c r="BD108" s="395">
        <v>0</v>
      </c>
      <c r="BE108" s="396">
        <v>1</v>
      </c>
    </row>
    <row r="109" spans="1:57" x14ac:dyDescent="0.25">
      <c r="A109" s="329">
        <v>45963</v>
      </c>
      <c r="B109" s="5">
        <v>11</v>
      </c>
      <c r="C109" s="5" t="s">
        <v>113</v>
      </c>
      <c r="D109" s="7">
        <v>3</v>
      </c>
      <c r="E109" s="7">
        <v>1</v>
      </c>
      <c r="F109" s="5" t="s">
        <v>208</v>
      </c>
      <c r="H109" s="42">
        <v>49</v>
      </c>
      <c r="I109" s="26">
        <v>51</v>
      </c>
      <c r="J109" s="33">
        <v>1.88</v>
      </c>
      <c r="K109" s="34">
        <v>0.66</v>
      </c>
      <c r="L109" s="25">
        <v>5</v>
      </c>
      <c r="M109" s="26">
        <v>1</v>
      </c>
      <c r="N109" s="25">
        <v>17</v>
      </c>
      <c r="O109" s="26">
        <v>9</v>
      </c>
      <c r="P109" s="25">
        <v>2</v>
      </c>
      <c r="Q109" s="26">
        <v>2</v>
      </c>
      <c r="R109" s="25">
        <v>1</v>
      </c>
      <c r="S109" s="26">
        <v>2</v>
      </c>
      <c r="T109" s="33">
        <v>0.09</v>
      </c>
      <c r="U109" s="484">
        <v>-0.18</v>
      </c>
      <c r="V109" s="25">
        <v>6</v>
      </c>
      <c r="W109" s="26">
        <v>3</v>
      </c>
      <c r="X109" s="25">
        <v>12</v>
      </c>
      <c r="Y109" s="26">
        <v>16</v>
      </c>
      <c r="Z109" s="25">
        <v>413</v>
      </c>
      <c r="AA109" s="26">
        <v>435</v>
      </c>
      <c r="AB109" s="25">
        <v>17</v>
      </c>
      <c r="AC109" s="26">
        <v>16</v>
      </c>
      <c r="AD109" s="25">
        <v>16</v>
      </c>
      <c r="AE109" s="26">
        <v>12</v>
      </c>
      <c r="AF109" s="25">
        <v>0</v>
      </c>
      <c r="AG109" s="26">
        <v>1</v>
      </c>
      <c r="AH109" s="487">
        <v>0</v>
      </c>
      <c r="AI109" s="488">
        <v>0</v>
      </c>
      <c r="AJ109" s="487">
        <v>0</v>
      </c>
      <c r="AK109" s="489">
        <v>0</v>
      </c>
      <c r="AL109" s="173">
        <v>5</v>
      </c>
      <c r="AM109" s="364">
        <f t="shared" si="4"/>
        <v>0.29411764705882354</v>
      </c>
      <c r="AN109" s="144">
        <v>0</v>
      </c>
      <c r="AO109" s="144">
        <v>6</v>
      </c>
      <c r="AP109" s="144">
        <v>6</v>
      </c>
      <c r="AQ109" s="144">
        <v>11</v>
      </c>
      <c r="AR109" s="365">
        <f t="shared" si="5"/>
        <v>0.6470588235294118</v>
      </c>
      <c r="AS109" s="144">
        <v>6</v>
      </c>
      <c r="AT109" s="5">
        <v>3</v>
      </c>
      <c r="AU109" s="372">
        <f t="shared" si="6"/>
        <v>0.33333333333333331</v>
      </c>
      <c r="AV109" s="5">
        <v>1</v>
      </c>
      <c r="AW109" s="5">
        <v>4</v>
      </c>
      <c r="AX109" s="5">
        <v>2</v>
      </c>
      <c r="AY109" s="5">
        <v>7</v>
      </c>
      <c r="AZ109" s="372">
        <f t="shared" si="7"/>
        <v>0.77777777777777779</v>
      </c>
      <c r="BA109" s="57">
        <v>2</v>
      </c>
      <c r="BB109" s="393">
        <v>0</v>
      </c>
      <c r="BC109" s="394">
        <v>0</v>
      </c>
      <c r="BD109" s="395">
        <v>1</v>
      </c>
      <c r="BE109" s="396">
        <v>2</v>
      </c>
    </row>
    <row r="110" spans="1:57" x14ac:dyDescent="0.25">
      <c r="A110" s="329">
        <v>45963</v>
      </c>
      <c r="B110" s="5">
        <v>11</v>
      </c>
      <c r="C110" s="5" t="s">
        <v>209</v>
      </c>
      <c r="D110" s="7">
        <v>3</v>
      </c>
      <c r="E110" s="7">
        <v>0</v>
      </c>
      <c r="F110" s="5" t="s">
        <v>112</v>
      </c>
      <c r="H110" s="42">
        <v>52</v>
      </c>
      <c r="I110" s="26">
        <v>48</v>
      </c>
      <c r="J110" s="33">
        <v>2.36</v>
      </c>
      <c r="K110" s="34">
        <v>0.62</v>
      </c>
      <c r="L110" s="25">
        <v>5</v>
      </c>
      <c r="M110" s="26">
        <v>1</v>
      </c>
      <c r="N110" s="25">
        <v>15</v>
      </c>
      <c r="O110" s="26">
        <v>14</v>
      </c>
      <c r="P110" s="25">
        <v>1</v>
      </c>
      <c r="Q110" s="26">
        <v>5</v>
      </c>
      <c r="R110" s="25">
        <v>0</v>
      </c>
      <c r="S110" s="26">
        <v>2</v>
      </c>
      <c r="T110" s="33">
        <v>0.17</v>
      </c>
      <c r="U110" s="484">
        <v>-0.79</v>
      </c>
      <c r="V110" s="25">
        <v>4</v>
      </c>
      <c r="W110" s="26">
        <v>5</v>
      </c>
      <c r="X110" s="25">
        <v>9</v>
      </c>
      <c r="Y110" s="26">
        <v>8</v>
      </c>
      <c r="Z110" s="25">
        <v>553</v>
      </c>
      <c r="AA110" s="26">
        <v>483</v>
      </c>
      <c r="AB110" s="25">
        <v>22</v>
      </c>
      <c r="AC110" s="26">
        <v>16</v>
      </c>
      <c r="AD110" s="25">
        <v>8</v>
      </c>
      <c r="AE110" s="26">
        <v>9</v>
      </c>
      <c r="AF110" s="25">
        <v>0</v>
      </c>
      <c r="AG110" s="26">
        <v>3</v>
      </c>
      <c r="AH110" s="487">
        <v>0</v>
      </c>
      <c r="AI110" s="488">
        <v>0</v>
      </c>
      <c r="AJ110" s="487">
        <v>0</v>
      </c>
      <c r="AK110" s="489">
        <v>0</v>
      </c>
      <c r="AL110" s="173">
        <v>8</v>
      </c>
      <c r="AM110" s="364">
        <f t="shared" si="4"/>
        <v>0.53333333333333333</v>
      </c>
      <c r="AN110" s="144">
        <v>0</v>
      </c>
      <c r="AO110" s="144">
        <v>4</v>
      </c>
      <c r="AP110" s="144">
        <v>3</v>
      </c>
      <c r="AQ110" s="144">
        <v>9</v>
      </c>
      <c r="AR110" s="365">
        <f t="shared" si="5"/>
        <v>0.6</v>
      </c>
      <c r="AS110" s="144">
        <v>6</v>
      </c>
      <c r="AT110" s="5">
        <v>1</v>
      </c>
      <c r="AU110" s="372">
        <f t="shared" si="6"/>
        <v>7.1428571428571425E-2</v>
      </c>
      <c r="AV110" s="5">
        <v>0</v>
      </c>
      <c r="AW110" s="5">
        <v>10</v>
      </c>
      <c r="AX110" s="5">
        <v>3</v>
      </c>
      <c r="AY110" s="5">
        <v>6</v>
      </c>
      <c r="AZ110" s="372">
        <f t="shared" si="7"/>
        <v>0.42857142857142855</v>
      </c>
      <c r="BA110" s="57">
        <v>8</v>
      </c>
      <c r="BB110" s="393">
        <v>1</v>
      </c>
      <c r="BC110" s="394">
        <v>0</v>
      </c>
      <c r="BD110" s="395">
        <v>1</v>
      </c>
      <c r="BE110" s="396">
        <v>0</v>
      </c>
    </row>
    <row r="111" spans="1:57" x14ac:dyDescent="0.25">
      <c r="A111" s="329">
        <v>45964</v>
      </c>
      <c r="B111" s="5">
        <v>11</v>
      </c>
      <c r="C111" s="5" t="s">
        <v>92</v>
      </c>
      <c r="F111" s="5" t="s">
        <v>227</v>
      </c>
    </row>
  </sheetData>
  <autoFilter ref="A1:BE111" xr:uid="{EA0A6CB9-1209-44CF-B88F-4FAE71139759}"/>
  <conditionalFormatting sqref="J2:K1048576">
    <cfRule type="cellIs" dxfId="1209" priority="7" operator="greaterThan">
      <formula>1.79</formula>
    </cfRule>
    <cfRule type="cellIs" dxfId="1208" priority="8" operator="greaterThan">
      <formula>1.19</formula>
    </cfRule>
  </conditionalFormatting>
  <conditionalFormatting sqref="L2:M1048576">
    <cfRule type="cellIs" dxfId="1207" priority="9" operator="greaterThan">
      <formula>4</formula>
    </cfRule>
    <cfRule type="cellIs" dxfId="1206" priority="10" operator="greaterThan">
      <formula>2</formula>
    </cfRule>
  </conditionalFormatting>
  <conditionalFormatting sqref="T1:U1048576">
    <cfRule type="cellIs" dxfId="1205" priority="2" operator="lessThan">
      <formula>-0.1</formula>
    </cfRule>
  </conditionalFormatting>
  <conditionalFormatting sqref="AH1:AK1048576">
    <cfRule type="cellIs" dxfId="1204" priority="1" operator="greaterThan">
      <formula>0</formula>
    </cfRule>
  </conditionalFormatting>
  <conditionalFormatting sqref="AL2:AL1048576">
    <cfRule type="cellIs" dxfId="1203" priority="19" operator="greaterThan">
      <formula>7</formula>
    </cfRule>
    <cfRule type="cellIs" dxfId="1202" priority="20" operator="greaterThan">
      <formula>4</formula>
    </cfRule>
  </conditionalFormatting>
  <conditionalFormatting sqref="AM2:AM1048576">
    <cfRule type="cellIs" dxfId="1201" priority="21" operator="greaterThan">
      <formula>0.49</formula>
    </cfRule>
    <cfRule type="cellIs" dxfId="1200" priority="22" operator="greaterThan">
      <formula>0.29</formula>
    </cfRule>
  </conditionalFormatting>
  <conditionalFormatting sqref="AR2:AR1048576">
    <cfRule type="cellIs" dxfId="1199" priority="17" operator="greaterThan">
      <formula>0.79</formula>
    </cfRule>
    <cfRule type="cellIs" dxfId="1198" priority="18" operator="greaterThan">
      <formula>0.59</formula>
    </cfRule>
  </conditionalFormatting>
  <conditionalFormatting sqref="AT2:AT1048576">
    <cfRule type="cellIs" dxfId="1197" priority="13" operator="greaterThan">
      <formula>5</formula>
    </cfRule>
    <cfRule type="cellIs" dxfId="1196" priority="14" operator="greaterThan">
      <formula>2</formula>
    </cfRule>
  </conditionalFormatting>
  <conditionalFormatting sqref="AU2:AU1048576">
    <cfRule type="cellIs" dxfId="1195" priority="15" operator="greaterThan">
      <formula>0.49</formula>
    </cfRule>
    <cfRule type="cellIs" dxfId="1194" priority="16" operator="greaterThan">
      <formula>0.29</formula>
    </cfRule>
  </conditionalFormatting>
  <conditionalFormatting sqref="AZ2:AZ1048576">
    <cfRule type="cellIs" dxfId="1193" priority="11" operator="greaterThan">
      <formula>0.79</formula>
    </cfRule>
    <cfRule type="cellIs" dxfId="1192" priority="12" operator="greaterThan">
      <formula>0.59</formula>
    </cfRule>
  </conditionalFormatting>
  <conditionalFormatting sqref="BB2:BB1048576 BD2:BD1048576">
    <cfRule type="cellIs" dxfId="1191" priority="3" operator="greaterThan">
      <formula>1</formula>
    </cfRule>
    <cfRule type="cellIs" dxfId="1190" priority="4" operator="greaterThan">
      <formula>0</formula>
    </cfRule>
  </conditionalFormatting>
  <conditionalFormatting sqref="BC2:BC1048576 BE2:BE1048576">
    <cfRule type="cellIs" dxfId="1189" priority="6" operator="greater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397D-6420-4101-82E2-B781ED6759A2}">
  <sheetPr>
    <tabColor theme="9" tint="0.39997558519241921"/>
  </sheetPr>
  <dimension ref="A1:BF58"/>
  <sheetViews>
    <sheetView topLeftCell="A27" workbookViewId="0">
      <selection activeCell="T12" sqref="T12:T15"/>
    </sheetView>
  </sheetViews>
  <sheetFormatPr defaultRowHeight="15" x14ac:dyDescent="0.25"/>
  <cols>
    <col min="1" max="1" width="13.28515625" style="329" customWidth="1"/>
    <col min="2" max="2" width="2.7109375" style="5" customWidth="1"/>
    <col min="3" max="3" width="12.7109375" style="5" customWidth="1"/>
    <col min="4" max="5" width="4.7109375" style="7" customWidth="1"/>
    <col min="6" max="6" width="12.7109375" style="5" customWidth="1"/>
    <col min="7" max="7" width="9.7109375" style="44" customWidth="1"/>
    <col min="8" max="8" width="3.7109375" style="42" customWidth="1"/>
    <col min="9" max="9" width="3.7109375" style="26" customWidth="1"/>
    <col min="10" max="10" width="5.28515625" style="33" customWidth="1"/>
    <col min="11" max="11" width="5.28515625" style="34" customWidth="1"/>
    <col min="12" max="12" width="3.7109375" style="25" customWidth="1"/>
    <col min="13" max="13" width="3.7109375" style="26" customWidth="1"/>
    <col min="14" max="14" width="3.7109375" style="25" customWidth="1"/>
    <col min="15" max="15" width="3.7109375" style="26" customWidth="1"/>
    <col min="16" max="16" width="3.7109375" style="25" customWidth="1"/>
    <col min="17" max="17" width="3.7109375" style="26" customWidth="1"/>
    <col min="18" max="18" width="3.7109375" style="25" customWidth="1"/>
    <col min="19" max="19" width="3.7109375" style="26" customWidth="1"/>
    <col min="20" max="20" width="5.28515625" style="33" customWidth="1"/>
    <col min="21" max="21" width="5.28515625" style="484" customWidth="1"/>
    <col min="22" max="22" width="3.7109375" style="25" customWidth="1"/>
    <col min="23" max="23" width="3.7109375" style="26" customWidth="1"/>
    <col min="24" max="24" width="3.7109375" style="25" customWidth="1"/>
    <col min="25" max="25" width="3.7109375" style="26" customWidth="1"/>
    <col min="26" max="26" width="4.28515625" style="25" customWidth="1"/>
    <col min="27" max="27" width="4.28515625" style="26" customWidth="1"/>
    <col min="28" max="28" width="3.7109375" style="25" customWidth="1"/>
    <col min="29" max="29" width="3.7109375" style="26" customWidth="1"/>
    <col min="30" max="30" width="3.7109375" style="25" customWidth="1"/>
    <col min="31" max="31" width="3.7109375" style="26" customWidth="1"/>
    <col min="32" max="32" width="2.7109375" style="25" customWidth="1"/>
    <col min="33" max="33" width="2.7109375" style="26" customWidth="1"/>
    <col min="34" max="34" width="2.7109375" style="487" customWidth="1"/>
    <col min="35" max="35" width="2.7109375" style="488" customWidth="1"/>
    <col min="36" max="36" width="2.7109375" style="487" customWidth="1"/>
    <col min="37" max="37" width="2.7109375" style="489" customWidth="1"/>
    <col min="38" max="38" width="4.7109375" style="173" customWidth="1"/>
    <col min="39" max="39" width="5.28515625" style="364" customWidth="1"/>
    <col min="40" max="43" width="4.28515625" style="144" customWidth="1"/>
    <col min="44" max="44" width="5.28515625" style="365" customWidth="1"/>
    <col min="45" max="45" width="4.28515625" style="144" customWidth="1"/>
    <col min="46" max="46" width="4.7109375" style="5" customWidth="1"/>
    <col min="47" max="47" width="5.28515625" style="372" customWidth="1"/>
    <col min="48" max="51" width="4.28515625" style="5" customWidth="1"/>
    <col min="52" max="52" width="5.28515625" style="372" customWidth="1"/>
    <col min="53" max="53" width="4.28515625" style="57" customWidth="1"/>
    <col min="54" max="54" width="3.7109375" style="393" customWidth="1"/>
    <col min="55" max="55" width="3.7109375" style="394" customWidth="1"/>
    <col min="56" max="56" width="3.7109375" style="395" customWidth="1"/>
    <col min="57" max="57" width="3.7109375" style="396" customWidth="1"/>
    <col min="58" max="58" width="9.140625" style="38"/>
    <col min="59" max="16384" width="9.140625" style="5"/>
  </cols>
  <sheetData>
    <row r="1" spans="1:57" x14ac:dyDescent="0.25">
      <c r="A1" s="617" t="s">
        <v>37</v>
      </c>
      <c r="B1" s="618" t="s">
        <v>38</v>
      </c>
      <c r="C1" s="619" t="s">
        <v>635</v>
      </c>
      <c r="D1" s="620" t="s">
        <v>636</v>
      </c>
      <c r="E1" s="620" t="s">
        <v>637</v>
      </c>
      <c r="F1" s="619" t="s">
        <v>638</v>
      </c>
      <c r="G1" s="621" t="s">
        <v>586</v>
      </c>
      <c r="H1" s="622" t="s">
        <v>587</v>
      </c>
      <c r="I1" s="623" t="s">
        <v>588</v>
      </c>
      <c r="J1" s="624" t="s">
        <v>589</v>
      </c>
      <c r="K1" s="624" t="s">
        <v>590</v>
      </c>
      <c r="L1" s="623" t="s">
        <v>593</v>
      </c>
      <c r="M1" s="623" t="s">
        <v>594</v>
      </c>
      <c r="N1" s="623" t="s">
        <v>595</v>
      </c>
      <c r="O1" s="623" t="s">
        <v>596</v>
      </c>
      <c r="P1" s="623" t="s">
        <v>597</v>
      </c>
      <c r="Q1" s="623" t="s">
        <v>598</v>
      </c>
      <c r="R1" s="623" t="s">
        <v>599</v>
      </c>
      <c r="S1" s="623" t="s">
        <v>600</v>
      </c>
      <c r="T1" s="624" t="s">
        <v>601</v>
      </c>
      <c r="U1" s="625" t="s">
        <v>602</v>
      </c>
      <c r="V1" s="623" t="s">
        <v>603</v>
      </c>
      <c r="W1" s="623" t="s">
        <v>604</v>
      </c>
      <c r="X1" s="623" t="s">
        <v>605</v>
      </c>
      <c r="Y1" s="623" t="s">
        <v>606</v>
      </c>
      <c r="Z1" s="623" t="s">
        <v>607</v>
      </c>
      <c r="AA1" s="623" t="s">
        <v>608</v>
      </c>
      <c r="AB1" s="623" t="s">
        <v>609</v>
      </c>
      <c r="AC1" s="623" t="s">
        <v>610</v>
      </c>
      <c r="AD1" s="623" t="s">
        <v>611</v>
      </c>
      <c r="AE1" s="623" t="s">
        <v>612</v>
      </c>
      <c r="AF1" s="623" t="s">
        <v>613</v>
      </c>
      <c r="AG1" s="623" t="s">
        <v>614</v>
      </c>
      <c r="AH1" s="626" t="s">
        <v>615</v>
      </c>
      <c r="AI1" s="626" t="s">
        <v>616</v>
      </c>
      <c r="AJ1" s="626" t="s">
        <v>617</v>
      </c>
      <c r="AK1" s="627" t="s">
        <v>618</v>
      </c>
      <c r="AL1" s="622" t="s">
        <v>619</v>
      </c>
      <c r="AM1" s="628" t="s">
        <v>639</v>
      </c>
      <c r="AN1" s="623" t="s">
        <v>620</v>
      </c>
      <c r="AO1" s="623" t="s">
        <v>621</v>
      </c>
      <c r="AP1" s="623" t="s">
        <v>622</v>
      </c>
      <c r="AQ1" s="623" t="s">
        <v>623</v>
      </c>
      <c r="AR1" s="629" t="s">
        <v>640</v>
      </c>
      <c r="AS1" s="623" t="s">
        <v>624</v>
      </c>
      <c r="AT1" s="623" t="s">
        <v>625</v>
      </c>
      <c r="AU1" s="629" t="s">
        <v>641</v>
      </c>
      <c r="AV1" s="623" t="s">
        <v>626</v>
      </c>
      <c r="AW1" s="623" t="s">
        <v>627</v>
      </c>
      <c r="AX1" s="623" t="s">
        <v>628</v>
      </c>
      <c r="AY1" s="623" t="s">
        <v>629</v>
      </c>
      <c r="AZ1" s="629" t="s">
        <v>642</v>
      </c>
      <c r="BA1" s="630" t="s">
        <v>630</v>
      </c>
      <c r="BB1" s="631" t="s">
        <v>631</v>
      </c>
      <c r="BC1" s="631" t="s">
        <v>632</v>
      </c>
      <c r="BD1" s="631" t="s">
        <v>633</v>
      </c>
      <c r="BE1" s="632" t="s">
        <v>634</v>
      </c>
    </row>
    <row r="2" spans="1:57" x14ac:dyDescent="0.25">
      <c r="A2" s="329">
        <v>45913</v>
      </c>
      <c r="B2" s="5">
        <v>4</v>
      </c>
      <c r="C2" s="5" t="s">
        <v>161</v>
      </c>
      <c r="D2" s="505">
        <v>2</v>
      </c>
      <c r="E2" s="505">
        <v>0</v>
      </c>
      <c r="F2" s="26" t="s">
        <v>92</v>
      </c>
      <c r="G2" s="242" t="s">
        <v>537</v>
      </c>
      <c r="H2" s="42">
        <v>48</v>
      </c>
      <c r="I2" s="26">
        <v>52</v>
      </c>
      <c r="J2" s="33">
        <v>0.75</v>
      </c>
      <c r="K2" s="34">
        <v>0.46</v>
      </c>
      <c r="L2" s="25">
        <v>2</v>
      </c>
      <c r="M2" s="26">
        <v>1</v>
      </c>
      <c r="N2" s="25">
        <v>10</v>
      </c>
      <c r="O2" s="26">
        <v>5</v>
      </c>
      <c r="P2" s="25">
        <v>1</v>
      </c>
      <c r="Q2" s="26">
        <v>1</v>
      </c>
      <c r="R2" s="25">
        <v>0</v>
      </c>
      <c r="S2" s="26">
        <v>1</v>
      </c>
      <c r="T2" s="33">
        <v>0.06</v>
      </c>
      <c r="U2" s="484">
        <v>-0.32</v>
      </c>
      <c r="V2" s="25">
        <v>4</v>
      </c>
      <c r="W2" s="26">
        <v>3</v>
      </c>
      <c r="X2" s="25">
        <v>12</v>
      </c>
      <c r="Y2" s="26">
        <v>18</v>
      </c>
      <c r="Z2" s="25">
        <v>342</v>
      </c>
      <c r="AA2" s="26">
        <v>373</v>
      </c>
      <c r="AB2" s="25">
        <v>16</v>
      </c>
      <c r="AC2" s="26">
        <v>20</v>
      </c>
      <c r="AD2" s="25">
        <v>18</v>
      </c>
      <c r="AE2" s="26">
        <v>12</v>
      </c>
      <c r="AF2" s="25">
        <v>2</v>
      </c>
      <c r="AG2" s="26">
        <v>5</v>
      </c>
      <c r="AH2" s="487">
        <v>0</v>
      </c>
      <c r="AI2" s="488">
        <v>1</v>
      </c>
      <c r="AJ2" s="487">
        <v>0</v>
      </c>
      <c r="AK2" s="489">
        <v>0</v>
      </c>
      <c r="AL2" s="173">
        <v>3</v>
      </c>
      <c r="AM2" s="364">
        <v>0.3</v>
      </c>
      <c r="AN2" s="144">
        <v>0</v>
      </c>
      <c r="AO2" s="144">
        <v>4</v>
      </c>
      <c r="AP2" s="144">
        <v>3</v>
      </c>
      <c r="AQ2" s="144">
        <v>6</v>
      </c>
      <c r="AR2" s="365">
        <v>0.6</v>
      </c>
      <c r="AS2" s="144">
        <v>4</v>
      </c>
      <c r="AT2" s="5">
        <v>1</v>
      </c>
      <c r="AU2" s="372">
        <v>0.2</v>
      </c>
      <c r="AV2" s="5">
        <v>1</v>
      </c>
      <c r="AW2" s="5">
        <v>2</v>
      </c>
      <c r="AX2" s="5">
        <v>2</v>
      </c>
      <c r="AY2" s="5">
        <v>1</v>
      </c>
      <c r="AZ2" s="372">
        <v>0.2</v>
      </c>
      <c r="BA2" s="57">
        <v>4</v>
      </c>
      <c r="BB2" s="393">
        <v>0</v>
      </c>
      <c r="BC2" s="394">
        <v>0</v>
      </c>
      <c r="BD2" s="395">
        <v>1</v>
      </c>
      <c r="BE2" s="396">
        <v>1</v>
      </c>
    </row>
    <row r="3" spans="1:57" x14ac:dyDescent="0.25">
      <c r="A3" s="329">
        <v>45924</v>
      </c>
      <c r="B3" s="5">
        <v>6</v>
      </c>
      <c r="C3" s="5" t="s">
        <v>161</v>
      </c>
      <c r="D3" s="424">
        <v>1</v>
      </c>
      <c r="E3" s="424">
        <v>1</v>
      </c>
      <c r="F3" s="5" t="s">
        <v>128</v>
      </c>
      <c r="H3" s="42">
        <v>46</v>
      </c>
      <c r="I3" s="26">
        <v>54</v>
      </c>
      <c r="J3" s="33">
        <v>0.24</v>
      </c>
      <c r="K3" s="34">
        <v>0.56999999999999995</v>
      </c>
      <c r="L3" s="25">
        <v>1</v>
      </c>
      <c r="M3" s="26">
        <v>2</v>
      </c>
      <c r="N3" s="25">
        <v>7</v>
      </c>
      <c r="O3" s="26">
        <v>10</v>
      </c>
      <c r="P3" s="25">
        <v>4</v>
      </c>
      <c r="Q3" s="26">
        <v>0</v>
      </c>
      <c r="R3" s="25">
        <v>1</v>
      </c>
      <c r="S3" s="26">
        <v>0</v>
      </c>
      <c r="T3" s="33">
        <v>-0.34</v>
      </c>
      <c r="U3" s="484">
        <v>-0.66</v>
      </c>
      <c r="V3" s="25">
        <v>2</v>
      </c>
      <c r="W3" s="26">
        <v>7</v>
      </c>
      <c r="X3" s="25">
        <v>14</v>
      </c>
      <c r="Y3" s="26">
        <v>20</v>
      </c>
      <c r="Z3" s="25">
        <v>304</v>
      </c>
      <c r="AA3" s="26">
        <v>352</v>
      </c>
      <c r="AB3" s="25">
        <v>25</v>
      </c>
      <c r="AC3" s="26">
        <v>15</v>
      </c>
      <c r="AD3" s="25">
        <v>20</v>
      </c>
      <c r="AE3" s="26">
        <v>14</v>
      </c>
      <c r="AF3" s="25">
        <v>2</v>
      </c>
      <c r="AG3" s="26">
        <v>3</v>
      </c>
      <c r="AH3" s="487">
        <v>0</v>
      </c>
      <c r="AI3" s="488">
        <v>0</v>
      </c>
      <c r="AJ3" s="487">
        <v>0</v>
      </c>
      <c r="AK3" s="489">
        <v>0</v>
      </c>
      <c r="AL3" s="173">
        <v>1</v>
      </c>
      <c r="AM3" s="364">
        <v>0.14285714285714285</v>
      </c>
      <c r="AN3" s="144">
        <v>0</v>
      </c>
      <c r="AO3" s="144">
        <v>1</v>
      </c>
      <c r="AP3" s="144">
        <v>5</v>
      </c>
      <c r="AQ3" s="144">
        <v>3</v>
      </c>
      <c r="AR3" s="365">
        <v>0.42857142857142855</v>
      </c>
      <c r="AS3" s="144">
        <v>4</v>
      </c>
      <c r="AT3" s="5">
        <v>4</v>
      </c>
      <c r="AU3" s="372">
        <v>0.4</v>
      </c>
      <c r="AV3" s="5">
        <v>0</v>
      </c>
      <c r="AW3" s="5">
        <v>3</v>
      </c>
      <c r="AX3" s="5">
        <v>3</v>
      </c>
      <c r="AY3" s="5">
        <v>6</v>
      </c>
      <c r="AZ3" s="372">
        <v>0.6</v>
      </c>
      <c r="BA3" s="57">
        <v>4</v>
      </c>
      <c r="BB3" s="393">
        <v>2</v>
      </c>
      <c r="BC3" s="394">
        <v>0</v>
      </c>
      <c r="BD3" s="395">
        <v>0</v>
      </c>
      <c r="BE3" s="396">
        <v>0</v>
      </c>
    </row>
    <row r="4" spans="1:57" x14ac:dyDescent="0.25">
      <c r="A4" s="329">
        <v>45927</v>
      </c>
      <c r="B4" s="5">
        <v>7</v>
      </c>
      <c r="C4" s="5" t="s">
        <v>161</v>
      </c>
      <c r="D4" s="424">
        <v>1</v>
      </c>
      <c r="E4" s="424">
        <v>1</v>
      </c>
      <c r="F4" s="5" t="s">
        <v>129</v>
      </c>
      <c r="H4" s="42">
        <v>54</v>
      </c>
      <c r="I4" s="26">
        <v>46</v>
      </c>
      <c r="J4" s="33">
        <v>0.55000000000000004</v>
      </c>
      <c r="K4" s="34">
        <v>1.24</v>
      </c>
      <c r="L4" s="25">
        <v>2</v>
      </c>
      <c r="M4" s="26">
        <v>3</v>
      </c>
      <c r="N4" s="25">
        <v>11</v>
      </c>
      <c r="O4" s="26">
        <v>11</v>
      </c>
      <c r="P4" s="25">
        <v>2</v>
      </c>
      <c r="Q4" s="26">
        <v>3</v>
      </c>
      <c r="R4" s="25">
        <v>0</v>
      </c>
      <c r="S4" s="26">
        <v>1</v>
      </c>
      <c r="T4" s="33">
        <v>-0.48</v>
      </c>
      <c r="U4" s="484">
        <v>0.02</v>
      </c>
      <c r="V4" s="25">
        <v>6</v>
      </c>
      <c r="W4" s="26">
        <v>2</v>
      </c>
      <c r="X4" s="25">
        <v>15</v>
      </c>
      <c r="Y4" s="26">
        <v>16</v>
      </c>
      <c r="Z4" s="25">
        <v>328</v>
      </c>
      <c r="AA4" s="26">
        <v>288</v>
      </c>
      <c r="AB4" s="25">
        <v>19</v>
      </c>
      <c r="AC4" s="26">
        <v>18</v>
      </c>
      <c r="AD4" s="25">
        <v>16</v>
      </c>
      <c r="AE4" s="26">
        <v>15</v>
      </c>
      <c r="AF4" s="25">
        <v>4</v>
      </c>
      <c r="AG4" s="26">
        <v>3</v>
      </c>
      <c r="AH4" s="487">
        <v>0</v>
      </c>
      <c r="AI4" s="488">
        <v>0</v>
      </c>
      <c r="AJ4" s="487">
        <v>0</v>
      </c>
      <c r="AK4" s="489">
        <v>0</v>
      </c>
      <c r="AL4" s="173">
        <v>4</v>
      </c>
      <c r="AM4" s="364">
        <v>0.36363636363636365</v>
      </c>
      <c r="AN4" s="144">
        <v>0</v>
      </c>
      <c r="AO4" s="144">
        <v>6</v>
      </c>
      <c r="AP4" s="144">
        <v>1</v>
      </c>
      <c r="AQ4" s="144">
        <v>3</v>
      </c>
      <c r="AR4" s="365">
        <v>0.27272727272727271</v>
      </c>
      <c r="AS4" s="144">
        <v>8</v>
      </c>
      <c r="AT4" s="5">
        <v>3</v>
      </c>
      <c r="AU4" s="372">
        <v>0.27272727272727271</v>
      </c>
      <c r="AV4" s="5">
        <v>0</v>
      </c>
      <c r="AW4" s="5">
        <v>6</v>
      </c>
      <c r="AX4" s="5">
        <v>2</v>
      </c>
      <c r="AY4" s="5">
        <v>7</v>
      </c>
      <c r="AZ4" s="372">
        <v>0.63636363636363635</v>
      </c>
      <c r="BA4" s="57">
        <v>4</v>
      </c>
      <c r="BB4" s="393">
        <v>1</v>
      </c>
      <c r="BC4" s="394">
        <v>0</v>
      </c>
      <c r="BD4" s="395">
        <v>0</v>
      </c>
      <c r="BE4" s="396">
        <v>0</v>
      </c>
    </row>
    <row r="5" spans="1:57" ht="15.75" thickBot="1" x14ac:dyDescent="0.3">
      <c r="A5" s="330">
        <v>45949</v>
      </c>
      <c r="B5" s="9">
        <v>9</v>
      </c>
      <c r="C5" s="74" t="s">
        <v>161</v>
      </c>
      <c r="D5" s="504">
        <v>0</v>
      </c>
      <c r="E5" s="504">
        <v>1</v>
      </c>
      <c r="F5" s="9" t="s">
        <v>226</v>
      </c>
      <c r="G5" s="445" t="s">
        <v>758</v>
      </c>
      <c r="H5" s="384">
        <v>24</v>
      </c>
      <c r="I5" s="74">
        <v>76</v>
      </c>
      <c r="J5" s="385">
        <v>0.48</v>
      </c>
      <c r="K5" s="386">
        <v>1.96</v>
      </c>
      <c r="L5" s="387">
        <v>1</v>
      </c>
      <c r="M5" s="74">
        <v>3</v>
      </c>
      <c r="N5" s="387">
        <v>7</v>
      </c>
      <c r="O5" s="74">
        <v>23</v>
      </c>
      <c r="P5" s="387">
        <v>9</v>
      </c>
      <c r="Q5" s="74">
        <v>1</v>
      </c>
      <c r="R5" s="387">
        <v>0</v>
      </c>
      <c r="S5" s="74">
        <v>0</v>
      </c>
      <c r="T5" s="385">
        <v>0.54</v>
      </c>
      <c r="U5" s="498">
        <v>0.21</v>
      </c>
      <c r="V5" s="387">
        <v>1</v>
      </c>
      <c r="W5" s="74">
        <v>4</v>
      </c>
      <c r="X5" s="387">
        <v>27</v>
      </c>
      <c r="Y5" s="74">
        <v>11</v>
      </c>
      <c r="Z5" s="387">
        <v>194</v>
      </c>
      <c r="AA5" s="74">
        <v>636</v>
      </c>
      <c r="AB5" s="387">
        <v>19</v>
      </c>
      <c r="AC5" s="74">
        <v>17</v>
      </c>
      <c r="AD5" s="387">
        <v>11</v>
      </c>
      <c r="AE5" s="74">
        <v>27</v>
      </c>
      <c r="AF5" s="387">
        <v>4</v>
      </c>
      <c r="AG5" s="74">
        <v>1</v>
      </c>
      <c r="AH5" s="499">
        <v>2</v>
      </c>
      <c r="AI5" s="500">
        <v>0</v>
      </c>
      <c r="AJ5" s="499">
        <v>0</v>
      </c>
      <c r="AK5" s="501">
        <v>0</v>
      </c>
      <c r="AL5" s="177">
        <v>1</v>
      </c>
      <c r="AM5" s="388">
        <v>0.14285714285714285</v>
      </c>
      <c r="AN5" s="152">
        <v>0</v>
      </c>
      <c r="AO5" s="152">
        <v>5</v>
      </c>
      <c r="AP5" s="152">
        <v>1</v>
      </c>
      <c r="AQ5" s="152">
        <v>2</v>
      </c>
      <c r="AR5" s="389">
        <v>0.2857142857142857</v>
      </c>
      <c r="AS5" s="152">
        <v>5</v>
      </c>
      <c r="AT5" s="9">
        <v>10</v>
      </c>
      <c r="AU5" s="390">
        <v>0.43478260869565216</v>
      </c>
      <c r="AV5" s="9">
        <v>0</v>
      </c>
      <c r="AW5" s="9">
        <v>9</v>
      </c>
      <c r="AX5" s="9">
        <v>4</v>
      </c>
      <c r="AY5" s="9">
        <v>12</v>
      </c>
      <c r="AZ5" s="390">
        <v>0.52173913043478259</v>
      </c>
      <c r="BA5" s="58">
        <v>11</v>
      </c>
      <c r="BB5" s="420">
        <v>0</v>
      </c>
      <c r="BC5" s="421">
        <v>0</v>
      </c>
      <c r="BD5" s="422">
        <v>0</v>
      </c>
      <c r="BE5" s="423">
        <v>0</v>
      </c>
    </row>
    <row r="6" spans="1:57" x14ac:dyDescent="0.25">
      <c r="A6" s="331">
        <v>45893</v>
      </c>
      <c r="B6" s="13">
        <v>2</v>
      </c>
      <c r="C6" s="13" t="s">
        <v>91</v>
      </c>
      <c r="D6" s="502">
        <v>5</v>
      </c>
      <c r="E6" s="502">
        <v>0</v>
      </c>
      <c r="F6" s="13" t="s">
        <v>69</v>
      </c>
      <c r="G6" s="47"/>
      <c r="H6" s="376">
        <v>53</v>
      </c>
      <c r="I6" s="79">
        <v>47</v>
      </c>
      <c r="J6" s="377">
        <v>2.2999999999999998</v>
      </c>
      <c r="K6" s="378">
        <v>0.14000000000000001</v>
      </c>
      <c r="L6" s="379">
        <v>4</v>
      </c>
      <c r="M6" s="79">
        <v>0</v>
      </c>
      <c r="N6" s="379">
        <v>19</v>
      </c>
      <c r="O6" s="79">
        <v>5</v>
      </c>
      <c r="P6" s="379">
        <v>2</v>
      </c>
      <c r="Q6" s="79">
        <v>2</v>
      </c>
      <c r="R6" s="379">
        <v>0</v>
      </c>
      <c r="S6" s="79">
        <v>0</v>
      </c>
      <c r="T6" s="377">
        <v>0.05</v>
      </c>
      <c r="U6" s="494">
        <v>-3.08</v>
      </c>
      <c r="V6" s="379">
        <v>8</v>
      </c>
      <c r="W6" s="79">
        <v>1</v>
      </c>
      <c r="X6" s="379">
        <v>8</v>
      </c>
      <c r="Y6" s="79">
        <v>9</v>
      </c>
      <c r="Z6" s="379">
        <v>517</v>
      </c>
      <c r="AA6" s="79">
        <v>470</v>
      </c>
      <c r="AB6" s="379">
        <v>22</v>
      </c>
      <c r="AC6" s="79">
        <v>18</v>
      </c>
      <c r="AD6" s="379">
        <v>9</v>
      </c>
      <c r="AE6" s="79">
        <v>8</v>
      </c>
      <c r="AF6" s="379">
        <v>1</v>
      </c>
      <c r="AG6" s="79">
        <v>2</v>
      </c>
      <c r="AH6" s="495">
        <v>0</v>
      </c>
      <c r="AI6" s="496">
        <v>0</v>
      </c>
      <c r="AJ6" s="495">
        <v>0</v>
      </c>
      <c r="AK6" s="497">
        <v>0</v>
      </c>
      <c r="AL6" s="169">
        <v>7</v>
      </c>
      <c r="AM6" s="380">
        <v>0.36842105263157893</v>
      </c>
      <c r="AN6" s="160">
        <v>0</v>
      </c>
      <c r="AO6" s="160">
        <v>7</v>
      </c>
      <c r="AP6" s="160">
        <v>5</v>
      </c>
      <c r="AQ6" s="160">
        <v>13</v>
      </c>
      <c r="AR6" s="381">
        <v>0.68421052631578949</v>
      </c>
      <c r="AS6" s="160">
        <v>6</v>
      </c>
      <c r="AT6" s="13">
        <v>2</v>
      </c>
      <c r="AU6" s="382">
        <v>0.4</v>
      </c>
      <c r="AV6" s="13">
        <v>0</v>
      </c>
      <c r="AW6" s="13">
        <v>1</v>
      </c>
      <c r="AX6" s="13">
        <v>2</v>
      </c>
      <c r="AY6" s="13">
        <v>3</v>
      </c>
      <c r="AZ6" s="382">
        <v>0.6</v>
      </c>
      <c r="BA6" s="60">
        <v>2</v>
      </c>
      <c r="BB6" s="416">
        <v>0</v>
      </c>
      <c r="BC6" s="417">
        <v>0</v>
      </c>
      <c r="BD6" s="418">
        <v>0</v>
      </c>
      <c r="BE6" s="419">
        <v>1</v>
      </c>
    </row>
    <row r="7" spans="1:57" x14ac:dyDescent="0.25">
      <c r="A7" s="329">
        <v>45914</v>
      </c>
      <c r="B7" s="5">
        <v>4</v>
      </c>
      <c r="C7" s="5" t="s">
        <v>456</v>
      </c>
      <c r="D7" s="424">
        <v>1</v>
      </c>
      <c r="E7" s="424">
        <v>1</v>
      </c>
      <c r="F7" s="5" t="s">
        <v>69</v>
      </c>
      <c r="H7" s="42">
        <v>60</v>
      </c>
      <c r="I7" s="26">
        <v>40</v>
      </c>
      <c r="J7" s="33">
        <v>2.5</v>
      </c>
      <c r="K7" s="34">
        <v>0.64</v>
      </c>
      <c r="L7" s="25">
        <v>2</v>
      </c>
      <c r="M7" s="26">
        <v>2</v>
      </c>
      <c r="N7" s="25">
        <v>21</v>
      </c>
      <c r="O7" s="26">
        <v>13</v>
      </c>
      <c r="P7" s="25">
        <v>7</v>
      </c>
      <c r="Q7" s="26">
        <v>6</v>
      </c>
      <c r="R7" s="25">
        <v>1</v>
      </c>
      <c r="S7" s="26">
        <v>2</v>
      </c>
      <c r="T7" s="33">
        <v>0.24</v>
      </c>
      <c r="U7" s="484">
        <v>1.75</v>
      </c>
      <c r="V7" s="25">
        <v>10</v>
      </c>
      <c r="W7" s="26">
        <v>3</v>
      </c>
      <c r="X7" s="25">
        <v>7</v>
      </c>
      <c r="Y7" s="26">
        <v>9</v>
      </c>
      <c r="Z7" s="25">
        <v>630</v>
      </c>
      <c r="AA7" s="26">
        <v>439</v>
      </c>
      <c r="AB7" s="25">
        <v>15</v>
      </c>
      <c r="AC7" s="26">
        <v>16</v>
      </c>
      <c r="AD7" s="25">
        <v>8</v>
      </c>
      <c r="AE7" s="26">
        <v>7</v>
      </c>
      <c r="AF7" s="25">
        <v>0</v>
      </c>
      <c r="AG7" s="26">
        <v>3</v>
      </c>
      <c r="AH7" s="487">
        <v>0</v>
      </c>
      <c r="AI7" s="488">
        <v>0</v>
      </c>
      <c r="AJ7" s="487">
        <v>1</v>
      </c>
      <c r="AK7" s="489">
        <v>0</v>
      </c>
      <c r="AL7" s="173">
        <v>7</v>
      </c>
      <c r="AM7" s="364">
        <v>0.33333333333333331</v>
      </c>
      <c r="AN7" s="144">
        <v>0</v>
      </c>
      <c r="AO7" s="144">
        <v>9</v>
      </c>
      <c r="AP7" s="144">
        <v>5</v>
      </c>
      <c r="AQ7" s="144">
        <v>14</v>
      </c>
      <c r="AR7" s="365">
        <v>0.66666666666666663</v>
      </c>
      <c r="AS7" s="144">
        <v>7</v>
      </c>
      <c r="AT7" s="5">
        <v>8</v>
      </c>
      <c r="AU7" s="372">
        <v>0.61538461538461542</v>
      </c>
      <c r="AV7" s="5">
        <v>0</v>
      </c>
      <c r="AW7" s="5">
        <v>2</v>
      </c>
      <c r="AX7" s="5">
        <v>3</v>
      </c>
      <c r="AY7" s="5">
        <v>10</v>
      </c>
      <c r="AZ7" s="372">
        <v>0.76923076923076927</v>
      </c>
      <c r="BA7" s="57">
        <v>3</v>
      </c>
      <c r="BB7" s="393">
        <v>0</v>
      </c>
      <c r="BC7" s="394">
        <v>0</v>
      </c>
      <c r="BD7" s="395">
        <v>0</v>
      </c>
      <c r="BE7" s="396">
        <v>0</v>
      </c>
    </row>
    <row r="8" spans="1:57" x14ac:dyDescent="0.25">
      <c r="A8" s="331">
        <v>45923</v>
      </c>
      <c r="B8" s="5">
        <v>6</v>
      </c>
      <c r="C8" s="5" t="s">
        <v>170</v>
      </c>
      <c r="D8" s="424">
        <v>1</v>
      </c>
      <c r="E8" s="424">
        <v>1</v>
      </c>
      <c r="F8" s="5" t="s">
        <v>69</v>
      </c>
      <c r="H8" s="42">
        <v>67</v>
      </c>
      <c r="I8" s="26">
        <v>33</v>
      </c>
      <c r="J8" s="33">
        <v>1.46</v>
      </c>
      <c r="K8" s="34">
        <v>0.78</v>
      </c>
      <c r="L8" s="25">
        <v>4</v>
      </c>
      <c r="M8" s="26">
        <v>2</v>
      </c>
      <c r="N8" s="25">
        <v>17</v>
      </c>
      <c r="O8" s="26">
        <v>6</v>
      </c>
      <c r="P8" s="25">
        <v>2</v>
      </c>
      <c r="Q8" s="26">
        <v>4</v>
      </c>
      <c r="R8" s="25">
        <v>0</v>
      </c>
      <c r="S8" s="26">
        <v>1</v>
      </c>
      <c r="T8" s="33">
        <v>0.19</v>
      </c>
      <c r="U8" s="484">
        <v>0.44</v>
      </c>
      <c r="V8" s="25">
        <v>8</v>
      </c>
      <c r="W8" s="26">
        <v>1</v>
      </c>
      <c r="X8" s="25">
        <v>19</v>
      </c>
      <c r="Y8" s="26">
        <v>15</v>
      </c>
      <c r="Z8" s="25">
        <v>600</v>
      </c>
      <c r="AA8" s="26">
        <v>305</v>
      </c>
      <c r="AB8" s="25">
        <v>18</v>
      </c>
      <c r="AC8" s="26">
        <v>10</v>
      </c>
      <c r="AD8" s="25">
        <v>15</v>
      </c>
      <c r="AE8" s="26">
        <v>19</v>
      </c>
      <c r="AF8" s="25">
        <v>0</v>
      </c>
      <c r="AG8" s="26">
        <v>2</v>
      </c>
      <c r="AH8" s="487">
        <v>0</v>
      </c>
      <c r="AI8" s="488">
        <v>0</v>
      </c>
      <c r="AJ8" s="487">
        <v>0</v>
      </c>
      <c r="AK8" s="489">
        <v>0</v>
      </c>
      <c r="AL8" s="173">
        <v>5</v>
      </c>
      <c r="AM8" s="364">
        <v>0.29411764705882354</v>
      </c>
      <c r="AN8" s="144">
        <v>0</v>
      </c>
      <c r="AO8" s="144">
        <v>7</v>
      </c>
      <c r="AP8" s="144">
        <v>5</v>
      </c>
      <c r="AQ8" s="144">
        <v>14</v>
      </c>
      <c r="AR8" s="365">
        <v>0.82352941176470584</v>
      </c>
      <c r="AS8" s="144">
        <v>3</v>
      </c>
      <c r="AT8" s="5">
        <v>3</v>
      </c>
      <c r="AU8" s="372">
        <v>0.5</v>
      </c>
      <c r="AV8" s="5">
        <v>0</v>
      </c>
      <c r="AW8" s="5">
        <v>2</v>
      </c>
      <c r="AX8" s="5">
        <v>1</v>
      </c>
      <c r="AY8" s="5">
        <v>4</v>
      </c>
      <c r="AZ8" s="372">
        <v>0.66666666666666663</v>
      </c>
      <c r="BA8" s="57">
        <v>2</v>
      </c>
      <c r="BB8" s="393">
        <v>1</v>
      </c>
      <c r="BC8" s="394">
        <v>0</v>
      </c>
      <c r="BD8" s="395">
        <v>1</v>
      </c>
      <c r="BE8" s="396">
        <v>1</v>
      </c>
    </row>
    <row r="9" spans="1:57" x14ac:dyDescent="0.25">
      <c r="A9" s="329">
        <v>45948</v>
      </c>
      <c r="B9" s="5">
        <v>9</v>
      </c>
      <c r="C9" s="5" t="s">
        <v>113</v>
      </c>
      <c r="D9" s="503">
        <v>2</v>
      </c>
      <c r="E9" s="503">
        <v>1</v>
      </c>
      <c r="F9" s="5" t="s">
        <v>69</v>
      </c>
      <c r="H9" s="42">
        <v>68</v>
      </c>
      <c r="I9" s="26">
        <v>32</v>
      </c>
      <c r="J9" s="33">
        <v>1.61</v>
      </c>
      <c r="K9" s="34">
        <v>1.55</v>
      </c>
      <c r="L9" s="25">
        <v>2</v>
      </c>
      <c r="M9" s="26">
        <v>3</v>
      </c>
      <c r="N9" s="25">
        <v>27</v>
      </c>
      <c r="O9" s="26">
        <v>11</v>
      </c>
      <c r="P9" s="25">
        <v>3</v>
      </c>
      <c r="Q9" s="26">
        <v>7</v>
      </c>
      <c r="R9" s="25">
        <v>0</v>
      </c>
      <c r="S9" s="26">
        <v>5</v>
      </c>
      <c r="T9" s="33">
        <v>0.76</v>
      </c>
      <c r="U9" s="484">
        <v>0.3</v>
      </c>
      <c r="V9" s="25">
        <v>11</v>
      </c>
      <c r="W9" s="26">
        <v>5</v>
      </c>
      <c r="X9" s="25">
        <v>10</v>
      </c>
      <c r="Y9" s="26">
        <v>7</v>
      </c>
      <c r="Z9" s="25">
        <v>670</v>
      </c>
      <c r="AA9" s="26">
        <v>309</v>
      </c>
      <c r="AB9" s="25">
        <v>20</v>
      </c>
      <c r="AC9" s="26">
        <v>11</v>
      </c>
      <c r="AD9" s="25">
        <v>7</v>
      </c>
      <c r="AE9" s="26">
        <v>10</v>
      </c>
      <c r="AF9" s="25">
        <v>2</v>
      </c>
      <c r="AG9" s="26">
        <v>2</v>
      </c>
      <c r="AH9" s="487">
        <v>0</v>
      </c>
      <c r="AI9" s="488">
        <v>0</v>
      </c>
      <c r="AJ9" s="487">
        <v>0</v>
      </c>
      <c r="AK9" s="489">
        <v>0</v>
      </c>
      <c r="AL9" s="173">
        <v>9</v>
      </c>
      <c r="AM9" s="364">
        <v>0.33333333333333331</v>
      </c>
      <c r="AN9" s="144">
        <v>2</v>
      </c>
      <c r="AO9" s="144">
        <v>12</v>
      </c>
      <c r="AP9" s="144">
        <v>6</v>
      </c>
      <c r="AQ9" s="144">
        <v>15</v>
      </c>
      <c r="AR9" s="365">
        <v>0.55555555555555558</v>
      </c>
      <c r="AS9" s="144">
        <v>12</v>
      </c>
      <c r="AT9" s="5">
        <v>4</v>
      </c>
      <c r="AU9" s="372">
        <v>0.36363636363636365</v>
      </c>
      <c r="AV9" s="5">
        <v>0</v>
      </c>
      <c r="AW9" s="5">
        <v>4</v>
      </c>
      <c r="AX9" s="5">
        <v>3</v>
      </c>
      <c r="AY9" s="5">
        <v>10</v>
      </c>
      <c r="AZ9" s="372">
        <v>0.90909090909090906</v>
      </c>
      <c r="BA9" s="57">
        <v>1</v>
      </c>
      <c r="BB9" s="393">
        <v>1</v>
      </c>
      <c r="BC9" s="394">
        <v>0</v>
      </c>
      <c r="BD9" s="395">
        <v>2</v>
      </c>
      <c r="BE9" s="396">
        <v>0</v>
      </c>
    </row>
    <row r="10" spans="1:57" ht="15.75" thickBot="1" x14ac:dyDescent="0.3">
      <c r="A10" s="400">
        <v>45961</v>
      </c>
      <c r="B10" s="401">
        <v>11</v>
      </c>
      <c r="C10" s="401" t="s">
        <v>161</v>
      </c>
      <c r="D10" s="429">
        <f>AVERAGE(D2:D9)</f>
        <v>1.625</v>
      </c>
      <c r="E10" s="429">
        <f>AVERAGE(E2:E9)</f>
        <v>0.75</v>
      </c>
      <c r="F10" s="401" t="s">
        <v>69</v>
      </c>
      <c r="G10" s="402"/>
      <c r="H10" s="403">
        <f t="shared" ref="H10:S10" si="0">AVERAGE(H2:H9)</f>
        <v>52.5</v>
      </c>
      <c r="I10" s="401">
        <f t="shared" si="0"/>
        <v>47.5</v>
      </c>
      <c r="J10" s="411">
        <f t="shared" si="0"/>
        <v>1.2362500000000001</v>
      </c>
      <c r="K10" s="404">
        <f t="shared" si="0"/>
        <v>0.91749999999999998</v>
      </c>
      <c r="L10" s="412">
        <f t="shared" si="0"/>
        <v>2.25</v>
      </c>
      <c r="M10" s="401">
        <f t="shared" si="0"/>
        <v>2</v>
      </c>
      <c r="N10" s="401">
        <f t="shared" si="0"/>
        <v>14.875</v>
      </c>
      <c r="O10" s="401">
        <f t="shared" si="0"/>
        <v>10.5</v>
      </c>
      <c r="P10" s="401">
        <f t="shared" si="0"/>
        <v>3.75</v>
      </c>
      <c r="Q10" s="401">
        <f t="shared" si="0"/>
        <v>3</v>
      </c>
      <c r="R10" s="401">
        <f t="shared" si="0"/>
        <v>0.25</v>
      </c>
      <c r="S10" s="401">
        <f t="shared" si="0"/>
        <v>1.25</v>
      </c>
      <c r="T10" s="404">
        <v>-0.06</v>
      </c>
      <c r="U10" s="490">
        <v>0.83</v>
      </c>
      <c r="V10" s="401">
        <f t="shared" ref="V10:BE10" si="1">AVERAGE(V2:V9)</f>
        <v>6.25</v>
      </c>
      <c r="W10" s="401">
        <f t="shared" si="1"/>
        <v>3.25</v>
      </c>
      <c r="X10" s="401">
        <f t="shared" si="1"/>
        <v>14</v>
      </c>
      <c r="Y10" s="401">
        <f t="shared" si="1"/>
        <v>13.125</v>
      </c>
      <c r="Z10" s="401">
        <f t="shared" si="1"/>
        <v>448.125</v>
      </c>
      <c r="AA10" s="401">
        <f t="shared" si="1"/>
        <v>396.5</v>
      </c>
      <c r="AB10" s="401">
        <f t="shared" si="1"/>
        <v>19.25</v>
      </c>
      <c r="AC10" s="401">
        <f t="shared" si="1"/>
        <v>15.625</v>
      </c>
      <c r="AD10" s="401">
        <f t="shared" si="1"/>
        <v>13</v>
      </c>
      <c r="AE10" s="401">
        <f t="shared" si="1"/>
        <v>14</v>
      </c>
      <c r="AF10" s="401">
        <f t="shared" si="1"/>
        <v>1.875</v>
      </c>
      <c r="AG10" s="401">
        <f t="shared" si="1"/>
        <v>2.625</v>
      </c>
      <c r="AH10" s="493">
        <f t="shared" si="1"/>
        <v>0.25</v>
      </c>
      <c r="AI10" s="493">
        <f t="shared" si="1"/>
        <v>0.125</v>
      </c>
      <c r="AJ10" s="493">
        <f t="shared" si="1"/>
        <v>0.125</v>
      </c>
      <c r="AK10" s="492">
        <f t="shared" si="1"/>
        <v>0</v>
      </c>
      <c r="AL10" s="413">
        <f t="shared" si="1"/>
        <v>4.625</v>
      </c>
      <c r="AM10" s="406">
        <f t="shared" si="1"/>
        <v>0.28481950196346484</v>
      </c>
      <c r="AN10" s="401">
        <f t="shared" si="1"/>
        <v>0.25</v>
      </c>
      <c r="AO10" s="401">
        <f t="shared" si="1"/>
        <v>6.375</v>
      </c>
      <c r="AP10" s="401">
        <f t="shared" si="1"/>
        <v>3.875</v>
      </c>
      <c r="AQ10" s="401">
        <f t="shared" si="1"/>
        <v>8.75</v>
      </c>
      <c r="AR10" s="407">
        <f t="shared" si="1"/>
        <v>0.53962189341446298</v>
      </c>
      <c r="AS10" s="401">
        <f t="shared" si="1"/>
        <v>6.125</v>
      </c>
      <c r="AT10" s="412">
        <f t="shared" si="1"/>
        <v>4.375</v>
      </c>
      <c r="AU10" s="415">
        <f t="shared" si="1"/>
        <v>0.398316357555488</v>
      </c>
      <c r="AV10" s="401">
        <f t="shared" si="1"/>
        <v>0.125</v>
      </c>
      <c r="AW10" s="401">
        <f t="shared" si="1"/>
        <v>3.625</v>
      </c>
      <c r="AX10" s="401">
        <f t="shared" si="1"/>
        <v>2.5</v>
      </c>
      <c r="AY10" s="401">
        <f t="shared" si="1"/>
        <v>6.625</v>
      </c>
      <c r="AZ10" s="415">
        <f t="shared" si="1"/>
        <v>0.61288638897334546</v>
      </c>
      <c r="BA10" s="405">
        <f t="shared" si="1"/>
        <v>3.875</v>
      </c>
      <c r="BB10" s="397">
        <f t="shared" si="1"/>
        <v>0.625</v>
      </c>
      <c r="BC10" s="409">
        <f t="shared" si="1"/>
        <v>0</v>
      </c>
      <c r="BD10" s="398">
        <f t="shared" si="1"/>
        <v>0.5</v>
      </c>
      <c r="BE10" s="399">
        <f t="shared" si="1"/>
        <v>0.375</v>
      </c>
    </row>
    <row r="11" spans="1:57" x14ac:dyDescent="0.25">
      <c r="A11" s="617" t="s">
        <v>37</v>
      </c>
      <c r="B11" s="618" t="s">
        <v>38</v>
      </c>
      <c r="C11" s="619" t="s">
        <v>635</v>
      </c>
      <c r="D11" s="620" t="s">
        <v>636</v>
      </c>
      <c r="E11" s="620" t="s">
        <v>637</v>
      </c>
      <c r="F11" s="619" t="s">
        <v>638</v>
      </c>
      <c r="G11" s="621" t="s">
        <v>586</v>
      </c>
      <c r="H11" s="622" t="s">
        <v>587</v>
      </c>
      <c r="I11" s="623" t="s">
        <v>588</v>
      </c>
      <c r="J11" s="624" t="s">
        <v>589</v>
      </c>
      <c r="K11" s="624" t="s">
        <v>590</v>
      </c>
      <c r="L11" s="623" t="s">
        <v>593</v>
      </c>
      <c r="M11" s="623" t="s">
        <v>594</v>
      </c>
      <c r="N11" s="623" t="s">
        <v>595</v>
      </c>
      <c r="O11" s="623" t="s">
        <v>596</v>
      </c>
      <c r="P11" s="623" t="s">
        <v>597</v>
      </c>
      <c r="Q11" s="623" t="s">
        <v>598</v>
      </c>
      <c r="R11" s="623" t="s">
        <v>599</v>
      </c>
      <c r="S11" s="623" t="s">
        <v>600</v>
      </c>
      <c r="T11" s="624" t="s">
        <v>601</v>
      </c>
      <c r="U11" s="625" t="s">
        <v>602</v>
      </c>
      <c r="V11" s="623" t="s">
        <v>603</v>
      </c>
      <c r="W11" s="623" t="s">
        <v>604</v>
      </c>
      <c r="X11" s="623" t="s">
        <v>605</v>
      </c>
      <c r="Y11" s="623" t="s">
        <v>606</v>
      </c>
      <c r="Z11" s="623" t="s">
        <v>607</v>
      </c>
      <c r="AA11" s="623" t="s">
        <v>608</v>
      </c>
      <c r="AB11" s="623" t="s">
        <v>609</v>
      </c>
      <c r="AC11" s="623" t="s">
        <v>610</v>
      </c>
      <c r="AD11" s="623" t="s">
        <v>611</v>
      </c>
      <c r="AE11" s="623" t="s">
        <v>612</v>
      </c>
      <c r="AF11" s="623" t="s">
        <v>613</v>
      </c>
      <c r="AG11" s="623" t="s">
        <v>614</v>
      </c>
      <c r="AH11" s="626" t="s">
        <v>615</v>
      </c>
      <c r="AI11" s="626" t="s">
        <v>616</v>
      </c>
      <c r="AJ11" s="626" t="s">
        <v>617</v>
      </c>
      <c r="AK11" s="627" t="s">
        <v>618</v>
      </c>
      <c r="AL11" s="622" t="s">
        <v>619</v>
      </c>
      <c r="AM11" s="628" t="s">
        <v>639</v>
      </c>
      <c r="AN11" s="623" t="s">
        <v>620</v>
      </c>
      <c r="AO11" s="623" t="s">
        <v>621</v>
      </c>
      <c r="AP11" s="623" t="s">
        <v>622</v>
      </c>
      <c r="AQ11" s="623" t="s">
        <v>623</v>
      </c>
      <c r="AR11" s="629" t="s">
        <v>640</v>
      </c>
      <c r="AS11" s="623" t="s">
        <v>624</v>
      </c>
      <c r="AT11" s="623" t="s">
        <v>625</v>
      </c>
      <c r="AU11" s="629" t="s">
        <v>641</v>
      </c>
      <c r="AV11" s="623" t="s">
        <v>626</v>
      </c>
      <c r="AW11" s="623" t="s">
        <v>627</v>
      </c>
      <c r="AX11" s="623" t="s">
        <v>628</v>
      </c>
      <c r="AY11" s="623" t="s">
        <v>629</v>
      </c>
      <c r="AZ11" s="629" t="s">
        <v>642</v>
      </c>
      <c r="BA11" s="630" t="s">
        <v>630</v>
      </c>
      <c r="BB11" s="631" t="s">
        <v>631</v>
      </c>
      <c r="BC11" s="631" t="s">
        <v>632</v>
      </c>
      <c r="BD11" s="631" t="s">
        <v>633</v>
      </c>
      <c r="BE11" s="632" t="s">
        <v>634</v>
      </c>
    </row>
    <row r="12" spans="1:57" x14ac:dyDescent="0.25">
      <c r="A12" s="329">
        <v>45884</v>
      </c>
      <c r="B12" s="5">
        <v>1</v>
      </c>
      <c r="C12" s="5" t="s">
        <v>91</v>
      </c>
      <c r="D12" s="505">
        <v>2</v>
      </c>
      <c r="E12" s="505">
        <v>0</v>
      </c>
      <c r="F12" s="26" t="s">
        <v>92</v>
      </c>
      <c r="G12" s="242" t="s">
        <v>535</v>
      </c>
      <c r="H12" s="42">
        <v>68</v>
      </c>
      <c r="I12" s="26">
        <v>32</v>
      </c>
      <c r="J12" s="33">
        <v>2.44</v>
      </c>
      <c r="K12" s="34">
        <v>0.93</v>
      </c>
      <c r="L12" s="25">
        <v>3</v>
      </c>
      <c r="M12" s="26">
        <v>1</v>
      </c>
      <c r="N12" s="25">
        <v>25</v>
      </c>
      <c r="O12" s="26">
        <v>5</v>
      </c>
      <c r="P12" s="25">
        <v>4</v>
      </c>
      <c r="Q12" s="26">
        <v>8</v>
      </c>
      <c r="R12" s="25">
        <v>1</v>
      </c>
      <c r="S12" s="26">
        <v>2</v>
      </c>
      <c r="T12" s="33">
        <v>1.0900000000000001</v>
      </c>
      <c r="U12" s="484">
        <v>0.2</v>
      </c>
      <c r="V12" s="25">
        <v>10</v>
      </c>
      <c r="W12" s="26">
        <v>1</v>
      </c>
      <c r="X12" s="25">
        <v>10</v>
      </c>
      <c r="Y12" s="26">
        <v>8</v>
      </c>
      <c r="Z12" s="25">
        <v>668</v>
      </c>
      <c r="AA12" s="26">
        <v>326</v>
      </c>
      <c r="AB12" s="25">
        <v>11</v>
      </c>
      <c r="AC12" s="26">
        <v>11</v>
      </c>
      <c r="AD12" s="25">
        <v>8</v>
      </c>
      <c r="AE12" s="26">
        <v>9</v>
      </c>
      <c r="AF12" s="25">
        <v>1</v>
      </c>
      <c r="AG12" s="26">
        <v>2</v>
      </c>
      <c r="AH12" s="487">
        <v>0</v>
      </c>
      <c r="AI12" s="488">
        <v>1</v>
      </c>
      <c r="AJ12" s="487">
        <v>0</v>
      </c>
      <c r="AK12" s="489">
        <v>1</v>
      </c>
      <c r="AL12" s="173">
        <v>10</v>
      </c>
      <c r="AM12" s="364">
        <v>0.4</v>
      </c>
      <c r="AN12" s="144">
        <v>0</v>
      </c>
      <c r="AO12" s="144">
        <v>11</v>
      </c>
      <c r="AP12" s="144">
        <v>4</v>
      </c>
      <c r="AQ12" s="144">
        <v>17</v>
      </c>
      <c r="AR12" s="365">
        <v>0.68</v>
      </c>
      <c r="AS12" s="144">
        <v>8</v>
      </c>
      <c r="AT12" s="5">
        <v>4</v>
      </c>
      <c r="AU12" s="372">
        <v>0.8</v>
      </c>
      <c r="AV12" s="5">
        <v>0</v>
      </c>
      <c r="AW12" s="5">
        <v>1</v>
      </c>
      <c r="AX12" s="5">
        <v>0</v>
      </c>
      <c r="AY12" s="5">
        <v>3</v>
      </c>
      <c r="AZ12" s="372">
        <v>0.6</v>
      </c>
      <c r="BA12" s="57">
        <v>2</v>
      </c>
      <c r="BB12" s="393">
        <v>1</v>
      </c>
      <c r="BC12" s="394">
        <v>0</v>
      </c>
      <c r="BD12" s="395">
        <v>2</v>
      </c>
      <c r="BE12" s="396">
        <v>0</v>
      </c>
    </row>
    <row r="13" spans="1:57" x14ac:dyDescent="0.25">
      <c r="A13" s="329">
        <v>45893</v>
      </c>
      <c r="B13" s="5">
        <v>2</v>
      </c>
      <c r="C13" s="5" t="s">
        <v>91</v>
      </c>
      <c r="D13" s="505">
        <v>5</v>
      </c>
      <c r="E13" s="505">
        <v>0</v>
      </c>
      <c r="F13" s="5" t="s">
        <v>69</v>
      </c>
      <c r="H13" s="42">
        <v>53</v>
      </c>
      <c r="I13" s="26">
        <v>47</v>
      </c>
      <c r="J13" s="33">
        <v>2.2999999999999998</v>
      </c>
      <c r="K13" s="34">
        <v>0.14000000000000001</v>
      </c>
      <c r="L13" s="25">
        <v>4</v>
      </c>
      <c r="M13" s="26">
        <v>0</v>
      </c>
      <c r="N13" s="25">
        <v>19</v>
      </c>
      <c r="O13" s="26">
        <v>5</v>
      </c>
      <c r="P13" s="25">
        <v>2</v>
      </c>
      <c r="Q13" s="26">
        <v>2</v>
      </c>
      <c r="R13" s="25">
        <v>0</v>
      </c>
      <c r="S13" s="26">
        <v>0</v>
      </c>
      <c r="T13" s="33">
        <v>0.05</v>
      </c>
      <c r="U13" s="484">
        <v>-3.08</v>
      </c>
      <c r="V13" s="25">
        <v>8</v>
      </c>
      <c r="W13" s="26">
        <v>1</v>
      </c>
      <c r="X13" s="25">
        <v>8</v>
      </c>
      <c r="Y13" s="26">
        <v>9</v>
      </c>
      <c r="Z13" s="25">
        <v>517</v>
      </c>
      <c r="AA13" s="26">
        <v>470</v>
      </c>
      <c r="AB13" s="25">
        <v>22</v>
      </c>
      <c r="AC13" s="26">
        <v>18</v>
      </c>
      <c r="AD13" s="25">
        <v>9</v>
      </c>
      <c r="AE13" s="26">
        <v>8</v>
      </c>
      <c r="AF13" s="25">
        <v>1</v>
      </c>
      <c r="AG13" s="26">
        <v>2</v>
      </c>
      <c r="AH13" s="487">
        <v>0</v>
      </c>
      <c r="AI13" s="488">
        <v>0</v>
      </c>
      <c r="AJ13" s="487">
        <v>0</v>
      </c>
      <c r="AK13" s="489">
        <v>0</v>
      </c>
      <c r="AL13" s="173">
        <v>7</v>
      </c>
      <c r="AM13" s="364">
        <v>0.36842105263157893</v>
      </c>
      <c r="AN13" s="144">
        <v>0</v>
      </c>
      <c r="AO13" s="144">
        <v>7</v>
      </c>
      <c r="AP13" s="144">
        <v>5</v>
      </c>
      <c r="AQ13" s="144">
        <v>13</v>
      </c>
      <c r="AR13" s="365">
        <v>0.68421052631578949</v>
      </c>
      <c r="AS13" s="144">
        <v>6</v>
      </c>
      <c r="AT13" s="5">
        <v>2</v>
      </c>
      <c r="AU13" s="372">
        <v>0.4</v>
      </c>
      <c r="AV13" s="5">
        <v>0</v>
      </c>
      <c r="AW13" s="5">
        <v>1</v>
      </c>
      <c r="AX13" s="5">
        <v>2</v>
      </c>
      <c r="AY13" s="5">
        <v>3</v>
      </c>
      <c r="AZ13" s="372">
        <v>0.6</v>
      </c>
      <c r="BA13" s="57">
        <v>2</v>
      </c>
      <c r="BB13" s="393">
        <v>0</v>
      </c>
      <c r="BC13" s="394">
        <v>0</v>
      </c>
      <c r="BD13" s="395">
        <v>0</v>
      </c>
      <c r="BE13" s="396">
        <v>1</v>
      </c>
    </row>
    <row r="14" spans="1:57" x14ac:dyDescent="0.25">
      <c r="A14" s="329">
        <v>45920</v>
      </c>
      <c r="B14" s="5">
        <v>5</v>
      </c>
      <c r="C14" s="5" t="s">
        <v>91</v>
      </c>
      <c r="D14" s="505">
        <v>2</v>
      </c>
      <c r="E14" s="505">
        <v>1</v>
      </c>
      <c r="F14" s="26" t="s">
        <v>227</v>
      </c>
      <c r="G14" s="242" t="s">
        <v>451</v>
      </c>
      <c r="H14" s="42">
        <v>66</v>
      </c>
      <c r="I14" s="26">
        <v>34</v>
      </c>
      <c r="J14" s="33">
        <v>2.5499999999999998</v>
      </c>
      <c r="K14" s="34">
        <v>1.8</v>
      </c>
      <c r="L14" s="25">
        <v>6</v>
      </c>
      <c r="M14" s="26">
        <v>3</v>
      </c>
      <c r="N14" s="25">
        <v>26</v>
      </c>
      <c r="O14" s="26">
        <v>6</v>
      </c>
      <c r="P14" s="25">
        <v>2</v>
      </c>
      <c r="Q14" s="26">
        <v>6</v>
      </c>
      <c r="R14" s="25">
        <v>0</v>
      </c>
      <c r="S14" s="26">
        <v>2</v>
      </c>
      <c r="T14" s="33">
        <v>0.86</v>
      </c>
      <c r="U14" s="484">
        <v>1.4</v>
      </c>
      <c r="V14" s="25">
        <v>7</v>
      </c>
      <c r="W14" s="26">
        <v>0</v>
      </c>
      <c r="X14" s="25">
        <v>10</v>
      </c>
      <c r="Y14" s="26">
        <v>11</v>
      </c>
      <c r="Z14" s="25">
        <v>502</v>
      </c>
      <c r="AA14" s="26">
        <v>274</v>
      </c>
      <c r="AB14" s="25">
        <v>15</v>
      </c>
      <c r="AC14" s="26">
        <v>20</v>
      </c>
      <c r="AD14" s="25">
        <v>11</v>
      </c>
      <c r="AE14" s="26">
        <v>9</v>
      </c>
      <c r="AF14" s="25">
        <v>2</v>
      </c>
      <c r="AG14" s="26">
        <v>3</v>
      </c>
      <c r="AH14" s="487">
        <v>0</v>
      </c>
      <c r="AI14" s="488">
        <v>1</v>
      </c>
      <c r="AJ14" s="487">
        <v>0</v>
      </c>
      <c r="AK14" s="489">
        <v>1</v>
      </c>
      <c r="AL14" s="173">
        <v>8</v>
      </c>
      <c r="AM14" s="364">
        <v>0.30769230769230771</v>
      </c>
      <c r="AN14" s="144">
        <v>0</v>
      </c>
      <c r="AO14" s="144">
        <v>12</v>
      </c>
      <c r="AP14" s="144">
        <v>6</v>
      </c>
      <c r="AQ14" s="144">
        <v>14</v>
      </c>
      <c r="AR14" s="365">
        <v>0.53846153846153844</v>
      </c>
      <c r="AS14" s="144">
        <v>12</v>
      </c>
      <c r="AT14" s="5">
        <v>3</v>
      </c>
      <c r="AU14" s="372">
        <v>0.5</v>
      </c>
      <c r="AV14" s="5">
        <v>0</v>
      </c>
      <c r="AW14" s="5">
        <v>3</v>
      </c>
      <c r="AX14" s="5">
        <v>0</v>
      </c>
      <c r="AY14" s="5">
        <v>6</v>
      </c>
      <c r="AZ14" s="372">
        <v>1</v>
      </c>
      <c r="BA14" s="57">
        <v>0</v>
      </c>
      <c r="BB14" s="393">
        <v>0</v>
      </c>
      <c r="BC14" s="394">
        <v>0</v>
      </c>
      <c r="BD14" s="395">
        <v>0</v>
      </c>
      <c r="BE14" s="396">
        <v>0</v>
      </c>
    </row>
    <row r="15" spans="1:57" x14ac:dyDescent="0.25">
      <c r="A15" s="329">
        <v>45927</v>
      </c>
      <c r="B15" s="5">
        <v>7</v>
      </c>
      <c r="C15" s="5" t="s">
        <v>91</v>
      </c>
      <c r="D15" s="505">
        <v>1</v>
      </c>
      <c r="E15" s="505">
        <v>0</v>
      </c>
      <c r="F15" s="5" t="s">
        <v>170</v>
      </c>
      <c r="H15" s="42">
        <v>42</v>
      </c>
      <c r="I15" s="26">
        <v>58</v>
      </c>
      <c r="J15" s="33">
        <v>1.22</v>
      </c>
      <c r="K15" s="34">
        <v>1.44</v>
      </c>
      <c r="L15" s="25">
        <v>3</v>
      </c>
      <c r="M15" s="26">
        <v>2</v>
      </c>
      <c r="N15" s="25">
        <v>14</v>
      </c>
      <c r="O15" s="26">
        <v>16</v>
      </c>
      <c r="P15" s="25">
        <v>4</v>
      </c>
      <c r="Q15" s="26">
        <v>4</v>
      </c>
      <c r="R15" s="25">
        <v>0</v>
      </c>
      <c r="S15" s="26">
        <v>0</v>
      </c>
      <c r="T15" s="33">
        <v>0.72</v>
      </c>
      <c r="U15" s="484">
        <v>0.57999999999999996</v>
      </c>
      <c r="V15" s="25">
        <v>6</v>
      </c>
      <c r="W15" s="26">
        <v>5</v>
      </c>
      <c r="X15" s="25">
        <v>13</v>
      </c>
      <c r="Y15" s="26">
        <v>11</v>
      </c>
      <c r="Z15" s="25">
        <v>373</v>
      </c>
      <c r="AA15" s="26">
        <v>506</v>
      </c>
      <c r="AB15" s="25">
        <v>23</v>
      </c>
      <c r="AC15" s="26">
        <v>12</v>
      </c>
      <c r="AD15" s="25">
        <v>11</v>
      </c>
      <c r="AE15" s="26">
        <v>13</v>
      </c>
      <c r="AF15" s="25">
        <v>2</v>
      </c>
      <c r="AG15" s="26">
        <v>0</v>
      </c>
      <c r="AH15" s="487">
        <v>0</v>
      </c>
      <c r="AI15" s="488">
        <v>0</v>
      </c>
      <c r="AJ15" s="487">
        <v>0</v>
      </c>
      <c r="AK15" s="489">
        <v>0</v>
      </c>
      <c r="AL15" s="173">
        <v>5</v>
      </c>
      <c r="AM15" s="364">
        <v>0.35714285714285715</v>
      </c>
      <c r="AN15" s="144">
        <v>1</v>
      </c>
      <c r="AO15" s="144">
        <v>6</v>
      </c>
      <c r="AP15" s="144">
        <v>3</v>
      </c>
      <c r="AQ15" s="144">
        <v>10</v>
      </c>
      <c r="AR15" s="365">
        <v>0.7142857142857143</v>
      </c>
      <c r="AS15" s="144">
        <v>4</v>
      </c>
      <c r="AT15" s="5">
        <v>4</v>
      </c>
      <c r="AU15" s="372">
        <v>0.25</v>
      </c>
      <c r="AV15" s="5">
        <v>1</v>
      </c>
      <c r="AW15" s="5">
        <v>5</v>
      </c>
      <c r="AX15" s="5">
        <v>7</v>
      </c>
      <c r="AY15" s="5">
        <v>10</v>
      </c>
      <c r="AZ15" s="372">
        <v>0.625</v>
      </c>
      <c r="BA15" s="57">
        <v>6</v>
      </c>
      <c r="BB15" s="393">
        <v>2</v>
      </c>
      <c r="BC15" s="394">
        <v>0</v>
      </c>
      <c r="BD15" s="395">
        <v>2</v>
      </c>
      <c r="BE15" s="396">
        <v>0</v>
      </c>
    </row>
    <row r="16" spans="1:57" ht="15.75" thickBot="1" x14ac:dyDescent="0.3">
      <c r="A16" s="330">
        <v>45948</v>
      </c>
      <c r="B16" s="9">
        <v>9</v>
      </c>
      <c r="C16" s="9" t="s">
        <v>91</v>
      </c>
      <c r="D16" s="439">
        <v>2</v>
      </c>
      <c r="E16" s="439">
        <v>2</v>
      </c>
      <c r="F16" s="9" t="s">
        <v>209</v>
      </c>
      <c r="G16" s="45"/>
      <c r="H16" s="384">
        <v>40</v>
      </c>
      <c r="I16" s="74">
        <v>60</v>
      </c>
      <c r="J16" s="385">
        <v>0.66</v>
      </c>
      <c r="K16" s="386">
        <v>1.18</v>
      </c>
      <c r="L16" s="387">
        <v>2</v>
      </c>
      <c r="M16" s="74">
        <v>0</v>
      </c>
      <c r="N16" s="387">
        <v>7</v>
      </c>
      <c r="O16" s="74">
        <v>16</v>
      </c>
      <c r="P16" s="387">
        <v>1</v>
      </c>
      <c r="Q16" s="74">
        <v>2</v>
      </c>
      <c r="R16" s="387">
        <v>1</v>
      </c>
      <c r="S16" s="74">
        <v>0</v>
      </c>
      <c r="T16" s="385">
        <v>-0.81</v>
      </c>
      <c r="U16" s="498">
        <v>-1.2</v>
      </c>
      <c r="V16" s="387">
        <v>5</v>
      </c>
      <c r="W16" s="74">
        <v>6</v>
      </c>
      <c r="X16" s="387">
        <v>13</v>
      </c>
      <c r="Y16" s="74">
        <v>10</v>
      </c>
      <c r="Z16" s="387">
        <v>372</v>
      </c>
      <c r="AA16" s="74">
        <v>561</v>
      </c>
      <c r="AB16" s="387">
        <v>11</v>
      </c>
      <c r="AC16" s="74">
        <v>12</v>
      </c>
      <c r="AD16" s="387">
        <v>10</v>
      </c>
      <c r="AE16" s="74">
        <v>13</v>
      </c>
      <c r="AF16" s="387">
        <v>1</v>
      </c>
      <c r="AG16" s="74">
        <v>1</v>
      </c>
      <c r="AH16" s="499">
        <v>0</v>
      </c>
      <c r="AI16" s="500">
        <v>0</v>
      </c>
      <c r="AJ16" s="499">
        <v>0</v>
      </c>
      <c r="AK16" s="501">
        <v>0</v>
      </c>
      <c r="AL16" s="177">
        <v>3</v>
      </c>
      <c r="AM16" s="388">
        <v>0.42857142857142855</v>
      </c>
      <c r="AN16" s="152">
        <v>0</v>
      </c>
      <c r="AO16" s="152">
        <v>4</v>
      </c>
      <c r="AP16" s="152">
        <v>0</v>
      </c>
      <c r="AQ16" s="152">
        <v>5</v>
      </c>
      <c r="AR16" s="389">
        <v>0.7142857142857143</v>
      </c>
      <c r="AS16" s="152">
        <v>2</v>
      </c>
      <c r="AT16" s="9">
        <v>3</v>
      </c>
      <c r="AU16" s="390">
        <v>0.1875</v>
      </c>
      <c r="AV16" s="9">
        <v>0</v>
      </c>
      <c r="AW16" s="9">
        <v>7</v>
      </c>
      <c r="AX16" s="9">
        <v>6</v>
      </c>
      <c r="AY16" s="9">
        <v>11</v>
      </c>
      <c r="AZ16" s="390">
        <v>0.6875</v>
      </c>
      <c r="BA16" s="58">
        <v>5</v>
      </c>
      <c r="BB16" s="420">
        <v>0</v>
      </c>
      <c r="BC16" s="421">
        <v>0</v>
      </c>
      <c r="BD16" s="422">
        <v>0</v>
      </c>
      <c r="BE16" s="423">
        <v>1</v>
      </c>
    </row>
    <row r="17" spans="1:57" x14ac:dyDescent="0.25">
      <c r="A17" s="331">
        <v>45884</v>
      </c>
      <c r="B17" s="13">
        <v>1</v>
      </c>
      <c r="C17" s="79" t="s">
        <v>69</v>
      </c>
      <c r="D17" s="601">
        <v>1</v>
      </c>
      <c r="E17" s="601">
        <v>3</v>
      </c>
      <c r="F17" s="13" t="s">
        <v>70</v>
      </c>
      <c r="G17" s="268" t="s">
        <v>534</v>
      </c>
      <c r="H17" s="376">
        <v>44</v>
      </c>
      <c r="I17" s="79">
        <v>56</v>
      </c>
      <c r="J17" s="377">
        <v>0.56000000000000005</v>
      </c>
      <c r="K17" s="378">
        <v>3.43</v>
      </c>
      <c r="L17" s="379">
        <v>1</v>
      </c>
      <c r="M17" s="79">
        <v>4</v>
      </c>
      <c r="N17" s="379">
        <v>7</v>
      </c>
      <c r="O17" s="79">
        <v>16</v>
      </c>
      <c r="P17" s="379">
        <v>2</v>
      </c>
      <c r="Q17" s="79">
        <v>1</v>
      </c>
      <c r="R17" s="379">
        <v>0</v>
      </c>
      <c r="S17" s="79">
        <v>0</v>
      </c>
      <c r="T17" s="377">
        <v>0.2</v>
      </c>
      <c r="U17" s="494">
        <v>-0.28000000000000003</v>
      </c>
      <c r="V17" s="379">
        <v>2</v>
      </c>
      <c r="W17" s="79">
        <v>4</v>
      </c>
      <c r="X17" s="379">
        <v>8</v>
      </c>
      <c r="Y17" s="79">
        <v>17</v>
      </c>
      <c r="Z17" s="379">
        <v>382</v>
      </c>
      <c r="AA17" s="79">
        <v>481</v>
      </c>
      <c r="AB17" s="379">
        <v>13</v>
      </c>
      <c r="AC17" s="79">
        <v>27</v>
      </c>
      <c r="AD17" s="379">
        <v>17</v>
      </c>
      <c r="AE17" s="79">
        <v>7</v>
      </c>
      <c r="AF17" s="379">
        <v>0</v>
      </c>
      <c r="AG17" s="79">
        <v>1</v>
      </c>
      <c r="AH17" s="495">
        <v>1</v>
      </c>
      <c r="AI17" s="496">
        <v>0</v>
      </c>
      <c r="AJ17" s="495">
        <v>0</v>
      </c>
      <c r="AK17" s="497">
        <v>1</v>
      </c>
      <c r="AL17" s="169">
        <v>2</v>
      </c>
      <c r="AM17" s="380">
        <v>0.2857142857142857</v>
      </c>
      <c r="AN17" s="160">
        <v>0</v>
      </c>
      <c r="AO17" s="160">
        <v>2</v>
      </c>
      <c r="AP17" s="160">
        <v>3</v>
      </c>
      <c r="AQ17" s="160">
        <v>3</v>
      </c>
      <c r="AR17" s="381">
        <v>0.42857142857142855</v>
      </c>
      <c r="AS17" s="160">
        <v>4</v>
      </c>
      <c r="AT17" s="13">
        <v>5</v>
      </c>
      <c r="AU17" s="382">
        <v>0.3125</v>
      </c>
      <c r="AV17" s="13">
        <v>0</v>
      </c>
      <c r="AW17" s="13">
        <v>10</v>
      </c>
      <c r="AX17" s="13">
        <v>1</v>
      </c>
      <c r="AY17" s="13">
        <v>12</v>
      </c>
      <c r="AZ17" s="382">
        <v>0.75</v>
      </c>
      <c r="BA17" s="60">
        <v>4</v>
      </c>
      <c r="BB17" s="416">
        <v>2</v>
      </c>
      <c r="BC17" s="417">
        <v>1</v>
      </c>
      <c r="BD17" s="418">
        <v>1</v>
      </c>
      <c r="BE17" s="419">
        <v>0</v>
      </c>
    </row>
    <row r="18" spans="1:57" x14ac:dyDescent="0.25">
      <c r="A18" s="329">
        <v>45894</v>
      </c>
      <c r="B18" s="5">
        <v>2</v>
      </c>
      <c r="C18" s="5" t="s">
        <v>170</v>
      </c>
      <c r="D18" s="503">
        <v>1</v>
      </c>
      <c r="E18" s="503">
        <v>0</v>
      </c>
      <c r="F18" s="5" t="s">
        <v>70</v>
      </c>
      <c r="H18" s="42">
        <v>41</v>
      </c>
      <c r="I18" s="26">
        <v>59</v>
      </c>
      <c r="J18" s="33">
        <v>1.51</v>
      </c>
      <c r="K18" s="34">
        <v>0.28999999999999998</v>
      </c>
      <c r="L18" s="25">
        <v>2</v>
      </c>
      <c r="M18" s="26">
        <v>1</v>
      </c>
      <c r="N18" s="25">
        <v>11</v>
      </c>
      <c r="O18" s="26">
        <v>6</v>
      </c>
      <c r="P18" s="25">
        <v>1</v>
      </c>
      <c r="Q18" s="26">
        <v>3</v>
      </c>
      <c r="R18" s="25">
        <v>0</v>
      </c>
      <c r="S18" s="26">
        <v>1</v>
      </c>
      <c r="T18" s="33">
        <v>0.17</v>
      </c>
      <c r="U18" s="484">
        <v>0.26</v>
      </c>
      <c r="V18" s="25">
        <v>3</v>
      </c>
      <c r="W18" s="26">
        <v>6</v>
      </c>
      <c r="X18" s="25">
        <v>13</v>
      </c>
      <c r="Y18" s="26">
        <v>13</v>
      </c>
      <c r="Z18" s="25">
        <v>334</v>
      </c>
      <c r="AA18" s="26">
        <v>498</v>
      </c>
      <c r="AB18" s="25">
        <v>14</v>
      </c>
      <c r="AC18" s="26">
        <v>16</v>
      </c>
      <c r="AD18" s="25">
        <v>12</v>
      </c>
      <c r="AE18" s="26">
        <v>13</v>
      </c>
      <c r="AF18" s="25">
        <v>0</v>
      </c>
      <c r="AG18" s="26">
        <v>4</v>
      </c>
      <c r="AH18" s="487">
        <v>0</v>
      </c>
      <c r="AI18" s="488">
        <v>0</v>
      </c>
      <c r="AJ18" s="487">
        <v>1</v>
      </c>
      <c r="AK18" s="489">
        <v>0</v>
      </c>
      <c r="AL18" s="173">
        <v>4</v>
      </c>
      <c r="AM18" s="364">
        <v>0.36363636363636365</v>
      </c>
      <c r="AN18" s="144">
        <v>0</v>
      </c>
      <c r="AO18" s="144">
        <v>3</v>
      </c>
      <c r="AP18" s="144">
        <v>4</v>
      </c>
      <c r="AQ18" s="144">
        <v>5</v>
      </c>
      <c r="AR18" s="365">
        <v>0.45454545454545453</v>
      </c>
      <c r="AS18" s="144">
        <v>6</v>
      </c>
      <c r="AT18" s="5">
        <v>1</v>
      </c>
      <c r="AU18" s="372">
        <v>0.16666666666666666</v>
      </c>
      <c r="AV18" s="5">
        <v>0</v>
      </c>
      <c r="AW18" s="5">
        <v>2</v>
      </c>
      <c r="AX18" s="5">
        <v>3</v>
      </c>
      <c r="AY18" s="5">
        <v>2</v>
      </c>
      <c r="AZ18" s="372">
        <v>0.33333333333333331</v>
      </c>
      <c r="BA18" s="57">
        <v>4</v>
      </c>
      <c r="BB18" s="393">
        <v>1</v>
      </c>
      <c r="BC18" s="394">
        <v>0</v>
      </c>
      <c r="BD18" s="395">
        <v>0</v>
      </c>
      <c r="BE18" s="396">
        <v>0</v>
      </c>
    </row>
    <row r="19" spans="1:57" x14ac:dyDescent="0.25">
      <c r="A19" s="329">
        <v>45914</v>
      </c>
      <c r="B19" s="5">
        <v>4</v>
      </c>
      <c r="C19" s="5" t="s">
        <v>227</v>
      </c>
      <c r="D19" s="503">
        <v>2</v>
      </c>
      <c r="E19" s="503">
        <v>0</v>
      </c>
      <c r="F19" s="5" t="s">
        <v>70</v>
      </c>
      <c r="H19" s="42">
        <v>38</v>
      </c>
      <c r="I19" s="26">
        <v>64</v>
      </c>
      <c r="J19" s="33">
        <v>1.59</v>
      </c>
      <c r="K19" s="34">
        <v>1.0900000000000001</v>
      </c>
      <c r="L19" s="25">
        <v>3</v>
      </c>
      <c r="M19" s="26">
        <v>0</v>
      </c>
      <c r="N19" s="25">
        <v>9</v>
      </c>
      <c r="O19" s="26">
        <v>19</v>
      </c>
      <c r="P19" s="25">
        <v>6</v>
      </c>
      <c r="Q19" s="26">
        <v>4</v>
      </c>
      <c r="R19" s="25">
        <v>0</v>
      </c>
      <c r="S19" s="26">
        <v>1</v>
      </c>
      <c r="T19" s="33">
        <v>1.28</v>
      </c>
      <c r="U19" s="484">
        <v>0.03</v>
      </c>
      <c r="V19" s="25">
        <v>3</v>
      </c>
      <c r="W19" s="26">
        <v>6</v>
      </c>
      <c r="X19" s="25">
        <v>13</v>
      </c>
      <c r="Y19" s="26">
        <v>7</v>
      </c>
      <c r="Z19" s="25">
        <v>306</v>
      </c>
      <c r="AA19" s="26">
        <v>539</v>
      </c>
      <c r="AB19" s="25">
        <v>9</v>
      </c>
      <c r="AC19" s="26">
        <v>13</v>
      </c>
      <c r="AD19" s="25">
        <v>7</v>
      </c>
      <c r="AE19" s="26">
        <v>13</v>
      </c>
      <c r="AF19" s="25">
        <v>3</v>
      </c>
      <c r="AG19" s="26">
        <v>2</v>
      </c>
      <c r="AH19" s="487">
        <v>0</v>
      </c>
      <c r="AI19" s="488">
        <v>0</v>
      </c>
      <c r="AJ19" s="487">
        <v>0</v>
      </c>
      <c r="AK19" s="489">
        <v>0</v>
      </c>
      <c r="AL19" s="173">
        <v>7</v>
      </c>
      <c r="AM19" s="364">
        <v>0.77777777777777779</v>
      </c>
      <c r="AN19" s="144">
        <v>0</v>
      </c>
      <c r="AO19" s="144">
        <v>1</v>
      </c>
      <c r="AP19" s="144">
        <v>1</v>
      </c>
      <c r="AQ19" s="144">
        <v>6</v>
      </c>
      <c r="AR19" s="365">
        <v>0.66666666666666663</v>
      </c>
      <c r="AS19" s="144">
        <v>3</v>
      </c>
      <c r="AT19" s="5">
        <v>6</v>
      </c>
      <c r="AU19" s="372">
        <v>0.31578947368421051</v>
      </c>
      <c r="AV19" s="5">
        <v>1</v>
      </c>
      <c r="AW19" s="5">
        <v>7</v>
      </c>
      <c r="AX19" s="5">
        <v>6</v>
      </c>
      <c r="AY19" s="5">
        <v>12</v>
      </c>
      <c r="AZ19" s="372">
        <v>0.63157894736842102</v>
      </c>
      <c r="BA19" s="57">
        <v>7</v>
      </c>
      <c r="BB19" s="393">
        <v>0</v>
      </c>
      <c r="BC19" s="394">
        <v>0</v>
      </c>
      <c r="BD19" s="395">
        <v>1</v>
      </c>
      <c r="BE19" s="396">
        <v>0</v>
      </c>
    </row>
    <row r="20" spans="1:57" x14ac:dyDescent="0.25">
      <c r="A20" s="329">
        <v>45924</v>
      </c>
      <c r="B20" s="5">
        <v>6</v>
      </c>
      <c r="C20" s="5" t="s">
        <v>193</v>
      </c>
      <c r="D20" s="503">
        <v>3</v>
      </c>
      <c r="E20" s="503">
        <v>2</v>
      </c>
      <c r="F20" s="5" t="s">
        <v>70</v>
      </c>
      <c r="H20" s="42">
        <v>61</v>
      </c>
      <c r="I20" s="26">
        <v>39</v>
      </c>
      <c r="J20" s="33">
        <v>3.61</v>
      </c>
      <c r="K20" s="34">
        <v>1.6</v>
      </c>
      <c r="L20" s="25">
        <v>7</v>
      </c>
      <c r="M20" s="26">
        <v>3</v>
      </c>
      <c r="N20" s="25">
        <v>20</v>
      </c>
      <c r="O20" s="26">
        <v>9</v>
      </c>
      <c r="P20" s="25">
        <v>1</v>
      </c>
      <c r="Q20" s="26">
        <v>5</v>
      </c>
      <c r="R20" s="25">
        <v>0</v>
      </c>
      <c r="S20" s="26">
        <v>0</v>
      </c>
      <c r="T20" s="33">
        <v>-0.61</v>
      </c>
      <c r="U20" s="484">
        <v>0.04</v>
      </c>
      <c r="V20" s="25">
        <v>8</v>
      </c>
      <c r="W20" s="26">
        <v>6</v>
      </c>
      <c r="X20" s="25">
        <v>6</v>
      </c>
      <c r="Y20" s="26">
        <v>12</v>
      </c>
      <c r="Z20" s="25">
        <v>579</v>
      </c>
      <c r="AA20" s="26">
        <v>370</v>
      </c>
      <c r="AB20" s="25">
        <v>12</v>
      </c>
      <c r="AC20" s="26">
        <v>21</v>
      </c>
      <c r="AD20" s="25">
        <v>12</v>
      </c>
      <c r="AE20" s="26">
        <v>6</v>
      </c>
      <c r="AF20" s="25">
        <v>3</v>
      </c>
      <c r="AG20" s="26">
        <v>5</v>
      </c>
      <c r="AH20" s="487">
        <v>0</v>
      </c>
      <c r="AI20" s="488">
        <v>0</v>
      </c>
      <c r="AJ20" s="487">
        <v>0</v>
      </c>
      <c r="AK20" s="489">
        <v>0</v>
      </c>
      <c r="AL20" s="173">
        <v>8</v>
      </c>
      <c r="AM20" s="364">
        <v>0.4</v>
      </c>
      <c r="AN20" s="144">
        <v>1</v>
      </c>
      <c r="AO20" s="144">
        <v>8</v>
      </c>
      <c r="AP20" s="144">
        <v>4</v>
      </c>
      <c r="AQ20" s="144">
        <v>17</v>
      </c>
      <c r="AR20" s="365">
        <v>0.85</v>
      </c>
      <c r="AS20" s="144">
        <v>3</v>
      </c>
      <c r="AT20" s="5">
        <v>3</v>
      </c>
      <c r="AU20" s="372">
        <v>0.33333333333333331</v>
      </c>
      <c r="AV20" s="5">
        <v>0</v>
      </c>
      <c r="AW20" s="5">
        <v>6</v>
      </c>
      <c r="AX20" s="5">
        <v>0</v>
      </c>
      <c r="AY20" s="5">
        <v>5</v>
      </c>
      <c r="AZ20" s="372">
        <v>0.55555555555555558</v>
      </c>
      <c r="BA20" s="57">
        <v>4</v>
      </c>
      <c r="BB20" s="393">
        <v>1</v>
      </c>
      <c r="BC20" s="394">
        <v>1</v>
      </c>
      <c r="BD20" s="395">
        <v>0</v>
      </c>
      <c r="BE20" s="396">
        <v>0</v>
      </c>
    </row>
    <row r="21" spans="1:57" x14ac:dyDescent="0.25">
      <c r="A21" s="329">
        <v>45935</v>
      </c>
      <c r="B21" s="5">
        <v>8</v>
      </c>
      <c r="C21" s="5" t="s">
        <v>146</v>
      </c>
      <c r="D21" s="505">
        <v>0</v>
      </c>
      <c r="E21" s="505">
        <v>1</v>
      </c>
      <c r="F21" s="5" t="s">
        <v>70</v>
      </c>
      <c r="H21" s="42">
        <v>51</v>
      </c>
      <c r="I21" s="26">
        <v>49</v>
      </c>
      <c r="J21" s="33">
        <v>0.79</v>
      </c>
      <c r="K21" s="34">
        <v>0.8</v>
      </c>
      <c r="L21" s="25">
        <v>1</v>
      </c>
      <c r="M21" s="26">
        <v>3</v>
      </c>
      <c r="N21" s="25">
        <v>10</v>
      </c>
      <c r="O21" s="26">
        <v>7</v>
      </c>
      <c r="P21" s="25">
        <v>1</v>
      </c>
      <c r="Q21" s="26">
        <v>3</v>
      </c>
      <c r="R21" s="25">
        <v>1</v>
      </c>
      <c r="S21" s="26">
        <v>0</v>
      </c>
      <c r="T21" s="33">
        <v>-0.38</v>
      </c>
      <c r="U21" s="484">
        <v>1.02</v>
      </c>
      <c r="V21" s="25">
        <v>7</v>
      </c>
      <c r="W21" s="26">
        <v>5</v>
      </c>
      <c r="X21" s="25">
        <v>13</v>
      </c>
      <c r="Y21" s="26">
        <v>21</v>
      </c>
      <c r="Z21" s="25">
        <v>421</v>
      </c>
      <c r="AA21" s="26">
        <v>414</v>
      </c>
      <c r="AB21" s="25">
        <v>11</v>
      </c>
      <c r="AC21" s="26">
        <v>13</v>
      </c>
      <c r="AD21" s="25">
        <v>21</v>
      </c>
      <c r="AE21" s="26">
        <v>13</v>
      </c>
      <c r="AF21" s="25">
        <v>1</v>
      </c>
      <c r="AG21" s="26">
        <v>2</v>
      </c>
      <c r="AH21" s="487">
        <v>0</v>
      </c>
      <c r="AI21" s="488">
        <v>0</v>
      </c>
      <c r="AJ21" s="487">
        <v>0</v>
      </c>
      <c r="AK21" s="489">
        <v>0</v>
      </c>
      <c r="AL21" s="173">
        <v>3</v>
      </c>
      <c r="AM21" s="364">
        <v>0.3</v>
      </c>
      <c r="AN21" s="144">
        <v>0</v>
      </c>
      <c r="AO21" s="144">
        <v>1</v>
      </c>
      <c r="AP21" s="144">
        <v>6</v>
      </c>
      <c r="AQ21" s="144">
        <v>7</v>
      </c>
      <c r="AR21" s="365">
        <v>0.7</v>
      </c>
      <c r="AS21" s="144">
        <v>3</v>
      </c>
      <c r="AT21" s="5">
        <v>2</v>
      </c>
      <c r="AU21" s="372">
        <v>0.2857142857142857</v>
      </c>
      <c r="AV21" s="5">
        <v>0</v>
      </c>
      <c r="AW21" s="5">
        <v>3</v>
      </c>
      <c r="AX21" s="5">
        <v>2</v>
      </c>
      <c r="AY21" s="5">
        <v>5</v>
      </c>
      <c r="AZ21" s="372">
        <v>0.7142857142857143</v>
      </c>
      <c r="BA21" s="57">
        <v>2</v>
      </c>
      <c r="BB21" s="393">
        <v>1</v>
      </c>
      <c r="BC21" s="394">
        <v>0</v>
      </c>
      <c r="BD21" s="395">
        <v>0</v>
      </c>
      <c r="BE21" s="396">
        <v>0</v>
      </c>
    </row>
    <row r="22" spans="1:57" x14ac:dyDescent="0.25">
      <c r="A22" s="329">
        <v>45949</v>
      </c>
      <c r="B22" s="5">
        <v>9</v>
      </c>
      <c r="C22" s="5" t="s">
        <v>129</v>
      </c>
      <c r="D22" s="505">
        <v>0</v>
      </c>
      <c r="E22" s="505">
        <v>3</v>
      </c>
      <c r="F22" s="5" t="s">
        <v>70</v>
      </c>
      <c r="H22" s="42">
        <v>54</v>
      </c>
      <c r="I22" s="26">
        <v>46</v>
      </c>
      <c r="J22" s="33">
        <v>0.91</v>
      </c>
      <c r="K22" s="34">
        <v>1.55</v>
      </c>
      <c r="L22" s="25">
        <v>1</v>
      </c>
      <c r="M22" s="26">
        <v>5</v>
      </c>
      <c r="N22" s="25">
        <v>17</v>
      </c>
      <c r="O22" s="26">
        <v>10</v>
      </c>
      <c r="P22" s="25">
        <v>1</v>
      </c>
      <c r="Q22" s="26">
        <v>4</v>
      </c>
      <c r="R22" s="25">
        <v>0</v>
      </c>
      <c r="S22" s="26">
        <v>1</v>
      </c>
      <c r="T22" s="33">
        <v>-1.34</v>
      </c>
      <c r="U22" s="484">
        <v>0.31</v>
      </c>
      <c r="V22" s="25">
        <v>11</v>
      </c>
      <c r="W22" s="26">
        <v>4</v>
      </c>
      <c r="X22" s="25">
        <v>6</v>
      </c>
      <c r="Y22" s="26">
        <v>18</v>
      </c>
      <c r="Z22" s="25">
        <v>419</v>
      </c>
      <c r="AA22" s="26">
        <v>365</v>
      </c>
      <c r="AB22" s="25">
        <v>16</v>
      </c>
      <c r="AC22" s="26">
        <v>27</v>
      </c>
      <c r="AD22" s="25">
        <v>18</v>
      </c>
      <c r="AE22" s="26">
        <v>6</v>
      </c>
      <c r="AF22" s="25">
        <v>0</v>
      </c>
      <c r="AG22" s="26">
        <v>1</v>
      </c>
      <c r="AH22" s="487">
        <v>0</v>
      </c>
      <c r="AI22" s="488">
        <v>0</v>
      </c>
      <c r="AJ22" s="487">
        <v>0</v>
      </c>
      <c r="AK22" s="489">
        <v>0</v>
      </c>
      <c r="AL22" s="173">
        <v>4</v>
      </c>
      <c r="AM22" s="364">
        <v>0.23529411764705882</v>
      </c>
      <c r="AN22" s="144">
        <v>0</v>
      </c>
      <c r="AO22" s="144">
        <v>5</v>
      </c>
      <c r="AP22" s="144">
        <v>8</v>
      </c>
      <c r="AQ22" s="144">
        <v>9</v>
      </c>
      <c r="AR22" s="365">
        <v>0.52941176470588236</v>
      </c>
      <c r="AS22" s="144">
        <v>8</v>
      </c>
      <c r="AT22" s="5">
        <v>5</v>
      </c>
      <c r="AU22" s="372">
        <v>0.5</v>
      </c>
      <c r="AV22" s="5">
        <v>0</v>
      </c>
      <c r="AW22" s="5">
        <v>3</v>
      </c>
      <c r="AX22" s="5">
        <v>2</v>
      </c>
      <c r="AY22" s="5">
        <v>7</v>
      </c>
      <c r="AZ22" s="372">
        <v>0.7</v>
      </c>
      <c r="BA22" s="57">
        <v>3</v>
      </c>
      <c r="BB22" s="393">
        <v>0</v>
      </c>
      <c r="BC22" s="394">
        <v>0</v>
      </c>
      <c r="BD22" s="395">
        <v>1</v>
      </c>
      <c r="BE22" s="396">
        <v>0</v>
      </c>
    </row>
    <row r="23" spans="1:57" ht="15.75" thickBot="1" x14ac:dyDescent="0.3">
      <c r="A23" s="400">
        <v>45962</v>
      </c>
      <c r="B23" s="401">
        <v>11</v>
      </c>
      <c r="C23" s="401" t="s">
        <v>91</v>
      </c>
      <c r="D23" s="429">
        <f>AVERAGE(D12:D22)</f>
        <v>1.7272727272727273</v>
      </c>
      <c r="E23" s="429">
        <f>AVERAGE(E12:E22)</f>
        <v>1.0909090909090908</v>
      </c>
      <c r="F23" s="401" t="s">
        <v>70</v>
      </c>
      <c r="G23" s="402"/>
      <c r="H23" s="403">
        <f t="shared" ref="H23:S23" si="2">AVERAGE(H12:H22)</f>
        <v>50.727272727272727</v>
      </c>
      <c r="I23" s="401">
        <f t="shared" si="2"/>
        <v>49.454545454545453</v>
      </c>
      <c r="J23" s="437">
        <f t="shared" si="2"/>
        <v>1.6490909090909092</v>
      </c>
      <c r="K23" s="437">
        <f t="shared" si="2"/>
        <v>1.2954545454545454</v>
      </c>
      <c r="L23" s="433">
        <f t="shared" si="2"/>
        <v>3</v>
      </c>
      <c r="M23" s="401">
        <f t="shared" si="2"/>
        <v>2</v>
      </c>
      <c r="N23" s="401">
        <f t="shared" si="2"/>
        <v>15</v>
      </c>
      <c r="O23" s="401">
        <f t="shared" si="2"/>
        <v>10.454545454545455</v>
      </c>
      <c r="P23" s="401">
        <f t="shared" si="2"/>
        <v>2.2727272727272729</v>
      </c>
      <c r="Q23" s="401">
        <f t="shared" si="2"/>
        <v>3.8181818181818183</v>
      </c>
      <c r="R23" s="401">
        <f t="shared" si="2"/>
        <v>0.27272727272727271</v>
      </c>
      <c r="S23" s="401">
        <f t="shared" si="2"/>
        <v>0.63636363636363635</v>
      </c>
      <c r="T23" s="404">
        <v>0.68</v>
      </c>
      <c r="U23" s="490">
        <v>0.23</v>
      </c>
      <c r="V23" s="401">
        <f t="shared" ref="V23:BE23" si="3">AVERAGE(V12:V22)</f>
        <v>6.3636363636363633</v>
      </c>
      <c r="W23" s="401">
        <f t="shared" si="3"/>
        <v>4</v>
      </c>
      <c r="X23" s="401">
        <f t="shared" si="3"/>
        <v>10.272727272727273</v>
      </c>
      <c r="Y23" s="401">
        <f t="shared" si="3"/>
        <v>12.454545454545455</v>
      </c>
      <c r="Z23" s="401">
        <f t="shared" si="3"/>
        <v>443</v>
      </c>
      <c r="AA23" s="401">
        <f t="shared" si="3"/>
        <v>436.72727272727275</v>
      </c>
      <c r="AB23" s="401">
        <f t="shared" si="3"/>
        <v>14.272727272727273</v>
      </c>
      <c r="AC23" s="401">
        <f t="shared" si="3"/>
        <v>17.272727272727273</v>
      </c>
      <c r="AD23" s="401">
        <f t="shared" si="3"/>
        <v>12.363636363636363</v>
      </c>
      <c r="AE23" s="401">
        <f t="shared" si="3"/>
        <v>10</v>
      </c>
      <c r="AF23" s="401">
        <f t="shared" si="3"/>
        <v>1.2727272727272727</v>
      </c>
      <c r="AG23" s="401">
        <f t="shared" si="3"/>
        <v>2.0909090909090908</v>
      </c>
      <c r="AH23" s="599">
        <f t="shared" si="3"/>
        <v>9.0909090909090912E-2</v>
      </c>
      <c r="AI23" s="599">
        <f t="shared" si="3"/>
        <v>0.18181818181818182</v>
      </c>
      <c r="AJ23" s="599">
        <f t="shared" si="3"/>
        <v>9.0909090909090912E-2</v>
      </c>
      <c r="AK23" s="600">
        <f t="shared" si="3"/>
        <v>0.27272727272727271</v>
      </c>
      <c r="AL23" s="435">
        <f t="shared" si="3"/>
        <v>5.5454545454545459</v>
      </c>
      <c r="AM23" s="436">
        <f t="shared" si="3"/>
        <v>0.38402274461942343</v>
      </c>
      <c r="AN23" s="401">
        <f t="shared" si="3"/>
        <v>0.18181818181818182</v>
      </c>
      <c r="AO23" s="401">
        <f t="shared" si="3"/>
        <v>5.4545454545454541</v>
      </c>
      <c r="AP23" s="401">
        <f t="shared" si="3"/>
        <v>4</v>
      </c>
      <c r="AQ23" s="401">
        <f t="shared" si="3"/>
        <v>9.6363636363636367</v>
      </c>
      <c r="AR23" s="434">
        <f t="shared" si="3"/>
        <v>0.63276716434892621</v>
      </c>
      <c r="AS23" s="401">
        <f t="shared" si="3"/>
        <v>5.3636363636363633</v>
      </c>
      <c r="AT23" s="433">
        <f t="shared" si="3"/>
        <v>3.4545454545454546</v>
      </c>
      <c r="AU23" s="434">
        <f t="shared" si="3"/>
        <v>0.36831852358168149</v>
      </c>
      <c r="AV23" s="401">
        <f t="shared" si="3"/>
        <v>0.18181818181818182</v>
      </c>
      <c r="AW23" s="401">
        <f t="shared" si="3"/>
        <v>4.3636363636363633</v>
      </c>
      <c r="AX23" s="401">
        <f t="shared" si="3"/>
        <v>2.6363636363636362</v>
      </c>
      <c r="AY23" s="401">
        <f t="shared" si="3"/>
        <v>6.9090909090909092</v>
      </c>
      <c r="AZ23" s="434">
        <f t="shared" si="3"/>
        <v>0.6542957773220931</v>
      </c>
      <c r="BA23" s="405">
        <f t="shared" si="3"/>
        <v>3.5454545454545454</v>
      </c>
      <c r="BB23" s="430">
        <f t="shared" si="3"/>
        <v>0.72727272727272729</v>
      </c>
      <c r="BC23" s="431">
        <f t="shared" si="3"/>
        <v>0.18181818181818182</v>
      </c>
      <c r="BD23" s="431">
        <f t="shared" si="3"/>
        <v>0.63636363636363635</v>
      </c>
      <c r="BE23" s="432">
        <f t="shared" si="3"/>
        <v>0.18181818181818182</v>
      </c>
    </row>
    <row r="24" spans="1:57" x14ac:dyDescent="0.25">
      <c r="A24" s="617" t="s">
        <v>37</v>
      </c>
      <c r="B24" s="618" t="s">
        <v>38</v>
      </c>
      <c r="C24" s="619" t="s">
        <v>635</v>
      </c>
      <c r="D24" s="620" t="s">
        <v>636</v>
      </c>
      <c r="E24" s="620" t="s">
        <v>637</v>
      </c>
      <c r="F24" s="619" t="s">
        <v>638</v>
      </c>
      <c r="G24" s="621" t="s">
        <v>586</v>
      </c>
      <c r="H24" s="622" t="s">
        <v>587</v>
      </c>
      <c r="I24" s="623" t="s">
        <v>588</v>
      </c>
      <c r="J24" s="624" t="s">
        <v>589</v>
      </c>
      <c r="K24" s="624" t="s">
        <v>590</v>
      </c>
      <c r="L24" s="623" t="s">
        <v>593</v>
      </c>
      <c r="M24" s="623" t="s">
        <v>594</v>
      </c>
      <c r="N24" s="623" t="s">
        <v>595</v>
      </c>
      <c r="O24" s="623" t="s">
        <v>596</v>
      </c>
      <c r="P24" s="623" t="s">
        <v>597</v>
      </c>
      <c r="Q24" s="623" t="s">
        <v>598</v>
      </c>
      <c r="R24" s="623" t="s">
        <v>599</v>
      </c>
      <c r="S24" s="623" t="s">
        <v>600</v>
      </c>
      <c r="T24" s="624" t="s">
        <v>601</v>
      </c>
      <c r="U24" s="625" t="s">
        <v>602</v>
      </c>
      <c r="V24" s="623" t="s">
        <v>603</v>
      </c>
      <c r="W24" s="623" t="s">
        <v>604</v>
      </c>
      <c r="X24" s="623" t="s">
        <v>605</v>
      </c>
      <c r="Y24" s="623" t="s">
        <v>606</v>
      </c>
      <c r="Z24" s="623" t="s">
        <v>607</v>
      </c>
      <c r="AA24" s="623" t="s">
        <v>608</v>
      </c>
      <c r="AB24" s="623" t="s">
        <v>609</v>
      </c>
      <c r="AC24" s="623" t="s">
        <v>610</v>
      </c>
      <c r="AD24" s="623" t="s">
        <v>611</v>
      </c>
      <c r="AE24" s="623" t="s">
        <v>612</v>
      </c>
      <c r="AF24" s="623" t="s">
        <v>613</v>
      </c>
      <c r="AG24" s="623" t="s">
        <v>614</v>
      </c>
      <c r="AH24" s="626" t="s">
        <v>615</v>
      </c>
      <c r="AI24" s="626" t="s">
        <v>616</v>
      </c>
      <c r="AJ24" s="626" t="s">
        <v>617</v>
      </c>
      <c r="AK24" s="627" t="s">
        <v>618</v>
      </c>
      <c r="AL24" s="622" t="s">
        <v>619</v>
      </c>
      <c r="AM24" s="628" t="s">
        <v>639</v>
      </c>
      <c r="AN24" s="623" t="s">
        <v>620</v>
      </c>
      <c r="AO24" s="623" t="s">
        <v>621</v>
      </c>
      <c r="AP24" s="623" t="s">
        <v>622</v>
      </c>
      <c r="AQ24" s="623" t="s">
        <v>623</v>
      </c>
      <c r="AR24" s="629" t="s">
        <v>640</v>
      </c>
      <c r="AS24" s="623" t="s">
        <v>624</v>
      </c>
      <c r="AT24" s="623" t="s">
        <v>625</v>
      </c>
      <c r="AU24" s="629" t="s">
        <v>641</v>
      </c>
      <c r="AV24" s="623" t="s">
        <v>626</v>
      </c>
      <c r="AW24" s="623" t="s">
        <v>627</v>
      </c>
      <c r="AX24" s="623" t="s">
        <v>628</v>
      </c>
      <c r="AY24" s="623" t="s">
        <v>629</v>
      </c>
      <c r="AZ24" s="629" t="s">
        <v>642</v>
      </c>
      <c r="BA24" s="630" t="s">
        <v>630</v>
      </c>
      <c r="BB24" s="631" t="s">
        <v>631</v>
      </c>
      <c r="BC24" s="631" t="s">
        <v>632</v>
      </c>
      <c r="BD24" s="631" t="s">
        <v>633</v>
      </c>
      <c r="BE24" s="632" t="s">
        <v>634</v>
      </c>
    </row>
    <row r="25" spans="1:57" x14ac:dyDescent="0.25">
      <c r="A25" s="329">
        <v>45892</v>
      </c>
      <c r="B25" s="5">
        <v>2</v>
      </c>
      <c r="C25" s="5" t="s">
        <v>193</v>
      </c>
      <c r="D25" s="424">
        <v>1</v>
      </c>
      <c r="E25" s="424">
        <v>1</v>
      </c>
      <c r="F25" s="5" t="s">
        <v>208</v>
      </c>
      <c r="H25" s="42">
        <v>58</v>
      </c>
      <c r="I25" s="26">
        <v>42</v>
      </c>
      <c r="J25" s="33">
        <v>1.74</v>
      </c>
      <c r="K25" s="34">
        <v>0.56999999999999995</v>
      </c>
      <c r="L25" s="25">
        <v>3</v>
      </c>
      <c r="M25" s="26">
        <v>1</v>
      </c>
      <c r="N25" s="25">
        <v>13</v>
      </c>
      <c r="O25" s="26">
        <v>6</v>
      </c>
      <c r="P25" s="25">
        <v>1</v>
      </c>
      <c r="Q25" s="26">
        <v>5</v>
      </c>
      <c r="R25" s="25">
        <v>0</v>
      </c>
      <c r="S25" s="26">
        <v>0</v>
      </c>
      <c r="T25" s="33">
        <v>-0.59</v>
      </c>
      <c r="U25" s="484">
        <v>-7.0000000000000007E-2</v>
      </c>
      <c r="V25" s="25">
        <v>10</v>
      </c>
      <c r="W25" s="26">
        <v>2</v>
      </c>
      <c r="X25" s="25">
        <v>14</v>
      </c>
      <c r="Y25" s="26">
        <v>7</v>
      </c>
      <c r="Z25" s="25">
        <v>545</v>
      </c>
      <c r="AA25" s="26">
        <v>413</v>
      </c>
      <c r="AB25" s="25">
        <v>20</v>
      </c>
      <c r="AC25" s="26">
        <v>19</v>
      </c>
      <c r="AD25" s="25">
        <v>7</v>
      </c>
      <c r="AE25" s="26">
        <v>14</v>
      </c>
      <c r="AF25" s="25">
        <v>0</v>
      </c>
      <c r="AG25" s="26">
        <v>3</v>
      </c>
      <c r="AH25" s="487">
        <v>0</v>
      </c>
      <c r="AI25" s="488">
        <v>0</v>
      </c>
      <c r="AJ25" s="487">
        <v>0</v>
      </c>
      <c r="AK25" s="489">
        <v>0</v>
      </c>
      <c r="AL25" s="173">
        <v>6</v>
      </c>
      <c r="AM25" s="364">
        <v>0.46153846153846156</v>
      </c>
      <c r="AN25" s="144">
        <v>0</v>
      </c>
      <c r="AO25" s="144">
        <v>4</v>
      </c>
      <c r="AP25" s="144">
        <v>3</v>
      </c>
      <c r="AQ25" s="144">
        <v>7</v>
      </c>
      <c r="AR25" s="365">
        <v>0.53846153846153844</v>
      </c>
      <c r="AS25" s="144">
        <v>6</v>
      </c>
      <c r="AT25" s="5">
        <v>2</v>
      </c>
      <c r="AU25" s="372">
        <v>0.33333333333333331</v>
      </c>
      <c r="AV25" s="5">
        <v>0</v>
      </c>
      <c r="AW25" s="5">
        <v>3</v>
      </c>
      <c r="AX25" s="5">
        <v>1</v>
      </c>
      <c r="AY25" s="5">
        <v>5</v>
      </c>
      <c r="AZ25" s="372">
        <v>0.83333333333333337</v>
      </c>
      <c r="BA25" s="57">
        <v>1</v>
      </c>
      <c r="BB25" s="393">
        <v>0</v>
      </c>
      <c r="BC25" s="394">
        <v>0</v>
      </c>
      <c r="BD25" s="395">
        <v>0</v>
      </c>
      <c r="BE25" s="396">
        <v>0</v>
      </c>
    </row>
    <row r="26" spans="1:57" x14ac:dyDescent="0.25">
      <c r="A26" s="329">
        <v>45913</v>
      </c>
      <c r="B26" s="5">
        <v>4</v>
      </c>
      <c r="C26" s="5" t="s">
        <v>193</v>
      </c>
      <c r="D26" s="505">
        <v>2</v>
      </c>
      <c r="E26" s="505">
        <v>0</v>
      </c>
      <c r="F26" s="5" t="s">
        <v>91</v>
      </c>
      <c r="H26" s="42">
        <v>61</v>
      </c>
      <c r="I26" s="26">
        <v>39</v>
      </c>
      <c r="J26" s="33">
        <v>1.01</v>
      </c>
      <c r="K26" s="34">
        <v>1.03</v>
      </c>
      <c r="L26" s="25">
        <v>3</v>
      </c>
      <c r="M26" s="26">
        <v>1</v>
      </c>
      <c r="N26" s="25">
        <v>8</v>
      </c>
      <c r="O26" s="26">
        <v>8</v>
      </c>
      <c r="P26" s="25">
        <v>1</v>
      </c>
      <c r="Q26" s="26">
        <v>1</v>
      </c>
      <c r="R26" s="25">
        <v>0</v>
      </c>
      <c r="S26" s="26">
        <v>0</v>
      </c>
      <c r="T26" s="33">
        <v>0.12</v>
      </c>
      <c r="U26" s="484">
        <v>-0.57999999999999996</v>
      </c>
      <c r="V26" s="25">
        <v>8</v>
      </c>
      <c r="W26" s="26">
        <v>3</v>
      </c>
      <c r="X26" s="25">
        <v>12</v>
      </c>
      <c r="Y26" s="26">
        <v>15</v>
      </c>
      <c r="Z26" s="25">
        <v>623</v>
      </c>
      <c r="AA26" s="26">
        <v>395</v>
      </c>
      <c r="AB26" s="25">
        <v>11</v>
      </c>
      <c r="AC26" s="26">
        <v>12</v>
      </c>
      <c r="AD26" s="25">
        <v>15</v>
      </c>
      <c r="AE26" s="26">
        <v>12</v>
      </c>
      <c r="AF26" s="25">
        <v>2</v>
      </c>
      <c r="AG26" s="26">
        <v>4</v>
      </c>
      <c r="AH26" s="487">
        <v>0</v>
      </c>
      <c r="AI26" s="488">
        <v>0</v>
      </c>
      <c r="AJ26" s="487">
        <v>0</v>
      </c>
      <c r="AK26" s="489">
        <v>0</v>
      </c>
      <c r="AL26" s="173">
        <v>3</v>
      </c>
      <c r="AM26" s="364">
        <v>0.375</v>
      </c>
      <c r="AN26" s="144">
        <v>0</v>
      </c>
      <c r="AO26" s="144">
        <v>3</v>
      </c>
      <c r="AP26" s="144">
        <v>2</v>
      </c>
      <c r="AQ26" s="144">
        <v>5</v>
      </c>
      <c r="AR26" s="365">
        <v>0.625</v>
      </c>
      <c r="AS26" s="144">
        <v>3</v>
      </c>
      <c r="AT26" s="5">
        <v>1</v>
      </c>
      <c r="AU26" s="372">
        <v>0.125</v>
      </c>
      <c r="AV26" s="5">
        <v>1</v>
      </c>
      <c r="AW26" s="5">
        <v>4</v>
      </c>
      <c r="AX26" s="5">
        <v>3</v>
      </c>
      <c r="AY26" s="5">
        <v>5</v>
      </c>
      <c r="AZ26" s="372">
        <v>0.625</v>
      </c>
      <c r="BA26" s="57">
        <v>3</v>
      </c>
      <c r="BB26" s="393">
        <v>1</v>
      </c>
      <c r="BC26" s="394">
        <v>0</v>
      </c>
      <c r="BD26" s="395">
        <v>0</v>
      </c>
      <c r="BE26" s="396">
        <v>1</v>
      </c>
    </row>
    <row r="27" spans="1:57" x14ac:dyDescent="0.25">
      <c r="A27" s="329">
        <v>45924</v>
      </c>
      <c r="B27" s="5">
        <v>6</v>
      </c>
      <c r="C27" s="5" t="s">
        <v>193</v>
      </c>
      <c r="D27" s="505">
        <v>3</v>
      </c>
      <c r="E27" s="505">
        <v>2</v>
      </c>
      <c r="F27" s="5" t="s">
        <v>70</v>
      </c>
      <c r="H27" s="42">
        <v>61</v>
      </c>
      <c r="I27" s="26">
        <v>39</v>
      </c>
      <c r="J27" s="33">
        <v>3.61</v>
      </c>
      <c r="K27" s="34">
        <v>1.6</v>
      </c>
      <c r="L27" s="25">
        <v>7</v>
      </c>
      <c r="M27" s="26">
        <v>3</v>
      </c>
      <c r="N27" s="25">
        <v>20</v>
      </c>
      <c r="O27" s="26">
        <v>9</v>
      </c>
      <c r="P27" s="25">
        <v>1</v>
      </c>
      <c r="Q27" s="26">
        <v>5</v>
      </c>
      <c r="R27" s="25">
        <v>0</v>
      </c>
      <c r="S27" s="26">
        <v>0</v>
      </c>
      <c r="T27" s="33">
        <v>-0.61</v>
      </c>
      <c r="U27" s="484">
        <v>0.04</v>
      </c>
      <c r="V27" s="25">
        <v>8</v>
      </c>
      <c r="W27" s="26">
        <v>6</v>
      </c>
      <c r="X27" s="25">
        <v>6</v>
      </c>
      <c r="Y27" s="26">
        <v>12</v>
      </c>
      <c r="Z27" s="25">
        <v>579</v>
      </c>
      <c r="AA27" s="26">
        <v>370</v>
      </c>
      <c r="AB27" s="25">
        <v>12</v>
      </c>
      <c r="AC27" s="26">
        <v>21</v>
      </c>
      <c r="AD27" s="25">
        <v>12</v>
      </c>
      <c r="AE27" s="26">
        <v>6</v>
      </c>
      <c r="AF27" s="25">
        <v>3</v>
      </c>
      <c r="AG27" s="26">
        <v>5</v>
      </c>
      <c r="AH27" s="487">
        <v>0</v>
      </c>
      <c r="AI27" s="488">
        <v>0</v>
      </c>
      <c r="AJ27" s="487">
        <v>0</v>
      </c>
      <c r="AK27" s="489">
        <v>0</v>
      </c>
      <c r="AL27" s="173">
        <v>8</v>
      </c>
      <c r="AM27" s="364">
        <v>0.4</v>
      </c>
      <c r="AN27" s="144">
        <v>1</v>
      </c>
      <c r="AO27" s="144">
        <v>8</v>
      </c>
      <c r="AP27" s="144">
        <v>4</v>
      </c>
      <c r="AQ27" s="144">
        <v>17</v>
      </c>
      <c r="AR27" s="365">
        <v>0.85</v>
      </c>
      <c r="AS27" s="144">
        <v>3</v>
      </c>
      <c r="AT27" s="5">
        <v>3</v>
      </c>
      <c r="AU27" s="372">
        <v>0.33333333333333331</v>
      </c>
      <c r="AV27" s="5">
        <v>0</v>
      </c>
      <c r="AW27" s="5">
        <v>6</v>
      </c>
      <c r="AX27" s="5">
        <v>0</v>
      </c>
      <c r="AY27" s="5">
        <v>5</v>
      </c>
      <c r="AZ27" s="372">
        <v>0.55555555555555558</v>
      </c>
      <c r="BA27" s="57">
        <v>4</v>
      </c>
      <c r="BB27" s="393">
        <v>1</v>
      </c>
      <c r="BC27" s="394">
        <v>1</v>
      </c>
      <c r="BD27" s="395">
        <v>0</v>
      </c>
      <c r="BE27" s="396">
        <v>0</v>
      </c>
    </row>
    <row r="28" spans="1:57" x14ac:dyDescent="0.25">
      <c r="A28" s="329">
        <v>45927</v>
      </c>
      <c r="B28" s="5">
        <v>7</v>
      </c>
      <c r="C28" s="5" t="s">
        <v>193</v>
      </c>
      <c r="D28" s="505">
        <v>5</v>
      </c>
      <c r="E28" s="505">
        <v>2</v>
      </c>
      <c r="F28" s="5" t="s">
        <v>226</v>
      </c>
      <c r="H28" s="42">
        <v>37</v>
      </c>
      <c r="I28" s="26">
        <v>63</v>
      </c>
      <c r="J28" s="33">
        <v>2.34</v>
      </c>
      <c r="K28" s="34">
        <v>0.66</v>
      </c>
      <c r="L28" s="25">
        <v>6</v>
      </c>
      <c r="M28" s="26">
        <v>2</v>
      </c>
      <c r="N28" s="25">
        <v>13</v>
      </c>
      <c r="O28" s="26">
        <v>6</v>
      </c>
      <c r="P28" s="25">
        <v>0</v>
      </c>
      <c r="Q28" s="26">
        <v>2</v>
      </c>
      <c r="R28" s="25">
        <v>0</v>
      </c>
      <c r="S28" s="26">
        <v>0</v>
      </c>
      <c r="T28" s="33">
        <v>-1.3</v>
      </c>
      <c r="U28" s="484">
        <v>-2.98</v>
      </c>
      <c r="V28" s="25">
        <v>7</v>
      </c>
      <c r="W28" s="26">
        <v>2</v>
      </c>
      <c r="X28" s="25">
        <v>17</v>
      </c>
      <c r="Y28" s="26">
        <v>14</v>
      </c>
      <c r="Z28" s="25">
        <v>306</v>
      </c>
      <c r="AA28" s="26">
        <v>538</v>
      </c>
      <c r="AB28" s="25">
        <v>14</v>
      </c>
      <c r="AC28" s="26">
        <v>11</v>
      </c>
      <c r="AD28" s="25">
        <v>13</v>
      </c>
      <c r="AE28" s="26">
        <v>17</v>
      </c>
      <c r="AF28" s="25">
        <v>5</v>
      </c>
      <c r="AG28" s="26">
        <v>4</v>
      </c>
      <c r="AH28" s="487">
        <v>0</v>
      </c>
      <c r="AI28" s="488">
        <v>0</v>
      </c>
      <c r="AJ28" s="487">
        <v>1</v>
      </c>
      <c r="AK28" s="489">
        <v>0</v>
      </c>
      <c r="AL28" s="173">
        <v>7</v>
      </c>
      <c r="AM28" s="364">
        <v>0.53846153846153844</v>
      </c>
      <c r="AN28" s="144">
        <v>1</v>
      </c>
      <c r="AO28" s="144">
        <v>4</v>
      </c>
      <c r="AP28" s="144">
        <v>2</v>
      </c>
      <c r="AQ28" s="144">
        <v>8</v>
      </c>
      <c r="AR28" s="365">
        <v>0.61538461538461542</v>
      </c>
      <c r="AS28" s="144">
        <v>5</v>
      </c>
      <c r="AT28" s="5">
        <v>2</v>
      </c>
      <c r="AU28" s="372">
        <v>0.33333333333333331</v>
      </c>
      <c r="AV28" s="5">
        <v>0</v>
      </c>
      <c r="AW28" s="5">
        <v>2</v>
      </c>
      <c r="AX28" s="5">
        <v>2</v>
      </c>
      <c r="AY28" s="5">
        <v>3</v>
      </c>
      <c r="AZ28" s="372">
        <v>0.5</v>
      </c>
      <c r="BA28" s="57">
        <v>3</v>
      </c>
      <c r="BB28" s="393">
        <v>0</v>
      </c>
      <c r="BC28" s="394">
        <v>1</v>
      </c>
      <c r="BD28" s="395">
        <v>1</v>
      </c>
      <c r="BE28" s="396">
        <v>1</v>
      </c>
    </row>
    <row r="29" spans="1:57" ht="15.75" thickBot="1" x14ac:dyDescent="0.3">
      <c r="A29" s="330">
        <v>45948</v>
      </c>
      <c r="B29" s="9">
        <v>9</v>
      </c>
      <c r="C29" s="9" t="s">
        <v>193</v>
      </c>
      <c r="D29" s="633">
        <v>1</v>
      </c>
      <c r="E29" s="633">
        <v>0</v>
      </c>
      <c r="F29" s="9" t="s">
        <v>227</v>
      </c>
      <c r="G29" s="45"/>
      <c r="H29" s="384">
        <v>59</v>
      </c>
      <c r="I29" s="74">
        <v>41</v>
      </c>
      <c r="J29" s="385">
        <v>2.58</v>
      </c>
      <c r="K29" s="386">
        <v>1.44</v>
      </c>
      <c r="L29" s="387">
        <v>5</v>
      </c>
      <c r="M29" s="74">
        <v>1</v>
      </c>
      <c r="N29" s="387">
        <v>18</v>
      </c>
      <c r="O29" s="74">
        <v>9</v>
      </c>
      <c r="P29" s="387">
        <v>2</v>
      </c>
      <c r="Q29" s="74">
        <v>8</v>
      </c>
      <c r="R29" s="387">
        <v>0</v>
      </c>
      <c r="S29" s="74">
        <v>0</v>
      </c>
      <c r="T29" s="385">
        <v>0.66</v>
      </c>
      <c r="U29" s="498">
        <v>1.66</v>
      </c>
      <c r="V29" s="387">
        <v>4</v>
      </c>
      <c r="W29" s="74">
        <v>2</v>
      </c>
      <c r="X29" s="387">
        <v>10</v>
      </c>
      <c r="Y29" s="74">
        <v>11</v>
      </c>
      <c r="Z29" s="387">
        <v>529</v>
      </c>
      <c r="AA29" s="74">
        <v>366</v>
      </c>
      <c r="AB29" s="387">
        <v>16</v>
      </c>
      <c r="AC29" s="74">
        <v>18</v>
      </c>
      <c r="AD29" s="387">
        <v>11</v>
      </c>
      <c r="AE29" s="74">
        <v>10</v>
      </c>
      <c r="AF29" s="387">
        <v>1</v>
      </c>
      <c r="AG29" s="74">
        <v>3</v>
      </c>
      <c r="AH29" s="499">
        <v>0</v>
      </c>
      <c r="AI29" s="500">
        <v>0</v>
      </c>
      <c r="AJ29" s="499">
        <v>0</v>
      </c>
      <c r="AK29" s="501">
        <v>0</v>
      </c>
      <c r="AL29" s="177">
        <v>9</v>
      </c>
      <c r="AM29" s="388">
        <v>0.5</v>
      </c>
      <c r="AN29" s="152">
        <v>0</v>
      </c>
      <c r="AO29" s="152">
        <v>9</v>
      </c>
      <c r="AP29" s="152">
        <v>0</v>
      </c>
      <c r="AQ29" s="152">
        <v>11</v>
      </c>
      <c r="AR29" s="389">
        <v>0.61111111111111116</v>
      </c>
      <c r="AS29" s="152">
        <v>7</v>
      </c>
      <c r="AT29" s="9">
        <v>2</v>
      </c>
      <c r="AU29" s="390">
        <v>0.22222222222222221</v>
      </c>
      <c r="AV29" s="9">
        <v>0</v>
      </c>
      <c r="AW29" s="9">
        <v>5</v>
      </c>
      <c r="AX29" s="9">
        <v>2</v>
      </c>
      <c r="AY29" s="9">
        <v>6</v>
      </c>
      <c r="AZ29" s="390">
        <v>0.66666666666666663</v>
      </c>
      <c r="BA29" s="58">
        <v>3</v>
      </c>
      <c r="BB29" s="420">
        <v>0</v>
      </c>
      <c r="BC29" s="421">
        <v>0</v>
      </c>
      <c r="BD29" s="422">
        <v>0</v>
      </c>
      <c r="BE29" s="423">
        <v>0</v>
      </c>
    </row>
    <row r="30" spans="1:57" x14ac:dyDescent="0.25">
      <c r="A30" s="331">
        <v>45886</v>
      </c>
      <c r="B30" s="13">
        <v>1</v>
      </c>
      <c r="C30" s="13" t="s">
        <v>170</v>
      </c>
      <c r="D30" s="502">
        <v>3</v>
      </c>
      <c r="E30" s="502">
        <v>2</v>
      </c>
      <c r="F30" s="13" t="s">
        <v>171</v>
      </c>
      <c r="G30" s="47"/>
      <c r="H30" s="376">
        <v>46</v>
      </c>
      <c r="I30" s="79">
        <v>54</v>
      </c>
      <c r="J30" s="377">
        <v>2.89</v>
      </c>
      <c r="K30" s="378">
        <v>1.01</v>
      </c>
      <c r="L30" s="379">
        <v>3</v>
      </c>
      <c r="M30" s="79">
        <v>0</v>
      </c>
      <c r="N30" s="379">
        <v>14</v>
      </c>
      <c r="O30" s="79">
        <v>12</v>
      </c>
      <c r="P30" s="379">
        <v>4</v>
      </c>
      <c r="Q30" s="79">
        <v>0</v>
      </c>
      <c r="R30" s="379">
        <v>0</v>
      </c>
      <c r="S30" s="79">
        <v>0</v>
      </c>
      <c r="T30" s="377">
        <v>-0.26</v>
      </c>
      <c r="U30" s="494">
        <v>-0.41</v>
      </c>
      <c r="V30" s="379">
        <v>10</v>
      </c>
      <c r="W30" s="79">
        <v>1</v>
      </c>
      <c r="X30" s="379">
        <v>8</v>
      </c>
      <c r="Y30" s="79">
        <v>12</v>
      </c>
      <c r="Z30" s="379">
        <v>387</v>
      </c>
      <c r="AA30" s="79">
        <v>477</v>
      </c>
      <c r="AB30" s="379">
        <v>11</v>
      </c>
      <c r="AC30" s="79">
        <v>18</v>
      </c>
      <c r="AD30" s="379">
        <v>11</v>
      </c>
      <c r="AE30" s="79">
        <v>8</v>
      </c>
      <c r="AF30" s="379">
        <v>0</v>
      </c>
      <c r="AG30" s="79">
        <v>2</v>
      </c>
      <c r="AH30" s="495">
        <v>0</v>
      </c>
      <c r="AI30" s="496">
        <v>0</v>
      </c>
      <c r="AJ30" s="495">
        <v>1</v>
      </c>
      <c r="AK30" s="497">
        <v>0</v>
      </c>
      <c r="AL30" s="169">
        <v>3</v>
      </c>
      <c r="AM30" s="380">
        <v>0.21428571428571427</v>
      </c>
      <c r="AN30" s="160">
        <v>1</v>
      </c>
      <c r="AO30" s="160">
        <v>3</v>
      </c>
      <c r="AP30" s="160">
        <v>8</v>
      </c>
      <c r="AQ30" s="160">
        <v>11</v>
      </c>
      <c r="AR30" s="381">
        <v>0.7857142857142857</v>
      </c>
      <c r="AS30" s="160">
        <v>3</v>
      </c>
      <c r="AT30" s="13">
        <v>6</v>
      </c>
      <c r="AU30" s="382">
        <v>0.5</v>
      </c>
      <c r="AV30" s="13">
        <v>0</v>
      </c>
      <c r="AW30" s="13">
        <v>4</v>
      </c>
      <c r="AX30" s="13">
        <v>2</v>
      </c>
      <c r="AY30" s="13">
        <v>10</v>
      </c>
      <c r="AZ30" s="382">
        <v>0.83333333333333337</v>
      </c>
      <c r="BA30" s="60">
        <v>2</v>
      </c>
      <c r="BB30" s="416">
        <v>0</v>
      </c>
      <c r="BC30" s="417">
        <v>0</v>
      </c>
      <c r="BD30" s="418">
        <v>1</v>
      </c>
      <c r="BE30" s="419">
        <v>0</v>
      </c>
    </row>
    <row r="31" spans="1:57" x14ac:dyDescent="0.25">
      <c r="A31" s="329">
        <v>45899</v>
      </c>
      <c r="B31" s="5">
        <v>3</v>
      </c>
      <c r="C31" s="5" t="s">
        <v>69</v>
      </c>
      <c r="D31" s="505">
        <v>0</v>
      </c>
      <c r="E31" s="505">
        <v>2</v>
      </c>
      <c r="F31" s="5" t="s">
        <v>171</v>
      </c>
      <c r="H31" s="42">
        <v>59</v>
      </c>
      <c r="I31" s="26">
        <v>41</v>
      </c>
      <c r="J31" s="33">
        <v>2.13</v>
      </c>
      <c r="K31" s="34">
        <v>1.32</v>
      </c>
      <c r="L31" s="25">
        <v>3</v>
      </c>
      <c r="M31" s="26">
        <v>2</v>
      </c>
      <c r="N31" s="25">
        <v>20</v>
      </c>
      <c r="O31" s="26">
        <v>13</v>
      </c>
      <c r="P31" s="25">
        <v>2</v>
      </c>
      <c r="Q31" s="26">
        <v>5</v>
      </c>
      <c r="R31" s="25">
        <v>0</v>
      </c>
      <c r="S31" s="26">
        <v>1</v>
      </c>
      <c r="T31" s="33">
        <v>-0.74</v>
      </c>
      <c r="U31" s="484">
        <v>1.96</v>
      </c>
      <c r="V31" s="25">
        <v>11</v>
      </c>
      <c r="W31" s="26">
        <v>3</v>
      </c>
      <c r="X31" s="25">
        <v>5</v>
      </c>
      <c r="Y31" s="26">
        <v>14</v>
      </c>
      <c r="Z31" s="25">
        <v>427</v>
      </c>
      <c r="AA31" s="26">
        <v>322</v>
      </c>
      <c r="AB31" s="25">
        <v>15</v>
      </c>
      <c r="AC31" s="26">
        <v>17</v>
      </c>
      <c r="AD31" s="25">
        <v>14</v>
      </c>
      <c r="AE31" s="26">
        <v>5</v>
      </c>
      <c r="AF31" s="25">
        <v>0</v>
      </c>
      <c r="AG31" s="26">
        <v>2</v>
      </c>
      <c r="AH31" s="487">
        <v>0</v>
      </c>
      <c r="AI31" s="488">
        <v>0</v>
      </c>
      <c r="AJ31" s="487">
        <v>0</v>
      </c>
      <c r="AK31" s="489">
        <v>0</v>
      </c>
      <c r="AL31" s="173">
        <v>5</v>
      </c>
      <c r="AM31" s="364">
        <v>0.25</v>
      </c>
      <c r="AN31" s="144">
        <v>0</v>
      </c>
      <c r="AO31" s="144">
        <v>6</v>
      </c>
      <c r="AP31" s="144">
        <v>9</v>
      </c>
      <c r="AQ31" s="144">
        <v>12</v>
      </c>
      <c r="AR31" s="365">
        <v>0.6</v>
      </c>
      <c r="AS31" s="144">
        <v>8</v>
      </c>
      <c r="AT31" s="5">
        <v>4</v>
      </c>
      <c r="AU31" s="372">
        <v>0.30769230769230771</v>
      </c>
      <c r="AV31" s="5">
        <v>1</v>
      </c>
      <c r="AW31" s="5">
        <v>6</v>
      </c>
      <c r="AX31" s="5">
        <v>3</v>
      </c>
      <c r="AY31" s="5">
        <v>10</v>
      </c>
      <c r="AZ31" s="372">
        <v>0.76923076923076927</v>
      </c>
      <c r="BA31" s="57">
        <v>3</v>
      </c>
      <c r="BB31" s="393">
        <v>2</v>
      </c>
      <c r="BC31" s="394">
        <v>1</v>
      </c>
      <c r="BD31" s="395">
        <v>0</v>
      </c>
      <c r="BE31" s="396">
        <v>0</v>
      </c>
    </row>
    <row r="32" spans="1:57" x14ac:dyDescent="0.25">
      <c r="A32" s="329">
        <v>45920</v>
      </c>
      <c r="B32" s="5">
        <v>5</v>
      </c>
      <c r="C32" s="5" t="s">
        <v>128</v>
      </c>
      <c r="D32" s="505">
        <v>1</v>
      </c>
      <c r="E32" s="505">
        <v>2</v>
      </c>
      <c r="F32" s="5" t="s">
        <v>171</v>
      </c>
      <c r="H32" s="42">
        <v>48</v>
      </c>
      <c r="I32" s="26">
        <v>52</v>
      </c>
      <c r="J32" s="33">
        <v>0.95</v>
      </c>
      <c r="K32" s="34">
        <v>0.48</v>
      </c>
      <c r="L32" s="25">
        <v>1</v>
      </c>
      <c r="M32" s="26">
        <v>2</v>
      </c>
      <c r="N32" s="25">
        <v>8</v>
      </c>
      <c r="O32" s="26">
        <v>9</v>
      </c>
      <c r="P32" s="25">
        <v>1</v>
      </c>
      <c r="Q32" s="26">
        <v>4</v>
      </c>
      <c r="R32" s="25">
        <v>0</v>
      </c>
      <c r="S32" s="26">
        <v>0</v>
      </c>
      <c r="T32" s="33">
        <v>-0.48</v>
      </c>
      <c r="U32" s="484">
        <v>0</v>
      </c>
      <c r="V32" s="25">
        <v>4</v>
      </c>
      <c r="W32" s="26">
        <v>4</v>
      </c>
      <c r="X32" s="25">
        <v>20</v>
      </c>
      <c r="Y32" s="26">
        <v>19</v>
      </c>
      <c r="Z32" s="25">
        <v>394</v>
      </c>
      <c r="AA32" s="26">
        <v>423</v>
      </c>
      <c r="AB32" s="25">
        <v>21</v>
      </c>
      <c r="AC32" s="26">
        <v>20</v>
      </c>
      <c r="AD32" s="25">
        <v>18</v>
      </c>
      <c r="AE32" s="26">
        <v>20</v>
      </c>
      <c r="AF32" s="25">
        <v>1</v>
      </c>
      <c r="AG32" s="26">
        <v>7</v>
      </c>
      <c r="AH32" s="487">
        <v>0</v>
      </c>
      <c r="AI32" s="488">
        <v>0</v>
      </c>
      <c r="AJ32" s="487">
        <v>1</v>
      </c>
      <c r="AK32" s="489">
        <v>0</v>
      </c>
      <c r="AL32" s="173">
        <v>5</v>
      </c>
      <c r="AM32" s="364">
        <v>0.625</v>
      </c>
      <c r="AN32" s="144">
        <v>0</v>
      </c>
      <c r="AO32" s="144">
        <v>2</v>
      </c>
      <c r="AP32" s="144">
        <v>1</v>
      </c>
      <c r="AQ32" s="144">
        <v>4</v>
      </c>
      <c r="AR32" s="365">
        <v>0.5</v>
      </c>
      <c r="AS32" s="144">
        <v>4</v>
      </c>
      <c r="AT32" s="5">
        <v>3</v>
      </c>
      <c r="AU32" s="372">
        <v>0.33333333333333331</v>
      </c>
      <c r="AV32" s="5">
        <v>0</v>
      </c>
      <c r="AW32" s="5">
        <v>4</v>
      </c>
      <c r="AX32" s="5">
        <v>2</v>
      </c>
      <c r="AY32" s="5">
        <v>5</v>
      </c>
      <c r="AZ32" s="372">
        <v>0.55555555555555558</v>
      </c>
      <c r="BA32" s="57">
        <v>4</v>
      </c>
      <c r="BB32" s="393">
        <v>0</v>
      </c>
      <c r="BC32" s="394">
        <v>1</v>
      </c>
      <c r="BD32" s="395">
        <v>0</v>
      </c>
      <c r="BE32" s="396">
        <v>0</v>
      </c>
    </row>
    <row r="33" spans="1:57" x14ac:dyDescent="0.25">
      <c r="A33" s="329">
        <v>45928</v>
      </c>
      <c r="B33" s="5">
        <v>7</v>
      </c>
      <c r="C33" s="26" t="s">
        <v>70</v>
      </c>
      <c r="D33" s="505">
        <v>0</v>
      </c>
      <c r="E33" s="505">
        <v>1</v>
      </c>
      <c r="F33" s="5" t="s">
        <v>171</v>
      </c>
      <c r="G33" s="268" t="s">
        <v>526</v>
      </c>
      <c r="H33" s="42">
        <v>64</v>
      </c>
      <c r="I33" s="26">
        <v>36</v>
      </c>
      <c r="J33" s="33">
        <v>1.89</v>
      </c>
      <c r="K33" s="34">
        <v>0.63</v>
      </c>
      <c r="L33" s="25">
        <v>2</v>
      </c>
      <c r="M33" s="26">
        <v>1</v>
      </c>
      <c r="N33" s="25">
        <v>18</v>
      </c>
      <c r="O33" s="26">
        <v>4</v>
      </c>
      <c r="P33" s="25">
        <v>0</v>
      </c>
      <c r="Q33" s="26">
        <v>6</v>
      </c>
      <c r="R33" s="25">
        <v>0</v>
      </c>
      <c r="S33" s="26">
        <v>3</v>
      </c>
      <c r="T33" s="33">
        <v>-0.03</v>
      </c>
      <c r="U33" s="484">
        <v>1.65</v>
      </c>
      <c r="V33" s="25">
        <v>12</v>
      </c>
      <c r="W33" s="26">
        <v>4</v>
      </c>
      <c r="X33" s="25">
        <v>11</v>
      </c>
      <c r="Y33" s="26">
        <v>15</v>
      </c>
      <c r="Z33" s="25">
        <v>486</v>
      </c>
      <c r="AA33" s="26">
        <v>280</v>
      </c>
      <c r="AB33" s="25">
        <v>14</v>
      </c>
      <c r="AC33" s="26">
        <v>15</v>
      </c>
      <c r="AD33" s="25">
        <v>15</v>
      </c>
      <c r="AE33" s="26">
        <v>12</v>
      </c>
      <c r="AF33" s="25">
        <v>3</v>
      </c>
      <c r="AG33" s="26">
        <v>2</v>
      </c>
      <c r="AH33" s="487">
        <v>1</v>
      </c>
      <c r="AI33" s="488">
        <v>0</v>
      </c>
      <c r="AJ33" s="487">
        <v>0</v>
      </c>
      <c r="AK33" s="489">
        <v>0</v>
      </c>
      <c r="AL33" s="173">
        <v>6</v>
      </c>
      <c r="AM33" s="364">
        <v>0.33333333333333331</v>
      </c>
      <c r="AN33" s="144">
        <v>0</v>
      </c>
      <c r="AO33" s="144">
        <v>7</v>
      </c>
      <c r="AP33" s="144">
        <v>5</v>
      </c>
      <c r="AQ33" s="144">
        <v>13</v>
      </c>
      <c r="AR33" s="365">
        <v>0.72222222222222221</v>
      </c>
      <c r="AS33" s="144">
        <v>5</v>
      </c>
      <c r="AT33" s="5">
        <v>1</v>
      </c>
      <c r="AU33" s="372">
        <v>0.25</v>
      </c>
      <c r="AV33" s="5">
        <v>0</v>
      </c>
      <c r="AW33" s="5">
        <v>1</v>
      </c>
      <c r="AX33" s="5">
        <v>2</v>
      </c>
      <c r="AY33" s="5">
        <v>2</v>
      </c>
      <c r="AZ33" s="372">
        <v>0.5</v>
      </c>
      <c r="BA33" s="57">
        <v>2</v>
      </c>
      <c r="BB33" s="393">
        <v>1</v>
      </c>
      <c r="BC33" s="394">
        <v>0</v>
      </c>
      <c r="BD33" s="395">
        <v>1</v>
      </c>
      <c r="BE33" s="396">
        <v>0</v>
      </c>
    </row>
    <row r="34" spans="1:57" x14ac:dyDescent="0.25">
      <c r="A34" s="329">
        <v>45954</v>
      </c>
      <c r="B34" s="5">
        <v>10</v>
      </c>
      <c r="C34" s="5" t="s">
        <v>146</v>
      </c>
      <c r="D34" s="503">
        <v>2</v>
      </c>
      <c r="E34" s="503">
        <v>1</v>
      </c>
      <c r="F34" s="5" t="s">
        <v>171</v>
      </c>
      <c r="H34" s="42">
        <v>40</v>
      </c>
      <c r="I34" s="26">
        <v>60</v>
      </c>
      <c r="J34" s="33">
        <v>1.61</v>
      </c>
      <c r="K34" s="34">
        <v>0.23</v>
      </c>
      <c r="L34" s="25">
        <v>3</v>
      </c>
      <c r="M34" s="26">
        <v>0</v>
      </c>
      <c r="N34" s="25">
        <v>5</v>
      </c>
      <c r="O34" s="26">
        <v>6</v>
      </c>
      <c r="P34" s="25">
        <v>0</v>
      </c>
      <c r="Q34" s="26">
        <v>1</v>
      </c>
      <c r="R34" s="25">
        <v>0</v>
      </c>
      <c r="S34" s="26">
        <v>0</v>
      </c>
      <c r="T34" s="33">
        <v>-0.48</v>
      </c>
      <c r="U34" s="484">
        <v>-0.39</v>
      </c>
      <c r="V34" s="25">
        <v>1</v>
      </c>
      <c r="W34" s="26">
        <v>9</v>
      </c>
      <c r="X34" s="25">
        <v>18</v>
      </c>
      <c r="Y34" s="26">
        <v>14</v>
      </c>
      <c r="Z34" s="25">
        <v>303</v>
      </c>
      <c r="AA34" s="26">
        <v>464</v>
      </c>
      <c r="AB34" s="25">
        <v>22</v>
      </c>
      <c r="AC34" s="26">
        <v>13</v>
      </c>
      <c r="AD34" s="25">
        <v>13</v>
      </c>
      <c r="AE34" s="26">
        <v>19</v>
      </c>
      <c r="AF34" s="25">
        <v>1</v>
      </c>
      <c r="AG34" s="26">
        <v>3</v>
      </c>
      <c r="AH34" s="487">
        <v>0</v>
      </c>
      <c r="AI34" s="488">
        <v>0</v>
      </c>
      <c r="AJ34" s="487">
        <v>1</v>
      </c>
      <c r="AK34" s="489">
        <v>0</v>
      </c>
      <c r="AL34" s="173">
        <v>3</v>
      </c>
      <c r="AM34" s="364">
        <v>0.6</v>
      </c>
      <c r="AN34" s="144">
        <v>0</v>
      </c>
      <c r="AO34" s="144">
        <v>2</v>
      </c>
      <c r="AP34" s="144">
        <v>0</v>
      </c>
      <c r="AQ34" s="144">
        <v>4</v>
      </c>
      <c r="AR34" s="365">
        <v>0.8</v>
      </c>
      <c r="AS34" s="144">
        <v>1</v>
      </c>
      <c r="AT34" s="5">
        <v>1</v>
      </c>
      <c r="AU34" s="372">
        <v>0.16666666666666666</v>
      </c>
      <c r="AV34" s="5">
        <v>0</v>
      </c>
      <c r="AW34" s="5">
        <v>3</v>
      </c>
      <c r="AX34" s="5">
        <v>2</v>
      </c>
      <c r="AY34" s="5">
        <v>2</v>
      </c>
      <c r="AZ34" s="372">
        <v>0.33333333333333331</v>
      </c>
      <c r="BA34" s="57">
        <v>4</v>
      </c>
      <c r="BB34" s="393">
        <v>0</v>
      </c>
      <c r="BC34" s="394">
        <v>0</v>
      </c>
      <c r="BD34" s="395">
        <v>1</v>
      </c>
      <c r="BE34" s="396">
        <v>1</v>
      </c>
    </row>
    <row r="35" spans="1:57" ht="15.75" thickBot="1" x14ac:dyDescent="0.3">
      <c r="A35" s="400">
        <v>45962</v>
      </c>
      <c r="B35" s="401">
        <v>11</v>
      </c>
      <c r="C35" s="401" t="s">
        <v>193</v>
      </c>
      <c r="D35" s="429">
        <f>AVERAGE(D25:D34)</f>
        <v>1.8</v>
      </c>
      <c r="E35" s="429">
        <f>AVERAGE(E25:E34)</f>
        <v>1.3</v>
      </c>
      <c r="F35" s="401" t="s">
        <v>171</v>
      </c>
      <c r="G35" s="402"/>
      <c r="H35" s="403">
        <f t="shared" ref="H35:S35" si="4">AVERAGE(H25:H34)</f>
        <v>53.3</v>
      </c>
      <c r="I35" s="401">
        <f t="shared" si="4"/>
        <v>46.7</v>
      </c>
      <c r="J35" s="437">
        <f t="shared" si="4"/>
        <v>2.0750000000000002</v>
      </c>
      <c r="K35" s="404">
        <f t="shared" si="4"/>
        <v>0.89700000000000024</v>
      </c>
      <c r="L35" s="433">
        <f t="shared" si="4"/>
        <v>3.6</v>
      </c>
      <c r="M35" s="401">
        <f t="shared" si="4"/>
        <v>1.3</v>
      </c>
      <c r="N35" s="401">
        <f t="shared" si="4"/>
        <v>13.7</v>
      </c>
      <c r="O35" s="401">
        <f t="shared" si="4"/>
        <v>8.1999999999999993</v>
      </c>
      <c r="P35" s="401">
        <f t="shared" si="4"/>
        <v>1.2</v>
      </c>
      <c r="Q35" s="401">
        <f t="shared" si="4"/>
        <v>3.7</v>
      </c>
      <c r="R35" s="401">
        <f t="shared" si="4"/>
        <v>0</v>
      </c>
      <c r="S35" s="401">
        <f t="shared" si="4"/>
        <v>0.4</v>
      </c>
      <c r="T35" s="437">
        <v>-0.34</v>
      </c>
      <c r="U35" s="490">
        <v>0.42</v>
      </c>
      <c r="V35" s="401">
        <f t="shared" ref="V35:BE35" si="5">AVERAGE(V25:V34)</f>
        <v>7.5</v>
      </c>
      <c r="W35" s="401">
        <f t="shared" si="5"/>
        <v>3.6</v>
      </c>
      <c r="X35" s="401">
        <f t="shared" si="5"/>
        <v>12.1</v>
      </c>
      <c r="Y35" s="401">
        <f t="shared" si="5"/>
        <v>13.3</v>
      </c>
      <c r="Z35" s="401">
        <f t="shared" si="5"/>
        <v>457.9</v>
      </c>
      <c r="AA35" s="401">
        <f t="shared" si="5"/>
        <v>404.8</v>
      </c>
      <c r="AB35" s="401">
        <f t="shared" si="5"/>
        <v>15.6</v>
      </c>
      <c r="AC35" s="401">
        <f t="shared" si="5"/>
        <v>16.399999999999999</v>
      </c>
      <c r="AD35" s="401">
        <f t="shared" si="5"/>
        <v>12.9</v>
      </c>
      <c r="AE35" s="401">
        <f t="shared" si="5"/>
        <v>12.3</v>
      </c>
      <c r="AF35" s="401">
        <f t="shared" si="5"/>
        <v>1.6</v>
      </c>
      <c r="AG35" s="401">
        <f t="shared" si="5"/>
        <v>3.5</v>
      </c>
      <c r="AH35" s="599">
        <f t="shared" si="5"/>
        <v>0.1</v>
      </c>
      <c r="AI35" s="491">
        <f t="shared" si="5"/>
        <v>0</v>
      </c>
      <c r="AJ35" s="599">
        <f t="shared" si="5"/>
        <v>0.4</v>
      </c>
      <c r="AK35" s="492">
        <f t="shared" si="5"/>
        <v>0</v>
      </c>
      <c r="AL35" s="435">
        <f t="shared" si="5"/>
        <v>5.5</v>
      </c>
      <c r="AM35" s="436">
        <f t="shared" si="5"/>
        <v>0.42976190476190473</v>
      </c>
      <c r="AN35" s="401">
        <f t="shared" si="5"/>
        <v>0.3</v>
      </c>
      <c r="AO35" s="401">
        <f t="shared" si="5"/>
        <v>4.8</v>
      </c>
      <c r="AP35" s="401">
        <f t="shared" si="5"/>
        <v>3.4</v>
      </c>
      <c r="AQ35" s="401">
        <f t="shared" si="5"/>
        <v>9.1999999999999993</v>
      </c>
      <c r="AR35" s="434">
        <f t="shared" si="5"/>
        <v>0.66478937728937726</v>
      </c>
      <c r="AS35" s="401">
        <f t="shared" si="5"/>
        <v>4.5</v>
      </c>
      <c r="AT35" s="433">
        <f t="shared" si="5"/>
        <v>2.5</v>
      </c>
      <c r="AU35" s="434">
        <f t="shared" si="5"/>
        <v>0.29049145299145296</v>
      </c>
      <c r="AV35" s="401">
        <f t="shared" si="5"/>
        <v>0.2</v>
      </c>
      <c r="AW35" s="401">
        <f t="shared" si="5"/>
        <v>3.8</v>
      </c>
      <c r="AX35" s="401">
        <f t="shared" si="5"/>
        <v>1.9</v>
      </c>
      <c r="AY35" s="401">
        <f t="shared" si="5"/>
        <v>5.3</v>
      </c>
      <c r="AZ35" s="434">
        <f t="shared" si="5"/>
        <v>0.61720085470085473</v>
      </c>
      <c r="BA35" s="405">
        <f t="shared" si="5"/>
        <v>2.9</v>
      </c>
      <c r="BB35" s="430">
        <f t="shared" si="5"/>
        <v>0.5</v>
      </c>
      <c r="BC35" s="431">
        <f t="shared" si="5"/>
        <v>0.4</v>
      </c>
      <c r="BD35" s="431">
        <f t="shared" si="5"/>
        <v>0.4</v>
      </c>
      <c r="BE35" s="432">
        <f t="shared" si="5"/>
        <v>0.3</v>
      </c>
    </row>
    <row r="36" spans="1:57" x14ac:dyDescent="0.25">
      <c r="A36" s="617" t="s">
        <v>37</v>
      </c>
      <c r="B36" s="618" t="s">
        <v>38</v>
      </c>
      <c r="C36" s="619" t="s">
        <v>635</v>
      </c>
      <c r="D36" s="620" t="s">
        <v>636</v>
      </c>
      <c r="E36" s="620" t="s">
        <v>637</v>
      </c>
      <c r="F36" s="619" t="s">
        <v>638</v>
      </c>
      <c r="G36" s="621" t="s">
        <v>586</v>
      </c>
      <c r="H36" s="622" t="s">
        <v>587</v>
      </c>
      <c r="I36" s="623" t="s">
        <v>588</v>
      </c>
      <c r="J36" s="624" t="s">
        <v>589</v>
      </c>
      <c r="K36" s="624" t="s">
        <v>590</v>
      </c>
      <c r="L36" s="623" t="s">
        <v>593</v>
      </c>
      <c r="M36" s="623" t="s">
        <v>594</v>
      </c>
      <c r="N36" s="623" t="s">
        <v>595</v>
      </c>
      <c r="O36" s="623" t="s">
        <v>596</v>
      </c>
      <c r="P36" s="623" t="s">
        <v>597</v>
      </c>
      <c r="Q36" s="623" t="s">
        <v>598</v>
      </c>
      <c r="R36" s="623" t="s">
        <v>599</v>
      </c>
      <c r="S36" s="623" t="s">
        <v>600</v>
      </c>
      <c r="T36" s="624" t="s">
        <v>601</v>
      </c>
      <c r="U36" s="625" t="s">
        <v>602</v>
      </c>
      <c r="V36" s="623" t="s">
        <v>603</v>
      </c>
      <c r="W36" s="623" t="s">
        <v>604</v>
      </c>
      <c r="X36" s="623" t="s">
        <v>605</v>
      </c>
      <c r="Y36" s="623" t="s">
        <v>606</v>
      </c>
      <c r="Z36" s="623" t="s">
        <v>607</v>
      </c>
      <c r="AA36" s="623" t="s">
        <v>608</v>
      </c>
      <c r="AB36" s="623" t="s">
        <v>609</v>
      </c>
      <c r="AC36" s="623" t="s">
        <v>610</v>
      </c>
      <c r="AD36" s="623" t="s">
        <v>611</v>
      </c>
      <c r="AE36" s="623" t="s">
        <v>612</v>
      </c>
      <c r="AF36" s="623" t="s">
        <v>613</v>
      </c>
      <c r="AG36" s="623" t="s">
        <v>614</v>
      </c>
      <c r="AH36" s="626" t="s">
        <v>615</v>
      </c>
      <c r="AI36" s="626" t="s">
        <v>616</v>
      </c>
      <c r="AJ36" s="626" t="s">
        <v>617</v>
      </c>
      <c r="AK36" s="627" t="s">
        <v>618</v>
      </c>
      <c r="AL36" s="622" t="s">
        <v>619</v>
      </c>
      <c r="AM36" s="628" t="s">
        <v>639</v>
      </c>
      <c r="AN36" s="623" t="s">
        <v>620</v>
      </c>
      <c r="AO36" s="623" t="s">
        <v>621</v>
      </c>
      <c r="AP36" s="623" t="s">
        <v>622</v>
      </c>
      <c r="AQ36" s="623" t="s">
        <v>623</v>
      </c>
      <c r="AR36" s="629" t="s">
        <v>640</v>
      </c>
      <c r="AS36" s="623" t="s">
        <v>624</v>
      </c>
      <c r="AT36" s="623" t="s">
        <v>625</v>
      </c>
      <c r="AU36" s="629" t="s">
        <v>641</v>
      </c>
      <c r="AV36" s="623" t="s">
        <v>626</v>
      </c>
      <c r="AW36" s="623" t="s">
        <v>627</v>
      </c>
      <c r="AX36" s="623" t="s">
        <v>628</v>
      </c>
      <c r="AY36" s="623" t="s">
        <v>629</v>
      </c>
      <c r="AZ36" s="629" t="s">
        <v>642</v>
      </c>
      <c r="BA36" s="630" t="s">
        <v>630</v>
      </c>
      <c r="BB36" s="631" t="s">
        <v>631</v>
      </c>
      <c r="BC36" s="631" t="s">
        <v>632</v>
      </c>
      <c r="BD36" s="631" t="s">
        <v>633</v>
      </c>
      <c r="BE36" s="632" t="s">
        <v>634</v>
      </c>
    </row>
    <row r="37" spans="1:57" x14ac:dyDescent="0.25">
      <c r="A37" s="329">
        <v>45893</v>
      </c>
      <c r="B37" s="5">
        <v>2</v>
      </c>
      <c r="C37" s="5" t="s">
        <v>146</v>
      </c>
      <c r="D37" s="424">
        <v>2</v>
      </c>
      <c r="E37" s="424">
        <v>2</v>
      </c>
      <c r="F37" s="5" t="s">
        <v>192</v>
      </c>
      <c r="H37" s="42">
        <v>62</v>
      </c>
      <c r="I37" s="26">
        <v>38</v>
      </c>
      <c r="J37" s="33">
        <v>1.0900000000000001</v>
      </c>
      <c r="K37" s="34">
        <v>1.81</v>
      </c>
      <c r="L37" s="25">
        <v>3</v>
      </c>
      <c r="M37" s="26">
        <v>2</v>
      </c>
      <c r="N37" s="25">
        <v>15</v>
      </c>
      <c r="O37" s="26">
        <v>14</v>
      </c>
      <c r="P37" s="25">
        <v>1</v>
      </c>
      <c r="Q37" s="26">
        <v>5</v>
      </c>
      <c r="R37" s="25">
        <v>0</v>
      </c>
      <c r="S37" s="26">
        <v>2</v>
      </c>
      <c r="T37" s="33">
        <v>-0.27</v>
      </c>
      <c r="U37" s="484">
        <v>7.0000000000000007E-2</v>
      </c>
      <c r="V37" s="25">
        <v>5</v>
      </c>
      <c r="W37" s="26">
        <v>2</v>
      </c>
      <c r="X37" s="25">
        <v>16</v>
      </c>
      <c r="Y37" s="26">
        <v>18</v>
      </c>
      <c r="Z37" s="25">
        <v>198</v>
      </c>
      <c r="AA37" s="26">
        <v>305</v>
      </c>
      <c r="AB37" s="25">
        <v>16</v>
      </c>
      <c r="AC37" s="26">
        <v>21</v>
      </c>
      <c r="AD37" s="25">
        <v>18</v>
      </c>
      <c r="AE37" s="26">
        <v>15</v>
      </c>
      <c r="AF37" s="25">
        <v>2</v>
      </c>
      <c r="AG37" s="26">
        <v>2</v>
      </c>
      <c r="AH37" s="487">
        <v>0</v>
      </c>
      <c r="AI37" s="488">
        <v>0</v>
      </c>
      <c r="AJ37" s="487">
        <v>0</v>
      </c>
      <c r="AK37" s="489">
        <v>1</v>
      </c>
      <c r="AL37" s="173">
        <v>7</v>
      </c>
      <c r="AM37" s="364">
        <v>0.46666666666666667</v>
      </c>
      <c r="AN37" s="144">
        <v>0</v>
      </c>
      <c r="AO37" s="144">
        <v>4</v>
      </c>
      <c r="AP37" s="144">
        <v>4</v>
      </c>
      <c r="AQ37" s="144">
        <v>11</v>
      </c>
      <c r="AR37" s="365">
        <v>0.73333333333333328</v>
      </c>
      <c r="AS37" s="144">
        <v>4</v>
      </c>
      <c r="AT37" s="5">
        <v>3</v>
      </c>
      <c r="AU37" s="372">
        <v>0.21428571428571427</v>
      </c>
      <c r="AV37" s="5">
        <v>0</v>
      </c>
      <c r="AW37" s="5">
        <v>7</v>
      </c>
      <c r="AX37" s="5">
        <v>4</v>
      </c>
      <c r="AY37" s="5">
        <v>5</v>
      </c>
      <c r="AZ37" s="372">
        <v>0.35714285714285715</v>
      </c>
      <c r="BA37" s="57">
        <v>9</v>
      </c>
      <c r="BB37" s="393">
        <v>0</v>
      </c>
      <c r="BC37" s="394">
        <v>0</v>
      </c>
      <c r="BD37" s="395">
        <v>0</v>
      </c>
      <c r="BE37" s="396">
        <v>1</v>
      </c>
    </row>
    <row r="38" spans="1:57" x14ac:dyDescent="0.25">
      <c r="A38" s="329">
        <v>45913</v>
      </c>
      <c r="B38" s="5">
        <v>4</v>
      </c>
      <c r="C38" s="5" t="s">
        <v>146</v>
      </c>
      <c r="D38" s="503">
        <v>1</v>
      </c>
      <c r="E38" s="503">
        <v>2</v>
      </c>
      <c r="F38" s="26" t="s">
        <v>226</v>
      </c>
      <c r="G38" s="242" t="s">
        <v>538</v>
      </c>
      <c r="H38" s="42">
        <v>64</v>
      </c>
      <c r="I38" s="26">
        <v>36</v>
      </c>
      <c r="J38" s="33">
        <v>2.23</v>
      </c>
      <c r="K38" s="34">
        <v>2.42</v>
      </c>
      <c r="L38" s="25">
        <v>5</v>
      </c>
      <c r="M38" s="26">
        <v>3</v>
      </c>
      <c r="N38" s="25">
        <v>23</v>
      </c>
      <c r="O38" s="26">
        <v>16</v>
      </c>
      <c r="P38" s="25">
        <v>4</v>
      </c>
      <c r="Q38" s="26">
        <v>3</v>
      </c>
      <c r="R38" s="25">
        <v>1</v>
      </c>
      <c r="S38" s="26">
        <v>0</v>
      </c>
      <c r="T38" s="33">
        <v>0.42</v>
      </c>
      <c r="U38" s="484">
        <v>-0.02</v>
      </c>
      <c r="V38" s="25">
        <v>12</v>
      </c>
      <c r="W38" s="26">
        <v>4</v>
      </c>
      <c r="X38" s="25">
        <v>17</v>
      </c>
      <c r="Y38" s="26">
        <v>7</v>
      </c>
      <c r="Z38" s="25">
        <v>521</v>
      </c>
      <c r="AA38" s="26">
        <v>314</v>
      </c>
      <c r="AB38" s="25">
        <v>13</v>
      </c>
      <c r="AC38" s="26">
        <v>9</v>
      </c>
      <c r="AD38" s="25">
        <v>6</v>
      </c>
      <c r="AE38" s="26">
        <v>17</v>
      </c>
      <c r="AF38" s="25">
        <v>2</v>
      </c>
      <c r="AG38" s="26">
        <v>1</v>
      </c>
      <c r="AH38" s="487">
        <v>0</v>
      </c>
      <c r="AI38" s="488">
        <v>1</v>
      </c>
      <c r="AJ38" s="487">
        <v>1</v>
      </c>
      <c r="AK38" s="489">
        <v>0</v>
      </c>
      <c r="AL38" s="173">
        <v>4</v>
      </c>
      <c r="AM38" s="364">
        <v>0.17391304347826086</v>
      </c>
      <c r="AN38" s="144">
        <v>0</v>
      </c>
      <c r="AO38" s="144">
        <v>7</v>
      </c>
      <c r="AP38" s="144">
        <v>12</v>
      </c>
      <c r="AQ38" s="144">
        <v>15</v>
      </c>
      <c r="AR38" s="365">
        <v>0.65217391304347827</v>
      </c>
      <c r="AS38" s="144">
        <v>8</v>
      </c>
      <c r="AT38" s="5">
        <v>6</v>
      </c>
      <c r="AU38" s="372">
        <v>0.375</v>
      </c>
      <c r="AV38" s="5">
        <v>2</v>
      </c>
      <c r="AW38" s="5">
        <v>7</v>
      </c>
      <c r="AX38" s="5">
        <v>3</v>
      </c>
      <c r="AY38" s="5">
        <v>14</v>
      </c>
      <c r="AZ38" s="372">
        <v>0.875</v>
      </c>
      <c r="BA38" s="57">
        <v>2</v>
      </c>
      <c r="BB38" s="393">
        <v>0</v>
      </c>
      <c r="BC38" s="394">
        <v>1</v>
      </c>
      <c r="BD38" s="395">
        <v>0</v>
      </c>
      <c r="BE38" s="396">
        <v>0</v>
      </c>
    </row>
    <row r="39" spans="1:57" x14ac:dyDescent="0.25">
      <c r="A39" s="329">
        <v>45924</v>
      </c>
      <c r="B39" s="5">
        <v>6</v>
      </c>
      <c r="C39" s="5" t="s">
        <v>146</v>
      </c>
      <c r="D39" s="505">
        <v>1</v>
      </c>
      <c r="E39" s="505">
        <v>0</v>
      </c>
      <c r="F39" s="5" t="s">
        <v>112</v>
      </c>
      <c r="H39" s="42">
        <v>64</v>
      </c>
      <c r="I39" s="26">
        <v>36</v>
      </c>
      <c r="J39" s="33">
        <v>2.76</v>
      </c>
      <c r="K39" s="34">
        <v>0.76</v>
      </c>
      <c r="L39" s="25">
        <v>4</v>
      </c>
      <c r="M39" s="26">
        <v>1</v>
      </c>
      <c r="N39" s="25">
        <v>17</v>
      </c>
      <c r="O39" s="26">
        <v>7</v>
      </c>
      <c r="P39" s="25">
        <v>3</v>
      </c>
      <c r="Q39" s="26">
        <v>3</v>
      </c>
      <c r="R39" s="25">
        <v>0</v>
      </c>
      <c r="S39" s="26">
        <v>2</v>
      </c>
      <c r="T39" s="33">
        <v>0.15</v>
      </c>
      <c r="U39" s="484">
        <v>0.85</v>
      </c>
      <c r="V39" s="25">
        <v>11</v>
      </c>
      <c r="W39" s="26">
        <v>2</v>
      </c>
      <c r="X39" s="25">
        <v>13</v>
      </c>
      <c r="Y39" s="26">
        <v>15</v>
      </c>
      <c r="Z39" s="25">
        <v>548</v>
      </c>
      <c r="AA39" s="26">
        <v>310</v>
      </c>
      <c r="AB39" s="25">
        <v>13</v>
      </c>
      <c r="AC39" s="26">
        <v>15</v>
      </c>
      <c r="AD39" s="25">
        <v>15</v>
      </c>
      <c r="AE39" s="26">
        <v>13</v>
      </c>
      <c r="AF39" s="25">
        <v>2</v>
      </c>
      <c r="AG39" s="26">
        <v>2</v>
      </c>
      <c r="AH39" s="487">
        <v>0</v>
      </c>
      <c r="AI39" s="488">
        <v>0</v>
      </c>
      <c r="AJ39" s="487">
        <v>0</v>
      </c>
      <c r="AK39" s="489">
        <v>0</v>
      </c>
      <c r="AL39" s="173">
        <v>4</v>
      </c>
      <c r="AM39" s="364">
        <v>0.23529411764705882</v>
      </c>
      <c r="AN39" s="144">
        <v>0</v>
      </c>
      <c r="AO39" s="144">
        <v>10</v>
      </c>
      <c r="AP39" s="144">
        <v>3</v>
      </c>
      <c r="AQ39" s="144">
        <v>12</v>
      </c>
      <c r="AR39" s="365">
        <v>0.70588235294117652</v>
      </c>
      <c r="AS39" s="144">
        <v>5</v>
      </c>
      <c r="AT39" s="5">
        <v>3</v>
      </c>
      <c r="AU39" s="372">
        <v>0.42857142857142855</v>
      </c>
      <c r="AV39" s="5">
        <v>0</v>
      </c>
      <c r="AW39" s="5">
        <v>3</v>
      </c>
      <c r="AX39" s="5">
        <v>1</v>
      </c>
      <c r="AY39" s="5">
        <v>6</v>
      </c>
      <c r="AZ39" s="372">
        <v>0.8571428571428571</v>
      </c>
      <c r="BA39" s="57">
        <v>1</v>
      </c>
      <c r="BB39" s="393">
        <v>0</v>
      </c>
      <c r="BC39" s="394">
        <v>0</v>
      </c>
      <c r="BD39" s="395">
        <v>1</v>
      </c>
      <c r="BE39" s="396">
        <v>0</v>
      </c>
    </row>
    <row r="40" spans="1:57" x14ac:dyDescent="0.25">
      <c r="A40" s="329">
        <v>45935</v>
      </c>
      <c r="B40" s="5">
        <v>8</v>
      </c>
      <c r="C40" s="5" t="s">
        <v>146</v>
      </c>
      <c r="D40" s="503">
        <v>0</v>
      </c>
      <c r="E40" s="503">
        <v>1</v>
      </c>
      <c r="F40" s="5" t="s">
        <v>70</v>
      </c>
      <c r="H40" s="42">
        <v>51</v>
      </c>
      <c r="I40" s="26">
        <v>49</v>
      </c>
      <c r="J40" s="33">
        <v>0.79</v>
      </c>
      <c r="K40" s="34">
        <v>0.8</v>
      </c>
      <c r="L40" s="25">
        <v>1</v>
      </c>
      <c r="M40" s="26">
        <v>3</v>
      </c>
      <c r="N40" s="25">
        <v>10</v>
      </c>
      <c r="O40" s="26">
        <v>7</v>
      </c>
      <c r="P40" s="25">
        <v>1</v>
      </c>
      <c r="Q40" s="26">
        <v>3</v>
      </c>
      <c r="R40" s="25">
        <v>1</v>
      </c>
      <c r="S40" s="26">
        <v>0</v>
      </c>
      <c r="T40" s="33">
        <v>-0.38</v>
      </c>
      <c r="U40" s="484">
        <v>1.02</v>
      </c>
      <c r="V40" s="25">
        <v>7</v>
      </c>
      <c r="W40" s="26">
        <v>5</v>
      </c>
      <c r="X40" s="25">
        <v>13</v>
      </c>
      <c r="Y40" s="26">
        <v>21</v>
      </c>
      <c r="Z40" s="25">
        <v>421</v>
      </c>
      <c r="AA40" s="26">
        <v>414</v>
      </c>
      <c r="AB40" s="25">
        <v>11</v>
      </c>
      <c r="AC40" s="26">
        <v>13</v>
      </c>
      <c r="AD40" s="25">
        <v>21</v>
      </c>
      <c r="AE40" s="26">
        <v>13</v>
      </c>
      <c r="AF40" s="25">
        <v>1</v>
      </c>
      <c r="AG40" s="26">
        <v>2</v>
      </c>
      <c r="AH40" s="487">
        <v>0</v>
      </c>
      <c r="AI40" s="488">
        <v>0</v>
      </c>
      <c r="AJ40" s="487">
        <v>0</v>
      </c>
      <c r="AK40" s="489">
        <v>0</v>
      </c>
      <c r="AL40" s="173">
        <v>3</v>
      </c>
      <c r="AM40" s="364">
        <v>0.3</v>
      </c>
      <c r="AN40" s="144">
        <v>0</v>
      </c>
      <c r="AO40" s="144">
        <v>1</v>
      </c>
      <c r="AP40" s="144">
        <v>6</v>
      </c>
      <c r="AQ40" s="144">
        <v>7</v>
      </c>
      <c r="AR40" s="365">
        <v>0.7</v>
      </c>
      <c r="AS40" s="144">
        <v>3</v>
      </c>
      <c r="AT40" s="5">
        <v>2</v>
      </c>
      <c r="AU40" s="372">
        <v>0.2857142857142857</v>
      </c>
      <c r="AV40" s="5">
        <v>0</v>
      </c>
      <c r="AW40" s="5">
        <v>3</v>
      </c>
      <c r="AX40" s="5">
        <v>2</v>
      </c>
      <c r="AY40" s="5">
        <v>5</v>
      </c>
      <c r="AZ40" s="372">
        <v>0.7142857142857143</v>
      </c>
      <c r="BA40" s="57">
        <v>2</v>
      </c>
      <c r="BB40" s="393">
        <v>1</v>
      </c>
      <c r="BC40" s="394">
        <v>0</v>
      </c>
      <c r="BD40" s="395">
        <v>0</v>
      </c>
      <c r="BE40" s="396">
        <v>0</v>
      </c>
    </row>
    <row r="41" spans="1:57" ht="15.75" thickBot="1" x14ac:dyDescent="0.3">
      <c r="A41" s="330">
        <v>45954</v>
      </c>
      <c r="B41" s="9">
        <v>10</v>
      </c>
      <c r="C41" s="9" t="s">
        <v>146</v>
      </c>
      <c r="D41" s="633">
        <v>2</v>
      </c>
      <c r="E41" s="633">
        <v>1</v>
      </c>
      <c r="F41" s="9" t="s">
        <v>171</v>
      </c>
      <c r="G41" s="45"/>
      <c r="H41" s="384">
        <v>40</v>
      </c>
      <c r="I41" s="74">
        <v>60</v>
      </c>
      <c r="J41" s="385">
        <v>1.61</v>
      </c>
      <c r="K41" s="386">
        <v>0.23</v>
      </c>
      <c r="L41" s="387">
        <v>3</v>
      </c>
      <c r="M41" s="74">
        <v>0</v>
      </c>
      <c r="N41" s="387">
        <v>5</v>
      </c>
      <c r="O41" s="74">
        <v>6</v>
      </c>
      <c r="P41" s="387">
        <v>0</v>
      </c>
      <c r="Q41" s="74">
        <v>1</v>
      </c>
      <c r="R41" s="387">
        <v>0</v>
      </c>
      <c r="S41" s="74">
        <v>0</v>
      </c>
      <c r="T41" s="385">
        <v>-0.48</v>
      </c>
      <c r="U41" s="498">
        <v>-0.39</v>
      </c>
      <c r="V41" s="387">
        <v>1</v>
      </c>
      <c r="W41" s="74">
        <v>9</v>
      </c>
      <c r="X41" s="387">
        <v>18</v>
      </c>
      <c r="Y41" s="74">
        <v>14</v>
      </c>
      <c r="Z41" s="387">
        <v>303</v>
      </c>
      <c r="AA41" s="74">
        <v>464</v>
      </c>
      <c r="AB41" s="387">
        <v>22</v>
      </c>
      <c r="AC41" s="74">
        <v>13</v>
      </c>
      <c r="AD41" s="387">
        <v>13</v>
      </c>
      <c r="AE41" s="74">
        <v>19</v>
      </c>
      <c r="AF41" s="387">
        <v>1</v>
      </c>
      <c r="AG41" s="74">
        <v>3</v>
      </c>
      <c r="AH41" s="499">
        <v>0</v>
      </c>
      <c r="AI41" s="500">
        <v>0</v>
      </c>
      <c r="AJ41" s="499">
        <v>1</v>
      </c>
      <c r="AK41" s="501">
        <v>0</v>
      </c>
      <c r="AL41" s="177">
        <v>3</v>
      </c>
      <c r="AM41" s="388">
        <v>0.6</v>
      </c>
      <c r="AN41" s="152">
        <v>0</v>
      </c>
      <c r="AO41" s="152">
        <v>2</v>
      </c>
      <c r="AP41" s="152">
        <v>0</v>
      </c>
      <c r="AQ41" s="152">
        <v>4</v>
      </c>
      <c r="AR41" s="389">
        <v>0.8</v>
      </c>
      <c r="AS41" s="152">
        <v>1</v>
      </c>
      <c r="AT41" s="9">
        <v>1</v>
      </c>
      <c r="AU41" s="390">
        <v>0.16666666666666666</v>
      </c>
      <c r="AV41" s="9">
        <v>0</v>
      </c>
      <c r="AW41" s="9">
        <v>3</v>
      </c>
      <c r="AX41" s="9">
        <v>2</v>
      </c>
      <c r="AY41" s="9">
        <v>2</v>
      </c>
      <c r="AZ41" s="390">
        <v>0.33333333333333331</v>
      </c>
      <c r="BA41" s="58">
        <v>4</v>
      </c>
      <c r="BB41" s="420">
        <v>0</v>
      </c>
      <c r="BC41" s="421">
        <v>0</v>
      </c>
      <c r="BD41" s="422">
        <v>1</v>
      </c>
      <c r="BE41" s="423">
        <v>1</v>
      </c>
    </row>
    <row r="42" spans="1:57" x14ac:dyDescent="0.25">
      <c r="A42" s="331">
        <v>45900</v>
      </c>
      <c r="B42" s="13">
        <v>3</v>
      </c>
      <c r="C42" s="13" t="s">
        <v>209</v>
      </c>
      <c r="D42" s="601">
        <v>1</v>
      </c>
      <c r="E42" s="601">
        <v>2</v>
      </c>
      <c r="F42" s="13" t="s">
        <v>170</v>
      </c>
      <c r="G42" s="47"/>
      <c r="H42" s="376">
        <v>50</v>
      </c>
      <c r="I42" s="79">
        <v>50</v>
      </c>
      <c r="J42" s="377">
        <v>0.62</v>
      </c>
      <c r="K42" s="378">
        <v>1.1100000000000001</v>
      </c>
      <c r="L42" s="379">
        <v>1</v>
      </c>
      <c r="M42" s="79">
        <v>2</v>
      </c>
      <c r="N42" s="379">
        <v>9</v>
      </c>
      <c r="O42" s="79">
        <v>15</v>
      </c>
      <c r="P42" s="379">
        <v>5</v>
      </c>
      <c r="Q42" s="79">
        <v>1</v>
      </c>
      <c r="R42" s="379">
        <v>0</v>
      </c>
      <c r="S42" s="79">
        <v>0</v>
      </c>
      <c r="T42" s="377">
        <v>-1.1399999999999999</v>
      </c>
      <c r="U42" s="494">
        <v>0.02</v>
      </c>
      <c r="V42" s="379">
        <v>4</v>
      </c>
      <c r="W42" s="79">
        <v>10</v>
      </c>
      <c r="X42" s="379">
        <v>9</v>
      </c>
      <c r="Y42" s="79">
        <v>16</v>
      </c>
      <c r="Z42" s="379">
        <v>454</v>
      </c>
      <c r="AA42" s="79">
        <v>440</v>
      </c>
      <c r="AB42" s="379">
        <v>25</v>
      </c>
      <c r="AC42" s="79">
        <v>15</v>
      </c>
      <c r="AD42" s="379">
        <v>16</v>
      </c>
      <c r="AE42" s="79">
        <v>9</v>
      </c>
      <c r="AF42" s="379">
        <v>1</v>
      </c>
      <c r="AG42" s="79">
        <v>4</v>
      </c>
      <c r="AH42" s="495">
        <v>0</v>
      </c>
      <c r="AI42" s="496">
        <v>1</v>
      </c>
      <c r="AJ42" s="495">
        <v>0</v>
      </c>
      <c r="AK42" s="497">
        <v>0</v>
      </c>
      <c r="AL42" s="169">
        <v>2</v>
      </c>
      <c r="AM42" s="380">
        <v>0.22222222222222221</v>
      </c>
      <c r="AN42" s="160">
        <v>0</v>
      </c>
      <c r="AO42" s="160">
        <v>4</v>
      </c>
      <c r="AP42" s="160">
        <v>3</v>
      </c>
      <c r="AQ42" s="160">
        <v>6</v>
      </c>
      <c r="AR42" s="381">
        <v>0.66666666666666663</v>
      </c>
      <c r="AS42" s="160">
        <v>3</v>
      </c>
      <c r="AT42" s="13">
        <v>6</v>
      </c>
      <c r="AU42" s="382">
        <v>0.4</v>
      </c>
      <c r="AV42" s="13">
        <v>0</v>
      </c>
      <c r="AW42" s="13">
        <v>5</v>
      </c>
      <c r="AX42" s="13">
        <v>4</v>
      </c>
      <c r="AY42" s="13">
        <v>9</v>
      </c>
      <c r="AZ42" s="382">
        <v>0.6</v>
      </c>
      <c r="BA42" s="60">
        <v>6</v>
      </c>
      <c r="BB42" s="416">
        <v>0</v>
      </c>
      <c r="BC42" s="417">
        <v>0</v>
      </c>
      <c r="BD42" s="418">
        <v>1</v>
      </c>
      <c r="BE42" s="419">
        <v>0</v>
      </c>
    </row>
    <row r="43" spans="1:57" x14ac:dyDescent="0.25">
      <c r="A43" s="329">
        <v>45920</v>
      </c>
      <c r="B43" s="5">
        <v>5</v>
      </c>
      <c r="C43" s="5" t="s">
        <v>145</v>
      </c>
      <c r="D43" s="503">
        <v>2</v>
      </c>
      <c r="E43" s="503">
        <v>0</v>
      </c>
      <c r="F43" s="26" t="s">
        <v>170</v>
      </c>
      <c r="G43" s="242" t="s">
        <v>455</v>
      </c>
      <c r="H43" s="42">
        <v>44</v>
      </c>
      <c r="I43" s="26">
        <v>56</v>
      </c>
      <c r="J43" s="33">
        <v>1.88</v>
      </c>
      <c r="K43" s="34">
        <v>0.49</v>
      </c>
      <c r="L43" s="25">
        <v>4</v>
      </c>
      <c r="M43" s="26">
        <v>0</v>
      </c>
      <c r="N43" s="25">
        <v>13</v>
      </c>
      <c r="O43" s="26">
        <v>11</v>
      </c>
      <c r="P43" s="25">
        <v>6</v>
      </c>
      <c r="Q43" s="26">
        <v>3</v>
      </c>
      <c r="R43" s="25">
        <v>2</v>
      </c>
      <c r="S43" s="26">
        <v>1</v>
      </c>
      <c r="T43" s="33">
        <v>0.64</v>
      </c>
      <c r="U43" s="484">
        <v>0.47</v>
      </c>
      <c r="V43" s="25">
        <v>5</v>
      </c>
      <c r="W43" s="26">
        <v>6</v>
      </c>
      <c r="X43" s="25">
        <v>13</v>
      </c>
      <c r="Y43" s="26">
        <v>6</v>
      </c>
      <c r="Z43" s="25">
        <v>378</v>
      </c>
      <c r="AA43" s="26">
        <v>486</v>
      </c>
      <c r="AB43" s="25">
        <v>20</v>
      </c>
      <c r="AC43" s="26">
        <v>14</v>
      </c>
      <c r="AD43" s="25">
        <v>6</v>
      </c>
      <c r="AE43" s="26">
        <v>13</v>
      </c>
      <c r="AF43" s="25">
        <v>1</v>
      </c>
      <c r="AG43" s="26">
        <v>1</v>
      </c>
      <c r="AH43" s="487">
        <v>0</v>
      </c>
      <c r="AI43" s="488">
        <v>1</v>
      </c>
      <c r="AJ43" s="487">
        <v>0</v>
      </c>
      <c r="AK43" s="489">
        <v>0</v>
      </c>
      <c r="AL43" s="173">
        <v>5</v>
      </c>
      <c r="AM43" s="364">
        <v>0.38461538461538464</v>
      </c>
      <c r="AN43" s="144">
        <v>0</v>
      </c>
      <c r="AO43" s="144">
        <v>6</v>
      </c>
      <c r="AP43" s="144">
        <v>2</v>
      </c>
      <c r="AQ43" s="144">
        <v>10</v>
      </c>
      <c r="AR43" s="365">
        <v>0.76923076923076927</v>
      </c>
      <c r="AS43" s="144">
        <v>3</v>
      </c>
      <c r="AT43" s="5">
        <v>5</v>
      </c>
      <c r="AU43" s="372">
        <v>0.45454545454545453</v>
      </c>
      <c r="AV43" s="5">
        <v>0</v>
      </c>
      <c r="AW43" s="5">
        <v>2</v>
      </c>
      <c r="AX43" s="5">
        <v>4</v>
      </c>
      <c r="AY43" s="5">
        <v>7</v>
      </c>
      <c r="AZ43" s="372">
        <v>0.63636363636363635</v>
      </c>
      <c r="BA43" s="57">
        <v>4</v>
      </c>
      <c r="BB43" s="393">
        <v>0</v>
      </c>
      <c r="BC43" s="394">
        <v>0</v>
      </c>
      <c r="BD43" s="395">
        <v>0</v>
      </c>
      <c r="BE43" s="396">
        <v>0</v>
      </c>
    </row>
    <row r="44" spans="1:57" x14ac:dyDescent="0.25">
      <c r="A44" s="329">
        <v>45927</v>
      </c>
      <c r="B44" s="5">
        <v>7</v>
      </c>
      <c r="C44" s="5" t="s">
        <v>91</v>
      </c>
      <c r="D44" s="503">
        <v>1</v>
      </c>
      <c r="E44" s="503">
        <v>0</v>
      </c>
      <c r="F44" s="5" t="s">
        <v>170</v>
      </c>
      <c r="H44" s="42">
        <v>42</v>
      </c>
      <c r="I44" s="26">
        <v>58</v>
      </c>
      <c r="J44" s="33">
        <v>1.22</v>
      </c>
      <c r="K44" s="34">
        <v>1.44</v>
      </c>
      <c r="L44" s="25">
        <v>3</v>
      </c>
      <c r="M44" s="26">
        <v>2</v>
      </c>
      <c r="N44" s="25">
        <v>14</v>
      </c>
      <c r="O44" s="26">
        <v>16</v>
      </c>
      <c r="P44" s="25">
        <v>4</v>
      </c>
      <c r="Q44" s="26">
        <v>4</v>
      </c>
      <c r="R44" s="25">
        <v>0</v>
      </c>
      <c r="S44" s="26">
        <v>0</v>
      </c>
      <c r="T44" s="33">
        <v>0.72</v>
      </c>
      <c r="U44" s="484">
        <v>0.57999999999999996</v>
      </c>
      <c r="V44" s="25">
        <v>6</v>
      </c>
      <c r="W44" s="26">
        <v>5</v>
      </c>
      <c r="X44" s="25">
        <v>13</v>
      </c>
      <c r="Y44" s="26">
        <v>11</v>
      </c>
      <c r="Z44" s="25">
        <v>373</v>
      </c>
      <c r="AA44" s="26">
        <v>506</v>
      </c>
      <c r="AB44" s="25">
        <v>23</v>
      </c>
      <c r="AC44" s="26">
        <v>12</v>
      </c>
      <c r="AD44" s="25">
        <v>11</v>
      </c>
      <c r="AE44" s="26">
        <v>13</v>
      </c>
      <c r="AF44" s="25">
        <v>2</v>
      </c>
      <c r="AG44" s="26">
        <v>0</v>
      </c>
      <c r="AH44" s="487">
        <v>0</v>
      </c>
      <c r="AI44" s="488">
        <v>0</v>
      </c>
      <c r="AJ44" s="487">
        <v>0</v>
      </c>
      <c r="AK44" s="489">
        <v>0</v>
      </c>
      <c r="AL44" s="173">
        <v>5</v>
      </c>
      <c r="AM44" s="364">
        <v>0.35714285714285715</v>
      </c>
      <c r="AN44" s="144">
        <v>1</v>
      </c>
      <c r="AO44" s="144">
        <v>6</v>
      </c>
      <c r="AP44" s="144">
        <v>3</v>
      </c>
      <c r="AQ44" s="144">
        <v>10</v>
      </c>
      <c r="AR44" s="365">
        <v>0.7142857142857143</v>
      </c>
      <c r="AS44" s="144">
        <v>4</v>
      </c>
      <c r="AT44" s="5">
        <v>4</v>
      </c>
      <c r="AU44" s="372">
        <v>0.25</v>
      </c>
      <c r="AV44" s="5">
        <v>1</v>
      </c>
      <c r="AW44" s="5">
        <v>5</v>
      </c>
      <c r="AX44" s="5">
        <v>7</v>
      </c>
      <c r="AY44" s="5">
        <v>10</v>
      </c>
      <c r="AZ44" s="372">
        <v>0.625</v>
      </c>
      <c r="BA44" s="57">
        <v>6</v>
      </c>
      <c r="BB44" s="393">
        <v>2</v>
      </c>
      <c r="BC44" s="394">
        <v>0</v>
      </c>
      <c r="BD44" s="395">
        <v>2</v>
      </c>
      <c r="BE44" s="396">
        <v>0</v>
      </c>
    </row>
    <row r="45" spans="1:57" x14ac:dyDescent="0.25">
      <c r="A45" s="329">
        <v>45949</v>
      </c>
      <c r="B45" s="5">
        <v>9</v>
      </c>
      <c r="C45" s="5" t="s">
        <v>208</v>
      </c>
      <c r="D45" s="424">
        <v>0</v>
      </c>
      <c r="E45" s="424">
        <v>0</v>
      </c>
      <c r="F45" s="5" t="s">
        <v>170</v>
      </c>
      <c r="H45" s="42">
        <v>69</v>
      </c>
      <c r="I45" s="26">
        <v>31</v>
      </c>
      <c r="J45" s="33">
        <v>1.08</v>
      </c>
      <c r="K45" s="34">
        <v>0.25</v>
      </c>
      <c r="L45" s="25">
        <v>0</v>
      </c>
      <c r="M45" s="26">
        <v>0</v>
      </c>
      <c r="N45" s="25">
        <v>15</v>
      </c>
      <c r="O45" s="26">
        <v>4</v>
      </c>
      <c r="P45" s="25">
        <v>1</v>
      </c>
      <c r="Q45" s="26">
        <v>5</v>
      </c>
      <c r="R45" s="25">
        <v>0</v>
      </c>
      <c r="S45" s="26">
        <v>2</v>
      </c>
      <c r="T45" s="33">
        <v>0.03</v>
      </c>
      <c r="U45" s="484">
        <v>0.83</v>
      </c>
      <c r="V45" s="25">
        <v>6</v>
      </c>
      <c r="W45" s="26">
        <v>2</v>
      </c>
      <c r="X45" s="25">
        <v>14</v>
      </c>
      <c r="Y45" s="26">
        <v>20</v>
      </c>
      <c r="Z45" s="25">
        <v>596</v>
      </c>
      <c r="AA45" s="26">
        <v>271</v>
      </c>
      <c r="AB45" s="25">
        <v>12</v>
      </c>
      <c r="AC45" s="26">
        <v>13</v>
      </c>
      <c r="AD45" s="25">
        <v>20</v>
      </c>
      <c r="AE45" s="26">
        <v>14</v>
      </c>
      <c r="AF45" s="25">
        <v>2</v>
      </c>
      <c r="AG45" s="26">
        <v>3</v>
      </c>
      <c r="AH45" s="487">
        <v>0</v>
      </c>
      <c r="AI45" s="488">
        <v>0</v>
      </c>
      <c r="AJ45" s="487">
        <v>0</v>
      </c>
      <c r="AK45" s="489">
        <v>0</v>
      </c>
      <c r="AL45" s="173">
        <v>5</v>
      </c>
      <c r="AM45" s="364">
        <v>0.33333333333333331</v>
      </c>
      <c r="AN45" s="144">
        <v>0</v>
      </c>
      <c r="AO45" s="144">
        <v>4</v>
      </c>
      <c r="AP45" s="144">
        <v>6</v>
      </c>
      <c r="AQ45" s="144">
        <v>11</v>
      </c>
      <c r="AR45" s="365">
        <v>0.73333333333333328</v>
      </c>
      <c r="AS45" s="144">
        <v>4</v>
      </c>
      <c r="AT45" s="5">
        <v>1</v>
      </c>
      <c r="AU45" s="372">
        <v>0.25</v>
      </c>
      <c r="AV45" s="5">
        <v>0</v>
      </c>
      <c r="AW45" s="5">
        <v>2</v>
      </c>
      <c r="AX45" s="5">
        <v>1</v>
      </c>
      <c r="AY45" s="5">
        <v>4</v>
      </c>
      <c r="AZ45" s="372">
        <v>1</v>
      </c>
      <c r="BA45" s="57">
        <v>0</v>
      </c>
      <c r="BB45" s="393">
        <v>0</v>
      </c>
      <c r="BC45" s="394">
        <v>0</v>
      </c>
      <c r="BD45" s="395">
        <v>2</v>
      </c>
      <c r="BE45" s="396">
        <v>0</v>
      </c>
    </row>
    <row r="46" spans="1:57" ht="15.75" thickBot="1" x14ac:dyDescent="0.3">
      <c r="A46" s="400">
        <v>45962</v>
      </c>
      <c r="B46" s="401">
        <v>11</v>
      </c>
      <c r="C46" s="401" t="s">
        <v>146</v>
      </c>
      <c r="D46" s="429">
        <f>AVERAGE(D37:D45)</f>
        <v>1.1111111111111112</v>
      </c>
      <c r="E46" s="429">
        <f>AVERAGE(E37:E45)</f>
        <v>0.88888888888888884</v>
      </c>
      <c r="F46" s="401" t="s">
        <v>170</v>
      </c>
      <c r="G46" s="402"/>
      <c r="H46" s="403">
        <f t="shared" ref="H46:S46" si="6">AVERAGE(H37:H45)</f>
        <v>54</v>
      </c>
      <c r="I46" s="401">
        <f t="shared" si="6"/>
        <v>46</v>
      </c>
      <c r="J46" s="411">
        <f t="shared" si="6"/>
        <v>1.4755555555555557</v>
      </c>
      <c r="K46" s="404">
        <f t="shared" si="6"/>
        <v>1.0344444444444445</v>
      </c>
      <c r="L46" s="412">
        <f t="shared" si="6"/>
        <v>2.6666666666666665</v>
      </c>
      <c r="M46" s="401">
        <f t="shared" si="6"/>
        <v>1.4444444444444444</v>
      </c>
      <c r="N46" s="401">
        <f t="shared" si="6"/>
        <v>13.444444444444445</v>
      </c>
      <c r="O46" s="401">
        <f t="shared" si="6"/>
        <v>10.666666666666666</v>
      </c>
      <c r="P46" s="401">
        <f t="shared" si="6"/>
        <v>2.7777777777777777</v>
      </c>
      <c r="Q46" s="401">
        <f t="shared" si="6"/>
        <v>3.1111111111111112</v>
      </c>
      <c r="R46" s="401">
        <f t="shared" si="6"/>
        <v>0.44444444444444442</v>
      </c>
      <c r="S46" s="401">
        <f t="shared" si="6"/>
        <v>0.77777777777777779</v>
      </c>
      <c r="T46" s="404">
        <v>-0.11</v>
      </c>
      <c r="U46" s="490">
        <v>0.48</v>
      </c>
      <c r="V46" s="401">
        <f t="shared" ref="V46:BE46" si="7">AVERAGE(V37:V45)</f>
        <v>6.333333333333333</v>
      </c>
      <c r="W46" s="401">
        <f t="shared" si="7"/>
        <v>5</v>
      </c>
      <c r="X46" s="401">
        <f t="shared" si="7"/>
        <v>14</v>
      </c>
      <c r="Y46" s="401">
        <f t="shared" si="7"/>
        <v>14.222222222222221</v>
      </c>
      <c r="Z46" s="401">
        <f t="shared" si="7"/>
        <v>421.33333333333331</v>
      </c>
      <c r="AA46" s="401">
        <f t="shared" si="7"/>
        <v>390</v>
      </c>
      <c r="AB46" s="401">
        <f t="shared" si="7"/>
        <v>17.222222222222221</v>
      </c>
      <c r="AC46" s="401">
        <f t="shared" si="7"/>
        <v>13.888888888888889</v>
      </c>
      <c r="AD46" s="401">
        <f t="shared" si="7"/>
        <v>14</v>
      </c>
      <c r="AE46" s="401">
        <f t="shared" si="7"/>
        <v>14</v>
      </c>
      <c r="AF46" s="401">
        <f t="shared" si="7"/>
        <v>1.5555555555555556</v>
      </c>
      <c r="AG46" s="401">
        <f t="shared" si="7"/>
        <v>2</v>
      </c>
      <c r="AH46" s="491">
        <f t="shared" si="7"/>
        <v>0</v>
      </c>
      <c r="AI46" s="493">
        <f t="shared" si="7"/>
        <v>0.33333333333333331</v>
      </c>
      <c r="AJ46" s="493">
        <f t="shared" si="7"/>
        <v>0.22222222222222221</v>
      </c>
      <c r="AK46" s="634">
        <f t="shared" si="7"/>
        <v>0.1111111111111111</v>
      </c>
      <c r="AL46" s="413">
        <f t="shared" si="7"/>
        <v>4.2222222222222223</v>
      </c>
      <c r="AM46" s="414">
        <f t="shared" si="7"/>
        <v>0.34146529167842044</v>
      </c>
      <c r="AN46" s="401">
        <f t="shared" si="7"/>
        <v>0.1111111111111111</v>
      </c>
      <c r="AO46" s="401">
        <f t="shared" si="7"/>
        <v>4.8888888888888893</v>
      </c>
      <c r="AP46" s="401">
        <f t="shared" si="7"/>
        <v>4.333333333333333</v>
      </c>
      <c r="AQ46" s="401">
        <f t="shared" si="7"/>
        <v>9.5555555555555554</v>
      </c>
      <c r="AR46" s="415">
        <f t="shared" si="7"/>
        <v>0.71943400920383016</v>
      </c>
      <c r="AS46" s="401">
        <f t="shared" si="7"/>
        <v>3.8888888888888888</v>
      </c>
      <c r="AT46" s="412">
        <f t="shared" si="7"/>
        <v>3.4444444444444446</v>
      </c>
      <c r="AU46" s="415">
        <f t="shared" si="7"/>
        <v>0.31386483886483885</v>
      </c>
      <c r="AV46" s="401">
        <f t="shared" si="7"/>
        <v>0.33333333333333331</v>
      </c>
      <c r="AW46" s="401">
        <f t="shared" si="7"/>
        <v>4.1111111111111107</v>
      </c>
      <c r="AX46" s="401">
        <f t="shared" si="7"/>
        <v>3.1111111111111112</v>
      </c>
      <c r="AY46" s="401">
        <f t="shared" si="7"/>
        <v>6.8888888888888893</v>
      </c>
      <c r="AZ46" s="415">
        <f t="shared" si="7"/>
        <v>0.66647426647426655</v>
      </c>
      <c r="BA46" s="405">
        <f t="shared" si="7"/>
        <v>3.7777777777777777</v>
      </c>
      <c r="BB46" s="397">
        <f t="shared" si="7"/>
        <v>0.33333333333333331</v>
      </c>
      <c r="BC46" s="398">
        <f t="shared" si="7"/>
        <v>0.1111111111111111</v>
      </c>
      <c r="BD46" s="398">
        <f t="shared" si="7"/>
        <v>0.77777777777777779</v>
      </c>
      <c r="BE46" s="399">
        <f t="shared" si="7"/>
        <v>0.22222222222222221</v>
      </c>
    </row>
    <row r="47" spans="1:57" x14ac:dyDescent="0.25">
      <c r="A47" s="322" t="s">
        <v>37</v>
      </c>
      <c r="B47" s="24" t="s">
        <v>38</v>
      </c>
      <c r="C47" s="1" t="s">
        <v>635</v>
      </c>
      <c r="D47" s="3" t="s">
        <v>636</v>
      </c>
      <c r="E47" s="3" t="s">
        <v>637</v>
      </c>
      <c r="F47" s="1" t="s">
        <v>638</v>
      </c>
      <c r="G47" s="35" t="s">
        <v>586</v>
      </c>
      <c r="H47" s="369" t="s">
        <v>587</v>
      </c>
      <c r="I47" s="39" t="s">
        <v>588</v>
      </c>
      <c r="J47" s="370" t="s">
        <v>589</v>
      </c>
      <c r="K47" s="370" t="s">
        <v>590</v>
      </c>
      <c r="L47" s="87" t="s">
        <v>593</v>
      </c>
      <c r="M47" s="87" t="s">
        <v>594</v>
      </c>
      <c r="N47" s="87" t="s">
        <v>595</v>
      </c>
      <c r="O47" s="87" t="s">
        <v>596</v>
      </c>
      <c r="P47" s="40" t="s">
        <v>597</v>
      </c>
      <c r="Q47" s="40" t="s">
        <v>598</v>
      </c>
      <c r="R47" s="40" t="s">
        <v>599</v>
      </c>
      <c r="S47" s="40" t="s">
        <v>600</v>
      </c>
      <c r="T47" s="371" t="s">
        <v>601</v>
      </c>
      <c r="U47" s="483" t="s">
        <v>602</v>
      </c>
      <c r="V47" s="39" t="s">
        <v>603</v>
      </c>
      <c r="W47" s="39" t="s">
        <v>604</v>
      </c>
      <c r="X47" s="39" t="s">
        <v>605</v>
      </c>
      <c r="Y47" s="39" t="s">
        <v>606</v>
      </c>
      <c r="Z47" s="39" t="s">
        <v>607</v>
      </c>
      <c r="AA47" s="39" t="s">
        <v>608</v>
      </c>
      <c r="AB47" s="39" t="s">
        <v>609</v>
      </c>
      <c r="AC47" s="39" t="s">
        <v>610</v>
      </c>
      <c r="AD47" s="39" t="s">
        <v>611</v>
      </c>
      <c r="AE47" s="39" t="s">
        <v>612</v>
      </c>
      <c r="AF47" s="39" t="s">
        <v>613</v>
      </c>
      <c r="AG47" s="39" t="s">
        <v>614</v>
      </c>
      <c r="AH47" s="485" t="s">
        <v>615</v>
      </c>
      <c r="AI47" s="485" t="s">
        <v>616</v>
      </c>
      <c r="AJ47" s="485" t="s">
        <v>617</v>
      </c>
      <c r="AK47" s="486" t="s">
        <v>618</v>
      </c>
      <c r="AL47" s="85" t="s">
        <v>619</v>
      </c>
      <c r="AM47" s="84" t="s">
        <v>639</v>
      </c>
      <c r="AN47" s="39" t="s">
        <v>620</v>
      </c>
      <c r="AO47" s="39" t="s">
        <v>621</v>
      </c>
      <c r="AP47" s="40" t="s">
        <v>622</v>
      </c>
      <c r="AQ47" s="87" t="s">
        <v>623</v>
      </c>
      <c r="AR47" s="341" t="s">
        <v>640</v>
      </c>
      <c r="AS47" s="39" t="s">
        <v>624</v>
      </c>
      <c r="AT47" s="87" t="s">
        <v>625</v>
      </c>
      <c r="AU47" s="341" t="s">
        <v>641</v>
      </c>
      <c r="AV47" s="39" t="s">
        <v>626</v>
      </c>
      <c r="AW47" s="39" t="s">
        <v>627</v>
      </c>
      <c r="AX47" s="40" t="s">
        <v>628</v>
      </c>
      <c r="AY47" s="87" t="s">
        <v>629</v>
      </c>
      <c r="AZ47" s="341" t="s">
        <v>642</v>
      </c>
      <c r="BA47" s="41" t="s">
        <v>630</v>
      </c>
      <c r="BB47" s="391" t="s">
        <v>631</v>
      </c>
      <c r="BC47" s="391" t="s">
        <v>632</v>
      </c>
      <c r="BD47" s="391" t="s">
        <v>633</v>
      </c>
      <c r="BE47" s="392" t="s">
        <v>634</v>
      </c>
    </row>
    <row r="48" spans="1:57" x14ac:dyDescent="0.25">
      <c r="A48" s="329">
        <v>45888</v>
      </c>
      <c r="B48" s="5">
        <v>1</v>
      </c>
      <c r="C48" s="5" t="s">
        <v>226</v>
      </c>
      <c r="D48" s="505">
        <v>1</v>
      </c>
      <c r="E48" s="505">
        <v>0</v>
      </c>
      <c r="F48" s="26" t="s">
        <v>227</v>
      </c>
      <c r="G48" s="242" t="s">
        <v>536</v>
      </c>
      <c r="H48" s="42">
        <v>71</v>
      </c>
      <c r="I48" s="26">
        <v>29</v>
      </c>
      <c r="J48" s="33">
        <v>1.64</v>
      </c>
      <c r="K48" s="34">
        <v>0.36</v>
      </c>
      <c r="L48" s="25">
        <v>1</v>
      </c>
      <c r="M48" s="26">
        <v>0</v>
      </c>
      <c r="N48" s="25">
        <v>18</v>
      </c>
      <c r="O48" s="26">
        <v>2</v>
      </c>
      <c r="P48" s="25">
        <v>0</v>
      </c>
      <c r="Q48" s="26">
        <v>4</v>
      </c>
      <c r="R48" s="25">
        <v>0</v>
      </c>
      <c r="S48" s="26">
        <v>1</v>
      </c>
      <c r="T48" s="33">
        <v>0</v>
      </c>
      <c r="U48" s="484">
        <v>0.31</v>
      </c>
      <c r="V48" s="25">
        <v>7</v>
      </c>
      <c r="W48" s="26">
        <v>0</v>
      </c>
      <c r="X48" s="25">
        <v>10</v>
      </c>
      <c r="Y48" s="26">
        <v>12</v>
      </c>
      <c r="Z48" s="25">
        <v>721</v>
      </c>
      <c r="AA48" s="26">
        <v>299</v>
      </c>
      <c r="AB48" s="25">
        <v>16</v>
      </c>
      <c r="AC48" s="26">
        <v>20</v>
      </c>
      <c r="AD48" s="25">
        <v>11</v>
      </c>
      <c r="AE48" s="26">
        <v>10</v>
      </c>
      <c r="AF48" s="25">
        <v>1</v>
      </c>
      <c r="AG48" s="26">
        <v>0</v>
      </c>
      <c r="AH48" s="487">
        <v>0</v>
      </c>
      <c r="AI48" s="488">
        <v>1</v>
      </c>
      <c r="AJ48" s="487">
        <v>1</v>
      </c>
      <c r="AK48" s="489">
        <v>0</v>
      </c>
      <c r="AL48" s="173">
        <v>5</v>
      </c>
      <c r="AM48" s="364">
        <v>0.27777777777777779</v>
      </c>
      <c r="AN48" s="144">
        <v>0</v>
      </c>
      <c r="AO48" s="144">
        <v>7</v>
      </c>
      <c r="AP48" s="144">
        <v>6</v>
      </c>
      <c r="AQ48" s="144">
        <v>11</v>
      </c>
      <c r="AR48" s="365">
        <v>0.61111111111111116</v>
      </c>
      <c r="AS48" s="144">
        <v>7</v>
      </c>
      <c r="AT48" s="5">
        <v>0</v>
      </c>
      <c r="AU48" s="372">
        <v>0</v>
      </c>
      <c r="AV48" s="5">
        <v>0</v>
      </c>
      <c r="AW48" s="5">
        <v>2</v>
      </c>
      <c r="AX48" s="5">
        <v>0</v>
      </c>
      <c r="AY48" s="5">
        <v>2</v>
      </c>
      <c r="AZ48" s="372">
        <v>1</v>
      </c>
      <c r="BA48" s="57">
        <v>0</v>
      </c>
      <c r="BB48" s="393">
        <v>1</v>
      </c>
      <c r="BC48" s="394">
        <v>0</v>
      </c>
      <c r="BD48" s="395">
        <v>0</v>
      </c>
      <c r="BE48" s="396">
        <v>0</v>
      </c>
    </row>
    <row r="49" spans="1:57" x14ac:dyDescent="0.25">
      <c r="A49" s="329">
        <v>45899</v>
      </c>
      <c r="B49" s="5">
        <v>3</v>
      </c>
      <c r="C49" s="5" t="s">
        <v>226</v>
      </c>
      <c r="D49" s="505">
        <v>2</v>
      </c>
      <c r="E49" s="505">
        <v>1</v>
      </c>
      <c r="F49" s="5" t="s">
        <v>112</v>
      </c>
      <c r="H49" s="42">
        <v>58</v>
      </c>
      <c r="I49" s="26">
        <v>42</v>
      </c>
      <c r="J49" s="33">
        <v>1.82</v>
      </c>
      <c r="K49" s="34">
        <v>0.72</v>
      </c>
      <c r="L49" s="25">
        <v>2</v>
      </c>
      <c r="M49" s="26">
        <v>1</v>
      </c>
      <c r="N49" s="25">
        <v>17</v>
      </c>
      <c r="O49" s="26">
        <v>9</v>
      </c>
      <c r="P49" s="25">
        <v>2</v>
      </c>
      <c r="Q49" s="26">
        <v>5</v>
      </c>
      <c r="R49" s="25">
        <v>1</v>
      </c>
      <c r="S49" s="26">
        <v>0</v>
      </c>
      <c r="T49" s="33">
        <v>-0.28999999999999998</v>
      </c>
      <c r="U49" s="484">
        <v>0.25</v>
      </c>
      <c r="V49" s="25">
        <v>4</v>
      </c>
      <c r="W49" s="26">
        <v>5</v>
      </c>
      <c r="X49" s="25">
        <v>12</v>
      </c>
      <c r="Y49" s="26">
        <v>7</v>
      </c>
      <c r="Z49" s="25">
        <v>538</v>
      </c>
      <c r="AA49" s="26">
        <v>382</v>
      </c>
      <c r="AB49" s="25">
        <v>13</v>
      </c>
      <c r="AC49" s="26">
        <v>14</v>
      </c>
      <c r="AD49" s="25">
        <v>7</v>
      </c>
      <c r="AE49" s="26">
        <v>12</v>
      </c>
      <c r="AF49" s="25">
        <v>2</v>
      </c>
      <c r="AG49" s="26">
        <v>0</v>
      </c>
      <c r="AH49" s="487">
        <v>0</v>
      </c>
      <c r="AI49" s="488">
        <v>0</v>
      </c>
      <c r="AJ49" s="487">
        <v>0</v>
      </c>
      <c r="AK49" s="489">
        <v>0</v>
      </c>
      <c r="AL49" s="173">
        <v>7</v>
      </c>
      <c r="AM49" s="364">
        <v>0.41176470588235292</v>
      </c>
      <c r="AN49" s="144">
        <v>0</v>
      </c>
      <c r="AO49" s="144">
        <v>6</v>
      </c>
      <c r="AP49" s="144">
        <v>4</v>
      </c>
      <c r="AQ49" s="144">
        <v>7</v>
      </c>
      <c r="AR49" s="365">
        <v>0.41176470588235292</v>
      </c>
      <c r="AS49" s="144">
        <v>10</v>
      </c>
      <c r="AT49" s="5">
        <v>5</v>
      </c>
      <c r="AU49" s="372">
        <v>0.55555555555555558</v>
      </c>
      <c r="AV49" s="5">
        <v>0</v>
      </c>
      <c r="AW49" s="5">
        <v>2</v>
      </c>
      <c r="AX49" s="5">
        <v>2</v>
      </c>
      <c r="AY49" s="5">
        <v>8</v>
      </c>
      <c r="AZ49" s="372">
        <v>0.88888888888888884</v>
      </c>
      <c r="BA49" s="57">
        <v>1</v>
      </c>
      <c r="BB49" s="393">
        <v>0</v>
      </c>
      <c r="BC49" s="394">
        <v>0</v>
      </c>
      <c r="BD49" s="395">
        <v>0</v>
      </c>
      <c r="BE49" s="396">
        <v>1</v>
      </c>
    </row>
    <row r="50" spans="1:57" x14ac:dyDescent="0.25">
      <c r="A50" s="329">
        <v>45920</v>
      </c>
      <c r="B50" s="5">
        <v>5</v>
      </c>
      <c r="C50" s="5" t="s">
        <v>226</v>
      </c>
      <c r="D50" s="505">
        <v>2</v>
      </c>
      <c r="E50" s="505">
        <v>0</v>
      </c>
      <c r="F50" s="5" t="s">
        <v>192</v>
      </c>
      <c r="H50" s="42">
        <v>72</v>
      </c>
      <c r="I50" s="26">
        <v>28</v>
      </c>
      <c r="J50" s="33">
        <v>1.18</v>
      </c>
      <c r="K50" s="34">
        <v>0.96</v>
      </c>
      <c r="L50" s="25">
        <v>3</v>
      </c>
      <c r="M50" s="26">
        <v>1</v>
      </c>
      <c r="N50" s="25">
        <v>16</v>
      </c>
      <c r="O50" s="26">
        <v>8</v>
      </c>
      <c r="P50" s="25">
        <v>1</v>
      </c>
      <c r="Q50" s="26">
        <v>3</v>
      </c>
      <c r="R50" s="25">
        <v>0</v>
      </c>
      <c r="S50" s="26">
        <v>1</v>
      </c>
      <c r="T50" s="33">
        <v>0.18</v>
      </c>
      <c r="U50" s="484">
        <v>-0.94</v>
      </c>
      <c r="V50" s="25">
        <v>5</v>
      </c>
      <c r="W50" s="26">
        <v>3</v>
      </c>
      <c r="X50" s="25">
        <v>10</v>
      </c>
      <c r="Y50" s="26">
        <v>20</v>
      </c>
      <c r="Z50" s="25">
        <v>753</v>
      </c>
      <c r="AA50" s="26">
        <v>374</v>
      </c>
      <c r="AB50" s="25">
        <v>18</v>
      </c>
      <c r="AC50" s="26">
        <v>21</v>
      </c>
      <c r="AD50" s="25">
        <v>20</v>
      </c>
      <c r="AE50" s="26">
        <v>10</v>
      </c>
      <c r="AF50" s="25">
        <v>2</v>
      </c>
      <c r="AG50" s="26">
        <v>0</v>
      </c>
      <c r="AH50" s="487">
        <v>0</v>
      </c>
      <c r="AI50" s="488">
        <v>0</v>
      </c>
      <c r="AJ50" s="487">
        <v>0</v>
      </c>
      <c r="AK50" s="489">
        <v>0</v>
      </c>
      <c r="AL50" s="173">
        <v>5</v>
      </c>
      <c r="AM50" s="364">
        <v>0.3125</v>
      </c>
      <c r="AN50" s="144">
        <v>1</v>
      </c>
      <c r="AO50" s="144">
        <v>6</v>
      </c>
      <c r="AP50" s="144">
        <v>5</v>
      </c>
      <c r="AQ50" s="144">
        <v>11</v>
      </c>
      <c r="AR50" s="365">
        <v>0.6875</v>
      </c>
      <c r="AS50" s="144">
        <v>5</v>
      </c>
      <c r="AT50" s="5">
        <v>1</v>
      </c>
      <c r="AU50" s="372">
        <v>0.125</v>
      </c>
      <c r="AV50" s="5">
        <v>0</v>
      </c>
      <c r="AW50" s="5">
        <v>2</v>
      </c>
      <c r="AX50" s="5">
        <v>5</v>
      </c>
      <c r="AY50" s="5">
        <v>5</v>
      </c>
      <c r="AZ50" s="372">
        <v>0.625</v>
      </c>
      <c r="BA50" s="57">
        <v>3</v>
      </c>
      <c r="BB50" s="393">
        <v>0</v>
      </c>
      <c r="BC50" s="394">
        <v>0</v>
      </c>
      <c r="BD50" s="395">
        <v>0</v>
      </c>
      <c r="BE50" s="396">
        <v>0</v>
      </c>
    </row>
    <row r="51" spans="1:57" x14ac:dyDescent="0.25">
      <c r="A51" s="329">
        <v>45934</v>
      </c>
      <c r="B51" s="5">
        <v>8</v>
      </c>
      <c r="C51" s="5" t="s">
        <v>226</v>
      </c>
      <c r="D51" s="505">
        <v>3</v>
      </c>
      <c r="E51" s="505">
        <v>1</v>
      </c>
      <c r="F51" s="26" t="s">
        <v>91</v>
      </c>
      <c r="G51" s="242" t="s">
        <v>563</v>
      </c>
      <c r="H51" s="42">
        <v>70</v>
      </c>
      <c r="I51" s="26">
        <v>30</v>
      </c>
      <c r="J51" s="33">
        <v>3.52</v>
      </c>
      <c r="K51" s="34">
        <v>1</v>
      </c>
      <c r="L51" s="25">
        <v>7</v>
      </c>
      <c r="M51" s="26">
        <v>2</v>
      </c>
      <c r="N51" s="25">
        <v>26</v>
      </c>
      <c r="O51" s="26">
        <v>9</v>
      </c>
      <c r="P51" s="25">
        <v>1</v>
      </c>
      <c r="Q51" s="26">
        <v>4</v>
      </c>
      <c r="R51" s="25">
        <v>0</v>
      </c>
      <c r="S51" s="26">
        <v>0</v>
      </c>
      <c r="T51" s="33">
        <v>-0.05</v>
      </c>
      <c r="U51" s="484">
        <v>-0.34</v>
      </c>
      <c r="V51" s="25">
        <v>4</v>
      </c>
      <c r="W51" s="26">
        <v>0</v>
      </c>
      <c r="X51" s="25">
        <v>9</v>
      </c>
      <c r="Y51" s="26">
        <v>14</v>
      </c>
      <c r="Z51" s="25">
        <v>711</v>
      </c>
      <c r="AA51" s="26">
        <v>317</v>
      </c>
      <c r="AB51" s="25">
        <v>26</v>
      </c>
      <c r="AC51" s="26">
        <v>29</v>
      </c>
      <c r="AD51" s="25">
        <v>13</v>
      </c>
      <c r="AE51" s="26">
        <v>9</v>
      </c>
      <c r="AF51" s="25">
        <v>2</v>
      </c>
      <c r="AG51" s="26">
        <v>4</v>
      </c>
      <c r="AH51" s="487">
        <v>0</v>
      </c>
      <c r="AI51" s="488">
        <v>1</v>
      </c>
      <c r="AJ51" s="487">
        <v>1</v>
      </c>
      <c r="AK51" s="489">
        <v>0</v>
      </c>
      <c r="AL51" s="173">
        <v>7</v>
      </c>
      <c r="AM51" s="364">
        <v>0.26923076923076922</v>
      </c>
      <c r="AN51" s="144">
        <v>0</v>
      </c>
      <c r="AO51" s="144">
        <v>10</v>
      </c>
      <c r="AP51" s="144">
        <v>9</v>
      </c>
      <c r="AQ51" s="144">
        <v>16</v>
      </c>
      <c r="AR51" s="365">
        <v>0.61538461538461542</v>
      </c>
      <c r="AS51" s="144">
        <v>10</v>
      </c>
      <c r="AT51" s="5">
        <v>2</v>
      </c>
      <c r="AU51" s="372">
        <v>0.22222222222222221</v>
      </c>
      <c r="AV51" s="5">
        <v>0</v>
      </c>
      <c r="AW51" s="5">
        <v>3</v>
      </c>
      <c r="AX51" s="5">
        <v>4</v>
      </c>
      <c r="AY51" s="5">
        <v>3</v>
      </c>
      <c r="AZ51" s="372">
        <v>0.33333333333333331</v>
      </c>
      <c r="BA51" s="57">
        <v>6</v>
      </c>
      <c r="BB51" s="393">
        <v>1</v>
      </c>
      <c r="BC51" s="394">
        <v>0</v>
      </c>
      <c r="BD51" s="395">
        <v>1</v>
      </c>
      <c r="BE51" s="396">
        <v>1</v>
      </c>
    </row>
    <row r="52" spans="1:57" ht="15.75" thickBot="1" x14ac:dyDescent="0.3">
      <c r="A52" s="330">
        <v>45956</v>
      </c>
      <c r="B52" s="9">
        <v>10</v>
      </c>
      <c r="C52" s="9" t="s">
        <v>226</v>
      </c>
      <c r="D52" s="633">
        <v>2</v>
      </c>
      <c r="E52" s="633">
        <v>1</v>
      </c>
      <c r="F52" s="9" t="s">
        <v>113</v>
      </c>
      <c r="G52" s="445" t="s">
        <v>835</v>
      </c>
      <c r="H52" s="384">
        <v>32</v>
      </c>
      <c r="I52" s="74">
        <v>68</v>
      </c>
      <c r="J52" s="385">
        <v>3.63</v>
      </c>
      <c r="K52" s="386">
        <v>1.03</v>
      </c>
      <c r="L52" s="387">
        <v>4</v>
      </c>
      <c r="M52" s="74">
        <v>2</v>
      </c>
      <c r="N52" s="387">
        <v>23</v>
      </c>
      <c r="O52" s="74">
        <v>15</v>
      </c>
      <c r="P52" s="387">
        <v>4</v>
      </c>
      <c r="Q52" s="74">
        <v>9</v>
      </c>
      <c r="R52" s="387">
        <v>0</v>
      </c>
      <c r="S52" s="74">
        <v>7</v>
      </c>
      <c r="T52" s="385">
        <v>-0.36</v>
      </c>
      <c r="U52" s="498">
        <v>2.34</v>
      </c>
      <c r="V52" s="387">
        <v>12</v>
      </c>
      <c r="W52" s="74">
        <v>4</v>
      </c>
      <c r="X52" s="387">
        <v>12</v>
      </c>
      <c r="Y52" s="74">
        <v>9</v>
      </c>
      <c r="Z52" s="387">
        <v>275</v>
      </c>
      <c r="AA52" s="74">
        <v>640</v>
      </c>
      <c r="AB52" s="387">
        <v>24</v>
      </c>
      <c r="AC52" s="74">
        <v>20</v>
      </c>
      <c r="AD52" s="387">
        <v>8</v>
      </c>
      <c r="AE52" s="74">
        <v>12</v>
      </c>
      <c r="AF52" s="387">
        <v>5</v>
      </c>
      <c r="AG52" s="74">
        <v>5</v>
      </c>
      <c r="AH52" s="499">
        <v>0</v>
      </c>
      <c r="AI52" s="500">
        <v>1</v>
      </c>
      <c r="AJ52" s="499">
        <v>1</v>
      </c>
      <c r="AK52" s="501">
        <v>0</v>
      </c>
      <c r="AL52" s="177">
        <v>10</v>
      </c>
      <c r="AM52" s="388">
        <v>0.43478260869565216</v>
      </c>
      <c r="AN52" s="152">
        <v>0</v>
      </c>
      <c r="AO52" s="152">
        <v>6</v>
      </c>
      <c r="AP52" s="152">
        <v>7</v>
      </c>
      <c r="AQ52" s="152">
        <v>17</v>
      </c>
      <c r="AR52" s="389">
        <v>0.73913043478260865</v>
      </c>
      <c r="AS52" s="152">
        <v>6</v>
      </c>
      <c r="AT52" s="9">
        <v>6</v>
      </c>
      <c r="AU52" s="390">
        <v>0.4</v>
      </c>
      <c r="AV52" s="9">
        <v>0</v>
      </c>
      <c r="AW52" s="9">
        <v>5</v>
      </c>
      <c r="AX52" s="9">
        <v>4</v>
      </c>
      <c r="AY52" s="9">
        <v>6</v>
      </c>
      <c r="AZ52" s="390">
        <v>0.4</v>
      </c>
      <c r="BA52" s="58">
        <v>9</v>
      </c>
      <c r="BB52" s="420">
        <v>1</v>
      </c>
      <c r="BC52" s="421">
        <v>1</v>
      </c>
      <c r="BD52" s="422">
        <v>1</v>
      </c>
      <c r="BE52" s="423">
        <v>0</v>
      </c>
    </row>
    <row r="53" spans="1:57" x14ac:dyDescent="0.25">
      <c r="A53" s="331">
        <v>45893</v>
      </c>
      <c r="B53" s="13">
        <v>2</v>
      </c>
      <c r="C53" s="13" t="s">
        <v>227</v>
      </c>
      <c r="D53" s="502">
        <v>1</v>
      </c>
      <c r="E53" s="502">
        <v>0</v>
      </c>
      <c r="F53" s="79" t="s">
        <v>145</v>
      </c>
      <c r="G53" s="268" t="s">
        <v>356</v>
      </c>
      <c r="H53" s="376">
        <v>56</v>
      </c>
      <c r="I53" s="79">
        <v>44</v>
      </c>
      <c r="J53" s="377">
        <v>0.83</v>
      </c>
      <c r="K53" s="378">
        <v>0.41</v>
      </c>
      <c r="L53" s="379">
        <v>1</v>
      </c>
      <c r="M53" s="79">
        <v>1</v>
      </c>
      <c r="N53" s="379">
        <v>16</v>
      </c>
      <c r="O53" s="79">
        <v>4</v>
      </c>
      <c r="P53" s="379">
        <v>1</v>
      </c>
      <c r="Q53" s="79">
        <v>3</v>
      </c>
      <c r="R53" s="379">
        <v>1</v>
      </c>
      <c r="S53" s="79">
        <v>1</v>
      </c>
      <c r="T53" s="377">
        <v>0.02</v>
      </c>
      <c r="U53" s="494">
        <v>-0.34</v>
      </c>
      <c r="V53" s="379">
        <v>3</v>
      </c>
      <c r="W53" s="79">
        <v>4</v>
      </c>
      <c r="X53" s="379">
        <v>14</v>
      </c>
      <c r="Y53" s="79">
        <v>13</v>
      </c>
      <c r="Z53" s="379">
        <v>464</v>
      </c>
      <c r="AA53" s="79">
        <v>370</v>
      </c>
      <c r="AB53" s="379">
        <v>13</v>
      </c>
      <c r="AC53" s="79">
        <v>12</v>
      </c>
      <c r="AD53" s="379">
        <v>13</v>
      </c>
      <c r="AE53" s="79">
        <v>14</v>
      </c>
      <c r="AF53" s="379">
        <v>2</v>
      </c>
      <c r="AG53" s="79">
        <v>1</v>
      </c>
      <c r="AH53" s="495">
        <v>0</v>
      </c>
      <c r="AI53" s="496">
        <v>1</v>
      </c>
      <c r="AJ53" s="495">
        <v>0</v>
      </c>
      <c r="AK53" s="497">
        <v>0</v>
      </c>
      <c r="AL53" s="169">
        <v>4</v>
      </c>
      <c r="AM53" s="380">
        <v>0.25</v>
      </c>
      <c r="AN53" s="160">
        <v>0</v>
      </c>
      <c r="AO53" s="160">
        <v>6</v>
      </c>
      <c r="AP53" s="160">
        <v>6</v>
      </c>
      <c r="AQ53" s="160">
        <v>9</v>
      </c>
      <c r="AR53" s="381">
        <v>0.5625</v>
      </c>
      <c r="AS53" s="160">
        <v>7</v>
      </c>
      <c r="AT53" s="13">
        <v>1</v>
      </c>
      <c r="AU53" s="382">
        <v>0.25</v>
      </c>
      <c r="AV53" s="13">
        <v>0</v>
      </c>
      <c r="AW53" s="13">
        <v>2</v>
      </c>
      <c r="AX53" s="13">
        <v>1</v>
      </c>
      <c r="AY53" s="13">
        <v>1</v>
      </c>
      <c r="AZ53" s="382">
        <v>0.25</v>
      </c>
      <c r="BA53" s="60">
        <v>3</v>
      </c>
      <c r="BB53" s="416">
        <v>0</v>
      </c>
      <c r="BC53" s="417">
        <v>0</v>
      </c>
      <c r="BD53" s="418">
        <v>0</v>
      </c>
      <c r="BE53" s="419">
        <v>0</v>
      </c>
    </row>
    <row r="54" spans="1:57" x14ac:dyDescent="0.25">
      <c r="A54" s="329">
        <v>45914</v>
      </c>
      <c r="B54" s="5">
        <v>4</v>
      </c>
      <c r="C54" s="5" t="s">
        <v>113</v>
      </c>
      <c r="D54" s="503">
        <v>6</v>
      </c>
      <c r="E54" s="503">
        <v>0</v>
      </c>
      <c r="F54" s="5" t="s">
        <v>145</v>
      </c>
      <c r="H54" s="42">
        <v>72</v>
      </c>
      <c r="I54" s="26">
        <v>28</v>
      </c>
      <c r="J54" s="33">
        <v>4.0199999999999996</v>
      </c>
      <c r="K54" s="34">
        <v>0.18</v>
      </c>
      <c r="L54" s="25">
        <v>6</v>
      </c>
      <c r="M54" s="26">
        <v>0</v>
      </c>
      <c r="N54" s="25">
        <v>24</v>
      </c>
      <c r="O54" s="26">
        <v>2</v>
      </c>
      <c r="P54" s="25">
        <v>1</v>
      </c>
      <c r="Q54" s="26">
        <v>5</v>
      </c>
      <c r="R54" s="25">
        <v>0</v>
      </c>
      <c r="S54" s="26">
        <v>0</v>
      </c>
      <c r="T54" s="33">
        <v>0.31</v>
      </c>
      <c r="U54" s="484">
        <v>-3.31</v>
      </c>
      <c r="V54" s="25">
        <v>5</v>
      </c>
      <c r="W54" s="26">
        <v>4</v>
      </c>
      <c r="X54" s="25">
        <v>9</v>
      </c>
      <c r="Y54" s="26">
        <v>8</v>
      </c>
      <c r="Z54" s="25">
        <v>677</v>
      </c>
      <c r="AA54" s="26">
        <v>248</v>
      </c>
      <c r="AB54" s="25">
        <v>17</v>
      </c>
      <c r="AC54" s="26">
        <v>19</v>
      </c>
      <c r="AD54" s="25">
        <v>8</v>
      </c>
      <c r="AE54" s="26">
        <v>9</v>
      </c>
      <c r="AF54" s="25">
        <v>0</v>
      </c>
      <c r="AG54" s="26">
        <v>1</v>
      </c>
      <c r="AH54" s="487">
        <v>0</v>
      </c>
      <c r="AI54" s="488">
        <v>0</v>
      </c>
      <c r="AJ54" s="487">
        <v>0</v>
      </c>
      <c r="AK54" s="489">
        <v>0</v>
      </c>
      <c r="AL54" s="173">
        <v>10</v>
      </c>
      <c r="AM54" s="364">
        <v>0.41666666666666669</v>
      </c>
      <c r="AN54" s="144">
        <v>1</v>
      </c>
      <c r="AO54" s="144">
        <v>10</v>
      </c>
      <c r="AP54" s="144">
        <v>4</v>
      </c>
      <c r="AQ54" s="144">
        <v>16</v>
      </c>
      <c r="AR54" s="365">
        <v>0.66666666666666663</v>
      </c>
      <c r="AS54" s="144">
        <v>8</v>
      </c>
      <c r="AT54" s="5">
        <v>1</v>
      </c>
      <c r="AU54" s="372">
        <v>0.5</v>
      </c>
      <c r="AV54" s="5">
        <v>0</v>
      </c>
      <c r="AW54" s="5">
        <v>1</v>
      </c>
      <c r="AX54" s="5">
        <v>0</v>
      </c>
      <c r="AY54" s="5">
        <v>2</v>
      </c>
      <c r="AZ54" s="372">
        <v>1</v>
      </c>
      <c r="BA54" s="57">
        <v>0</v>
      </c>
      <c r="BB54" s="393">
        <v>0</v>
      </c>
      <c r="BC54" s="394">
        <v>0</v>
      </c>
      <c r="BD54" s="395">
        <v>1</v>
      </c>
      <c r="BE54" s="396">
        <v>2</v>
      </c>
    </row>
    <row r="55" spans="1:57" x14ac:dyDescent="0.25">
      <c r="A55" s="329">
        <v>45923</v>
      </c>
      <c r="B55" s="5">
        <v>6</v>
      </c>
      <c r="C55" s="5" t="s">
        <v>192</v>
      </c>
      <c r="D55" s="424">
        <v>2</v>
      </c>
      <c r="E55" s="424">
        <v>2</v>
      </c>
      <c r="F55" s="5" t="s">
        <v>145</v>
      </c>
      <c r="H55" s="42">
        <v>56</v>
      </c>
      <c r="I55" s="26">
        <v>44</v>
      </c>
      <c r="J55" s="33">
        <v>2.57</v>
      </c>
      <c r="K55" s="34">
        <v>0.74</v>
      </c>
      <c r="L55" s="25">
        <v>7</v>
      </c>
      <c r="M55" s="26">
        <v>2</v>
      </c>
      <c r="N55" s="25">
        <v>21</v>
      </c>
      <c r="O55" s="26">
        <v>5</v>
      </c>
      <c r="P55" s="25">
        <v>0</v>
      </c>
      <c r="Q55" s="26">
        <v>6</v>
      </c>
      <c r="R55" s="25">
        <v>0</v>
      </c>
      <c r="S55" s="26">
        <v>0</v>
      </c>
      <c r="T55" s="33">
        <v>-0.68</v>
      </c>
      <c r="U55" s="484">
        <v>0.45</v>
      </c>
      <c r="V55" s="25">
        <v>8</v>
      </c>
      <c r="W55" s="26">
        <v>3</v>
      </c>
      <c r="X55" s="25">
        <v>9</v>
      </c>
      <c r="Y55" s="26">
        <v>9</v>
      </c>
      <c r="Z55" s="25">
        <v>440</v>
      </c>
      <c r="AA55" s="26">
        <v>369</v>
      </c>
      <c r="AB55" s="25">
        <v>7</v>
      </c>
      <c r="AC55" s="26">
        <v>25</v>
      </c>
      <c r="AD55" s="25">
        <v>9</v>
      </c>
      <c r="AE55" s="26">
        <v>9</v>
      </c>
      <c r="AF55" s="25">
        <v>1</v>
      </c>
      <c r="AG55" s="26">
        <v>4</v>
      </c>
      <c r="AH55" s="487">
        <v>0</v>
      </c>
      <c r="AI55" s="488">
        <v>0</v>
      </c>
      <c r="AJ55" s="487">
        <v>0</v>
      </c>
      <c r="AK55" s="489">
        <v>0</v>
      </c>
      <c r="AL55" s="173">
        <v>10</v>
      </c>
      <c r="AM55" s="364">
        <v>0.47619047619047616</v>
      </c>
      <c r="AN55" s="144">
        <v>0</v>
      </c>
      <c r="AO55" s="144">
        <v>7</v>
      </c>
      <c r="AP55" s="144">
        <v>4</v>
      </c>
      <c r="AQ55" s="144">
        <v>15</v>
      </c>
      <c r="AR55" s="365">
        <v>0.7142857142857143</v>
      </c>
      <c r="AS55" s="144">
        <v>6</v>
      </c>
      <c r="AT55" s="5">
        <v>2</v>
      </c>
      <c r="AU55" s="372">
        <v>0.4</v>
      </c>
      <c r="AV55" s="5">
        <v>0</v>
      </c>
      <c r="AW55" s="5">
        <v>2</v>
      </c>
      <c r="AX55" s="5">
        <v>1</v>
      </c>
      <c r="AY55" s="5">
        <v>4</v>
      </c>
      <c r="AZ55" s="372">
        <v>0.8</v>
      </c>
      <c r="BA55" s="57">
        <v>1</v>
      </c>
      <c r="BB55" s="393">
        <v>0</v>
      </c>
      <c r="BC55" s="394">
        <v>0</v>
      </c>
      <c r="BD55" s="395">
        <v>0</v>
      </c>
      <c r="BE55" s="396">
        <v>0</v>
      </c>
    </row>
    <row r="56" spans="1:57" x14ac:dyDescent="0.25">
      <c r="A56" s="329">
        <v>45934</v>
      </c>
      <c r="B56" s="5">
        <v>8</v>
      </c>
      <c r="C56" s="26" t="s">
        <v>69</v>
      </c>
      <c r="D56" s="503">
        <v>2</v>
      </c>
      <c r="E56" s="503">
        <v>1</v>
      </c>
      <c r="F56" s="5" t="s">
        <v>145</v>
      </c>
      <c r="G56" s="242" t="s">
        <v>557</v>
      </c>
      <c r="H56" s="42">
        <v>45</v>
      </c>
      <c r="I56" s="26">
        <v>55</v>
      </c>
      <c r="J56" s="33">
        <v>1.02</v>
      </c>
      <c r="K56" s="34">
        <v>1.1399999999999999</v>
      </c>
      <c r="L56" s="25">
        <v>3</v>
      </c>
      <c r="M56" s="26">
        <v>3</v>
      </c>
      <c r="N56" s="25">
        <v>4</v>
      </c>
      <c r="O56" s="26">
        <v>19</v>
      </c>
      <c r="P56" s="25">
        <v>5</v>
      </c>
      <c r="Q56" s="26">
        <v>2</v>
      </c>
      <c r="R56" s="25">
        <v>2</v>
      </c>
      <c r="S56" s="26">
        <v>0</v>
      </c>
      <c r="T56" s="33">
        <v>-0.09</v>
      </c>
      <c r="U56" s="484">
        <v>0.12</v>
      </c>
      <c r="V56" s="25">
        <v>0</v>
      </c>
      <c r="W56" s="26">
        <v>7</v>
      </c>
      <c r="X56" s="25">
        <v>13</v>
      </c>
      <c r="Y56" s="26">
        <v>12</v>
      </c>
      <c r="Z56" s="25">
        <v>387</v>
      </c>
      <c r="AA56" s="26">
        <v>461</v>
      </c>
      <c r="AB56" s="25">
        <v>10</v>
      </c>
      <c r="AC56" s="26">
        <v>10</v>
      </c>
      <c r="AD56" s="25">
        <v>12</v>
      </c>
      <c r="AE56" s="26">
        <v>13</v>
      </c>
      <c r="AF56" s="25">
        <v>5</v>
      </c>
      <c r="AG56" s="26">
        <v>1</v>
      </c>
      <c r="AH56" s="487">
        <v>1</v>
      </c>
      <c r="AI56" s="488">
        <v>0</v>
      </c>
      <c r="AJ56" s="487">
        <v>0</v>
      </c>
      <c r="AK56" s="489">
        <v>0</v>
      </c>
      <c r="AL56" s="173">
        <v>4</v>
      </c>
      <c r="AM56" s="364">
        <v>1</v>
      </c>
      <c r="AN56" s="144">
        <v>0</v>
      </c>
      <c r="AO56" s="144">
        <v>0</v>
      </c>
      <c r="AP56" s="144">
        <v>0</v>
      </c>
      <c r="AQ56" s="144">
        <v>3</v>
      </c>
      <c r="AR56" s="365">
        <v>0.75</v>
      </c>
      <c r="AS56" s="144">
        <v>1</v>
      </c>
      <c r="AT56" s="5">
        <v>6</v>
      </c>
      <c r="AU56" s="372">
        <v>0.31578947368421051</v>
      </c>
      <c r="AV56" s="5">
        <v>1</v>
      </c>
      <c r="AW56" s="5">
        <v>8</v>
      </c>
      <c r="AX56" s="5">
        <v>5</v>
      </c>
      <c r="AY56" s="5">
        <v>9</v>
      </c>
      <c r="AZ56" s="372">
        <v>0.47368421052631576</v>
      </c>
      <c r="BA56" s="57">
        <v>10</v>
      </c>
      <c r="BB56" s="393">
        <v>1</v>
      </c>
      <c r="BC56" s="394">
        <v>0</v>
      </c>
      <c r="BD56" s="395">
        <v>0</v>
      </c>
      <c r="BE56" s="396">
        <v>0</v>
      </c>
    </row>
    <row r="57" spans="1:57" x14ac:dyDescent="0.25">
      <c r="A57" s="329">
        <v>45950</v>
      </c>
      <c r="B57" s="5">
        <v>9</v>
      </c>
      <c r="C57" s="5" t="s">
        <v>128</v>
      </c>
      <c r="D57" s="424">
        <v>0</v>
      </c>
      <c r="E57" s="424">
        <v>0</v>
      </c>
      <c r="F57" s="5" t="s">
        <v>145</v>
      </c>
      <c r="H57" s="42">
        <v>63</v>
      </c>
      <c r="I57" s="26">
        <v>37</v>
      </c>
      <c r="J57" s="33">
        <v>0.74</v>
      </c>
      <c r="K57" s="34">
        <v>0.45</v>
      </c>
      <c r="L57" s="25">
        <v>1</v>
      </c>
      <c r="M57" s="26">
        <v>1</v>
      </c>
      <c r="N57" s="25">
        <v>13</v>
      </c>
      <c r="O57" s="26">
        <v>5</v>
      </c>
      <c r="P57" s="25">
        <v>2</v>
      </c>
      <c r="Q57" s="26">
        <v>3</v>
      </c>
      <c r="R57" s="25">
        <v>1</v>
      </c>
      <c r="S57" s="26">
        <v>1</v>
      </c>
      <c r="T57" s="33">
        <v>0.45</v>
      </c>
      <c r="U57" s="484">
        <v>0.35</v>
      </c>
      <c r="V57" s="25">
        <v>7</v>
      </c>
      <c r="W57" s="26">
        <v>0</v>
      </c>
      <c r="X57" s="25">
        <v>13</v>
      </c>
      <c r="Y57" s="26">
        <v>20</v>
      </c>
      <c r="Z57" s="25">
        <v>512</v>
      </c>
      <c r="AA57" s="26">
        <v>309</v>
      </c>
      <c r="AB57" s="25">
        <v>10</v>
      </c>
      <c r="AC57" s="26">
        <v>18</v>
      </c>
      <c r="AD57" s="25">
        <v>20</v>
      </c>
      <c r="AE57" s="26">
        <v>13</v>
      </c>
      <c r="AF57" s="25">
        <v>1</v>
      </c>
      <c r="AG57" s="26">
        <v>2</v>
      </c>
      <c r="AH57" s="487">
        <v>0</v>
      </c>
      <c r="AI57" s="488">
        <v>0</v>
      </c>
      <c r="AJ57" s="487">
        <v>0</v>
      </c>
      <c r="AK57" s="489">
        <v>0</v>
      </c>
      <c r="AL57" s="173">
        <v>3</v>
      </c>
      <c r="AM57" s="364">
        <v>0.23076923076923078</v>
      </c>
      <c r="AN57" s="144">
        <v>0</v>
      </c>
      <c r="AO57" s="144">
        <v>7</v>
      </c>
      <c r="AP57" s="144">
        <v>3</v>
      </c>
      <c r="AQ57" s="144">
        <v>10</v>
      </c>
      <c r="AR57" s="365">
        <v>0.76923076923076927</v>
      </c>
      <c r="AS57" s="144">
        <v>3</v>
      </c>
      <c r="AT57" s="5">
        <v>2</v>
      </c>
      <c r="AU57" s="372">
        <v>0.4</v>
      </c>
      <c r="AV57" s="5">
        <v>0</v>
      </c>
      <c r="AW57" s="5">
        <v>3</v>
      </c>
      <c r="AX57" s="5">
        <v>0</v>
      </c>
      <c r="AY57" s="5">
        <v>3</v>
      </c>
      <c r="AZ57" s="372">
        <v>0.6</v>
      </c>
      <c r="BA57" s="57">
        <v>2</v>
      </c>
      <c r="BB57" s="393">
        <v>0</v>
      </c>
      <c r="BC57" s="394">
        <v>0</v>
      </c>
      <c r="BD57" s="395">
        <v>0</v>
      </c>
      <c r="BE57" s="396">
        <v>0</v>
      </c>
    </row>
    <row r="58" spans="1:57" x14ac:dyDescent="0.25">
      <c r="A58" s="400">
        <v>45962</v>
      </c>
      <c r="B58" s="401">
        <v>11</v>
      </c>
      <c r="C58" s="401" t="s">
        <v>226</v>
      </c>
      <c r="D58" s="363">
        <f>AVERAGE(D48:D57)</f>
        <v>2.1</v>
      </c>
      <c r="E58" s="363">
        <f>AVERAGE(E48:E57)</f>
        <v>0.6</v>
      </c>
      <c r="F58" s="401" t="s">
        <v>145</v>
      </c>
      <c r="G58" s="402"/>
      <c r="H58" s="403">
        <f t="shared" ref="H58:S58" si="8">AVERAGE(H48:H57)</f>
        <v>59.5</v>
      </c>
      <c r="I58" s="401">
        <f t="shared" si="8"/>
        <v>40.5</v>
      </c>
      <c r="J58" s="411">
        <f t="shared" si="8"/>
        <v>2.097</v>
      </c>
      <c r="K58" s="404">
        <f t="shared" si="8"/>
        <v>0.69900000000000007</v>
      </c>
      <c r="L58" s="412">
        <f t="shared" si="8"/>
        <v>3.5</v>
      </c>
      <c r="M58" s="401">
        <f t="shared" si="8"/>
        <v>1.3</v>
      </c>
      <c r="N58" s="401">
        <f t="shared" si="8"/>
        <v>17.8</v>
      </c>
      <c r="O58" s="401">
        <f t="shared" si="8"/>
        <v>7.8</v>
      </c>
      <c r="P58" s="401">
        <f t="shared" si="8"/>
        <v>1.7</v>
      </c>
      <c r="Q58" s="401">
        <f t="shared" si="8"/>
        <v>4.4000000000000004</v>
      </c>
      <c r="R58" s="401">
        <f t="shared" si="8"/>
        <v>0.5</v>
      </c>
      <c r="S58" s="401">
        <f t="shared" si="8"/>
        <v>1.1000000000000001</v>
      </c>
      <c r="T58" s="404">
        <v>-0.1</v>
      </c>
      <c r="U58" s="635">
        <v>-0.55000000000000004</v>
      </c>
      <c r="V58" s="401">
        <f t="shared" ref="V58:BE58" si="9">AVERAGE(V48:V57)</f>
        <v>5.5</v>
      </c>
      <c r="W58" s="401">
        <f t="shared" si="9"/>
        <v>3</v>
      </c>
      <c r="X58" s="401">
        <f t="shared" si="9"/>
        <v>11.1</v>
      </c>
      <c r="Y58" s="401">
        <f t="shared" si="9"/>
        <v>12.4</v>
      </c>
      <c r="Z58" s="401">
        <f t="shared" si="9"/>
        <v>547.79999999999995</v>
      </c>
      <c r="AA58" s="401">
        <f t="shared" si="9"/>
        <v>376.9</v>
      </c>
      <c r="AB58" s="401">
        <f t="shared" si="9"/>
        <v>15.4</v>
      </c>
      <c r="AC58" s="401">
        <f t="shared" si="9"/>
        <v>18.8</v>
      </c>
      <c r="AD58" s="401">
        <f t="shared" si="9"/>
        <v>12.1</v>
      </c>
      <c r="AE58" s="401">
        <f t="shared" si="9"/>
        <v>11.1</v>
      </c>
      <c r="AF58" s="401">
        <f t="shared" si="9"/>
        <v>2.1</v>
      </c>
      <c r="AG58" s="401">
        <f t="shared" si="9"/>
        <v>1.8</v>
      </c>
      <c r="AH58" s="493">
        <f t="shared" si="9"/>
        <v>0.1</v>
      </c>
      <c r="AI58" s="493">
        <f t="shared" si="9"/>
        <v>0.4</v>
      </c>
      <c r="AJ58" s="493">
        <f t="shared" si="9"/>
        <v>0.3</v>
      </c>
      <c r="AK58" s="492">
        <f t="shared" si="9"/>
        <v>0</v>
      </c>
      <c r="AL58" s="413">
        <f t="shared" si="9"/>
        <v>6.5</v>
      </c>
      <c r="AM58" s="414">
        <f t="shared" si="9"/>
        <v>0.40796822352129258</v>
      </c>
      <c r="AN58" s="401">
        <f t="shared" si="9"/>
        <v>0.2</v>
      </c>
      <c r="AO58" s="401">
        <f t="shared" si="9"/>
        <v>6.5</v>
      </c>
      <c r="AP58" s="401">
        <f t="shared" si="9"/>
        <v>4.8</v>
      </c>
      <c r="AQ58" s="401">
        <f t="shared" si="9"/>
        <v>11.5</v>
      </c>
      <c r="AR58" s="415">
        <f t="shared" si="9"/>
        <v>0.6527574017343839</v>
      </c>
      <c r="AS58" s="401">
        <f t="shared" si="9"/>
        <v>6.3</v>
      </c>
      <c r="AT58" s="412">
        <f t="shared" si="9"/>
        <v>2.6</v>
      </c>
      <c r="AU58" s="415">
        <f t="shared" si="9"/>
        <v>0.31685672514619884</v>
      </c>
      <c r="AV58" s="401">
        <f t="shared" si="9"/>
        <v>0.1</v>
      </c>
      <c r="AW58" s="401">
        <f t="shared" si="9"/>
        <v>3</v>
      </c>
      <c r="AX58" s="401">
        <f t="shared" si="9"/>
        <v>2.2000000000000002</v>
      </c>
      <c r="AY58" s="401">
        <f t="shared" si="9"/>
        <v>4.3</v>
      </c>
      <c r="AZ58" s="415">
        <f t="shared" si="9"/>
        <v>0.63709064327485376</v>
      </c>
      <c r="BA58" s="405">
        <f t="shared" si="9"/>
        <v>3.5</v>
      </c>
      <c r="BB58" s="397">
        <f t="shared" si="9"/>
        <v>0.4</v>
      </c>
      <c r="BC58" s="398">
        <f t="shared" si="9"/>
        <v>0.1</v>
      </c>
      <c r="BD58" s="398">
        <f t="shared" si="9"/>
        <v>0.3</v>
      </c>
      <c r="BE58" s="399">
        <f t="shared" si="9"/>
        <v>0.4</v>
      </c>
    </row>
  </sheetData>
  <conditionalFormatting sqref="J2:K10">
    <cfRule type="cellIs" dxfId="1188" priority="176" operator="greaterThan">
      <formula>1.79</formula>
    </cfRule>
    <cfRule type="cellIs" dxfId="1187" priority="177" operator="greaterThan">
      <formula>1.19</formula>
    </cfRule>
  </conditionalFormatting>
  <conditionalFormatting sqref="J12:K23">
    <cfRule type="cellIs" dxfId="1186" priority="134" operator="greaterThan">
      <formula>1.79</formula>
    </cfRule>
    <cfRule type="cellIs" dxfId="1185" priority="135" operator="greaterThan">
      <formula>1.19</formula>
    </cfRule>
  </conditionalFormatting>
  <conditionalFormatting sqref="J25:K35">
    <cfRule type="cellIs" dxfId="1184" priority="90" operator="greaterThan">
      <formula>1.79</formula>
    </cfRule>
    <cfRule type="cellIs" dxfId="1183" priority="91" operator="greaterThan">
      <formula>1.19</formula>
    </cfRule>
  </conditionalFormatting>
  <conditionalFormatting sqref="J37:K46">
    <cfRule type="cellIs" dxfId="1182" priority="48" operator="greaterThan">
      <formula>1.79</formula>
    </cfRule>
    <cfRule type="cellIs" dxfId="1181" priority="49" operator="greaterThan">
      <formula>1.19</formula>
    </cfRule>
  </conditionalFormatting>
  <conditionalFormatting sqref="J48:K58">
    <cfRule type="cellIs" dxfId="1180" priority="6" operator="greaterThan">
      <formula>1.79</formula>
    </cfRule>
    <cfRule type="cellIs" dxfId="1179" priority="7" operator="greaterThan">
      <formula>1.19</formula>
    </cfRule>
  </conditionalFormatting>
  <conditionalFormatting sqref="L2:M10">
    <cfRule type="cellIs" dxfId="1178" priority="178" operator="greaterThan">
      <formula>4</formula>
    </cfRule>
    <cfRule type="cellIs" dxfId="1177" priority="179" operator="greaterThan">
      <formula>2</formula>
    </cfRule>
  </conditionalFormatting>
  <conditionalFormatting sqref="L12:M23">
    <cfRule type="cellIs" dxfId="1176" priority="136" operator="greaterThan">
      <formula>4</formula>
    </cfRule>
    <cfRule type="cellIs" dxfId="1175" priority="137" operator="greaterThan">
      <formula>2</formula>
    </cfRule>
  </conditionalFormatting>
  <conditionalFormatting sqref="L25:M35">
    <cfRule type="cellIs" dxfId="1174" priority="92" operator="greaterThan">
      <formula>4</formula>
    </cfRule>
    <cfRule type="cellIs" dxfId="1173" priority="93" operator="greaterThan">
      <formula>2</formula>
    </cfRule>
  </conditionalFormatting>
  <conditionalFormatting sqref="L37:M46">
    <cfRule type="cellIs" dxfId="1172" priority="50" operator="greaterThan">
      <formula>4</formula>
    </cfRule>
    <cfRule type="cellIs" dxfId="1171" priority="51" operator="greaterThan">
      <formula>2</formula>
    </cfRule>
  </conditionalFormatting>
  <conditionalFormatting sqref="L48:M58">
    <cfRule type="cellIs" dxfId="1170" priority="8" operator="greaterThan">
      <formula>4</formula>
    </cfRule>
    <cfRule type="cellIs" dxfId="1169" priority="9" operator="greaterThan">
      <formula>2</formula>
    </cfRule>
  </conditionalFormatting>
  <conditionalFormatting sqref="T1:U1048576">
    <cfRule type="cellIs" dxfId="1168" priority="2" operator="lessThan">
      <formula>-0.1</formula>
    </cfRule>
  </conditionalFormatting>
  <conditionalFormatting sqref="AH1:AK1048576">
    <cfRule type="cellIs" dxfId="1167" priority="1" operator="greaterThan">
      <formula>0</formula>
    </cfRule>
  </conditionalFormatting>
  <conditionalFormatting sqref="AL2:AL10">
    <cfRule type="cellIs" dxfId="1166" priority="188" operator="greaterThan">
      <formula>7</formula>
    </cfRule>
    <cfRule type="cellIs" dxfId="1165" priority="189" operator="greaterThan">
      <formula>4</formula>
    </cfRule>
  </conditionalFormatting>
  <conditionalFormatting sqref="AL12:AL23">
    <cfRule type="cellIs" dxfId="1164" priority="146" operator="greaterThan">
      <formula>7</formula>
    </cfRule>
    <cfRule type="cellIs" dxfId="1163" priority="147" operator="greaterThan">
      <formula>4</formula>
    </cfRule>
  </conditionalFormatting>
  <conditionalFormatting sqref="AL25:AL35">
    <cfRule type="cellIs" dxfId="1162" priority="102" operator="greaterThan">
      <formula>7</formula>
    </cfRule>
    <cfRule type="cellIs" dxfId="1161" priority="103" operator="greaterThan">
      <formula>4</formula>
    </cfRule>
  </conditionalFormatting>
  <conditionalFormatting sqref="AL37:AL46">
    <cfRule type="cellIs" dxfId="1160" priority="60" operator="greaterThan">
      <formula>7</formula>
    </cfRule>
    <cfRule type="cellIs" dxfId="1159" priority="61" operator="greaterThan">
      <formula>4</formula>
    </cfRule>
  </conditionalFormatting>
  <conditionalFormatting sqref="AL48:AL58">
    <cfRule type="cellIs" dxfId="1158" priority="18" operator="greaterThan">
      <formula>7</formula>
    </cfRule>
    <cfRule type="cellIs" dxfId="1157" priority="19" operator="greaterThan">
      <formula>4</formula>
    </cfRule>
  </conditionalFormatting>
  <conditionalFormatting sqref="AM2:AM10">
    <cfRule type="cellIs" dxfId="1156" priority="190" operator="greaterThan">
      <formula>0.49</formula>
    </cfRule>
    <cfRule type="cellIs" dxfId="1155" priority="191" operator="greaterThan">
      <formula>0.29</formula>
    </cfRule>
  </conditionalFormatting>
  <conditionalFormatting sqref="AM12:AM23">
    <cfRule type="cellIs" dxfId="1154" priority="148" operator="greaterThan">
      <formula>0.49</formula>
    </cfRule>
    <cfRule type="cellIs" dxfId="1153" priority="149" operator="greaterThan">
      <formula>0.29</formula>
    </cfRule>
  </conditionalFormatting>
  <conditionalFormatting sqref="AM25:AM35">
    <cfRule type="cellIs" dxfId="1152" priority="104" operator="greaterThan">
      <formula>0.49</formula>
    </cfRule>
    <cfRule type="cellIs" dxfId="1151" priority="105" operator="greaterThan">
      <formula>0.29</formula>
    </cfRule>
  </conditionalFormatting>
  <conditionalFormatting sqref="AM37:AM46">
    <cfRule type="cellIs" dxfId="1150" priority="62" operator="greaterThan">
      <formula>0.49</formula>
    </cfRule>
    <cfRule type="cellIs" dxfId="1149" priority="63" operator="greaterThan">
      <formula>0.29</formula>
    </cfRule>
  </conditionalFormatting>
  <conditionalFormatting sqref="AM48:AM58">
    <cfRule type="cellIs" dxfId="1148" priority="20" operator="greaterThan">
      <formula>0.49</formula>
    </cfRule>
    <cfRule type="cellIs" dxfId="1147" priority="21" operator="greaterThan">
      <formula>0.29</formula>
    </cfRule>
  </conditionalFormatting>
  <conditionalFormatting sqref="AR2:AR10">
    <cfRule type="cellIs" dxfId="1146" priority="186" operator="greaterThan">
      <formula>0.79</formula>
    </cfRule>
    <cfRule type="cellIs" dxfId="1145" priority="187" operator="greaterThan">
      <formula>0.59</formula>
    </cfRule>
  </conditionalFormatting>
  <conditionalFormatting sqref="AR12:AR23">
    <cfRule type="cellIs" dxfId="1144" priority="144" operator="greaterThan">
      <formula>0.79</formula>
    </cfRule>
    <cfRule type="cellIs" dxfId="1143" priority="145" operator="greaterThan">
      <formula>0.59</formula>
    </cfRule>
  </conditionalFormatting>
  <conditionalFormatting sqref="AR25:AR35">
    <cfRule type="cellIs" dxfId="1142" priority="100" operator="greaterThan">
      <formula>0.79</formula>
    </cfRule>
    <cfRule type="cellIs" dxfId="1141" priority="101" operator="greaterThan">
      <formula>0.59</formula>
    </cfRule>
  </conditionalFormatting>
  <conditionalFormatting sqref="AR37:AR46">
    <cfRule type="cellIs" dxfId="1140" priority="58" operator="greaterThan">
      <formula>0.79</formula>
    </cfRule>
    <cfRule type="cellIs" dxfId="1139" priority="59" operator="greaterThan">
      <formula>0.59</formula>
    </cfRule>
  </conditionalFormatting>
  <conditionalFormatting sqref="AR48:AR58">
    <cfRule type="cellIs" dxfId="1138" priority="16" operator="greaterThan">
      <formula>0.79</formula>
    </cfRule>
    <cfRule type="cellIs" dxfId="1137" priority="17" operator="greaterThan">
      <formula>0.59</formula>
    </cfRule>
  </conditionalFormatting>
  <conditionalFormatting sqref="AT2:AT10">
    <cfRule type="cellIs" dxfId="1136" priority="182" operator="greaterThan">
      <formula>5</formula>
    </cfRule>
    <cfRule type="cellIs" dxfId="1135" priority="183" operator="greaterThan">
      <formula>2</formula>
    </cfRule>
  </conditionalFormatting>
  <conditionalFormatting sqref="AT12:AT23">
    <cfRule type="cellIs" dxfId="1134" priority="140" operator="greaterThan">
      <formula>5</formula>
    </cfRule>
    <cfRule type="cellIs" dxfId="1133" priority="141" operator="greaterThan">
      <formula>2</formula>
    </cfRule>
  </conditionalFormatting>
  <conditionalFormatting sqref="AT25:AT35">
    <cfRule type="cellIs" dxfId="1132" priority="96" operator="greaterThan">
      <formula>5</formula>
    </cfRule>
    <cfRule type="cellIs" dxfId="1131" priority="97" operator="greaterThan">
      <formula>2</formula>
    </cfRule>
  </conditionalFormatting>
  <conditionalFormatting sqref="AT37:AT46">
    <cfRule type="cellIs" dxfId="1130" priority="54" operator="greaterThan">
      <formula>5</formula>
    </cfRule>
    <cfRule type="cellIs" dxfId="1129" priority="55" operator="greaterThan">
      <formula>2</formula>
    </cfRule>
  </conditionalFormatting>
  <conditionalFormatting sqref="AT48:AT58">
    <cfRule type="cellIs" dxfId="1128" priority="12" operator="greaterThan">
      <formula>5</formula>
    </cfRule>
    <cfRule type="cellIs" dxfId="1127" priority="13" operator="greaterThan">
      <formula>2</formula>
    </cfRule>
  </conditionalFormatting>
  <conditionalFormatting sqref="AU2:AU10">
    <cfRule type="cellIs" dxfId="1126" priority="184" operator="greaterThan">
      <formula>0.49</formula>
    </cfRule>
    <cfRule type="cellIs" dxfId="1125" priority="185" operator="greaterThan">
      <formula>0.29</formula>
    </cfRule>
  </conditionalFormatting>
  <conditionalFormatting sqref="AU12:AU23">
    <cfRule type="cellIs" dxfId="1124" priority="142" operator="greaterThan">
      <formula>0.49</formula>
    </cfRule>
    <cfRule type="cellIs" dxfId="1123" priority="143" operator="greaterThan">
      <formula>0.29</formula>
    </cfRule>
  </conditionalFormatting>
  <conditionalFormatting sqref="AU25:AU35">
    <cfRule type="cellIs" dxfId="1122" priority="98" operator="greaterThan">
      <formula>0.49</formula>
    </cfRule>
    <cfRule type="cellIs" dxfId="1121" priority="99" operator="greaterThan">
      <formula>0.29</formula>
    </cfRule>
  </conditionalFormatting>
  <conditionalFormatting sqref="AU37:AU46">
    <cfRule type="cellIs" dxfId="1120" priority="56" operator="greaterThan">
      <formula>0.49</formula>
    </cfRule>
    <cfRule type="cellIs" dxfId="1119" priority="57" operator="greaterThan">
      <formula>0.29</formula>
    </cfRule>
  </conditionalFormatting>
  <conditionalFormatting sqref="AU48:AU58">
    <cfRule type="cellIs" dxfId="1118" priority="14" operator="greaterThan">
      <formula>0.49</formula>
    </cfRule>
    <cfRule type="cellIs" dxfId="1117" priority="15" operator="greaterThan">
      <formula>0.29</formula>
    </cfRule>
  </conditionalFormatting>
  <conditionalFormatting sqref="AZ2:AZ10">
    <cfRule type="cellIs" dxfId="1116" priority="180" operator="greaterThan">
      <formula>0.79</formula>
    </cfRule>
    <cfRule type="cellIs" dxfId="1115" priority="181" operator="greaterThan">
      <formula>0.59</formula>
    </cfRule>
  </conditionalFormatting>
  <conditionalFormatting sqref="AZ12:AZ23">
    <cfRule type="cellIs" dxfId="1114" priority="138" operator="greaterThan">
      <formula>0.79</formula>
    </cfRule>
    <cfRule type="cellIs" dxfId="1113" priority="139" operator="greaterThan">
      <formula>0.59</formula>
    </cfRule>
  </conditionalFormatting>
  <conditionalFormatting sqref="AZ25:AZ35">
    <cfRule type="cellIs" dxfId="1112" priority="94" operator="greaterThan">
      <formula>0.79</formula>
    </cfRule>
    <cfRule type="cellIs" dxfId="1111" priority="95" operator="greaterThan">
      <formula>0.59</formula>
    </cfRule>
  </conditionalFormatting>
  <conditionalFormatting sqref="AZ37:AZ46">
    <cfRule type="cellIs" dxfId="1110" priority="52" operator="greaterThan">
      <formula>0.79</formula>
    </cfRule>
    <cfRule type="cellIs" dxfId="1109" priority="53" operator="greaterThan">
      <formula>0.59</formula>
    </cfRule>
  </conditionalFormatting>
  <conditionalFormatting sqref="AZ48:AZ58">
    <cfRule type="cellIs" dxfId="1108" priority="10" operator="greaterThan">
      <formula>0.79</formula>
    </cfRule>
    <cfRule type="cellIs" dxfId="1107" priority="11" operator="greaterThan">
      <formula>0.59</formula>
    </cfRule>
  </conditionalFormatting>
  <conditionalFormatting sqref="BB2:BB10 BD2:BD10">
    <cfRule type="cellIs" dxfId="1106" priority="173" operator="greaterThan">
      <formula>1</formula>
    </cfRule>
    <cfRule type="cellIs" dxfId="1105" priority="174" operator="greaterThan">
      <formula>0</formula>
    </cfRule>
  </conditionalFormatting>
  <conditionalFormatting sqref="BB12:BB23 BD12:BD23">
    <cfRule type="cellIs" dxfId="1104" priority="131" operator="greaterThan">
      <formula>1</formula>
    </cfRule>
    <cfRule type="cellIs" dxfId="1103" priority="132" operator="greaterThan">
      <formula>0</formula>
    </cfRule>
  </conditionalFormatting>
  <conditionalFormatting sqref="BB25:BB35 BD25:BD35">
    <cfRule type="cellIs" dxfId="1102" priority="87" operator="greaterThan">
      <formula>1</formula>
    </cfRule>
    <cfRule type="cellIs" dxfId="1101" priority="88" operator="greaterThan">
      <formula>0</formula>
    </cfRule>
  </conditionalFormatting>
  <conditionalFormatting sqref="BB37:BB46 BD37:BD46">
    <cfRule type="cellIs" dxfId="1100" priority="45" operator="greaterThan">
      <formula>1</formula>
    </cfRule>
    <cfRule type="cellIs" dxfId="1099" priority="46" operator="greaterThan">
      <formula>0</formula>
    </cfRule>
  </conditionalFormatting>
  <conditionalFormatting sqref="BB48:BB58 BD48:BD58">
    <cfRule type="cellIs" dxfId="1098" priority="3" operator="greaterThan">
      <formula>1</formula>
    </cfRule>
    <cfRule type="cellIs" dxfId="1097" priority="4" operator="greaterThan">
      <formula>0</formula>
    </cfRule>
  </conditionalFormatting>
  <conditionalFormatting sqref="BC2:BC10 BE2:BE10">
    <cfRule type="cellIs" dxfId="1096" priority="175" operator="greaterThan">
      <formula>0</formula>
    </cfRule>
  </conditionalFormatting>
  <conditionalFormatting sqref="BC12:BC23 BE12:BE23">
    <cfRule type="cellIs" dxfId="1095" priority="133" operator="greaterThan">
      <formula>0</formula>
    </cfRule>
  </conditionalFormatting>
  <conditionalFormatting sqref="BC25:BC35 BE25:BE35">
    <cfRule type="cellIs" dxfId="1094" priority="89" operator="greaterThan">
      <formula>0</formula>
    </cfRule>
  </conditionalFormatting>
  <conditionalFormatting sqref="BC37:BC46 BE37:BE46">
    <cfRule type="cellIs" dxfId="1093" priority="47" operator="greaterThan">
      <formula>0</formula>
    </cfRule>
  </conditionalFormatting>
  <conditionalFormatting sqref="BC48:BC58 BE48:BE58">
    <cfRule type="cellIs" dxfId="1092" priority="5" operator="greaterThan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C719-4483-4E73-851F-E4D851879744}">
  <sheetPr>
    <tabColor theme="9" tint="0.39997558519241921"/>
  </sheetPr>
  <dimension ref="A1:AD637"/>
  <sheetViews>
    <sheetView topLeftCell="A618" workbookViewId="0">
      <selection activeCell="K646" sqref="K646"/>
    </sheetView>
  </sheetViews>
  <sheetFormatPr defaultRowHeight="15" x14ac:dyDescent="0.25"/>
  <cols>
    <col min="1" max="1" width="13.28515625" style="329" customWidth="1"/>
    <col min="2" max="2" width="3.7109375" style="5" customWidth="1"/>
    <col min="3" max="3" width="7.7109375" style="121" customWidth="1"/>
    <col min="4" max="4" width="14.5703125" style="5" customWidth="1"/>
    <col min="5" max="6" width="4.7109375" style="6" customWidth="1"/>
    <col min="7" max="8" width="3.28515625" style="362" customWidth="1"/>
    <col min="9" max="10" width="4.7109375" style="8" customWidth="1"/>
    <col min="11" max="11" width="7.7109375" style="121" customWidth="1"/>
    <col min="12" max="12" width="11.7109375" style="5" customWidth="1"/>
    <col min="13" max="13" width="7.7109375" style="44" customWidth="1"/>
    <col min="14" max="14" width="5.7109375" style="345" customWidth="1"/>
    <col min="15" max="15" width="15.140625" style="38" customWidth="1"/>
    <col min="16" max="16" width="12" style="5" customWidth="1"/>
    <col min="17" max="17" width="11.85546875" style="5" customWidth="1"/>
    <col min="18" max="18" width="14.7109375" style="5" customWidth="1"/>
    <col min="19" max="19" width="4.7109375" style="7" customWidth="1"/>
    <col min="20" max="20" width="11.7109375" style="5" customWidth="1"/>
    <col min="21" max="21" width="10.7109375" style="5" customWidth="1"/>
    <col min="22" max="22" width="10.7109375" style="57" customWidth="1"/>
    <col min="23" max="23" width="4.7109375" style="51" customWidth="1"/>
    <col min="24" max="24" width="4.7109375" style="357" customWidth="1"/>
    <col min="25" max="25" width="10.7109375" style="351" customWidth="1"/>
    <col min="26" max="26" width="25.7109375" style="5" customWidth="1"/>
    <col min="27" max="27" width="4.7109375" style="112" customWidth="1"/>
    <col min="28" max="28" width="11.7109375" style="108" customWidth="1"/>
    <col min="29" max="29" width="11.7109375" style="57" customWidth="1"/>
    <col min="30" max="30" width="9.140625" style="38"/>
    <col min="31" max="16384" width="9.140625" style="5"/>
  </cols>
  <sheetData>
    <row r="1" spans="1:30" ht="15.75" thickBot="1" x14ac:dyDescent="0.3">
      <c r="A1" s="322" t="s">
        <v>37</v>
      </c>
      <c r="B1" s="24" t="s">
        <v>38</v>
      </c>
      <c r="C1" s="120" t="s">
        <v>682</v>
      </c>
      <c r="D1" s="1" t="s">
        <v>635</v>
      </c>
      <c r="E1" s="2" t="s">
        <v>589</v>
      </c>
      <c r="F1" s="2"/>
      <c r="G1" s="363" t="s">
        <v>636</v>
      </c>
      <c r="H1" s="363" t="s">
        <v>637</v>
      </c>
      <c r="I1" s="4" t="s">
        <v>590</v>
      </c>
      <c r="J1" s="4"/>
      <c r="K1" s="126" t="s">
        <v>683</v>
      </c>
      <c r="L1" s="1" t="s">
        <v>638</v>
      </c>
      <c r="M1" s="1" t="s">
        <v>586</v>
      </c>
      <c r="N1" s="344" t="s">
        <v>0</v>
      </c>
      <c r="O1" s="342" t="s">
        <v>1</v>
      </c>
      <c r="P1" s="39" t="s">
        <v>2</v>
      </c>
      <c r="Q1" s="39" t="s">
        <v>645</v>
      </c>
      <c r="R1" s="39" t="s">
        <v>681</v>
      </c>
      <c r="S1" s="3" t="s">
        <v>711</v>
      </c>
      <c r="T1" s="39" t="s">
        <v>39</v>
      </c>
      <c r="U1" s="39" t="s">
        <v>40</v>
      </c>
      <c r="V1" s="41" t="s">
        <v>3</v>
      </c>
      <c r="W1" s="48" t="s">
        <v>4</v>
      </c>
      <c r="X1" s="356" t="s">
        <v>64</v>
      </c>
      <c r="Y1" s="350" t="s">
        <v>353</v>
      </c>
      <c r="Z1" s="39" t="s">
        <v>5</v>
      </c>
      <c r="AA1" s="50" t="s">
        <v>6</v>
      </c>
      <c r="AB1" s="116" t="s">
        <v>646</v>
      </c>
      <c r="AC1" s="117" t="s">
        <v>647</v>
      </c>
      <c r="AD1" s="5"/>
    </row>
    <row r="2" spans="1:30" x14ac:dyDescent="0.25">
      <c r="A2" s="328">
        <v>45913</v>
      </c>
      <c r="B2" s="17">
        <v>4</v>
      </c>
      <c r="C2" s="123" t="s">
        <v>701</v>
      </c>
      <c r="D2" s="17" t="s">
        <v>161</v>
      </c>
      <c r="E2" s="18">
        <v>0.75</v>
      </c>
      <c r="F2" s="18"/>
      <c r="G2" s="461">
        <v>2</v>
      </c>
      <c r="H2" s="461">
        <v>0</v>
      </c>
      <c r="I2" s="20">
        <v>0.46</v>
      </c>
      <c r="J2" s="20"/>
      <c r="K2" s="123" t="s">
        <v>693</v>
      </c>
      <c r="L2" s="17" t="s">
        <v>92</v>
      </c>
      <c r="M2" s="597" t="s">
        <v>369</v>
      </c>
      <c r="N2" s="348">
        <v>22</v>
      </c>
      <c r="O2" s="456" t="s">
        <v>92</v>
      </c>
      <c r="P2" s="17" t="s">
        <v>176</v>
      </c>
      <c r="Q2" s="17" t="s">
        <v>368</v>
      </c>
      <c r="R2" s="17" t="s">
        <v>684</v>
      </c>
      <c r="S2" s="479">
        <v>61</v>
      </c>
      <c r="T2" s="17" t="s">
        <v>41</v>
      </c>
      <c r="U2" s="17" t="s">
        <v>42</v>
      </c>
      <c r="V2" s="59" t="s">
        <v>18</v>
      </c>
      <c r="W2" s="53">
        <v>0.22</v>
      </c>
      <c r="X2" s="360" t="s">
        <v>53</v>
      </c>
      <c r="Y2" s="354"/>
      <c r="Z2" s="17" t="s">
        <v>52</v>
      </c>
      <c r="AA2" s="114" t="s">
        <v>28</v>
      </c>
      <c r="AB2" s="110"/>
      <c r="AC2" s="60"/>
    </row>
    <row r="3" spans="1:30" x14ac:dyDescent="0.25">
      <c r="A3" s="329">
        <v>45913</v>
      </c>
      <c r="B3" s="5">
        <v>4</v>
      </c>
      <c r="D3" s="5" t="s">
        <v>161</v>
      </c>
      <c r="E3" s="6">
        <v>0.75</v>
      </c>
      <c r="G3" s="362">
        <v>2</v>
      </c>
      <c r="H3" s="362">
        <v>0</v>
      </c>
      <c r="I3" s="8">
        <v>0.46</v>
      </c>
      <c r="L3" s="5" t="s">
        <v>92</v>
      </c>
      <c r="M3" s="268" t="s">
        <v>369</v>
      </c>
      <c r="N3" s="476">
        <v>28</v>
      </c>
      <c r="O3" s="477" t="s">
        <v>161</v>
      </c>
      <c r="P3" s="478" t="s">
        <v>168</v>
      </c>
      <c r="Q3" s="478" t="s">
        <v>169</v>
      </c>
      <c r="R3" s="478" t="s">
        <v>718</v>
      </c>
      <c r="S3" s="479">
        <v>65</v>
      </c>
      <c r="T3" s="478" t="s">
        <v>41</v>
      </c>
      <c r="U3" s="478" t="s">
        <v>43</v>
      </c>
      <c r="V3" s="480" t="s">
        <v>10</v>
      </c>
      <c r="W3" s="51">
        <v>0.04</v>
      </c>
      <c r="X3" s="357" t="s">
        <v>53</v>
      </c>
      <c r="Z3" s="5" t="s">
        <v>22</v>
      </c>
      <c r="AA3" s="112" t="s">
        <v>28</v>
      </c>
    </row>
    <row r="4" spans="1:30" x14ac:dyDescent="0.25">
      <c r="A4" s="329">
        <v>45913</v>
      </c>
      <c r="B4" s="5">
        <v>4</v>
      </c>
      <c r="D4" s="5" t="s">
        <v>161</v>
      </c>
      <c r="E4" s="6">
        <v>0.75</v>
      </c>
      <c r="G4" s="362">
        <v>2</v>
      </c>
      <c r="H4" s="362">
        <v>0</v>
      </c>
      <c r="I4" s="8">
        <v>0.46</v>
      </c>
      <c r="L4" s="5" t="s">
        <v>92</v>
      </c>
      <c r="M4" s="268" t="s">
        <v>369</v>
      </c>
      <c r="N4" s="476" t="s">
        <v>63</v>
      </c>
      <c r="O4" s="477" t="s">
        <v>161</v>
      </c>
      <c r="P4" s="478" t="s">
        <v>364</v>
      </c>
      <c r="Q4" s="478" t="s">
        <v>365</v>
      </c>
      <c r="R4" s="478" t="s">
        <v>695</v>
      </c>
      <c r="S4" s="479">
        <v>73</v>
      </c>
      <c r="T4" s="478" t="s">
        <v>47</v>
      </c>
      <c r="U4" s="478" t="s">
        <v>45</v>
      </c>
      <c r="V4" s="480" t="s">
        <v>33</v>
      </c>
      <c r="W4" s="51">
        <v>0.23</v>
      </c>
      <c r="X4" s="357">
        <v>0.64</v>
      </c>
      <c r="Y4" s="351" t="s">
        <v>353</v>
      </c>
      <c r="Z4" s="5" t="s">
        <v>8</v>
      </c>
      <c r="AA4" s="112" t="s">
        <v>19</v>
      </c>
      <c r="AB4" s="108" t="s">
        <v>315</v>
      </c>
      <c r="AC4" s="57" t="s">
        <v>199</v>
      </c>
    </row>
    <row r="5" spans="1:30" x14ac:dyDescent="0.25">
      <c r="A5" s="329">
        <v>45913</v>
      </c>
      <c r="B5" s="5">
        <v>4</v>
      </c>
      <c r="D5" s="5" t="s">
        <v>161</v>
      </c>
      <c r="E5" s="6">
        <v>0.75</v>
      </c>
      <c r="G5" s="362">
        <v>2</v>
      </c>
      <c r="H5" s="362">
        <v>0</v>
      </c>
      <c r="I5" s="8">
        <v>0.46</v>
      </c>
      <c r="L5" s="5" t="s">
        <v>92</v>
      </c>
      <c r="M5" s="268" t="s">
        <v>369</v>
      </c>
      <c r="N5" s="345" t="s">
        <v>266</v>
      </c>
      <c r="O5" s="38" t="s">
        <v>92</v>
      </c>
      <c r="P5" s="5" t="s">
        <v>332</v>
      </c>
      <c r="Q5" s="5" t="s">
        <v>370</v>
      </c>
      <c r="R5" s="5" t="s">
        <v>687</v>
      </c>
      <c r="S5" s="479">
        <v>67</v>
      </c>
      <c r="T5" s="5" t="s">
        <v>354</v>
      </c>
      <c r="U5" s="5" t="s">
        <v>42</v>
      </c>
      <c r="V5" s="57" t="s">
        <v>10</v>
      </c>
      <c r="W5" s="51">
        <v>0.03</v>
      </c>
      <c r="X5" s="357" t="s">
        <v>53</v>
      </c>
      <c r="Z5" s="5" t="s">
        <v>17</v>
      </c>
      <c r="AA5" s="112" t="s">
        <v>19</v>
      </c>
    </row>
    <row r="6" spans="1:30" x14ac:dyDescent="0.25">
      <c r="A6" s="329">
        <v>45913</v>
      </c>
      <c r="B6" s="5">
        <v>4</v>
      </c>
      <c r="D6" s="5" t="s">
        <v>161</v>
      </c>
      <c r="E6" s="6">
        <v>0.75</v>
      </c>
      <c r="G6" s="362">
        <v>2</v>
      </c>
      <c r="H6" s="362">
        <v>0</v>
      </c>
      <c r="I6" s="8">
        <v>0.46</v>
      </c>
      <c r="L6" s="5" t="s">
        <v>92</v>
      </c>
      <c r="M6" s="268" t="s">
        <v>369</v>
      </c>
      <c r="N6" s="476" t="s">
        <v>366</v>
      </c>
      <c r="O6" s="477" t="s">
        <v>161</v>
      </c>
      <c r="P6" s="478" t="s">
        <v>26</v>
      </c>
      <c r="Q6" s="478" t="s">
        <v>302</v>
      </c>
      <c r="R6" s="478" t="s">
        <v>695</v>
      </c>
      <c r="S6" s="479">
        <v>74</v>
      </c>
      <c r="T6" s="478" t="s">
        <v>354</v>
      </c>
      <c r="U6" s="478" t="s">
        <v>42</v>
      </c>
      <c r="V6" s="480" t="s">
        <v>540</v>
      </c>
      <c r="W6" s="51">
        <v>0.02</v>
      </c>
      <c r="X6" s="357">
        <v>0.16</v>
      </c>
      <c r="Z6" s="5" t="s">
        <v>48</v>
      </c>
      <c r="AA6" s="112" t="s">
        <v>19</v>
      </c>
    </row>
    <row r="7" spans="1:30" x14ac:dyDescent="0.25">
      <c r="A7" s="329">
        <v>45913</v>
      </c>
      <c r="B7" s="5">
        <v>4</v>
      </c>
      <c r="D7" s="5" t="s">
        <v>161</v>
      </c>
      <c r="E7" s="6">
        <v>0.75</v>
      </c>
      <c r="G7" s="362">
        <v>2</v>
      </c>
      <c r="H7" s="362">
        <v>0</v>
      </c>
      <c r="I7" s="8">
        <v>0.46</v>
      </c>
      <c r="L7" s="5" t="s">
        <v>92</v>
      </c>
      <c r="M7" s="242" t="s">
        <v>369</v>
      </c>
      <c r="N7" s="476" t="s">
        <v>367</v>
      </c>
      <c r="O7" s="477" t="s">
        <v>161</v>
      </c>
      <c r="P7" s="478" t="s">
        <v>313</v>
      </c>
      <c r="Q7" s="478" t="s">
        <v>314</v>
      </c>
      <c r="R7" s="478" t="s">
        <v>717</v>
      </c>
      <c r="S7" s="479">
        <v>78</v>
      </c>
      <c r="T7" s="478" t="s">
        <v>47</v>
      </c>
      <c r="U7" s="478" t="s">
        <v>45</v>
      </c>
      <c r="V7" s="480" t="s">
        <v>20</v>
      </c>
      <c r="W7" s="51">
        <v>0.13</v>
      </c>
      <c r="X7" s="357">
        <v>0.87</v>
      </c>
      <c r="Y7" s="351" t="s">
        <v>353</v>
      </c>
      <c r="Z7" s="5" t="s">
        <v>8</v>
      </c>
      <c r="AA7" s="112" t="s">
        <v>24</v>
      </c>
      <c r="AB7" s="108" t="s">
        <v>315</v>
      </c>
      <c r="AC7" s="57" t="s">
        <v>199</v>
      </c>
    </row>
    <row r="8" spans="1:30" x14ac:dyDescent="0.25">
      <c r="A8" s="329">
        <v>45913</v>
      </c>
      <c r="B8" s="5">
        <v>4</v>
      </c>
      <c r="D8" s="5" t="s">
        <v>161</v>
      </c>
      <c r="E8" s="6">
        <v>0.75</v>
      </c>
      <c r="G8" s="362">
        <v>2</v>
      </c>
      <c r="H8" s="362">
        <v>0</v>
      </c>
      <c r="I8" s="8">
        <v>0.46</v>
      </c>
      <c r="L8" s="5" t="s">
        <v>92</v>
      </c>
      <c r="M8" s="242" t="s">
        <v>369</v>
      </c>
      <c r="N8" s="476">
        <v>47</v>
      </c>
      <c r="O8" s="477" t="s">
        <v>161</v>
      </c>
      <c r="P8" s="478" t="s">
        <v>364</v>
      </c>
      <c r="Q8" s="478" t="s">
        <v>365</v>
      </c>
      <c r="R8" s="478" t="s">
        <v>695</v>
      </c>
      <c r="S8" s="479">
        <v>73</v>
      </c>
      <c r="T8" s="478" t="s">
        <v>41</v>
      </c>
      <c r="U8" s="478" t="s">
        <v>42</v>
      </c>
      <c r="V8" s="480" t="s">
        <v>540</v>
      </c>
      <c r="W8" s="51">
        <v>0.16</v>
      </c>
      <c r="X8" s="357" t="s">
        <v>53</v>
      </c>
      <c r="Z8" s="5" t="s">
        <v>52</v>
      </c>
      <c r="AA8" s="112" t="s">
        <v>24</v>
      </c>
    </row>
    <row r="9" spans="1:30" ht="15.75" thickBot="1" x14ac:dyDescent="0.3">
      <c r="A9" s="330">
        <v>45913</v>
      </c>
      <c r="B9" s="9">
        <v>4</v>
      </c>
      <c r="C9" s="122"/>
      <c r="D9" s="9" t="s">
        <v>161</v>
      </c>
      <c r="E9" s="10">
        <v>0.75</v>
      </c>
      <c r="F9" s="10"/>
      <c r="G9" s="383">
        <v>2</v>
      </c>
      <c r="H9" s="383">
        <v>0</v>
      </c>
      <c r="I9" s="12">
        <v>0.46</v>
      </c>
      <c r="J9" s="12"/>
      <c r="K9" s="122"/>
      <c r="L9" s="9" t="s">
        <v>92</v>
      </c>
      <c r="M9" s="445" t="s">
        <v>369</v>
      </c>
      <c r="N9" s="346" t="s">
        <v>31</v>
      </c>
      <c r="O9" s="454" t="s">
        <v>92</v>
      </c>
      <c r="P9" s="9" t="s">
        <v>419</v>
      </c>
      <c r="Q9" s="9" t="s">
        <v>420</v>
      </c>
      <c r="R9" s="9" t="s">
        <v>699</v>
      </c>
      <c r="S9" s="481">
        <v>59</v>
      </c>
      <c r="T9" s="9" t="s">
        <v>44</v>
      </c>
      <c r="U9" s="9" t="s">
        <v>45</v>
      </c>
      <c r="V9" s="58" t="s">
        <v>540</v>
      </c>
      <c r="W9" s="52">
        <v>0.03</v>
      </c>
      <c r="X9" s="358">
        <v>0.05</v>
      </c>
      <c r="Y9" s="352" t="s">
        <v>353</v>
      </c>
      <c r="Z9" s="9" t="s">
        <v>48</v>
      </c>
      <c r="AA9" s="113" t="s">
        <v>24</v>
      </c>
      <c r="AB9" s="109"/>
      <c r="AC9" s="58"/>
    </row>
    <row r="10" spans="1:30" ht="15.75" thickBot="1" x14ac:dyDescent="0.3">
      <c r="A10" s="326">
        <v>45913</v>
      </c>
      <c r="B10" s="207">
        <v>4</v>
      </c>
      <c r="C10" s="208"/>
      <c r="D10" s="207" t="s">
        <v>161</v>
      </c>
      <c r="E10" s="209">
        <v>0.75</v>
      </c>
      <c r="F10" s="209"/>
      <c r="G10" s="460">
        <v>2</v>
      </c>
      <c r="H10" s="460">
        <v>0</v>
      </c>
      <c r="I10" s="211">
        <v>0.46</v>
      </c>
      <c r="J10" s="211"/>
      <c r="K10" s="208"/>
      <c r="L10" s="207" t="s">
        <v>92</v>
      </c>
      <c r="M10" s="235"/>
      <c r="N10" s="347"/>
      <c r="O10" s="343" t="s">
        <v>161</v>
      </c>
      <c r="P10" s="199" t="s">
        <v>316</v>
      </c>
      <c r="Q10" s="199" t="s">
        <v>721</v>
      </c>
      <c r="R10" s="199" t="s">
        <v>707</v>
      </c>
      <c r="S10" s="481">
        <v>66</v>
      </c>
      <c r="T10" s="199"/>
      <c r="U10" s="199"/>
      <c r="V10" s="201"/>
      <c r="W10" s="202"/>
      <c r="X10" s="359"/>
      <c r="Y10" s="353">
        <v>0</v>
      </c>
      <c r="Z10" s="199"/>
      <c r="AA10" s="204"/>
      <c r="AB10" s="205"/>
      <c r="AC10" s="201"/>
    </row>
    <row r="11" spans="1:30" ht="15.75" thickBot="1" x14ac:dyDescent="0.3">
      <c r="A11" s="326">
        <v>45913</v>
      </c>
      <c r="B11" s="207">
        <v>4</v>
      </c>
      <c r="C11" s="208"/>
      <c r="D11" s="207" t="s">
        <v>161</v>
      </c>
      <c r="E11" s="209">
        <v>0.75</v>
      </c>
      <c r="F11" s="209"/>
      <c r="G11" s="460">
        <v>2</v>
      </c>
      <c r="H11" s="460">
        <v>0</v>
      </c>
      <c r="I11" s="211">
        <v>0.46</v>
      </c>
      <c r="J11" s="211"/>
      <c r="K11" s="208"/>
      <c r="L11" s="207" t="s">
        <v>92</v>
      </c>
      <c r="M11" s="235"/>
      <c r="N11" s="347"/>
      <c r="O11" s="343" t="s">
        <v>92</v>
      </c>
      <c r="P11" s="199" t="s">
        <v>432</v>
      </c>
      <c r="Q11" s="199" t="s">
        <v>472</v>
      </c>
      <c r="R11" s="199" t="s">
        <v>707</v>
      </c>
      <c r="S11" s="7">
        <v>51</v>
      </c>
      <c r="T11" s="199"/>
      <c r="U11" s="199"/>
      <c r="V11" s="201"/>
      <c r="W11" s="202"/>
      <c r="X11" s="359"/>
      <c r="Y11" s="353">
        <v>2</v>
      </c>
      <c r="Z11" s="199"/>
      <c r="AA11" s="204"/>
      <c r="AB11" s="205"/>
      <c r="AC11" s="201"/>
    </row>
    <row r="12" spans="1:30" x14ac:dyDescent="0.25">
      <c r="A12" s="331">
        <v>45924</v>
      </c>
      <c r="B12" s="13">
        <v>6</v>
      </c>
      <c r="C12" s="124" t="s">
        <v>708</v>
      </c>
      <c r="D12" s="13" t="s">
        <v>161</v>
      </c>
      <c r="E12" s="14">
        <v>0.24</v>
      </c>
      <c r="F12" s="14"/>
      <c r="G12" s="375">
        <v>1</v>
      </c>
      <c r="H12" s="375">
        <v>1</v>
      </c>
      <c r="I12" s="16">
        <v>0.56999999999999995</v>
      </c>
      <c r="J12" s="16"/>
      <c r="K12" s="124" t="s">
        <v>694</v>
      </c>
      <c r="L12" s="13" t="s">
        <v>128</v>
      </c>
      <c r="M12" s="47"/>
      <c r="N12" s="349">
        <v>38</v>
      </c>
      <c r="O12" s="458" t="s">
        <v>128</v>
      </c>
      <c r="P12" s="13" t="s">
        <v>497</v>
      </c>
      <c r="Q12" s="13" t="s">
        <v>498</v>
      </c>
      <c r="R12" s="13" t="s">
        <v>685</v>
      </c>
      <c r="S12" s="7">
        <v>65</v>
      </c>
      <c r="T12" s="13" t="s">
        <v>41</v>
      </c>
      <c r="U12" s="13" t="s">
        <v>42</v>
      </c>
      <c r="V12" s="60" t="s">
        <v>10</v>
      </c>
      <c r="W12" s="54">
        <v>0.2</v>
      </c>
      <c r="X12" s="361">
        <v>0.2</v>
      </c>
      <c r="Y12" s="355" t="s">
        <v>353</v>
      </c>
      <c r="Z12" s="13" t="s">
        <v>48</v>
      </c>
      <c r="AA12" s="115" t="s">
        <v>28</v>
      </c>
      <c r="AB12" s="110"/>
      <c r="AC12" s="60"/>
    </row>
    <row r="13" spans="1:30" x14ac:dyDescent="0.25">
      <c r="A13" s="329">
        <v>45924</v>
      </c>
      <c r="B13" s="5">
        <v>6</v>
      </c>
      <c r="D13" s="5" t="s">
        <v>161</v>
      </c>
      <c r="E13" s="6">
        <v>0.24</v>
      </c>
      <c r="G13" s="362">
        <v>1</v>
      </c>
      <c r="H13" s="362">
        <v>1</v>
      </c>
      <c r="I13" s="8">
        <v>0.56999999999999995</v>
      </c>
      <c r="L13" s="5" t="s">
        <v>128</v>
      </c>
      <c r="N13" s="476">
        <v>63</v>
      </c>
      <c r="O13" s="477" t="s">
        <v>161</v>
      </c>
      <c r="P13" s="478" t="s">
        <v>26</v>
      </c>
      <c r="Q13" s="478" t="s">
        <v>302</v>
      </c>
      <c r="R13" s="478" t="s">
        <v>695</v>
      </c>
      <c r="S13" s="479">
        <v>77</v>
      </c>
      <c r="T13" s="478" t="s">
        <v>41</v>
      </c>
      <c r="U13" s="478" t="s">
        <v>42</v>
      </c>
      <c r="V13" s="480" t="s">
        <v>10</v>
      </c>
      <c r="W13" s="51">
        <v>0.09</v>
      </c>
      <c r="X13" s="357">
        <v>0.46</v>
      </c>
      <c r="Y13" s="351" t="s">
        <v>353</v>
      </c>
      <c r="Z13" s="5" t="s">
        <v>8</v>
      </c>
      <c r="AA13" s="112" t="s">
        <v>19</v>
      </c>
      <c r="AB13" s="108" t="s">
        <v>313</v>
      </c>
      <c r="AC13" s="57" t="s">
        <v>314</v>
      </c>
    </row>
    <row r="14" spans="1:30" x14ac:dyDescent="0.25">
      <c r="A14" s="329">
        <v>45924</v>
      </c>
      <c r="B14" s="5">
        <v>6</v>
      </c>
      <c r="D14" s="5" t="s">
        <v>161</v>
      </c>
      <c r="E14" s="6">
        <v>0.24</v>
      </c>
      <c r="G14" s="362">
        <v>1</v>
      </c>
      <c r="H14" s="362">
        <v>1</v>
      </c>
      <c r="I14" s="8">
        <v>0.56999999999999995</v>
      </c>
      <c r="L14" s="5" t="s">
        <v>128</v>
      </c>
      <c r="N14" s="345">
        <v>68</v>
      </c>
      <c r="O14" s="38" t="s">
        <v>128</v>
      </c>
      <c r="P14" s="5" t="s">
        <v>130</v>
      </c>
      <c r="Q14" s="5" t="s">
        <v>131</v>
      </c>
      <c r="R14" s="5" t="s">
        <v>718</v>
      </c>
      <c r="S14" s="479">
        <v>71</v>
      </c>
      <c r="T14" s="5" t="s">
        <v>44</v>
      </c>
      <c r="U14" s="5" t="s">
        <v>42</v>
      </c>
      <c r="V14" s="57" t="s">
        <v>10</v>
      </c>
      <c r="W14" s="51">
        <v>0.03</v>
      </c>
      <c r="X14" s="357">
        <v>0.27</v>
      </c>
      <c r="Z14" s="5" t="s">
        <v>48</v>
      </c>
      <c r="AA14" s="112" t="s">
        <v>19</v>
      </c>
    </row>
    <row r="15" spans="1:30" x14ac:dyDescent="0.25">
      <c r="A15" s="329">
        <v>45924</v>
      </c>
      <c r="B15" s="5">
        <v>6</v>
      </c>
      <c r="D15" s="5" t="s">
        <v>161</v>
      </c>
      <c r="E15" s="6">
        <v>0.24</v>
      </c>
      <c r="G15" s="362">
        <v>1</v>
      </c>
      <c r="H15" s="362">
        <v>1</v>
      </c>
      <c r="I15" s="8">
        <v>0.56999999999999995</v>
      </c>
      <c r="L15" s="5" t="s">
        <v>128</v>
      </c>
      <c r="N15" s="345">
        <v>71</v>
      </c>
      <c r="O15" s="38" t="s">
        <v>128</v>
      </c>
      <c r="P15" s="5" t="s">
        <v>274</v>
      </c>
      <c r="Q15" s="5" t="s">
        <v>499</v>
      </c>
      <c r="R15" s="5" t="s">
        <v>695</v>
      </c>
      <c r="S15" s="7">
        <v>76</v>
      </c>
      <c r="T15" s="5" t="s">
        <v>41</v>
      </c>
      <c r="U15" s="5" t="s">
        <v>43</v>
      </c>
      <c r="V15" s="57" t="s">
        <v>20</v>
      </c>
      <c r="W15" s="51">
        <v>0.11</v>
      </c>
      <c r="X15" s="357">
        <v>0.15</v>
      </c>
      <c r="Y15" s="351" t="s">
        <v>353</v>
      </c>
      <c r="Z15" s="5" t="s">
        <v>8</v>
      </c>
      <c r="AA15" s="112" t="s">
        <v>51</v>
      </c>
      <c r="AB15" s="108" t="s">
        <v>130</v>
      </c>
      <c r="AC15" s="57" t="s">
        <v>131</v>
      </c>
    </row>
    <row r="16" spans="1:30" ht="15.75" thickBot="1" x14ac:dyDescent="0.3">
      <c r="A16" s="330">
        <v>45924</v>
      </c>
      <c r="B16" s="9">
        <v>6</v>
      </c>
      <c r="C16" s="122"/>
      <c r="D16" s="9" t="s">
        <v>161</v>
      </c>
      <c r="E16" s="10">
        <v>0.24</v>
      </c>
      <c r="F16" s="10"/>
      <c r="G16" s="383">
        <v>1</v>
      </c>
      <c r="H16" s="383">
        <v>1</v>
      </c>
      <c r="I16" s="12">
        <v>0.56999999999999995</v>
      </c>
      <c r="J16" s="12"/>
      <c r="K16" s="122"/>
      <c r="L16" s="9" t="s">
        <v>128</v>
      </c>
      <c r="M16" s="45"/>
      <c r="N16" s="511">
        <v>73</v>
      </c>
      <c r="O16" s="512" t="s">
        <v>161</v>
      </c>
      <c r="P16" s="513" t="s">
        <v>26</v>
      </c>
      <c r="Q16" s="513" t="s">
        <v>302</v>
      </c>
      <c r="R16" s="513" t="s">
        <v>695</v>
      </c>
      <c r="S16" s="479">
        <v>77</v>
      </c>
      <c r="T16" s="513" t="s">
        <v>41</v>
      </c>
      <c r="U16" s="513" t="s">
        <v>45</v>
      </c>
      <c r="V16" s="514" t="s">
        <v>20</v>
      </c>
      <c r="W16" s="52">
        <v>0.05</v>
      </c>
      <c r="X16" s="358" t="s">
        <v>53</v>
      </c>
      <c r="Y16" s="352"/>
      <c r="Z16" s="9" t="s">
        <v>16</v>
      </c>
      <c r="AA16" s="113" t="s">
        <v>51</v>
      </c>
      <c r="AB16" s="109"/>
      <c r="AC16" s="58"/>
    </row>
    <row r="17" spans="1:29" ht="15.75" thickBot="1" x14ac:dyDescent="0.3">
      <c r="A17" s="326">
        <v>45924</v>
      </c>
      <c r="B17" s="207">
        <v>6</v>
      </c>
      <c r="C17" s="208"/>
      <c r="D17" s="207" t="s">
        <v>161</v>
      </c>
      <c r="E17" s="209">
        <v>0.24</v>
      </c>
      <c r="F17" s="209"/>
      <c r="G17" s="460">
        <v>1</v>
      </c>
      <c r="H17" s="460">
        <v>1</v>
      </c>
      <c r="I17" s="211">
        <v>0.56999999999999995</v>
      </c>
      <c r="J17" s="211"/>
      <c r="K17" s="208"/>
      <c r="L17" s="207" t="s">
        <v>128</v>
      </c>
      <c r="M17" s="235"/>
      <c r="N17" s="347"/>
      <c r="O17" s="343" t="s">
        <v>161</v>
      </c>
      <c r="P17" s="199" t="s">
        <v>316</v>
      </c>
      <c r="Q17" s="199" t="s">
        <v>721</v>
      </c>
      <c r="R17" s="199" t="s">
        <v>707</v>
      </c>
      <c r="S17" s="7">
        <v>71</v>
      </c>
      <c r="T17" s="199"/>
      <c r="U17" s="199"/>
      <c r="V17" s="201"/>
      <c r="W17" s="202"/>
      <c r="X17" s="359"/>
      <c r="Y17" s="353">
        <v>1</v>
      </c>
      <c r="Z17" s="199"/>
      <c r="AA17" s="204"/>
      <c r="AB17" s="205"/>
      <c r="AC17" s="201"/>
    </row>
    <row r="18" spans="1:29" ht="15.75" thickBot="1" x14ac:dyDescent="0.3">
      <c r="A18" s="326">
        <v>45924</v>
      </c>
      <c r="B18" s="207">
        <v>6</v>
      </c>
      <c r="C18" s="208"/>
      <c r="D18" s="207" t="s">
        <v>161</v>
      </c>
      <c r="E18" s="209">
        <v>0.24</v>
      </c>
      <c r="F18" s="209"/>
      <c r="G18" s="460">
        <v>1</v>
      </c>
      <c r="H18" s="460">
        <v>1</v>
      </c>
      <c r="I18" s="211">
        <v>0.56999999999999995</v>
      </c>
      <c r="J18" s="211"/>
      <c r="K18" s="208"/>
      <c r="L18" s="207" t="s">
        <v>128</v>
      </c>
      <c r="M18" s="235"/>
      <c r="N18" s="347"/>
      <c r="O18" s="343" t="s">
        <v>128</v>
      </c>
      <c r="P18" s="199" t="s">
        <v>127</v>
      </c>
      <c r="Q18" s="199" t="s">
        <v>476</v>
      </c>
      <c r="R18" s="199" t="s">
        <v>707</v>
      </c>
      <c r="S18" s="479">
        <v>59</v>
      </c>
      <c r="T18" s="199"/>
      <c r="U18" s="199"/>
      <c r="V18" s="201"/>
      <c r="W18" s="202"/>
      <c r="X18" s="359"/>
      <c r="Y18" s="353">
        <v>1</v>
      </c>
      <c r="Z18" s="199"/>
      <c r="AA18" s="204"/>
      <c r="AB18" s="205"/>
      <c r="AC18" s="201"/>
    </row>
    <row r="19" spans="1:29" x14ac:dyDescent="0.25">
      <c r="A19" s="328">
        <v>45927</v>
      </c>
      <c r="B19" s="17">
        <v>7</v>
      </c>
      <c r="C19" s="123" t="s">
        <v>701</v>
      </c>
      <c r="D19" s="17" t="s">
        <v>161</v>
      </c>
      <c r="E19" s="18">
        <v>0.55000000000000004</v>
      </c>
      <c r="F19" s="18"/>
      <c r="G19" s="461">
        <v>1</v>
      </c>
      <c r="H19" s="461">
        <v>1</v>
      </c>
      <c r="I19" s="20">
        <v>0.59</v>
      </c>
      <c r="J19" s="20"/>
      <c r="K19" s="123" t="s">
        <v>694</v>
      </c>
      <c r="L19" s="17" t="s">
        <v>129</v>
      </c>
      <c r="M19" s="46"/>
      <c r="N19" s="348">
        <v>13</v>
      </c>
      <c r="O19" s="456" t="s">
        <v>129</v>
      </c>
      <c r="P19" s="17" t="s">
        <v>59</v>
      </c>
      <c r="Q19" s="17" t="s">
        <v>191</v>
      </c>
      <c r="R19" s="17" t="s">
        <v>717</v>
      </c>
      <c r="S19" s="479">
        <v>70</v>
      </c>
      <c r="T19" s="17" t="s">
        <v>41</v>
      </c>
      <c r="U19" s="17" t="s">
        <v>42</v>
      </c>
      <c r="V19" s="59" t="s">
        <v>540</v>
      </c>
      <c r="W19" s="53">
        <v>0.18</v>
      </c>
      <c r="X19" s="360">
        <v>0.4</v>
      </c>
      <c r="Y19" s="354" t="s">
        <v>353</v>
      </c>
      <c r="Z19" s="17" t="s">
        <v>48</v>
      </c>
      <c r="AA19" s="114" t="s">
        <v>28</v>
      </c>
      <c r="AB19" s="110"/>
      <c r="AC19" s="60"/>
    </row>
    <row r="20" spans="1:29" x14ac:dyDescent="0.25">
      <c r="A20" s="329">
        <v>45927</v>
      </c>
      <c r="B20" s="5">
        <v>7</v>
      </c>
      <c r="D20" s="5" t="s">
        <v>161</v>
      </c>
      <c r="E20" s="6">
        <v>0.55000000000000004</v>
      </c>
      <c r="G20" s="362">
        <v>1</v>
      </c>
      <c r="H20" s="362">
        <v>1</v>
      </c>
      <c r="I20" s="8">
        <v>0.59</v>
      </c>
      <c r="L20" s="5" t="s">
        <v>129</v>
      </c>
      <c r="N20" s="345">
        <v>26</v>
      </c>
      <c r="O20" s="38" t="s">
        <v>129</v>
      </c>
      <c r="P20" s="5" t="s">
        <v>59</v>
      </c>
      <c r="Q20" s="5" t="s">
        <v>191</v>
      </c>
      <c r="R20" s="5" t="s">
        <v>717</v>
      </c>
      <c r="S20" s="479">
        <v>70</v>
      </c>
      <c r="T20" s="5" t="s">
        <v>41</v>
      </c>
      <c r="U20" s="5" t="s">
        <v>42</v>
      </c>
      <c r="V20" s="57" t="s">
        <v>10</v>
      </c>
      <c r="W20" s="51">
        <v>0.05</v>
      </c>
      <c r="X20" s="357">
        <v>0.82</v>
      </c>
      <c r="Y20" s="351" t="s">
        <v>353</v>
      </c>
      <c r="Z20" s="5" t="s">
        <v>8</v>
      </c>
      <c r="AA20" s="112" t="s">
        <v>9</v>
      </c>
      <c r="AB20" s="108" t="s">
        <v>141</v>
      </c>
      <c r="AC20" s="57" t="s">
        <v>142</v>
      </c>
    </row>
    <row r="21" spans="1:29" x14ac:dyDescent="0.25">
      <c r="A21" s="329">
        <v>45927</v>
      </c>
      <c r="B21" s="5">
        <v>7</v>
      </c>
      <c r="D21" s="5" t="s">
        <v>161</v>
      </c>
      <c r="E21" s="6">
        <v>0.55000000000000004</v>
      </c>
      <c r="G21" s="362">
        <v>1</v>
      </c>
      <c r="H21" s="362">
        <v>1</v>
      </c>
      <c r="I21" s="8">
        <v>0.59</v>
      </c>
      <c r="L21" s="5" t="s">
        <v>129</v>
      </c>
      <c r="N21" s="345">
        <v>45</v>
      </c>
      <c r="O21" s="38" t="s">
        <v>129</v>
      </c>
      <c r="P21" s="5" t="s">
        <v>104</v>
      </c>
      <c r="Q21" s="5" t="s">
        <v>105</v>
      </c>
      <c r="R21" s="5" t="s">
        <v>717</v>
      </c>
      <c r="S21" s="7">
        <v>67</v>
      </c>
      <c r="T21" s="5" t="s">
        <v>41</v>
      </c>
      <c r="U21" s="5" t="s">
        <v>42</v>
      </c>
      <c r="V21" s="57" t="s">
        <v>10</v>
      </c>
      <c r="W21" s="51">
        <v>0.19</v>
      </c>
      <c r="X21" s="357" t="s">
        <v>53</v>
      </c>
      <c r="Y21" s="351" t="s">
        <v>353</v>
      </c>
      <c r="Z21" s="5" t="s">
        <v>13</v>
      </c>
      <c r="AA21" s="112" t="s">
        <v>9</v>
      </c>
    </row>
    <row r="22" spans="1:29" ht="15.75" thickBot="1" x14ac:dyDescent="0.3">
      <c r="A22" s="330">
        <v>45927</v>
      </c>
      <c r="B22" s="9">
        <v>7</v>
      </c>
      <c r="C22" s="122"/>
      <c r="D22" s="9" t="s">
        <v>161</v>
      </c>
      <c r="E22" s="10">
        <v>0.55000000000000004</v>
      </c>
      <c r="F22" s="10"/>
      <c r="G22" s="383">
        <v>1</v>
      </c>
      <c r="H22" s="383">
        <v>1</v>
      </c>
      <c r="I22" s="12">
        <v>0.59</v>
      </c>
      <c r="J22" s="12"/>
      <c r="K22" s="122"/>
      <c r="L22" s="9" t="s">
        <v>129</v>
      </c>
      <c r="M22" s="45"/>
      <c r="N22" s="511">
        <v>57</v>
      </c>
      <c r="O22" s="512" t="s">
        <v>161</v>
      </c>
      <c r="P22" s="513" t="s">
        <v>65</v>
      </c>
      <c r="Q22" s="513" t="s">
        <v>301</v>
      </c>
      <c r="R22" s="513" t="s">
        <v>689</v>
      </c>
      <c r="S22" s="479">
        <v>78</v>
      </c>
      <c r="T22" s="513" t="s">
        <v>47</v>
      </c>
      <c r="U22" s="513" t="s">
        <v>42</v>
      </c>
      <c r="V22" s="514" t="s">
        <v>20</v>
      </c>
      <c r="W22" s="52">
        <v>0.23</v>
      </c>
      <c r="X22" s="358">
        <v>0.74</v>
      </c>
      <c r="Y22" s="352" t="s">
        <v>353</v>
      </c>
      <c r="Z22" s="9" t="s">
        <v>8</v>
      </c>
      <c r="AA22" s="113" t="s">
        <v>51</v>
      </c>
      <c r="AB22" s="109" t="s">
        <v>672</v>
      </c>
      <c r="AC22" s="58" t="s">
        <v>546</v>
      </c>
    </row>
    <row r="23" spans="1:29" ht="15.75" thickBot="1" x14ac:dyDescent="0.3">
      <c r="A23" s="326">
        <v>45927</v>
      </c>
      <c r="B23" s="207">
        <v>7</v>
      </c>
      <c r="C23" s="208"/>
      <c r="D23" s="207" t="s">
        <v>161</v>
      </c>
      <c r="E23" s="209">
        <v>0.55000000000000004</v>
      </c>
      <c r="F23" s="209"/>
      <c r="G23" s="460">
        <v>1</v>
      </c>
      <c r="H23" s="460">
        <v>1</v>
      </c>
      <c r="I23" s="211">
        <v>0.59</v>
      </c>
      <c r="J23" s="211"/>
      <c r="K23" s="208"/>
      <c r="L23" s="207" t="s">
        <v>129</v>
      </c>
      <c r="M23" s="235"/>
      <c r="N23" s="347"/>
      <c r="O23" s="343" t="s">
        <v>161</v>
      </c>
      <c r="P23" s="199" t="s">
        <v>316</v>
      </c>
      <c r="Q23" s="199" t="s">
        <v>721</v>
      </c>
      <c r="R23" s="199" t="s">
        <v>707</v>
      </c>
      <c r="S23" s="479">
        <v>65</v>
      </c>
      <c r="T23" s="199"/>
      <c r="U23" s="199"/>
      <c r="V23" s="201"/>
      <c r="W23" s="202"/>
      <c r="X23" s="359"/>
      <c r="Y23" s="353">
        <v>1</v>
      </c>
      <c r="Z23" s="199"/>
      <c r="AA23" s="204"/>
      <c r="AB23" s="205"/>
      <c r="AC23" s="201"/>
    </row>
    <row r="24" spans="1:29" ht="15.75" thickBot="1" x14ac:dyDescent="0.3">
      <c r="A24" s="326">
        <v>45927</v>
      </c>
      <c r="B24" s="207">
        <v>7</v>
      </c>
      <c r="C24" s="208"/>
      <c r="D24" s="207" t="s">
        <v>161</v>
      </c>
      <c r="E24" s="209">
        <v>0.55000000000000004</v>
      </c>
      <c r="F24" s="209"/>
      <c r="G24" s="460">
        <v>1</v>
      </c>
      <c r="H24" s="460">
        <v>1</v>
      </c>
      <c r="I24" s="211">
        <v>0.59</v>
      </c>
      <c r="J24" s="211"/>
      <c r="K24" s="208"/>
      <c r="L24" s="207" t="s">
        <v>129</v>
      </c>
      <c r="M24" s="235"/>
      <c r="N24" s="347"/>
      <c r="O24" s="343" t="s">
        <v>129</v>
      </c>
      <c r="P24" s="199" t="s">
        <v>731</v>
      </c>
      <c r="Q24" s="199" t="s">
        <v>732</v>
      </c>
      <c r="R24" s="199" t="s">
        <v>707</v>
      </c>
      <c r="S24" s="479">
        <v>63</v>
      </c>
      <c r="T24" s="199"/>
      <c r="U24" s="199"/>
      <c r="V24" s="201"/>
      <c r="W24" s="202"/>
      <c r="X24" s="359"/>
      <c r="Y24" s="353">
        <v>1</v>
      </c>
      <c r="Z24" s="199"/>
      <c r="AA24" s="204"/>
      <c r="AB24" s="205"/>
      <c r="AC24" s="201"/>
    </row>
    <row r="25" spans="1:29" x14ac:dyDescent="0.25">
      <c r="A25" s="329">
        <v>45949</v>
      </c>
      <c r="B25" s="5">
        <v>9</v>
      </c>
      <c r="C25" s="121" t="s">
        <v>701</v>
      </c>
      <c r="D25" s="5" t="s">
        <v>161</v>
      </c>
      <c r="E25" s="6">
        <v>0.48</v>
      </c>
      <c r="G25" s="362">
        <v>0</v>
      </c>
      <c r="H25" s="362">
        <v>1</v>
      </c>
      <c r="I25" s="8">
        <v>1.96</v>
      </c>
      <c r="K25" s="121" t="s">
        <v>693</v>
      </c>
      <c r="L25" s="5" t="s">
        <v>226</v>
      </c>
      <c r="M25" s="242" t="s">
        <v>758</v>
      </c>
      <c r="N25" s="345">
        <v>42</v>
      </c>
      <c r="O25" s="38" t="s">
        <v>226</v>
      </c>
      <c r="P25" s="5" t="s">
        <v>53</v>
      </c>
      <c r="Q25" s="5" t="s">
        <v>286</v>
      </c>
      <c r="R25" s="5" t="s">
        <v>685</v>
      </c>
      <c r="S25" s="7">
        <v>77</v>
      </c>
      <c r="T25" s="5" t="s">
        <v>41</v>
      </c>
      <c r="U25" s="5" t="s">
        <v>43</v>
      </c>
      <c r="V25" s="57" t="s">
        <v>10</v>
      </c>
      <c r="W25" s="51">
        <v>0.16</v>
      </c>
      <c r="X25" s="357">
        <v>0.1</v>
      </c>
      <c r="Z25" s="5" t="s">
        <v>48</v>
      </c>
      <c r="AA25" s="112" t="s">
        <v>28</v>
      </c>
    </row>
    <row r="26" spans="1:29" x14ac:dyDescent="0.25">
      <c r="A26" s="329">
        <v>45949</v>
      </c>
      <c r="B26" s="5">
        <v>9</v>
      </c>
      <c r="D26" s="5" t="s">
        <v>161</v>
      </c>
      <c r="E26" s="6">
        <v>0.48</v>
      </c>
      <c r="G26" s="362">
        <v>0</v>
      </c>
      <c r="H26" s="362">
        <v>1</v>
      </c>
      <c r="I26" s="8">
        <v>1.96</v>
      </c>
      <c r="L26" s="5" t="s">
        <v>226</v>
      </c>
      <c r="M26" s="242" t="s">
        <v>758</v>
      </c>
      <c r="N26" s="345">
        <v>44</v>
      </c>
      <c r="O26" s="38" t="s">
        <v>226</v>
      </c>
      <c r="P26" s="5" t="s">
        <v>236</v>
      </c>
      <c r="Q26" s="5" t="s">
        <v>237</v>
      </c>
      <c r="R26" s="5" t="s">
        <v>686</v>
      </c>
      <c r="S26" s="7">
        <v>63</v>
      </c>
      <c r="T26" s="5" t="s">
        <v>44</v>
      </c>
      <c r="U26" s="5" t="s">
        <v>43</v>
      </c>
      <c r="V26" s="57" t="s">
        <v>540</v>
      </c>
      <c r="W26" s="51">
        <v>0.02</v>
      </c>
      <c r="X26" s="357">
        <v>0.24</v>
      </c>
      <c r="Z26" s="5" t="s">
        <v>48</v>
      </c>
      <c r="AA26" s="112" t="s">
        <v>28</v>
      </c>
    </row>
    <row r="27" spans="1:29" x14ac:dyDescent="0.25">
      <c r="A27" s="329">
        <v>45949</v>
      </c>
      <c r="B27" s="5">
        <v>9</v>
      </c>
      <c r="D27" s="5" t="s">
        <v>161</v>
      </c>
      <c r="E27" s="6">
        <v>0.48</v>
      </c>
      <c r="G27" s="362">
        <v>0</v>
      </c>
      <c r="H27" s="362">
        <v>1</v>
      </c>
      <c r="I27" s="8">
        <v>1.96</v>
      </c>
      <c r="L27" s="5" t="s">
        <v>226</v>
      </c>
      <c r="M27" s="242" t="s">
        <v>758</v>
      </c>
      <c r="N27" s="345">
        <v>54</v>
      </c>
      <c r="O27" s="38" t="s">
        <v>226</v>
      </c>
      <c r="P27" s="5" t="s">
        <v>486</v>
      </c>
      <c r="Q27" s="5" t="s">
        <v>487</v>
      </c>
      <c r="R27" s="5" t="s">
        <v>699</v>
      </c>
      <c r="S27" s="7">
        <v>76</v>
      </c>
      <c r="T27" s="5" t="s">
        <v>47</v>
      </c>
      <c r="U27" s="5" t="s">
        <v>42</v>
      </c>
      <c r="V27" s="57" t="s">
        <v>540</v>
      </c>
      <c r="W27" s="51">
        <v>0.08</v>
      </c>
      <c r="X27" s="357">
        <v>0.18</v>
      </c>
      <c r="Y27" s="351" t="s">
        <v>353</v>
      </c>
      <c r="Z27" s="5" t="s">
        <v>48</v>
      </c>
      <c r="AA27" s="112" t="s">
        <v>28</v>
      </c>
    </row>
    <row r="28" spans="1:29" x14ac:dyDescent="0.25">
      <c r="A28" s="329">
        <v>45949</v>
      </c>
      <c r="B28" s="5">
        <v>9</v>
      </c>
      <c r="D28" s="5" t="s">
        <v>161</v>
      </c>
      <c r="E28" s="6">
        <v>0.48</v>
      </c>
      <c r="G28" s="362">
        <v>0</v>
      </c>
      <c r="H28" s="362">
        <v>1</v>
      </c>
      <c r="I28" s="8">
        <v>1.96</v>
      </c>
      <c r="L28" s="5" t="s">
        <v>226</v>
      </c>
      <c r="M28" s="242" t="s">
        <v>758</v>
      </c>
      <c r="N28" s="345">
        <v>60</v>
      </c>
      <c r="O28" s="38" t="s">
        <v>226</v>
      </c>
      <c r="P28" s="5" t="s">
        <v>754</v>
      </c>
      <c r="Q28" s="5" t="s">
        <v>755</v>
      </c>
      <c r="R28" s="5" t="s">
        <v>696</v>
      </c>
      <c r="S28" s="7">
        <v>67</v>
      </c>
      <c r="T28" s="5" t="s">
        <v>41</v>
      </c>
      <c r="U28" s="5" t="s">
        <v>45</v>
      </c>
      <c r="V28" s="57" t="s">
        <v>20</v>
      </c>
      <c r="W28" s="51">
        <v>0.1</v>
      </c>
      <c r="X28" s="357" t="s">
        <v>53</v>
      </c>
      <c r="Z28" s="5" t="s">
        <v>13</v>
      </c>
      <c r="AA28" s="112" t="s">
        <v>28</v>
      </c>
    </row>
    <row r="29" spans="1:29" x14ac:dyDescent="0.25">
      <c r="A29" s="329">
        <v>45949</v>
      </c>
      <c r="B29" s="5">
        <v>9</v>
      </c>
      <c r="D29" s="5" t="s">
        <v>161</v>
      </c>
      <c r="E29" s="6">
        <v>0.48</v>
      </c>
      <c r="G29" s="362">
        <v>0</v>
      </c>
      <c r="H29" s="362">
        <v>1</v>
      </c>
      <c r="I29" s="8">
        <v>1.96</v>
      </c>
      <c r="L29" s="5" t="s">
        <v>226</v>
      </c>
      <c r="M29" s="242" t="s">
        <v>758</v>
      </c>
      <c r="N29" s="345">
        <v>65</v>
      </c>
      <c r="O29" s="38" t="s">
        <v>226</v>
      </c>
      <c r="P29" s="5" t="s">
        <v>231</v>
      </c>
      <c r="Q29" s="5" t="s">
        <v>232</v>
      </c>
      <c r="R29" s="5" t="s">
        <v>684</v>
      </c>
      <c r="S29" s="7">
        <v>77</v>
      </c>
      <c r="T29" s="5" t="s">
        <v>41</v>
      </c>
      <c r="U29" s="5" t="s">
        <v>42</v>
      </c>
      <c r="V29" s="57" t="s">
        <v>10</v>
      </c>
      <c r="W29" s="51">
        <v>7.0000000000000007E-2</v>
      </c>
      <c r="X29" s="357" t="s">
        <v>53</v>
      </c>
      <c r="Z29" s="5" t="s">
        <v>22</v>
      </c>
      <c r="AA29" s="112" t="s">
        <v>28</v>
      </c>
    </row>
    <row r="30" spans="1:29" x14ac:dyDescent="0.25">
      <c r="A30" s="329">
        <v>45949</v>
      </c>
      <c r="B30" s="5">
        <v>9</v>
      </c>
      <c r="D30" s="5" t="s">
        <v>161</v>
      </c>
      <c r="E30" s="6">
        <v>0.48</v>
      </c>
      <c r="G30" s="362">
        <v>0</v>
      </c>
      <c r="H30" s="362">
        <v>1</v>
      </c>
      <c r="I30" s="8">
        <v>1.96</v>
      </c>
      <c r="L30" s="5" t="s">
        <v>226</v>
      </c>
      <c r="M30" s="242" t="s">
        <v>758</v>
      </c>
      <c r="N30" s="345">
        <v>72</v>
      </c>
      <c r="O30" s="38" t="s">
        <v>226</v>
      </c>
      <c r="P30" s="5" t="s">
        <v>231</v>
      </c>
      <c r="Q30" s="5" t="s">
        <v>232</v>
      </c>
      <c r="R30" s="5" t="s">
        <v>684</v>
      </c>
      <c r="S30" s="7">
        <v>77</v>
      </c>
      <c r="T30" s="5" t="s">
        <v>44</v>
      </c>
      <c r="U30" s="5" t="s">
        <v>42</v>
      </c>
      <c r="V30" s="57" t="s">
        <v>15</v>
      </c>
      <c r="W30" s="51">
        <v>0.17</v>
      </c>
      <c r="X30" s="357" t="s">
        <v>53</v>
      </c>
      <c r="Z30" s="5" t="s">
        <v>52</v>
      </c>
      <c r="AA30" s="112" t="s">
        <v>28</v>
      </c>
    </row>
    <row r="31" spans="1:29" x14ac:dyDescent="0.25">
      <c r="A31" s="329">
        <v>45949</v>
      </c>
      <c r="B31" s="5">
        <v>9</v>
      </c>
      <c r="D31" s="5" t="s">
        <v>161</v>
      </c>
      <c r="E31" s="6">
        <v>0.48</v>
      </c>
      <c r="G31" s="362">
        <v>0</v>
      </c>
      <c r="H31" s="362">
        <v>1</v>
      </c>
      <c r="I31" s="8">
        <v>1.96</v>
      </c>
      <c r="L31" s="5" t="s">
        <v>226</v>
      </c>
      <c r="M31" s="242" t="s">
        <v>758</v>
      </c>
      <c r="N31" s="345">
        <v>80</v>
      </c>
      <c r="O31" s="38" t="s">
        <v>226</v>
      </c>
      <c r="P31" s="5" t="s">
        <v>231</v>
      </c>
      <c r="Q31" s="5" t="s">
        <v>232</v>
      </c>
      <c r="R31" s="5" t="s">
        <v>684</v>
      </c>
      <c r="S31" s="7">
        <v>77</v>
      </c>
      <c r="T31" s="5" t="s">
        <v>41</v>
      </c>
      <c r="U31" s="5" t="s">
        <v>42</v>
      </c>
      <c r="V31" s="57" t="s">
        <v>10</v>
      </c>
      <c r="W31" s="51">
        <v>0.4</v>
      </c>
      <c r="X31" s="357">
        <v>0.63</v>
      </c>
      <c r="Y31" s="351" t="s">
        <v>353</v>
      </c>
      <c r="Z31" s="5" t="s">
        <v>8</v>
      </c>
      <c r="AA31" s="112" t="s">
        <v>9</v>
      </c>
      <c r="AB31" s="108" t="s">
        <v>56</v>
      </c>
      <c r="AC31" s="57" t="s">
        <v>235</v>
      </c>
    </row>
    <row r="32" spans="1:29" x14ac:dyDescent="0.25">
      <c r="A32" s="329">
        <v>45949</v>
      </c>
      <c r="B32" s="5">
        <v>9</v>
      </c>
      <c r="D32" s="5" t="s">
        <v>161</v>
      </c>
      <c r="E32" s="6">
        <v>0.48</v>
      </c>
      <c r="G32" s="362">
        <v>0</v>
      </c>
      <c r="H32" s="362">
        <v>1</v>
      </c>
      <c r="I32" s="8">
        <v>1.96</v>
      </c>
      <c r="L32" s="5" t="s">
        <v>226</v>
      </c>
      <c r="M32" s="242" t="s">
        <v>758</v>
      </c>
      <c r="N32" s="345">
        <v>82</v>
      </c>
      <c r="O32" s="38" t="s">
        <v>226</v>
      </c>
      <c r="P32" s="5" t="s">
        <v>231</v>
      </c>
      <c r="Q32" s="5" t="s">
        <v>232</v>
      </c>
      <c r="R32" s="5" t="s">
        <v>684</v>
      </c>
      <c r="S32" s="7">
        <v>77</v>
      </c>
      <c r="T32" s="5" t="s">
        <v>41</v>
      </c>
      <c r="U32" s="5" t="s">
        <v>42</v>
      </c>
      <c r="V32" s="57" t="s">
        <v>10</v>
      </c>
      <c r="W32" s="51">
        <v>0.37</v>
      </c>
      <c r="X32" s="357">
        <v>0.24</v>
      </c>
      <c r="Y32" s="351" t="s">
        <v>353</v>
      </c>
      <c r="Z32" s="5" t="s">
        <v>48</v>
      </c>
      <c r="AA32" s="112" t="s">
        <v>9</v>
      </c>
    </row>
    <row r="33" spans="1:29" x14ac:dyDescent="0.25">
      <c r="A33" s="329">
        <v>45949</v>
      </c>
      <c r="B33" s="5">
        <v>9</v>
      </c>
      <c r="D33" s="5" t="s">
        <v>161</v>
      </c>
      <c r="E33" s="6">
        <v>0.48</v>
      </c>
      <c r="G33" s="362">
        <v>0</v>
      </c>
      <c r="H33" s="362">
        <v>1</v>
      </c>
      <c r="I33" s="8">
        <v>1.96</v>
      </c>
      <c r="L33" s="5" t="s">
        <v>226</v>
      </c>
      <c r="M33" s="242" t="s">
        <v>758</v>
      </c>
      <c r="N33" s="476" t="s">
        <v>57</v>
      </c>
      <c r="O33" s="477" t="s">
        <v>161</v>
      </c>
      <c r="P33" s="478" t="s">
        <v>756</v>
      </c>
      <c r="Q33" s="478" t="s">
        <v>757</v>
      </c>
      <c r="R33" s="478" t="s">
        <v>696</v>
      </c>
      <c r="S33" s="479">
        <v>60</v>
      </c>
      <c r="T33" s="478" t="s">
        <v>41</v>
      </c>
      <c r="U33" s="478" t="s">
        <v>43</v>
      </c>
      <c r="V33" s="480" t="s">
        <v>10</v>
      </c>
      <c r="W33" s="51">
        <v>0.28000000000000003</v>
      </c>
      <c r="X33" s="357">
        <v>0.21</v>
      </c>
      <c r="Y33" s="351" t="s">
        <v>353</v>
      </c>
      <c r="Z33" s="5" t="s">
        <v>48</v>
      </c>
      <c r="AA33" s="112" t="s">
        <v>9</v>
      </c>
    </row>
    <row r="34" spans="1:29" ht="15.75" thickBot="1" x14ac:dyDescent="0.3">
      <c r="A34" s="338">
        <v>45949</v>
      </c>
      <c r="B34" s="230">
        <v>9</v>
      </c>
      <c r="C34" s="231"/>
      <c r="D34" s="230" t="s">
        <v>161</v>
      </c>
      <c r="E34" s="232">
        <v>0.48</v>
      </c>
      <c r="F34" s="232"/>
      <c r="G34" s="363">
        <v>0</v>
      </c>
      <c r="H34" s="363">
        <v>1</v>
      </c>
      <c r="I34" s="234">
        <v>1.96</v>
      </c>
      <c r="J34" s="234"/>
      <c r="K34" s="231"/>
      <c r="L34" s="230" t="s">
        <v>226</v>
      </c>
      <c r="M34" s="235"/>
      <c r="N34" s="347"/>
      <c r="O34" s="343" t="s">
        <v>161</v>
      </c>
      <c r="P34" s="199" t="s">
        <v>316</v>
      </c>
      <c r="Q34" s="199" t="s">
        <v>721</v>
      </c>
      <c r="R34" s="199" t="s">
        <v>707</v>
      </c>
      <c r="S34" s="7">
        <v>74</v>
      </c>
      <c r="T34" s="199"/>
      <c r="U34" s="199"/>
      <c r="V34" s="201"/>
      <c r="W34" s="202"/>
      <c r="X34" s="359"/>
      <c r="Y34" s="353">
        <v>1</v>
      </c>
      <c r="Z34" s="199"/>
      <c r="AA34" s="204"/>
      <c r="AB34" s="205"/>
      <c r="AC34" s="201"/>
    </row>
    <row r="35" spans="1:29" ht="15.75" thickBot="1" x14ac:dyDescent="0.3">
      <c r="A35" s="338">
        <v>45949</v>
      </c>
      <c r="B35" s="230">
        <v>9</v>
      </c>
      <c r="C35" s="231"/>
      <c r="D35" s="230" t="s">
        <v>161</v>
      </c>
      <c r="E35" s="232">
        <v>0.48</v>
      </c>
      <c r="F35" s="232"/>
      <c r="G35" s="363">
        <v>0</v>
      </c>
      <c r="H35" s="363">
        <v>1</v>
      </c>
      <c r="I35" s="234">
        <v>1.96</v>
      </c>
      <c r="J35" s="234"/>
      <c r="K35" s="231"/>
      <c r="L35" s="230" t="s">
        <v>226</v>
      </c>
      <c r="M35" s="235"/>
      <c r="N35" s="347"/>
      <c r="O35" s="343" t="s">
        <v>226</v>
      </c>
      <c r="P35" s="199" t="s">
        <v>726</v>
      </c>
      <c r="Q35" s="199" t="s">
        <v>727</v>
      </c>
      <c r="R35" s="199" t="s">
        <v>707</v>
      </c>
      <c r="S35" s="7">
        <v>66</v>
      </c>
      <c r="T35" s="199"/>
      <c r="U35" s="199"/>
      <c r="V35" s="201"/>
      <c r="W35" s="202"/>
      <c r="X35" s="359"/>
      <c r="Y35" s="353">
        <v>0</v>
      </c>
      <c r="Z35" s="199"/>
      <c r="AA35" s="204"/>
      <c r="AB35" s="205"/>
      <c r="AC35" s="201"/>
    </row>
    <row r="36" spans="1:29" x14ac:dyDescent="0.25">
      <c r="A36" s="328">
        <v>45893</v>
      </c>
      <c r="B36" s="17">
        <v>2</v>
      </c>
      <c r="C36" s="123" t="s">
        <v>694</v>
      </c>
      <c r="D36" s="17" t="s">
        <v>91</v>
      </c>
      <c r="E36" s="18">
        <v>2.2999999999999998</v>
      </c>
      <c r="F36" s="18"/>
      <c r="G36" s="461">
        <v>5</v>
      </c>
      <c r="H36" s="461">
        <v>0</v>
      </c>
      <c r="I36" s="20">
        <v>0.14000000000000001</v>
      </c>
      <c r="J36" s="20"/>
      <c r="K36" s="123" t="s">
        <v>704</v>
      </c>
      <c r="L36" s="17" t="s">
        <v>69</v>
      </c>
      <c r="M36" s="46"/>
      <c r="N36" s="507">
        <v>7</v>
      </c>
      <c r="O36" s="508" t="s">
        <v>91</v>
      </c>
      <c r="P36" s="509" t="s">
        <v>96</v>
      </c>
      <c r="Q36" s="509" t="s">
        <v>97</v>
      </c>
      <c r="R36" s="509" t="s">
        <v>718</v>
      </c>
      <c r="S36" s="479">
        <v>91</v>
      </c>
      <c r="T36" s="509" t="s">
        <v>41</v>
      </c>
      <c r="U36" s="509" t="s">
        <v>43</v>
      </c>
      <c r="V36" s="510" t="s">
        <v>540</v>
      </c>
      <c r="W36" s="53">
        <v>0.45</v>
      </c>
      <c r="X36" s="360">
        <v>0.52</v>
      </c>
      <c r="Y36" s="354" t="s">
        <v>353</v>
      </c>
      <c r="Z36" s="17" t="s">
        <v>8</v>
      </c>
      <c r="AA36" s="114" t="s">
        <v>19</v>
      </c>
      <c r="AB36" s="110"/>
      <c r="AC36" s="60"/>
    </row>
    <row r="37" spans="1:29" x14ac:dyDescent="0.25">
      <c r="A37" s="329">
        <v>45893</v>
      </c>
      <c r="B37" s="5">
        <v>2</v>
      </c>
      <c r="D37" s="5" t="s">
        <v>91</v>
      </c>
      <c r="E37" s="6">
        <v>2.2999999999999998</v>
      </c>
      <c r="G37" s="362">
        <v>5</v>
      </c>
      <c r="H37" s="362">
        <v>0</v>
      </c>
      <c r="I37" s="8">
        <v>0.14000000000000001</v>
      </c>
      <c r="L37" s="5" t="s">
        <v>69</v>
      </c>
      <c r="N37" s="476">
        <v>16</v>
      </c>
      <c r="O37" s="477" t="s">
        <v>91</v>
      </c>
      <c r="P37" s="478" t="s">
        <v>106</v>
      </c>
      <c r="Q37" s="478" t="s">
        <v>107</v>
      </c>
      <c r="R37" s="478" t="s">
        <v>686</v>
      </c>
      <c r="S37" s="479">
        <v>100</v>
      </c>
      <c r="T37" s="478" t="s">
        <v>41</v>
      </c>
      <c r="U37" s="478" t="s">
        <v>42</v>
      </c>
      <c r="V37" s="480" t="s">
        <v>10</v>
      </c>
      <c r="W37" s="51">
        <v>0.03</v>
      </c>
      <c r="X37" s="357">
        <v>0.18</v>
      </c>
      <c r="Z37" s="5" t="s">
        <v>8</v>
      </c>
      <c r="AA37" s="112" t="s">
        <v>24</v>
      </c>
      <c r="AB37" s="108" t="s">
        <v>493</v>
      </c>
      <c r="AC37" s="57" t="s">
        <v>494</v>
      </c>
    </row>
    <row r="38" spans="1:29" x14ac:dyDescent="0.25">
      <c r="A38" s="329">
        <v>45893</v>
      </c>
      <c r="B38" s="5">
        <v>2</v>
      </c>
      <c r="D38" s="5" t="s">
        <v>91</v>
      </c>
      <c r="E38" s="6">
        <v>2.2999999999999998</v>
      </c>
      <c r="G38" s="362">
        <v>5</v>
      </c>
      <c r="H38" s="362">
        <v>0</v>
      </c>
      <c r="I38" s="8">
        <v>0.14000000000000001</v>
      </c>
      <c r="L38" s="5" t="s">
        <v>69</v>
      </c>
      <c r="N38" s="476">
        <v>22</v>
      </c>
      <c r="O38" s="477" t="s">
        <v>91</v>
      </c>
      <c r="P38" s="478" t="s">
        <v>96</v>
      </c>
      <c r="Q38" s="478" t="s">
        <v>97</v>
      </c>
      <c r="R38" s="478" t="s">
        <v>718</v>
      </c>
      <c r="S38" s="479">
        <v>91</v>
      </c>
      <c r="T38" s="478" t="s">
        <v>41</v>
      </c>
      <c r="U38" s="478" t="s">
        <v>43</v>
      </c>
      <c r="V38" s="480" t="s">
        <v>18</v>
      </c>
      <c r="W38" s="51">
        <v>0.11</v>
      </c>
      <c r="X38" s="357" t="s">
        <v>53</v>
      </c>
      <c r="Z38" s="5" t="s">
        <v>52</v>
      </c>
      <c r="AA38" s="112" t="s">
        <v>24</v>
      </c>
    </row>
    <row r="39" spans="1:29" x14ac:dyDescent="0.25">
      <c r="A39" s="329">
        <v>45893</v>
      </c>
      <c r="B39" s="5">
        <v>2</v>
      </c>
      <c r="D39" s="5" t="s">
        <v>91</v>
      </c>
      <c r="E39" s="6">
        <v>2.2999999999999998</v>
      </c>
      <c r="G39" s="362">
        <v>5</v>
      </c>
      <c r="H39" s="362">
        <v>0</v>
      </c>
      <c r="I39" s="8">
        <v>0.14000000000000001</v>
      </c>
      <c r="L39" s="5" t="s">
        <v>69</v>
      </c>
      <c r="N39" s="476">
        <v>24</v>
      </c>
      <c r="O39" s="477" t="s">
        <v>91</v>
      </c>
      <c r="P39" s="478" t="s">
        <v>96</v>
      </c>
      <c r="Q39" s="478" t="s">
        <v>97</v>
      </c>
      <c r="R39" s="478" t="s">
        <v>718</v>
      </c>
      <c r="S39" s="479">
        <v>91</v>
      </c>
      <c r="T39" s="478" t="s">
        <v>41</v>
      </c>
      <c r="U39" s="478" t="s">
        <v>45</v>
      </c>
      <c r="V39" s="480" t="s">
        <v>10</v>
      </c>
      <c r="W39" s="51">
        <v>0.12</v>
      </c>
      <c r="X39" s="357" t="s">
        <v>53</v>
      </c>
      <c r="Z39" s="5" t="s">
        <v>52</v>
      </c>
      <c r="AA39" s="112" t="s">
        <v>24</v>
      </c>
    </row>
    <row r="40" spans="1:29" x14ac:dyDescent="0.25">
      <c r="A40" s="329">
        <v>45893</v>
      </c>
      <c r="B40" s="5">
        <v>2</v>
      </c>
      <c r="D40" s="5" t="s">
        <v>91</v>
      </c>
      <c r="E40" s="6">
        <v>2.2999999999999998</v>
      </c>
      <c r="G40" s="362">
        <v>5</v>
      </c>
      <c r="H40" s="362">
        <v>0</v>
      </c>
      <c r="I40" s="8">
        <v>0.14000000000000001</v>
      </c>
      <c r="L40" s="5" t="s">
        <v>69</v>
      </c>
      <c r="N40" s="476">
        <v>25</v>
      </c>
      <c r="O40" s="477" t="s">
        <v>91</v>
      </c>
      <c r="P40" s="478" t="s">
        <v>61</v>
      </c>
      <c r="Q40" s="478" t="s">
        <v>284</v>
      </c>
      <c r="R40" s="478" t="s">
        <v>712</v>
      </c>
      <c r="S40" s="481">
        <v>79</v>
      </c>
      <c r="T40" s="478" t="s">
        <v>47</v>
      </c>
      <c r="U40" s="478" t="s">
        <v>45</v>
      </c>
      <c r="V40" s="480" t="s">
        <v>20</v>
      </c>
      <c r="W40" s="51">
        <v>0.19</v>
      </c>
      <c r="X40" s="357">
        <v>0.55000000000000004</v>
      </c>
      <c r="Y40" s="351" t="s">
        <v>353</v>
      </c>
      <c r="Z40" s="5" t="s">
        <v>8</v>
      </c>
      <c r="AA40" s="112" t="s">
        <v>27</v>
      </c>
      <c r="AB40" s="108" t="s">
        <v>102</v>
      </c>
      <c r="AC40" s="57" t="s">
        <v>103</v>
      </c>
    </row>
    <row r="41" spans="1:29" x14ac:dyDescent="0.25">
      <c r="A41" s="329">
        <v>45893</v>
      </c>
      <c r="B41" s="5">
        <v>2</v>
      </c>
      <c r="D41" s="5" t="s">
        <v>91</v>
      </c>
      <c r="E41" s="6">
        <v>2.2999999999999998</v>
      </c>
      <c r="G41" s="362">
        <v>5</v>
      </c>
      <c r="H41" s="362">
        <v>0</v>
      </c>
      <c r="I41" s="8">
        <v>0.14000000000000001</v>
      </c>
      <c r="L41" s="5" t="s">
        <v>69</v>
      </c>
      <c r="N41" s="476">
        <v>28</v>
      </c>
      <c r="O41" s="477" t="s">
        <v>91</v>
      </c>
      <c r="P41" s="478" t="s">
        <v>106</v>
      </c>
      <c r="Q41" s="478" t="s">
        <v>107</v>
      </c>
      <c r="R41" s="478" t="s">
        <v>686</v>
      </c>
      <c r="S41" s="481">
        <v>100</v>
      </c>
      <c r="T41" s="478" t="s">
        <v>47</v>
      </c>
      <c r="U41" s="478" t="s">
        <v>42</v>
      </c>
      <c r="V41" s="480" t="s">
        <v>10</v>
      </c>
      <c r="W41" s="51">
        <v>0.33</v>
      </c>
      <c r="X41" s="357">
        <v>0.31</v>
      </c>
      <c r="Y41" s="351" t="s">
        <v>353</v>
      </c>
      <c r="Z41" s="5" t="s">
        <v>8</v>
      </c>
      <c r="AA41" s="112" t="s">
        <v>32</v>
      </c>
      <c r="AB41" s="108" t="s">
        <v>100</v>
      </c>
      <c r="AC41" s="57" t="s">
        <v>101</v>
      </c>
    </row>
    <row r="42" spans="1:29" x14ac:dyDescent="0.25">
      <c r="A42" s="329">
        <v>45893</v>
      </c>
      <c r="B42" s="5">
        <v>2</v>
      </c>
      <c r="D42" s="5" t="s">
        <v>91</v>
      </c>
      <c r="E42" s="6">
        <v>2.2999999999999998</v>
      </c>
      <c r="G42" s="362">
        <v>5</v>
      </c>
      <c r="H42" s="362">
        <v>0</v>
      </c>
      <c r="I42" s="8">
        <v>0.14000000000000001</v>
      </c>
      <c r="L42" s="5" t="s">
        <v>69</v>
      </c>
      <c r="N42" s="476">
        <v>33</v>
      </c>
      <c r="O42" s="477" t="s">
        <v>91</v>
      </c>
      <c r="P42" s="478" t="s">
        <v>104</v>
      </c>
      <c r="Q42" s="478" t="s">
        <v>105</v>
      </c>
      <c r="R42" s="478" t="s">
        <v>717</v>
      </c>
      <c r="S42" s="479">
        <v>81</v>
      </c>
      <c r="T42" s="478" t="s">
        <v>47</v>
      </c>
      <c r="U42" s="478" t="s">
        <v>43</v>
      </c>
      <c r="V42" s="480" t="s">
        <v>10</v>
      </c>
      <c r="W42" s="51">
        <v>0.31</v>
      </c>
      <c r="X42" s="357">
        <v>0.1</v>
      </c>
      <c r="Y42" s="351" t="s">
        <v>353</v>
      </c>
      <c r="Z42" s="5" t="s">
        <v>48</v>
      </c>
      <c r="AA42" s="112" t="s">
        <v>32</v>
      </c>
    </row>
    <row r="43" spans="1:29" x14ac:dyDescent="0.25">
      <c r="A43" s="329">
        <v>45893</v>
      </c>
      <c r="B43" s="5">
        <v>2</v>
      </c>
      <c r="D43" s="5" t="s">
        <v>91</v>
      </c>
      <c r="E43" s="6">
        <v>2.2999999999999998</v>
      </c>
      <c r="G43" s="362">
        <v>5</v>
      </c>
      <c r="H43" s="362">
        <v>0</v>
      </c>
      <c r="I43" s="8">
        <v>0.14000000000000001</v>
      </c>
      <c r="L43" s="5" t="s">
        <v>69</v>
      </c>
      <c r="N43" s="476" t="s">
        <v>63</v>
      </c>
      <c r="O43" s="477" t="s">
        <v>91</v>
      </c>
      <c r="P43" s="478" t="s">
        <v>104</v>
      </c>
      <c r="Q43" s="478" t="s">
        <v>105</v>
      </c>
      <c r="R43" s="478" t="s">
        <v>717</v>
      </c>
      <c r="S43" s="479">
        <v>81</v>
      </c>
      <c r="T43" s="478" t="s">
        <v>354</v>
      </c>
      <c r="U43" s="478" t="s">
        <v>42</v>
      </c>
      <c r="V43" s="480" t="s">
        <v>18</v>
      </c>
      <c r="W43" s="51">
        <v>0.03</v>
      </c>
      <c r="X43" s="357" t="s">
        <v>53</v>
      </c>
      <c r="Z43" s="5" t="s">
        <v>16</v>
      </c>
      <c r="AA43" s="112" t="s">
        <v>32</v>
      </c>
    </row>
    <row r="44" spans="1:29" ht="15.75" thickBot="1" x14ac:dyDescent="0.3">
      <c r="A44" s="330">
        <v>45893</v>
      </c>
      <c r="B44" s="9">
        <v>2</v>
      </c>
      <c r="C44" s="122"/>
      <c r="D44" s="9" t="s">
        <v>91</v>
      </c>
      <c r="E44" s="10">
        <v>2.2999999999999998</v>
      </c>
      <c r="F44" s="10"/>
      <c r="G44" s="383">
        <v>5</v>
      </c>
      <c r="H44" s="383">
        <v>0</v>
      </c>
      <c r="I44" s="12">
        <v>0.14000000000000001</v>
      </c>
      <c r="J44" s="12"/>
      <c r="K44" s="122"/>
      <c r="L44" s="9" t="s">
        <v>69</v>
      </c>
      <c r="M44" s="45"/>
      <c r="N44" s="511">
        <v>64</v>
      </c>
      <c r="O44" s="512" t="s">
        <v>91</v>
      </c>
      <c r="P44" s="513" t="s">
        <v>106</v>
      </c>
      <c r="Q44" s="513" t="s">
        <v>107</v>
      </c>
      <c r="R44" s="513" t="s">
        <v>686</v>
      </c>
      <c r="S44" s="479">
        <v>100</v>
      </c>
      <c r="T44" s="513" t="s">
        <v>44</v>
      </c>
      <c r="U44" s="513" t="s">
        <v>42</v>
      </c>
      <c r="V44" s="514" t="s">
        <v>18</v>
      </c>
      <c r="W44" s="52">
        <v>7.0000000000000007E-2</v>
      </c>
      <c r="X44" s="358">
        <v>0.22</v>
      </c>
      <c r="Y44" s="352"/>
      <c r="Z44" s="9" t="s">
        <v>8</v>
      </c>
      <c r="AA44" s="113" t="s">
        <v>285</v>
      </c>
      <c r="AB44" s="109" t="s">
        <v>104</v>
      </c>
      <c r="AC44" s="58" t="s">
        <v>105</v>
      </c>
    </row>
    <row r="45" spans="1:29" ht="15.75" thickBot="1" x14ac:dyDescent="0.3">
      <c r="A45" s="326">
        <v>45893</v>
      </c>
      <c r="B45" s="207">
        <v>2</v>
      </c>
      <c r="C45" s="208"/>
      <c r="D45" s="207" t="s">
        <v>91</v>
      </c>
      <c r="E45" s="209">
        <v>2.2999999999999998</v>
      </c>
      <c r="F45" s="209"/>
      <c r="G45" s="460">
        <v>5</v>
      </c>
      <c r="H45" s="460">
        <v>0</v>
      </c>
      <c r="I45" s="211">
        <v>0.14000000000000001</v>
      </c>
      <c r="J45" s="211"/>
      <c r="K45" s="208"/>
      <c r="L45" s="207" t="s">
        <v>69</v>
      </c>
      <c r="M45" s="197"/>
      <c r="N45" s="347"/>
      <c r="O45" s="343" t="s">
        <v>91</v>
      </c>
      <c r="P45" s="199" t="s">
        <v>315</v>
      </c>
      <c r="Q45" s="199" t="s">
        <v>54</v>
      </c>
      <c r="R45" s="199" t="s">
        <v>707</v>
      </c>
      <c r="S45" s="479">
        <v>72</v>
      </c>
      <c r="T45" s="199"/>
      <c r="U45" s="199"/>
      <c r="V45" s="201"/>
      <c r="W45" s="202"/>
      <c r="X45" s="359"/>
      <c r="Y45" s="353">
        <v>0</v>
      </c>
      <c r="Z45" s="199"/>
      <c r="AA45" s="204"/>
      <c r="AB45" s="205"/>
      <c r="AC45" s="201"/>
    </row>
    <row r="46" spans="1:29" ht="15.75" thickBot="1" x14ac:dyDescent="0.3">
      <c r="A46" s="326">
        <v>45893</v>
      </c>
      <c r="B46" s="207">
        <v>2</v>
      </c>
      <c r="C46" s="208"/>
      <c r="D46" s="207" t="s">
        <v>91</v>
      </c>
      <c r="E46" s="209">
        <v>2.2999999999999998</v>
      </c>
      <c r="F46" s="209"/>
      <c r="G46" s="460">
        <v>5</v>
      </c>
      <c r="H46" s="460">
        <v>0</v>
      </c>
      <c r="I46" s="211">
        <v>0.14000000000000001</v>
      </c>
      <c r="J46" s="211"/>
      <c r="K46" s="208"/>
      <c r="L46" s="207" t="s">
        <v>69</v>
      </c>
      <c r="M46" s="197"/>
      <c r="N46" s="347"/>
      <c r="O46" s="343" t="s">
        <v>69</v>
      </c>
      <c r="P46" s="199" t="s">
        <v>389</v>
      </c>
      <c r="Q46" s="199" t="s">
        <v>729</v>
      </c>
      <c r="R46" s="199" t="s">
        <v>707</v>
      </c>
      <c r="S46" s="7">
        <v>52</v>
      </c>
      <c r="T46" s="199"/>
      <c r="U46" s="199"/>
      <c r="V46" s="201"/>
      <c r="W46" s="202"/>
      <c r="X46" s="359"/>
      <c r="Y46" s="353">
        <v>5</v>
      </c>
      <c r="Z46" s="199"/>
      <c r="AA46" s="204"/>
      <c r="AB46" s="205"/>
      <c r="AC46" s="201"/>
    </row>
    <row r="47" spans="1:29" x14ac:dyDescent="0.25">
      <c r="A47" s="328">
        <v>45914</v>
      </c>
      <c r="B47" s="17">
        <v>4</v>
      </c>
      <c r="C47" s="123" t="s">
        <v>700</v>
      </c>
      <c r="D47" s="17" t="s">
        <v>456</v>
      </c>
      <c r="E47" s="18">
        <v>2.5</v>
      </c>
      <c r="F47" s="18"/>
      <c r="G47" s="461">
        <v>1</v>
      </c>
      <c r="H47" s="461">
        <v>1</v>
      </c>
      <c r="I47" s="20">
        <v>0.64</v>
      </c>
      <c r="J47" s="20"/>
      <c r="K47" s="123" t="s">
        <v>692</v>
      </c>
      <c r="L47" s="17" t="s">
        <v>69</v>
      </c>
      <c r="M47" s="46"/>
      <c r="N47" s="507">
        <v>2</v>
      </c>
      <c r="O47" s="508" t="s">
        <v>456</v>
      </c>
      <c r="P47" s="509" t="s">
        <v>162</v>
      </c>
      <c r="Q47" s="509" t="s">
        <v>163</v>
      </c>
      <c r="R47" s="509" t="s">
        <v>686</v>
      </c>
      <c r="S47" s="479">
        <v>73</v>
      </c>
      <c r="T47" s="509" t="s">
        <v>41</v>
      </c>
      <c r="U47" s="509" t="s">
        <v>43</v>
      </c>
      <c r="V47" s="510" t="s">
        <v>540</v>
      </c>
      <c r="W47" s="53">
        <v>0.15</v>
      </c>
      <c r="X47" s="360" t="s">
        <v>53</v>
      </c>
      <c r="Y47" s="354"/>
      <c r="Z47" s="17" t="s">
        <v>52</v>
      </c>
      <c r="AA47" s="114" t="s">
        <v>28</v>
      </c>
      <c r="AB47" s="110"/>
      <c r="AC47" s="60"/>
    </row>
    <row r="48" spans="1:29" x14ac:dyDescent="0.25">
      <c r="A48" s="329">
        <v>45914</v>
      </c>
      <c r="B48" s="5">
        <v>4</v>
      </c>
      <c r="D48" s="5" t="s">
        <v>456</v>
      </c>
      <c r="E48" s="6">
        <v>2.5</v>
      </c>
      <c r="G48" s="362">
        <v>1</v>
      </c>
      <c r="H48" s="362">
        <v>1</v>
      </c>
      <c r="I48" s="8">
        <v>0.64</v>
      </c>
      <c r="L48" s="5" t="s">
        <v>69</v>
      </c>
      <c r="N48" s="345">
        <v>12</v>
      </c>
      <c r="O48" s="38" t="s">
        <v>69</v>
      </c>
      <c r="P48" s="5" t="s">
        <v>389</v>
      </c>
      <c r="Q48" s="5" t="s">
        <v>390</v>
      </c>
      <c r="R48" s="5" t="s">
        <v>684</v>
      </c>
      <c r="S48" s="7">
        <v>79</v>
      </c>
      <c r="T48" s="5" t="s">
        <v>41</v>
      </c>
      <c r="U48" s="5" t="s">
        <v>42</v>
      </c>
      <c r="V48" s="57" t="s">
        <v>10</v>
      </c>
      <c r="W48" s="51">
        <v>7.0000000000000007E-2</v>
      </c>
      <c r="X48" s="357">
        <v>0.19</v>
      </c>
      <c r="Z48" s="5" t="s">
        <v>8</v>
      </c>
      <c r="AA48" s="112" t="s">
        <v>9</v>
      </c>
      <c r="AB48" s="108" t="s">
        <v>59</v>
      </c>
      <c r="AC48" s="57" t="s">
        <v>365</v>
      </c>
    </row>
    <row r="49" spans="1:29" x14ac:dyDescent="0.25">
      <c r="A49" s="329">
        <v>45914</v>
      </c>
      <c r="B49" s="5">
        <v>4</v>
      </c>
      <c r="D49" s="5" t="s">
        <v>456</v>
      </c>
      <c r="E49" s="6">
        <v>2.5</v>
      </c>
      <c r="G49" s="362">
        <v>1</v>
      </c>
      <c r="H49" s="362">
        <v>1</v>
      </c>
      <c r="I49" s="8">
        <v>0.64</v>
      </c>
      <c r="L49" s="5" t="s">
        <v>69</v>
      </c>
      <c r="N49" s="345">
        <v>39</v>
      </c>
      <c r="O49" s="38" t="s">
        <v>69</v>
      </c>
      <c r="P49" s="5" t="s">
        <v>59</v>
      </c>
      <c r="Q49" s="5" t="s">
        <v>365</v>
      </c>
      <c r="R49" s="5" t="s">
        <v>690</v>
      </c>
      <c r="S49" s="7">
        <v>73</v>
      </c>
      <c r="T49" s="5" t="s">
        <v>41</v>
      </c>
      <c r="U49" s="5" t="s">
        <v>45</v>
      </c>
      <c r="V49" s="57" t="s">
        <v>10</v>
      </c>
      <c r="W49" s="51">
        <v>0.05</v>
      </c>
      <c r="X49" s="357">
        <v>0.04</v>
      </c>
      <c r="Y49" s="351" t="s">
        <v>353</v>
      </c>
      <c r="Z49" s="5" t="s">
        <v>48</v>
      </c>
      <c r="AA49" s="112" t="s">
        <v>9</v>
      </c>
    </row>
    <row r="50" spans="1:29" x14ac:dyDescent="0.25">
      <c r="A50" s="329">
        <v>45914</v>
      </c>
      <c r="B50" s="5">
        <v>4</v>
      </c>
      <c r="D50" s="5" t="s">
        <v>456</v>
      </c>
      <c r="E50" s="6">
        <v>2.5</v>
      </c>
      <c r="G50" s="362">
        <v>1</v>
      </c>
      <c r="H50" s="362">
        <v>1</v>
      </c>
      <c r="I50" s="8">
        <v>0.64</v>
      </c>
      <c r="L50" s="5" t="s">
        <v>69</v>
      </c>
      <c r="N50" s="476">
        <v>40</v>
      </c>
      <c r="O50" s="477" t="s">
        <v>456</v>
      </c>
      <c r="P50" s="478" t="s">
        <v>118</v>
      </c>
      <c r="Q50" s="478" t="s">
        <v>357</v>
      </c>
      <c r="R50" s="478" t="s">
        <v>684</v>
      </c>
      <c r="S50" s="479">
        <v>65</v>
      </c>
      <c r="T50" s="478" t="s">
        <v>41</v>
      </c>
      <c r="U50" s="478" t="s">
        <v>45</v>
      </c>
      <c r="V50" s="480" t="s">
        <v>10</v>
      </c>
      <c r="W50" s="51">
        <v>0.13</v>
      </c>
      <c r="X50" s="357" t="s">
        <v>53</v>
      </c>
      <c r="Z50" s="5" t="s">
        <v>13</v>
      </c>
      <c r="AA50" s="112" t="s">
        <v>9</v>
      </c>
    </row>
    <row r="51" spans="1:29" x14ac:dyDescent="0.25">
      <c r="A51" s="329">
        <v>45914</v>
      </c>
      <c r="B51" s="5">
        <v>4</v>
      </c>
      <c r="D51" s="5" t="s">
        <v>456</v>
      </c>
      <c r="E51" s="6">
        <v>2.5</v>
      </c>
      <c r="G51" s="362">
        <v>1</v>
      </c>
      <c r="H51" s="362">
        <v>1</v>
      </c>
      <c r="I51" s="8">
        <v>0.64</v>
      </c>
      <c r="L51" s="5" t="s">
        <v>69</v>
      </c>
      <c r="N51" s="476">
        <v>42</v>
      </c>
      <c r="O51" s="477" t="s">
        <v>456</v>
      </c>
      <c r="P51" s="478" t="s">
        <v>118</v>
      </c>
      <c r="Q51" s="478" t="s">
        <v>357</v>
      </c>
      <c r="R51" s="478" t="s">
        <v>684</v>
      </c>
      <c r="S51" s="479">
        <v>65</v>
      </c>
      <c r="T51" s="478" t="s">
        <v>41</v>
      </c>
      <c r="U51" s="478" t="s">
        <v>42</v>
      </c>
      <c r="V51" s="480" t="s">
        <v>10</v>
      </c>
      <c r="W51" s="51">
        <v>0.06</v>
      </c>
      <c r="X51" s="357">
        <v>0.13</v>
      </c>
      <c r="Z51" s="5" t="s">
        <v>48</v>
      </c>
      <c r="AA51" s="112" t="s">
        <v>9</v>
      </c>
    </row>
    <row r="52" spans="1:29" x14ac:dyDescent="0.25">
      <c r="A52" s="329">
        <v>45914</v>
      </c>
      <c r="B52" s="5">
        <v>4</v>
      </c>
      <c r="D52" s="5" t="s">
        <v>456</v>
      </c>
      <c r="E52" s="6">
        <v>2.5</v>
      </c>
      <c r="G52" s="362">
        <v>1</v>
      </c>
      <c r="H52" s="362">
        <v>1</v>
      </c>
      <c r="I52" s="8">
        <v>0.64</v>
      </c>
      <c r="L52" s="5" t="s">
        <v>69</v>
      </c>
      <c r="N52" s="476">
        <v>42</v>
      </c>
      <c r="O52" s="477" t="s">
        <v>456</v>
      </c>
      <c r="P52" s="478" t="s">
        <v>118</v>
      </c>
      <c r="Q52" s="478" t="s">
        <v>357</v>
      </c>
      <c r="R52" s="478" t="s">
        <v>684</v>
      </c>
      <c r="S52" s="479">
        <v>65</v>
      </c>
      <c r="T52" s="478" t="s">
        <v>41</v>
      </c>
      <c r="U52" s="478" t="s">
        <v>42</v>
      </c>
      <c r="V52" s="480" t="s">
        <v>20</v>
      </c>
      <c r="W52" s="51">
        <v>7.0000000000000007E-2</v>
      </c>
      <c r="X52" s="357">
        <v>0.38</v>
      </c>
      <c r="Z52" s="5" t="s">
        <v>48</v>
      </c>
      <c r="AA52" s="112" t="s">
        <v>9</v>
      </c>
    </row>
    <row r="53" spans="1:29" x14ac:dyDescent="0.25">
      <c r="A53" s="329">
        <v>45914</v>
      </c>
      <c r="B53" s="5">
        <v>4</v>
      </c>
      <c r="D53" s="5" t="s">
        <v>456</v>
      </c>
      <c r="E53" s="6">
        <v>2.5</v>
      </c>
      <c r="G53" s="362">
        <v>1</v>
      </c>
      <c r="H53" s="362">
        <v>1</v>
      </c>
      <c r="I53" s="8">
        <v>0.64</v>
      </c>
      <c r="L53" s="5" t="s">
        <v>69</v>
      </c>
      <c r="N53" s="476">
        <v>48</v>
      </c>
      <c r="O53" s="477" t="s">
        <v>456</v>
      </c>
      <c r="P53" s="478" t="s">
        <v>118</v>
      </c>
      <c r="Q53" s="478" t="s">
        <v>357</v>
      </c>
      <c r="R53" s="478" t="s">
        <v>684</v>
      </c>
      <c r="S53" s="479">
        <v>65</v>
      </c>
      <c r="T53" s="478" t="s">
        <v>41</v>
      </c>
      <c r="U53" s="478" t="s">
        <v>42</v>
      </c>
      <c r="V53" s="480" t="s">
        <v>10</v>
      </c>
      <c r="W53" s="51">
        <v>0.26</v>
      </c>
      <c r="X53" s="357">
        <v>0.47</v>
      </c>
      <c r="Z53" s="5" t="s">
        <v>48</v>
      </c>
      <c r="AA53" s="112" t="s">
        <v>9</v>
      </c>
    </row>
    <row r="54" spans="1:29" x14ac:dyDescent="0.25">
      <c r="A54" s="329">
        <v>45914</v>
      </c>
      <c r="B54" s="5">
        <v>4</v>
      </c>
      <c r="D54" s="5" t="s">
        <v>456</v>
      </c>
      <c r="E54" s="6">
        <v>2.5</v>
      </c>
      <c r="G54" s="362">
        <v>1</v>
      </c>
      <c r="H54" s="362">
        <v>1</v>
      </c>
      <c r="I54" s="8">
        <v>0.64</v>
      </c>
      <c r="L54" s="5" t="s">
        <v>69</v>
      </c>
      <c r="N54" s="345">
        <v>58</v>
      </c>
      <c r="O54" s="38" t="s">
        <v>69</v>
      </c>
      <c r="P54" s="5" t="s">
        <v>389</v>
      </c>
      <c r="Q54" s="5" t="s">
        <v>390</v>
      </c>
      <c r="R54" s="5" t="s">
        <v>684</v>
      </c>
      <c r="S54" s="479">
        <v>79</v>
      </c>
      <c r="T54" s="5" t="s">
        <v>41</v>
      </c>
      <c r="U54" s="5" t="s">
        <v>43</v>
      </c>
      <c r="V54" s="57" t="s">
        <v>10</v>
      </c>
      <c r="W54" s="51">
        <v>0.06</v>
      </c>
      <c r="X54" s="357">
        <v>0.36</v>
      </c>
      <c r="Z54" s="5" t="s">
        <v>48</v>
      </c>
      <c r="AA54" s="112" t="s">
        <v>9</v>
      </c>
    </row>
    <row r="55" spans="1:29" x14ac:dyDescent="0.25">
      <c r="A55" s="329">
        <v>45914</v>
      </c>
      <c r="B55" s="5">
        <v>4</v>
      </c>
      <c r="D55" s="5" t="s">
        <v>456</v>
      </c>
      <c r="E55" s="6">
        <v>2.5</v>
      </c>
      <c r="G55" s="362">
        <v>1</v>
      </c>
      <c r="H55" s="362">
        <v>1</v>
      </c>
      <c r="I55" s="8">
        <v>0.64</v>
      </c>
      <c r="L55" s="5" t="s">
        <v>69</v>
      </c>
      <c r="N55" s="476">
        <v>60</v>
      </c>
      <c r="O55" s="477" t="s">
        <v>456</v>
      </c>
      <c r="P55" s="478" t="s">
        <v>384</v>
      </c>
      <c r="Q55" s="478" t="s">
        <v>385</v>
      </c>
      <c r="R55" s="478" t="s">
        <v>688</v>
      </c>
      <c r="S55" s="479">
        <v>63</v>
      </c>
      <c r="T55" s="478" t="s">
        <v>47</v>
      </c>
      <c r="U55" s="478" t="s">
        <v>43</v>
      </c>
      <c r="V55" s="480" t="s">
        <v>10</v>
      </c>
      <c r="W55" s="51">
        <v>0.27</v>
      </c>
      <c r="X55" s="357" t="s">
        <v>53</v>
      </c>
      <c r="Z55" s="5" t="s">
        <v>13</v>
      </c>
      <c r="AA55" s="112" t="s">
        <v>9</v>
      </c>
    </row>
    <row r="56" spans="1:29" x14ac:dyDescent="0.25">
      <c r="A56" s="329">
        <v>45914</v>
      </c>
      <c r="B56" s="5">
        <v>4</v>
      </c>
      <c r="D56" s="5" t="s">
        <v>456</v>
      </c>
      <c r="E56" s="6">
        <v>2.5</v>
      </c>
      <c r="G56" s="362">
        <v>1</v>
      </c>
      <c r="H56" s="362">
        <v>1</v>
      </c>
      <c r="I56" s="8">
        <v>0.64</v>
      </c>
      <c r="L56" s="5" t="s">
        <v>69</v>
      </c>
      <c r="N56" s="476">
        <v>62</v>
      </c>
      <c r="O56" s="477" t="s">
        <v>456</v>
      </c>
      <c r="P56" s="478" t="s">
        <v>147</v>
      </c>
      <c r="Q56" s="478" t="s">
        <v>386</v>
      </c>
      <c r="R56" s="478" t="s">
        <v>695</v>
      </c>
      <c r="S56" s="479">
        <v>72</v>
      </c>
      <c r="T56" s="478" t="s">
        <v>354</v>
      </c>
      <c r="U56" s="478" t="s">
        <v>43</v>
      </c>
      <c r="V56" s="480" t="s">
        <v>20</v>
      </c>
      <c r="W56" s="51">
        <v>0.05</v>
      </c>
      <c r="X56" s="357">
        <v>0.19</v>
      </c>
      <c r="Z56" s="5" t="s">
        <v>48</v>
      </c>
      <c r="AA56" s="112" t="s">
        <v>9</v>
      </c>
    </row>
    <row r="57" spans="1:29" x14ac:dyDescent="0.25">
      <c r="A57" s="329">
        <v>45914</v>
      </c>
      <c r="B57" s="5">
        <v>4</v>
      </c>
      <c r="D57" s="5" t="s">
        <v>456</v>
      </c>
      <c r="E57" s="6">
        <v>2.5</v>
      </c>
      <c r="G57" s="362">
        <v>1</v>
      </c>
      <c r="H57" s="362">
        <v>1</v>
      </c>
      <c r="I57" s="8">
        <v>0.64</v>
      </c>
      <c r="L57" s="5" t="s">
        <v>69</v>
      </c>
      <c r="N57" s="476">
        <v>69</v>
      </c>
      <c r="O57" s="477" t="s">
        <v>456</v>
      </c>
      <c r="P57" s="478" t="s">
        <v>384</v>
      </c>
      <c r="Q57" s="478" t="s">
        <v>385</v>
      </c>
      <c r="R57" s="478" t="s">
        <v>688</v>
      </c>
      <c r="S57" s="479">
        <v>63</v>
      </c>
      <c r="T57" s="478" t="s">
        <v>41</v>
      </c>
      <c r="U57" s="478" t="s">
        <v>42</v>
      </c>
      <c r="V57" s="480" t="s">
        <v>540</v>
      </c>
      <c r="W57" s="51">
        <v>0.13</v>
      </c>
      <c r="X57" s="357">
        <v>0.2</v>
      </c>
      <c r="Z57" s="5" t="s">
        <v>48</v>
      </c>
      <c r="AA57" s="112" t="s">
        <v>9</v>
      </c>
    </row>
    <row r="58" spans="1:29" x14ac:dyDescent="0.25">
      <c r="A58" s="329">
        <v>45914</v>
      </c>
      <c r="B58" s="5">
        <v>4</v>
      </c>
      <c r="D58" s="5" t="s">
        <v>456</v>
      </c>
      <c r="E58" s="6">
        <v>2.5</v>
      </c>
      <c r="G58" s="362">
        <v>1</v>
      </c>
      <c r="H58" s="362">
        <v>1</v>
      </c>
      <c r="I58" s="8">
        <v>0.64</v>
      </c>
      <c r="L58" s="5" t="s">
        <v>69</v>
      </c>
      <c r="N58" s="476">
        <v>75</v>
      </c>
      <c r="O58" s="477" t="s">
        <v>456</v>
      </c>
      <c r="P58" s="478" t="s">
        <v>387</v>
      </c>
      <c r="Q58" s="478" t="s">
        <v>388</v>
      </c>
      <c r="R58" s="478" t="s">
        <v>696</v>
      </c>
      <c r="S58" s="479">
        <v>66</v>
      </c>
      <c r="T58" s="478" t="s">
        <v>47</v>
      </c>
      <c r="U58" s="478" t="s">
        <v>45</v>
      </c>
      <c r="V58" s="480" t="s">
        <v>20</v>
      </c>
      <c r="W58" s="51">
        <v>0.11</v>
      </c>
      <c r="X58" s="357" t="s">
        <v>53</v>
      </c>
      <c r="Y58" s="351" t="s">
        <v>353</v>
      </c>
      <c r="Z58" s="5" t="s">
        <v>22</v>
      </c>
      <c r="AA58" s="112" t="s">
        <v>9</v>
      </c>
    </row>
    <row r="59" spans="1:29" x14ac:dyDescent="0.25">
      <c r="A59" s="329">
        <v>45914</v>
      </c>
      <c r="B59" s="5">
        <v>4</v>
      </c>
      <c r="D59" s="5" t="s">
        <v>456</v>
      </c>
      <c r="E59" s="6">
        <v>2.5</v>
      </c>
      <c r="G59" s="362">
        <v>1</v>
      </c>
      <c r="H59" s="362">
        <v>1</v>
      </c>
      <c r="I59" s="8">
        <v>0.64</v>
      </c>
      <c r="L59" s="5" t="s">
        <v>69</v>
      </c>
      <c r="N59" s="345">
        <v>83</v>
      </c>
      <c r="O59" s="38" t="s">
        <v>69</v>
      </c>
      <c r="P59" s="5" t="s">
        <v>53</v>
      </c>
      <c r="Q59" s="5" t="s">
        <v>324</v>
      </c>
      <c r="R59" s="5" t="s">
        <v>696</v>
      </c>
      <c r="S59" s="479">
        <v>61</v>
      </c>
      <c r="T59" s="5" t="s">
        <v>41</v>
      </c>
      <c r="U59" s="5" t="s">
        <v>42</v>
      </c>
      <c r="V59" s="57" t="s">
        <v>540</v>
      </c>
      <c r="W59" s="51">
        <v>0.11</v>
      </c>
      <c r="X59" s="357">
        <v>0.21</v>
      </c>
      <c r="Y59" s="351" t="s">
        <v>353</v>
      </c>
      <c r="Z59" s="5" t="s">
        <v>48</v>
      </c>
      <c r="AA59" s="112" t="s">
        <v>9</v>
      </c>
    </row>
    <row r="60" spans="1:29" x14ac:dyDescent="0.25">
      <c r="A60" s="329">
        <v>45914</v>
      </c>
      <c r="B60" s="5">
        <v>4</v>
      </c>
      <c r="D60" s="5" t="s">
        <v>456</v>
      </c>
      <c r="E60" s="6">
        <v>2.5</v>
      </c>
      <c r="G60" s="362">
        <v>1</v>
      </c>
      <c r="H60" s="362">
        <v>1</v>
      </c>
      <c r="I60" s="8">
        <v>0.64</v>
      </c>
      <c r="L60" s="5" t="s">
        <v>69</v>
      </c>
      <c r="N60" s="476">
        <v>86</v>
      </c>
      <c r="O60" s="477" t="s">
        <v>456</v>
      </c>
      <c r="P60" s="478" t="s">
        <v>387</v>
      </c>
      <c r="Q60" s="478" t="s">
        <v>388</v>
      </c>
      <c r="R60" s="478" t="s">
        <v>696</v>
      </c>
      <c r="S60" s="481">
        <v>66</v>
      </c>
      <c r="T60" s="478" t="s">
        <v>41</v>
      </c>
      <c r="U60" s="478" t="s">
        <v>45</v>
      </c>
      <c r="V60" s="480" t="s">
        <v>20</v>
      </c>
      <c r="W60" s="51">
        <v>0.06</v>
      </c>
      <c r="X60" s="357">
        <v>0.49</v>
      </c>
      <c r="Z60" s="5" t="s">
        <v>48</v>
      </c>
      <c r="AA60" s="112" t="s">
        <v>9</v>
      </c>
    </row>
    <row r="61" spans="1:29" x14ac:dyDescent="0.25">
      <c r="A61" s="329">
        <v>45914</v>
      </c>
      <c r="B61" s="5">
        <v>4</v>
      </c>
      <c r="D61" s="5" t="s">
        <v>456</v>
      </c>
      <c r="E61" s="6">
        <v>2.5</v>
      </c>
      <c r="G61" s="362">
        <v>1</v>
      </c>
      <c r="H61" s="362">
        <v>1</v>
      </c>
      <c r="I61" s="8">
        <v>0.64</v>
      </c>
      <c r="L61" s="5" t="s">
        <v>69</v>
      </c>
      <c r="N61" s="345">
        <v>87</v>
      </c>
      <c r="O61" s="38" t="s">
        <v>69</v>
      </c>
      <c r="P61" s="5" t="s">
        <v>391</v>
      </c>
      <c r="Q61" s="5" t="s">
        <v>392</v>
      </c>
      <c r="R61" s="5" t="s">
        <v>696</v>
      </c>
      <c r="S61" s="481">
        <v>62</v>
      </c>
      <c r="T61" s="5" t="s">
        <v>41</v>
      </c>
      <c r="U61" s="5" t="s">
        <v>42</v>
      </c>
      <c r="V61" s="57" t="s">
        <v>10</v>
      </c>
      <c r="W61" s="51">
        <v>0.04</v>
      </c>
      <c r="X61" s="357">
        <v>0.26</v>
      </c>
      <c r="Z61" s="5" t="s">
        <v>48</v>
      </c>
      <c r="AA61" s="112" t="s">
        <v>9</v>
      </c>
    </row>
    <row r="62" spans="1:29" ht="15.75" thickBot="1" x14ac:dyDescent="0.3">
      <c r="A62" s="330">
        <v>45914</v>
      </c>
      <c r="B62" s="9">
        <v>4</v>
      </c>
      <c r="C62" s="122"/>
      <c r="D62" s="9" t="s">
        <v>456</v>
      </c>
      <c r="E62" s="10">
        <v>2.5</v>
      </c>
      <c r="F62" s="10"/>
      <c r="G62" s="383">
        <v>1</v>
      </c>
      <c r="H62" s="383">
        <v>1</v>
      </c>
      <c r="I62" s="12">
        <v>0.64</v>
      </c>
      <c r="J62" s="12"/>
      <c r="K62" s="122"/>
      <c r="L62" s="9" t="s">
        <v>69</v>
      </c>
      <c r="M62" s="45"/>
      <c r="N62" s="511" t="s">
        <v>35</v>
      </c>
      <c r="O62" s="512" t="s">
        <v>456</v>
      </c>
      <c r="P62" s="513" t="s">
        <v>313</v>
      </c>
      <c r="Q62" s="513" t="s">
        <v>301</v>
      </c>
      <c r="R62" s="513" t="s">
        <v>696</v>
      </c>
      <c r="S62" s="479">
        <v>69</v>
      </c>
      <c r="T62" s="513" t="s">
        <v>41</v>
      </c>
      <c r="U62" s="513" t="s">
        <v>42</v>
      </c>
      <c r="V62" s="514" t="s">
        <v>7</v>
      </c>
      <c r="W62" s="52">
        <v>0.79</v>
      </c>
      <c r="X62" s="358">
        <v>0.9</v>
      </c>
      <c r="Y62" s="352" t="s">
        <v>353</v>
      </c>
      <c r="Z62" s="9" t="s">
        <v>8</v>
      </c>
      <c r="AA62" s="113" t="s">
        <v>51</v>
      </c>
      <c r="AB62" s="109"/>
      <c r="AC62" s="58"/>
    </row>
    <row r="63" spans="1:29" ht="15.75" thickBot="1" x14ac:dyDescent="0.3">
      <c r="A63" s="326">
        <v>45914</v>
      </c>
      <c r="B63" s="207">
        <v>4</v>
      </c>
      <c r="C63" s="208"/>
      <c r="D63" s="207" t="s">
        <v>456</v>
      </c>
      <c r="E63" s="209">
        <v>2.5</v>
      </c>
      <c r="F63" s="209"/>
      <c r="G63" s="460">
        <v>1</v>
      </c>
      <c r="H63" s="460">
        <v>1</v>
      </c>
      <c r="I63" s="211">
        <v>0.64</v>
      </c>
      <c r="J63" s="211"/>
      <c r="K63" s="208"/>
      <c r="L63" s="207" t="s">
        <v>69</v>
      </c>
      <c r="M63" s="235"/>
      <c r="N63" s="347"/>
      <c r="O63" s="343" t="s">
        <v>456</v>
      </c>
      <c r="P63" s="199" t="s">
        <v>719</v>
      </c>
      <c r="Q63" s="199" t="s">
        <v>720</v>
      </c>
      <c r="R63" s="199" t="s">
        <v>707</v>
      </c>
      <c r="S63" s="479">
        <v>79</v>
      </c>
      <c r="T63" s="199"/>
      <c r="U63" s="199"/>
      <c r="V63" s="201"/>
      <c r="W63" s="202"/>
      <c r="X63" s="359"/>
      <c r="Y63" s="353">
        <v>1</v>
      </c>
      <c r="Z63" s="199"/>
      <c r="AA63" s="204"/>
      <c r="AB63" s="205"/>
      <c r="AC63" s="201"/>
    </row>
    <row r="64" spans="1:29" ht="15.75" thickBot="1" x14ac:dyDescent="0.3">
      <c r="A64" s="326">
        <v>45914</v>
      </c>
      <c r="B64" s="207">
        <v>4</v>
      </c>
      <c r="C64" s="208"/>
      <c r="D64" s="207" t="s">
        <v>456</v>
      </c>
      <c r="E64" s="209">
        <v>2.5</v>
      </c>
      <c r="F64" s="209"/>
      <c r="G64" s="460">
        <v>1</v>
      </c>
      <c r="H64" s="460">
        <v>1</v>
      </c>
      <c r="I64" s="211">
        <v>0.64</v>
      </c>
      <c r="J64" s="211"/>
      <c r="K64" s="208"/>
      <c r="L64" s="207" t="s">
        <v>69</v>
      </c>
      <c r="M64" s="235"/>
      <c r="N64" s="347"/>
      <c r="O64" s="343" t="s">
        <v>69</v>
      </c>
      <c r="P64" s="199" t="s">
        <v>478</v>
      </c>
      <c r="Q64" s="199" t="s">
        <v>479</v>
      </c>
      <c r="R64" s="199" t="s">
        <v>707</v>
      </c>
      <c r="S64" s="7">
        <v>75</v>
      </c>
      <c r="T64" s="199"/>
      <c r="U64" s="199"/>
      <c r="V64" s="201"/>
      <c r="W64" s="202"/>
      <c r="X64" s="359"/>
      <c r="Y64" s="353">
        <v>1</v>
      </c>
      <c r="Z64" s="199"/>
      <c r="AA64" s="204"/>
      <c r="AB64" s="205"/>
      <c r="AC64" s="201"/>
    </row>
    <row r="65" spans="1:29" x14ac:dyDescent="0.25">
      <c r="A65" s="328">
        <v>45923</v>
      </c>
      <c r="B65" s="17">
        <v>6</v>
      </c>
      <c r="C65" s="123" t="s">
        <v>693</v>
      </c>
      <c r="D65" s="17" t="s">
        <v>170</v>
      </c>
      <c r="E65" s="18">
        <v>1.46</v>
      </c>
      <c r="F65" s="18"/>
      <c r="G65" s="461">
        <v>1</v>
      </c>
      <c r="H65" s="461">
        <v>1</v>
      </c>
      <c r="I65" s="20">
        <v>0.76</v>
      </c>
      <c r="J65" s="20"/>
      <c r="K65" s="123" t="s">
        <v>693</v>
      </c>
      <c r="L65" s="17" t="s">
        <v>69</v>
      </c>
      <c r="M65" s="46"/>
      <c r="N65" s="348">
        <v>8</v>
      </c>
      <c r="O65" s="456" t="s">
        <v>69</v>
      </c>
      <c r="P65" s="17" t="s">
        <v>389</v>
      </c>
      <c r="Q65" s="17" t="s">
        <v>390</v>
      </c>
      <c r="R65" s="17" t="s">
        <v>684</v>
      </c>
      <c r="S65" s="479">
        <v>61</v>
      </c>
      <c r="T65" s="17" t="s">
        <v>41</v>
      </c>
      <c r="U65" s="17" t="s">
        <v>43</v>
      </c>
      <c r="V65" s="59" t="s">
        <v>10</v>
      </c>
      <c r="W65" s="53">
        <v>0.5</v>
      </c>
      <c r="X65" s="360" t="s">
        <v>53</v>
      </c>
      <c r="Y65" s="354" t="s">
        <v>353</v>
      </c>
      <c r="Z65" s="17" t="s">
        <v>22</v>
      </c>
      <c r="AA65" s="114" t="s">
        <v>28</v>
      </c>
      <c r="AB65" s="110"/>
      <c r="AC65" s="60"/>
    </row>
    <row r="66" spans="1:29" x14ac:dyDescent="0.25">
      <c r="A66" s="331">
        <v>45923</v>
      </c>
      <c r="B66" s="5">
        <v>6</v>
      </c>
      <c r="D66" s="5" t="s">
        <v>170</v>
      </c>
      <c r="E66" s="6">
        <v>1.46</v>
      </c>
      <c r="G66" s="362">
        <v>1</v>
      </c>
      <c r="H66" s="362">
        <v>1</v>
      </c>
      <c r="I66" s="8">
        <v>0.76</v>
      </c>
      <c r="L66" s="5" t="s">
        <v>69</v>
      </c>
      <c r="N66" s="345">
        <v>9</v>
      </c>
      <c r="O66" s="38" t="s">
        <v>69</v>
      </c>
      <c r="P66" s="5" t="s">
        <v>480</v>
      </c>
      <c r="Q66" s="5" t="s">
        <v>481</v>
      </c>
      <c r="R66" s="5" t="s">
        <v>685</v>
      </c>
      <c r="S66" s="479">
        <v>90</v>
      </c>
      <c r="T66" s="5" t="s">
        <v>41</v>
      </c>
      <c r="U66" s="5" t="s">
        <v>42</v>
      </c>
      <c r="V66" s="57" t="s">
        <v>10</v>
      </c>
      <c r="W66" s="51">
        <v>0.05</v>
      </c>
      <c r="X66" s="357">
        <v>0.51</v>
      </c>
      <c r="Y66" s="351" t="s">
        <v>353</v>
      </c>
      <c r="Z66" s="5" t="s">
        <v>8</v>
      </c>
      <c r="AA66" s="112" t="s">
        <v>9</v>
      </c>
      <c r="AB66" s="108" t="s">
        <v>164</v>
      </c>
      <c r="AC66" s="57" t="s">
        <v>669</v>
      </c>
    </row>
    <row r="67" spans="1:29" x14ac:dyDescent="0.25">
      <c r="A67" s="331">
        <v>45923</v>
      </c>
      <c r="B67" s="5">
        <v>6</v>
      </c>
      <c r="D67" s="5" t="s">
        <v>170</v>
      </c>
      <c r="E67" s="6">
        <v>1.46</v>
      </c>
      <c r="G67" s="362">
        <v>1</v>
      </c>
      <c r="H67" s="362">
        <v>1</v>
      </c>
      <c r="I67" s="8">
        <v>0.76</v>
      </c>
      <c r="L67" s="5" t="s">
        <v>69</v>
      </c>
      <c r="N67" s="476">
        <v>26</v>
      </c>
      <c r="O67" s="477" t="s">
        <v>170</v>
      </c>
      <c r="P67" s="478" t="s">
        <v>379</v>
      </c>
      <c r="Q67" s="478" t="s">
        <v>380</v>
      </c>
      <c r="R67" s="478" t="s">
        <v>684</v>
      </c>
      <c r="S67" s="479">
        <v>63</v>
      </c>
      <c r="T67" s="478" t="s">
        <v>41</v>
      </c>
      <c r="U67" s="478" t="s">
        <v>42</v>
      </c>
      <c r="V67" s="480" t="s">
        <v>540</v>
      </c>
      <c r="W67" s="51">
        <v>7.0000000000000007E-2</v>
      </c>
      <c r="X67" s="357">
        <v>0.08</v>
      </c>
      <c r="Y67" s="351" t="s">
        <v>353</v>
      </c>
      <c r="Z67" s="5" t="s">
        <v>48</v>
      </c>
      <c r="AA67" s="112" t="s">
        <v>9</v>
      </c>
    </row>
    <row r="68" spans="1:29" x14ac:dyDescent="0.25">
      <c r="A68" s="331">
        <v>45923</v>
      </c>
      <c r="B68" s="5">
        <v>6</v>
      </c>
      <c r="D68" s="5" t="s">
        <v>170</v>
      </c>
      <c r="E68" s="6">
        <v>1.46</v>
      </c>
      <c r="G68" s="362">
        <v>1</v>
      </c>
      <c r="H68" s="362">
        <v>1</v>
      </c>
      <c r="I68" s="8">
        <v>0.76</v>
      </c>
      <c r="L68" s="5" t="s">
        <v>69</v>
      </c>
      <c r="N68" s="345">
        <v>45</v>
      </c>
      <c r="O68" s="38" t="s">
        <v>69</v>
      </c>
      <c r="P68" s="5" t="s">
        <v>53</v>
      </c>
      <c r="Q68" s="5" t="s">
        <v>324</v>
      </c>
      <c r="R68" s="5" t="s">
        <v>696</v>
      </c>
      <c r="S68" s="479">
        <v>62</v>
      </c>
      <c r="T68" s="5" t="s">
        <v>41</v>
      </c>
      <c r="U68" s="5" t="s">
        <v>42</v>
      </c>
      <c r="V68" s="57" t="s">
        <v>10</v>
      </c>
      <c r="W68" s="51">
        <v>0.1</v>
      </c>
      <c r="X68" s="357">
        <v>0.64</v>
      </c>
      <c r="Z68" s="5" t="s">
        <v>48</v>
      </c>
      <c r="AA68" s="112" t="s">
        <v>9</v>
      </c>
    </row>
    <row r="69" spans="1:29" x14ac:dyDescent="0.25">
      <c r="A69" s="331">
        <v>45923</v>
      </c>
      <c r="B69" s="5">
        <v>6</v>
      </c>
      <c r="D69" s="5" t="s">
        <v>170</v>
      </c>
      <c r="E69" s="6">
        <v>1.46</v>
      </c>
      <c r="G69" s="362">
        <v>1</v>
      </c>
      <c r="H69" s="362">
        <v>1</v>
      </c>
      <c r="I69" s="8">
        <v>0.76</v>
      </c>
      <c r="L69" s="5" t="s">
        <v>69</v>
      </c>
      <c r="N69" s="476">
        <v>48</v>
      </c>
      <c r="O69" s="477" t="s">
        <v>170</v>
      </c>
      <c r="P69" s="478" t="s">
        <v>159</v>
      </c>
      <c r="Q69" s="478" t="s">
        <v>381</v>
      </c>
      <c r="R69" s="478" t="s">
        <v>687</v>
      </c>
      <c r="S69" s="479">
        <v>81</v>
      </c>
      <c r="T69" s="478" t="s">
        <v>44</v>
      </c>
      <c r="U69" s="478" t="s">
        <v>42</v>
      </c>
      <c r="V69" s="480" t="s">
        <v>540</v>
      </c>
      <c r="W69" s="51">
        <v>0.1</v>
      </c>
      <c r="X69" s="357">
        <v>0.52</v>
      </c>
      <c r="Z69" s="5" t="s">
        <v>8</v>
      </c>
      <c r="AA69" s="112" t="s">
        <v>51</v>
      </c>
    </row>
    <row r="70" spans="1:29" x14ac:dyDescent="0.25">
      <c r="A70" s="331">
        <v>45923</v>
      </c>
      <c r="B70" s="5">
        <v>6</v>
      </c>
      <c r="D70" s="5" t="s">
        <v>170</v>
      </c>
      <c r="E70" s="6">
        <v>1.46</v>
      </c>
      <c r="G70" s="362">
        <v>1</v>
      </c>
      <c r="H70" s="362">
        <v>1</v>
      </c>
      <c r="I70" s="8">
        <v>0.76</v>
      </c>
      <c r="L70" s="5" t="s">
        <v>69</v>
      </c>
      <c r="N70" s="476">
        <v>51</v>
      </c>
      <c r="O70" s="477" t="s">
        <v>170</v>
      </c>
      <c r="P70" s="478" t="s">
        <v>306</v>
      </c>
      <c r="Q70" s="478" t="s">
        <v>471</v>
      </c>
      <c r="R70" s="478" t="s">
        <v>696</v>
      </c>
      <c r="S70" s="479">
        <v>66</v>
      </c>
      <c r="T70" s="478" t="s">
        <v>44</v>
      </c>
      <c r="U70" s="478" t="s">
        <v>42</v>
      </c>
      <c r="V70" s="480" t="s">
        <v>10</v>
      </c>
      <c r="W70" s="51">
        <v>0.03</v>
      </c>
      <c r="X70" s="357" t="s">
        <v>53</v>
      </c>
      <c r="Z70" s="5" t="s">
        <v>16</v>
      </c>
      <c r="AA70" s="112" t="s">
        <v>51</v>
      </c>
    </row>
    <row r="71" spans="1:29" x14ac:dyDescent="0.25">
      <c r="A71" s="331">
        <v>45923</v>
      </c>
      <c r="B71" s="5">
        <v>6</v>
      </c>
      <c r="D71" s="5" t="s">
        <v>170</v>
      </c>
      <c r="E71" s="6">
        <v>1.46</v>
      </c>
      <c r="G71" s="362">
        <v>1</v>
      </c>
      <c r="H71" s="362">
        <v>1</v>
      </c>
      <c r="I71" s="8">
        <v>0.76</v>
      </c>
      <c r="L71" s="5" t="s">
        <v>69</v>
      </c>
      <c r="N71" s="476">
        <v>69</v>
      </c>
      <c r="O71" s="477" t="s">
        <v>170</v>
      </c>
      <c r="P71" s="478" t="s">
        <v>379</v>
      </c>
      <c r="Q71" s="478" t="s">
        <v>380</v>
      </c>
      <c r="R71" s="478" t="s">
        <v>684</v>
      </c>
      <c r="S71" s="479">
        <v>63</v>
      </c>
      <c r="T71" s="478" t="s">
        <v>41</v>
      </c>
      <c r="U71" s="478" t="s">
        <v>42</v>
      </c>
      <c r="V71" s="480" t="s">
        <v>10</v>
      </c>
      <c r="W71" s="51">
        <v>0.27</v>
      </c>
      <c r="X71" s="357" t="s">
        <v>53</v>
      </c>
      <c r="Y71" s="351" t="s">
        <v>353</v>
      </c>
      <c r="Z71" s="5" t="s">
        <v>13</v>
      </c>
      <c r="AA71" s="112" t="s">
        <v>51</v>
      </c>
    </row>
    <row r="72" spans="1:29" x14ac:dyDescent="0.25">
      <c r="A72" s="331">
        <v>45923</v>
      </c>
      <c r="B72" s="5">
        <v>6</v>
      </c>
      <c r="D72" s="5" t="s">
        <v>170</v>
      </c>
      <c r="E72" s="6">
        <v>1.46</v>
      </c>
      <c r="G72" s="362">
        <v>1</v>
      </c>
      <c r="H72" s="362">
        <v>1</v>
      </c>
      <c r="I72" s="8">
        <v>0.76</v>
      </c>
      <c r="L72" s="5" t="s">
        <v>69</v>
      </c>
      <c r="N72" s="476">
        <v>70</v>
      </c>
      <c r="O72" s="477" t="s">
        <v>170</v>
      </c>
      <c r="P72" s="478" t="s">
        <v>214</v>
      </c>
      <c r="Q72" s="478" t="s">
        <v>339</v>
      </c>
      <c r="R72" s="478" t="s">
        <v>713</v>
      </c>
      <c r="S72" s="479">
        <v>66</v>
      </c>
      <c r="T72" s="478" t="s">
        <v>41</v>
      </c>
      <c r="U72" s="478" t="s">
        <v>45</v>
      </c>
      <c r="V72" s="480" t="s">
        <v>20</v>
      </c>
      <c r="W72" s="51">
        <v>0.1</v>
      </c>
      <c r="X72" s="357">
        <v>0.54</v>
      </c>
      <c r="Y72" s="351" t="s">
        <v>353</v>
      </c>
      <c r="Z72" s="5" t="s">
        <v>48</v>
      </c>
      <c r="AA72" s="112" t="s">
        <v>51</v>
      </c>
    </row>
    <row r="73" spans="1:29" x14ac:dyDescent="0.25">
      <c r="A73" s="331">
        <v>45923</v>
      </c>
      <c r="B73" s="5">
        <v>6</v>
      </c>
      <c r="D73" s="5" t="s">
        <v>170</v>
      </c>
      <c r="E73" s="6">
        <v>1.46</v>
      </c>
      <c r="G73" s="362">
        <v>1</v>
      </c>
      <c r="H73" s="362">
        <v>1</v>
      </c>
      <c r="I73" s="8">
        <v>0.76</v>
      </c>
      <c r="L73" s="5" t="s">
        <v>69</v>
      </c>
      <c r="N73" s="476">
        <v>74</v>
      </c>
      <c r="O73" s="477" t="s">
        <v>170</v>
      </c>
      <c r="P73" s="478" t="s">
        <v>176</v>
      </c>
      <c r="Q73" s="478" t="s">
        <v>177</v>
      </c>
      <c r="R73" s="478" t="s">
        <v>696</v>
      </c>
      <c r="S73" s="479">
        <v>72</v>
      </c>
      <c r="T73" s="478" t="s">
        <v>41</v>
      </c>
      <c r="U73" s="478" t="s">
        <v>43</v>
      </c>
      <c r="V73" s="480" t="s">
        <v>540</v>
      </c>
      <c r="W73" s="51">
        <v>0.35</v>
      </c>
      <c r="X73" s="357">
        <v>0.27</v>
      </c>
      <c r="Y73" s="351" t="s">
        <v>353</v>
      </c>
      <c r="Z73" s="5" t="s">
        <v>48</v>
      </c>
      <c r="AA73" s="112" t="s">
        <v>51</v>
      </c>
    </row>
    <row r="74" spans="1:29" ht="15.75" thickBot="1" x14ac:dyDescent="0.3">
      <c r="A74" s="336">
        <v>45923</v>
      </c>
      <c r="B74" s="9">
        <v>6</v>
      </c>
      <c r="C74" s="122"/>
      <c r="D74" s="9" t="s">
        <v>170</v>
      </c>
      <c r="E74" s="10">
        <v>1.46</v>
      </c>
      <c r="F74" s="10"/>
      <c r="G74" s="383">
        <v>1</v>
      </c>
      <c r="H74" s="383">
        <v>1</v>
      </c>
      <c r="I74" s="12">
        <v>0.76</v>
      </c>
      <c r="J74" s="12"/>
      <c r="K74" s="122"/>
      <c r="L74" s="9" t="s">
        <v>69</v>
      </c>
      <c r="M74" s="45"/>
      <c r="N74" s="511">
        <v>83</v>
      </c>
      <c r="O74" s="512" t="s">
        <v>170</v>
      </c>
      <c r="P74" s="513" t="s">
        <v>178</v>
      </c>
      <c r="Q74" s="513" t="s">
        <v>179</v>
      </c>
      <c r="R74" s="513" t="s">
        <v>696</v>
      </c>
      <c r="S74" s="479">
        <v>60</v>
      </c>
      <c r="T74" s="513" t="s">
        <v>41</v>
      </c>
      <c r="U74" s="513" t="s">
        <v>42</v>
      </c>
      <c r="V74" s="514" t="s">
        <v>10</v>
      </c>
      <c r="W74" s="52">
        <v>0.19</v>
      </c>
      <c r="X74" s="358" t="s">
        <v>53</v>
      </c>
      <c r="Y74" s="352"/>
      <c r="Z74" s="9" t="s">
        <v>13</v>
      </c>
      <c r="AA74" s="113" t="s">
        <v>51</v>
      </c>
      <c r="AB74" s="109"/>
      <c r="AC74" s="58"/>
    </row>
    <row r="75" spans="1:29" ht="15.75" thickBot="1" x14ac:dyDescent="0.3">
      <c r="A75" s="334">
        <v>45923</v>
      </c>
      <c r="B75" s="207">
        <v>6</v>
      </c>
      <c r="C75" s="208"/>
      <c r="D75" s="207" t="s">
        <v>170</v>
      </c>
      <c r="E75" s="209">
        <v>1.46</v>
      </c>
      <c r="F75" s="209"/>
      <c r="G75" s="460">
        <v>1</v>
      </c>
      <c r="H75" s="460">
        <v>1</v>
      </c>
      <c r="I75" s="211">
        <v>0.76</v>
      </c>
      <c r="J75" s="211"/>
      <c r="K75" s="208"/>
      <c r="L75" s="207" t="s">
        <v>69</v>
      </c>
      <c r="M75" s="235"/>
      <c r="N75" s="347"/>
      <c r="O75" s="343" t="s">
        <v>170</v>
      </c>
      <c r="P75" s="199" t="s">
        <v>269</v>
      </c>
      <c r="Q75" s="199" t="s">
        <v>722</v>
      </c>
      <c r="R75" s="199" t="s">
        <v>707</v>
      </c>
      <c r="S75" s="7">
        <v>64</v>
      </c>
      <c r="T75" s="199"/>
      <c r="U75" s="199"/>
      <c r="V75" s="201"/>
      <c r="W75" s="202"/>
      <c r="X75" s="359"/>
      <c r="Y75" s="353">
        <v>1</v>
      </c>
      <c r="Z75" s="199"/>
      <c r="AA75" s="204"/>
      <c r="AB75" s="205"/>
      <c r="AC75" s="201"/>
    </row>
    <row r="76" spans="1:29" ht="15.75" thickBot="1" x14ac:dyDescent="0.3">
      <c r="A76" s="334">
        <v>45923</v>
      </c>
      <c r="B76" s="207">
        <v>6</v>
      </c>
      <c r="C76" s="208"/>
      <c r="D76" s="207" t="s">
        <v>170</v>
      </c>
      <c r="E76" s="209">
        <v>1.46</v>
      </c>
      <c r="F76" s="209"/>
      <c r="G76" s="460">
        <v>1</v>
      </c>
      <c r="H76" s="460">
        <v>1</v>
      </c>
      <c r="I76" s="211">
        <v>0.76</v>
      </c>
      <c r="J76" s="211"/>
      <c r="K76" s="208"/>
      <c r="L76" s="207" t="s">
        <v>69</v>
      </c>
      <c r="M76" s="235"/>
      <c r="N76" s="347"/>
      <c r="O76" s="343" t="s">
        <v>69</v>
      </c>
      <c r="P76" s="199" t="s">
        <v>478</v>
      </c>
      <c r="Q76" s="199" t="s">
        <v>479</v>
      </c>
      <c r="R76" s="199" t="s">
        <v>707</v>
      </c>
      <c r="S76" s="479">
        <v>72</v>
      </c>
      <c r="T76" s="199"/>
      <c r="U76" s="199"/>
      <c r="V76" s="201"/>
      <c r="W76" s="202"/>
      <c r="X76" s="359"/>
      <c r="Y76" s="353">
        <v>1</v>
      </c>
      <c r="Z76" s="199"/>
      <c r="AA76" s="204"/>
      <c r="AB76" s="205"/>
      <c r="AC76" s="201"/>
    </row>
    <row r="77" spans="1:29" x14ac:dyDescent="0.25">
      <c r="A77" s="329">
        <v>45948</v>
      </c>
      <c r="B77" s="5">
        <v>9</v>
      </c>
      <c r="C77" s="121" t="s">
        <v>693</v>
      </c>
      <c r="D77" s="5" t="s">
        <v>113</v>
      </c>
      <c r="E77" s="6">
        <v>1.61</v>
      </c>
      <c r="G77" s="362">
        <v>2</v>
      </c>
      <c r="H77" s="362">
        <v>1</v>
      </c>
      <c r="I77" s="8">
        <v>1.55</v>
      </c>
      <c r="K77" s="121" t="s">
        <v>694</v>
      </c>
      <c r="L77" s="5" t="s">
        <v>69</v>
      </c>
      <c r="N77" s="476">
        <v>13</v>
      </c>
      <c r="O77" s="477" t="s">
        <v>113</v>
      </c>
      <c r="P77" s="478" t="s">
        <v>53</v>
      </c>
      <c r="Q77" s="478" t="s">
        <v>126</v>
      </c>
      <c r="R77" s="478" t="s">
        <v>687</v>
      </c>
      <c r="S77" s="479">
        <v>79</v>
      </c>
      <c r="T77" s="478" t="s">
        <v>41</v>
      </c>
      <c r="U77" s="478" t="s">
        <v>43</v>
      </c>
      <c r="V77" s="480" t="s">
        <v>10</v>
      </c>
      <c r="W77" s="51">
        <v>0.14000000000000001</v>
      </c>
      <c r="X77" s="357">
        <v>0.8</v>
      </c>
      <c r="Z77" s="5" t="s">
        <v>8</v>
      </c>
      <c r="AA77" s="112" t="s">
        <v>19</v>
      </c>
      <c r="AB77" s="108" t="s">
        <v>120</v>
      </c>
      <c r="AC77" s="57" t="s">
        <v>121</v>
      </c>
    </row>
    <row r="78" spans="1:29" x14ac:dyDescent="0.25">
      <c r="A78" s="329">
        <v>45948</v>
      </c>
      <c r="B78" s="5">
        <v>9</v>
      </c>
      <c r="D78" s="5" t="s">
        <v>113</v>
      </c>
      <c r="E78" s="6">
        <v>1.61</v>
      </c>
      <c r="G78" s="362">
        <v>2</v>
      </c>
      <c r="H78" s="362">
        <v>1</v>
      </c>
      <c r="I78" s="8">
        <v>1.55</v>
      </c>
      <c r="L78" s="5" t="s">
        <v>69</v>
      </c>
      <c r="N78" s="345">
        <v>20</v>
      </c>
      <c r="O78" s="38" t="s">
        <v>69</v>
      </c>
      <c r="P78" s="5" t="s">
        <v>502</v>
      </c>
      <c r="Q78" s="5" t="s">
        <v>503</v>
      </c>
      <c r="R78" s="5" t="s">
        <v>695</v>
      </c>
      <c r="S78" s="479">
        <v>76</v>
      </c>
      <c r="T78" s="5" t="s">
        <v>41</v>
      </c>
      <c r="U78" s="5" t="s">
        <v>43</v>
      </c>
      <c r="V78" s="57" t="s">
        <v>20</v>
      </c>
      <c r="W78" s="51">
        <v>0.14000000000000001</v>
      </c>
      <c r="X78" s="357">
        <v>0.87</v>
      </c>
      <c r="Z78" s="5" t="s">
        <v>8</v>
      </c>
      <c r="AA78" s="112" t="s">
        <v>51</v>
      </c>
      <c r="AB78" s="108" t="s">
        <v>553</v>
      </c>
      <c r="AC78" s="57" t="s">
        <v>131</v>
      </c>
    </row>
    <row r="79" spans="1:29" x14ac:dyDescent="0.25">
      <c r="A79" s="329">
        <v>45948</v>
      </c>
      <c r="B79" s="5">
        <v>9</v>
      </c>
      <c r="D79" s="5" t="s">
        <v>113</v>
      </c>
      <c r="E79" s="6">
        <v>1.61</v>
      </c>
      <c r="G79" s="362">
        <v>2</v>
      </c>
      <c r="H79" s="362">
        <v>1</v>
      </c>
      <c r="I79" s="8">
        <v>1.55</v>
      </c>
      <c r="L79" s="5" t="s">
        <v>69</v>
      </c>
      <c r="N79" s="345">
        <v>24</v>
      </c>
      <c r="O79" s="38" t="s">
        <v>69</v>
      </c>
      <c r="P79" s="5" t="s">
        <v>53</v>
      </c>
      <c r="Q79" s="5" t="s">
        <v>324</v>
      </c>
      <c r="R79" s="5" t="s">
        <v>718</v>
      </c>
      <c r="S79" s="479">
        <v>64</v>
      </c>
      <c r="T79" s="5" t="s">
        <v>41</v>
      </c>
      <c r="U79" s="5" t="s">
        <v>42</v>
      </c>
      <c r="V79" s="57" t="s">
        <v>18</v>
      </c>
      <c r="W79" s="51">
        <v>0.47</v>
      </c>
      <c r="X79" s="357">
        <v>0.87</v>
      </c>
      <c r="Y79" s="351" t="s">
        <v>353</v>
      </c>
      <c r="Z79" s="5" t="s">
        <v>48</v>
      </c>
      <c r="AA79" s="112" t="s">
        <v>51</v>
      </c>
    </row>
    <row r="80" spans="1:29" x14ac:dyDescent="0.25">
      <c r="A80" s="329">
        <v>45948</v>
      </c>
      <c r="B80" s="5">
        <v>9</v>
      </c>
      <c r="D80" s="5" t="s">
        <v>113</v>
      </c>
      <c r="E80" s="6">
        <v>1.61</v>
      </c>
      <c r="G80" s="362">
        <v>2</v>
      </c>
      <c r="H80" s="362">
        <v>1</v>
      </c>
      <c r="I80" s="8">
        <v>1.55</v>
      </c>
      <c r="L80" s="5" t="s">
        <v>69</v>
      </c>
      <c r="N80" s="476">
        <v>26</v>
      </c>
      <c r="O80" s="477" t="s">
        <v>113</v>
      </c>
      <c r="P80" s="478" t="s">
        <v>745</v>
      </c>
      <c r="Q80" s="478" t="s">
        <v>671</v>
      </c>
      <c r="R80" s="478" t="s">
        <v>695</v>
      </c>
      <c r="S80" s="479">
        <v>74</v>
      </c>
      <c r="T80" s="478" t="s">
        <v>41</v>
      </c>
      <c r="U80" s="478" t="s">
        <v>42</v>
      </c>
      <c r="V80" s="480" t="s">
        <v>10</v>
      </c>
      <c r="W80" s="51">
        <v>7.0000000000000007E-2</v>
      </c>
      <c r="X80" s="357">
        <v>0.3</v>
      </c>
      <c r="Z80" s="5" t="s">
        <v>48</v>
      </c>
      <c r="AA80" s="112" t="s">
        <v>51</v>
      </c>
    </row>
    <row r="81" spans="1:29" x14ac:dyDescent="0.25">
      <c r="A81" s="329">
        <v>45948</v>
      </c>
      <c r="B81" s="5">
        <v>9</v>
      </c>
      <c r="D81" s="5" t="s">
        <v>113</v>
      </c>
      <c r="E81" s="6">
        <v>1.61</v>
      </c>
      <c r="G81" s="362">
        <v>2</v>
      </c>
      <c r="H81" s="362">
        <v>1</v>
      </c>
      <c r="I81" s="8">
        <v>1.55</v>
      </c>
      <c r="L81" s="5" t="s">
        <v>69</v>
      </c>
      <c r="N81" s="476">
        <v>30</v>
      </c>
      <c r="O81" s="477" t="s">
        <v>113</v>
      </c>
      <c r="P81" s="478" t="s">
        <v>468</v>
      </c>
      <c r="Q81" s="478" t="s">
        <v>469</v>
      </c>
      <c r="R81" s="478" t="s">
        <v>685</v>
      </c>
      <c r="S81" s="479">
        <v>73</v>
      </c>
      <c r="T81" s="478" t="s">
        <v>354</v>
      </c>
      <c r="U81" s="478" t="s">
        <v>42</v>
      </c>
      <c r="V81" s="480" t="s">
        <v>15</v>
      </c>
      <c r="W81" s="51">
        <v>0.03</v>
      </c>
      <c r="X81" s="357" t="s">
        <v>53</v>
      </c>
      <c r="Z81" s="5" t="s">
        <v>17</v>
      </c>
      <c r="AA81" s="112" t="s">
        <v>51</v>
      </c>
    </row>
    <row r="82" spans="1:29" x14ac:dyDescent="0.25">
      <c r="A82" s="329">
        <v>45948</v>
      </c>
      <c r="B82" s="5">
        <v>9</v>
      </c>
      <c r="D82" s="5" t="s">
        <v>113</v>
      </c>
      <c r="E82" s="6">
        <v>1.61</v>
      </c>
      <c r="G82" s="362">
        <v>2</v>
      </c>
      <c r="H82" s="362">
        <v>1</v>
      </c>
      <c r="I82" s="8">
        <v>1.55</v>
      </c>
      <c r="L82" s="5" t="s">
        <v>69</v>
      </c>
      <c r="N82" s="345">
        <v>39</v>
      </c>
      <c r="O82" s="38" t="s">
        <v>69</v>
      </c>
      <c r="P82" s="5" t="s">
        <v>164</v>
      </c>
      <c r="Q82" s="5" t="s">
        <v>669</v>
      </c>
      <c r="R82" s="5" t="s">
        <v>686</v>
      </c>
      <c r="S82" s="7">
        <v>64</v>
      </c>
      <c r="T82" s="5" t="s">
        <v>41</v>
      </c>
      <c r="U82" s="5" t="s">
        <v>43</v>
      </c>
      <c r="V82" s="57" t="s">
        <v>18</v>
      </c>
      <c r="W82" s="51">
        <v>0.51</v>
      </c>
      <c r="X82" s="357" t="s">
        <v>53</v>
      </c>
      <c r="Y82" s="351" t="s">
        <v>353</v>
      </c>
      <c r="Z82" s="5" t="s">
        <v>13</v>
      </c>
      <c r="AA82" s="112" t="s">
        <v>51</v>
      </c>
    </row>
    <row r="83" spans="1:29" x14ac:dyDescent="0.25">
      <c r="A83" s="329">
        <v>45948</v>
      </c>
      <c r="B83" s="5">
        <v>9</v>
      </c>
      <c r="D83" s="5" t="s">
        <v>113</v>
      </c>
      <c r="E83" s="6">
        <v>1.61</v>
      </c>
      <c r="G83" s="362">
        <v>2</v>
      </c>
      <c r="H83" s="362">
        <v>1</v>
      </c>
      <c r="I83" s="8">
        <v>1.55</v>
      </c>
      <c r="L83" s="5" t="s">
        <v>69</v>
      </c>
      <c r="N83" s="345">
        <v>41</v>
      </c>
      <c r="O83" s="38" t="s">
        <v>69</v>
      </c>
      <c r="P83" s="5" t="s">
        <v>502</v>
      </c>
      <c r="Q83" s="5" t="s">
        <v>503</v>
      </c>
      <c r="R83" s="5" t="s">
        <v>695</v>
      </c>
      <c r="S83" s="7">
        <v>76</v>
      </c>
      <c r="T83" s="5" t="s">
        <v>41</v>
      </c>
      <c r="U83" s="5" t="s">
        <v>42</v>
      </c>
      <c r="V83" s="57" t="s">
        <v>10</v>
      </c>
      <c r="W83" s="51">
        <v>0.16</v>
      </c>
      <c r="X83" s="357" t="s">
        <v>53</v>
      </c>
      <c r="Y83" s="351" t="s">
        <v>353</v>
      </c>
      <c r="Z83" s="5" t="s">
        <v>13</v>
      </c>
      <c r="AA83" s="112" t="s">
        <v>51</v>
      </c>
    </row>
    <row r="84" spans="1:29" x14ac:dyDescent="0.25">
      <c r="A84" s="329">
        <v>45948</v>
      </c>
      <c r="B84" s="5">
        <v>9</v>
      </c>
      <c r="D84" s="5" t="s">
        <v>113</v>
      </c>
      <c r="E84" s="6">
        <v>1.61</v>
      </c>
      <c r="G84" s="362">
        <v>2</v>
      </c>
      <c r="H84" s="362">
        <v>1</v>
      </c>
      <c r="I84" s="8">
        <v>1.55</v>
      </c>
      <c r="L84" s="5" t="s">
        <v>69</v>
      </c>
      <c r="N84" s="476">
        <v>52</v>
      </c>
      <c r="O84" s="477" t="s">
        <v>113</v>
      </c>
      <c r="P84" s="478" t="s">
        <v>406</v>
      </c>
      <c r="Q84" s="478" t="s">
        <v>150</v>
      </c>
      <c r="R84" s="478" t="s">
        <v>696</v>
      </c>
      <c r="S84" s="479">
        <v>72</v>
      </c>
      <c r="T84" s="478" t="s">
        <v>44</v>
      </c>
      <c r="U84" s="478" t="s">
        <v>42</v>
      </c>
      <c r="V84" s="480" t="s">
        <v>540</v>
      </c>
      <c r="W84" s="51">
        <v>0.02</v>
      </c>
      <c r="X84" s="357" t="s">
        <v>53</v>
      </c>
      <c r="Z84" s="5" t="s">
        <v>17</v>
      </c>
      <c r="AA84" s="112" t="s">
        <v>51</v>
      </c>
    </row>
    <row r="85" spans="1:29" x14ac:dyDescent="0.25">
      <c r="A85" s="329">
        <v>45948</v>
      </c>
      <c r="B85" s="5">
        <v>9</v>
      </c>
      <c r="D85" s="5" t="s">
        <v>113</v>
      </c>
      <c r="E85" s="6">
        <v>1.61</v>
      </c>
      <c r="G85" s="362">
        <v>2</v>
      </c>
      <c r="H85" s="362">
        <v>1</v>
      </c>
      <c r="I85" s="8">
        <v>1.55</v>
      </c>
      <c r="L85" s="5" t="s">
        <v>69</v>
      </c>
      <c r="N85" s="476">
        <v>55</v>
      </c>
      <c r="O85" s="477" t="s">
        <v>113</v>
      </c>
      <c r="P85" s="478" t="s">
        <v>447</v>
      </c>
      <c r="Q85" s="478" t="s">
        <v>746</v>
      </c>
      <c r="R85" s="478" t="s">
        <v>713</v>
      </c>
      <c r="S85" s="479">
        <v>68</v>
      </c>
      <c r="T85" s="478" t="s">
        <v>47</v>
      </c>
      <c r="U85" s="478" t="s">
        <v>45</v>
      </c>
      <c r="V85" s="480" t="s">
        <v>20</v>
      </c>
      <c r="W85" s="51">
        <v>0.1</v>
      </c>
      <c r="X85" s="357" t="s">
        <v>53</v>
      </c>
      <c r="Z85" s="5" t="s">
        <v>52</v>
      </c>
      <c r="AA85" s="112" t="s">
        <v>51</v>
      </c>
    </row>
    <row r="86" spans="1:29" x14ac:dyDescent="0.25">
      <c r="A86" s="329">
        <v>45948</v>
      </c>
      <c r="B86" s="5">
        <v>9</v>
      </c>
      <c r="D86" s="5" t="s">
        <v>113</v>
      </c>
      <c r="E86" s="6">
        <v>1.61</v>
      </c>
      <c r="G86" s="362">
        <v>2</v>
      </c>
      <c r="H86" s="362">
        <v>1</v>
      </c>
      <c r="I86" s="8">
        <v>1.55</v>
      </c>
      <c r="L86" s="5" t="s">
        <v>69</v>
      </c>
      <c r="N86" s="476">
        <v>59</v>
      </c>
      <c r="O86" s="477" t="s">
        <v>113</v>
      </c>
      <c r="P86" s="478" t="s">
        <v>468</v>
      </c>
      <c r="Q86" s="478" t="s">
        <v>469</v>
      </c>
      <c r="R86" s="478" t="s">
        <v>685</v>
      </c>
      <c r="S86" s="479">
        <v>73</v>
      </c>
      <c r="T86" s="478" t="s">
        <v>44</v>
      </c>
      <c r="U86" s="478" t="s">
        <v>42</v>
      </c>
      <c r="V86" s="480" t="s">
        <v>15</v>
      </c>
      <c r="W86" s="51">
        <v>0.08</v>
      </c>
      <c r="X86" s="357" t="s">
        <v>53</v>
      </c>
      <c r="Z86" s="5" t="s">
        <v>55</v>
      </c>
      <c r="AA86" s="112" t="s">
        <v>51</v>
      </c>
    </row>
    <row r="87" spans="1:29" x14ac:dyDescent="0.25">
      <c r="A87" s="329">
        <v>45948</v>
      </c>
      <c r="B87" s="5">
        <v>9</v>
      </c>
      <c r="D87" s="5" t="s">
        <v>113</v>
      </c>
      <c r="E87" s="6">
        <v>1.61</v>
      </c>
      <c r="G87" s="362">
        <v>2</v>
      </c>
      <c r="H87" s="362">
        <v>1</v>
      </c>
      <c r="I87" s="8">
        <v>1.55</v>
      </c>
      <c r="L87" s="5" t="s">
        <v>69</v>
      </c>
      <c r="N87" s="476">
        <v>60</v>
      </c>
      <c r="O87" s="477" t="s">
        <v>113</v>
      </c>
      <c r="P87" s="478" t="s">
        <v>745</v>
      </c>
      <c r="Q87" s="478" t="s">
        <v>671</v>
      </c>
      <c r="R87" s="478" t="s">
        <v>695</v>
      </c>
      <c r="S87" s="479">
        <v>74</v>
      </c>
      <c r="T87" s="478" t="s">
        <v>41</v>
      </c>
      <c r="U87" s="478" t="s">
        <v>42</v>
      </c>
      <c r="V87" s="480" t="s">
        <v>10</v>
      </c>
      <c r="W87" s="51">
        <v>0.1</v>
      </c>
      <c r="X87" s="357" t="s">
        <v>53</v>
      </c>
      <c r="Z87" s="5" t="s">
        <v>13</v>
      </c>
      <c r="AA87" s="112" t="s">
        <v>51</v>
      </c>
    </row>
    <row r="88" spans="1:29" x14ac:dyDescent="0.25">
      <c r="A88" s="329">
        <v>45948</v>
      </c>
      <c r="B88" s="5">
        <v>9</v>
      </c>
      <c r="D88" s="5" t="s">
        <v>113</v>
      </c>
      <c r="E88" s="6">
        <v>1.61</v>
      </c>
      <c r="G88" s="362">
        <v>2</v>
      </c>
      <c r="H88" s="362">
        <v>1</v>
      </c>
      <c r="I88" s="8">
        <v>1.55</v>
      </c>
      <c r="L88" s="5" t="s">
        <v>69</v>
      </c>
      <c r="N88" s="476">
        <v>65</v>
      </c>
      <c r="O88" s="477" t="s">
        <v>113</v>
      </c>
      <c r="P88" s="478" t="s">
        <v>468</v>
      </c>
      <c r="Q88" s="478" t="s">
        <v>469</v>
      </c>
      <c r="R88" s="478" t="s">
        <v>685</v>
      </c>
      <c r="S88" s="479">
        <v>73</v>
      </c>
      <c r="T88" s="478" t="s">
        <v>47</v>
      </c>
      <c r="U88" s="478" t="s">
        <v>43</v>
      </c>
      <c r="V88" s="480" t="s">
        <v>10</v>
      </c>
      <c r="W88" s="51">
        <v>0.22</v>
      </c>
      <c r="X88" s="357" t="s">
        <v>53</v>
      </c>
      <c r="Y88" s="351" t="s">
        <v>353</v>
      </c>
      <c r="Z88" s="5" t="s">
        <v>13</v>
      </c>
      <c r="AA88" s="112" t="s">
        <v>51</v>
      </c>
    </row>
    <row r="89" spans="1:29" x14ac:dyDescent="0.25">
      <c r="A89" s="329">
        <v>45948</v>
      </c>
      <c r="B89" s="5">
        <v>9</v>
      </c>
      <c r="D89" s="5" t="s">
        <v>113</v>
      </c>
      <c r="E89" s="6">
        <v>1.61</v>
      </c>
      <c r="G89" s="362">
        <v>2</v>
      </c>
      <c r="H89" s="362">
        <v>1</v>
      </c>
      <c r="I89" s="8">
        <v>1.55</v>
      </c>
      <c r="L89" s="5" t="s">
        <v>69</v>
      </c>
      <c r="N89" s="476">
        <v>66</v>
      </c>
      <c r="O89" s="477" t="s">
        <v>113</v>
      </c>
      <c r="P89" s="478" t="s">
        <v>468</v>
      </c>
      <c r="Q89" s="478" t="s">
        <v>469</v>
      </c>
      <c r="R89" s="478" t="s">
        <v>685</v>
      </c>
      <c r="S89" s="479">
        <v>73</v>
      </c>
      <c r="T89" s="478" t="s">
        <v>41</v>
      </c>
      <c r="U89" s="478" t="s">
        <v>42</v>
      </c>
      <c r="V89" s="480" t="s">
        <v>10</v>
      </c>
      <c r="W89" s="51">
        <v>0.05</v>
      </c>
      <c r="X89" s="357">
        <v>0.13</v>
      </c>
      <c r="Z89" s="5" t="s">
        <v>48</v>
      </c>
      <c r="AA89" s="112" t="s">
        <v>51</v>
      </c>
    </row>
    <row r="90" spans="1:29" x14ac:dyDescent="0.25">
      <c r="A90" s="329">
        <v>45948</v>
      </c>
      <c r="B90" s="5">
        <v>9</v>
      </c>
      <c r="D90" s="5" t="s">
        <v>113</v>
      </c>
      <c r="E90" s="6">
        <v>1.61</v>
      </c>
      <c r="G90" s="362">
        <v>2</v>
      </c>
      <c r="H90" s="362">
        <v>1</v>
      </c>
      <c r="I90" s="8">
        <v>1.55</v>
      </c>
      <c r="L90" s="5" t="s">
        <v>69</v>
      </c>
      <c r="N90" s="476">
        <v>68</v>
      </c>
      <c r="O90" s="477" t="s">
        <v>113</v>
      </c>
      <c r="P90" s="478" t="s">
        <v>406</v>
      </c>
      <c r="Q90" s="478" t="s">
        <v>150</v>
      </c>
      <c r="R90" s="478" t="s">
        <v>696</v>
      </c>
      <c r="S90" s="479">
        <v>72</v>
      </c>
      <c r="T90" s="478" t="s">
        <v>41</v>
      </c>
      <c r="U90" s="478" t="s">
        <v>43</v>
      </c>
      <c r="V90" s="480" t="s">
        <v>18</v>
      </c>
      <c r="W90" s="51">
        <v>0.12</v>
      </c>
      <c r="X90" s="357" t="s">
        <v>53</v>
      </c>
      <c r="Z90" s="5" t="s">
        <v>13</v>
      </c>
      <c r="AA90" s="112" t="s">
        <v>51</v>
      </c>
    </row>
    <row r="91" spans="1:29" x14ac:dyDescent="0.25">
      <c r="A91" s="329">
        <v>45948</v>
      </c>
      <c r="B91" s="5">
        <v>9</v>
      </c>
      <c r="D91" s="5" t="s">
        <v>113</v>
      </c>
      <c r="E91" s="6">
        <v>1.61</v>
      </c>
      <c r="G91" s="362">
        <v>2</v>
      </c>
      <c r="H91" s="362">
        <v>1</v>
      </c>
      <c r="I91" s="8">
        <v>1.55</v>
      </c>
      <c r="L91" s="5" t="s">
        <v>69</v>
      </c>
      <c r="N91" s="345">
        <v>86</v>
      </c>
      <c r="O91" s="38" t="s">
        <v>69</v>
      </c>
      <c r="P91" s="5" t="s">
        <v>649</v>
      </c>
      <c r="Q91" s="5" t="s">
        <v>650</v>
      </c>
      <c r="R91" s="5" t="s">
        <v>696</v>
      </c>
      <c r="S91" s="7">
        <v>61</v>
      </c>
      <c r="T91" s="5" t="s">
        <v>41</v>
      </c>
      <c r="U91" s="5" t="s">
        <v>43</v>
      </c>
      <c r="V91" s="57" t="s">
        <v>10</v>
      </c>
      <c r="W91" s="51">
        <v>0.17</v>
      </c>
      <c r="X91" s="357" t="s">
        <v>53</v>
      </c>
      <c r="Z91" s="5" t="s">
        <v>13</v>
      </c>
      <c r="AA91" s="112" t="s">
        <v>51</v>
      </c>
    </row>
    <row r="92" spans="1:29" x14ac:dyDescent="0.25">
      <c r="A92" s="329">
        <v>45948</v>
      </c>
      <c r="B92" s="5">
        <v>9</v>
      </c>
      <c r="D92" s="5" t="s">
        <v>113</v>
      </c>
      <c r="E92" s="6">
        <v>1.61</v>
      </c>
      <c r="G92" s="362">
        <v>2</v>
      </c>
      <c r="H92" s="362">
        <v>1</v>
      </c>
      <c r="I92" s="8">
        <v>1.55</v>
      </c>
      <c r="L92" s="5" t="s">
        <v>69</v>
      </c>
      <c r="N92" s="476" t="s">
        <v>31</v>
      </c>
      <c r="O92" s="477" t="s">
        <v>113</v>
      </c>
      <c r="P92" s="478" t="s">
        <v>500</v>
      </c>
      <c r="Q92" s="478" t="s">
        <v>501</v>
      </c>
      <c r="R92" s="478" t="s">
        <v>696</v>
      </c>
      <c r="S92" s="481">
        <v>69</v>
      </c>
      <c r="T92" s="478" t="s">
        <v>41</v>
      </c>
      <c r="U92" s="478" t="s">
        <v>42</v>
      </c>
      <c r="V92" s="480" t="s">
        <v>10</v>
      </c>
      <c r="W92" s="51">
        <v>0.17</v>
      </c>
      <c r="X92" s="357">
        <v>0.92</v>
      </c>
      <c r="Y92" s="351" t="s">
        <v>353</v>
      </c>
      <c r="Z92" s="5" t="s">
        <v>8</v>
      </c>
      <c r="AA92" s="112" t="s">
        <v>34</v>
      </c>
      <c r="AB92" s="108" t="s">
        <v>745</v>
      </c>
      <c r="AC92" s="57" t="s">
        <v>671</v>
      </c>
    </row>
    <row r="93" spans="1:29" ht="15.75" thickBot="1" x14ac:dyDescent="0.3">
      <c r="A93" s="338">
        <v>45948</v>
      </c>
      <c r="B93" s="230">
        <v>9</v>
      </c>
      <c r="C93" s="231"/>
      <c r="D93" s="230" t="s">
        <v>113</v>
      </c>
      <c r="E93" s="232">
        <v>1.61</v>
      </c>
      <c r="F93" s="232"/>
      <c r="G93" s="363">
        <v>2</v>
      </c>
      <c r="H93" s="363">
        <v>1</v>
      </c>
      <c r="I93" s="234">
        <v>1.55</v>
      </c>
      <c r="J93" s="234"/>
      <c r="K93" s="231"/>
      <c r="L93" s="230" t="s">
        <v>69</v>
      </c>
      <c r="M93" s="235"/>
      <c r="N93" s="347"/>
      <c r="O93" s="343" t="s">
        <v>113</v>
      </c>
      <c r="P93" s="199" t="s">
        <v>738</v>
      </c>
      <c r="Q93" s="199" t="s">
        <v>740</v>
      </c>
      <c r="R93" s="199" t="s">
        <v>707</v>
      </c>
      <c r="S93" s="459">
        <v>70</v>
      </c>
      <c r="T93" s="199"/>
      <c r="U93" s="199"/>
      <c r="V93" s="201"/>
      <c r="W93" s="202"/>
      <c r="X93" s="359"/>
      <c r="Y93" s="353">
        <v>1</v>
      </c>
      <c r="Z93" s="199"/>
      <c r="AA93" s="204"/>
      <c r="AB93" s="205"/>
      <c r="AC93" s="201"/>
    </row>
    <row r="94" spans="1:29" ht="15.75" thickBot="1" x14ac:dyDescent="0.3">
      <c r="A94" s="338">
        <v>45948</v>
      </c>
      <c r="B94" s="230">
        <v>9</v>
      </c>
      <c r="C94" s="231"/>
      <c r="D94" s="230" t="s">
        <v>113</v>
      </c>
      <c r="E94" s="232">
        <v>1.61</v>
      </c>
      <c r="F94" s="232"/>
      <c r="G94" s="363">
        <v>2</v>
      </c>
      <c r="H94" s="363">
        <v>1</v>
      </c>
      <c r="I94" s="234">
        <v>1.55</v>
      </c>
      <c r="J94" s="234"/>
      <c r="K94" s="231"/>
      <c r="L94" s="230" t="s">
        <v>69</v>
      </c>
      <c r="M94" s="235"/>
      <c r="N94" s="347"/>
      <c r="O94" s="343" t="s">
        <v>69</v>
      </c>
      <c r="P94" s="199" t="s">
        <v>478</v>
      </c>
      <c r="Q94" s="199" t="s">
        <v>479</v>
      </c>
      <c r="R94" s="199" t="s">
        <v>707</v>
      </c>
      <c r="S94" s="7">
        <v>78</v>
      </c>
      <c r="T94" s="199"/>
      <c r="U94" s="199"/>
      <c r="V94" s="201"/>
      <c r="W94" s="202"/>
      <c r="X94" s="359"/>
      <c r="Y94" s="353">
        <v>2</v>
      </c>
      <c r="Z94" s="199"/>
      <c r="AA94" s="204"/>
      <c r="AB94" s="205"/>
      <c r="AC94" s="201"/>
    </row>
    <row r="95" spans="1:29" ht="15.75" thickBot="1" x14ac:dyDescent="0.3">
      <c r="A95" s="602" t="s">
        <v>37</v>
      </c>
      <c r="B95" s="603" t="s">
        <v>38</v>
      </c>
      <c r="C95" s="604" t="s">
        <v>682</v>
      </c>
      <c r="D95" s="27" t="s">
        <v>635</v>
      </c>
      <c r="E95" s="81" t="s">
        <v>589</v>
      </c>
      <c r="F95" s="81"/>
      <c r="G95" s="605" t="s">
        <v>636</v>
      </c>
      <c r="H95" s="605" t="s">
        <v>637</v>
      </c>
      <c r="I95" s="606" t="s">
        <v>590</v>
      </c>
      <c r="J95" s="606"/>
      <c r="K95" s="607" t="s">
        <v>683</v>
      </c>
      <c r="L95" s="27" t="s">
        <v>638</v>
      </c>
      <c r="M95" s="27" t="s">
        <v>586</v>
      </c>
      <c r="N95" s="608" t="s">
        <v>0</v>
      </c>
      <c r="O95" s="609" t="s">
        <v>1</v>
      </c>
      <c r="P95" s="40" t="s">
        <v>2</v>
      </c>
      <c r="Q95" s="40" t="s">
        <v>645</v>
      </c>
      <c r="R95" s="40" t="s">
        <v>681</v>
      </c>
      <c r="S95" s="610" t="s">
        <v>711</v>
      </c>
      <c r="T95" s="40" t="s">
        <v>39</v>
      </c>
      <c r="U95" s="40" t="s">
        <v>40</v>
      </c>
      <c r="V95" s="611" t="s">
        <v>3</v>
      </c>
      <c r="W95" s="612" t="s">
        <v>4</v>
      </c>
      <c r="X95" s="483" t="s">
        <v>64</v>
      </c>
      <c r="Y95" s="613" t="s">
        <v>353</v>
      </c>
      <c r="Z95" s="40" t="s">
        <v>5</v>
      </c>
      <c r="AA95" s="614" t="s">
        <v>6</v>
      </c>
      <c r="AB95" s="615" t="s">
        <v>646</v>
      </c>
      <c r="AC95" s="616" t="s">
        <v>647</v>
      </c>
    </row>
    <row r="96" spans="1:29" x14ac:dyDescent="0.25">
      <c r="A96" s="328">
        <v>45884</v>
      </c>
      <c r="B96" s="17">
        <v>1</v>
      </c>
      <c r="C96" s="123" t="s">
        <v>694</v>
      </c>
      <c r="D96" s="17" t="s">
        <v>91</v>
      </c>
      <c r="E96" s="18">
        <v>2.44</v>
      </c>
      <c r="F96" s="18"/>
      <c r="G96" s="461">
        <v>2</v>
      </c>
      <c r="H96" s="461">
        <v>0</v>
      </c>
      <c r="I96" s="20">
        <v>0.93</v>
      </c>
      <c r="J96" s="20"/>
      <c r="K96" s="123" t="s">
        <v>693</v>
      </c>
      <c r="L96" s="17" t="s">
        <v>92</v>
      </c>
      <c r="M96" s="597" t="s">
        <v>93</v>
      </c>
      <c r="N96" s="507">
        <v>3</v>
      </c>
      <c r="O96" s="508" t="s">
        <v>91</v>
      </c>
      <c r="P96" s="509" t="s">
        <v>94</v>
      </c>
      <c r="Q96" s="509" t="s">
        <v>95</v>
      </c>
      <c r="R96" s="509" t="s">
        <v>695</v>
      </c>
      <c r="S96" s="479">
        <v>65</v>
      </c>
      <c r="T96" s="509" t="s">
        <v>41</v>
      </c>
      <c r="U96" s="509" t="s">
        <v>42</v>
      </c>
      <c r="V96" s="510" t="s">
        <v>10</v>
      </c>
      <c r="W96" s="53">
        <v>0.35</v>
      </c>
      <c r="X96" s="360" t="s">
        <v>53</v>
      </c>
      <c r="Y96" s="354" t="s">
        <v>353</v>
      </c>
      <c r="Z96" s="17" t="s">
        <v>13</v>
      </c>
      <c r="AA96" s="114" t="s">
        <v>28</v>
      </c>
      <c r="AB96" s="110"/>
      <c r="AC96" s="60"/>
    </row>
    <row r="97" spans="1:29" x14ac:dyDescent="0.25">
      <c r="A97" s="329">
        <v>45884</v>
      </c>
      <c r="B97" s="5">
        <v>1</v>
      </c>
      <c r="D97" s="5" t="s">
        <v>91</v>
      </c>
      <c r="E97" s="6">
        <v>2.44</v>
      </c>
      <c r="G97" s="362">
        <v>2</v>
      </c>
      <c r="H97" s="362">
        <v>0</v>
      </c>
      <c r="I97" s="8">
        <v>0.93</v>
      </c>
      <c r="L97" s="5" t="s">
        <v>92</v>
      </c>
      <c r="M97" s="242" t="s">
        <v>93</v>
      </c>
      <c r="N97" s="476">
        <v>10</v>
      </c>
      <c r="O97" s="477" t="s">
        <v>91</v>
      </c>
      <c r="P97" s="478" t="s">
        <v>96</v>
      </c>
      <c r="Q97" s="478" t="s">
        <v>97</v>
      </c>
      <c r="R97" s="478" t="s">
        <v>686</v>
      </c>
      <c r="S97" s="479">
        <v>87</v>
      </c>
      <c r="T97" s="478" t="s">
        <v>41</v>
      </c>
      <c r="U97" s="478" t="s">
        <v>43</v>
      </c>
      <c r="V97" s="480" t="s">
        <v>29</v>
      </c>
      <c r="W97" s="51">
        <v>0.02</v>
      </c>
      <c r="X97" s="357">
        <v>0.12</v>
      </c>
      <c r="Z97" s="5" t="s">
        <v>48</v>
      </c>
      <c r="AA97" s="112" t="s">
        <v>28</v>
      </c>
    </row>
    <row r="98" spans="1:29" x14ac:dyDescent="0.25">
      <c r="A98" s="329">
        <v>45884</v>
      </c>
      <c r="B98" s="5">
        <v>1</v>
      </c>
      <c r="D98" s="5" t="s">
        <v>91</v>
      </c>
      <c r="E98" s="6">
        <v>2.44</v>
      </c>
      <c r="G98" s="362">
        <v>2</v>
      </c>
      <c r="H98" s="362">
        <v>0</v>
      </c>
      <c r="I98" s="8">
        <v>0.93</v>
      </c>
      <c r="L98" s="5" t="s">
        <v>92</v>
      </c>
      <c r="M98" s="242" t="s">
        <v>93</v>
      </c>
      <c r="N98" s="476">
        <v>11</v>
      </c>
      <c r="O98" s="477" t="s">
        <v>91</v>
      </c>
      <c r="P98" s="478" t="s">
        <v>98</v>
      </c>
      <c r="Q98" s="478" t="s">
        <v>99</v>
      </c>
      <c r="R98" s="478" t="s">
        <v>684</v>
      </c>
      <c r="S98" s="479">
        <v>76</v>
      </c>
      <c r="T98" s="478" t="s">
        <v>44</v>
      </c>
      <c r="U98" s="478" t="s">
        <v>42</v>
      </c>
      <c r="V98" s="480" t="s">
        <v>10</v>
      </c>
      <c r="W98" s="51">
        <v>0.08</v>
      </c>
      <c r="X98" s="357">
        <v>0.26</v>
      </c>
      <c r="Z98" s="5" t="s">
        <v>48</v>
      </c>
      <c r="AA98" s="112" t="s">
        <v>28</v>
      </c>
    </row>
    <row r="99" spans="1:29" x14ac:dyDescent="0.25">
      <c r="A99" s="329">
        <v>45884</v>
      </c>
      <c r="B99" s="5">
        <v>1</v>
      </c>
      <c r="D99" s="5" t="s">
        <v>91</v>
      </c>
      <c r="E99" s="6">
        <v>2.44</v>
      </c>
      <c r="G99" s="362">
        <v>2</v>
      </c>
      <c r="H99" s="362">
        <v>0</v>
      </c>
      <c r="I99" s="8">
        <v>0.93</v>
      </c>
      <c r="L99" s="5" t="s">
        <v>92</v>
      </c>
      <c r="M99" s="242" t="s">
        <v>93</v>
      </c>
      <c r="N99" s="345">
        <v>14</v>
      </c>
      <c r="O99" s="38" t="s">
        <v>92</v>
      </c>
      <c r="P99" s="5" t="s">
        <v>108</v>
      </c>
      <c r="Q99" s="5" t="s">
        <v>109</v>
      </c>
      <c r="R99" s="5" t="s">
        <v>684</v>
      </c>
      <c r="S99" s="7">
        <v>57</v>
      </c>
      <c r="T99" s="5" t="s">
        <v>41</v>
      </c>
      <c r="U99" s="5" t="s">
        <v>42</v>
      </c>
      <c r="V99" s="57" t="s">
        <v>7</v>
      </c>
      <c r="W99" s="51">
        <v>0.79</v>
      </c>
      <c r="X99" s="357">
        <v>0.79</v>
      </c>
      <c r="Y99" s="351" t="s">
        <v>353</v>
      </c>
      <c r="Z99" s="5" t="s">
        <v>48</v>
      </c>
      <c r="AA99" s="112" t="s">
        <v>28</v>
      </c>
    </row>
    <row r="100" spans="1:29" x14ac:dyDescent="0.25">
      <c r="A100" s="329">
        <v>45884</v>
      </c>
      <c r="B100" s="5">
        <v>1</v>
      </c>
      <c r="D100" s="5" t="s">
        <v>91</v>
      </c>
      <c r="E100" s="6">
        <v>2.44</v>
      </c>
      <c r="G100" s="362">
        <v>2</v>
      </c>
      <c r="H100" s="362">
        <v>0</v>
      </c>
      <c r="I100" s="8">
        <v>0.93</v>
      </c>
      <c r="L100" s="5" t="s">
        <v>92</v>
      </c>
      <c r="M100" s="242" t="s">
        <v>93</v>
      </c>
      <c r="N100" s="345">
        <v>19</v>
      </c>
      <c r="O100" s="38" t="s">
        <v>92</v>
      </c>
      <c r="P100" s="5" t="s">
        <v>108</v>
      </c>
      <c r="Q100" s="5" t="s">
        <v>109</v>
      </c>
      <c r="R100" s="5" t="s">
        <v>684</v>
      </c>
      <c r="S100" s="7">
        <v>57</v>
      </c>
      <c r="T100" s="5" t="s">
        <v>47</v>
      </c>
      <c r="U100" s="5" t="s">
        <v>45</v>
      </c>
      <c r="V100" s="57" t="s">
        <v>20</v>
      </c>
      <c r="W100" s="51">
        <v>0.06</v>
      </c>
      <c r="X100" s="357" t="s">
        <v>53</v>
      </c>
      <c r="Z100" s="5" t="s">
        <v>55</v>
      </c>
      <c r="AA100" s="112" t="s">
        <v>28</v>
      </c>
    </row>
    <row r="101" spans="1:29" x14ac:dyDescent="0.25">
      <c r="A101" s="329">
        <v>45884</v>
      </c>
      <c r="B101" s="5">
        <v>1</v>
      </c>
      <c r="D101" s="5" t="s">
        <v>91</v>
      </c>
      <c r="E101" s="6">
        <v>2.44</v>
      </c>
      <c r="G101" s="362">
        <v>2</v>
      </c>
      <c r="H101" s="362">
        <v>0</v>
      </c>
      <c r="I101" s="8">
        <v>0.93</v>
      </c>
      <c r="L101" s="5" t="s">
        <v>92</v>
      </c>
      <c r="M101" s="242" t="s">
        <v>93</v>
      </c>
      <c r="N101" s="476">
        <v>20</v>
      </c>
      <c r="O101" s="477" t="s">
        <v>91</v>
      </c>
      <c r="P101" s="478" t="s">
        <v>100</v>
      </c>
      <c r="Q101" s="478" t="s">
        <v>101</v>
      </c>
      <c r="R101" s="478" t="s">
        <v>688</v>
      </c>
      <c r="S101" s="481">
        <v>74</v>
      </c>
      <c r="T101" s="478" t="s">
        <v>41</v>
      </c>
      <c r="U101" s="478" t="s">
        <v>43</v>
      </c>
      <c r="V101" s="480" t="s">
        <v>10</v>
      </c>
      <c r="W101" s="51">
        <v>0.02</v>
      </c>
      <c r="X101" s="357" t="s">
        <v>53</v>
      </c>
      <c r="Z101" s="5" t="s">
        <v>22</v>
      </c>
      <c r="AA101" s="112" t="s">
        <v>28</v>
      </c>
    </row>
    <row r="102" spans="1:29" x14ac:dyDescent="0.25">
      <c r="A102" s="329">
        <v>45884</v>
      </c>
      <c r="B102" s="5">
        <v>1</v>
      </c>
      <c r="D102" s="5" t="s">
        <v>91</v>
      </c>
      <c r="E102" s="6">
        <v>2.44</v>
      </c>
      <c r="G102" s="362">
        <v>2</v>
      </c>
      <c r="H102" s="362">
        <v>0</v>
      </c>
      <c r="I102" s="8">
        <v>0.93</v>
      </c>
      <c r="L102" s="5" t="s">
        <v>92</v>
      </c>
      <c r="M102" s="242" t="s">
        <v>93</v>
      </c>
      <c r="N102" s="476">
        <v>22</v>
      </c>
      <c r="O102" s="477" t="s">
        <v>91</v>
      </c>
      <c r="P102" s="478" t="s">
        <v>96</v>
      </c>
      <c r="Q102" s="478" t="s">
        <v>97</v>
      </c>
      <c r="R102" s="478" t="s">
        <v>686</v>
      </c>
      <c r="S102" s="481">
        <v>87</v>
      </c>
      <c r="T102" s="478" t="s">
        <v>41</v>
      </c>
      <c r="U102" s="478" t="s">
        <v>43</v>
      </c>
      <c r="V102" s="480" t="s">
        <v>18</v>
      </c>
      <c r="W102" s="51">
        <v>0.45</v>
      </c>
      <c r="X102" s="357">
        <v>0.31</v>
      </c>
      <c r="Y102" s="351" t="s">
        <v>353</v>
      </c>
      <c r="Z102" s="5" t="s">
        <v>48</v>
      </c>
      <c r="AA102" s="112" t="s">
        <v>28</v>
      </c>
    </row>
    <row r="103" spans="1:29" x14ac:dyDescent="0.25">
      <c r="A103" s="329">
        <v>45884</v>
      </c>
      <c r="B103" s="5">
        <v>1</v>
      </c>
      <c r="D103" s="5" t="s">
        <v>91</v>
      </c>
      <c r="E103" s="6">
        <v>2.44</v>
      </c>
      <c r="G103" s="362">
        <v>2</v>
      </c>
      <c r="H103" s="362">
        <v>0</v>
      </c>
      <c r="I103" s="8">
        <v>0.93</v>
      </c>
      <c r="L103" s="5" t="s">
        <v>92</v>
      </c>
      <c r="M103" s="242" t="s">
        <v>93</v>
      </c>
      <c r="N103" s="345">
        <v>25</v>
      </c>
      <c r="O103" s="38" t="s">
        <v>92</v>
      </c>
      <c r="P103" s="5" t="s">
        <v>110</v>
      </c>
      <c r="Q103" s="5" t="s">
        <v>111</v>
      </c>
      <c r="R103" s="5" t="s">
        <v>685</v>
      </c>
      <c r="S103" s="479"/>
      <c r="T103" s="5" t="s">
        <v>354</v>
      </c>
      <c r="U103" s="5" t="s">
        <v>43</v>
      </c>
      <c r="V103" s="57" t="s">
        <v>10</v>
      </c>
      <c r="W103" s="51">
        <v>0.01</v>
      </c>
      <c r="X103" s="357">
        <v>0.12</v>
      </c>
      <c r="Z103" s="5" t="s">
        <v>48</v>
      </c>
      <c r="AA103" s="112" t="s">
        <v>28</v>
      </c>
    </row>
    <row r="104" spans="1:29" x14ac:dyDescent="0.25">
      <c r="A104" s="329">
        <v>45884</v>
      </c>
      <c r="B104" s="5">
        <v>1</v>
      </c>
      <c r="D104" s="5" t="s">
        <v>91</v>
      </c>
      <c r="E104" s="6">
        <v>2.44</v>
      </c>
      <c r="G104" s="362">
        <v>2</v>
      </c>
      <c r="H104" s="362">
        <v>0</v>
      </c>
      <c r="I104" s="8">
        <v>0.93</v>
      </c>
      <c r="L104" s="5" t="s">
        <v>92</v>
      </c>
      <c r="M104" s="242" t="s">
        <v>93</v>
      </c>
      <c r="N104" s="476">
        <v>28</v>
      </c>
      <c r="O104" s="477" t="s">
        <v>91</v>
      </c>
      <c r="P104" s="478" t="s">
        <v>102</v>
      </c>
      <c r="Q104" s="478" t="s">
        <v>103</v>
      </c>
      <c r="R104" s="478" t="s">
        <v>685</v>
      </c>
      <c r="S104" s="479">
        <v>74</v>
      </c>
      <c r="T104" s="478" t="s">
        <v>41</v>
      </c>
      <c r="U104" s="478" t="s">
        <v>42</v>
      </c>
      <c r="V104" s="480" t="s">
        <v>33</v>
      </c>
      <c r="W104" s="51">
        <v>0.11</v>
      </c>
      <c r="X104" s="357" t="s">
        <v>53</v>
      </c>
      <c r="Z104" s="5" t="s">
        <v>13</v>
      </c>
      <c r="AA104" s="112" t="s">
        <v>28</v>
      </c>
    </row>
    <row r="105" spans="1:29" x14ac:dyDescent="0.25">
      <c r="A105" s="329">
        <v>45884</v>
      </c>
      <c r="B105" s="5">
        <v>1</v>
      </c>
      <c r="D105" s="5" t="s">
        <v>91</v>
      </c>
      <c r="E105" s="6">
        <v>2.44</v>
      </c>
      <c r="G105" s="362">
        <v>2</v>
      </c>
      <c r="H105" s="362">
        <v>0</v>
      </c>
      <c r="I105" s="8">
        <v>0.93</v>
      </c>
      <c r="L105" s="5" t="s">
        <v>92</v>
      </c>
      <c r="M105" s="242" t="s">
        <v>93</v>
      </c>
      <c r="N105" s="476">
        <v>28</v>
      </c>
      <c r="O105" s="477" t="s">
        <v>91</v>
      </c>
      <c r="P105" s="478" t="s">
        <v>49</v>
      </c>
      <c r="Q105" s="478" t="s">
        <v>50</v>
      </c>
      <c r="R105" s="478" t="s">
        <v>695</v>
      </c>
      <c r="S105" s="479">
        <v>85</v>
      </c>
      <c r="T105" s="478" t="s">
        <v>47</v>
      </c>
      <c r="U105" s="478" t="s">
        <v>43</v>
      </c>
      <c r="V105" s="480" t="s">
        <v>33</v>
      </c>
      <c r="W105" s="51">
        <v>0.17</v>
      </c>
      <c r="X105" s="357">
        <v>0.21</v>
      </c>
      <c r="Z105" s="5" t="s">
        <v>48</v>
      </c>
      <c r="AA105" s="112" t="s">
        <v>28</v>
      </c>
    </row>
    <row r="106" spans="1:29" x14ac:dyDescent="0.25">
      <c r="A106" s="329">
        <v>45884</v>
      </c>
      <c r="B106" s="5">
        <v>1</v>
      </c>
      <c r="D106" s="5" t="s">
        <v>91</v>
      </c>
      <c r="E106" s="6">
        <v>2.44</v>
      </c>
      <c r="G106" s="362">
        <v>2</v>
      </c>
      <c r="H106" s="362">
        <v>0</v>
      </c>
      <c r="I106" s="8">
        <v>0.93</v>
      </c>
      <c r="L106" s="5" t="s">
        <v>92</v>
      </c>
      <c r="M106" s="242" t="s">
        <v>93</v>
      </c>
      <c r="N106" s="476">
        <v>29</v>
      </c>
      <c r="O106" s="477" t="s">
        <v>91</v>
      </c>
      <c r="P106" s="478" t="s">
        <v>104</v>
      </c>
      <c r="Q106" s="478" t="s">
        <v>105</v>
      </c>
      <c r="R106" s="478" t="s">
        <v>684</v>
      </c>
      <c r="S106" s="479">
        <v>73</v>
      </c>
      <c r="T106" s="478" t="s">
        <v>41</v>
      </c>
      <c r="U106" s="478" t="s">
        <v>45</v>
      </c>
      <c r="V106" s="480" t="s">
        <v>20</v>
      </c>
      <c r="W106" s="51">
        <v>0.12</v>
      </c>
      <c r="X106" s="357">
        <v>0.81</v>
      </c>
      <c r="Z106" s="5" t="s">
        <v>8</v>
      </c>
      <c r="AA106" s="112" t="s">
        <v>19</v>
      </c>
    </row>
    <row r="107" spans="1:29" x14ac:dyDescent="0.25">
      <c r="A107" s="329">
        <v>45884</v>
      </c>
      <c r="B107" s="5">
        <v>1</v>
      </c>
      <c r="D107" s="5" t="s">
        <v>91</v>
      </c>
      <c r="E107" s="6">
        <v>2.44</v>
      </c>
      <c r="G107" s="362">
        <v>2</v>
      </c>
      <c r="H107" s="362">
        <v>0</v>
      </c>
      <c r="I107" s="8">
        <v>0.93</v>
      </c>
      <c r="L107" s="5" t="s">
        <v>92</v>
      </c>
      <c r="M107" s="242" t="s">
        <v>93</v>
      </c>
      <c r="N107" s="476">
        <v>35</v>
      </c>
      <c r="O107" s="477" t="s">
        <v>91</v>
      </c>
      <c r="P107" s="478" t="s">
        <v>104</v>
      </c>
      <c r="Q107" s="478" t="s">
        <v>105</v>
      </c>
      <c r="R107" s="478" t="s">
        <v>684</v>
      </c>
      <c r="S107" s="479">
        <v>73</v>
      </c>
      <c r="T107" s="478" t="s">
        <v>47</v>
      </c>
      <c r="U107" s="478" t="s">
        <v>42</v>
      </c>
      <c r="V107" s="480" t="s">
        <v>20</v>
      </c>
      <c r="W107" s="51">
        <v>0.25</v>
      </c>
      <c r="X107" s="357" t="s">
        <v>53</v>
      </c>
      <c r="Y107" s="351" t="s">
        <v>353</v>
      </c>
      <c r="Z107" s="5" t="s">
        <v>13</v>
      </c>
      <c r="AA107" s="112" t="s">
        <v>19</v>
      </c>
    </row>
    <row r="108" spans="1:29" x14ac:dyDescent="0.25">
      <c r="A108" s="329">
        <v>45884</v>
      </c>
      <c r="B108" s="5">
        <v>1</v>
      </c>
      <c r="D108" s="5" t="s">
        <v>91</v>
      </c>
      <c r="E108" s="6">
        <v>2.44</v>
      </c>
      <c r="G108" s="362">
        <v>2</v>
      </c>
      <c r="H108" s="362">
        <v>0</v>
      </c>
      <c r="I108" s="8">
        <v>0.93</v>
      </c>
      <c r="L108" s="5" t="s">
        <v>92</v>
      </c>
      <c r="M108" s="242" t="s">
        <v>93</v>
      </c>
      <c r="N108" s="476">
        <v>36</v>
      </c>
      <c r="O108" s="477" t="s">
        <v>91</v>
      </c>
      <c r="P108" s="478" t="s">
        <v>49</v>
      </c>
      <c r="Q108" s="478" t="s">
        <v>50</v>
      </c>
      <c r="R108" s="478" t="s">
        <v>695</v>
      </c>
      <c r="S108" s="479">
        <v>85</v>
      </c>
      <c r="T108" s="478" t="s">
        <v>354</v>
      </c>
      <c r="U108" s="478" t="s">
        <v>43</v>
      </c>
      <c r="V108" s="480" t="s">
        <v>10</v>
      </c>
      <c r="W108" s="51">
        <v>0.05</v>
      </c>
      <c r="X108" s="357">
        <v>0.08</v>
      </c>
      <c r="Z108" s="5" t="s">
        <v>8</v>
      </c>
      <c r="AA108" s="112" t="s">
        <v>24</v>
      </c>
      <c r="AB108" s="108" t="s">
        <v>96</v>
      </c>
      <c r="AC108" s="57" t="s">
        <v>97</v>
      </c>
    </row>
    <row r="109" spans="1:29" x14ac:dyDescent="0.25">
      <c r="A109" s="329">
        <v>45884</v>
      </c>
      <c r="B109" s="5">
        <v>1</v>
      </c>
      <c r="D109" s="5" t="s">
        <v>91</v>
      </c>
      <c r="E109" s="6">
        <v>2.44</v>
      </c>
      <c r="G109" s="362">
        <v>2</v>
      </c>
      <c r="H109" s="362">
        <v>0</v>
      </c>
      <c r="I109" s="8">
        <v>0.93</v>
      </c>
      <c r="L109" s="5" t="s">
        <v>92</v>
      </c>
      <c r="M109" s="242" t="s">
        <v>93</v>
      </c>
      <c r="N109" s="476">
        <v>41</v>
      </c>
      <c r="O109" s="477" t="s">
        <v>91</v>
      </c>
      <c r="P109" s="478" t="s">
        <v>96</v>
      </c>
      <c r="Q109" s="478" t="s">
        <v>97</v>
      </c>
      <c r="R109" s="478" t="s">
        <v>686</v>
      </c>
      <c r="S109" s="479">
        <v>87</v>
      </c>
      <c r="T109" s="478" t="s">
        <v>41</v>
      </c>
      <c r="U109" s="478" t="s">
        <v>43</v>
      </c>
      <c r="V109" s="480" t="s">
        <v>10</v>
      </c>
      <c r="W109" s="51">
        <v>0.02</v>
      </c>
      <c r="X109" s="357">
        <v>0.23</v>
      </c>
      <c r="Z109" s="5" t="s">
        <v>48</v>
      </c>
      <c r="AA109" s="112" t="s">
        <v>24</v>
      </c>
    </row>
    <row r="110" spans="1:29" x14ac:dyDescent="0.25">
      <c r="A110" s="329">
        <v>45884</v>
      </c>
      <c r="B110" s="5">
        <v>1</v>
      </c>
      <c r="D110" s="5" t="s">
        <v>91</v>
      </c>
      <c r="E110" s="6">
        <v>2.44</v>
      </c>
      <c r="G110" s="362">
        <v>2</v>
      </c>
      <c r="H110" s="362">
        <v>0</v>
      </c>
      <c r="I110" s="8">
        <v>0.93</v>
      </c>
      <c r="L110" s="5" t="s">
        <v>92</v>
      </c>
      <c r="M110" s="242" t="s">
        <v>93</v>
      </c>
      <c r="N110" s="476">
        <v>45</v>
      </c>
      <c r="O110" s="477" t="s">
        <v>91</v>
      </c>
      <c r="P110" s="478" t="s">
        <v>98</v>
      </c>
      <c r="Q110" s="478" t="s">
        <v>99</v>
      </c>
      <c r="R110" s="478" t="s">
        <v>684</v>
      </c>
      <c r="S110" s="479">
        <v>76</v>
      </c>
      <c r="T110" s="478" t="s">
        <v>41</v>
      </c>
      <c r="U110" s="478" t="s">
        <v>43</v>
      </c>
      <c r="V110" s="480" t="s">
        <v>10</v>
      </c>
      <c r="W110" s="51">
        <v>0.13</v>
      </c>
      <c r="X110" s="357">
        <v>0.09</v>
      </c>
      <c r="Z110" s="5" t="s">
        <v>48</v>
      </c>
      <c r="AA110" s="112" t="s">
        <v>24</v>
      </c>
    </row>
    <row r="111" spans="1:29" x14ac:dyDescent="0.25">
      <c r="A111" s="329">
        <v>45884</v>
      </c>
      <c r="B111" s="5">
        <v>1</v>
      </c>
      <c r="D111" s="5" t="s">
        <v>91</v>
      </c>
      <c r="E111" s="6">
        <v>2.44</v>
      </c>
      <c r="G111" s="362">
        <v>2</v>
      </c>
      <c r="H111" s="362">
        <v>0</v>
      </c>
      <c r="I111" s="8">
        <v>0.93</v>
      </c>
      <c r="L111" s="5" t="s">
        <v>92</v>
      </c>
      <c r="M111" s="242" t="s">
        <v>93</v>
      </c>
      <c r="N111" s="345">
        <v>54</v>
      </c>
      <c r="O111" s="38" t="s">
        <v>92</v>
      </c>
      <c r="P111" s="5" t="s">
        <v>110</v>
      </c>
      <c r="Q111" s="5" t="s">
        <v>111</v>
      </c>
      <c r="R111" s="5" t="s">
        <v>685</v>
      </c>
      <c r="S111" s="7">
        <v>72</v>
      </c>
      <c r="T111" s="5" t="s">
        <v>354</v>
      </c>
      <c r="U111" s="5" t="s">
        <v>42</v>
      </c>
      <c r="V111" s="57" t="s">
        <v>540</v>
      </c>
      <c r="W111" s="51">
        <v>0.03</v>
      </c>
      <c r="X111" s="357">
        <v>0.14000000000000001</v>
      </c>
      <c r="Z111" s="5" t="s">
        <v>48</v>
      </c>
      <c r="AA111" s="112" t="s">
        <v>24</v>
      </c>
    </row>
    <row r="112" spans="1:29" ht="15.75" thickBot="1" x14ac:dyDescent="0.3">
      <c r="A112" s="330">
        <v>45884</v>
      </c>
      <c r="B112" s="9">
        <v>1</v>
      </c>
      <c r="C112" s="122"/>
      <c r="D112" s="9" t="s">
        <v>91</v>
      </c>
      <c r="E112" s="10">
        <v>2.44</v>
      </c>
      <c r="F112" s="10"/>
      <c r="G112" s="383">
        <v>2</v>
      </c>
      <c r="H112" s="383">
        <v>0</v>
      </c>
      <c r="I112" s="12">
        <v>0.93</v>
      </c>
      <c r="J112" s="12"/>
      <c r="K112" s="122"/>
      <c r="L112" s="9" t="s">
        <v>92</v>
      </c>
      <c r="M112" s="445" t="s">
        <v>93</v>
      </c>
      <c r="N112" s="511">
        <v>59</v>
      </c>
      <c r="O112" s="512" t="s">
        <v>91</v>
      </c>
      <c r="P112" s="513" t="s">
        <v>106</v>
      </c>
      <c r="Q112" s="513" t="s">
        <v>107</v>
      </c>
      <c r="R112" s="513" t="s">
        <v>696</v>
      </c>
      <c r="S112" s="479">
        <v>64</v>
      </c>
      <c r="T112" s="513" t="s">
        <v>41</v>
      </c>
      <c r="U112" s="513" t="s">
        <v>42</v>
      </c>
      <c r="V112" s="514" t="s">
        <v>10</v>
      </c>
      <c r="W112" s="52">
        <v>0.2</v>
      </c>
      <c r="X112" s="358" t="s">
        <v>53</v>
      </c>
      <c r="Y112" s="352"/>
      <c r="Z112" s="9" t="s">
        <v>55</v>
      </c>
      <c r="AA112" s="113" t="s">
        <v>24</v>
      </c>
      <c r="AB112" s="109"/>
      <c r="AC112" s="58"/>
    </row>
    <row r="113" spans="1:29" ht="15.75" thickBot="1" x14ac:dyDescent="0.3">
      <c r="A113" s="326">
        <v>45884</v>
      </c>
      <c r="B113" s="207">
        <v>1</v>
      </c>
      <c r="C113" s="208"/>
      <c r="D113" s="207" t="s">
        <v>91</v>
      </c>
      <c r="E113" s="209">
        <v>2.44</v>
      </c>
      <c r="F113" s="209"/>
      <c r="G113" s="460">
        <v>2</v>
      </c>
      <c r="H113" s="460">
        <v>0</v>
      </c>
      <c r="I113" s="211">
        <v>0.93</v>
      </c>
      <c r="J113" s="211"/>
      <c r="K113" s="208"/>
      <c r="L113" s="207" t="s">
        <v>92</v>
      </c>
      <c r="M113" s="197"/>
      <c r="N113" s="347"/>
      <c r="O113" s="343" t="s">
        <v>91</v>
      </c>
      <c r="P113" s="199" t="s">
        <v>351</v>
      </c>
      <c r="Q113" s="199" t="s">
        <v>54</v>
      </c>
      <c r="R113" s="199" t="s">
        <v>707</v>
      </c>
      <c r="S113" s="479">
        <v>76</v>
      </c>
      <c r="T113" s="199"/>
      <c r="U113" s="199"/>
      <c r="V113" s="201"/>
      <c r="W113" s="202"/>
      <c r="X113" s="359"/>
      <c r="Y113" s="353">
        <v>0</v>
      </c>
      <c r="Z113" s="199"/>
      <c r="AA113" s="204"/>
      <c r="AB113" s="205"/>
      <c r="AC113" s="201"/>
    </row>
    <row r="114" spans="1:29" ht="15.75" thickBot="1" x14ac:dyDescent="0.3">
      <c r="A114" s="326">
        <v>45884</v>
      </c>
      <c r="B114" s="207">
        <v>1</v>
      </c>
      <c r="C114" s="208"/>
      <c r="D114" s="207" t="s">
        <v>91</v>
      </c>
      <c r="E114" s="209">
        <v>2.44</v>
      </c>
      <c r="F114" s="209"/>
      <c r="G114" s="460">
        <v>2</v>
      </c>
      <c r="H114" s="460">
        <v>0</v>
      </c>
      <c r="I114" s="211">
        <v>0.93</v>
      </c>
      <c r="J114" s="211"/>
      <c r="K114" s="208"/>
      <c r="L114" s="207" t="s">
        <v>92</v>
      </c>
      <c r="M114" s="197"/>
      <c r="N114" s="347"/>
      <c r="O114" s="343" t="s">
        <v>92</v>
      </c>
      <c r="P114" s="199" t="s">
        <v>432</v>
      </c>
      <c r="Q114" s="199" t="s">
        <v>472</v>
      </c>
      <c r="R114" s="199" t="s">
        <v>707</v>
      </c>
      <c r="S114" s="479">
        <v>80</v>
      </c>
      <c r="T114" s="199"/>
      <c r="U114" s="199"/>
      <c r="V114" s="201"/>
      <c r="W114" s="202"/>
      <c r="X114" s="359"/>
      <c r="Y114" s="353">
        <v>2</v>
      </c>
      <c r="Z114" s="199"/>
      <c r="AA114" s="204"/>
      <c r="AB114" s="205"/>
      <c r="AC114" s="201"/>
    </row>
    <row r="115" spans="1:29" x14ac:dyDescent="0.25">
      <c r="A115" s="328">
        <v>45893</v>
      </c>
      <c r="B115" s="17">
        <v>2</v>
      </c>
      <c r="C115" s="123" t="s">
        <v>694</v>
      </c>
      <c r="D115" s="17" t="s">
        <v>91</v>
      </c>
      <c r="E115" s="18">
        <v>2.2999999999999998</v>
      </c>
      <c r="F115" s="18"/>
      <c r="G115" s="461">
        <v>5</v>
      </c>
      <c r="H115" s="461">
        <v>0</v>
      </c>
      <c r="I115" s="20">
        <v>0.14000000000000001</v>
      </c>
      <c r="J115" s="20"/>
      <c r="K115" s="123" t="s">
        <v>704</v>
      </c>
      <c r="L115" s="17" t="s">
        <v>69</v>
      </c>
      <c r="M115" s="46"/>
      <c r="N115" s="507">
        <v>7</v>
      </c>
      <c r="O115" s="508" t="s">
        <v>91</v>
      </c>
      <c r="P115" s="509" t="s">
        <v>96</v>
      </c>
      <c r="Q115" s="509" t="s">
        <v>97</v>
      </c>
      <c r="R115" s="509" t="s">
        <v>718</v>
      </c>
      <c r="S115" s="479">
        <v>91</v>
      </c>
      <c r="T115" s="509" t="s">
        <v>41</v>
      </c>
      <c r="U115" s="509" t="s">
        <v>43</v>
      </c>
      <c r="V115" s="510" t="s">
        <v>540</v>
      </c>
      <c r="W115" s="53">
        <v>0.45</v>
      </c>
      <c r="X115" s="360">
        <v>0.52</v>
      </c>
      <c r="Y115" s="354" t="s">
        <v>353</v>
      </c>
      <c r="Z115" s="17" t="s">
        <v>8</v>
      </c>
      <c r="AA115" s="114" t="s">
        <v>19</v>
      </c>
      <c r="AB115" s="110"/>
      <c r="AC115" s="60"/>
    </row>
    <row r="116" spans="1:29" x14ac:dyDescent="0.25">
      <c r="A116" s="329">
        <v>45893</v>
      </c>
      <c r="B116" s="5">
        <v>2</v>
      </c>
      <c r="D116" s="5" t="s">
        <v>91</v>
      </c>
      <c r="E116" s="6">
        <v>2.2999999999999998</v>
      </c>
      <c r="G116" s="362">
        <v>5</v>
      </c>
      <c r="H116" s="362">
        <v>0</v>
      </c>
      <c r="I116" s="8">
        <v>0.14000000000000001</v>
      </c>
      <c r="L116" s="5" t="s">
        <v>69</v>
      </c>
      <c r="N116" s="476">
        <v>16</v>
      </c>
      <c r="O116" s="477" t="s">
        <v>91</v>
      </c>
      <c r="P116" s="478" t="s">
        <v>106</v>
      </c>
      <c r="Q116" s="478" t="s">
        <v>107</v>
      </c>
      <c r="R116" s="478" t="s">
        <v>686</v>
      </c>
      <c r="S116" s="479">
        <v>100</v>
      </c>
      <c r="T116" s="478" t="s">
        <v>41</v>
      </c>
      <c r="U116" s="478" t="s">
        <v>42</v>
      </c>
      <c r="V116" s="480" t="s">
        <v>10</v>
      </c>
      <c r="W116" s="51">
        <v>0.03</v>
      </c>
      <c r="X116" s="357">
        <v>0.18</v>
      </c>
      <c r="Z116" s="5" t="s">
        <v>8</v>
      </c>
      <c r="AA116" s="112" t="s">
        <v>24</v>
      </c>
      <c r="AB116" s="108" t="s">
        <v>493</v>
      </c>
      <c r="AC116" s="57" t="s">
        <v>494</v>
      </c>
    </row>
    <row r="117" spans="1:29" x14ac:dyDescent="0.25">
      <c r="A117" s="329">
        <v>45893</v>
      </c>
      <c r="B117" s="5">
        <v>2</v>
      </c>
      <c r="D117" s="5" t="s">
        <v>91</v>
      </c>
      <c r="E117" s="6">
        <v>2.2999999999999998</v>
      </c>
      <c r="G117" s="362">
        <v>5</v>
      </c>
      <c r="H117" s="362">
        <v>0</v>
      </c>
      <c r="I117" s="8">
        <v>0.14000000000000001</v>
      </c>
      <c r="L117" s="5" t="s">
        <v>69</v>
      </c>
      <c r="N117" s="476">
        <v>22</v>
      </c>
      <c r="O117" s="477" t="s">
        <v>91</v>
      </c>
      <c r="P117" s="478" t="s">
        <v>96</v>
      </c>
      <c r="Q117" s="478" t="s">
        <v>97</v>
      </c>
      <c r="R117" s="478" t="s">
        <v>718</v>
      </c>
      <c r="S117" s="479">
        <v>91</v>
      </c>
      <c r="T117" s="478" t="s">
        <v>41</v>
      </c>
      <c r="U117" s="478" t="s">
        <v>43</v>
      </c>
      <c r="V117" s="480" t="s">
        <v>18</v>
      </c>
      <c r="W117" s="51">
        <v>0.11</v>
      </c>
      <c r="X117" s="357" t="s">
        <v>53</v>
      </c>
      <c r="Z117" s="5" t="s">
        <v>52</v>
      </c>
      <c r="AA117" s="112" t="s">
        <v>24</v>
      </c>
    </row>
    <row r="118" spans="1:29" x14ac:dyDescent="0.25">
      <c r="A118" s="329">
        <v>45893</v>
      </c>
      <c r="B118" s="5">
        <v>2</v>
      </c>
      <c r="D118" s="5" t="s">
        <v>91</v>
      </c>
      <c r="E118" s="6">
        <v>2.2999999999999998</v>
      </c>
      <c r="G118" s="362">
        <v>5</v>
      </c>
      <c r="H118" s="362">
        <v>0</v>
      </c>
      <c r="I118" s="8">
        <v>0.14000000000000001</v>
      </c>
      <c r="L118" s="5" t="s">
        <v>69</v>
      </c>
      <c r="N118" s="476">
        <v>24</v>
      </c>
      <c r="O118" s="477" t="s">
        <v>91</v>
      </c>
      <c r="P118" s="478" t="s">
        <v>96</v>
      </c>
      <c r="Q118" s="478" t="s">
        <v>97</v>
      </c>
      <c r="R118" s="478" t="s">
        <v>718</v>
      </c>
      <c r="S118" s="479">
        <v>91</v>
      </c>
      <c r="T118" s="478" t="s">
        <v>41</v>
      </c>
      <c r="U118" s="478" t="s">
        <v>45</v>
      </c>
      <c r="V118" s="480" t="s">
        <v>10</v>
      </c>
      <c r="W118" s="51">
        <v>0.12</v>
      </c>
      <c r="X118" s="357" t="s">
        <v>53</v>
      </c>
      <c r="Z118" s="5" t="s">
        <v>52</v>
      </c>
      <c r="AA118" s="112" t="s">
        <v>24</v>
      </c>
    </row>
    <row r="119" spans="1:29" x14ac:dyDescent="0.25">
      <c r="A119" s="329">
        <v>45893</v>
      </c>
      <c r="B119" s="5">
        <v>2</v>
      </c>
      <c r="D119" s="5" t="s">
        <v>91</v>
      </c>
      <c r="E119" s="6">
        <v>2.2999999999999998</v>
      </c>
      <c r="G119" s="362">
        <v>5</v>
      </c>
      <c r="H119" s="362">
        <v>0</v>
      </c>
      <c r="I119" s="8">
        <v>0.14000000000000001</v>
      </c>
      <c r="L119" s="5" t="s">
        <v>69</v>
      </c>
      <c r="N119" s="476">
        <v>25</v>
      </c>
      <c r="O119" s="477" t="s">
        <v>91</v>
      </c>
      <c r="P119" s="478" t="s">
        <v>61</v>
      </c>
      <c r="Q119" s="478" t="s">
        <v>284</v>
      </c>
      <c r="R119" s="478" t="s">
        <v>712</v>
      </c>
      <c r="S119" s="481">
        <v>79</v>
      </c>
      <c r="T119" s="478" t="s">
        <v>47</v>
      </c>
      <c r="U119" s="478" t="s">
        <v>45</v>
      </c>
      <c r="V119" s="480" t="s">
        <v>20</v>
      </c>
      <c r="W119" s="51">
        <v>0.19</v>
      </c>
      <c r="X119" s="357">
        <v>0.55000000000000004</v>
      </c>
      <c r="Y119" s="351" t="s">
        <v>353</v>
      </c>
      <c r="Z119" s="5" t="s">
        <v>8</v>
      </c>
      <c r="AA119" s="112" t="s">
        <v>27</v>
      </c>
      <c r="AB119" s="108" t="s">
        <v>102</v>
      </c>
      <c r="AC119" s="57" t="s">
        <v>103</v>
      </c>
    </row>
    <row r="120" spans="1:29" x14ac:dyDescent="0.25">
      <c r="A120" s="329">
        <v>45893</v>
      </c>
      <c r="B120" s="5">
        <v>2</v>
      </c>
      <c r="D120" s="5" t="s">
        <v>91</v>
      </c>
      <c r="E120" s="6">
        <v>2.2999999999999998</v>
      </c>
      <c r="G120" s="362">
        <v>5</v>
      </c>
      <c r="H120" s="362">
        <v>0</v>
      </c>
      <c r="I120" s="8">
        <v>0.14000000000000001</v>
      </c>
      <c r="L120" s="5" t="s">
        <v>69</v>
      </c>
      <c r="N120" s="476">
        <v>28</v>
      </c>
      <c r="O120" s="477" t="s">
        <v>91</v>
      </c>
      <c r="P120" s="478" t="s">
        <v>106</v>
      </c>
      <c r="Q120" s="478" t="s">
        <v>107</v>
      </c>
      <c r="R120" s="478" t="s">
        <v>686</v>
      </c>
      <c r="S120" s="481">
        <v>100</v>
      </c>
      <c r="T120" s="478" t="s">
        <v>47</v>
      </c>
      <c r="U120" s="478" t="s">
        <v>42</v>
      </c>
      <c r="V120" s="480" t="s">
        <v>10</v>
      </c>
      <c r="W120" s="51">
        <v>0.33</v>
      </c>
      <c r="X120" s="357">
        <v>0.31</v>
      </c>
      <c r="Y120" s="351" t="s">
        <v>353</v>
      </c>
      <c r="Z120" s="5" t="s">
        <v>8</v>
      </c>
      <c r="AA120" s="112" t="s">
        <v>32</v>
      </c>
      <c r="AB120" s="108" t="s">
        <v>100</v>
      </c>
      <c r="AC120" s="57" t="s">
        <v>101</v>
      </c>
    </row>
    <row r="121" spans="1:29" x14ac:dyDescent="0.25">
      <c r="A121" s="329">
        <v>45893</v>
      </c>
      <c r="B121" s="5">
        <v>2</v>
      </c>
      <c r="D121" s="5" t="s">
        <v>91</v>
      </c>
      <c r="E121" s="6">
        <v>2.2999999999999998</v>
      </c>
      <c r="G121" s="362">
        <v>5</v>
      </c>
      <c r="H121" s="362">
        <v>0</v>
      </c>
      <c r="I121" s="8">
        <v>0.14000000000000001</v>
      </c>
      <c r="L121" s="5" t="s">
        <v>69</v>
      </c>
      <c r="N121" s="476">
        <v>33</v>
      </c>
      <c r="O121" s="477" t="s">
        <v>91</v>
      </c>
      <c r="P121" s="478" t="s">
        <v>104</v>
      </c>
      <c r="Q121" s="478" t="s">
        <v>105</v>
      </c>
      <c r="R121" s="478" t="s">
        <v>717</v>
      </c>
      <c r="S121" s="479">
        <v>81</v>
      </c>
      <c r="T121" s="478" t="s">
        <v>47</v>
      </c>
      <c r="U121" s="478" t="s">
        <v>43</v>
      </c>
      <c r="V121" s="480" t="s">
        <v>10</v>
      </c>
      <c r="W121" s="51">
        <v>0.31</v>
      </c>
      <c r="X121" s="357">
        <v>0.1</v>
      </c>
      <c r="Y121" s="351" t="s">
        <v>353</v>
      </c>
      <c r="Z121" s="5" t="s">
        <v>48</v>
      </c>
      <c r="AA121" s="112" t="s">
        <v>32</v>
      </c>
    </row>
    <row r="122" spans="1:29" x14ac:dyDescent="0.25">
      <c r="A122" s="329">
        <v>45893</v>
      </c>
      <c r="B122" s="5">
        <v>2</v>
      </c>
      <c r="D122" s="5" t="s">
        <v>91</v>
      </c>
      <c r="E122" s="6">
        <v>2.2999999999999998</v>
      </c>
      <c r="G122" s="362">
        <v>5</v>
      </c>
      <c r="H122" s="362">
        <v>0</v>
      </c>
      <c r="I122" s="8">
        <v>0.14000000000000001</v>
      </c>
      <c r="L122" s="5" t="s">
        <v>69</v>
      </c>
      <c r="N122" s="476" t="s">
        <v>63</v>
      </c>
      <c r="O122" s="477" t="s">
        <v>91</v>
      </c>
      <c r="P122" s="478" t="s">
        <v>104</v>
      </c>
      <c r="Q122" s="478" t="s">
        <v>105</v>
      </c>
      <c r="R122" s="478" t="s">
        <v>717</v>
      </c>
      <c r="S122" s="479">
        <v>81</v>
      </c>
      <c r="T122" s="478" t="s">
        <v>354</v>
      </c>
      <c r="U122" s="478" t="s">
        <v>42</v>
      </c>
      <c r="V122" s="480" t="s">
        <v>18</v>
      </c>
      <c r="W122" s="51">
        <v>0.03</v>
      </c>
      <c r="X122" s="357" t="s">
        <v>53</v>
      </c>
      <c r="Z122" s="5" t="s">
        <v>16</v>
      </c>
      <c r="AA122" s="112" t="s">
        <v>32</v>
      </c>
    </row>
    <row r="123" spans="1:29" ht="15.75" thickBot="1" x14ac:dyDescent="0.3">
      <c r="A123" s="330">
        <v>45893</v>
      </c>
      <c r="B123" s="9">
        <v>2</v>
      </c>
      <c r="C123" s="122"/>
      <c r="D123" s="9" t="s">
        <v>91</v>
      </c>
      <c r="E123" s="10">
        <v>2.2999999999999998</v>
      </c>
      <c r="F123" s="10"/>
      <c r="G123" s="383">
        <v>5</v>
      </c>
      <c r="H123" s="383">
        <v>0</v>
      </c>
      <c r="I123" s="12">
        <v>0.14000000000000001</v>
      </c>
      <c r="J123" s="12"/>
      <c r="K123" s="122"/>
      <c r="L123" s="9" t="s">
        <v>69</v>
      </c>
      <c r="M123" s="45"/>
      <c r="N123" s="511">
        <v>64</v>
      </c>
      <c r="O123" s="512" t="s">
        <v>91</v>
      </c>
      <c r="P123" s="513" t="s">
        <v>106</v>
      </c>
      <c r="Q123" s="513" t="s">
        <v>107</v>
      </c>
      <c r="R123" s="513" t="s">
        <v>686</v>
      </c>
      <c r="S123" s="479">
        <v>100</v>
      </c>
      <c r="T123" s="513" t="s">
        <v>44</v>
      </c>
      <c r="U123" s="513" t="s">
        <v>42</v>
      </c>
      <c r="V123" s="514" t="s">
        <v>18</v>
      </c>
      <c r="W123" s="52">
        <v>7.0000000000000007E-2</v>
      </c>
      <c r="X123" s="358">
        <v>0.22</v>
      </c>
      <c r="Y123" s="352"/>
      <c r="Z123" s="9" t="s">
        <v>8</v>
      </c>
      <c r="AA123" s="113" t="s">
        <v>285</v>
      </c>
      <c r="AB123" s="109" t="s">
        <v>104</v>
      </c>
      <c r="AC123" s="58" t="s">
        <v>105</v>
      </c>
    </row>
    <row r="124" spans="1:29" ht="15.75" thickBot="1" x14ac:dyDescent="0.3">
      <c r="A124" s="326">
        <v>45893</v>
      </c>
      <c r="B124" s="207">
        <v>2</v>
      </c>
      <c r="C124" s="208"/>
      <c r="D124" s="207" t="s">
        <v>91</v>
      </c>
      <c r="E124" s="209">
        <v>2.2999999999999998</v>
      </c>
      <c r="F124" s="209"/>
      <c r="G124" s="460">
        <v>5</v>
      </c>
      <c r="H124" s="460">
        <v>0</v>
      </c>
      <c r="I124" s="211">
        <v>0.14000000000000001</v>
      </c>
      <c r="J124" s="211"/>
      <c r="K124" s="208"/>
      <c r="L124" s="207" t="s">
        <v>69</v>
      </c>
      <c r="M124" s="197"/>
      <c r="N124" s="347"/>
      <c r="O124" s="343" t="s">
        <v>91</v>
      </c>
      <c r="P124" s="199" t="s">
        <v>315</v>
      </c>
      <c r="Q124" s="199" t="s">
        <v>54</v>
      </c>
      <c r="R124" s="199" t="s">
        <v>707</v>
      </c>
      <c r="S124" s="479">
        <v>72</v>
      </c>
      <c r="T124" s="199"/>
      <c r="U124" s="199"/>
      <c r="V124" s="201"/>
      <c r="W124" s="202"/>
      <c r="X124" s="359"/>
      <c r="Y124" s="353">
        <v>0</v>
      </c>
      <c r="Z124" s="199"/>
      <c r="AA124" s="204"/>
      <c r="AB124" s="205"/>
      <c r="AC124" s="201"/>
    </row>
    <row r="125" spans="1:29" ht="15.75" thickBot="1" x14ac:dyDescent="0.3">
      <c r="A125" s="326">
        <v>45893</v>
      </c>
      <c r="B125" s="207">
        <v>2</v>
      </c>
      <c r="C125" s="208"/>
      <c r="D125" s="207" t="s">
        <v>91</v>
      </c>
      <c r="E125" s="209">
        <v>2.2999999999999998</v>
      </c>
      <c r="F125" s="209"/>
      <c r="G125" s="460">
        <v>5</v>
      </c>
      <c r="H125" s="460">
        <v>0</v>
      </c>
      <c r="I125" s="211">
        <v>0.14000000000000001</v>
      </c>
      <c r="J125" s="211"/>
      <c r="K125" s="208"/>
      <c r="L125" s="207" t="s">
        <v>69</v>
      </c>
      <c r="M125" s="197"/>
      <c r="N125" s="347"/>
      <c r="O125" s="343" t="s">
        <v>69</v>
      </c>
      <c r="P125" s="199" t="s">
        <v>389</v>
      </c>
      <c r="Q125" s="199" t="s">
        <v>729</v>
      </c>
      <c r="R125" s="199" t="s">
        <v>707</v>
      </c>
      <c r="S125" s="7">
        <v>52</v>
      </c>
      <c r="T125" s="199"/>
      <c r="U125" s="199"/>
      <c r="V125" s="201"/>
      <c r="W125" s="202"/>
      <c r="X125" s="359"/>
      <c r="Y125" s="353">
        <v>5</v>
      </c>
      <c r="Z125" s="199"/>
      <c r="AA125" s="204"/>
      <c r="AB125" s="205"/>
      <c r="AC125" s="201"/>
    </row>
    <row r="126" spans="1:29" x14ac:dyDescent="0.25">
      <c r="A126" s="331">
        <v>45920</v>
      </c>
      <c r="B126" s="13">
        <v>5</v>
      </c>
      <c r="C126" s="124" t="s">
        <v>694</v>
      </c>
      <c r="D126" s="13" t="s">
        <v>91</v>
      </c>
      <c r="E126" s="14">
        <v>2.5499999999999998</v>
      </c>
      <c r="F126" s="14"/>
      <c r="G126" s="375">
        <v>2</v>
      </c>
      <c r="H126" s="375">
        <v>1</v>
      </c>
      <c r="I126" s="16">
        <v>1.8</v>
      </c>
      <c r="J126" s="16"/>
      <c r="K126" s="124" t="s">
        <v>700</v>
      </c>
      <c r="L126" s="13" t="s">
        <v>227</v>
      </c>
      <c r="M126" s="268" t="s">
        <v>451</v>
      </c>
      <c r="N126" s="349">
        <v>3</v>
      </c>
      <c r="O126" s="458" t="s">
        <v>227</v>
      </c>
      <c r="P126" s="13" t="s">
        <v>65</v>
      </c>
      <c r="Q126" s="13" t="s">
        <v>450</v>
      </c>
      <c r="R126" s="13" t="s">
        <v>712</v>
      </c>
      <c r="S126" s="479">
        <v>65</v>
      </c>
      <c r="T126" s="13" t="s">
        <v>41</v>
      </c>
      <c r="U126" s="13" t="s">
        <v>43</v>
      </c>
      <c r="V126" s="60" t="s">
        <v>33</v>
      </c>
      <c r="W126" s="54">
        <v>0.39</v>
      </c>
      <c r="X126" s="361" t="s">
        <v>53</v>
      </c>
      <c r="Y126" s="355" t="s">
        <v>353</v>
      </c>
      <c r="Z126" s="13" t="s">
        <v>13</v>
      </c>
      <c r="AA126" s="115" t="s">
        <v>28</v>
      </c>
      <c r="AB126" s="110"/>
      <c r="AC126" s="60"/>
    </row>
    <row r="127" spans="1:29" x14ac:dyDescent="0.25">
      <c r="A127" s="329">
        <v>45920</v>
      </c>
      <c r="B127" s="5">
        <v>5</v>
      </c>
      <c r="D127" s="5" t="s">
        <v>91</v>
      </c>
      <c r="E127" s="6">
        <v>2.5499999999999998</v>
      </c>
      <c r="G127" s="362">
        <v>2</v>
      </c>
      <c r="H127" s="362">
        <v>1</v>
      </c>
      <c r="I127" s="8">
        <v>1.8</v>
      </c>
      <c r="L127" s="5" t="s">
        <v>227</v>
      </c>
      <c r="M127" s="242" t="s">
        <v>451</v>
      </c>
      <c r="N127" s="476">
        <v>7</v>
      </c>
      <c r="O127" s="477" t="s">
        <v>91</v>
      </c>
      <c r="P127" s="478" t="s">
        <v>96</v>
      </c>
      <c r="Q127" s="478" t="s">
        <v>97</v>
      </c>
      <c r="R127" s="478" t="s">
        <v>718</v>
      </c>
      <c r="S127" s="479">
        <v>75</v>
      </c>
      <c r="T127" s="478" t="s">
        <v>41</v>
      </c>
      <c r="U127" s="478" t="s">
        <v>43</v>
      </c>
      <c r="V127" s="480" t="s">
        <v>540</v>
      </c>
      <c r="W127" s="51">
        <v>0.12</v>
      </c>
      <c r="X127" s="357" t="s">
        <v>53</v>
      </c>
      <c r="Z127" s="5" t="s">
        <v>13</v>
      </c>
      <c r="AA127" s="112" t="s">
        <v>28</v>
      </c>
    </row>
    <row r="128" spans="1:29" x14ac:dyDescent="0.25">
      <c r="A128" s="329">
        <v>45920</v>
      </c>
      <c r="B128" s="5">
        <v>5</v>
      </c>
      <c r="D128" s="5" t="s">
        <v>91</v>
      </c>
      <c r="E128" s="6">
        <v>2.5499999999999998</v>
      </c>
      <c r="G128" s="362">
        <v>2</v>
      </c>
      <c r="H128" s="362">
        <v>1</v>
      </c>
      <c r="I128" s="8">
        <v>1.8</v>
      </c>
      <c r="L128" s="5" t="s">
        <v>227</v>
      </c>
      <c r="M128" s="242" t="s">
        <v>451</v>
      </c>
      <c r="N128" s="345">
        <v>19</v>
      </c>
      <c r="O128" s="38" t="s">
        <v>227</v>
      </c>
      <c r="P128" s="5" t="s">
        <v>25</v>
      </c>
      <c r="Q128" s="5" t="s">
        <v>397</v>
      </c>
      <c r="R128" s="5" t="s">
        <v>685</v>
      </c>
      <c r="S128" s="7">
        <v>66</v>
      </c>
      <c r="T128" s="5" t="s">
        <v>41</v>
      </c>
      <c r="U128" s="5" t="s">
        <v>42</v>
      </c>
      <c r="V128" s="57" t="s">
        <v>10</v>
      </c>
      <c r="W128" s="51">
        <v>0.11</v>
      </c>
      <c r="X128" s="357" t="s">
        <v>53</v>
      </c>
      <c r="Z128" s="5" t="s">
        <v>13</v>
      </c>
      <c r="AA128" s="112" t="s">
        <v>28</v>
      </c>
    </row>
    <row r="129" spans="1:29" x14ac:dyDescent="0.25">
      <c r="A129" s="329">
        <v>45920</v>
      </c>
      <c r="B129" s="5">
        <v>5</v>
      </c>
      <c r="D129" s="5" t="s">
        <v>91</v>
      </c>
      <c r="E129" s="6">
        <v>2.5499999999999998</v>
      </c>
      <c r="G129" s="362">
        <v>2</v>
      </c>
      <c r="H129" s="362">
        <v>1</v>
      </c>
      <c r="I129" s="8">
        <v>1.8</v>
      </c>
      <c r="L129" s="5" t="s">
        <v>227</v>
      </c>
      <c r="M129" s="242" t="s">
        <v>451</v>
      </c>
      <c r="N129" s="476">
        <v>26</v>
      </c>
      <c r="O129" s="477" t="s">
        <v>91</v>
      </c>
      <c r="P129" s="478" t="s">
        <v>443</v>
      </c>
      <c r="Q129" s="478" t="s">
        <v>444</v>
      </c>
      <c r="R129" s="478" t="s">
        <v>717</v>
      </c>
      <c r="S129" s="479">
        <v>76</v>
      </c>
      <c r="T129" s="478" t="s">
        <v>44</v>
      </c>
      <c r="U129" s="478" t="s">
        <v>42</v>
      </c>
      <c r="V129" s="480" t="s">
        <v>10</v>
      </c>
      <c r="W129" s="51">
        <v>0.06</v>
      </c>
      <c r="X129" s="357" t="s">
        <v>53</v>
      </c>
      <c r="Z129" s="5" t="s">
        <v>16</v>
      </c>
      <c r="AA129" s="112" t="s">
        <v>28</v>
      </c>
    </row>
    <row r="130" spans="1:29" x14ac:dyDescent="0.25">
      <c r="A130" s="329">
        <v>45920</v>
      </c>
      <c r="B130" s="5">
        <v>5</v>
      </c>
      <c r="D130" s="5" t="s">
        <v>91</v>
      </c>
      <c r="E130" s="6">
        <v>2.5499999999999998</v>
      </c>
      <c r="G130" s="362">
        <v>2</v>
      </c>
      <c r="H130" s="362">
        <v>1</v>
      </c>
      <c r="I130" s="8">
        <v>1.8</v>
      </c>
      <c r="L130" s="5" t="s">
        <v>227</v>
      </c>
      <c r="M130" s="242" t="s">
        <v>451</v>
      </c>
      <c r="N130" s="476">
        <v>33</v>
      </c>
      <c r="O130" s="477" t="s">
        <v>91</v>
      </c>
      <c r="P130" s="478" t="s">
        <v>445</v>
      </c>
      <c r="Q130" s="478" t="s">
        <v>446</v>
      </c>
      <c r="R130" s="478" t="s">
        <v>686</v>
      </c>
      <c r="S130" s="479">
        <v>63</v>
      </c>
      <c r="T130" s="478" t="s">
        <v>41</v>
      </c>
      <c r="U130" s="478" t="s">
        <v>42</v>
      </c>
      <c r="V130" s="480" t="s">
        <v>10</v>
      </c>
      <c r="W130" s="51">
        <v>0.33</v>
      </c>
      <c r="X130" s="357">
        <v>0.49</v>
      </c>
      <c r="Y130" s="351" t="s">
        <v>353</v>
      </c>
      <c r="Z130" s="5" t="s">
        <v>48</v>
      </c>
      <c r="AA130" s="112" t="s">
        <v>28</v>
      </c>
    </row>
    <row r="131" spans="1:29" x14ac:dyDescent="0.25">
      <c r="A131" s="329">
        <v>45920</v>
      </c>
      <c r="B131" s="5">
        <v>5</v>
      </c>
      <c r="D131" s="5" t="s">
        <v>91</v>
      </c>
      <c r="E131" s="6">
        <v>2.5499999999999998</v>
      </c>
      <c r="G131" s="362">
        <v>2</v>
      </c>
      <c r="H131" s="362">
        <v>1</v>
      </c>
      <c r="I131" s="8">
        <v>1.8</v>
      </c>
      <c r="L131" s="5" t="s">
        <v>227</v>
      </c>
      <c r="M131" s="242" t="s">
        <v>451</v>
      </c>
      <c r="N131" s="476">
        <v>35</v>
      </c>
      <c r="O131" s="477" t="s">
        <v>91</v>
      </c>
      <c r="P131" s="478" t="s">
        <v>443</v>
      </c>
      <c r="Q131" s="478" t="s">
        <v>444</v>
      </c>
      <c r="R131" s="478" t="s">
        <v>717</v>
      </c>
      <c r="S131" s="479">
        <v>76</v>
      </c>
      <c r="T131" s="478" t="s">
        <v>41</v>
      </c>
      <c r="U131" s="478" t="s">
        <v>43</v>
      </c>
      <c r="V131" s="480" t="s">
        <v>33</v>
      </c>
      <c r="W131" s="51">
        <v>0.23</v>
      </c>
      <c r="X131" s="357">
        <v>0.83</v>
      </c>
      <c r="Y131" s="351" t="s">
        <v>353</v>
      </c>
      <c r="Z131" s="5" t="s">
        <v>48</v>
      </c>
      <c r="AA131" s="112" t="s">
        <v>28</v>
      </c>
    </row>
    <row r="132" spans="1:29" x14ac:dyDescent="0.25">
      <c r="A132" s="329">
        <v>45920</v>
      </c>
      <c r="B132" s="5">
        <v>5</v>
      </c>
      <c r="D132" s="5" t="s">
        <v>91</v>
      </c>
      <c r="E132" s="6">
        <v>2.5499999999999998</v>
      </c>
      <c r="G132" s="362">
        <v>2</v>
      </c>
      <c r="H132" s="362">
        <v>1</v>
      </c>
      <c r="I132" s="8">
        <v>1.8</v>
      </c>
      <c r="L132" s="5" t="s">
        <v>227</v>
      </c>
      <c r="M132" s="242" t="s">
        <v>451</v>
      </c>
      <c r="N132" s="345" t="s">
        <v>123</v>
      </c>
      <c r="O132" s="38" t="s">
        <v>227</v>
      </c>
      <c r="P132" s="5" t="s">
        <v>238</v>
      </c>
      <c r="Q132" s="5" t="s">
        <v>239</v>
      </c>
      <c r="R132" s="5" t="s">
        <v>684</v>
      </c>
      <c r="S132" s="481">
        <v>71</v>
      </c>
      <c r="T132" s="5" t="s">
        <v>41</v>
      </c>
      <c r="U132" s="5" t="s">
        <v>43</v>
      </c>
      <c r="V132" s="57" t="s">
        <v>7</v>
      </c>
      <c r="W132" s="51">
        <v>0.79</v>
      </c>
      <c r="X132" s="357">
        <v>0.81</v>
      </c>
      <c r="Y132" s="351" t="s">
        <v>353</v>
      </c>
      <c r="Z132" s="5" t="s">
        <v>8</v>
      </c>
      <c r="AA132" s="112" t="s">
        <v>9</v>
      </c>
    </row>
    <row r="133" spans="1:29" x14ac:dyDescent="0.25">
      <c r="A133" s="329">
        <v>45920</v>
      </c>
      <c r="B133" s="5">
        <v>5</v>
      </c>
      <c r="D133" s="5" t="s">
        <v>91</v>
      </c>
      <c r="E133" s="6">
        <v>2.5499999999999998</v>
      </c>
      <c r="G133" s="362">
        <v>2</v>
      </c>
      <c r="H133" s="362">
        <v>1</v>
      </c>
      <c r="I133" s="8">
        <v>1.8</v>
      </c>
      <c r="L133" s="5" t="s">
        <v>227</v>
      </c>
      <c r="M133" s="242" t="s">
        <v>451</v>
      </c>
      <c r="N133" s="476">
        <v>51</v>
      </c>
      <c r="O133" s="477" t="s">
        <v>91</v>
      </c>
      <c r="P133" s="478" t="s">
        <v>447</v>
      </c>
      <c r="Q133" s="478" t="s">
        <v>179</v>
      </c>
      <c r="R133" s="478" t="s">
        <v>689</v>
      </c>
      <c r="S133" s="481">
        <v>68</v>
      </c>
      <c r="T133" s="478" t="s">
        <v>354</v>
      </c>
      <c r="U133" s="478" t="s">
        <v>42</v>
      </c>
      <c r="V133" s="480" t="s">
        <v>540</v>
      </c>
      <c r="W133" s="51">
        <v>0.02</v>
      </c>
      <c r="X133" s="357">
        <v>0.31</v>
      </c>
      <c r="Z133" s="5" t="s">
        <v>48</v>
      </c>
      <c r="AA133" s="112" t="s">
        <v>9</v>
      </c>
    </row>
    <row r="134" spans="1:29" x14ac:dyDescent="0.25">
      <c r="A134" s="329">
        <v>45920</v>
      </c>
      <c r="B134" s="5">
        <v>5</v>
      </c>
      <c r="D134" s="5" t="s">
        <v>91</v>
      </c>
      <c r="E134" s="6">
        <v>2.5499999999999998</v>
      </c>
      <c r="G134" s="362">
        <v>2</v>
      </c>
      <c r="H134" s="362">
        <v>1</v>
      </c>
      <c r="I134" s="8">
        <v>1.8</v>
      </c>
      <c r="L134" s="5" t="s">
        <v>227</v>
      </c>
      <c r="M134" s="242" t="s">
        <v>451</v>
      </c>
      <c r="N134" s="476">
        <v>55</v>
      </c>
      <c r="O134" s="477" t="s">
        <v>91</v>
      </c>
      <c r="P134" s="478" t="s">
        <v>96</v>
      </c>
      <c r="Q134" s="478" t="s">
        <v>97</v>
      </c>
      <c r="R134" s="478" t="s">
        <v>718</v>
      </c>
      <c r="S134" s="479">
        <v>75</v>
      </c>
      <c r="T134" s="478" t="s">
        <v>41</v>
      </c>
      <c r="U134" s="478" t="s">
        <v>45</v>
      </c>
      <c r="V134" s="480" t="s">
        <v>10</v>
      </c>
      <c r="W134" s="51">
        <v>0.04</v>
      </c>
      <c r="X134" s="357" t="s">
        <v>53</v>
      </c>
      <c r="Z134" s="5" t="s">
        <v>22</v>
      </c>
      <c r="AA134" s="112" t="s">
        <v>9</v>
      </c>
    </row>
    <row r="135" spans="1:29" x14ac:dyDescent="0.25">
      <c r="A135" s="329">
        <v>45920</v>
      </c>
      <c r="B135" s="5">
        <v>5</v>
      </c>
      <c r="D135" s="5" t="s">
        <v>91</v>
      </c>
      <c r="E135" s="6">
        <v>2.5499999999999998</v>
      </c>
      <c r="G135" s="362">
        <v>2</v>
      </c>
      <c r="H135" s="362">
        <v>1</v>
      </c>
      <c r="I135" s="8">
        <v>1.8</v>
      </c>
      <c r="L135" s="5" t="s">
        <v>227</v>
      </c>
      <c r="M135" s="242" t="s">
        <v>451</v>
      </c>
      <c r="N135" s="476">
        <v>61</v>
      </c>
      <c r="O135" s="477" t="s">
        <v>91</v>
      </c>
      <c r="P135" s="478" t="s">
        <v>443</v>
      </c>
      <c r="Q135" s="478" t="s">
        <v>444</v>
      </c>
      <c r="R135" s="478" t="s">
        <v>717</v>
      </c>
      <c r="S135" s="479">
        <v>76</v>
      </c>
      <c r="T135" s="478" t="s">
        <v>41</v>
      </c>
      <c r="U135" s="478" t="s">
        <v>43</v>
      </c>
      <c r="V135" s="480" t="s">
        <v>10</v>
      </c>
      <c r="W135" s="51">
        <v>0.14000000000000001</v>
      </c>
      <c r="X135" s="357" t="s">
        <v>53</v>
      </c>
      <c r="Z135" s="5" t="s">
        <v>52</v>
      </c>
      <c r="AA135" s="112" t="s">
        <v>9</v>
      </c>
    </row>
    <row r="136" spans="1:29" x14ac:dyDescent="0.25">
      <c r="A136" s="329">
        <v>45920</v>
      </c>
      <c r="B136" s="5">
        <v>5</v>
      </c>
      <c r="D136" s="5" t="s">
        <v>91</v>
      </c>
      <c r="E136" s="6">
        <v>2.5499999999999998</v>
      </c>
      <c r="G136" s="362">
        <v>2</v>
      </c>
      <c r="H136" s="362">
        <v>1</v>
      </c>
      <c r="I136" s="8">
        <v>1.8</v>
      </c>
      <c r="L136" s="5" t="s">
        <v>227</v>
      </c>
      <c r="M136" s="242" t="s">
        <v>451</v>
      </c>
      <c r="N136" s="476">
        <v>62</v>
      </c>
      <c r="O136" s="477" t="s">
        <v>91</v>
      </c>
      <c r="P136" s="478" t="s">
        <v>49</v>
      </c>
      <c r="Q136" s="478" t="s">
        <v>50</v>
      </c>
      <c r="R136" s="478" t="s">
        <v>695</v>
      </c>
      <c r="S136" s="479">
        <v>79</v>
      </c>
      <c r="T136" s="478" t="s">
        <v>41</v>
      </c>
      <c r="U136" s="478" t="s">
        <v>45</v>
      </c>
      <c r="V136" s="480" t="s">
        <v>10</v>
      </c>
      <c r="W136" s="51">
        <v>0.12</v>
      </c>
      <c r="X136" s="357" t="s">
        <v>53</v>
      </c>
      <c r="Y136" s="351" t="s">
        <v>353</v>
      </c>
      <c r="Z136" s="5" t="s">
        <v>55</v>
      </c>
      <c r="AA136" s="112" t="s">
        <v>9</v>
      </c>
    </row>
    <row r="137" spans="1:29" x14ac:dyDescent="0.25">
      <c r="A137" s="329">
        <v>45920</v>
      </c>
      <c r="B137" s="5">
        <v>5</v>
      </c>
      <c r="D137" s="5" t="s">
        <v>91</v>
      </c>
      <c r="E137" s="6">
        <v>2.5499999999999998</v>
      </c>
      <c r="G137" s="362">
        <v>2</v>
      </c>
      <c r="H137" s="362">
        <v>1</v>
      </c>
      <c r="I137" s="8">
        <v>1.8</v>
      </c>
      <c r="L137" s="5" t="s">
        <v>227</v>
      </c>
      <c r="M137" s="242" t="s">
        <v>451</v>
      </c>
      <c r="N137" s="476">
        <v>69</v>
      </c>
      <c r="O137" s="477" t="s">
        <v>91</v>
      </c>
      <c r="P137" s="478" t="s">
        <v>443</v>
      </c>
      <c r="Q137" s="478" t="s">
        <v>444</v>
      </c>
      <c r="R137" s="478" t="s">
        <v>717</v>
      </c>
      <c r="S137" s="479">
        <v>76</v>
      </c>
      <c r="T137" s="478" t="s">
        <v>41</v>
      </c>
      <c r="U137" s="478" t="s">
        <v>45</v>
      </c>
      <c r="V137" s="480" t="s">
        <v>10</v>
      </c>
      <c r="W137" s="51">
        <v>0.19</v>
      </c>
      <c r="X137" s="357">
        <v>0.68</v>
      </c>
      <c r="Y137" s="351" t="s">
        <v>353</v>
      </c>
      <c r="Z137" s="5" t="s">
        <v>8</v>
      </c>
      <c r="AA137" s="112" t="s">
        <v>51</v>
      </c>
      <c r="AB137" s="108" t="s">
        <v>495</v>
      </c>
      <c r="AC137" s="57" t="s">
        <v>496</v>
      </c>
    </row>
    <row r="138" spans="1:29" x14ac:dyDescent="0.25">
      <c r="A138" s="329">
        <v>45920</v>
      </c>
      <c r="B138" s="5">
        <v>5</v>
      </c>
      <c r="D138" s="5" t="s">
        <v>91</v>
      </c>
      <c r="E138" s="6">
        <v>2.5499999999999998</v>
      </c>
      <c r="G138" s="362">
        <v>2</v>
      </c>
      <c r="H138" s="362">
        <v>1</v>
      </c>
      <c r="I138" s="8">
        <v>1.8</v>
      </c>
      <c r="L138" s="5" t="s">
        <v>227</v>
      </c>
      <c r="M138" s="242" t="s">
        <v>451</v>
      </c>
      <c r="N138" s="476">
        <v>79</v>
      </c>
      <c r="O138" s="477" t="s">
        <v>91</v>
      </c>
      <c r="P138" s="478" t="s">
        <v>443</v>
      </c>
      <c r="Q138" s="478" t="s">
        <v>444</v>
      </c>
      <c r="R138" s="478" t="s">
        <v>717</v>
      </c>
      <c r="S138" s="479">
        <v>76</v>
      </c>
      <c r="T138" s="478" t="s">
        <v>47</v>
      </c>
      <c r="U138" s="478" t="s">
        <v>42</v>
      </c>
      <c r="V138" s="480" t="s">
        <v>10</v>
      </c>
      <c r="W138" s="51">
        <v>0.46</v>
      </c>
      <c r="X138" s="357" t="s">
        <v>53</v>
      </c>
      <c r="Y138" s="351" t="s">
        <v>353</v>
      </c>
      <c r="Z138" s="5" t="s">
        <v>55</v>
      </c>
      <c r="AA138" s="112" t="s">
        <v>51</v>
      </c>
    </row>
    <row r="139" spans="1:29" x14ac:dyDescent="0.25">
      <c r="A139" s="329">
        <v>45920</v>
      </c>
      <c r="B139" s="5">
        <v>5</v>
      </c>
      <c r="D139" s="5" t="s">
        <v>91</v>
      </c>
      <c r="E139" s="6">
        <v>2.5499999999999998</v>
      </c>
      <c r="G139" s="362">
        <v>2</v>
      </c>
      <c r="H139" s="362">
        <v>1</v>
      </c>
      <c r="I139" s="8">
        <v>1.8</v>
      </c>
      <c r="L139" s="5" t="s">
        <v>227</v>
      </c>
      <c r="M139" s="242" t="s">
        <v>451</v>
      </c>
      <c r="N139" s="476">
        <v>85</v>
      </c>
      <c r="O139" s="477" t="s">
        <v>91</v>
      </c>
      <c r="P139" s="478" t="s">
        <v>49</v>
      </c>
      <c r="Q139" s="478" t="s">
        <v>50</v>
      </c>
      <c r="R139" s="478" t="s">
        <v>695</v>
      </c>
      <c r="S139" s="479">
        <v>79</v>
      </c>
      <c r="T139" s="478" t="s">
        <v>44</v>
      </c>
      <c r="U139" s="478" t="s">
        <v>541</v>
      </c>
      <c r="V139" s="480" t="s">
        <v>10</v>
      </c>
      <c r="W139" s="51">
        <v>0.02</v>
      </c>
      <c r="X139" s="357">
        <v>0.17</v>
      </c>
      <c r="Z139" s="5" t="s">
        <v>8</v>
      </c>
      <c r="AA139" s="112" t="s">
        <v>34</v>
      </c>
      <c r="AB139" s="108" t="s">
        <v>448</v>
      </c>
      <c r="AC139" s="57" t="s">
        <v>449</v>
      </c>
    </row>
    <row r="140" spans="1:29" x14ac:dyDescent="0.25">
      <c r="A140" s="329">
        <v>45920</v>
      </c>
      <c r="B140" s="5">
        <v>5</v>
      </c>
      <c r="D140" s="5" t="s">
        <v>91</v>
      </c>
      <c r="E140" s="6">
        <v>2.5499999999999998</v>
      </c>
      <c r="G140" s="362">
        <v>2</v>
      </c>
      <c r="H140" s="362">
        <v>1</v>
      </c>
      <c r="I140" s="8">
        <v>1.8</v>
      </c>
      <c r="L140" s="5" t="s">
        <v>227</v>
      </c>
      <c r="M140" s="242" t="s">
        <v>451</v>
      </c>
      <c r="N140" s="345">
        <v>88</v>
      </c>
      <c r="O140" s="38" t="s">
        <v>227</v>
      </c>
      <c r="P140" s="5" t="s">
        <v>398</v>
      </c>
      <c r="Q140" s="5" t="s">
        <v>399</v>
      </c>
      <c r="R140" s="5" t="s">
        <v>696</v>
      </c>
      <c r="S140" s="7">
        <v>60</v>
      </c>
      <c r="T140" s="5" t="s">
        <v>47</v>
      </c>
      <c r="U140" s="5" t="s">
        <v>42</v>
      </c>
      <c r="V140" s="57" t="s">
        <v>33</v>
      </c>
      <c r="W140" s="51">
        <v>0.32</v>
      </c>
      <c r="X140" s="357">
        <v>0.74</v>
      </c>
      <c r="Y140" s="351" t="s">
        <v>353</v>
      </c>
      <c r="Z140" s="5" t="s">
        <v>48</v>
      </c>
      <c r="AA140" s="112" t="s">
        <v>34</v>
      </c>
    </row>
    <row r="141" spans="1:29" x14ac:dyDescent="0.25">
      <c r="A141" s="329">
        <v>45920</v>
      </c>
      <c r="B141" s="5">
        <v>5</v>
      </c>
      <c r="D141" s="5" t="s">
        <v>91</v>
      </c>
      <c r="E141" s="6">
        <v>2.5499999999999998</v>
      </c>
      <c r="G141" s="362">
        <v>2</v>
      </c>
      <c r="H141" s="362">
        <v>1</v>
      </c>
      <c r="I141" s="8">
        <v>1.8</v>
      </c>
      <c r="L141" s="5" t="s">
        <v>227</v>
      </c>
      <c r="M141" s="242" t="s">
        <v>451</v>
      </c>
      <c r="N141" s="476" t="s">
        <v>31</v>
      </c>
      <c r="O141" s="477" t="s">
        <v>91</v>
      </c>
      <c r="P141" s="478" t="s">
        <v>448</v>
      </c>
      <c r="Q141" s="478" t="s">
        <v>449</v>
      </c>
      <c r="R141" s="478" t="s">
        <v>696</v>
      </c>
      <c r="S141" s="479">
        <v>65</v>
      </c>
      <c r="T141" s="478" t="s">
        <v>41</v>
      </c>
      <c r="U141" s="478" t="s">
        <v>43</v>
      </c>
      <c r="V141" s="480" t="s">
        <v>10</v>
      </c>
      <c r="W141" s="51">
        <v>0.37</v>
      </c>
      <c r="X141" s="357">
        <v>0.83</v>
      </c>
      <c r="Y141" s="351" t="s">
        <v>353</v>
      </c>
      <c r="Z141" s="5" t="s">
        <v>48</v>
      </c>
      <c r="AA141" s="112" t="s">
        <v>34</v>
      </c>
    </row>
    <row r="142" spans="1:29" x14ac:dyDescent="0.25">
      <c r="A142" s="329">
        <v>45920</v>
      </c>
      <c r="B142" s="5">
        <v>5</v>
      </c>
      <c r="D142" s="5" t="s">
        <v>91</v>
      </c>
      <c r="E142" s="6">
        <v>2.5499999999999998</v>
      </c>
      <c r="G142" s="362">
        <v>2</v>
      </c>
      <c r="H142" s="362">
        <v>1</v>
      </c>
      <c r="I142" s="8">
        <v>1.8</v>
      </c>
      <c r="L142" s="5" t="s">
        <v>227</v>
      </c>
      <c r="M142" s="242" t="s">
        <v>451</v>
      </c>
      <c r="N142" s="476" t="s">
        <v>31</v>
      </c>
      <c r="O142" s="477" t="s">
        <v>91</v>
      </c>
      <c r="P142" s="478" t="s">
        <v>49</v>
      </c>
      <c r="Q142" s="478" t="s">
        <v>50</v>
      </c>
      <c r="R142" s="478" t="s">
        <v>695</v>
      </c>
      <c r="S142" s="479">
        <v>79</v>
      </c>
      <c r="T142" s="478" t="s">
        <v>41</v>
      </c>
      <c r="U142" s="478" t="s">
        <v>42</v>
      </c>
      <c r="V142" s="480" t="s">
        <v>10</v>
      </c>
      <c r="W142" s="51">
        <v>0.04</v>
      </c>
      <c r="X142" s="357" t="s">
        <v>53</v>
      </c>
      <c r="Z142" s="5" t="s">
        <v>22</v>
      </c>
      <c r="AA142" s="112" t="s">
        <v>34</v>
      </c>
    </row>
    <row r="143" spans="1:29" ht="15.75" thickBot="1" x14ac:dyDescent="0.3">
      <c r="A143" s="330">
        <v>45920</v>
      </c>
      <c r="B143" s="9">
        <v>5</v>
      </c>
      <c r="C143" s="122"/>
      <c r="D143" s="9" t="s">
        <v>91</v>
      </c>
      <c r="E143" s="10">
        <v>2.5499999999999998</v>
      </c>
      <c r="F143" s="10"/>
      <c r="G143" s="383">
        <v>2</v>
      </c>
      <c r="H143" s="383">
        <v>1</v>
      </c>
      <c r="I143" s="12">
        <v>1.8</v>
      </c>
      <c r="J143" s="12"/>
      <c r="K143" s="122"/>
      <c r="L143" s="9" t="s">
        <v>227</v>
      </c>
      <c r="M143" s="445" t="s">
        <v>451</v>
      </c>
      <c r="N143" s="346" t="s">
        <v>36</v>
      </c>
      <c r="O143" s="454" t="s">
        <v>227</v>
      </c>
      <c r="P143" s="9" t="s">
        <v>398</v>
      </c>
      <c r="Q143" s="9" t="s">
        <v>399</v>
      </c>
      <c r="R143" s="9" t="s">
        <v>696</v>
      </c>
      <c r="S143" s="479">
        <v>60</v>
      </c>
      <c r="T143" s="9" t="s">
        <v>41</v>
      </c>
      <c r="U143" s="9" t="s">
        <v>42</v>
      </c>
      <c r="V143" s="58" t="s">
        <v>29</v>
      </c>
      <c r="W143" s="52">
        <v>0.14000000000000001</v>
      </c>
      <c r="X143" s="358">
        <v>0.31</v>
      </c>
      <c r="Y143" s="352"/>
      <c r="Z143" s="9" t="s">
        <v>48</v>
      </c>
      <c r="AA143" s="113" t="s">
        <v>34</v>
      </c>
      <c r="AB143" s="109"/>
      <c r="AC143" s="58"/>
    </row>
    <row r="144" spans="1:29" ht="15.75" thickBot="1" x14ac:dyDescent="0.3">
      <c r="A144" s="326">
        <v>45920</v>
      </c>
      <c r="B144" s="207">
        <v>5</v>
      </c>
      <c r="C144" s="208"/>
      <c r="D144" s="207" t="s">
        <v>91</v>
      </c>
      <c r="E144" s="209">
        <v>2.5499999999999998</v>
      </c>
      <c r="F144" s="209"/>
      <c r="G144" s="460">
        <v>2</v>
      </c>
      <c r="H144" s="460">
        <v>1</v>
      </c>
      <c r="I144" s="211">
        <v>1.8</v>
      </c>
      <c r="J144" s="211"/>
      <c r="K144" s="208"/>
      <c r="L144" s="207" t="s">
        <v>227</v>
      </c>
      <c r="M144" s="235"/>
      <c r="N144" s="347"/>
      <c r="O144" s="343" t="s">
        <v>91</v>
      </c>
      <c r="P144" s="199" t="s">
        <v>351</v>
      </c>
      <c r="Q144" s="199" t="s">
        <v>54</v>
      </c>
      <c r="R144" s="199" t="s">
        <v>707</v>
      </c>
      <c r="S144" s="7">
        <v>66</v>
      </c>
      <c r="T144" s="199"/>
      <c r="U144" s="199"/>
      <c r="V144" s="201"/>
      <c r="W144" s="202"/>
      <c r="X144" s="359"/>
      <c r="Y144" s="353">
        <v>1</v>
      </c>
      <c r="Z144" s="199"/>
      <c r="AA144" s="204"/>
      <c r="AB144" s="205"/>
      <c r="AC144" s="201"/>
    </row>
    <row r="145" spans="1:29" ht="15.75" thickBot="1" x14ac:dyDescent="0.3">
      <c r="A145" s="326">
        <v>45920</v>
      </c>
      <c r="B145" s="207">
        <v>5</v>
      </c>
      <c r="C145" s="208"/>
      <c r="D145" s="207" t="s">
        <v>91</v>
      </c>
      <c r="E145" s="209">
        <v>2.5499999999999998</v>
      </c>
      <c r="F145" s="209"/>
      <c r="G145" s="460">
        <v>2</v>
      </c>
      <c r="H145" s="460">
        <v>1</v>
      </c>
      <c r="I145" s="211">
        <v>1.8</v>
      </c>
      <c r="J145" s="211"/>
      <c r="K145" s="208"/>
      <c r="L145" s="207" t="s">
        <v>227</v>
      </c>
      <c r="M145" s="235"/>
      <c r="N145" s="347"/>
      <c r="O145" s="343" t="s">
        <v>227</v>
      </c>
      <c r="P145" s="199" t="s">
        <v>298</v>
      </c>
      <c r="Q145" s="199" t="s">
        <v>86</v>
      </c>
      <c r="R145" s="199" t="s">
        <v>707</v>
      </c>
      <c r="S145" s="479">
        <v>73</v>
      </c>
      <c r="T145" s="199"/>
      <c r="U145" s="199"/>
      <c r="V145" s="201"/>
      <c r="W145" s="202"/>
      <c r="X145" s="359"/>
      <c r="Y145" s="353">
        <v>2</v>
      </c>
      <c r="Z145" s="199"/>
      <c r="AA145" s="204"/>
      <c r="AB145" s="205"/>
      <c r="AC145" s="201"/>
    </row>
    <row r="146" spans="1:29" x14ac:dyDescent="0.25">
      <c r="A146" s="328">
        <v>45927</v>
      </c>
      <c r="B146" s="17">
        <v>7</v>
      </c>
      <c r="C146" s="123" t="s">
        <v>694</v>
      </c>
      <c r="D146" s="17" t="s">
        <v>91</v>
      </c>
      <c r="E146" s="18">
        <v>1.22</v>
      </c>
      <c r="F146" s="18"/>
      <c r="G146" s="461">
        <v>1</v>
      </c>
      <c r="H146" s="461">
        <v>0</v>
      </c>
      <c r="I146" s="20">
        <v>1.44</v>
      </c>
      <c r="J146" s="20"/>
      <c r="K146" s="123" t="s">
        <v>693</v>
      </c>
      <c r="L146" s="17" t="s">
        <v>170</v>
      </c>
      <c r="M146" s="46"/>
      <c r="N146" s="556">
        <v>3</v>
      </c>
      <c r="O146" s="557" t="s">
        <v>91</v>
      </c>
      <c r="P146" s="558" t="s">
        <v>493</v>
      </c>
      <c r="Q146" s="558" t="s">
        <v>494</v>
      </c>
      <c r="R146" s="558" t="s">
        <v>689</v>
      </c>
      <c r="S146" s="541">
        <v>79</v>
      </c>
      <c r="T146" s="558" t="s">
        <v>354</v>
      </c>
      <c r="U146" s="558" t="s">
        <v>42</v>
      </c>
      <c r="V146" s="559" t="s">
        <v>540</v>
      </c>
      <c r="W146" s="54">
        <v>0.01</v>
      </c>
      <c r="X146" s="361" t="s">
        <v>53</v>
      </c>
      <c r="Y146" s="355"/>
      <c r="Z146" s="13" t="s">
        <v>22</v>
      </c>
      <c r="AA146" s="115" t="s">
        <v>28</v>
      </c>
      <c r="AB146" s="110"/>
      <c r="AC146" s="60"/>
    </row>
    <row r="147" spans="1:29" x14ac:dyDescent="0.25">
      <c r="A147" s="329">
        <v>45927</v>
      </c>
      <c r="B147" s="5">
        <v>7</v>
      </c>
      <c r="D147" s="5" t="s">
        <v>91</v>
      </c>
      <c r="E147" s="6">
        <v>1.22</v>
      </c>
      <c r="G147" s="362">
        <v>1</v>
      </c>
      <c r="H147" s="362">
        <v>0</v>
      </c>
      <c r="I147" s="8">
        <v>1.44</v>
      </c>
      <c r="L147" s="5" t="s">
        <v>170</v>
      </c>
      <c r="N147" s="476">
        <v>5</v>
      </c>
      <c r="O147" s="477" t="s">
        <v>91</v>
      </c>
      <c r="P147" s="478" t="s">
        <v>96</v>
      </c>
      <c r="Q147" s="478" t="s">
        <v>97</v>
      </c>
      <c r="R147" s="478" t="s">
        <v>718</v>
      </c>
      <c r="S147" s="479">
        <v>75</v>
      </c>
      <c r="T147" s="478" t="s">
        <v>41</v>
      </c>
      <c r="U147" s="478" t="s">
        <v>43</v>
      </c>
      <c r="V147" s="480" t="s">
        <v>20</v>
      </c>
      <c r="W147" s="51">
        <v>0.05</v>
      </c>
      <c r="X147" s="357" t="s">
        <v>53</v>
      </c>
      <c r="Z147" s="5" t="s">
        <v>17</v>
      </c>
      <c r="AA147" s="112" t="s">
        <v>28</v>
      </c>
    </row>
    <row r="148" spans="1:29" x14ac:dyDescent="0.25">
      <c r="A148" s="329">
        <v>45927</v>
      </c>
      <c r="B148" s="5">
        <v>7</v>
      </c>
      <c r="D148" s="5" t="s">
        <v>91</v>
      </c>
      <c r="E148" s="6">
        <v>1.22</v>
      </c>
      <c r="G148" s="362">
        <v>1</v>
      </c>
      <c r="H148" s="362">
        <v>0</v>
      </c>
      <c r="I148" s="8">
        <v>1.44</v>
      </c>
      <c r="L148" s="5" t="s">
        <v>170</v>
      </c>
      <c r="N148" s="345">
        <v>17</v>
      </c>
      <c r="O148" s="38" t="s">
        <v>170</v>
      </c>
      <c r="P148" s="5" t="s">
        <v>296</v>
      </c>
      <c r="Q148" s="5" t="s">
        <v>297</v>
      </c>
      <c r="R148" s="5" t="s">
        <v>699</v>
      </c>
      <c r="S148" s="479">
        <v>60</v>
      </c>
      <c r="T148" s="5" t="s">
        <v>41</v>
      </c>
      <c r="U148" s="5" t="s">
        <v>42</v>
      </c>
      <c r="V148" s="57" t="s">
        <v>33</v>
      </c>
      <c r="W148" s="51">
        <v>0.45</v>
      </c>
      <c r="X148" s="357">
        <v>0.37</v>
      </c>
      <c r="Y148" s="351" t="s">
        <v>353</v>
      </c>
      <c r="Z148" s="5" t="s">
        <v>48</v>
      </c>
      <c r="AA148" s="112" t="s">
        <v>28</v>
      </c>
    </row>
    <row r="149" spans="1:29" x14ac:dyDescent="0.25">
      <c r="A149" s="329">
        <v>45927</v>
      </c>
      <c r="B149" s="5">
        <v>7</v>
      </c>
      <c r="D149" s="5" t="s">
        <v>91</v>
      </c>
      <c r="E149" s="6">
        <v>1.22</v>
      </c>
      <c r="G149" s="362">
        <v>1</v>
      </c>
      <c r="H149" s="362">
        <v>0</v>
      </c>
      <c r="I149" s="8">
        <v>1.44</v>
      </c>
      <c r="L149" s="5" t="s">
        <v>170</v>
      </c>
      <c r="N149" s="345">
        <v>17</v>
      </c>
      <c r="O149" s="38" t="s">
        <v>170</v>
      </c>
      <c r="P149" s="5" t="s">
        <v>296</v>
      </c>
      <c r="Q149" s="5" t="s">
        <v>297</v>
      </c>
      <c r="R149" s="5" t="s">
        <v>699</v>
      </c>
      <c r="S149" s="7">
        <v>60</v>
      </c>
      <c r="T149" s="5" t="s">
        <v>41</v>
      </c>
      <c r="U149" s="5" t="s">
        <v>42</v>
      </c>
      <c r="V149" s="57" t="s">
        <v>33</v>
      </c>
      <c r="W149" s="51">
        <v>0.12</v>
      </c>
      <c r="X149" s="357" t="s">
        <v>53</v>
      </c>
      <c r="Z149" s="5" t="s">
        <v>52</v>
      </c>
      <c r="AA149" s="112" t="s">
        <v>28</v>
      </c>
    </row>
    <row r="150" spans="1:29" x14ac:dyDescent="0.25">
      <c r="A150" s="329">
        <v>45927</v>
      </c>
      <c r="B150" s="5">
        <v>7</v>
      </c>
      <c r="D150" s="5" t="s">
        <v>91</v>
      </c>
      <c r="E150" s="6">
        <v>1.22</v>
      </c>
      <c r="G150" s="362">
        <v>1</v>
      </c>
      <c r="H150" s="362">
        <v>0</v>
      </c>
      <c r="I150" s="8">
        <v>1.44</v>
      </c>
      <c r="L150" s="5" t="s">
        <v>170</v>
      </c>
      <c r="N150" s="345">
        <v>17</v>
      </c>
      <c r="O150" s="38" t="s">
        <v>170</v>
      </c>
      <c r="P150" s="5" t="s">
        <v>374</v>
      </c>
      <c r="Q150" s="5" t="s">
        <v>521</v>
      </c>
      <c r="R150" s="5" t="s">
        <v>713</v>
      </c>
      <c r="S150" s="479">
        <v>70</v>
      </c>
      <c r="T150" s="5" t="s">
        <v>41</v>
      </c>
      <c r="U150" s="5" t="s">
        <v>42</v>
      </c>
      <c r="V150" s="57" t="s">
        <v>33</v>
      </c>
      <c r="W150" s="51">
        <v>0.14000000000000001</v>
      </c>
      <c r="X150" s="357" t="s">
        <v>53</v>
      </c>
      <c r="Z150" s="5" t="s">
        <v>13</v>
      </c>
      <c r="AA150" s="112" t="s">
        <v>28</v>
      </c>
    </row>
    <row r="151" spans="1:29" x14ac:dyDescent="0.25">
      <c r="A151" s="329">
        <v>45927</v>
      </c>
      <c r="B151" s="5">
        <v>7</v>
      </c>
      <c r="D151" s="5" t="s">
        <v>91</v>
      </c>
      <c r="E151" s="6">
        <v>1.22</v>
      </c>
      <c r="G151" s="362">
        <v>1</v>
      </c>
      <c r="H151" s="362">
        <v>0</v>
      </c>
      <c r="I151" s="8">
        <v>1.44</v>
      </c>
      <c r="L151" s="5" t="s">
        <v>170</v>
      </c>
      <c r="N151" s="345">
        <v>17</v>
      </c>
      <c r="O151" s="38" t="s">
        <v>170</v>
      </c>
      <c r="P151" s="5" t="s">
        <v>379</v>
      </c>
      <c r="Q151" s="5" t="s">
        <v>380</v>
      </c>
      <c r="R151" s="5" t="s">
        <v>684</v>
      </c>
      <c r="S151" s="479">
        <v>67</v>
      </c>
      <c r="T151" s="5" t="s">
        <v>41</v>
      </c>
      <c r="U151" s="5" t="s">
        <v>43</v>
      </c>
      <c r="V151" s="57" t="s">
        <v>33</v>
      </c>
      <c r="W151" s="51">
        <v>0.09</v>
      </c>
      <c r="X151" s="357">
        <v>0.22</v>
      </c>
      <c r="Z151" s="5" t="s">
        <v>48</v>
      </c>
      <c r="AA151" s="112" t="s">
        <v>28</v>
      </c>
    </row>
    <row r="152" spans="1:29" x14ac:dyDescent="0.25">
      <c r="A152" s="329">
        <v>45927</v>
      </c>
      <c r="B152" s="5">
        <v>7</v>
      </c>
      <c r="D152" s="5" t="s">
        <v>91</v>
      </c>
      <c r="E152" s="6">
        <v>1.22</v>
      </c>
      <c r="G152" s="362">
        <v>1</v>
      </c>
      <c r="H152" s="362">
        <v>0</v>
      </c>
      <c r="I152" s="8">
        <v>1.44</v>
      </c>
      <c r="L152" s="5" t="s">
        <v>170</v>
      </c>
      <c r="N152" s="476">
        <v>18</v>
      </c>
      <c r="O152" s="477" t="s">
        <v>91</v>
      </c>
      <c r="P152" s="478" t="s">
        <v>96</v>
      </c>
      <c r="Q152" s="478" t="s">
        <v>97</v>
      </c>
      <c r="R152" s="478" t="s">
        <v>718</v>
      </c>
      <c r="S152" s="479">
        <v>75</v>
      </c>
      <c r="T152" s="478" t="s">
        <v>47</v>
      </c>
      <c r="U152" s="478" t="s">
        <v>43</v>
      </c>
      <c r="V152" s="480" t="s">
        <v>10</v>
      </c>
      <c r="W152" s="51">
        <v>0.36</v>
      </c>
      <c r="X152" s="357">
        <v>0.27</v>
      </c>
      <c r="Y152" s="351" t="s">
        <v>353</v>
      </c>
      <c r="Z152" s="5" t="s">
        <v>48</v>
      </c>
      <c r="AA152" s="112" t="s">
        <v>28</v>
      </c>
    </row>
    <row r="153" spans="1:29" x14ac:dyDescent="0.25">
      <c r="A153" s="329">
        <v>45927</v>
      </c>
      <c r="B153" s="5">
        <v>7</v>
      </c>
      <c r="D153" s="5" t="s">
        <v>91</v>
      </c>
      <c r="E153" s="6">
        <v>1.22</v>
      </c>
      <c r="G153" s="362">
        <v>1</v>
      </c>
      <c r="H153" s="362">
        <v>0</v>
      </c>
      <c r="I153" s="8">
        <v>1.44</v>
      </c>
      <c r="L153" s="5" t="s">
        <v>170</v>
      </c>
      <c r="N153" s="345">
        <v>27</v>
      </c>
      <c r="O153" s="38" t="s">
        <v>170</v>
      </c>
      <c r="P153" s="5" t="s">
        <v>379</v>
      </c>
      <c r="Q153" s="5" t="s">
        <v>380</v>
      </c>
      <c r="R153" s="5" t="s">
        <v>684</v>
      </c>
      <c r="S153" s="7">
        <v>67</v>
      </c>
      <c r="T153" s="5" t="s">
        <v>41</v>
      </c>
      <c r="U153" s="5" t="s">
        <v>42</v>
      </c>
      <c r="V153" s="57" t="s">
        <v>10</v>
      </c>
      <c r="W153" s="51">
        <v>0.15</v>
      </c>
      <c r="X153" s="357">
        <v>0.12</v>
      </c>
      <c r="Z153" s="5" t="s">
        <v>48</v>
      </c>
      <c r="AA153" s="112" t="s">
        <v>28</v>
      </c>
    </row>
    <row r="154" spans="1:29" x14ac:dyDescent="0.25">
      <c r="A154" s="329">
        <v>45927</v>
      </c>
      <c r="B154" s="5">
        <v>7</v>
      </c>
      <c r="D154" s="5" t="s">
        <v>91</v>
      </c>
      <c r="E154" s="6">
        <v>1.22</v>
      </c>
      <c r="G154" s="362">
        <v>1</v>
      </c>
      <c r="H154" s="362">
        <v>0</v>
      </c>
      <c r="I154" s="8">
        <v>1.44</v>
      </c>
      <c r="L154" s="5" t="s">
        <v>170</v>
      </c>
      <c r="N154" s="476">
        <v>28</v>
      </c>
      <c r="O154" s="477" t="s">
        <v>91</v>
      </c>
      <c r="P154" s="478" t="s">
        <v>443</v>
      </c>
      <c r="Q154" s="478" t="s">
        <v>444</v>
      </c>
      <c r="R154" s="478" t="s">
        <v>717</v>
      </c>
      <c r="S154" s="479">
        <v>61</v>
      </c>
      <c r="T154" s="478" t="s">
        <v>47</v>
      </c>
      <c r="U154" s="478" t="s">
        <v>42</v>
      </c>
      <c r="V154" s="480" t="s">
        <v>10</v>
      </c>
      <c r="W154" s="51">
        <v>0.18</v>
      </c>
      <c r="X154" s="357">
        <v>0.56000000000000005</v>
      </c>
      <c r="Y154" s="351" t="s">
        <v>353</v>
      </c>
      <c r="Z154" s="5" t="s">
        <v>48</v>
      </c>
      <c r="AA154" s="112" t="s">
        <v>28</v>
      </c>
    </row>
    <row r="155" spans="1:29" x14ac:dyDescent="0.25">
      <c r="A155" s="329">
        <v>45927</v>
      </c>
      <c r="B155" s="5">
        <v>7</v>
      </c>
      <c r="D155" s="5" t="s">
        <v>91</v>
      </c>
      <c r="E155" s="6">
        <v>1.22</v>
      </c>
      <c r="G155" s="362">
        <v>1</v>
      </c>
      <c r="H155" s="362">
        <v>0</v>
      </c>
      <c r="I155" s="8">
        <v>1.44</v>
      </c>
      <c r="L155" s="5" t="s">
        <v>170</v>
      </c>
      <c r="N155" s="476">
        <v>56</v>
      </c>
      <c r="O155" s="477" t="s">
        <v>91</v>
      </c>
      <c r="P155" s="478" t="s">
        <v>96</v>
      </c>
      <c r="Q155" s="478" t="s">
        <v>97</v>
      </c>
      <c r="R155" s="478" t="s">
        <v>718</v>
      </c>
      <c r="S155" s="479">
        <v>75</v>
      </c>
      <c r="T155" s="478" t="s">
        <v>41</v>
      </c>
      <c r="U155" s="478" t="s">
        <v>43</v>
      </c>
      <c r="V155" s="480" t="s">
        <v>10</v>
      </c>
      <c r="W155" s="51">
        <v>0.11</v>
      </c>
      <c r="X155" s="357" t="s">
        <v>53</v>
      </c>
      <c r="Y155" s="351" t="s">
        <v>353</v>
      </c>
      <c r="Z155" s="5" t="s">
        <v>13</v>
      </c>
      <c r="AA155" s="112" t="s">
        <v>28</v>
      </c>
    </row>
    <row r="156" spans="1:29" x14ac:dyDescent="0.25">
      <c r="A156" s="329">
        <v>45927</v>
      </c>
      <c r="B156" s="5">
        <v>7</v>
      </c>
      <c r="D156" s="5" t="s">
        <v>91</v>
      </c>
      <c r="E156" s="6">
        <v>1.22</v>
      </c>
      <c r="G156" s="362">
        <v>1</v>
      </c>
      <c r="H156" s="362">
        <v>0</v>
      </c>
      <c r="I156" s="8">
        <v>1.44</v>
      </c>
      <c r="L156" s="5" t="s">
        <v>170</v>
      </c>
      <c r="N156" s="476">
        <v>58</v>
      </c>
      <c r="O156" s="477" t="s">
        <v>91</v>
      </c>
      <c r="P156" s="478" t="s">
        <v>61</v>
      </c>
      <c r="Q156" s="478" t="s">
        <v>284</v>
      </c>
      <c r="R156" s="478" t="s">
        <v>713</v>
      </c>
      <c r="S156" s="479">
        <v>77</v>
      </c>
      <c r="T156" s="478" t="s">
        <v>41</v>
      </c>
      <c r="U156" s="478" t="s">
        <v>42</v>
      </c>
      <c r="V156" s="480" t="s">
        <v>33</v>
      </c>
      <c r="W156" s="51">
        <v>0.04</v>
      </c>
      <c r="X156" s="357" t="s">
        <v>53</v>
      </c>
      <c r="Z156" s="5" t="s">
        <v>22</v>
      </c>
      <c r="AA156" s="112" t="s">
        <v>28</v>
      </c>
    </row>
    <row r="157" spans="1:29" x14ac:dyDescent="0.25">
      <c r="A157" s="329">
        <v>45927</v>
      </c>
      <c r="B157" s="5">
        <v>7</v>
      </c>
      <c r="D157" s="5" t="s">
        <v>91</v>
      </c>
      <c r="E157" s="6">
        <v>1.22</v>
      </c>
      <c r="G157" s="362">
        <v>1</v>
      </c>
      <c r="H157" s="362">
        <v>0</v>
      </c>
      <c r="I157" s="8">
        <v>1.44</v>
      </c>
      <c r="L157" s="5" t="s">
        <v>170</v>
      </c>
      <c r="N157" s="345">
        <v>60</v>
      </c>
      <c r="O157" s="38" t="s">
        <v>170</v>
      </c>
      <c r="P157" s="5" t="s">
        <v>296</v>
      </c>
      <c r="Q157" s="5" t="s">
        <v>297</v>
      </c>
      <c r="R157" s="5" t="s">
        <v>699</v>
      </c>
      <c r="S157" s="7">
        <v>60</v>
      </c>
      <c r="T157" s="5" t="s">
        <v>47</v>
      </c>
      <c r="U157" s="5" t="s">
        <v>42</v>
      </c>
      <c r="V157" s="57" t="s">
        <v>10</v>
      </c>
      <c r="W157" s="51">
        <v>0.2</v>
      </c>
      <c r="X157" s="357" t="s">
        <v>53</v>
      </c>
      <c r="Y157" s="351" t="s">
        <v>353</v>
      </c>
      <c r="Z157" s="5" t="s">
        <v>13</v>
      </c>
      <c r="AA157" s="112" t="s">
        <v>28</v>
      </c>
    </row>
    <row r="158" spans="1:29" x14ac:dyDescent="0.25">
      <c r="A158" s="329">
        <v>45927</v>
      </c>
      <c r="B158" s="5">
        <v>7</v>
      </c>
      <c r="D158" s="5" t="s">
        <v>91</v>
      </c>
      <c r="E158" s="6">
        <v>1.22</v>
      </c>
      <c r="G158" s="362">
        <v>1</v>
      </c>
      <c r="H158" s="362">
        <v>0</v>
      </c>
      <c r="I158" s="8">
        <v>1.44</v>
      </c>
      <c r="L158" s="5" t="s">
        <v>170</v>
      </c>
      <c r="N158" s="476">
        <v>77</v>
      </c>
      <c r="O158" s="477" t="s">
        <v>91</v>
      </c>
      <c r="P158" s="478" t="s">
        <v>332</v>
      </c>
      <c r="Q158" s="478" t="s">
        <v>333</v>
      </c>
      <c r="R158" s="478" t="s">
        <v>696</v>
      </c>
      <c r="S158" s="479">
        <v>72</v>
      </c>
      <c r="T158" s="478" t="s">
        <v>41</v>
      </c>
      <c r="U158" s="478" t="s">
        <v>42</v>
      </c>
      <c r="V158" s="480" t="s">
        <v>540</v>
      </c>
      <c r="W158" s="51">
        <v>0.14000000000000001</v>
      </c>
      <c r="X158" s="357">
        <v>0.67</v>
      </c>
      <c r="Z158" s="5" t="s">
        <v>8</v>
      </c>
      <c r="AA158" s="112" t="s">
        <v>19</v>
      </c>
    </row>
    <row r="159" spans="1:29" x14ac:dyDescent="0.25">
      <c r="A159" s="329">
        <v>45927</v>
      </c>
      <c r="B159" s="5">
        <v>7</v>
      </c>
      <c r="D159" s="5" t="s">
        <v>91</v>
      </c>
      <c r="E159" s="6">
        <v>1.22</v>
      </c>
      <c r="G159" s="362">
        <v>1</v>
      </c>
      <c r="H159" s="362">
        <v>0</v>
      </c>
      <c r="I159" s="8">
        <v>1.44</v>
      </c>
      <c r="L159" s="5" t="s">
        <v>170</v>
      </c>
      <c r="N159" s="345">
        <v>83</v>
      </c>
      <c r="O159" s="38" t="s">
        <v>170</v>
      </c>
      <c r="P159" s="5" t="s">
        <v>522</v>
      </c>
      <c r="Q159" s="5" t="s">
        <v>523</v>
      </c>
      <c r="R159" s="5" t="s">
        <v>696</v>
      </c>
      <c r="S159" s="479">
        <v>63</v>
      </c>
      <c r="T159" s="5" t="s">
        <v>354</v>
      </c>
      <c r="U159" s="5" t="s">
        <v>42</v>
      </c>
      <c r="V159" s="57" t="s">
        <v>540</v>
      </c>
      <c r="W159" s="51">
        <v>0.02</v>
      </c>
      <c r="X159" s="357" t="s">
        <v>53</v>
      </c>
      <c r="Z159" s="5" t="s">
        <v>17</v>
      </c>
      <c r="AA159" s="112" t="s">
        <v>19</v>
      </c>
    </row>
    <row r="160" spans="1:29" ht="15.75" thickBot="1" x14ac:dyDescent="0.3">
      <c r="A160" s="330">
        <v>45927</v>
      </c>
      <c r="B160" s="9">
        <v>7</v>
      </c>
      <c r="C160" s="122"/>
      <c r="D160" s="9" t="s">
        <v>91</v>
      </c>
      <c r="E160" s="10">
        <v>1.22</v>
      </c>
      <c r="F160" s="10"/>
      <c r="G160" s="383">
        <v>1</v>
      </c>
      <c r="H160" s="383">
        <v>0</v>
      </c>
      <c r="I160" s="12">
        <v>1.44</v>
      </c>
      <c r="J160" s="12"/>
      <c r="K160" s="122"/>
      <c r="L160" s="9" t="s">
        <v>170</v>
      </c>
      <c r="M160" s="45"/>
      <c r="N160" s="511">
        <v>88</v>
      </c>
      <c r="O160" s="512" t="s">
        <v>91</v>
      </c>
      <c r="P160" s="513" t="s">
        <v>96</v>
      </c>
      <c r="Q160" s="513" t="s">
        <v>97</v>
      </c>
      <c r="R160" s="513" t="s">
        <v>718</v>
      </c>
      <c r="S160" s="479">
        <v>75</v>
      </c>
      <c r="T160" s="513" t="s">
        <v>41</v>
      </c>
      <c r="U160" s="513" t="s">
        <v>43</v>
      </c>
      <c r="V160" s="514" t="s">
        <v>18</v>
      </c>
      <c r="W160" s="52">
        <v>0.14000000000000001</v>
      </c>
      <c r="X160" s="358" t="s">
        <v>53</v>
      </c>
      <c r="Y160" s="352"/>
      <c r="Z160" s="9" t="s">
        <v>52</v>
      </c>
      <c r="AA160" s="113" t="s">
        <v>19</v>
      </c>
      <c r="AB160" s="109"/>
      <c r="AC160" s="58"/>
    </row>
    <row r="161" spans="1:29" ht="15.75" thickBot="1" x14ac:dyDescent="0.3">
      <c r="A161" s="326">
        <v>45927</v>
      </c>
      <c r="B161" s="207">
        <v>7</v>
      </c>
      <c r="C161" s="208"/>
      <c r="D161" s="207" t="s">
        <v>91</v>
      </c>
      <c r="E161" s="209">
        <v>1.22</v>
      </c>
      <c r="F161" s="209"/>
      <c r="G161" s="460">
        <v>1</v>
      </c>
      <c r="H161" s="460">
        <v>0</v>
      </c>
      <c r="I161" s="211">
        <v>1.44</v>
      </c>
      <c r="J161" s="211"/>
      <c r="K161" s="208"/>
      <c r="L161" s="207" t="s">
        <v>170</v>
      </c>
      <c r="M161" s="235"/>
      <c r="N161" s="347"/>
      <c r="O161" s="343" t="s">
        <v>91</v>
      </c>
      <c r="P161" s="199" t="s">
        <v>351</v>
      </c>
      <c r="Q161" s="199" t="s">
        <v>54</v>
      </c>
      <c r="R161" s="199" t="s">
        <v>707</v>
      </c>
      <c r="S161" s="479">
        <v>78</v>
      </c>
      <c r="T161" s="199"/>
      <c r="U161" s="199"/>
      <c r="V161" s="201"/>
      <c r="W161" s="202"/>
      <c r="X161" s="359"/>
      <c r="Y161" s="353">
        <v>0</v>
      </c>
      <c r="Z161" s="199"/>
      <c r="AA161" s="204"/>
      <c r="AB161" s="205"/>
      <c r="AC161" s="201"/>
    </row>
    <row r="162" spans="1:29" ht="15.75" thickBot="1" x14ac:dyDescent="0.3">
      <c r="A162" s="326">
        <v>45927</v>
      </c>
      <c r="B162" s="207">
        <v>7</v>
      </c>
      <c r="C162" s="208"/>
      <c r="D162" s="207" t="s">
        <v>91</v>
      </c>
      <c r="E162" s="209">
        <v>1.22</v>
      </c>
      <c r="F162" s="209"/>
      <c r="G162" s="460">
        <v>1</v>
      </c>
      <c r="H162" s="460">
        <v>0</v>
      </c>
      <c r="I162" s="211">
        <v>1.44</v>
      </c>
      <c r="J162" s="211"/>
      <c r="K162" s="208"/>
      <c r="L162" s="207" t="s">
        <v>170</v>
      </c>
      <c r="M162" s="235"/>
      <c r="N162" s="347"/>
      <c r="O162" s="343" t="s">
        <v>170</v>
      </c>
      <c r="P162" s="199" t="s">
        <v>269</v>
      </c>
      <c r="Q162" s="199" t="s">
        <v>722</v>
      </c>
      <c r="R162" s="199" t="s">
        <v>707</v>
      </c>
      <c r="S162" s="479">
        <v>69</v>
      </c>
      <c r="T162" s="199"/>
      <c r="U162" s="199"/>
      <c r="V162" s="201"/>
      <c r="W162" s="202"/>
      <c r="X162" s="359"/>
      <c r="Y162" s="353">
        <v>1</v>
      </c>
      <c r="Z162" s="199"/>
      <c r="AA162" s="204"/>
      <c r="AB162" s="205"/>
      <c r="AC162" s="201"/>
    </row>
    <row r="163" spans="1:29" x14ac:dyDescent="0.25">
      <c r="A163" s="329">
        <v>45948</v>
      </c>
      <c r="B163" s="5">
        <v>9</v>
      </c>
      <c r="C163" s="121" t="s">
        <v>694</v>
      </c>
      <c r="D163" s="5" t="s">
        <v>91</v>
      </c>
      <c r="E163" s="6">
        <v>0.66</v>
      </c>
      <c r="G163" s="362">
        <v>2</v>
      </c>
      <c r="H163" s="362">
        <v>2</v>
      </c>
      <c r="I163" s="8">
        <v>1.18</v>
      </c>
      <c r="K163" s="121" t="s">
        <v>693</v>
      </c>
      <c r="L163" s="5" t="s">
        <v>209</v>
      </c>
      <c r="N163" s="345">
        <v>12</v>
      </c>
      <c r="O163" s="38" t="s">
        <v>209</v>
      </c>
      <c r="P163" s="5" t="s">
        <v>220</v>
      </c>
      <c r="Q163" s="5" t="s">
        <v>221</v>
      </c>
      <c r="R163" s="5" t="s">
        <v>684</v>
      </c>
      <c r="S163" s="7">
        <v>62</v>
      </c>
      <c r="T163" s="5" t="s">
        <v>41</v>
      </c>
      <c r="U163" s="5" t="s">
        <v>43</v>
      </c>
      <c r="V163" s="57" t="s">
        <v>10</v>
      </c>
      <c r="W163" s="51">
        <v>0.16</v>
      </c>
      <c r="X163" s="357" t="s">
        <v>53</v>
      </c>
      <c r="Z163" s="5" t="s">
        <v>52</v>
      </c>
      <c r="AA163" s="112" t="s">
        <v>28</v>
      </c>
    </row>
    <row r="164" spans="1:29" x14ac:dyDescent="0.25">
      <c r="A164" s="329">
        <v>45948</v>
      </c>
      <c r="B164" s="5">
        <v>9</v>
      </c>
      <c r="D164" s="5" t="s">
        <v>91</v>
      </c>
      <c r="E164" s="6">
        <v>0.66</v>
      </c>
      <c r="G164" s="362">
        <v>2</v>
      </c>
      <c r="H164" s="362">
        <v>2</v>
      </c>
      <c r="I164" s="8">
        <v>1.18</v>
      </c>
      <c r="L164" s="5" t="s">
        <v>209</v>
      </c>
      <c r="N164" s="476">
        <v>32</v>
      </c>
      <c r="O164" s="477" t="s">
        <v>91</v>
      </c>
      <c r="P164" s="478" t="s">
        <v>448</v>
      </c>
      <c r="Q164" s="478" t="s">
        <v>449</v>
      </c>
      <c r="R164" s="478" t="s">
        <v>717</v>
      </c>
      <c r="S164" s="479">
        <v>64</v>
      </c>
      <c r="T164" s="478" t="s">
        <v>41</v>
      </c>
      <c r="U164" s="478" t="s">
        <v>43</v>
      </c>
      <c r="V164" s="480" t="s">
        <v>10</v>
      </c>
      <c r="W164" s="51">
        <v>0.04</v>
      </c>
      <c r="X164" s="357">
        <v>7.0000000000000007E-2</v>
      </c>
      <c r="Y164" s="351" t="s">
        <v>353</v>
      </c>
      <c r="Z164" s="5" t="s">
        <v>48</v>
      </c>
      <c r="AA164" s="112" t="s">
        <v>28</v>
      </c>
    </row>
    <row r="165" spans="1:29" x14ac:dyDescent="0.25">
      <c r="A165" s="329">
        <v>45948</v>
      </c>
      <c r="B165" s="5">
        <v>9</v>
      </c>
      <c r="D165" s="5" t="s">
        <v>91</v>
      </c>
      <c r="E165" s="6">
        <v>0.66</v>
      </c>
      <c r="G165" s="362">
        <v>2</v>
      </c>
      <c r="H165" s="362">
        <v>2</v>
      </c>
      <c r="I165" s="8">
        <v>1.18</v>
      </c>
      <c r="L165" s="5" t="s">
        <v>209</v>
      </c>
      <c r="N165" s="476">
        <v>44</v>
      </c>
      <c r="O165" s="477" t="s">
        <v>91</v>
      </c>
      <c r="P165" s="478" t="s">
        <v>106</v>
      </c>
      <c r="Q165" s="478" t="s">
        <v>107</v>
      </c>
      <c r="R165" s="478" t="s">
        <v>686</v>
      </c>
      <c r="S165" s="479">
        <v>73</v>
      </c>
      <c r="T165" s="478" t="s">
        <v>354</v>
      </c>
      <c r="U165" s="478" t="s">
        <v>42</v>
      </c>
      <c r="V165" s="480" t="s">
        <v>18</v>
      </c>
      <c r="W165" s="51">
        <v>0.04</v>
      </c>
      <c r="X165" s="357">
        <v>0.19</v>
      </c>
      <c r="Z165" s="5" t="s">
        <v>8</v>
      </c>
      <c r="AA165" s="112" t="s">
        <v>19</v>
      </c>
      <c r="AB165" s="108" t="s">
        <v>332</v>
      </c>
      <c r="AC165" s="57" t="s">
        <v>333</v>
      </c>
    </row>
    <row r="166" spans="1:29" x14ac:dyDescent="0.25">
      <c r="A166" s="329">
        <v>45948</v>
      </c>
      <c r="B166" s="5">
        <v>9</v>
      </c>
      <c r="D166" s="5" t="s">
        <v>91</v>
      </c>
      <c r="E166" s="6">
        <v>0.66</v>
      </c>
      <c r="G166" s="362">
        <v>2</v>
      </c>
      <c r="H166" s="362">
        <v>2</v>
      </c>
      <c r="I166" s="8">
        <v>1.18</v>
      </c>
      <c r="L166" s="5" t="s">
        <v>209</v>
      </c>
      <c r="N166" s="345" t="s">
        <v>68</v>
      </c>
      <c r="O166" s="38" t="s">
        <v>209</v>
      </c>
      <c r="P166" s="5" t="s">
        <v>424</v>
      </c>
      <c r="Q166" s="5" t="s">
        <v>425</v>
      </c>
      <c r="R166" s="5" t="s">
        <v>685</v>
      </c>
      <c r="S166" s="7">
        <v>66</v>
      </c>
      <c r="T166" s="5" t="s">
        <v>41</v>
      </c>
      <c r="U166" s="5" t="s">
        <v>43</v>
      </c>
      <c r="V166" s="57" t="s">
        <v>18</v>
      </c>
      <c r="W166" s="51">
        <v>0.13</v>
      </c>
      <c r="X166" s="357" t="s">
        <v>53</v>
      </c>
      <c r="Z166" s="5" t="s">
        <v>52</v>
      </c>
      <c r="AA166" s="112" t="s">
        <v>19</v>
      </c>
    </row>
    <row r="167" spans="1:29" x14ac:dyDescent="0.25">
      <c r="A167" s="329">
        <v>45948</v>
      </c>
      <c r="B167" s="5">
        <v>9</v>
      </c>
      <c r="D167" s="5" t="s">
        <v>91</v>
      </c>
      <c r="E167" s="6">
        <v>0.66</v>
      </c>
      <c r="G167" s="362">
        <v>2</v>
      </c>
      <c r="H167" s="362">
        <v>2</v>
      </c>
      <c r="I167" s="8">
        <v>1.18</v>
      </c>
      <c r="L167" s="5" t="s">
        <v>209</v>
      </c>
      <c r="N167" s="345">
        <v>51</v>
      </c>
      <c r="O167" s="38" t="s">
        <v>209</v>
      </c>
      <c r="P167" s="5" t="s">
        <v>421</v>
      </c>
      <c r="Q167" s="5" t="s">
        <v>422</v>
      </c>
      <c r="R167" s="5" t="s">
        <v>712</v>
      </c>
      <c r="S167" s="7">
        <v>58</v>
      </c>
      <c r="T167" s="5" t="s">
        <v>41</v>
      </c>
      <c r="U167" s="5" t="s">
        <v>45</v>
      </c>
      <c r="V167" s="57" t="s">
        <v>33</v>
      </c>
      <c r="W167" s="51">
        <v>0.08</v>
      </c>
      <c r="X167" s="357">
        <v>0.27</v>
      </c>
      <c r="Z167" s="5" t="s">
        <v>48</v>
      </c>
      <c r="AA167" s="112" t="s">
        <v>19</v>
      </c>
    </row>
    <row r="168" spans="1:29" x14ac:dyDescent="0.25">
      <c r="A168" s="329">
        <v>45948</v>
      </c>
      <c r="B168" s="5">
        <v>9</v>
      </c>
      <c r="D168" s="5" t="s">
        <v>91</v>
      </c>
      <c r="E168" s="6">
        <v>0.66</v>
      </c>
      <c r="G168" s="362">
        <v>2</v>
      </c>
      <c r="H168" s="362">
        <v>2</v>
      </c>
      <c r="I168" s="8">
        <v>1.18</v>
      </c>
      <c r="L168" s="5" t="s">
        <v>209</v>
      </c>
      <c r="N168" s="476">
        <v>53</v>
      </c>
      <c r="O168" s="477" t="s">
        <v>91</v>
      </c>
      <c r="P168" s="478" t="s">
        <v>94</v>
      </c>
      <c r="Q168" s="478" t="s">
        <v>95</v>
      </c>
      <c r="R168" s="478" t="s">
        <v>695</v>
      </c>
      <c r="S168" s="479">
        <v>70</v>
      </c>
      <c r="T168" s="478" t="s">
        <v>41</v>
      </c>
      <c r="U168" s="478" t="s">
        <v>43</v>
      </c>
      <c r="V168" s="480" t="s">
        <v>10</v>
      </c>
      <c r="W168" s="51">
        <v>0.18</v>
      </c>
      <c r="X168" s="357" t="s">
        <v>53</v>
      </c>
      <c r="Z168" s="5" t="s">
        <v>13</v>
      </c>
      <c r="AA168" s="112" t="s">
        <v>19</v>
      </c>
    </row>
    <row r="169" spans="1:29" x14ac:dyDescent="0.25">
      <c r="A169" s="329">
        <v>45948</v>
      </c>
      <c r="B169" s="5">
        <v>9</v>
      </c>
      <c r="D169" s="5" t="s">
        <v>91</v>
      </c>
      <c r="E169" s="6">
        <v>0.66</v>
      </c>
      <c r="G169" s="362">
        <v>2</v>
      </c>
      <c r="H169" s="362">
        <v>2</v>
      </c>
      <c r="I169" s="8">
        <v>1.18</v>
      </c>
      <c r="L169" s="5" t="s">
        <v>209</v>
      </c>
      <c r="N169" s="476">
        <v>64</v>
      </c>
      <c r="O169" s="477" t="s">
        <v>91</v>
      </c>
      <c r="P169" s="478" t="s">
        <v>332</v>
      </c>
      <c r="Q169" s="478" t="s">
        <v>333</v>
      </c>
      <c r="R169" s="478" t="s">
        <v>685</v>
      </c>
      <c r="S169" s="479">
        <v>73</v>
      </c>
      <c r="T169" s="478" t="s">
        <v>41</v>
      </c>
      <c r="U169" s="478" t="s">
        <v>42</v>
      </c>
      <c r="V169" s="480" t="s">
        <v>10</v>
      </c>
      <c r="W169" s="51">
        <v>0.17</v>
      </c>
      <c r="X169" s="357">
        <v>0.48</v>
      </c>
      <c r="Y169" s="351" t="s">
        <v>353</v>
      </c>
      <c r="Z169" s="5" t="s">
        <v>8</v>
      </c>
      <c r="AA169" s="112" t="s">
        <v>24</v>
      </c>
      <c r="AB169" s="108" t="s">
        <v>94</v>
      </c>
      <c r="AC169" s="57" t="s">
        <v>95</v>
      </c>
    </row>
    <row r="170" spans="1:29" x14ac:dyDescent="0.25">
      <c r="A170" s="329">
        <v>45948</v>
      </c>
      <c r="B170" s="5">
        <v>9</v>
      </c>
      <c r="D170" s="5" t="s">
        <v>91</v>
      </c>
      <c r="E170" s="6">
        <v>0.66</v>
      </c>
      <c r="G170" s="362">
        <v>2</v>
      </c>
      <c r="H170" s="362">
        <v>2</v>
      </c>
      <c r="I170" s="8">
        <v>1.18</v>
      </c>
      <c r="L170" s="5" t="s">
        <v>209</v>
      </c>
      <c r="N170" s="345">
        <v>66</v>
      </c>
      <c r="O170" s="38" t="s">
        <v>209</v>
      </c>
      <c r="P170" s="5" t="s">
        <v>53</v>
      </c>
      <c r="Q170" s="5" t="s">
        <v>395</v>
      </c>
      <c r="R170" s="5" t="s">
        <v>686</v>
      </c>
      <c r="S170" s="7">
        <v>87</v>
      </c>
      <c r="T170" s="5" t="s">
        <v>44</v>
      </c>
      <c r="U170" s="5" t="s">
        <v>43</v>
      </c>
      <c r="V170" s="57" t="s">
        <v>18</v>
      </c>
      <c r="W170" s="51">
        <v>0.08</v>
      </c>
      <c r="X170" s="357">
        <v>0.41</v>
      </c>
      <c r="Z170" s="5" t="s">
        <v>8</v>
      </c>
      <c r="AA170" s="112" t="s">
        <v>34</v>
      </c>
      <c r="AB170" s="108" t="s">
        <v>241</v>
      </c>
      <c r="AC170" s="57" t="s">
        <v>396</v>
      </c>
    </row>
    <row r="171" spans="1:29" x14ac:dyDescent="0.25">
      <c r="A171" s="329">
        <v>45948</v>
      </c>
      <c r="B171" s="5">
        <v>9</v>
      </c>
      <c r="D171" s="5" t="s">
        <v>91</v>
      </c>
      <c r="E171" s="6">
        <v>0.66</v>
      </c>
      <c r="G171" s="362">
        <v>2</v>
      </c>
      <c r="H171" s="362">
        <v>2</v>
      </c>
      <c r="I171" s="8">
        <v>1.18</v>
      </c>
      <c r="L171" s="5" t="s">
        <v>209</v>
      </c>
      <c r="N171" s="345">
        <v>80</v>
      </c>
      <c r="O171" s="38" t="s">
        <v>209</v>
      </c>
      <c r="P171" s="5" t="s">
        <v>53</v>
      </c>
      <c r="Q171" s="5" t="s">
        <v>395</v>
      </c>
      <c r="R171" s="5" t="s">
        <v>686</v>
      </c>
      <c r="S171" s="7">
        <v>87</v>
      </c>
      <c r="T171" s="5" t="s">
        <v>41</v>
      </c>
      <c r="U171" s="5" t="s">
        <v>43</v>
      </c>
      <c r="V171" s="57" t="s">
        <v>540</v>
      </c>
      <c r="W171" s="51">
        <v>0.18</v>
      </c>
      <c r="X171" s="357" t="s">
        <v>53</v>
      </c>
      <c r="Z171" s="5" t="s">
        <v>16</v>
      </c>
      <c r="AA171" s="112" t="s">
        <v>34</v>
      </c>
    </row>
    <row r="172" spans="1:29" x14ac:dyDescent="0.25">
      <c r="A172" s="329">
        <v>45948</v>
      </c>
      <c r="B172" s="5">
        <v>9</v>
      </c>
      <c r="D172" s="5" t="s">
        <v>91</v>
      </c>
      <c r="E172" s="6">
        <v>0.66</v>
      </c>
      <c r="G172" s="362">
        <v>2</v>
      </c>
      <c r="H172" s="362">
        <v>2</v>
      </c>
      <c r="I172" s="8">
        <v>1.18</v>
      </c>
      <c r="L172" s="5" t="s">
        <v>209</v>
      </c>
      <c r="N172" s="476">
        <v>81</v>
      </c>
      <c r="O172" s="477" t="s">
        <v>91</v>
      </c>
      <c r="P172" s="478" t="s">
        <v>96</v>
      </c>
      <c r="Q172" s="478" t="s">
        <v>97</v>
      </c>
      <c r="R172" s="478" t="s">
        <v>696</v>
      </c>
      <c r="S172" s="479">
        <v>58</v>
      </c>
      <c r="T172" s="478" t="s">
        <v>47</v>
      </c>
      <c r="U172" s="478" t="s">
        <v>45</v>
      </c>
      <c r="V172" s="480" t="s">
        <v>10</v>
      </c>
      <c r="W172" s="51">
        <v>0.13</v>
      </c>
      <c r="X172" s="357" t="s">
        <v>53</v>
      </c>
      <c r="Z172" s="5" t="s">
        <v>13</v>
      </c>
      <c r="AA172" s="112" t="s">
        <v>34</v>
      </c>
    </row>
    <row r="173" spans="1:29" x14ac:dyDescent="0.25">
      <c r="A173" s="329">
        <v>45948</v>
      </c>
      <c r="B173" s="5">
        <v>9</v>
      </c>
      <c r="D173" s="5" t="s">
        <v>91</v>
      </c>
      <c r="E173" s="6">
        <v>0.66</v>
      </c>
      <c r="G173" s="362">
        <v>2</v>
      </c>
      <c r="H173" s="362">
        <v>2</v>
      </c>
      <c r="I173" s="8">
        <v>1.18</v>
      </c>
      <c r="L173" s="5" t="s">
        <v>209</v>
      </c>
      <c r="N173" s="345" t="s">
        <v>36</v>
      </c>
      <c r="O173" s="38" t="s">
        <v>209</v>
      </c>
      <c r="P173" s="5" t="s">
        <v>53</v>
      </c>
      <c r="Q173" s="5" t="s">
        <v>395</v>
      </c>
      <c r="R173" s="5" t="s">
        <v>686</v>
      </c>
      <c r="S173" s="7">
        <v>87</v>
      </c>
      <c r="T173" s="5" t="s">
        <v>41</v>
      </c>
      <c r="U173" s="5" t="s">
        <v>43</v>
      </c>
      <c r="V173" s="57" t="s">
        <v>10</v>
      </c>
      <c r="W173" s="51">
        <v>0.1</v>
      </c>
      <c r="X173" s="357">
        <v>0.51</v>
      </c>
      <c r="Z173" s="5" t="s">
        <v>8</v>
      </c>
      <c r="AA173" s="112" t="s">
        <v>189</v>
      </c>
      <c r="AB173" s="108" t="s">
        <v>241</v>
      </c>
      <c r="AC173" s="57" t="s">
        <v>396</v>
      </c>
    </row>
    <row r="174" spans="1:29" x14ac:dyDescent="0.25">
      <c r="A174" s="329">
        <v>45948</v>
      </c>
      <c r="B174" s="5">
        <v>9</v>
      </c>
      <c r="D174" s="5" t="s">
        <v>91</v>
      </c>
      <c r="E174" s="6">
        <v>0.66</v>
      </c>
      <c r="G174" s="362">
        <v>2</v>
      </c>
      <c r="H174" s="362">
        <v>2</v>
      </c>
      <c r="I174" s="8">
        <v>1.18</v>
      </c>
      <c r="L174" s="5" t="s">
        <v>209</v>
      </c>
      <c r="N174" s="476" t="s">
        <v>82</v>
      </c>
      <c r="O174" s="477" t="s">
        <v>91</v>
      </c>
      <c r="P174" s="478" t="s">
        <v>49</v>
      </c>
      <c r="Q174" s="478" t="s">
        <v>50</v>
      </c>
      <c r="R174" s="478" t="s">
        <v>696</v>
      </c>
      <c r="S174" s="479">
        <v>61</v>
      </c>
      <c r="T174" s="478" t="s">
        <v>47</v>
      </c>
      <c r="U174" s="478" t="s">
        <v>43</v>
      </c>
      <c r="V174" s="480" t="s">
        <v>20</v>
      </c>
      <c r="W174" s="51">
        <v>0.08</v>
      </c>
      <c r="X174" s="357" t="s">
        <v>53</v>
      </c>
      <c r="Z174" s="5" t="s">
        <v>16</v>
      </c>
      <c r="AA174" s="112" t="s">
        <v>189</v>
      </c>
    </row>
    <row r="175" spans="1:29" ht="15.75" thickBot="1" x14ac:dyDescent="0.3">
      <c r="A175" s="338">
        <v>45948</v>
      </c>
      <c r="B175" s="230">
        <v>9</v>
      </c>
      <c r="C175" s="231"/>
      <c r="D175" s="230" t="s">
        <v>91</v>
      </c>
      <c r="E175" s="232">
        <v>0.66</v>
      </c>
      <c r="F175" s="232"/>
      <c r="G175" s="363">
        <v>2</v>
      </c>
      <c r="H175" s="363">
        <v>2</v>
      </c>
      <c r="I175" s="234">
        <v>1.18</v>
      </c>
      <c r="J175" s="234"/>
      <c r="K175" s="231"/>
      <c r="L175" s="230" t="s">
        <v>209</v>
      </c>
      <c r="M175" s="235"/>
      <c r="N175" s="347"/>
      <c r="O175" s="343" t="s">
        <v>91</v>
      </c>
      <c r="P175" s="199" t="s">
        <v>553</v>
      </c>
      <c r="Q175" s="199" t="s">
        <v>737</v>
      </c>
      <c r="R175" s="199" t="s">
        <v>707</v>
      </c>
      <c r="S175" s="7">
        <v>65</v>
      </c>
      <c r="T175" s="199"/>
      <c r="U175" s="199"/>
      <c r="V175" s="201"/>
      <c r="W175" s="202"/>
      <c r="X175" s="359"/>
      <c r="Y175" s="353">
        <v>2</v>
      </c>
      <c r="Z175" s="199"/>
      <c r="AA175" s="204"/>
      <c r="AB175" s="205"/>
      <c r="AC175" s="201"/>
    </row>
    <row r="176" spans="1:29" ht="15.75" thickBot="1" x14ac:dyDescent="0.3">
      <c r="A176" s="338">
        <v>45948</v>
      </c>
      <c r="B176" s="230">
        <v>9</v>
      </c>
      <c r="C176" s="231"/>
      <c r="D176" s="230" t="s">
        <v>91</v>
      </c>
      <c r="E176" s="232">
        <v>0.66</v>
      </c>
      <c r="F176" s="232"/>
      <c r="G176" s="363">
        <v>2</v>
      </c>
      <c r="H176" s="363">
        <v>2</v>
      </c>
      <c r="I176" s="234">
        <v>1.18</v>
      </c>
      <c r="J176" s="234"/>
      <c r="K176" s="231"/>
      <c r="L176" s="230" t="s">
        <v>209</v>
      </c>
      <c r="M176" s="235"/>
      <c r="N176" s="347"/>
      <c r="O176" s="343" t="s">
        <v>209</v>
      </c>
      <c r="P176" s="199" t="s">
        <v>447</v>
      </c>
      <c r="Q176" s="199" t="s">
        <v>150</v>
      </c>
      <c r="R176" s="199" t="s">
        <v>707</v>
      </c>
      <c r="S176" s="7">
        <v>61</v>
      </c>
      <c r="T176" s="199"/>
      <c r="U176" s="199"/>
      <c r="V176" s="201"/>
      <c r="W176" s="202"/>
      <c r="X176" s="359"/>
      <c r="Y176" s="353">
        <v>2</v>
      </c>
      <c r="Z176" s="199"/>
      <c r="AA176" s="204"/>
      <c r="AB176" s="205"/>
      <c r="AC176" s="201"/>
    </row>
    <row r="177" spans="1:29" x14ac:dyDescent="0.25">
      <c r="A177" s="329">
        <v>45884</v>
      </c>
      <c r="B177" s="5">
        <v>1</v>
      </c>
      <c r="C177" s="121" t="s">
        <v>692</v>
      </c>
      <c r="D177" s="5" t="s">
        <v>69</v>
      </c>
      <c r="E177" s="6">
        <v>0.56000000000000005</v>
      </c>
      <c r="G177" s="362">
        <v>1</v>
      </c>
      <c r="H177" s="362">
        <v>3</v>
      </c>
      <c r="I177" s="8">
        <v>3.43</v>
      </c>
      <c r="K177" s="121" t="s">
        <v>693</v>
      </c>
      <c r="L177" s="5" t="s">
        <v>70</v>
      </c>
      <c r="M177" s="242" t="s">
        <v>71</v>
      </c>
      <c r="N177" s="345">
        <v>17</v>
      </c>
      <c r="O177" s="38" t="s">
        <v>70</v>
      </c>
      <c r="P177" s="5" t="s">
        <v>72</v>
      </c>
      <c r="Q177" s="5" t="s">
        <v>73</v>
      </c>
      <c r="R177" s="5" t="s">
        <v>684</v>
      </c>
      <c r="S177" s="479">
        <v>83</v>
      </c>
      <c r="T177" s="5" t="s">
        <v>41</v>
      </c>
      <c r="U177" s="5" t="s">
        <v>43</v>
      </c>
      <c r="V177" s="57" t="s">
        <v>10</v>
      </c>
      <c r="W177" s="51">
        <v>0.15</v>
      </c>
      <c r="X177" s="357" t="s">
        <v>53</v>
      </c>
      <c r="Z177" s="5" t="s">
        <v>13</v>
      </c>
      <c r="AA177" s="112" t="s">
        <v>28</v>
      </c>
      <c r="AB177" s="118"/>
      <c r="AC177" s="59"/>
    </row>
    <row r="178" spans="1:29" x14ac:dyDescent="0.25">
      <c r="A178" s="329">
        <v>45884</v>
      </c>
      <c r="B178" s="5">
        <v>1</v>
      </c>
      <c r="D178" s="5" t="s">
        <v>69</v>
      </c>
      <c r="E178" s="6">
        <v>0.56000000000000005</v>
      </c>
      <c r="G178" s="362">
        <v>1</v>
      </c>
      <c r="H178" s="362">
        <v>3</v>
      </c>
      <c r="I178" s="8">
        <v>3.43</v>
      </c>
      <c r="L178" s="5" t="s">
        <v>70</v>
      </c>
      <c r="M178" s="242" t="s">
        <v>71</v>
      </c>
      <c r="N178" s="345">
        <v>18</v>
      </c>
      <c r="O178" s="38" t="s">
        <v>70</v>
      </c>
      <c r="P178" s="453" t="s">
        <v>72</v>
      </c>
      <c r="Q178" s="453" t="s">
        <v>73</v>
      </c>
      <c r="R178" s="453" t="s">
        <v>684</v>
      </c>
      <c r="S178" s="7">
        <v>83</v>
      </c>
      <c r="T178" s="5" t="s">
        <v>47</v>
      </c>
      <c r="U178" s="5" t="s">
        <v>42</v>
      </c>
      <c r="V178" s="57" t="s">
        <v>540</v>
      </c>
      <c r="W178" s="51">
        <v>0.48</v>
      </c>
      <c r="X178" s="357">
        <v>0.73</v>
      </c>
      <c r="Y178" s="351" t="s">
        <v>353</v>
      </c>
      <c r="Z178" s="5" t="s">
        <v>8</v>
      </c>
      <c r="AA178" s="112" t="s">
        <v>9</v>
      </c>
    </row>
    <row r="179" spans="1:29" x14ac:dyDescent="0.25">
      <c r="A179" s="329">
        <v>45884</v>
      </c>
      <c r="B179" s="5">
        <v>1</v>
      </c>
      <c r="D179" s="5" t="s">
        <v>69</v>
      </c>
      <c r="E179" s="6">
        <v>0.56000000000000005</v>
      </c>
      <c r="G179" s="362">
        <v>1</v>
      </c>
      <c r="H179" s="362">
        <v>3</v>
      </c>
      <c r="I179" s="8">
        <v>3.43</v>
      </c>
      <c r="L179" s="5" t="s">
        <v>70</v>
      </c>
      <c r="M179" s="242" t="s">
        <v>71</v>
      </c>
      <c r="N179" s="345">
        <v>20</v>
      </c>
      <c r="O179" s="38" t="s">
        <v>70</v>
      </c>
      <c r="P179" s="453" t="s">
        <v>74</v>
      </c>
      <c r="Q179" s="453" t="s">
        <v>75</v>
      </c>
      <c r="R179" s="453" t="s">
        <v>685</v>
      </c>
      <c r="S179" s="7">
        <v>75</v>
      </c>
      <c r="T179" s="5" t="s">
        <v>47</v>
      </c>
      <c r="U179" s="5" t="s">
        <v>43</v>
      </c>
      <c r="V179" s="57" t="s">
        <v>10</v>
      </c>
      <c r="W179" s="51">
        <v>0.95</v>
      </c>
      <c r="X179" s="357">
        <v>0.99</v>
      </c>
      <c r="Y179" s="351" t="s">
        <v>353</v>
      </c>
      <c r="Z179" s="5" t="s">
        <v>8</v>
      </c>
      <c r="AA179" s="112" t="s">
        <v>11</v>
      </c>
      <c r="AB179" s="108" t="s">
        <v>458</v>
      </c>
      <c r="AC179" s="57" t="s">
        <v>73</v>
      </c>
    </row>
    <row r="180" spans="1:29" x14ac:dyDescent="0.25">
      <c r="A180" s="329">
        <v>45884</v>
      </c>
      <c r="B180" s="5">
        <v>1</v>
      </c>
      <c r="D180" s="5" t="s">
        <v>69</v>
      </c>
      <c r="E180" s="6">
        <v>0.56000000000000005</v>
      </c>
      <c r="G180" s="362">
        <v>1</v>
      </c>
      <c r="H180" s="362">
        <v>3</v>
      </c>
      <c r="I180" s="8">
        <v>3.43</v>
      </c>
      <c r="L180" s="5" t="s">
        <v>70</v>
      </c>
      <c r="M180" s="242" t="s">
        <v>71</v>
      </c>
      <c r="N180" s="476">
        <v>24</v>
      </c>
      <c r="O180" s="477" t="s">
        <v>69</v>
      </c>
      <c r="P180" s="506" t="s">
        <v>85</v>
      </c>
      <c r="Q180" s="506" t="s">
        <v>86</v>
      </c>
      <c r="R180" s="506" t="s">
        <v>690</v>
      </c>
      <c r="S180" s="479">
        <v>63</v>
      </c>
      <c r="T180" s="478" t="s">
        <v>354</v>
      </c>
      <c r="U180" s="478" t="s">
        <v>42</v>
      </c>
      <c r="V180" s="480" t="s">
        <v>10</v>
      </c>
      <c r="W180" s="51">
        <v>0.03</v>
      </c>
      <c r="X180" s="357" t="s">
        <v>53</v>
      </c>
      <c r="Z180" s="5" t="s">
        <v>16</v>
      </c>
      <c r="AA180" s="112" t="s">
        <v>14</v>
      </c>
    </row>
    <row r="181" spans="1:29" x14ac:dyDescent="0.25">
      <c r="A181" s="329">
        <v>45884</v>
      </c>
      <c r="B181" s="5">
        <v>1</v>
      </c>
      <c r="D181" s="5" t="s">
        <v>69</v>
      </c>
      <c r="E181" s="6">
        <v>0.56000000000000005</v>
      </c>
      <c r="G181" s="362">
        <v>1</v>
      </c>
      <c r="H181" s="362">
        <v>3</v>
      </c>
      <c r="I181" s="8">
        <v>3.43</v>
      </c>
      <c r="L181" s="5" t="s">
        <v>70</v>
      </c>
      <c r="M181" s="242" t="s">
        <v>71</v>
      </c>
      <c r="N181" s="345">
        <v>45</v>
      </c>
      <c r="O181" s="38" t="s">
        <v>70</v>
      </c>
      <c r="P181" s="453" t="s">
        <v>76</v>
      </c>
      <c r="Q181" s="453" t="s">
        <v>77</v>
      </c>
      <c r="R181" s="453" t="s">
        <v>686</v>
      </c>
      <c r="S181" s="479">
        <v>82</v>
      </c>
      <c r="T181" s="5" t="s">
        <v>41</v>
      </c>
      <c r="U181" s="5" t="s">
        <v>43</v>
      </c>
      <c r="V181" s="57" t="s">
        <v>7</v>
      </c>
      <c r="W181" s="51">
        <v>0.79</v>
      </c>
      <c r="X181" s="357">
        <v>0.81</v>
      </c>
      <c r="Y181" s="351" t="s">
        <v>353</v>
      </c>
      <c r="Z181" s="5" t="s">
        <v>8</v>
      </c>
      <c r="AA181" s="112" t="s">
        <v>14</v>
      </c>
    </row>
    <row r="182" spans="1:29" x14ac:dyDescent="0.25">
      <c r="A182" s="329">
        <v>45884</v>
      </c>
      <c r="B182" s="5">
        <v>1</v>
      </c>
      <c r="D182" s="5" t="s">
        <v>69</v>
      </c>
      <c r="E182" s="6">
        <v>0.56000000000000005</v>
      </c>
      <c r="G182" s="362">
        <v>1</v>
      </c>
      <c r="H182" s="362">
        <v>3</v>
      </c>
      <c r="I182" s="8">
        <v>3.43</v>
      </c>
      <c r="L182" s="5" t="s">
        <v>70</v>
      </c>
      <c r="M182" s="242" t="s">
        <v>71</v>
      </c>
      <c r="N182" s="345" t="s">
        <v>63</v>
      </c>
      <c r="O182" s="38" t="s">
        <v>70</v>
      </c>
      <c r="P182" s="453" t="s">
        <v>78</v>
      </c>
      <c r="Q182" s="453" t="s">
        <v>404</v>
      </c>
      <c r="R182" s="453" t="s">
        <v>687</v>
      </c>
      <c r="S182" s="7">
        <v>74</v>
      </c>
      <c r="T182" s="5" t="s">
        <v>41</v>
      </c>
      <c r="U182" s="5" t="s">
        <v>42</v>
      </c>
      <c r="V182" s="57" t="s">
        <v>10</v>
      </c>
      <c r="W182" s="51">
        <v>0.53</v>
      </c>
      <c r="X182" s="357">
        <v>0.67</v>
      </c>
      <c r="Y182" s="351" t="s">
        <v>353</v>
      </c>
      <c r="Z182" s="5" t="s">
        <v>48</v>
      </c>
      <c r="AA182" s="112" t="s">
        <v>14</v>
      </c>
    </row>
    <row r="183" spans="1:29" x14ac:dyDescent="0.25">
      <c r="A183" s="329">
        <v>45884</v>
      </c>
      <c r="B183" s="5">
        <v>1</v>
      </c>
      <c r="D183" s="5" t="s">
        <v>69</v>
      </c>
      <c r="E183" s="6">
        <v>0.56000000000000005</v>
      </c>
      <c r="G183" s="362">
        <v>1</v>
      </c>
      <c r="H183" s="362">
        <v>3</v>
      </c>
      <c r="I183" s="8">
        <v>3.43</v>
      </c>
      <c r="L183" s="5" t="s">
        <v>70</v>
      </c>
      <c r="M183" s="242" t="s">
        <v>71</v>
      </c>
      <c r="N183" s="345">
        <v>56</v>
      </c>
      <c r="O183" s="38" t="s">
        <v>70</v>
      </c>
      <c r="P183" s="453" t="s">
        <v>80</v>
      </c>
      <c r="Q183" s="453" t="s">
        <v>81</v>
      </c>
      <c r="R183" s="453" t="s">
        <v>688</v>
      </c>
      <c r="S183" s="7">
        <v>69</v>
      </c>
      <c r="T183" s="5" t="s">
        <v>354</v>
      </c>
      <c r="U183" s="5" t="s">
        <v>43</v>
      </c>
      <c r="V183" s="57" t="s">
        <v>10</v>
      </c>
      <c r="W183" s="51">
        <v>0.03</v>
      </c>
      <c r="X183" s="357" t="s">
        <v>53</v>
      </c>
      <c r="Z183" s="5" t="s">
        <v>55</v>
      </c>
      <c r="AA183" s="112" t="s">
        <v>14</v>
      </c>
    </row>
    <row r="184" spans="1:29" x14ac:dyDescent="0.25">
      <c r="A184" s="329">
        <v>45884</v>
      </c>
      <c r="B184" s="5">
        <v>1</v>
      </c>
      <c r="D184" s="5" t="s">
        <v>69</v>
      </c>
      <c r="E184" s="6">
        <v>0.56000000000000005</v>
      </c>
      <c r="G184" s="362">
        <v>1</v>
      </c>
      <c r="H184" s="362">
        <v>3</v>
      </c>
      <c r="I184" s="8">
        <v>3.43</v>
      </c>
      <c r="L184" s="5" t="s">
        <v>70</v>
      </c>
      <c r="M184" s="242" t="s">
        <v>71</v>
      </c>
      <c r="N184" s="476">
        <v>57</v>
      </c>
      <c r="O184" s="477" t="s">
        <v>69</v>
      </c>
      <c r="P184" s="506" t="s">
        <v>87</v>
      </c>
      <c r="Q184" s="506" t="s">
        <v>88</v>
      </c>
      <c r="R184" s="506" t="s">
        <v>691</v>
      </c>
      <c r="S184" s="479">
        <v>77</v>
      </c>
      <c r="T184" s="478" t="s">
        <v>41</v>
      </c>
      <c r="U184" s="478" t="s">
        <v>42</v>
      </c>
      <c r="V184" s="480" t="s">
        <v>18</v>
      </c>
      <c r="W184" s="51">
        <v>0.25</v>
      </c>
      <c r="X184" s="357">
        <v>0.68</v>
      </c>
      <c r="Y184" s="351" t="s">
        <v>353</v>
      </c>
      <c r="Z184" s="5" t="s">
        <v>8</v>
      </c>
      <c r="AA184" s="112" t="s">
        <v>58</v>
      </c>
      <c r="AB184" s="108" t="s">
        <v>649</v>
      </c>
      <c r="AC184" s="57" t="s">
        <v>650</v>
      </c>
    </row>
    <row r="185" spans="1:29" x14ac:dyDescent="0.25">
      <c r="A185" s="329">
        <v>45884</v>
      </c>
      <c r="B185" s="5">
        <v>1</v>
      </c>
      <c r="D185" s="5" t="s">
        <v>69</v>
      </c>
      <c r="E185" s="6">
        <v>0.56000000000000005</v>
      </c>
      <c r="G185" s="362">
        <v>1</v>
      </c>
      <c r="H185" s="362">
        <v>3</v>
      </c>
      <c r="I185" s="8">
        <v>3.43</v>
      </c>
      <c r="L185" s="5" t="s">
        <v>70</v>
      </c>
      <c r="M185" s="242" t="s">
        <v>71</v>
      </c>
      <c r="N185" s="476">
        <v>73</v>
      </c>
      <c r="O185" s="477" t="s">
        <v>69</v>
      </c>
      <c r="P185" s="506" t="s">
        <v>89</v>
      </c>
      <c r="Q185" s="506" t="s">
        <v>90</v>
      </c>
      <c r="R185" s="506" t="s">
        <v>712</v>
      </c>
      <c r="S185" s="479">
        <v>59</v>
      </c>
      <c r="T185" s="478" t="s">
        <v>47</v>
      </c>
      <c r="U185" s="478" t="s">
        <v>45</v>
      </c>
      <c r="V185" s="480" t="s">
        <v>20</v>
      </c>
      <c r="W185" s="51">
        <v>0.12</v>
      </c>
      <c r="X185" s="357" t="s">
        <v>53</v>
      </c>
      <c r="Z185" s="5" t="s">
        <v>22</v>
      </c>
      <c r="AA185" s="112" t="s">
        <v>58</v>
      </c>
    </row>
    <row r="186" spans="1:29" x14ac:dyDescent="0.25">
      <c r="A186" s="329">
        <v>45884</v>
      </c>
      <c r="B186" s="5">
        <v>1</v>
      </c>
      <c r="D186" s="5" t="s">
        <v>69</v>
      </c>
      <c r="E186" s="6">
        <v>0.56000000000000005</v>
      </c>
      <c r="G186" s="362">
        <v>1</v>
      </c>
      <c r="H186" s="362">
        <v>3</v>
      </c>
      <c r="I186" s="8">
        <v>3.43</v>
      </c>
      <c r="L186" s="5" t="s">
        <v>70</v>
      </c>
      <c r="M186" s="242" t="s">
        <v>71</v>
      </c>
      <c r="N186" s="345" t="s">
        <v>82</v>
      </c>
      <c r="O186" s="38" t="s">
        <v>70</v>
      </c>
      <c r="P186" s="453" t="s">
        <v>83</v>
      </c>
      <c r="Q186" s="453" t="s">
        <v>84</v>
      </c>
      <c r="R186" s="453" t="s">
        <v>713</v>
      </c>
      <c r="S186" s="459">
        <v>64</v>
      </c>
      <c r="T186" s="5" t="s">
        <v>47</v>
      </c>
      <c r="U186" s="5" t="s">
        <v>43</v>
      </c>
      <c r="V186" s="57" t="s">
        <v>33</v>
      </c>
      <c r="W186" s="51">
        <v>0.11</v>
      </c>
      <c r="X186" s="357" t="s">
        <v>53</v>
      </c>
      <c r="Z186" s="5" t="s">
        <v>13</v>
      </c>
      <c r="AA186" s="112" t="s">
        <v>14</v>
      </c>
    </row>
    <row r="187" spans="1:29" ht="15.75" thickBot="1" x14ac:dyDescent="0.3">
      <c r="A187" s="330">
        <v>45884</v>
      </c>
      <c r="B187" s="9">
        <v>1</v>
      </c>
      <c r="C187" s="122"/>
      <c r="D187" s="9" t="s">
        <v>69</v>
      </c>
      <c r="E187" s="10">
        <v>0.56000000000000005</v>
      </c>
      <c r="F187" s="10"/>
      <c r="G187" s="383">
        <v>1</v>
      </c>
      <c r="H187" s="383">
        <v>3</v>
      </c>
      <c r="I187" s="12">
        <v>3.43</v>
      </c>
      <c r="J187" s="12"/>
      <c r="K187" s="122"/>
      <c r="L187" s="9" t="s">
        <v>70</v>
      </c>
      <c r="M187" s="445" t="s">
        <v>71</v>
      </c>
      <c r="N187" s="346" t="s">
        <v>82</v>
      </c>
      <c r="O187" s="454" t="s">
        <v>70</v>
      </c>
      <c r="P187" s="455" t="s">
        <v>78</v>
      </c>
      <c r="Q187" s="455" t="s">
        <v>404</v>
      </c>
      <c r="R187" s="455" t="s">
        <v>687</v>
      </c>
      <c r="S187" s="459">
        <v>74</v>
      </c>
      <c r="T187" s="9" t="s">
        <v>41</v>
      </c>
      <c r="U187" s="9" t="s">
        <v>42</v>
      </c>
      <c r="V187" s="58" t="s">
        <v>33</v>
      </c>
      <c r="W187" s="52">
        <v>0.17</v>
      </c>
      <c r="X187" s="358" t="s">
        <v>53</v>
      </c>
      <c r="Y187" s="352"/>
      <c r="Z187" s="9" t="s">
        <v>744</v>
      </c>
      <c r="AA187" s="113" t="s">
        <v>14</v>
      </c>
      <c r="AB187" s="109" t="s">
        <v>87</v>
      </c>
      <c r="AC187" s="58" t="s">
        <v>88</v>
      </c>
    </row>
    <row r="188" spans="1:29" ht="15.75" thickBot="1" x14ac:dyDescent="0.3">
      <c r="A188" s="326">
        <v>45884</v>
      </c>
      <c r="B188" s="207">
        <v>1</v>
      </c>
      <c r="C188" s="208"/>
      <c r="D188" s="207" t="s">
        <v>69</v>
      </c>
      <c r="E188" s="209">
        <v>0.56000000000000005</v>
      </c>
      <c r="F188" s="209"/>
      <c r="G188" s="460">
        <v>1</v>
      </c>
      <c r="H188" s="460">
        <v>3</v>
      </c>
      <c r="I188" s="211">
        <v>3.43</v>
      </c>
      <c r="J188" s="211"/>
      <c r="K188" s="208"/>
      <c r="L188" s="207" t="s">
        <v>70</v>
      </c>
      <c r="M188" s="197"/>
      <c r="N188" s="347"/>
      <c r="O188" s="343" t="s">
        <v>69</v>
      </c>
      <c r="P188" s="199" t="s">
        <v>478</v>
      </c>
      <c r="Q188" s="199" t="s">
        <v>479</v>
      </c>
      <c r="R188" s="199" t="s">
        <v>707</v>
      </c>
      <c r="S188" s="479">
        <v>32</v>
      </c>
      <c r="T188" s="199"/>
      <c r="U188" s="199"/>
      <c r="V188" s="201"/>
      <c r="W188" s="202"/>
      <c r="X188" s="359"/>
      <c r="Y188" s="353">
        <v>3</v>
      </c>
      <c r="Z188" s="199"/>
      <c r="AA188" s="204"/>
      <c r="AB188" s="205"/>
      <c r="AC188" s="201"/>
    </row>
    <row r="189" spans="1:29" ht="15.75" thickBot="1" x14ac:dyDescent="0.3">
      <c r="A189" s="326">
        <v>45884</v>
      </c>
      <c r="B189" s="207">
        <v>1</v>
      </c>
      <c r="C189" s="208"/>
      <c r="D189" s="207" t="s">
        <v>69</v>
      </c>
      <c r="E189" s="209">
        <v>0.56000000000000005</v>
      </c>
      <c r="F189" s="209"/>
      <c r="G189" s="460">
        <v>1</v>
      </c>
      <c r="H189" s="460">
        <v>3</v>
      </c>
      <c r="I189" s="211">
        <v>3.43</v>
      </c>
      <c r="J189" s="211"/>
      <c r="K189" s="208"/>
      <c r="L189" s="207" t="s">
        <v>70</v>
      </c>
      <c r="M189" s="197"/>
      <c r="N189" s="347"/>
      <c r="O189" s="343" t="s">
        <v>70</v>
      </c>
      <c r="P189" s="199" t="s">
        <v>714</v>
      </c>
      <c r="Q189" s="199" t="s">
        <v>715</v>
      </c>
      <c r="R189" s="199" t="s">
        <v>707</v>
      </c>
      <c r="S189" s="479">
        <v>61</v>
      </c>
      <c r="T189" s="199"/>
      <c r="U189" s="199"/>
      <c r="V189" s="201"/>
      <c r="W189" s="202"/>
      <c r="X189" s="359"/>
      <c r="Y189" s="353">
        <v>1</v>
      </c>
      <c r="Z189" s="199"/>
      <c r="AA189" s="204"/>
      <c r="AB189" s="205"/>
      <c r="AC189" s="201"/>
    </row>
    <row r="190" spans="1:29" x14ac:dyDescent="0.25">
      <c r="A190" s="328">
        <v>45894</v>
      </c>
      <c r="B190" s="17">
        <v>2</v>
      </c>
      <c r="C190" s="123" t="s">
        <v>693</v>
      </c>
      <c r="D190" s="17" t="s">
        <v>170</v>
      </c>
      <c r="E190" s="18">
        <v>1.51</v>
      </c>
      <c r="F190" s="18"/>
      <c r="G190" s="461">
        <v>1</v>
      </c>
      <c r="H190" s="461">
        <v>0</v>
      </c>
      <c r="I190" s="20">
        <v>0.28999999999999998</v>
      </c>
      <c r="J190" s="20"/>
      <c r="K190" s="123" t="s">
        <v>704</v>
      </c>
      <c r="L190" s="17" t="s">
        <v>70</v>
      </c>
      <c r="M190" s="46"/>
      <c r="N190" s="348">
        <v>3</v>
      </c>
      <c r="O190" s="456" t="s">
        <v>70</v>
      </c>
      <c r="P190" s="17" t="s">
        <v>72</v>
      </c>
      <c r="Q190" s="17" t="s">
        <v>73</v>
      </c>
      <c r="R190" s="17" t="s">
        <v>684</v>
      </c>
      <c r="S190" s="7">
        <v>59</v>
      </c>
      <c r="T190" s="17" t="s">
        <v>47</v>
      </c>
      <c r="U190" s="17" t="s">
        <v>42</v>
      </c>
      <c r="V190" s="59" t="s">
        <v>540</v>
      </c>
      <c r="W190" s="53">
        <v>0.11</v>
      </c>
      <c r="X190" s="360">
        <v>0.17</v>
      </c>
      <c r="Y190" s="354" t="s">
        <v>353</v>
      </c>
      <c r="Z190" s="17" t="s">
        <v>48</v>
      </c>
      <c r="AA190" s="114" t="s">
        <v>28</v>
      </c>
      <c r="AB190" s="110"/>
      <c r="AC190" s="60"/>
    </row>
    <row r="191" spans="1:29" x14ac:dyDescent="0.25">
      <c r="A191" s="329">
        <v>45894</v>
      </c>
      <c r="B191" s="5">
        <v>2</v>
      </c>
      <c r="D191" s="5" t="s">
        <v>170</v>
      </c>
      <c r="E191" s="6">
        <v>1.51</v>
      </c>
      <c r="G191" s="362">
        <v>1</v>
      </c>
      <c r="H191" s="362">
        <v>0</v>
      </c>
      <c r="I191" s="8">
        <v>0.28999999999999998</v>
      </c>
      <c r="L191" s="5" t="s">
        <v>70</v>
      </c>
      <c r="N191" s="476">
        <v>27</v>
      </c>
      <c r="O191" s="477" t="s">
        <v>170</v>
      </c>
      <c r="P191" s="478" t="s">
        <v>174</v>
      </c>
      <c r="Q191" s="478" t="s">
        <v>175</v>
      </c>
      <c r="R191" s="478" t="s">
        <v>685</v>
      </c>
      <c r="S191" s="479">
        <v>76</v>
      </c>
      <c r="T191" s="478" t="s">
        <v>354</v>
      </c>
      <c r="U191" s="478" t="s">
        <v>42</v>
      </c>
      <c r="V191" s="480" t="s">
        <v>29</v>
      </c>
      <c r="W191" s="51">
        <v>0.03</v>
      </c>
      <c r="X191" s="357">
        <v>0.31</v>
      </c>
      <c r="Z191" s="5" t="s">
        <v>48</v>
      </c>
      <c r="AA191" s="112" t="s">
        <v>28</v>
      </c>
    </row>
    <row r="192" spans="1:29" x14ac:dyDescent="0.25">
      <c r="A192" s="329">
        <v>45894</v>
      </c>
      <c r="B192" s="5">
        <v>2</v>
      </c>
      <c r="D192" s="5" t="s">
        <v>170</v>
      </c>
      <c r="E192" s="6">
        <v>1.51</v>
      </c>
      <c r="G192" s="362">
        <v>1</v>
      </c>
      <c r="H192" s="362">
        <v>0</v>
      </c>
      <c r="I192" s="8">
        <v>0.28999999999999998</v>
      </c>
      <c r="L192" s="5" t="s">
        <v>70</v>
      </c>
      <c r="N192" s="476">
        <v>53</v>
      </c>
      <c r="O192" s="477" t="s">
        <v>170</v>
      </c>
      <c r="P192" s="478" t="s">
        <v>295</v>
      </c>
      <c r="Q192" s="478" t="s">
        <v>175</v>
      </c>
      <c r="R192" s="478" t="s">
        <v>686</v>
      </c>
      <c r="S192" s="479">
        <v>61</v>
      </c>
      <c r="T192" s="478" t="s">
        <v>41</v>
      </c>
      <c r="U192" s="478" t="s">
        <v>42</v>
      </c>
      <c r="V192" s="480" t="s">
        <v>10</v>
      </c>
      <c r="W192" s="51">
        <v>0.32</v>
      </c>
      <c r="X192" s="357" t="s">
        <v>53</v>
      </c>
      <c r="Y192" s="351" t="s">
        <v>353</v>
      </c>
      <c r="Z192" s="5" t="s">
        <v>13</v>
      </c>
      <c r="AA192" s="112" t="s">
        <v>28</v>
      </c>
    </row>
    <row r="193" spans="1:29" x14ac:dyDescent="0.25">
      <c r="A193" s="329">
        <v>45894</v>
      </c>
      <c r="B193" s="5">
        <v>2</v>
      </c>
      <c r="D193" s="5" t="s">
        <v>170</v>
      </c>
      <c r="E193" s="6">
        <v>1.51</v>
      </c>
      <c r="G193" s="362">
        <v>1</v>
      </c>
      <c r="H193" s="362">
        <v>0</v>
      </c>
      <c r="I193" s="8">
        <v>0.28999999999999998</v>
      </c>
      <c r="L193" s="5" t="s">
        <v>70</v>
      </c>
      <c r="N193" s="476">
        <v>58</v>
      </c>
      <c r="O193" s="477" t="s">
        <v>170</v>
      </c>
      <c r="P193" s="478" t="s">
        <v>174</v>
      </c>
      <c r="Q193" s="478" t="s">
        <v>175</v>
      </c>
      <c r="R193" s="478" t="s">
        <v>685</v>
      </c>
      <c r="S193" s="481">
        <v>76</v>
      </c>
      <c r="T193" s="478" t="s">
        <v>44</v>
      </c>
      <c r="U193" s="478" t="s">
        <v>42</v>
      </c>
      <c r="V193" s="480" t="s">
        <v>10</v>
      </c>
      <c r="W193" s="51">
        <v>0.04</v>
      </c>
      <c r="X193" s="357">
        <v>0.15</v>
      </c>
      <c r="Z193" s="5" t="s">
        <v>48</v>
      </c>
      <c r="AA193" s="112" t="s">
        <v>28</v>
      </c>
    </row>
    <row r="194" spans="1:29" x14ac:dyDescent="0.25">
      <c r="A194" s="329">
        <v>45894</v>
      </c>
      <c r="B194" s="5">
        <v>2</v>
      </c>
      <c r="D194" s="5" t="s">
        <v>170</v>
      </c>
      <c r="E194" s="6">
        <v>1.51</v>
      </c>
      <c r="G194" s="362">
        <v>1</v>
      </c>
      <c r="H194" s="362">
        <v>0</v>
      </c>
      <c r="I194" s="8">
        <v>0.28999999999999998</v>
      </c>
      <c r="L194" s="5" t="s">
        <v>70</v>
      </c>
      <c r="N194" s="476">
        <v>62</v>
      </c>
      <c r="O194" s="477" t="s">
        <v>170</v>
      </c>
      <c r="P194" s="478" t="s">
        <v>174</v>
      </c>
      <c r="Q194" s="478" t="s">
        <v>175</v>
      </c>
      <c r="R194" s="478" t="s">
        <v>685</v>
      </c>
      <c r="S194" s="481">
        <v>76</v>
      </c>
      <c r="T194" s="478" t="s">
        <v>41</v>
      </c>
      <c r="U194" s="478" t="s">
        <v>43</v>
      </c>
      <c r="V194" s="480" t="s">
        <v>10</v>
      </c>
      <c r="W194" s="51">
        <v>0.05</v>
      </c>
      <c r="X194" s="357" t="s">
        <v>53</v>
      </c>
      <c r="Z194" s="5" t="s">
        <v>55</v>
      </c>
      <c r="AA194" s="112" t="s">
        <v>28</v>
      </c>
    </row>
    <row r="195" spans="1:29" x14ac:dyDescent="0.25">
      <c r="A195" s="329">
        <v>45894</v>
      </c>
      <c r="B195" s="5">
        <v>2</v>
      </c>
      <c r="D195" s="5" t="s">
        <v>170</v>
      </c>
      <c r="E195" s="6">
        <v>1.51</v>
      </c>
      <c r="G195" s="362">
        <v>1</v>
      </c>
      <c r="H195" s="362">
        <v>0</v>
      </c>
      <c r="I195" s="8">
        <v>0.28999999999999998</v>
      </c>
      <c r="L195" s="5" t="s">
        <v>70</v>
      </c>
      <c r="N195" s="476">
        <v>66</v>
      </c>
      <c r="O195" s="477" t="s">
        <v>170</v>
      </c>
      <c r="P195" s="478" t="s">
        <v>296</v>
      </c>
      <c r="Q195" s="478" t="s">
        <v>297</v>
      </c>
      <c r="R195" s="478" t="s">
        <v>696</v>
      </c>
      <c r="S195" s="479">
        <v>72</v>
      </c>
      <c r="T195" s="478" t="s">
        <v>41</v>
      </c>
      <c r="U195" s="478" t="s">
        <v>42</v>
      </c>
      <c r="V195" s="480" t="s">
        <v>7</v>
      </c>
      <c r="W195" s="51">
        <v>0.79</v>
      </c>
      <c r="X195" s="357">
        <v>0.78</v>
      </c>
      <c r="Y195" s="351" t="s">
        <v>353</v>
      </c>
      <c r="Z195" s="5" t="s">
        <v>8</v>
      </c>
      <c r="AA195" s="112" t="s">
        <v>19</v>
      </c>
    </row>
    <row r="196" spans="1:29" x14ac:dyDescent="0.25">
      <c r="A196" s="329">
        <v>45894</v>
      </c>
      <c r="B196" s="5">
        <v>2</v>
      </c>
      <c r="D196" s="5" t="s">
        <v>170</v>
      </c>
      <c r="E196" s="6">
        <v>1.51</v>
      </c>
      <c r="G196" s="362">
        <v>1</v>
      </c>
      <c r="H196" s="362">
        <v>0</v>
      </c>
      <c r="I196" s="8">
        <v>0.28999999999999998</v>
      </c>
      <c r="L196" s="5" t="s">
        <v>70</v>
      </c>
      <c r="N196" s="345">
        <v>84</v>
      </c>
      <c r="O196" s="38" t="s">
        <v>70</v>
      </c>
      <c r="P196" s="5" t="s">
        <v>298</v>
      </c>
      <c r="Q196" s="5" t="s">
        <v>299</v>
      </c>
      <c r="R196" s="5" t="s">
        <v>696</v>
      </c>
      <c r="S196" s="479">
        <v>62</v>
      </c>
      <c r="T196" s="5" t="s">
        <v>41</v>
      </c>
      <c r="U196" s="5" t="s">
        <v>42</v>
      </c>
      <c r="V196" s="57" t="s">
        <v>10</v>
      </c>
      <c r="W196" s="51">
        <v>0.1</v>
      </c>
      <c r="X196" s="357" t="s">
        <v>53</v>
      </c>
      <c r="Z196" s="5" t="s">
        <v>52</v>
      </c>
      <c r="AA196" s="112" t="s">
        <v>19</v>
      </c>
    </row>
    <row r="197" spans="1:29" ht="15.75" thickBot="1" x14ac:dyDescent="0.3">
      <c r="A197" s="330">
        <v>45894</v>
      </c>
      <c r="B197" s="9">
        <v>2</v>
      </c>
      <c r="C197" s="122"/>
      <c r="D197" s="9" t="s">
        <v>170</v>
      </c>
      <c r="E197" s="10">
        <v>1.51</v>
      </c>
      <c r="F197" s="10"/>
      <c r="G197" s="383">
        <v>1</v>
      </c>
      <c r="H197" s="383">
        <v>0</v>
      </c>
      <c r="I197" s="12">
        <v>0.28999999999999998</v>
      </c>
      <c r="J197" s="12"/>
      <c r="K197" s="122"/>
      <c r="L197" s="9" t="s">
        <v>70</v>
      </c>
      <c r="M197" s="45"/>
      <c r="N197" s="346">
        <v>84</v>
      </c>
      <c r="O197" s="454" t="s">
        <v>70</v>
      </c>
      <c r="P197" s="9" t="s">
        <v>83</v>
      </c>
      <c r="Q197" s="9" t="s">
        <v>84</v>
      </c>
      <c r="R197" s="9" t="s">
        <v>713</v>
      </c>
      <c r="S197" s="479">
        <v>68</v>
      </c>
      <c r="T197" s="9" t="s">
        <v>354</v>
      </c>
      <c r="U197" s="9" t="s">
        <v>42</v>
      </c>
      <c r="V197" s="58" t="s">
        <v>10</v>
      </c>
      <c r="W197" s="52">
        <v>0.01</v>
      </c>
      <c r="X197" s="358" t="s">
        <v>53</v>
      </c>
      <c r="Y197" s="352"/>
      <c r="Z197" s="9" t="s">
        <v>16</v>
      </c>
      <c r="AA197" s="113" t="s">
        <v>19</v>
      </c>
      <c r="AB197" s="109"/>
      <c r="AC197" s="58"/>
    </row>
    <row r="198" spans="1:29" ht="15.75" thickBot="1" x14ac:dyDescent="0.3">
      <c r="A198" s="326">
        <v>45894</v>
      </c>
      <c r="B198" s="207">
        <v>2</v>
      </c>
      <c r="C198" s="208"/>
      <c r="D198" s="207" t="s">
        <v>170</v>
      </c>
      <c r="E198" s="209">
        <v>1.51</v>
      </c>
      <c r="F198" s="209"/>
      <c r="G198" s="460">
        <v>1</v>
      </c>
      <c r="H198" s="460">
        <v>0</v>
      </c>
      <c r="I198" s="211">
        <v>0.28999999999999998</v>
      </c>
      <c r="J198" s="211"/>
      <c r="K198" s="208"/>
      <c r="L198" s="207" t="s">
        <v>70</v>
      </c>
      <c r="M198" s="197"/>
      <c r="N198" s="347"/>
      <c r="O198" s="343" t="s">
        <v>170</v>
      </c>
      <c r="P198" s="199" t="s">
        <v>269</v>
      </c>
      <c r="Q198" s="199" t="s">
        <v>722</v>
      </c>
      <c r="R198" s="199" t="s">
        <v>707</v>
      </c>
      <c r="S198" s="479">
        <v>68</v>
      </c>
      <c r="T198" s="199"/>
      <c r="U198" s="199"/>
      <c r="V198" s="201"/>
      <c r="W198" s="202"/>
      <c r="X198" s="359"/>
      <c r="Y198" s="353">
        <v>0</v>
      </c>
      <c r="Z198" s="199"/>
      <c r="AA198" s="204"/>
      <c r="AB198" s="205"/>
      <c r="AC198" s="201"/>
    </row>
    <row r="199" spans="1:29" ht="15.75" thickBot="1" x14ac:dyDescent="0.3">
      <c r="A199" s="326">
        <v>45894</v>
      </c>
      <c r="B199" s="207">
        <v>2</v>
      </c>
      <c r="C199" s="208"/>
      <c r="D199" s="207" t="s">
        <v>170</v>
      </c>
      <c r="E199" s="209">
        <v>1.51</v>
      </c>
      <c r="F199" s="209"/>
      <c r="G199" s="460">
        <v>1</v>
      </c>
      <c r="H199" s="460">
        <v>0</v>
      </c>
      <c r="I199" s="211">
        <v>0.28999999999999998</v>
      </c>
      <c r="J199" s="211"/>
      <c r="K199" s="208"/>
      <c r="L199" s="207" t="s">
        <v>70</v>
      </c>
      <c r="M199" s="197"/>
      <c r="N199" s="347"/>
      <c r="O199" s="343" t="s">
        <v>70</v>
      </c>
      <c r="P199" s="199" t="s">
        <v>714</v>
      </c>
      <c r="Q199" s="199" t="s">
        <v>715</v>
      </c>
      <c r="R199" s="199" t="s">
        <v>707</v>
      </c>
      <c r="S199" s="7">
        <v>66</v>
      </c>
      <c r="T199" s="199"/>
      <c r="U199" s="199"/>
      <c r="V199" s="201"/>
      <c r="W199" s="202"/>
      <c r="X199" s="359"/>
      <c r="Y199" s="353">
        <v>1</v>
      </c>
      <c r="Z199" s="199"/>
      <c r="AA199" s="204"/>
      <c r="AB199" s="205"/>
      <c r="AC199" s="201"/>
    </row>
    <row r="200" spans="1:29" x14ac:dyDescent="0.25">
      <c r="A200" s="328">
        <v>45914</v>
      </c>
      <c r="B200" s="17">
        <v>4</v>
      </c>
      <c r="C200" s="123" t="s">
        <v>700</v>
      </c>
      <c r="D200" s="17" t="s">
        <v>227</v>
      </c>
      <c r="E200" s="18">
        <v>1.59</v>
      </c>
      <c r="F200" s="18"/>
      <c r="G200" s="461">
        <v>2</v>
      </c>
      <c r="H200" s="461">
        <v>0</v>
      </c>
      <c r="I200" s="20">
        <v>1.0900000000000001</v>
      </c>
      <c r="J200" s="20"/>
      <c r="K200" s="123" t="s">
        <v>694</v>
      </c>
      <c r="L200" s="17" t="s">
        <v>70</v>
      </c>
      <c r="M200" s="46"/>
      <c r="N200" s="348">
        <v>1</v>
      </c>
      <c r="O200" s="456" t="s">
        <v>70</v>
      </c>
      <c r="P200" s="17" t="s">
        <v>78</v>
      </c>
      <c r="Q200" s="17" t="s">
        <v>404</v>
      </c>
      <c r="R200" s="17" t="s">
        <v>687</v>
      </c>
      <c r="S200" s="479">
        <v>65</v>
      </c>
      <c r="T200" s="17" t="s">
        <v>354</v>
      </c>
      <c r="U200" s="17" t="s">
        <v>42</v>
      </c>
      <c r="V200" s="59" t="s">
        <v>10</v>
      </c>
      <c r="W200" s="53">
        <v>0.01</v>
      </c>
      <c r="X200" s="360" t="s">
        <v>53</v>
      </c>
      <c r="Y200" s="354"/>
      <c r="Z200" s="17" t="s">
        <v>22</v>
      </c>
      <c r="AA200" s="114" t="s">
        <v>28</v>
      </c>
      <c r="AB200" s="110"/>
      <c r="AC200" s="60"/>
    </row>
    <row r="201" spans="1:29" x14ac:dyDescent="0.25">
      <c r="A201" s="329">
        <v>45914</v>
      </c>
      <c r="B201" s="5">
        <v>4</v>
      </c>
      <c r="D201" s="5" t="s">
        <v>227</v>
      </c>
      <c r="E201" s="6">
        <v>1.59</v>
      </c>
      <c r="G201" s="362">
        <v>2</v>
      </c>
      <c r="H201" s="362">
        <v>0</v>
      </c>
      <c r="I201" s="8">
        <v>1.0900000000000001</v>
      </c>
      <c r="L201" s="5" t="s">
        <v>70</v>
      </c>
      <c r="N201" s="476">
        <v>9</v>
      </c>
      <c r="O201" s="477" t="s">
        <v>227</v>
      </c>
      <c r="P201" s="478" t="s">
        <v>25</v>
      </c>
      <c r="Q201" s="478" t="s">
        <v>397</v>
      </c>
      <c r="R201" s="478" t="s">
        <v>685</v>
      </c>
      <c r="S201" s="479">
        <v>69</v>
      </c>
      <c r="T201" s="478" t="s">
        <v>41</v>
      </c>
      <c r="U201" s="478" t="s">
        <v>42</v>
      </c>
      <c r="V201" s="480" t="s">
        <v>29</v>
      </c>
      <c r="W201" s="51">
        <v>0.05</v>
      </c>
      <c r="X201" s="357">
        <v>0.21</v>
      </c>
      <c r="Z201" s="5" t="s">
        <v>48</v>
      </c>
      <c r="AA201" s="112" t="s">
        <v>28</v>
      </c>
    </row>
    <row r="202" spans="1:29" x14ac:dyDescent="0.25">
      <c r="A202" s="329">
        <v>45914</v>
      </c>
      <c r="B202" s="5">
        <v>4</v>
      </c>
      <c r="D202" s="5" t="s">
        <v>227</v>
      </c>
      <c r="E202" s="6">
        <v>1.59</v>
      </c>
      <c r="G202" s="362">
        <v>2</v>
      </c>
      <c r="H202" s="362">
        <v>0</v>
      </c>
      <c r="I202" s="8">
        <v>1.0900000000000001</v>
      </c>
      <c r="L202" s="5" t="s">
        <v>70</v>
      </c>
      <c r="N202" s="476">
        <v>15</v>
      </c>
      <c r="O202" s="477" t="s">
        <v>227</v>
      </c>
      <c r="P202" s="478" t="s">
        <v>398</v>
      </c>
      <c r="Q202" s="478" t="s">
        <v>399</v>
      </c>
      <c r="R202" s="478" t="s">
        <v>684</v>
      </c>
      <c r="S202" s="479">
        <v>74</v>
      </c>
      <c r="T202" s="478" t="s">
        <v>47</v>
      </c>
      <c r="U202" s="478" t="s">
        <v>42</v>
      </c>
      <c r="V202" s="480" t="s">
        <v>540</v>
      </c>
      <c r="W202" s="51">
        <v>0.59</v>
      </c>
      <c r="X202" s="357">
        <v>0.75</v>
      </c>
      <c r="Y202" s="351" t="s">
        <v>353</v>
      </c>
      <c r="Z202" s="5" t="s">
        <v>8</v>
      </c>
      <c r="AA202" s="112" t="s">
        <v>19</v>
      </c>
    </row>
    <row r="203" spans="1:29" x14ac:dyDescent="0.25">
      <c r="A203" s="329">
        <v>45914</v>
      </c>
      <c r="B203" s="5">
        <v>4</v>
      </c>
      <c r="D203" s="5" t="s">
        <v>227</v>
      </c>
      <c r="E203" s="6">
        <v>1.59</v>
      </c>
      <c r="G203" s="362">
        <v>2</v>
      </c>
      <c r="H203" s="362">
        <v>0</v>
      </c>
      <c r="I203" s="8">
        <v>1.0900000000000001</v>
      </c>
      <c r="L203" s="5" t="s">
        <v>70</v>
      </c>
      <c r="N203" s="345">
        <v>17</v>
      </c>
      <c r="O203" s="38" t="s">
        <v>70</v>
      </c>
      <c r="P203" s="5" t="s">
        <v>78</v>
      </c>
      <c r="Q203" s="5" t="s">
        <v>404</v>
      </c>
      <c r="R203" s="5" t="s">
        <v>687</v>
      </c>
      <c r="S203" s="7">
        <v>65</v>
      </c>
      <c r="T203" s="5" t="s">
        <v>41</v>
      </c>
      <c r="U203" s="5" t="s">
        <v>42</v>
      </c>
      <c r="V203" s="57" t="s">
        <v>20</v>
      </c>
      <c r="W203" s="51">
        <v>0.09</v>
      </c>
      <c r="X203" s="357">
        <v>0.16</v>
      </c>
      <c r="Z203" s="5" t="s">
        <v>48</v>
      </c>
      <c r="AA203" s="112" t="s">
        <v>19</v>
      </c>
    </row>
    <row r="204" spans="1:29" x14ac:dyDescent="0.25">
      <c r="A204" s="329">
        <v>45914</v>
      </c>
      <c r="B204" s="5">
        <v>4</v>
      </c>
      <c r="D204" s="5" t="s">
        <v>227</v>
      </c>
      <c r="E204" s="6">
        <v>1.59</v>
      </c>
      <c r="G204" s="362">
        <v>2</v>
      </c>
      <c r="H204" s="362">
        <v>0</v>
      </c>
      <c r="I204" s="8">
        <v>1.0900000000000001</v>
      </c>
      <c r="L204" s="5" t="s">
        <v>70</v>
      </c>
      <c r="N204" s="476">
        <v>31</v>
      </c>
      <c r="O204" s="477" t="s">
        <v>227</v>
      </c>
      <c r="P204" s="478" t="s">
        <v>25</v>
      </c>
      <c r="Q204" s="478" t="s">
        <v>397</v>
      </c>
      <c r="R204" s="478" t="s">
        <v>685</v>
      </c>
      <c r="S204" s="479">
        <v>69</v>
      </c>
      <c r="T204" s="478" t="s">
        <v>41</v>
      </c>
      <c r="U204" s="478" t="s">
        <v>43</v>
      </c>
      <c r="V204" s="480" t="s">
        <v>540</v>
      </c>
      <c r="W204" s="51">
        <v>0.12</v>
      </c>
      <c r="X204" s="357">
        <v>0.11</v>
      </c>
      <c r="Y204" s="351" t="s">
        <v>353</v>
      </c>
      <c r="Z204" s="5" t="s">
        <v>48</v>
      </c>
      <c r="AA204" s="112" t="s">
        <v>19</v>
      </c>
    </row>
    <row r="205" spans="1:29" x14ac:dyDescent="0.25">
      <c r="A205" s="329">
        <v>45914</v>
      </c>
      <c r="B205" s="5">
        <v>4</v>
      </c>
      <c r="D205" s="5" t="s">
        <v>227</v>
      </c>
      <c r="E205" s="6">
        <v>1.59</v>
      </c>
      <c r="G205" s="362">
        <v>2</v>
      </c>
      <c r="H205" s="362">
        <v>0</v>
      </c>
      <c r="I205" s="8">
        <v>1.0900000000000001</v>
      </c>
      <c r="L205" s="5" t="s">
        <v>70</v>
      </c>
      <c r="N205" s="476">
        <v>31</v>
      </c>
      <c r="O205" s="477" t="s">
        <v>227</v>
      </c>
      <c r="P205" s="478" t="s">
        <v>398</v>
      </c>
      <c r="Q205" s="478" t="s">
        <v>399</v>
      </c>
      <c r="R205" s="478" t="s">
        <v>684</v>
      </c>
      <c r="S205" s="479">
        <v>69</v>
      </c>
      <c r="T205" s="478" t="s">
        <v>44</v>
      </c>
      <c r="U205" s="478" t="s">
        <v>42</v>
      </c>
      <c r="V205" s="480" t="s">
        <v>10</v>
      </c>
      <c r="W205" s="51">
        <v>0.06</v>
      </c>
      <c r="X205" s="357" t="s">
        <v>53</v>
      </c>
      <c r="Z205" s="5" t="s">
        <v>744</v>
      </c>
      <c r="AA205" s="112" t="s">
        <v>19</v>
      </c>
      <c r="AB205" s="108" t="s">
        <v>349</v>
      </c>
      <c r="AC205" s="57" t="s">
        <v>350</v>
      </c>
    </row>
    <row r="206" spans="1:29" x14ac:dyDescent="0.25">
      <c r="A206" s="329">
        <v>45914</v>
      </c>
      <c r="B206" s="5">
        <v>4</v>
      </c>
      <c r="D206" s="5" t="s">
        <v>227</v>
      </c>
      <c r="E206" s="6">
        <v>1.59</v>
      </c>
      <c r="G206" s="362">
        <v>2</v>
      </c>
      <c r="H206" s="362">
        <v>0</v>
      </c>
      <c r="I206" s="8">
        <v>1.0900000000000001</v>
      </c>
      <c r="L206" s="5" t="s">
        <v>70</v>
      </c>
      <c r="N206" s="345">
        <v>39</v>
      </c>
      <c r="O206" s="38" t="s">
        <v>70</v>
      </c>
      <c r="P206" s="5" t="s">
        <v>72</v>
      </c>
      <c r="Q206" s="5" t="s">
        <v>73</v>
      </c>
      <c r="R206" s="5" t="s">
        <v>718</v>
      </c>
      <c r="S206" s="7">
        <v>64</v>
      </c>
      <c r="T206" s="5" t="s">
        <v>41</v>
      </c>
      <c r="U206" s="5" t="s">
        <v>42</v>
      </c>
      <c r="V206" s="57" t="s">
        <v>18</v>
      </c>
      <c r="W206" s="51">
        <v>0.1</v>
      </c>
      <c r="X206" s="357" t="s">
        <v>53</v>
      </c>
      <c r="Z206" s="5" t="s">
        <v>17</v>
      </c>
      <c r="AA206" s="112" t="s">
        <v>19</v>
      </c>
    </row>
    <row r="207" spans="1:29" x14ac:dyDescent="0.25">
      <c r="A207" s="329">
        <v>45914</v>
      </c>
      <c r="B207" s="5">
        <v>4</v>
      </c>
      <c r="D207" s="5" t="s">
        <v>227</v>
      </c>
      <c r="E207" s="6">
        <v>1.59</v>
      </c>
      <c r="G207" s="362">
        <v>2</v>
      </c>
      <c r="H207" s="362">
        <v>0</v>
      </c>
      <c r="I207" s="8">
        <v>1.0900000000000001</v>
      </c>
      <c r="L207" s="5" t="s">
        <v>70</v>
      </c>
      <c r="N207" s="476">
        <v>40</v>
      </c>
      <c r="O207" s="477" t="s">
        <v>227</v>
      </c>
      <c r="P207" s="478" t="s">
        <v>25</v>
      </c>
      <c r="Q207" s="478" t="s">
        <v>397</v>
      </c>
      <c r="R207" s="478" t="s">
        <v>685</v>
      </c>
      <c r="S207" s="479">
        <v>69</v>
      </c>
      <c r="T207" s="478" t="s">
        <v>354</v>
      </c>
      <c r="U207" s="478" t="s">
        <v>42</v>
      </c>
      <c r="V207" s="480" t="s">
        <v>10</v>
      </c>
      <c r="W207" s="51">
        <v>0.03</v>
      </c>
      <c r="X207" s="357">
        <v>0.15</v>
      </c>
      <c r="Z207" s="5" t="s">
        <v>48</v>
      </c>
      <c r="AA207" s="112" t="s">
        <v>19</v>
      </c>
    </row>
    <row r="208" spans="1:29" x14ac:dyDescent="0.25">
      <c r="A208" s="329">
        <v>45914</v>
      </c>
      <c r="B208" s="5">
        <v>4</v>
      </c>
      <c r="D208" s="5" t="s">
        <v>227</v>
      </c>
      <c r="E208" s="6">
        <v>1.59</v>
      </c>
      <c r="G208" s="362">
        <v>2</v>
      </c>
      <c r="H208" s="362">
        <v>0</v>
      </c>
      <c r="I208" s="8">
        <v>1.0900000000000001</v>
      </c>
      <c r="L208" s="5" t="s">
        <v>70</v>
      </c>
      <c r="N208" s="345">
        <v>47</v>
      </c>
      <c r="O208" s="38" t="s">
        <v>70</v>
      </c>
      <c r="P208" s="5" t="s">
        <v>72</v>
      </c>
      <c r="Q208" s="5" t="s">
        <v>73</v>
      </c>
      <c r="R208" s="5" t="s">
        <v>718</v>
      </c>
      <c r="S208" s="459">
        <v>64</v>
      </c>
      <c r="T208" s="5" t="s">
        <v>41</v>
      </c>
      <c r="U208" s="5" t="s">
        <v>42</v>
      </c>
      <c r="V208" s="57" t="s">
        <v>10</v>
      </c>
      <c r="W208" s="51">
        <v>0.12</v>
      </c>
      <c r="X208" s="357" t="s">
        <v>53</v>
      </c>
      <c r="Z208" s="5" t="s">
        <v>52</v>
      </c>
      <c r="AA208" s="112" t="s">
        <v>19</v>
      </c>
    </row>
    <row r="209" spans="1:29" x14ac:dyDescent="0.25">
      <c r="A209" s="329">
        <v>45914</v>
      </c>
      <c r="B209" s="5">
        <v>4</v>
      </c>
      <c r="D209" s="5" t="s">
        <v>227</v>
      </c>
      <c r="E209" s="6">
        <v>1.59</v>
      </c>
      <c r="G209" s="362">
        <v>2</v>
      </c>
      <c r="H209" s="362">
        <v>0</v>
      </c>
      <c r="I209" s="8">
        <v>1.0900000000000001</v>
      </c>
      <c r="L209" s="5" t="s">
        <v>70</v>
      </c>
      <c r="N209" s="476">
        <v>48</v>
      </c>
      <c r="O209" s="477" t="s">
        <v>227</v>
      </c>
      <c r="P209" s="478" t="s">
        <v>400</v>
      </c>
      <c r="Q209" s="478" t="s">
        <v>401</v>
      </c>
      <c r="R209" s="478" t="s">
        <v>688</v>
      </c>
      <c r="S209" s="481">
        <v>81</v>
      </c>
      <c r="T209" s="478" t="s">
        <v>41</v>
      </c>
      <c r="U209" s="478" t="s">
        <v>43</v>
      </c>
      <c r="V209" s="480" t="s">
        <v>10</v>
      </c>
      <c r="W209" s="51">
        <v>0.03</v>
      </c>
      <c r="X209" s="357">
        <v>0.15</v>
      </c>
      <c r="Z209" s="5" t="s">
        <v>48</v>
      </c>
      <c r="AA209" s="112" t="s">
        <v>19</v>
      </c>
    </row>
    <row r="210" spans="1:29" x14ac:dyDescent="0.25">
      <c r="A210" s="329">
        <v>45914</v>
      </c>
      <c r="B210" s="5">
        <v>4</v>
      </c>
      <c r="D210" s="5" t="s">
        <v>227</v>
      </c>
      <c r="E210" s="6">
        <v>1.59</v>
      </c>
      <c r="G210" s="362">
        <v>2</v>
      </c>
      <c r="H210" s="362">
        <v>0</v>
      </c>
      <c r="I210" s="8">
        <v>1.0900000000000001</v>
      </c>
      <c r="L210" s="5" t="s">
        <v>70</v>
      </c>
      <c r="N210" s="345">
        <v>51</v>
      </c>
      <c r="O210" s="38" t="s">
        <v>70</v>
      </c>
      <c r="P210" s="5" t="s">
        <v>74</v>
      </c>
      <c r="Q210" s="5" t="s">
        <v>75</v>
      </c>
      <c r="R210" s="5" t="s">
        <v>685</v>
      </c>
      <c r="S210" s="479">
        <v>60</v>
      </c>
      <c r="T210" s="5" t="s">
        <v>41</v>
      </c>
      <c r="U210" s="5" t="s">
        <v>45</v>
      </c>
      <c r="V210" s="57" t="s">
        <v>10</v>
      </c>
      <c r="W210" s="51">
        <v>0.1</v>
      </c>
      <c r="X210" s="357">
        <v>0.12</v>
      </c>
      <c r="Z210" s="5" t="s">
        <v>48</v>
      </c>
      <c r="AA210" s="112" t="s">
        <v>19</v>
      </c>
    </row>
    <row r="211" spans="1:29" x14ac:dyDescent="0.25">
      <c r="A211" s="329">
        <v>45914</v>
      </c>
      <c r="B211" s="5">
        <v>4</v>
      </c>
      <c r="D211" s="5" t="s">
        <v>227</v>
      </c>
      <c r="E211" s="6">
        <v>1.59</v>
      </c>
      <c r="G211" s="362">
        <v>2</v>
      </c>
      <c r="H211" s="362">
        <v>0</v>
      </c>
      <c r="I211" s="8">
        <v>1.0900000000000001</v>
      </c>
      <c r="L211" s="5" t="s">
        <v>70</v>
      </c>
      <c r="N211" s="345">
        <v>55</v>
      </c>
      <c r="O211" s="38" t="s">
        <v>70</v>
      </c>
      <c r="P211" s="5" t="s">
        <v>83</v>
      </c>
      <c r="Q211" s="5" t="s">
        <v>84</v>
      </c>
      <c r="R211" s="5" t="s">
        <v>713</v>
      </c>
      <c r="S211" s="479">
        <v>70</v>
      </c>
      <c r="T211" s="5" t="s">
        <v>47</v>
      </c>
      <c r="U211" s="5" t="s">
        <v>45</v>
      </c>
      <c r="V211" s="57" t="s">
        <v>20</v>
      </c>
      <c r="W211" s="51">
        <v>0.14000000000000001</v>
      </c>
      <c r="X211" s="357">
        <v>0.66</v>
      </c>
      <c r="Z211" s="5" t="s">
        <v>48</v>
      </c>
      <c r="AA211" s="112" t="s">
        <v>19</v>
      </c>
    </row>
    <row r="212" spans="1:29" x14ac:dyDescent="0.25">
      <c r="A212" s="329">
        <v>45914</v>
      </c>
      <c r="B212" s="5">
        <v>4</v>
      </c>
      <c r="D212" s="5" t="s">
        <v>227</v>
      </c>
      <c r="E212" s="6">
        <v>1.59</v>
      </c>
      <c r="G212" s="362">
        <v>2</v>
      </c>
      <c r="H212" s="362">
        <v>0</v>
      </c>
      <c r="I212" s="8">
        <v>1.0900000000000001</v>
      </c>
      <c r="L212" s="5" t="s">
        <v>70</v>
      </c>
      <c r="N212" s="476">
        <v>77</v>
      </c>
      <c r="O212" s="477" t="s">
        <v>227</v>
      </c>
      <c r="P212" s="478" t="s">
        <v>402</v>
      </c>
      <c r="Q212" s="478" t="s">
        <v>403</v>
      </c>
      <c r="R212" s="478" t="s">
        <v>696</v>
      </c>
      <c r="S212" s="479">
        <v>69</v>
      </c>
      <c r="T212" s="478" t="s">
        <v>44</v>
      </c>
      <c r="U212" s="478" t="s">
        <v>43</v>
      </c>
      <c r="V212" s="480" t="s">
        <v>18</v>
      </c>
      <c r="W212" s="51">
        <v>0.59</v>
      </c>
      <c r="X212" s="357">
        <v>0.65</v>
      </c>
      <c r="Y212" s="351" t="s">
        <v>353</v>
      </c>
      <c r="Z212" s="5" t="s">
        <v>8</v>
      </c>
      <c r="AA212" s="112" t="s">
        <v>24</v>
      </c>
      <c r="AB212" s="108" t="s">
        <v>135</v>
      </c>
      <c r="AC212" s="57" t="s">
        <v>661</v>
      </c>
    </row>
    <row r="213" spans="1:29" x14ac:dyDescent="0.25">
      <c r="A213" s="329">
        <v>45914</v>
      </c>
      <c r="B213" s="5">
        <v>4</v>
      </c>
      <c r="D213" s="5" t="s">
        <v>227</v>
      </c>
      <c r="E213" s="6">
        <v>1.59</v>
      </c>
      <c r="G213" s="362">
        <v>2</v>
      </c>
      <c r="H213" s="362">
        <v>0</v>
      </c>
      <c r="I213" s="8">
        <v>1.0900000000000001</v>
      </c>
      <c r="L213" s="5" t="s">
        <v>70</v>
      </c>
      <c r="N213" s="345">
        <v>90</v>
      </c>
      <c r="O213" s="38" t="s">
        <v>70</v>
      </c>
      <c r="P213" s="5" t="s">
        <v>53</v>
      </c>
      <c r="Q213" s="5" t="s">
        <v>405</v>
      </c>
      <c r="R213" s="5" t="s">
        <v>696</v>
      </c>
      <c r="S213" s="479">
        <v>62</v>
      </c>
      <c r="T213" s="5" t="s">
        <v>41</v>
      </c>
      <c r="U213" s="5" t="s">
        <v>42</v>
      </c>
      <c r="V213" s="57" t="s">
        <v>10</v>
      </c>
      <c r="W213" s="51">
        <v>0.12</v>
      </c>
      <c r="X213" s="357" t="s">
        <v>53</v>
      </c>
      <c r="Z213" s="5" t="s">
        <v>52</v>
      </c>
      <c r="AA213" s="112" t="s">
        <v>24</v>
      </c>
    </row>
    <row r="214" spans="1:29" x14ac:dyDescent="0.25">
      <c r="A214" s="329">
        <v>45914</v>
      </c>
      <c r="B214" s="5">
        <v>4</v>
      </c>
      <c r="D214" s="5" t="s">
        <v>227</v>
      </c>
      <c r="E214" s="6">
        <v>1.59</v>
      </c>
      <c r="G214" s="362">
        <v>2</v>
      </c>
      <c r="H214" s="362">
        <v>0</v>
      </c>
      <c r="I214" s="8">
        <v>1.0900000000000001</v>
      </c>
      <c r="L214" s="5" t="s">
        <v>70</v>
      </c>
      <c r="N214" s="476" t="s">
        <v>35</v>
      </c>
      <c r="O214" s="477" t="s">
        <v>227</v>
      </c>
      <c r="P214" s="478" t="s">
        <v>328</v>
      </c>
      <c r="Q214" s="478" t="s">
        <v>75</v>
      </c>
      <c r="R214" s="478" t="s">
        <v>696</v>
      </c>
      <c r="S214" s="479">
        <v>69</v>
      </c>
      <c r="T214" s="478" t="s">
        <v>41</v>
      </c>
      <c r="U214" s="478" t="s">
        <v>42</v>
      </c>
      <c r="V214" s="480" t="s">
        <v>18</v>
      </c>
      <c r="W214" s="51">
        <v>0.11</v>
      </c>
      <c r="X214" s="357" t="s">
        <v>53</v>
      </c>
      <c r="Z214" s="5" t="s">
        <v>52</v>
      </c>
      <c r="AA214" s="112" t="s">
        <v>24</v>
      </c>
    </row>
    <row r="215" spans="1:29" ht="15.75" thickBot="1" x14ac:dyDescent="0.3">
      <c r="A215" s="330">
        <v>45914</v>
      </c>
      <c r="B215" s="9">
        <v>4</v>
      </c>
      <c r="C215" s="122"/>
      <c r="D215" s="9" t="s">
        <v>227</v>
      </c>
      <c r="E215" s="10">
        <v>1.59</v>
      </c>
      <c r="F215" s="10"/>
      <c r="G215" s="383">
        <v>2</v>
      </c>
      <c r="H215" s="383">
        <v>0</v>
      </c>
      <c r="I215" s="12">
        <v>1.0900000000000001</v>
      </c>
      <c r="J215" s="12"/>
      <c r="K215" s="122"/>
      <c r="L215" s="9" t="s">
        <v>70</v>
      </c>
      <c r="M215" s="45"/>
      <c r="N215" s="346" t="s">
        <v>31</v>
      </c>
      <c r="O215" s="454" t="s">
        <v>70</v>
      </c>
      <c r="P215" s="9" t="s">
        <v>76</v>
      </c>
      <c r="Q215" s="9" t="s">
        <v>77</v>
      </c>
      <c r="R215" s="9" t="s">
        <v>686</v>
      </c>
      <c r="S215" s="479">
        <v>62</v>
      </c>
      <c r="T215" s="9" t="s">
        <v>44</v>
      </c>
      <c r="U215" s="9" t="s">
        <v>43</v>
      </c>
      <c r="V215" s="58" t="s">
        <v>20</v>
      </c>
      <c r="W215" s="52">
        <v>0.02</v>
      </c>
      <c r="X215" s="358">
        <v>0.24</v>
      </c>
      <c r="Y215" s="352"/>
      <c r="Z215" s="9" t="s">
        <v>48</v>
      </c>
      <c r="AA215" s="113" t="s">
        <v>24</v>
      </c>
      <c r="AB215" s="109"/>
      <c r="AC215" s="58"/>
    </row>
    <row r="216" spans="1:29" ht="15.75" thickBot="1" x14ac:dyDescent="0.3">
      <c r="A216" s="326">
        <v>45914</v>
      </c>
      <c r="B216" s="207">
        <v>4</v>
      </c>
      <c r="C216" s="208"/>
      <c r="D216" s="207" t="s">
        <v>227</v>
      </c>
      <c r="E216" s="209">
        <v>1.59</v>
      </c>
      <c r="F216" s="209"/>
      <c r="G216" s="460">
        <v>2</v>
      </c>
      <c r="H216" s="460">
        <v>0</v>
      </c>
      <c r="I216" s="211">
        <v>1.0900000000000001</v>
      </c>
      <c r="J216" s="211"/>
      <c r="K216" s="208"/>
      <c r="L216" s="207" t="s">
        <v>70</v>
      </c>
      <c r="M216" s="235"/>
      <c r="N216" s="347"/>
      <c r="O216" s="343" t="s">
        <v>227</v>
      </c>
      <c r="P216" s="199" t="s">
        <v>733</v>
      </c>
      <c r="Q216" s="199" t="s">
        <v>86</v>
      </c>
      <c r="R216" s="199" t="s">
        <v>707</v>
      </c>
      <c r="S216" s="479">
        <v>78</v>
      </c>
      <c r="T216" s="199"/>
      <c r="U216" s="199"/>
      <c r="V216" s="201"/>
      <c r="W216" s="202"/>
      <c r="X216" s="359"/>
      <c r="Y216" s="353">
        <v>0</v>
      </c>
      <c r="Z216" s="199"/>
      <c r="AA216" s="204"/>
      <c r="AB216" s="205"/>
      <c r="AC216" s="201"/>
    </row>
    <row r="217" spans="1:29" ht="15.75" thickBot="1" x14ac:dyDescent="0.3">
      <c r="A217" s="326">
        <v>45914</v>
      </c>
      <c r="B217" s="207">
        <v>4</v>
      </c>
      <c r="C217" s="208"/>
      <c r="D217" s="207" t="s">
        <v>227</v>
      </c>
      <c r="E217" s="209">
        <v>1.59</v>
      </c>
      <c r="F217" s="209"/>
      <c r="G217" s="460">
        <v>2</v>
      </c>
      <c r="H217" s="460">
        <v>0</v>
      </c>
      <c r="I217" s="211">
        <v>1.0900000000000001</v>
      </c>
      <c r="J217" s="211"/>
      <c r="K217" s="208"/>
      <c r="L217" s="207" t="s">
        <v>70</v>
      </c>
      <c r="M217" s="235"/>
      <c r="N217" s="347"/>
      <c r="O217" s="343" t="s">
        <v>70</v>
      </c>
      <c r="P217" s="199" t="s">
        <v>714</v>
      </c>
      <c r="Q217" s="199" t="s">
        <v>715</v>
      </c>
      <c r="R217" s="199" t="s">
        <v>707</v>
      </c>
      <c r="S217" s="479">
        <v>65</v>
      </c>
      <c r="T217" s="199"/>
      <c r="U217" s="199"/>
      <c r="V217" s="201"/>
      <c r="W217" s="202"/>
      <c r="X217" s="359"/>
      <c r="Y217" s="353">
        <v>2</v>
      </c>
      <c r="Z217" s="199"/>
      <c r="AA217" s="204"/>
      <c r="AB217" s="205"/>
      <c r="AC217" s="201"/>
    </row>
    <row r="218" spans="1:29" x14ac:dyDescent="0.25">
      <c r="A218" s="331">
        <v>45924</v>
      </c>
      <c r="B218" s="13">
        <v>6</v>
      </c>
      <c r="C218" s="124" t="s">
        <v>701</v>
      </c>
      <c r="D218" s="13" t="s">
        <v>193</v>
      </c>
      <c r="E218" s="14">
        <v>3.61</v>
      </c>
      <c r="F218" s="14"/>
      <c r="G218" s="375">
        <v>3</v>
      </c>
      <c r="H218" s="375">
        <v>2</v>
      </c>
      <c r="I218" s="16">
        <v>1.6</v>
      </c>
      <c r="J218" s="16"/>
      <c r="K218" s="124" t="s">
        <v>694</v>
      </c>
      <c r="L218" s="13" t="s">
        <v>70</v>
      </c>
      <c r="M218" s="47"/>
      <c r="N218" s="556">
        <v>12</v>
      </c>
      <c r="O218" s="557" t="s">
        <v>193</v>
      </c>
      <c r="P218" s="558" t="s">
        <v>206</v>
      </c>
      <c r="Q218" s="558" t="s">
        <v>207</v>
      </c>
      <c r="R218" s="558" t="s">
        <v>718</v>
      </c>
      <c r="S218" s="479">
        <v>65</v>
      </c>
      <c r="T218" s="558" t="s">
        <v>41</v>
      </c>
      <c r="U218" s="558" t="s">
        <v>42</v>
      </c>
      <c r="V218" s="559" t="s">
        <v>10</v>
      </c>
      <c r="W218" s="54">
        <v>0.09</v>
      </c>
      <c r="X218" s="361">
        <v>0.17</v>
      </c>
      <c r="Y218" s="355"/>
      <c r="Z218" s="13" t="s">
        <v>48</v>
      </c>
      <c r="AA218" s="115" t="s">
        <v>28</v>
      </c>
      <c r="AB218" s="110"/>
      <c r="AC218" s="60"/>
    </row>
    <row r="219" spans="1:29" x14ac:dyDescent="0.25">
      <c r="A219" s="329">
        <v>45924</v>
      </c>
      <c r="B219" s="5">
        <v>6</v>
      </c>
      <c r="D219" s="5" t="s">
        <v>193</v>
      </c>
      <c r="E219" s="6">
        <v>3.61</v>
      </c>
      <c r="G219" s="362">
        <v>3</v>
      </c>
      <c r="H219" s="362">
        <v>2</v>
      </c>
      <c r="I219" s="8">
        <v>1.6</v>
      </c>
      <c r="L219" s="5" t="s">
        <v>70</v>
      </c>
      <c r="N219" s="476">
        <v>15</v>
      </c>
      <c r="O219" s="477" t="s">
        <v>193</v>
      </c>
      <c r="P219" s="478" t="s">
        <v>200</v>
      </c>
      <c r="Q219" s="478" t="s">
        <v>201</v>
      </c>
      <c r="R219" s="478" t="s">
        <v>717</v>
      </c>
      <c r="S219" s="479">
        <v>96</v>
      </c>
      <c r="T219" s="478" t="s">
        <v>41</v>
      </c>
      <c r="U219" s="478" t="s">
        <v>43</v>
      </c>
      <c r="V219" s="480" t="s">
        <v>10</v>
      </c>
      <c r="W219" s="51">
        <v>0.34</v>
      </c>
      <c r="X219" s="357">
        <v>0.86</v>
      </c>
      <c r="Y219" s="351" t="s">
        <v>353</v>
      </c>
      <c r="Z219" s="5" t="s">
        <v>8</v>
      </c>
      <c r="AA219" s="112" t="s">
        <v>19</v>
      </c>
      <c r="AB219" s="108" t="s">
        <v>259</v>
      </c>
      <c r="AC219" s="57" t="s">
        <v>260</v>
      </c>
    </row>
    <row r="220" spans="1:29" x14ac:dyDescent="0.25">
      <c r="A220" s="329">
        <v>45924</v>
      </c>
      <c r="B220" s="5">
        <v>6</v>
      </c>
      <c r="D220" s="5" t="s">
        <v>193</v>
      </c>
      <c r="E220" s="6">
        <v>3.61</v>
      </c>
      <c r="G220" s="362">
        <v>3</v>
      </c>
      <c r="H220" s="362">
        <v>2</v>
      </c>
      <c r="I220" s="8">
        <v>1.6</v>
      </c>
      <c r="L220" s="5" t="s">
        <v>70</v>
      </c>
      <c r="N220" s="345">
        <v>32</v>
      </c>
      <c r="O220" s="38" t="s">
        <v>70</v>
      </c>
      <c r="P220" s="5" t="s">
        <v>76</v>
      </c>
      <c r="Q220" s="5" t="s">
        <v>77</v>
      </c>
      <c r="R220" s="5" t="s">
        <v>718</v>
      </c>
      <c r="S220" s="479">
        <v>73</v>
      </c>
      <c r="T220" s="5" t="s">
        <v>354</v>
      </c>
      <c r="U220" s="5" t="s">
        <v>43</v>
      </c>
      <c r="V220" s="57" t="s">
        <v>20</v>
      </c>
      <c r="W220" s="51">
        <v>0.01</v>
      </c>
      <c r="X220" s="357" t="s">
        <v>53</v>
      </c>
      <c r="Z220" s="5" t="s">
        <v>22</v>
      </c>
      <c r="AA220" s="112" t="s">
        <v>19</v>
      </c>
    </row>
    <row r="221" spans="1:29" x14ac:dyDescent="0.25">
      <c r="A221" s="329">
        <v>45924</v>
      </c>
      <c r="B221" s="5">
        <v>6</v>
      </c>
      <c r="D221" s="5" t="s">
        <v>193</v>
      </c>
      <c r="E221" s="6">
        <v>3.61</v>
      </c>
      <c r="G221" s="362">
        <v>3</v>
      </c>
      <c r="H221" s="362">
        <v>2</v>
      </c>
      <c r="I221" s="8">
        <v>1.6</v>
      </c>
      <c r="L221" s="5" t="s">
        <v>70</v>
      </c>
      <c r="N221" s="345">
        <v>35</v>
      </c>
      <c r="O221" s="38" t="s">
        <v>70</v>
      </c>
      <c r="P221" s="5" t="s">
        <v>53</v>
      </c>
      <c r="Q221" s="5" t="s">
        <v>405</v>
      </c>
      <c r="R221" s="5" t="s">
        <v>717</v>
      </c>
      <c r="S221" s="7">
        <v>58</v>
      </c>
      <c r="T221" s="5" t="s">
        <v>41</v>
      </c>
      <c r="U221" s="5" t="s">
        <v>42</v>
      </c>
      <c r="V221" s="57" t="s">
        <v>10</v>
      </c>
      <c r="W221" s="51">
        <v>0.6</v>
      </c>
      <c r="X221" s="357" t="s">
        <v>53</v>
      </c>
      <c r="Y221" s="351" t="s">
        <v>353</v>
      </c>
      <c r="Z221" s="5" t="s">
        <v>13</v>
      </c>
      <c r="AA221" s="112" t="s">
        <v>19</v>
      </c>
    </row>
    <row r="222" spans="1:29" x14ac:dyDescent="0.25">
      <c r="A222" s="329">
        <v>45924</v>
      </c>
      <c r="B222" s="5">
        <v>6</v>
      </c>
      <c r="D222" s="5" t="s">
        <v>193</v>
      </c>
      <c r="E222" s="6">
        <v>3.61</v>
      </c>
      <c r="G222" s="362">
        <v>3</v>
      </c>
      <c r="H222" s="362">
        <v>2</v>
      </c>
      <c r="I222" s="8">
        <v>1.6</v>
      </c>
      <c r="L222" s="5" t="s">
        <v>70</v>
      </c>
      <c r="N222" s="476">
        <v>39</v>
      </c>
      <c r="O222" s="477" t="s">
        <v>193</v>
      </c>
      <c r="P222" s="478" t="s">
        <v>200</v>
      </c>
      <c r="Q222" s="478" t="s">
        <v>201</v>
      </c>
      <c r="R222" s="478" t="s">
        <v>717</v>
      </c>
      <c r="S222" s="479">
        <v>96</v>
      </c>
      <c r="T222" s="478" t="s">
        <v>41</v>
      </c>
      <c r="U222" s="478" t="s">
        <v>43</v>
      </c>
      <c r="V222" s="480" t="s">
        <v>10</v>
      </c>
      <c r="W222" s="51">
        <v>0.52</v>
      </c>
      <c r="X222" s="357" t="s">
        <v>53</v>
      </c>
      <c r="Z222" s="5" t="s">
        <v>13</v>
      </c>
      <c r="AA222" s="112" t="s">
        <v>19</v>
      </c>
    </row>
    <row r="223" spans="1:29" x14ac:dyDescent="0.25">
      <c r="A223" s="329">
        <v>45924</v>
      </c>
      <c r="B223" s="5">
        <v>6</v>
      </c>
      <c r="D223" s="5" t="s">
        <v>193</v>
      </c>
      <c r="E223" s="6">
        <v>3.61</v>
      </c>
      <c r="G223" s="362">
        <v>3</v>
      </c>
      <c r="H223" s="362">
        <v>2</v>
      </c>
      <c r="I223" s="8">
        <v>1.6</v>
      </c>
      <c r="L223" s="5" t="s">
        <v>70</v>
      </c>
      <c r="N223" s="345" t="s">
        <v>68</v>
      </c>
      <c r="O223" s="38" t="s">
        <v>70</v>
      </c>
      <c r="P223" s="5" t="s">
        <v>80</v>
      </c>
      <c r="Q223" s="5" t="s">
        <v>81</v>
      </c>
      <c r="R223" s="5" t="s">
        <v>688</v>
      </c>
      <c r="S223" s="7">
        <v>77</v>
      </c>
      <c r="T223" s="5" t="s">
        <v>354</v>
      </c>
      <c r="U223" s="5" t="s">
        <v>43</v>
      </c>
      <c r="V223" s="57" t="s">
        <v>10</v>
      </c>
      <c r="W223" s="51">
        <v>0.01</v>
      </c>
      <c r="X223" s="357">
        <v>0.17</v>
      </c>
      <c r="Y223" s="351" t="s">
        <v>353</v>
      </c>
      <c r="Z223" s="5" t="s">
        <v>8</v>
      </c>
      <c r="AA223" s="112" t="s">
        <v>51</v>
      </c>
      <c r="AB223" s="108" t="s">
        <v>269</v>
      </c>
      <c r="AC223" s="57" t="s">
        <v>150</v>
      </c>
    </row>
    <row r="224" spans="1:29" x14ac:dyDescent="0.25">
      <c r="A224" s="329">
        <v>45924</v>
      </c>
      <c r="B224" s="5">
        <v>6</v>
      </c>
      <c r="D224" s="5" t="s">
        <v>193</v>
      </c>
      <c r="E224" s="6">
        <v>3.61</v>
      </c>
      <c r="G224" s="362">
        <v>3</v>
      </c>
      <c r="H224" s="362">
        <v>2</v>
      </c>
      <c r="I224" s="8">
        <v>1.6</v>
      </c>
      <c r="L224" s="5" t="s">
        <v>70</v>
      </c>
      <c r="N224" s="476">
        <v>50</v>
      </c>
      <c r="O224" s="477" t="s">
        <v>193</v>
      </c>
      <c r="P224" s="478" t="s">
        <v>259</v>
      </c>
      <c r="Q224" s="478" t="s">
        <v>260</v>
      </c>
      <c r="R224" s="478" t="s">
        <v>713</v>
      </c>
      <c r="S224" s="479">
        <v>75</v>
      </c>
      <c r="T224" s="478" t="s">
        <v>41</v>
      </c>
      <c r="U224" s="478" t="s">
        <v>43</v>
      </c>
      <c r="V224" s="480" t="s">
        <v>540</v>
      </c>
      <c r="W224" s="51">
        <v>0.1</v>
      </c>
      <c r="X224" s="357">
        <v>0.08</v>
      </c>
      <c r="Z224" s="5" t="s">
        <v>48</v>
      </c>
      <c r="AA224" s="112" t="s">
        <v>51</v>
      </c>
    </row>
    <row r="225" spans="1:29" x14ac:dyDescent="0.25">
      <c r="A225" s="329">
        <v>45924</v>
      </c>
      <c r="B225" s="5">
        <v>6</v>
      </c>
      <c r="D225" s="5" t="s">
        <v>193</v>
      </c>
      <c r="E225" s="6">
        <v>3.61</v>
      </c>
      <c r="G225" s="362">
        <v>3</v>
      </c>
      <c r="H225" s="362">
        <v>2</v>
      </c>
      <c r="I225" s="8">
        <v>1.6</v>
      </c>
      <c r="L225" s="5" t="s">
        <v>70</v>
      </c>
      <c r="N225" s="345">
        <v>53</v>
      </c>
      <c r="O225" s="38" t="s">
        <v>70</v>
      </c>
      <c r="P225" s="5" t="s">
        <v>76</v>
      </c>
      <c r="Q225" s="5" t="s">
        <v>77</v>
      </c>
      <c r="R225" s="5" t="s">
        <v>718</v>
      </c>
      <c r="S225" s="459">
        <v>73</v>
      </c>
      <c r="T225" s="5" t="s">
        <v>41</v>
      </c>
      <c r="U225" s="5" t="s">
        <v>43</v>
      </c>
      <c r="V225" s="57" t="s">
        <v>540</v>
      </c>
      <c r="W225" s="51">
        <v>0.32</v>
      </c>
      <c r="X225" s="357">
        <v>0.23</v>
      </c>
      <c r="Y225" s="351" t="s">
        <v>353</v>
      </c>
      <c r="Z225" s="5" t="s">
        <v>48</v>
      </c>
      <c r="AA225" s="112" t="s">
        <v>51</v>
      </c>
    </row>
    <row r="226" spans="1:29" x14ac:dyDescent="0.25">
      <c r="A226" s="329">
        <v>45924</v>
      </c>
      <c r="B226" s="5">
        <v>6</v>
      </c>
      <c r="D226" s="5" t="s">
        <v>193</v>
      </c>
      <c r="E226" s="6">
        <v>3.61</v>
      </c>
      <c r="G226" s="362">
        <v>3</v>
      </c>
      <c r="H226" s="362">
        <v>2</v>
      </c>
      <c r="I226" s="8">
        <v>1.6</v>
      </c>
      <c r="L226" s="5" t="s">
        <v>70</v>
      </c>
      <c r="N226" s="476">
        <v>59</v>
      </c>
      <c r="O226" s="477" t="s">
        <v>193</v>
      </c>
      <c r="P226" s="478" t="s">
        <v>96</v>
      </c>
      <c r="Q226" s="478" t="s">
        <v>327</v>
      </c>
      <c r="R226" s="478" t="s">
        <v>696</v>
      </c>
      <c r="S226" s="481">
        <v>64</v>
      </c>
      <c r="T226" s="478" t="s">
        <v>41</v>
      </c>
      <c r="U226" s="478" t="s">
        <v>45</v>
      </c>
      <c r="V226" s="480" t="s">
        <v>10</v>
      </c>
      <c r="W226" s="51">
        <v>0.18</v>
      </c>
      <c r="X226" s="357" t="s">
        <v>53</v>
      </c>
      <c r="Y226" s="351" t="s">
        <v>353</v>
      </c>
      <c r="Z226" s="5" t="s">
        <v>22</v>
      </c>
      <c r="AA226" s="112" t="s">
        <v>51</v>
      </c>
    </row>
    <row r="227" spans="1:29" x14ac:dyDescent="0.25">
      <c r="A227" s="329">
        <v>45924</v>
      </c>
      <c r="B227" s="5">
        <v>6</v>
      </c>
      <c r="D227" s="5" t="s">
        <v>193</v>
      </c>
      <c r="E227" s="6">
        <v>3.61</v>
      </c>
      <c r="G227" s="362">
        <v>3</v>
      </c>
      <c r="H227" s="362">
        <v>2</v>
      </c>
      <c r="I227" s="8">
        <v>1.6</v>
      </c>
      <c r="L227" s="5" t="s">
        <v>70</v>
      </c>
      <c r="N227" s="476">
        <v>67</v>
      </c>
      <c r="O227" s="477" t="s">
        <v>193</v>
      </c>
      <c r="P227" s="478" t="s">
        <v>204</v>
      </c>
      <c r="Q227" s="478" t="s">
        <v>205</v>
      </c>
      <c r="R227" s="478" t="s">
        <v>696</v>
      </c>
      <c r="S227" s="479">
        <v>70</v>
      </c>
      <c r="T227" s="478" t="s">
        <v>41</v>
      </c>
      <c r="U227" s="478" t="s">
        <v>42</v>
      </c>
      <c r="V227" s="480" t="s">
        <v>18</v>
      </c>
      <c r="W227" s="51">
        <v>0.2</v>
      </c>
      <c r="X227" s="357">
        <v>0.57999999999999996</v>
      </c>
      <c r="Z227" s="5" t="s">
        <v>48</v>
      </c>
      <c r="AA227" s="112" t="s">
        <v>51</v>
      </c>
    </row>
    <row r="228" spans="1:29" x14ac:dyDescent="0.25">
      <c r="A228" s="329">
        <v>45924</v>
      </c>
      <c r="B228" s="5">
        <v>6</v>
      </c>
      <c r="D228" s="5" t="s">
        <v>193</v>
      </c>
      <c r="E228" s="6">
        <v>3.61</v>
      </c>
      <c r="G228" s="362">
        <v>3</v>
      </c>
      <c r="H228" s="362">
        <v>2</v>
      </c>
      <c r="I228" s="8">
        <v>1.6</v>
      </c>
      <c r="L228" s="5" t="s">
        <v>70</v>
      </c>
      <c r="N228" s="345">
        <v>77</v>
      </c>
      <c r="O228" s="38" t="s">
        <v>70</v>
      </c>
      <c r="P228" s="5" t="s">
        <v>74</v>
      </c>
      <c r="Q228" s="5" t="s">
        <v>75</v>
      </c>
      <c r="R228" s="5" t="s">
        <v>696</v>
      </c>
      <c r="S228" s="7">
        <v>69</v>
      </c>
      <c r="T228" s="5" t="s">
        <v>41</v>
      </c>
      <c r="U228" s="5" t="s">
        <v>42</v>
      </c>
      <c r="V228" s="57" t="s">
        <v>18</v>
      </c>
      <c r="W228" s="51">
        <v>0.57999999999999996</v>
      </c>
      <c r="X228" s="357">
        <v>0.99</v>
      </c>
      <c r="Y228" s="351" t="s">
        <v>353</v>
      </c>
      <c r="Z228" s="5" t="s">
        <v>8</v>
      </c>
      <c r="AA228" s="112" t="s">
        <v>67</v>
      </c>
      <c r="AB228" s="108" t="s">
        <v>76</v>
      </c>
      <c r="AC228" s="57" t="s">
        <v>77</v>
      </c>
    </row>
    <row r="229" spans="1:29" x14ac:dyDescent="0.25">
      <c r="A229" s="329">
        <v>45924</v>
      </c>
      <c r="B229" s="5">
        <v>6</v>
      </c>
      <c r="D229" s="5" t="s">
        <v>193</v>
      </c>
      <c r="E229" s="6">
        <v>3.61</v>
      </c>
      <c r="G229" s="362">
        <v>3</v>
      </c>
      <c r="H229" s="362">
        <v>2</v>
      </c>
      <c r="I229" s="8">
        <v>1.6</v>
      </c>
      <c r="L229" s="5" t="s">
        <v>70</v>
      </c>
      <c r="N229" s="476">
        <v>80</v>
      </c>
      <c r="O229" s="477" t="s">
        <v>193</v>
      </c>
      <c r="P229" s="478" t="s">
        <v>204</v>
      </c>
      <c r="Q229" s="478" t="s">
        <v>205</v>
      </c>
      <c r="R229" s="478" t="s">
        <v>696</v>
      </c>
      <c r="S229" s="479">
        <v>70</v>
      </c>
      <c r="T229" s="478" t="s">
        <v>47</v>
      </c>
      <c r="U229" s="478" t="s">
        <v>45</v>
      </c>
      <c r="V229" s="480" t="s">
        <v>10</v>
      </c>
      <c r="W229" s="51">
        <v>0.06</v>
      </c>
      <c r="X229" s="357">
        <v>0.27</v>
      </c>
      <c r="Z229" s="5" t="s">
        <v>48</v>
      </c>
      <c r="AA229" s="112" t="s">
        <v>67</v>
      </c>
    </row>
    <row r="230" spans="1:29" x14ac:dyDescent="0.25">
      <c r="A230" s="329">
        <v>45924</v>
      </c>
      <c r="B230" s="5">
        <v>6</v>
      </c>
      <c r="D230" s="5" t="s">
        <v>193</v>
      </c>
      <c r="E230" s="6">
        <v>3.61</v>
      </c>
      <c r="G230" s="362">
        <v>3</v>
      </c>
      <c r="H230" s="362">
        <v>2</v>
      </c>
      <c r="I230" s="8">
        <v>1.6</v>
      </c>
      <c r="L230" s="5" t="s">
        <v>70</v>
      </c>
      <c r="N230" s="476">
        <v>80</v>
      </c>
      <c r="O230" s="477" t="s">
        <v>193</v>
      </c>
      <c r="P230" s="478" t="s">
        <v>200</v>
      </c>
      <c r="Q230" s="478" t="s">
        <v>201</v>
      </c>
      <c r="R230" s="478" t="s">
        <v>717</v>
      </c>
      <c r="S230" s="479">
        <v>96</v>
      </c>
      <c r="T230" s="478" t="s">
        <v>47</v>
      </c>
      <c r="U230" s="478" t="s">
        <v>42</v>
      </c>
      <c r="V230" s="480" t="s">
        <v>540</v>
      </c>
      <c r="W230" s="51">
        <v>0.27</v>
      </c>
      <c r="X230" s="357">
        <v>0.71</v>
      </c>
      <c r="Y230" s="351" t="s">
        <v>353</v>
      </c>
      <c r="Z230" s="5" t="s">
        <v>8</v>
      </c>
      <c r="AA230" s="112" t="s">
        <v>189</v>
      </c>
    </row>
    <row r="231" spans="1:29" x14ac:dyDescent="0.25">
      <c r="A231" s="329">
        <v>45924</v>
      </c>
      <c r="B231" s="5">
        <v>6</v>
      </c>
      <c r="D231" s="5" t="s">
        <v>193</v>
      </c>
      <c r="E231" s="6">
        <v>3.61</v>
      </c>
      <c r="G231" s="362">
        <v>3</v>
      </c>
      <c r="H231" s="362">
        <v>2</v>
      </c>
      <c r="I231" s="8">
        <v>1.6</v>
      </c>
      <c r="L231" s="5" t="s">
        <v>70</v>
      </c>
      <c r="N231" s="476">
        <v>83</v>
      </c>
      <c r="O231" s="477" t="s">
        <v>193</v>
      </c>
      <c r="P231" s="478" t="s">
        <v>204</v>
      </c>
      <c r="Q231" s="478" t="s">
        <v>205</v>
      </c>
      <c r="R231" s="478" t="s">
        <v>696</v>
      </c>
      <c r="S231" s="479">
        <v>70</v>
      </c>
      <c r="T231" s="478" t="s">
        <v>47</v>
      </c>
      <c r="U231" s="478" t="s">
        <v>42</v>
      </c>
      <c r="V231" s="480" t="s">
        <v>10</v>
      </c>
      <c r="W231" s="51">
        <v>0.43</v>
      </c>
      <c r="X231" s="357" t="s">
        <v>53</v>
      </c>
      <c r="Y231" s="351" t="s">
        <v>353</v>
      </c>
      <c r="Z231" s="5" t="s">
        <v>17</v>
      </c>
      <c r="AA231" s="112" t="s">
        <v>189</v>
      </c>
    </row>
    <row r="232" spans="1:29" x14ac:dyDescent="0.25">
      <c r="A232" s="329">
        <v>45924</v>
      </c>
      <c r="B232" s="5">
        <v>6</v>
      </c>
      <c r="D232" s="5" t="s">
        <v>193</v>
      </c>
      <c r="E232" s="6">
        <v>3.61</v>
      </c>
      <c r="G232" s="362">
        <v>3</v>
      </c>
      <c r="H232" s="362">
        <v>2</v>
      </c>
      <c r="I232" s="8">
        <v>1.6</v>
      </c>
      <c r="L232" s="5" t="s">
        <v>70</v>
      </c>
      <c r="N232" s="476">
        <v>83</v>
      </c>
      <c r="O232" s="477" t="s">
        <v>193</v>
      </c>
      <c r="P232" s="478" t="s">
        <v>316</v>
      </c>
      <c r="Q232" s="478" t="s">
        <v>317</v>
      </c>
      <c r="R232" s="478" t="s">
        <v>712</v>
      </c>
      <c r="S232" s="479">
        <v>69</v>
      </c>
      <c r="T232" s="478" t="s">
        <v>47</v>
      </c>
      <c r="U232" s="478" t="s">
        <v>45</v>
      </c>
      <c r="V232" s="480" t="s">
        <v>20</v>
      </c>
      <c r="W232" s="51">
        <v>0.18</v>
      </c>
      <c r="X232" s="357" t="s">
        <v>53</v>
      </c>
      <c r="Z232" s="5" t="s">
        <v>13</v>
      </c>
      <c r="AA232" s="112" t="s">
        <v>189</v>
      </c>
    </row>
    <row r="233" spans="1:29" x14ac:dyDescent="0.25">
      <c r="A233" s="329">
        <v>45924</v>
      </c>
      <c r="B233" s="5">
        <v>6</v>
      </c>
      <c r="D233" s="5" t="s">
        <v>193</v>
      </c>
      <c r="E233" s="6">
        <v>3.61</v>
      </c>
      <c r="G233" s="362">
        <v>3</v>
      </c>
      <c r="H233" s="362">
        <v>2</v>
      </c>
      <c r="I233" s="8">
        <v>1.6</v>
      </c>
      <c r="L233" s="5" t="s">
        <v>70</v>
      </c>
      <c r="N233" s="476">
        <v>84</v>
      </c>
      <c r="O233" s="477" t="s">
        <v>193</v>
      </c>
      <c r="P233" s="478" t="s">
        <v>318</v>
      </c>
      <c r="Q233" s="478" t="s">
        <v>319</v>
      </c>
      <c r="R233" s="478" t="s">
        <v>696</v>
      </c>
      <c r="S233" s="479">
        <v>63</v>
      </c>
      <c r="T233" s="478" t="s">
        <v>41</v>
      </c>
      <c r="U233" s="478" t="s">
        <v>42</v>
      </c>
      <c r="V233" s="480" t="s">
        <v>10</v>
      </c>
      <c r="W233" s="51">
        <v>0.38</v>
      </c>
      <c r="X233" s="357" t="s">
        <v>53</v>
      </c>
      <c r="Y233" s="351" t="s">
        <v>353</v>
      </c>
      <c r="Z233" s="5" t="s">
        <v>13</v>
      </c>
      <c r="AA233" s="112" t="s">
        <v>189</v>
      </c>
    </row>
    <row r="234" spans="1:29" x14ac:dyDescent="0.25">
      <c r="A234" s="329">
        <v>45924</v>
      </c>
      <c r="B234" s="5">
        <v>6</v>
      </c>
      <c r="D234" s="5" t="s">
        <v>193</v>
      </c>
      <c r="E234" s="6">
        <v>3.61</v>
      </c>
      <c r="G234" s="362">
        <v>3</v>
      </c>
      <c r="H234" s="362">
        <v>2</v>
      </c>
      <c r="I234" s="8">
        <v>1.6</v>
      </c>
      <c r="L234" s="5" t="s">
        <v>70</v>
      </c>
      <c r="N234" s="476">
        <v>88</v>
      </c>
      <c r="O234" s="477" t="s">
        <v>193</v>
      </c>
      <c r="P234" s="478" t="s">
        <v>200</v>
      </c>
      <c r="Q234" s="478" t="s">
        <v>201</v>
      </c>
      <c r="R234" s="478" t="s">
        <v>717</v>
      </c>
      <c r="S234" s="479">
        <v>96</v>
      </c>
      <c r="T234" s="478" t="s">
        <v>354</v>
      </c>
      <c r="U234" s="478" t="s">
        <v>43</v>
      </c>
      <c r="V234" s="480" t="s">
        <v>10</v>
      </c>
      <c r="W234" s="51">
        <v>0.04</v>
      </c>
      <c r="X234" s="357">
        <v>0.36</v>
      </c>
      <c r="Z234" s="5" t="s">
        <v>8</v>
      </c>
      <c r="AA234" s="112" t="s">
        <v>180</v>
      </c>
      <c r="AB234" s="108" t="s">
        <v>204</v>
      </c>
      <c r="AC234" s="57" t="s">
        <v>205</v>
      </c>
    </row>
    <row r="235" spans="1:29" ht="15.75" thickBot="1" x14ac:dyDescent="0.3">
      <c r="A235" s="330">
        <v>45924</v>
      </c>
      <c r="B235" s="9">
        <v>6</v>
      </c>
      <c r="C235" s="122"/>
      <c r="D235" s="9" t="s">
        <v>193</v>
      </c>
      <c r="E235" s="10">
        <v>3.61</v>
      </c>
      <c r="F235" s="10"/>
      <c r="G235" s="383">
        <v>3</v>
      </c>
      <c r="H235" s="383">
        <v>2</v>
      </c>
      <c r="I235" s="12">
        <v>1.6</v>
      </c>
      <c r="J235" s="12"/>
      <c r="K235" s="122"/>
      <c r="L235" s="9" t="s">
        <v>70</v>
      </c>
      <c r="M235" s="45"/>
      <c r="N235" s="511" t="s">
        <v>57</v>
      </c>
      <c r="O235" s="512" t="s">
        <v>193</v>
      </c>
      <c r="P235" s="513" t="s">
        <v>204</v>
      </c>
      <c r="Q235" s="513" t="s">
        <v>205</v>
      </c>
      <c r="R235" s="513" t="s">
        <v>696</v>
      </c>
      <c r="S235" s="479">
        <v>70</v>
      </c>
      <c r="T235" s="513" t="s">
        <v>41</v>
      </c>
      <c r="U235" s="513" t="s">
        <v>42</v>
      </c>
      <c r="V235" s="514" t="s">
        <v>10</v>
      </c>
      <c r="W235" s="52">
        <v>0.61</v>
      </c>
      <c r="X235" s="358" t="s">
        <v>53</v>
      </c>
      <c r="Y235" s="352" t="s">
        <v>353</v>
      </c>
      <c r="Z235" s="9" t="s">
        <v>13</v>
      </c>
      <c r="AA235" s="113" t="s">
        <v>180</v>
      </c>
      <c r="AB235" s="109"/>
      <c r="AC235" s="58"/>
    </row>
    <row r="236" spans="1:29" ht="15.75" thickBot="1" x14ac:dyDescent="0.3">
      <c r="A236" s="326">
        <v>45924</v>
      </c>
      <c r="B236" s="207">
        <v>6</v>
      </c>
      <c r="C236" s="208"/>
      <c r="D236" s="207" t="s">
        <v>193</v>
      </c>
      <c r="E236" s="209">
        <v>3.61</v>
      </c>
      <c r="F236" s="209"/>
      <c r="G236" s="460">
        <v>3</v>
      </c>
      <c r="H236" s="460">
        <v>2</v>
      </c>
      <c r="I236" s="211">
        <v>1.6</v>
      </c>
      <c r="J236" s="211"/>
      <c r="K236" s="208"/>
      <c r="L236" s="207" t="s">
        <v>70</v>
      </c>
      <c r="M236" s="235"/>
      <c r="N236" s="347"/>
      <c r="O236" s="343" t="s">
        <v>193</v>
      </c>
      <c r="P236" s="199" t="s">
        <v>580</v>
      </c>
      <c r="Q236" s="199" t="s">
        <v>581</v>
      </c>
      <c r="R236" s="199" t="s">
        <v>707</v>
      </c>
      <c r="S236" s="481">
        <v>60</v>
      </c>
      <c r="T236" s="199"/>
      <c r="U236" s="199"/>
      <c r="V236" s="201"/>
      <c r="W236" s="202"/>
      <c r="X236" s="359"/>
      <c r="Y236" s="353">
        <v>2</v>
      </c>
      <c r="Z236" s="199"/>
      <c r="AA236" s="204"/>
      <c r="AB236" s="205"/>
      <c r="AC236" s="201"/>
    </row>
    <row r="237" spans="1:29" ht="15.75" thickBot="1" x14ac:dyDescent="0.3">
      <c r="A237" s="326">
        <v>45924</v>
      </c>
      <c r="B237" s="207">
        <v>6</v>
      </c>
      <c r="C237" s="208"/>
      <c r="D237" s="207" t="s">
        <v>193</v>
      </c>
      <c r="E237" s="209">
        <v>3.61</v>
      </c>
      <c r="F237" s="209"/>
      <c r="G237" s="460">
        <v>3</v>
      </c>
      <c r="H237" s="460">
        <v>2</v>
      </c>
      <c r="I237" s="211">
        <v>1.6</v>
      </c>
      <c r="J237" s="211"/>
      <c r="K237" s="208"/>
      <c r="L237" s="207" t="s">
        <v>70</v>
      </c>
      <c r="M237" s="235"/>
      <c r="N237" s="347"/>
      <c r="O237" s="343" t="s">
        <v>70</v>
      </c>
      <c r="P237" s="199" t="s">
        <v>714</v>
      </c>
      <c r="Q237" s="199" t="s">
        <v>715</v>
      </c>
      <c r="R237" s="199" t="s">
        <v>707</v>
      </c>
      <c r="S237" s="481">
        <v>62</v>
      </c>
      <c r="T237" s="199"/>
      <c r="U237" s="199"/>
      <c r="V237" s="201"/>
      <c r="W237" s="202"/>
      <c r="X237" s="359"/>
      <c r="Y237" s="353">
        <v>3</v>
      </c>
      <c r="Z237" s="199"/>
      <c r="AA237" s="204"/>
      <c r="AB237" s="205"/>
      <c r="AC237" s="201"/>
    </row>
    <row r="238" spans="1:29" x14ac:dyDescent="0.25">
      <c r="A238" s="331">
        <v>45935</v>
      </c>
      <c r="B238" s="13">
        <v>8</v>
      </c>
      <c r="C238" s="124" t="s">
        <v>697</v>
      </c>
      <c r="D238" s="13" t="s">
        <v>146</v>
      </c>
      <c r="E238" s="14">
        <v>0.79</v>
      </c>
      <c r="F238" s="14"/>
      <c r="G238" s="375">
        <v>0</v>
      </c>
      <c r="H238" s="375">
        <v>1</v>
      </c>
      <c r="I238" s="16">
        <v>0.8</v>
      </c>
      <c r="J238" s="16"/>
      <c r="K238" s="124" t="s">
        <v>693</v>
      </c>
      <c r="L238" s="13" t="s">
        <v>70</v>
      </c>
      <c r="M238" s="47"/>
      <c r="N238" s="349">
        <v>37</v>
      </c>
      <c r="O238" s="458" t="s">
        <v>70</v>
      </c>
      <c r="P238" s="13" t="s">
        <v>458</v>
      </c>
      <c r="Q238" s="13" t="s">
        <v>73</v>
      </c>
      <c r="R238" s="13" t="s">
        <v>686</v>
      </c>
      <c r="S238" s="479">
        <v>64</v>
      </c>
      <c r="T238" s="13" t="s">
        <v>354</v>
      </c>
      <c r="U238" s="13" t="s">
        <v>42</v>
      </c>
      <c r="V238" s="60" t="s">
        <v>540</v>
      </c>
      <c r="W238" s="54">
        <v>0.1</v>
      </c>
      <c r="X238" s="361" t="s">
        <v>53</v>
      </c>
      <c r="Y238" s="355" t="s">
        <v>353</v>
      </c>
      <c r="Z238" s="13" t="s">
        <v>16</v>
      </c>
      <c r="AA238" s="115" t="s">
        <v>28</v>
      </c>
      <c r="AB238" s="110"/>
      <c r="AC238" s="60"/>
    </row>
    <row r="239" spans="1:29" x14ac:dyDescent="0.25">
      <c r="A239" s="329">
        <v>45935</v>
      </c>
      <c r="B239" s="5">
        <v>8</v>
      </c>
      <c r="D239" s="5" t="s">
        <v>146</v>
      </c>
      <c r="E239" s="6">
        <v>0.79</v>
      </c>
      <c r="G239" s="362">
        <v>0</v>
      </c>
      <c r="H239" s="362">
        <v>1</v>
      </c>
      <c r="I239" s="8">
        <v>0.8</v>
      </c>
      <c r="L239" s="5" t="s">
        <v>70</v>
      </c>
      <c r="N239" s="476">
        <v>49</v>
      </c>
      <c r="O239" s="477" t="s">
        <v>146</v>
      </c>
      <c r="P239" s="478" t="s">
        <v>159</v>
      </c>
      <c r="Q239" s="478" t="s">
        <v>160</v>
      </c>
      <c r="R239" s="478" t="s">
        <v>684</v>
      </c>
      <c r="S239" s="479">
        <v>70</v>
      </c>
      <c r="T239" s="478" t="s">
        <v>41</v>
      </c>
      <c r="U239" s="478" t="s">
        <v>43</v>
      </c>
      <c r="V239" s="480" t="s">
        <v>10</v>
      </c>
      <c r="W239" s="51">
        <v>0.12</v>
      </c>
      <c r="X239" s="357" t="s">
        <v>53</v>
      </c>
      <c r="Z239" s="5" t="s">
        <v>52</v>
      </c>
      <c r="AA239" s="112" t="s">
        <v>28</v>
      </c>
    </row>
    <row r="240" spans="1:29" x14ac:dyDescent="0.25">
      <c r="A240" s="329">
        <v>45935</v>
      </c>
      <c r="B240" s="5">
        <v>8</v>
      </c>
      <c r="D240" s="5" t="s">
        <v>146</v>
      </c>
      <c r="E240" s="6">
        <v>0.79</v>
      </c>
      <c r="G240" s="362">
        <v>0</v>
      </c>
      <c r="H240" s="362">
        <v>1</v>
      </c>
      <c r="I240" s="8">
        <v>0.8</v>
      </c>
      <c r="L240" s="5" t="s">
        <v>70</v>
      </c>
      <c r="N240" s="476">
        <v>49</v>
      </c>
      <c r="O240" s="477" t="s">
        <v>146</v>
      </c>
      <c r="P240" s="478" t="s">
        <v>298</v>
      </c>
      <c r="Q240" s="478" t="s">
        <v>422</v>
      </c>
      <c r="R240" s="478" t="s">
        <v>688</v>
      </c>
      <c r="S240" s="479">
        <v>70</v>
      </c>
      <c r="T240" s="478" t="s">
        <v>41</v>
      </c>
      <c r="U240" s="478" t="s">
        <v>43</v>
      </c>
      <c r="V240" s="480" t="s">
        <v>20</v>
      </c>
      <c r="W240" s="51">
        <v>0.13</v>
      </c>
      <c r="X240" s="357" t="s">
        <v>53</v>
      </c>
      <c r="Y240" s="351" t="s">
        <v>353</v>
      </c>
      <c r="Z240" s="5" t="s">
        <v>52</v>
      </c>
      <c r="AA240" s="112" t="s">
        <v>28</v>
      </c>
    </row>
    <row r="241" spans="1:29" x14ac:dyDescent="0.25">
      <c r="A241" s="329">
        <v>45935</v>
      </c>
      <c r="B241" s="5">
        <v>8</v>
      </c>
      <c r="D241" s="5" t="s">
        <v>146</v>
      </c>
      <c r="E241" s="6">
        <v>0.79</v>
      </c>
      <c r="G241" s="362">
        <v>0</v>
      </c>
      <c r="H241" s="362">
        <v>1</v>
      </c>
      <c r="I241" s="8">
        <v>0.8</v>
      </c>
      <c r="L241" s="5" t="s">
        <v>70</v>
      </c>
      <c r="N241" s="476">
        <v>53</v>
      </c>
      <c r="O241" s="477" t="s">
        <v>146</v>
      </c>
      <c r="P241" s="478" t="s">
        <v>159</v>
      </c>
      <c r="Q241" s="478" t="s">
        <v>160</v>
      </c>
      <c r="R241" s="478" t="s">
        <v>684</v>
      </c>
      <c r="S241" s="479">
        <v>70</v>
      </c>
      <c r="T241" s="478" t="s">
        <v>354</v>
      </c>
      <c r="U241" s="478" t="s">
        <v>43</v>
      </c>
      <c r="V241" s="480" t="s">
        <v>10</v>
      </c>
      <c r="W241" s="51">
        <v>0.03</v>
      </c>
      <c r="X241" s="357">
        <v>0.62</v>
      </c>
      <c r="Z241" s="5" t="s">
        <v>48</v>
      </c>
      <c r="AA241" s="112" t="s">
        <v>28</v>
      </c>
    </row>
    <row r="242" spans="1:29" x14ac:dyDescent="0.25">
      <c r="A242" s="329">
        <v>45935</v>
      </c>
      <c r="B242" s="5">
        <v>8</v>
      </c>
      <c r="D242" s="5" t="s">
        <v>146</v>
      </c>
      <c r="E242" s="6">
        <v>0.79</v>
      </c>
      <c r="G242" s="362">
        <v>0</v>
      </c>
      <c r="H242" s="362">
        <v>1</v>
      </c>
      <c r="I242" s="8">
        <v>0.8</v>
      </c>
      <c r="L242" s="5" t="s">
        <v>70</v>
      </c>
      <c r="N242" s="345">
        <v>57</v>
      </c>
      <c r="O242" s="38" t="s">
        <v>70</v>
      </c>
      <c r="P242" s="5" t="s">
        <v>80</v>
      </c>
      <c r="Q242" s="5" t="s">
        <v>81</v>
      </c>
      <c r="R242" s="5" t="s">
        <v>688</v>
      </c>
      <c r="S242" s="481">
        <v>70</v>
      </c>
      <c r="T242" s="5" t="s">
        <v>41</v>
      </c>
      <c r="U242" s="5" t="s">
        <v>43</v>
      </c>
      <c r="V242" s="57" t="s">
        <v>10</v>
      </c>
      <c r="W242" s="51">
        <v>0.12</v>
      </c>
      <c r="X242" s="357" t="s">
        <v>53</v>
      </c>
      <c r="Y242" s="351" t="s">
        <v>353</v>
      </c>
      <c r="Z242" s="5" t="s">
        <v>52</v>
      </c>
      <c r="AA242" s="112" t="s">
        <v>28</v>
      </c>
    </row>
    <row r="243" spans="1:29" x14ac:dyDescent="0.25">
      <c r="A243" s="329">
        <v>45935</v>
      </c>
      <c r="B243" s="5">
        <v>8</v>
      </c>
      <c r="D243" s="5" t="s">
        <v>146</v>
      </c>
      <c r="E243" s="6">
        <v>0.79</v>
      </c>
      <c r="G243" s="362">
        <v>0</v>
      </c>
      <c r="H243" s="362">
        <v>1</v>
      </c>
      <c r="I243" s="8">
        <v>0.8</v>
      </c>
      <c r="L243" s="5" t="s">
        <v>70</v>
      </c>
      <c r="N243" s="476">
        <v>68</v>
      </c>
      <c r="O243" s="477" t="s">
        <v>146</v>
      </c>
      <c r="P243" s="478" t="s">
        <v>159</v>
      </c>
      <c r="Q243" s="478" t="s">
        <v>160</v>
      </c>
      <c r="R243" s="478" t="s">
        <v>684</v>
      </c>
      <c r="S243" s="481">
        <v>70</v>
      </c>
      <c r="T243" s="478" t="s">
        <v>47</v>
      </c>
      <c r="U243" s="478" t="s">
        <v>42</v>
      </c>
      <c r="V243" s="480" t="s">
        <v>18</v>
      </c>
      <c r="W243" s="51">
        <v>0.11</v>
      </c>
      <c r="X243" s="357" t="s">
        <v>53</v>
      </c>
      <c r="Z243" s="5" t="s">
        <v>52</v>
      </c>
      <c r="AA243" s="112" t="s">
        <v>28</v>
      </c>
    </row>
    <row r="244" spans="1:29" x14ac:dyDescent="0.25">
      <c r="A244" s="329">
        <v>45935</v>
      </c>
      <c r="B244" s="5">
        <v>8</v>
      </c>
      <c r="D244" s="5" t="s">
        <v>146</v>
      </c>
      <c r="E244" s="6">
        <v>0.79</v>
      </c>
      <c r="G244" s="362">
        <v>0</v>
      </c>
      <c r="H244" s="362">
        <v>1</v>
      </c>
      <c r="I244" s="8">
        <v>0.8</v>
      </c>
      <c r="L244" s="5" t="s">
        <v>70</v>
      </c>
      <c r="N244" s="345">
        <v>81</v>
      </c>
      <c r="O244" s="38" t="s">
        <v>70</v>
      </c>
      <c r="P244" s="5" t="s">
        <v>457</v>
      </c>
      <c r="Q244" s="5" t="s">
        <v>138</v>
      </c>
      <c r="R244" s="5" t="s">
        <v>696</v>
      </c>
      <c r="S244" s="481">
        <v>63</v>
      </c>
      <c r="T244" s="5" t="s">
        <v>354</v>
      </c>
      <c r="U244" s="5" t="s">
        <v>42</v>
      </c>
      <c r="V244" s="57" t="s">
        <v>33</v>
      </c>
      <c r="W244" s="51">
        <v>0.01</v>
      </c>
      <c r="X244" s="357">
        <v>0.23</v>
      </c>
      <c r="Z244" s="5" t="s">
        <v>48</v>
      </c>
      <c r="AA244" s="112" t="s">
        <v>28</v>
      </c>
    </row>
    <row r="245" spans="1:29" x14ac:dyDescent="0.25">
      <c r="A245" s="329">
        <v>45935</v>
      </c>
      <c r="B245" s="5">
        <v>8</v>
      </c>
      <c r="D245" s="5" t="s">
        <v>146</v>
      </c>
      <c r="E245" s="6">
        <v>0.79</v>
      </c>
      <c r="G245" s="362">
        <v>0</v>
      </c>
      <c r="H245" s="362">
        <v>1</v>
      </c>
      <c r="I245" s="8">
        <v>0.8</v>
      </c>
      <c r="L245" s="5" t="s">
        <v>70</v>
      </c>
      <c r="N245" s="345">
        <v>82</v>
      </c>
      <c r="O245" s="38" t="s">
        <v>70</v>
      </c>
      <c r="P245" s="5" t="s">
        <v>578</v>
      </c>
      <c r="Q245" s="5" t="s">
        <v>579</v>
      </c>
      <c r="R245" s="5" t="s">
        <v>696</v>
      </c>
      <c r="S245" s="479">
        <v>62</v>
      </c>
      <c r="T245" s="5" t="s">
        <v>41</v>
      </c>
      <c r="U245" s="5" t="s">
        <v>45</v>
      </c>
      <c r="V245" s="57" t="s">
        <v>20</v>
      </c>
      <c r="W245" s="51">
        <v>0.04</v>
      </c>
      <c r="X245" s="357" t="s">
        <v>53</v>
      </c>
      <c r="Z245" s="5" t="s">
        <v>16</v>
      </c>
      <c r="AA245" s="112" t="s">
        <v>28</v>
      </c>
    </row>
    <row r="246" spans="1:29" x14ac:dyDescent="0.25">
      <c r="A246" s="329">
        <v>45935</v>
      </c>
      <c r="B246" s="5">
        <v>8</v>
      </c>
      <c r="D246" s="5" t="s">
        <v>146</v>
      </c>
      <c r="E246" s="6">
        <v>0.79</v>
      </c>
      <c r="G246" s="362">
        <v>0</v>
      </c>
      <c r="H246" s="362">
        <v>1</v>
      </c>
      <c r="I246" s="8">
        <v>0.8</v>
      </c>
      <c r="L246" s="5" t="s">
        <v>70</v>
      </c>
      <c r="N246" s="345">
        <v>84</v>
      </c>
      <c r="O246" s="38" t="s">
        <v>70</v>
      </c>
      <c r="P246" s="5" t="s">
        <v>575</v>
      </c>
      <c r="Q246" s="5" t="s">
        <v>576</v>
      </c>
      <c r="R246" s="5" t="s">
        <v>696</v>
      </c>
      <c r="S246" s="479">
        <v>69</v>
      </c>
      <c r="T246" s="5" t="s">
        <v>41</v>
      </c>
      <c r="U246" s="5" t="s">
        <v>43</v>
      </c>
      <c r="V246" s="57" t="s">
        <v>18</v>
      </c>
      <c r="W246" s="51">
        <v>0.43</v>
      </c>
      <c r="X246" s="357">
        <v>0.39</v>
      </c>
      <c r="Y246" s="351" t="s">
        <v>353</v>
      </c>
      <c r="Z246" s="5" t="s">
        <v>8</v>
      </c>
      <c r="AA246" s="112" t="s">
        <v>9</v>
      </c>
      <c r="AB246" s="108" t="s">
        <v>349</v>
      </c>
      <c r="AC246" s="57" t="s">
        <v>350</v>
      </c>
    </row>
    <row r="247" spans="1:29" ht="15.75" thickBot="1" x14ac:dyDescent="0.3">
      <c r="A247" s="330">
        <v>45935</v>
      </c>
      <c r="B247" s="9">
        <v>8</v>
      </c>
      <c r="C247" s="122"/>
      <c r="D247" s="9" t="s">
        <v>146</v>
      </c>
      <c r="E247" s="10">
        <v>0.79</v>
      </c>
      <c r="F247" s="10"/>
      <c r="G247" s="383">
        <v>0</v>
      </c>
      <c r="H247" s="383">
        <v>1</v>
      </c>
      <c r="I247" s="12">
        <v>0.8</v>
      </c>
      <c r="J247" s="12"/>
      <c r="K247" s="122"/>
      <c r="L247" s="9" t="s">
        <v>70</v>
      </c>
      <c r="M247" s="45"/>
      <c r="N247" s="511" t="s">
        <v>57</v>
      </c>
      <c r="O247" s="512" t="s">
        <v>146</v>
      </c>
      <c r="P247" s="513" t="s">
        <v>419</v>
      </c>
      <c r="Q247" s="513" t="s">
        <v>577</v>
      </c>
      <c r="R247" s="513" t="s">
        <v>696</v>
      </c>
      <c r="S247" s="479">
        <v>61</v>
      </c>
      <c r="T247" s="513" t="s">
        <v>41</v>
      </c>
      <c r="U247" s="513" t="s">
        <v>43</v>
      </c>
      <c r="V247" s="514" t="s">
        <v>10</v>
      </c>
      <c r="W247" s="52">
        <v>0.16</v>
      </c>
      <c r="X247" s="358">
        <v>0.37</v>
      </c>
      <c r="Y247" s="352"/>
      <c r="Z247" s="9" t="s">
        <v>48</v>
      </c>
      <c r="AA247" s="113" t="s">
        <v>9</v>
      </c>
      <c r="AB247" s="109"/>
      <c r="AC247" s="58"/>
    </row>
    <row r="248" spans="1:29" ht="15.75" thickBot="1" x14ac:dyDescent="0.3">
      <c r="A248" s="326">
        <v>45935</v>
      </c>
      <c r="B248" s="207">
        <v>8</v>
      </c>
      <c r="C248" s="208"/>
      <c r="D248" s="207" t="s">
        <v>146</v>
      </c>
      <c r="E248" s="209">
        <v>0.79</v>
      </c>
      <c r="F248" s="209"/>
      <c r="G248" s="460">
        <v>0</v>
      </c>
      <c r="H248" s="460">
        <v>1</v>
      </c>
      <c r="I248" s="211">
        <v>0.8</v>
      </c>
      <c r="J248" s="211"/>
      <c r="K248" s="208"/>
      <c r="L248" s="207" t="s">
        <v>70</v>
      </c>
      <c r="M248" s="235"/>
      <c r="N248" s="347"/>
      <c r="O248" s="343" t="s">
        <v>146</v>
      </c>
      <c r="P248" s="199" t="s">
        <v>176</v>
      </c>
      <c r="Q248" s="199" t="s">
        <v>423</v>
      </c>
      <c r="R248" s="199" t="s">
        <v>707</v>
      </c>
      <c r="S248" s="479">
        <v>63</v>
      </c>
      <c r="T248" s="199"/>
      <c r="U248" s="199"/>
      <c r="V248" s="201"/>
      <c r="W248" s="202"/>
      <c r="X248" s="359"/>
      <c r="Y248" s="353">
        <v>1</v>
      </c>
      <c r="Z248" s="199"/>
      <c r="AA248" s="204"/>
      <c r="AB248" s="205"/>
      <c r="AC248" s="201"/>
    </row>
    <row r="249" spans="1:29" ht="15.75" thickBot="1" x14ac:dyDescent="0.3">
      <c r="A249" s="326">
        <v>45935</v>
      </c>
      <c r="B249" s="207">
        <v>8</v>
      </c>
      <c r="C249" s="208"/>
      <c r="D249" s="207" t="s">
        <v>146</v>
      </c>
      <c r="E249" s="209">
        <v>0.79</v>
      </c>
      <c r="F249" s="209"/>
      <c r="G249" s="460">
        <v>0</v>
      </c>
      <c r="H249" s="460">
        <v>1</v>
      </c>
      <c r="I249" s="211">
        <v>0.8</v>
      </c>
      <c r="J249" s="211"/>
      <c r="K249" s="208"/>
      <c r="L249" s="207" t="s">
        <v>70</v>
      </c>
      <c r="M249" s="235"/>
      <c r="N249" s="347"/>
      <c r="O249" s="343" t="s">
        <v>70</v>
      </c>
      <c r="P249" s="199" t="s">
        <v>714</v>
      </c>
      <c r="Q249" s="199" t="s">
        <v>715</v>
      </c>
      <c r="R249" s="199" t="s">
        <v>707</v>
      </c>
      <c r="S249" s="479">
        <v>77</v>
      </c>
      <c r="T249" s="199"/>
      <c r="U249" s="199"/>
      <c r="V249" s="201"/>
      <c r="W249" s="202"/>
      <c r="X249" s="359"/>
      <c r="Y249" s="353">
        <v>0</v>
      </c>
      <c r="Z249" s="199"/>
      <c r="AA249" s="204"/>
      <c r="AB249" s="205"/>
      <c r="AC249" s="201"/>
    </row>
    <row r="250" spans="1:29" x14ac:dyDescent="0.25">
      <c r="A250" s="329">
        <v>45949</v>
      </c>
      <c r="B250" s="5">
        <v>9</v>
      </c>
      <c r="C250" s="121" t="s">
        <v>694</v>
      </c>
      <c r="D250" s="5" t="s">
        <v>129</v>
      </c>
      <c r="E250" s="6">
        <v>0.91</v>
      </c>
      <c r="G250" s="362">
        <v>0</v>
      </c>
      <c r="H250" s="362">
        <v>3</v>
      </c>
      <c r="I250" s="8">
        <v>1.55</v>
      </c>
      <c r="K250" s="121" t="s">
        <v>693</v>
      </c>
      <c r="L250" s="5" t="s">
        <v>70</v>
      </c>
      <c r="N250" s="345">
        <v>12</v>
      </c>
      <c r="O250" s="38" t="s">
        <v>70</v>
      </c>
      <c r="P250" s="5" t="s">
        <v>458</v>
      </c>
      <c r="Q250" s="5" t="s">
        <v>73</v>
      </c>
      <c r="R250" s="5" t="s">
        <v>686</v>
      </c>
      <c r="S250" s="7">
        <v>82</v>
      </c>
      <c r="T250" s="5" t="s">
        <v>47</v>
      </c>
      <c r="U250" s="5" t="s">
        <v>42</v>
      </c>
      <c r="V250" s="57" t="s">
        <v>20</v>
      </c>
      <c r="W250" s="51">
        <v>0.32</v>
      </c>
      <c r="X250" s="357">
        <v>0.54</v>
      </c>
      <c r="Y250" s="351" t="s">
        <v>353</v>
      </c>
      <c r="Z250" s="5" t="s">
        <v>8</v>
      </c>
      <c r="AA250" s="112" t="s">
        <v>9</v>
      </c>
      <c r="AB250" s="108" t="s">
        <v>269</v>
      </c>
      <c r="AC250" s="57" t="s">
        <v>150</v>
      </c>
    </row>
    <row r="251" spans="1:29" x14ac:dyDescent="0.25">
      <c r="A251" s="329">
        <v>45949</v>
      </c>
      <c r="B251" s="5">
        <v>9</v>
      </c>
      <c r="D251" s="5" t="s">
        <v>129</v>
      </c>
      <c r="E251" s="6">
        <v>0.91</v>
      </c>
      <c r="G251" s="362">
        <v>0</v>
      </c>
      <c r="H251" s="362">
        <v>3</v>
      </c>
      <c r="I251" s="8">
        <v>1.55</v>
      </c>
      <c r="L251" s="5" t="s">
        <v>70</v>
      </c>
      <c r="N251" s="345">
        <v>25</v>
      </c>
      <c r="O251" s="38" t="s">
        <v>70</v>
      </c>
      <c r="P251" s="5" t="s">
        <v>458</v>
      </c>
      <c r="Q251" s="5" t="s">
        <v>73</v>
      </c>
      <c r="R251" s="5" t="s">
        <v>686</v>
      </c>
      <c r="S251" s="7">
        <v>82</v>
      </c>
      <c r="T251" s="5" t="s">
        <v>41</v>
      </c>
      <c r="U251" s="5" t="s">
        <v>43</v>
      </c>
      <c r="V251" s="57" t="s">
        <v>540</v>
      </c>
      <c r="W251" s="51">
        <v>0.21</v>
      </c>
      <c r="X251" s="357">
        <v>0.36</v>
      </c>
      <c r="Y251" s="351" t="s">
        <v>353</v>
      </c>
      <c r="Z251" s="5" t="s">
        <v>8</v>
      </c>
      <c r="AA251" s="112" t="s">
        <v>11</v>
      </c>
    </row>
    <row r="252" spans="1:29" x14ac:dyDescent="0.25">
      <c r="A252" s="329">
        <v>45949</v>
      </c>
      <c r="B252" s="5">
        <v>9</v>
      </c>
      <c r="D252" s="5" t="s">
        <v>129</v>
      </c>
      <c r="E252" s="6">
        <v>0.91</v>
      </c>
      <c r="G252" s="362">
        <v>0</v>
      </c>
      <c r="H252" s="362">
        <v>3</v>
      </c>
      <c r="I252" s="8">
        <v>1.55</v>
      </c>
      <c r="L252" s="5" t="s">
        <v>70</v>
      </c>
      <c r="N252" s="345">
        <v>60</v>
      </c>
      <c r="O252" s="38" t="s">
        <v>70</v>
      </c>
      <c r="P252" s="5" t="s">
        <v>255</v>
      </c>
      <c r="Q252" s="5" t="s">
        <v>352</v>
      </c>
      <c r="R252" s="5" t="s">
        <v>685</v>
      </c>
      <c r="S252" s="7">
        <v>70</v>
      </c>
      <c r="T252" s="5" t="s">
        <v>41</v>
      </c>
      <c r="U252" s="5" t="s">
        <v>42</v>
      </c>
      <c r="V252" s="57" t="s">
        <v>18</v>
      </c>
      <c r="W252" s="51">
        <v>0.18</v>
      </c>
      <c r="X252" s="357" t="s">
        <v>53</v>
      </c>
      <c r="Z252" s="5" t="s">
        <v>744</v>
      </c>
      <c r="AA252" s="112" t="s">
        <v>11</v>
      </c>
      <c r="AB252" s="108" t="s">
        <v>433</v>
      </c>
      <c r="AC252" s="57" t="s">
        <v>99</v>
      </c>
    </row>
    <row r="253" spans="1:29" x14ac:dyDescent="0.25">
      <c r="A253" s="329">
        <v>45949</v>
      </c>
      <c r="B253" s="5">
        <v>9</v>
      </c>
      <c r="D253" s="5" t="s">
        <v>129</v>
      </c>
      <c r="E253" s="6">
        <v>0.91</v>
      </c>
      <c r="G253" s="362">
        <v>0</v>
      </c>
      <c r="H253" s="362">
        <v>3</v>
      </c>
      <c r="I253" s="8">
        <v>1.55</v>
      </c>
      <c r="L253" s="5" t="s">
        <v>70</v>
      </c>
      <c r="N253" s="345">
        <v>65</v>
      </c>
      <c r="O253" s="38" t="s">
        <v>70</v>
      </c>
      <c r="P253" s="5" t="s">
        <v>74</v>
      </c>
      <c r="Q253" s="5" t="s">
        <v>75</v>
      </c>
      <c r="R253" s="5" t="s">
        <v>696</v>
      </c>
      <c r="S253" s="7">
        <v>71</v>
      </c>
      <c r="T253" s="5" t="s">
        <v>41</v>
      </c>
      <c r="U253" s="5" t="s">
        <v>43</v>
      </c>
      <c r="V253" s="57" t="s">
        <v>10</v>
      </c>
      <c r="W253" s="51">
        <v>0.21</v>
      </c>
      <c r="X253" s="357">
        <v>0.53</v>
      </c>
      <c r="Y253" s="351" t="s">
        <v>353</v>
      </c>
      <c r="Z253" s="5" t="s">
        <v>8</v>
      </c>
      <c r="AA253" s="112" t="s">
        <v>14</v>
      </c>
      <c r="AB253" s="108" t="s">
        <v>759</v>
      </c>
      <c r="AC253" s="57" t="s">
        <v>81</v>
      </c>
    </row>
    <row r="254" spans="1:29" x14ac:dyDescent="0.25">
      <c r="A254" s="329">
        <v>45949</v>
      </c>
      <c r="B254" s="5">
        <v>9</v>
      </c>
      <c r="D254" s="5" t="s">
        <v>129</v>
      </c>
      <c r="E254" s="6">
        <v>0.91</v>
      </c>
      <c r="G254" s="362">
        <v>0</v>
      </c>
      <c r="H254" s="362">
        <v>3</v>
      </c>
      <c r="I254" s="8">
        <v>1.55</v>
      </c>
      <c r="L254" s="5" t="s">
        <v>70</v>
      </c>
      <c r="N254" s="345">
        <v>78</v>
      </c>
      <c r="O254" s="38" t="s">
        <v>70</v>
      </c>
      <c r="P254" s="5" t="s">
        <v>575</v>
      </c>
      <c r="Q254" s="5" t="s">
        <v>576</v>
      </c>
      <c r="R254" s="5" t="s">
        <v>696</v>
      </c>
      <c r="S254" s="7">
        <v>67</v>
      </c>
      <c r="T254" s="5" t="s">
        <v>41</v>
      </c>
      <c r="U254" s="5" t="s">
        <v>43</v>
      </c>
      <c r="V254" s="57" t="s">
        <v>10</v>
      </c>
      <c r="W254" s="51">
        <v>0.39</v>
      </c>
      <c r="X254" s="357">
        <v>0.22</v>
      </c>
      <c r="Y254" s="351" t="s">
        <v>353</v>
      </c>
      <c r="Z254" s="5" t="s">
        <v>48</v>
      </c>
      <c r="AA254" s="112" t="s">
        <v>14</v>
      </c>
    </row>
    <row r="255" spans="1:29" x14ac:dyDescent="0.25">
      <c r="A255" s="329">
        <v>45949</v>
      </c>
      <c r="B255" s="5">
        <v>9</v>
      </c>
      <c r="D255" s="5" t="s">
        <v>129</v>
      </c>
      <c r="E255" s="6">
        <v>0.91</v>
      </c>
      <c r="G255" s="362">
        <v>0</v>
      </c>
      <c r="H255" s="362">
        <v>3</v>
      </c>
      <c r="I255" s="8">
        <v>1.55</v>
      </c>
      <c r="L255" s="5" t="s">
        <v>70</v>
      </c>
      <c r="N255" s="476">
        <v>83</v>
      </c>
      <c r="O255" s="477" t="s">
        <v>129</v>
      </c>
      <c r="P255" s="478" t="s">
        <v>434</v>
      </c>
      <c r="Q255" s="478" t="s">
        <v>435</v>
      </c>
      <c r="R255" s="478" t="s">
        <v>696</v>
      </c>
      <c r="S255" s="479">
        <v>63</v>
      </c>
      <c r="T255" s="478" t="s">
        <v>41</v>
      </c>
      <c r="U255" s="478" t="s">
        <v>43</v>
      </c>
      <c r="V255" s="480" t="s">
        <v>10</v>
      </c>
      <c r="W255" s="51">
        <v>0.14000000000000001</v>
      </c>
      <c r="X255" s="357">
        <v>0.12</v>
      </c>
      <c r="Z255" s="5" t="s">
        <v>48</v>
      </c>
      <c r="AA255" s="112" t="s">
        <v>14</v>
      </c>
    </row>
    <row r="256" spans="1:29" x14ac:dyDescent="0.25">
      <c r="A256" s="329">
        <v>45949</v>
      </c>
      <c r="B256" s="5">
        <v>9</v>
      </c>
      <c r="D256" s="5" t="s">
        <v>129</v>
      </c>
      <c r="E256" s="6">
        <v>0.91</v>
      </c>
      <c r="G256" s="362">
        <v>0</v>
      </c>
      <c r="H256" s="362">
        <v>3</v>
      </c>
      <c r="I256" s="8">
        <v>1.55</v>
      </c>
      <c r="L256" s="5" t="s">
        <v>70</v>
      </c>
      <c r="N256" s="476">
        <v>84</v>
      </c>
      <c r="O256" s="477" t="s">
        <v>129</v>
      </c>
      <c r="P256" s="478" t="s">
        <v>59</v>
      </c>
      <c r="Q256" s="478" t="s">
        <v>191</v>
      </c>
      <c r="R256" s="478" t="s">
        <v>717</v>
      </c>
      <c r="S256" s="479">
        <v>62</v>
      </c>
      <c r="T256" s="478" t="s">
        <v>41</v>
      </c>
      <c r="U256" s="478" t="s">
        <v>45</v>
      </c>
      <c r="V256" s="480" t="s">
        <v>29</v>
      </c>
      <c r="W256" s="51">
        <v>0.14000000000000001</v>
      </c>
      <c r="X256" s="357" t="s">
        <v>53</v>
      </c>
      <c r="Y256" s="351" t="s">
        <v>353</v>
      </c>
      <c r="Z256" s="5" t="s">
        <v>13</v>
      </c>
      <c r="AA256" s="112" t="s">
        <v>14</v>
      </c>
    </row>
    <row r="257" spans="1:29" x14ac:dyDescent="0.25">
      <c r="A257" s="329">
        <v>45949</v>
      </c>
      <c r="B257" s="5">
        <v>9</v>
      </c>
      <c r="D257" s="5" t="s">
        <v>129</v>
      </c>
      <c r="E257" s="6">
        <v>0.91</v>
      </c>
      <c r="G257" s="362">
        <v>0</v>
      </c>
      <c r="H257" s="362">
        <v>3</v>
      </c>
      <c r="I257" s="8">
        <v>1.55</v>
      </c>
      <c r="L257" s="5" t="s">
        <v>70</v>
      </c>
      <c r="N257" s="345">
        <v>90</v>
      </c>
      <c r="O257" s="38" t="s">
        <v>70</v>
      </c>
      <c r="P257" s="5" t="s">
        <v>74</v>
      </c>
      <c r="Q257" s="5" t="s">
        <v>75</v>
      </c>
      <c r="R257" s="5" t="s">
        <v>696</v>
      </c>
      <c r="S257" s="7">
        <v>71</v>
      </c>
      <c r="T257" s="5" t="s">
        <v>44</v>
      </c>
      <c r="U257" s="5" t="s">
        <v>43</v>
      </c>
      <c r="V257" s="57" t="s">
        <v>10</v>
      </c>
      <c r="W257" s="51">
        <v>0.15</v>
      </c>
      <c r="X257" s="357" t="s">
        <v>53</v>
      </c>
      <c r="Y257" s="351" t="s">
        <v>353</v>
      </c>
      <c r="Z257" s="5" t="s">
        <v>13</v>
      </c>
      <c r="AA257" s="112" t="s">
        <v>14</v>
      </c>
    </row>
    <row r="258" spans="1:29" x14ac:dyDescent="0.25">
      <c r="A258" s="329">
        <v>45949</v>
      </c>
      <c r="B258" s="5">
        <v>9</v>
      </c>
      <c r="D258" s="5" t="s">
        <v>129</v>
      </c>
      <c r="E258" s="6">
        <v>0.91</v>
      </c>
      <c r="G258" s="362">
        <v>0</v>
      </c>
      <c r="H258" s="362">
        <v>3</v>
      </c>
      <c r="I258" s="8">
        <v>1.55</v>
      </c>
      <c r="L258" s="5" t="s">
        <v>70</v>
      </c>
      <c r="N258" s="476" t="s">
        <v>415</v>
      </c>
      <c r="O258" s="477" t="s">
        <v>129</v>
      </c>
      <c r="P258" s="478" t="s">
        <v>241</v>
      </c>
      <c r="Q258" s="478" t="s">
        <v>131</v>
      </c>
      <c r="R258" s="478" t="s">
        <v>696</v>
      </c>
      <c r="S258" s="479">
        <v>66</v>
      </c>
      <c r="T258" s="478" t="s">
        <v>44</v>
      </c>
      <c r="U258" s="478" t="s">
        <v>42</v>
      </c>
      <c r="V258" s="480" t="s">
        <v>15</v>
      </c>
      <c r="W258" s="51">
        <v>0.11</v>
      </c>
      <c r="X258" s="357" t="s">
        <v>53</v>
      </c>
      <c r="Z258" s="5" t="s">
        <v>52</v>
      </c>
      <c r="AA258" s="112" t="s">
        <v>14</v>
      </c>
    </row>
    <row r="259" spans="1:29" ht="15.75" thickBot="1" x14ac:dyDescent="0.3">
      <c r="A259" s="338">
        <v>45949</v>
      </c>
      <c r="B259" s="230">
        <v>9</v>
      </c>
      <c r="C259" s="231"/>
      <c r="D259" s="230" t="s">
        <v>129</v>
      </c>
      <c r="E259" s="232">
        <v>0.91</v>
      </c>
      <c r="F259" s="232"/>
      <c r="G259" s="363">
        <v>0</v>
      </c>
      <c r="H259" s="363">
        <v>3</v>
      </c>
      <c r="I259" s="234">
        <v>1.55</v>
      </c>
      <c r="J259" s="234"/>
      <c r="K259" s="231"/>
      <c r="L259" s="230" t="s">
        <v>70</v>
      </c>
      <c r="M259" s="235"/>
      <c r="N259" s="347"/>
      <c r="O259" s="343" t="s">
        <v>129</v>
      </c>
      <c r="P259" s="199" t="s">
        <v>731</v>
      </c>
      <c r="Q259" s="199" t="s">
        <v>732</v>
      </c>
      <c r="R259" s="199" t="s">
        <v>707</v>
      </c>
      <c r="S259" s="7">
        <v>56</v>
      </c>
      <c r="T259" s="199"/>
      <c r="U259" s="199"/>
      <c r="V259" s="201"/>
      <c r="W259" s="202"/>
      <c r="X259" s="359"/>
      <c r="Y259" s="353">
        <v>3</v>
      </c>
      <c r="Z259" s="199"/>
      <c r="AA259" s="204"/>
      <c r="AB259" s="205"/>
      <c r="AC259" s="201"/>
    </row>
    <row r="260" spans="1:29" ht="15.75" thickBot="1" x14ac:dyDescent="0.3">
      <c r="A260" s="338">
        <v>45949</v>
      </c>
      <c r="B260" s="230">
        <v>9</v>
      </c>
      <c r="C260" s="231"/>
      <c r="D260" s="230" t="s">
        <v>129</v>
      </c>
      <c r="E260" s="232">
        <v>0.91</v>
      </c>
      <c r="F260" s="232"/>
      <c r="G260" s="363">
        <v>0</v>
      </c>
      <c r="H260" s="363">
        <v>3</v>
      </c>
      <c r="I260" s="234">
        <v>1.55</v>
      </c>
      <c r="J260" s="234"/>
      <c r="K260" s="231"/>
      <c r="L260" s="230" t="s">
        <v>70</v>
      </c>
      <c r="M260" s="235"/>
      <c r="N260" s="347"/>
      <c r="O260" s="343" t="s">
        <v>70</v>
      </c>
      <c r="P260" s="199" t="s">
        <v>714</v>
      </c>
      <c r="Q260" s="199" t="s">
        <v>715</v>
      </c>
      <c r="R260" s="199" t="s">
        <v>707</v>
      </c>
      <c r="S260" s="7">
        <v>78</v>
      </c>
      <c r="T260" s="199"/>
      <c r="U260" s="199"/>
      <c r="V260" s="201"/>
      <c r="W260" s="202"/>
      <c r="X260" s="359"/>
      <c r="Y260" s="353">
        <v>0</v>
      </c>
      <c r="Z260" s="199"/>
      <c r="AA260" s="204"/>
      <c r="AB260" s="205"/>
      <c r="AC260" s="201"/>
    </row>
    <row r="261" spans="1:29" ht="15.75" thickBot="1" x14ac:dyDescent="0.3">
      <c r="A261" s="602" t="s">
        <v>37</v>
      </c>
      <c r="B261" s="603" t="s">
        <v>38</v>
      </c>
      <c r="C261" s="604" t="s">
        <v>682</v>
      </c>
      <c r="D261" s="27" t="s">
        <v>635</v>
      </c>
      <c r="E261" s="81" t="s">
        <v>589</v>
      </c>
      <c r="F261" s="81"/>
      <c r="G261" s="605" t="s">
        <v>636</v>
      </c>
      <c r="H261" s="605" t="s">
        <v>637</v>
      </c>
      <c r="I261" s="606" t="s">
        <v>590</v>
      </c>
      <c r="J261" s="606"/>
      <c r="K261" s="607" t="s">
        <v>683</v>
      </c>
      <c r="L261" s="27" t="s">
        <v>638</v>
      </c>
      <c r="M261" s="27" t="s">
        <v>586</v>
      </c>
      <c r="N261" s="608" t="s">
        <v>0</v>
      </c>
      <c r="O261" s="609" t="s">
        <v>1</v>
      </c>
      <c r="P261" s="40" t="s">
        <v>2</v>
      </c>
      <c r="Q261" s="40" t="s">
        <v>645</v>
      </c>
      <c r="R261" s="40" t="s">
        <v>681</v>
      </c>
      <c r="S261" s="610" t="s">
        <v>711</v>
      </c>
      <c r="T261" s="40" t="s">
        <v>39</v>
      </c>
      <c r="U261" s="40" t="s">
        <v>40</v>
      </c>
      <c r="V261" s="611" t="s">
        <v>3</v>
      </c>
      <c r="W261" s="612" t="s">
        <v>4</v>
      </c>
      <c r="X261" s="483" t="s">
        <v>64</v>
      </c>
      <c r="Y261" s="613" t="s">
        <v>353</v>
      </c>
      <c r="Z261" s="40" t="s">
        <v>5</v>
      </c>
      <c r="AA261" s="614" t="s">
        <v>6</v>
      </c>
      <c r="AB261" s="615" t="s">
        <v>646</v>
      </c>
      <c r="AC261" s="616" t="s">
        <v>647</v>
      </c>
    </row>
    <row r="262" spans="1:29" x14ac:dyDescent="0.25">
      <c r="A262" s="328">
        <v>45892</v>
      </c>
      <c r="B262" s="17">
        <v>2</v>
      </c>
      <c r="C262" s="123" t="s">
        <v>694</v>
      </c>
      <c r="D262" s="17" t="s">
        <v>193</v>
      </c>
      <c r="E262" s="18">
        <v>1.74</v>
      </c>
      <c r="F262" s="18"/>
      <c r="G262" s="461">
        <v>1</v>
      </c>
      <c r="H262" s="461">
        <v>1</v>
      </c>
      <c r="I262" s="20">
        <v>0.56999999999999995</v>
      </c>
      <c r="J262" s="20"/>
      <c r="K262" s="123" t="s">
        <v>703</v>
      </c>
      <c r="L262" s="17" t="s">
        <v>208</v>
      </c>
      <c r="M262" s="46"/>
      <c r="N262" s="507">
        <v>8</v>
      </c>
      <c r="O262" s="508" t="s">
        <v>193</v>
      </c>
      <c r="P262" s="509" t="s">
        <v>257</v>
      </c>
      <c r="Q262" s="509" t="s">
        <v>258</v>
      </c>
      <c r="R262" s="509" t="s">
        <v>718</v>
      </c>
      <c r="S262" s="481">
        <v>77</v>
      </c>
      <c r="T262" s="509" t="s">
        <v>41</v>
      </c>
      <c r="U262" s="509" t="s">
        <v>43</v>
      </c>
      <c r="V262" s="510" t="s">
        <v>10</v>
      </c>
      <c r="W262" s="53">
        <v>0.22</v>
      </c>
      <c r="X262" s="360">
        <v>0.3</v>
      </c>
      <c r="Y262" s="354" t="s">
        <v>353</v>
      </c>
      <c r="Z262" s="17" t="s">
        <v>8</v>
      </c>
      <c r="AA262" s="114" t="s">
        <v>19</v>
      </c>
      <c r="AB262" s="110" t="s">
        <v>316</v>
      </c>
      <c r="AC262" s="60" t="s">
        <v>317</v>
      </c>
    </row>
    <row r="263" spans="1:29" x14ac:dyDescent="0.25">
      <c r="A263" s="329">
        <v>45892</v>
      </c>
      <c r="B263" s="5">
        <v>2</v>
      </c>
      <c r="D263" s="5" t="s">
        <v>193</v>
      </c>
      <c r="E263" s="6">
        <v>1.74</v>
      </c>
      <c r="G263" s="362">
        <v>1</v>
      </c>
      <c r="H263" s="362">
        <v>1</v>
      </c>
      <c r="I263" s="8">
        <v>0.56999999999999995</v>
      </c>
      <c r="L263" s="5" t="s">
        <v>208</v>
      </c>
      <c r="N263" s="476">
        <v>14</v>
      </c>
      <c r="O263" s="477" t="s">
        <v>193</v>
      </c>
      <c r="P263" s="478" t="s">
        <v>257</v>
      </c>
      <c r="Q263" s="478" t="s">
        <v>258</v>
      </c>
      <c r="R263" s="478" t="s">
        <v>718</v>
      </c>
      <c r="S263" s="479">
        <v>77</v>
      </c>
      <c r="T263" s="478" t="s">
        <v>41</v>
      </c>
      <c r="U263" s="478" t="s">
        <v>42</v>
      </c>
      <c r="V263" s="480" t="s">
        <v>18</v>
      </c>
      <c r="W263" s="51">
        <v>0.41</v>
      </c>
      <c r="X263" s="357">
        <v>0.33</v>
      </c>
      <c r="Y263" s="351" t="s">
        <v>353</v>
      </c>
      <c r="Z263" s="5" t="s">
        <v>48</v>
      </c>
      <c r="AA263" s="112" t="s">
        <v>19</v>
      </c>
    </row>
    <row r="264" spans="1:29" x14ac:dyDescent="0.25">
      <c r="A264" s="329">
        <v>45892</v>
      </c>
      <c r="B264" s="5">
        <v>2</v>
      </c>
      <c r="D264" s="5" t="s">
        <v>193</v>
      </c>
      <c r="E264" s="6">
        <v>1.74</v>
      </c>
      <c r="G264" s="362">
        <v>1</v>
      </c>
      <c r="H264" s="362">
        <v>1</v>
      </c>
      <c r="I264" s="8">
        <v>0.56999999999999995</v>
      </c>
      <c r="L264" s="5" t="s">
        <v>208</v>
      </c>
      <c r="N264" s="345">
        <v>15</v>
      </c>
      <c r="O264" s="38" t="s">
        <v>208</v>
      </c>
      <c r="P264" s="5" t="s">
        <v>61</v>
      </c>
      <c r="Q264" s="5" t="s">
        <v>261</v>
      </c>
      <c r="R264" s="5" t="s">
        <v>717</v>
      </c>
      <c r="S264" s="7">
        <v>69</v>
      </c>
      <c r="T264" s="5" t="s">
        <v>41</v>
      </c>
      <c r="U264" s="5" t="s">
        <v>42</v>
      </c>
      <c r="V264" s="57" t="s">
        <v>18</v>
      </c>
      <c r="W264" s="51">
        <v>0.3</v>
      </c>
      <c r="X264" s="357">
        <v>0.39</v>
      </c>
      <c r="Y264" s="351" t="s">
        <v>353</v>
      </c>
      <c r="Z264" s="5" t="s">
        <v>8</v>
      </c>
      <c r="AA264" s="112" t="s">
        <v>51</v>
      </c>
      <c r="AB264" s="108" t="s">
        <v>74</v>
      </c>
      <c r="AC264" s="57" t="s">
        <v>211</v>
      </c>
    </row>
    <row r="265" spans="1:29" x14ac:dyDescent="0.25">
      <c r="A265" s="329">
        <v>45892</v>
      </c>
      <c r="B265" s="5">
        <v>2</v>
      </c>
      <c r="D265" s="5" t="s">
        <v>193</v>
      </c>
      <c r="E265" s="6">
        <v>1.74</v>
      </c>
      <c r="G265" s="362">
        <v>1</v>
      </c>
      <c r="H265" s="362">
        <v>1</v>
      </c>
      <c r="I265" s="8">
        <v>0.56999999999999995</v>
      </c>
      <c r="L265" s="5" t="s">
        <v>208</v>
      </c>
      <c r="N265" s="345">
        <v>49</v>
      </c>
      <c r="O265" s="38" t="s">
        <v>208</v>
      </c>
      <c r="P265" s="5" t="s">
        <v>25</v>
      </c>
      <c r="Q265" s="5" t="s">
        <v>262</v>
      </c>
      <c r="R265" s="5" t="s">
        <v>696</v>
      </c>
      <c r="S265" s="479">
        <v>63</v>
      </c>
      <c r="T265" s="5" t="s">
        <v>41</v>
      </c>
      <c r="U265" s="5" t="s">
        <v>45</v>
      </c>
      <c r="V265" s="57" t="s">
        <v>33</v>
      </c>
      <c r="W265" s="51">
        <v>0.15</v>
      </c>
      <c r="X265" s="357" t="s">
        <v>53</v>
      </c>
      <c r="Z265" s="5" t="s">
        <v>13</v>
      </c>
      <c r="AA265" s="112" t="s">
        <v>51</v>
      </c>
    </row>
    <row r="266" spans="1:29" x14ac:dyDescent="0.25">
      <c r="A266" s="329">
        <v>45892</v>
      </c>
      <c r="B266" s="5">
        <v>2</v>
      </c>
      <c r="D266" s="5" t="s">
        <v>193</v>
      </c>
      <c r="E266" s="6">
        <v>1.74</v>
      </c>
      <c r="G266" s="362">
        <v>1</v>
      </c>
      <c r="H266" s="362">
        <v>1</v>
      </c>
      <c r="I266" s="8">
        <v>0.56999999999999995</v>
      </c>
      <c r="L266" s="5" t="s">
        <v>208</v>
      </c>
      <c r="N266" s="476">
        <v>71</v>
      </c>
      <c r="O266" s="477" t="s">
        <v>193</v>
      </c>
      <c r="P266" s="478" t="s">
        <v>206</v>
      </c>
      <c r="Q266" s="478" t="s">
        <v>207</v>
      </c>
      <c r="R266" s="478" t="s">
        <v>696</v>
      </c>
      <c r="S266" s="479">
        <v>64</v>
      </c>
      <c r="T266" s="478" t="s">
        <v>44</v>
      </c>
      <c r="U266" s="478" t="s">
        <v>43</v>
      </c>
      <c r="V266" s="480" t="s">
        <v>10</v>
      </c>
      <c r="W266" s="51">
        <v>0.02</v>
      </c>
      <c r="X266" s="357">
        <v>0.22</v>
      </c>
      <c r="Z266" s="5" t="s">
        <v>48</v>
      </c>
      <c r="AA266" s="112" t="s">
        <v>51</v>
      </c>
    </row>
    <row r="267" spans="1:29" ht="15.75" thickBot="1" x14ac:dyDescent="0.3">
      <c r="A267" s="330">
        <v>45892</v>
      </c>
      <c r="B267" s="9">
        <v>2</v>
      </c>
      <c r="C267" s="122"/>
      <c r="D267" s="9" t="s">
        <v>193</v>
      </c>
      <c r="E267" s="10">
        <v>1.74</v>
      </c>
      <c r="F267" s="10"/>
      <c r="G267" s="383">
        <v>1</v>
      </c>
      <c r="H267" s="383">
        <v>1</v>
      </c>
      <c r="I267" s="12">
        <v>0.56999999999999995</v>
      </c>
      <c r="J267" s="12"/>
      <c r="K267" s="122"/>
      <c r="L267" s="9" t="s">
        <v>208</v>
      </c>
      <c r="M267" s="45"/>
      <c r="N267" s="511">
        <v>81</v>
      </c>
      <c r="O267" s="512" t="s">
        <v>193</v>
      </c>
      <c r="P267" s="513" t="s">
        <v>259</v>
      </c>
      <c r="Q267" s="513" t="s">
        <v>260</v>
      </c>
      <c r="R267" s="513" t="s">
        <v>689</v>
      </c>
      <c r="S267" s="479">
        <v>66</v>
      </c>
      <c r="T267" s="513" t="s">
        <v>41</v>
      </c>
      <c r="U267" s="513" t="s">
        <v>42</v>
      </c>
      <c r="V267" s="514" t="s">
        <v>540</v>
      </c>
      <c r="W267" s="52">
        <v>0.6</v>
      </c>
      <c r="X267" s="358" t="s">
        <v>53</v>
      </c>
      <c r="Y267" s="352" t="s">
        <v>353</v>
      </c>
      <c r="Z267" s="9" t="s">
        <v>16</v>
      </c>
      <c r="AA267" s="113" t="s">
        <v>51</v>
      </c>
      <c r="AB267" s="109"/>
      <c r="AC267" s="58"/>
    </row>
    <row r="268" spans="1:29" ht="15.75" thickBot="1" x14ac:dyDescent="0.3">
      <c r="A268" s="326">
        <v>45892</v>
      </c>
      <c r="B268" s="207">
        <v>2</v>
      </c>
      <c r="C268" s="208"/>
      <c r="D268" s="207" t="s">
        <v>193</v>
      </c>
      <c r="E268" s="209">
        <v>1.74</v>
      </c>
      <c r="F268" s="209"/>
      <c r="G268" s="460">
        <v>1</v>
      </c>
      <c r="H268" s="460">
        <v>1</v>
      </c>
      <c r="I268" s="211">
        <v>0.56999999999999995</v>
      </c>
      <c r="J268" s="211"/>
      <c r="K268" s="208"/>
      <c r="L268" s="207" t="s">
        <v>208</v>
      </c>
      <c r="M268" s="197"/>
      <c r="N268" s="347"/>
      <c r="O268" s="343" t="s">
        <v>193</v>
      </c>
      <c r="P268" s="199" t="s">
        <v>580</v>
      </c>
      <c r="Q268" s="199" t="s">
        <v>581</v>
      </c>
      <c r="R268" s="199" t="s">
        <v>707</v>
      </c>
      <c r="S268" s="7">
        <v>60</v>
      </c>
      <c r="T268" s="199"/>
      <c r="U268" s="199"/>
      <c r="V268" s="201"/>
      <c r="W268" s="202"/>
      <c r="X268" s="359"/>
      <c r="Y268" s="353">
        <v>1</v>
      </c>
      <c r="Z268" s="199"/>
      <c r="AA268" s="204"/>
      <c r="AB268" s="205"/>
      <c r="AC268" s="201"/>
    </row>
    <row r="269" spans="1:29" ht="15.75" thickBot="1" x14ac:dyDescent="0.3">
      <c r="A269" s="326">
        <v>45892</v>
      </c>
      <c r="B269" s="207">
        <v>2</v>
      </c>
      <c r="C269" s="208"/>
      <c r="D269" s="207" t="s">
        <v>193</v>
      </c>
      <c r="E269" s="209">
        <v>1.74</v>
      </c>
      <c r="F269" s="209"/>
      <c r="G269" s="460">
        <v>1</v>
      </c>
      <c r="H269" s="460">
        <v>1</v>
      </c>
      <c r="I269" s="211">
        <v>0.56999999999999995</v>
      </c>
      <c r="J269" s="211"/>
      <c r="K269" s="208"/>
      <c r="L269" s="207" t="s">
        <v>208</v>
      </c>
      <c r="M269" s="197"/>
      <c r="N269" s="347"/>
      <c r="O269" s="343" t="s">
        <v>208</v>
      </c>
      <c r="P269" s="199" t="s">
        <v>433</v>
      </c>
      <c r="Q269" s="199" t="s">
        <v>725</v>
      </c>
      <c r="R269" s="199" t="s">
        <v>707</v>
      </c>
      <c r="S269" s="479">
        <v>74</v>
      </c>
      <c r="T269" s="199"/>
      <c r="U269" s="199"/>
      <c r="V269" s="201"/>
      <c r="W269" s="202"/>
      <c r="X269" s="359"/>
      <c r="Y269" s="353">
        <v>1</v>
      </c>
      <c r="Z269" s="199"/>
      <c r="AA269" s="204"/>
      <c r="AB269" s="205"/>
      <c r="AC269" s="201"/>
    </row>
    <row r="270" spans="1:29" x14ac:dyDescent="0.25">
      <c r="A270" s="328">
        <v>45913</v>
      </c>
      <c r="B270" s="17">
        <v>4</v>
      </c>
      <c r="C270" s="123" t="s">
        <v>694</v>
      </c>
      <c r="D270" s="17" t="s">
        <v>193</v>
      </c>
      <c r="E270" s="18">
        <v>1.01</v>
      </c>
      <c r="F270" s="18"/>
      <c r="G270" s="461">
        <v>2</v>
      </c>
      <c r="H270" s="461">
        <v>0</v>
      </c>
      <c r="I270" s="20">
        <v>1.03</v>
      </c>
      <c r="J270" s="20"/>
      <c r="K270" s="123" t="s">
        <v>694</v>
      </c>
      <c r="L270" s="17" t="s">
        <v>91</v>
      </c>
      <c r="M270" s="46"/>
      <c r="N270" s="507">
        <v>9</v>
      </c>
      <c r="O270" s="508" t="s">
        <v>193</v>
      </c>
      <c r="P270" s="509" t="s">
        <v>241</v>
      </c>
      <c r="Q270" s="509" t="s">
        <v>382</v>
      </c>
      <c r="R270" s="509" t="s">
        <v>695</v>
      </c>
      <c r="S270" s="479">
        <v>73</v>
      </c>
      <c r="T270" s="509" t="s">
        <v>41</v>
      </c>
      <c r="U270" s="509" t="s">
        <v>43</v>
      </c>
      <c r="V270" s="510" t="s">
        <v>10</v>
      </c>
      <c r="W270" s="53">
        <v>0.53</v>
      </c>
      <c r="X270" s="360">
        <v>0.8</v>
      </c>
      <c r="Y270" s="354" t="s">
        <v>353</v>
      </c>
      <c r="Z270" s="17" t="s">
        <v>8</v>
      </c>
      <c r="AA270" s="114" t="s">
        <v>19</v>
      </c>
      <c r="AB270" s="110" t="s">
        <v>200</v>
      </c>
      <c r="AC270" s="60" t="s">
        <v>201</v>
      </c>
    </row>
    <row r="271" spans="1:29" x14ac:dyDescent="0.25">
      <c r="A271" s="329">
        <v>45913</v>
      </c>
      <c r="B271" s="5">
        <v>4</v>
      </c>
      <c r="D271" s="5" t="s">
        <v>193</v>
      </c>
      <c r="E271" s="6">
        <v>1.01</v>
      </c>
      <c r="G271" s="362">
        <v>2</v>
      </c>
      <c r="H271" s="362">
        <v>0</v>
      </c>
      <c r="I271" s="8">
        <v>1.03</v>
      </c>
      <c r="L271" s="5" t="s">
        <v>91</v>
      </c>
      <c r="N271" s="476">
        <v>14</v>
      </c>
      <c r="O271" s="477" t="s">
        <v>193</v>
      </c>
      <c r="P271" s="478" t="s">
        <v>204</v>
      </c>
      <c r="Q271" s="478" t="s">
        <v>205</v>
      </c>
      <c r="R271" s="478" t="s">
        <v>686</v>
      </c>
      <c r="S271" s="479">
        <v>70</v>
      </c>
      <c r="T271" s="478" t="s">
        <v>41</v>
      </c>
      <c r="U271" s="478" t="s">
        <v>42</v>
      </c>
      <c r="V271" s="480" t="s">
        <v>10</v>
      </c>
      <c r="W271" s="51">
        <v>0.26</v>
      </c>
      <c r="X271" s="357" t="s">
        <v>53</v>
      </c>
      <c r="Y271" s="351" t="s">
        <v>353</v>
      </c>
      <c r="Z271" s="5" t="s">
        <v>16</v>
      </c>
      <c r="AA271" s="112" t="s">
        <v>19</v>
      </c>
    </row>
    <row r="272" spans="1:29" x14ac:dyDescent="0.25">
      <c r="A272" s="329">
        <v>45913</v>
      </c>
      <c r="B272" s="5">
        <v>4</v>
      </c>
      <c r="D272" s="5" t="s">
        <v>193</v>
      </c>
      <c r="E272" s="6">
        <v>1.01</v>
      </c>
      <c r="G272" s="362">
        <v>2</v>
      </c>
      <c r="H272" s="362">
        <v>0</v>
      </c>
      <c r="I272" s="8">
        <v>1.03</v>
      </c>
      <c r="L272" s="5" t="s">
        <v>91</v>
      </c>
      <c r="N272" s="345">
        <v>15</v>
      </c>
      <c r="O272" s="38" t="s">
        <v>91</v>
      </c>
      <c r="P272" s="5" t="s">
        <v>332</v>
      </c>
      <c r="Q272" s="5" t="s">
        <v>333</v>
      </c>
      <c r="R272" s="5" t="s">
        <v>685</v>
      </c>
      <c r="S272" s="7">
        <v>60</v>
      </c>
      <c r="T272" s="5" t="s">
        <v>41</v>
      </c>
      <c r="U272" s="5" t="s">
        <v>42</v>
      </c>
      <c r="V272" s="57" t="s">
        <v>540</v>
      </c>
      <c r="W272" s="51">
        <v>0.42</v>
      </c>
      <c r="X272" s="357" t="s">
        <v>53</v>
      </c>
      <c r="Y272" s="351" t="s">
        <v>353</v>
      </c>
      <c r="Z272" s="5" t="s">
        <v>13</v>
      </c>
      <c r="AA272" s="112" t="s">
        <v>19</v>
      </c>
    </row>
    <row r="273" spans="1:29" x14ac:dyDescent="0.25">
      <c r="A273" s="329">
        <v>45913</v>
      </c>
      <c r="B273" s="5">
        <v>4</v>
      </c>
      <c r="D273" s="5" t="s">
        <v>193</v>
      </c>
      <c r="E273" s="6">
        <v>1.01</v>
      </c>
      <c r="G273" s="362">
        <v>2</v>
      </c>
      <c r="H273" s="362">
        <v>0</v>
      </c>
      <c r="I273" s="8">
        <v>1.03</v>
      </c>
      <c r="L273" s="5" t="s">
        <v>91</v>
      </c>
      <c r="N273" s="345">
        <v>22</v>
      </c>
      <c r="O273" s="38" t="s">
        <v>91</v>
      </c>
      <c r="P273" s="5" t="s">
        <v>332</v>
      </c>
      <c r="Q273" s="5" t="s">
        <v>333</v>
      </c>
      <c r="R273" s="5" t="s">
        <v>685</v>
      </c>
      <c r="S273" s="7">
        <v>60</v>
      </c>
      <c r="T273" s="5" t="s">
        <v>41</v>
      </c>
      <c r="U273" s="5" t="s">
        <v>43</v>
      </c>
      <c r="V273" s="57" t="s">
        <v>10</v>
      </c>
      <c r="W273" s="51">
        <v>0.26</v>
      </c>
      <c r="X273" s="357" t="s">
        <v>53</v>
      </c>
      <c r="Z273" s="5" t="s">
        <v>13</v>
      </c>
      <c r="AA273" s="112" t="s">
        <v>19</v>
      </c>
    </row>
    <row r="274" spans="1:29" x14ac:dyDescent="0.25">
      <c r="A274" s="329">
        <v>45913</v>
      </c>
      <c r="B274" s="5">
        <v>4</v>
      </c>
      <c r="D274" s="5" t="s">
        <v>193</v>
      </c>
      <c r="E274" s="6">
        <v>1.01</v>
      </c>
      <c r="G274" s="362">
        <v>2</v>
      </c>
      <c r="H274" s="362">
        <v>0</v>
      </c>
      <c r="I274" s="8">
        <v>1.03</v>
      </c>
      <c r="L274" s="5" t="s">
        <v>91</v>
      </c>
      <c r="N274" s="345" t="s">
        <v>68</v>
      </c>
      <c r="O274" s="38" t="s">
        <v>91</v>
      </c>
      <c r="P274" s="5" t="s">
        <v>96</v>
      </c>
      <c r="Q274" s="5" t="s">
        <v>97</v>
      </c>
      <c r="R274" s="5" t="s">
        <v>718</v>
      </c>
      <c r="S274" s="7">
        <v>66</v>
      </c>
      <c r="T274" s="5" t="s">
        <v>354</v>
      </c>
      <c r="U274" s="5" t="s">
        <v>43</v>
      </c>
      <c r="V274" s="57" t="s">
        <v>15</v>
      </c>
      <c r="W274" s="51">
        <v>0.04</v>
      </c>
      <c r="X274" s="357" t="s">
        <v>53</v>
      </c>
      <c r="Z274" s="5" t="s">
        <v>17</v>
      </c>
      <c r="AA274" s="112" t="s">
        <v>19</v>
      </c>
    </row>
    <row r="275" spans="1:29" x14ac:dyDescent="0.25">
      <c r="A275" s="329">
        <v>45913</v>
      </c>
      <c r="B275" s="5">
        <v>4</v>
      </c>
      <c r="D275" s="5" t="s">
        <v>193</v>
      </c>
      <c r="E275" s="6">
        <v>1.01</v>
      </c>
      <c r="G275" s="362">
        <v>2</v>
      </c>
      <c r="H275" s="362">
        <v>0</v>
      </c>
      <c r="I275" s="8">
        <v>1.03</v>
      </c>
      <c r="L275" s="5" t="s">
        <v>91</v>
      </c>
      <c r="N275" s="345" t="s">
        <v>122</v>
      </c>
      <c r="O275" s="38" t="s">
        <v>91</v>
      </c>
      <c r="P275" s="5" t="s">
        <v>100</v>
      </c>
      <c r="Q275" s="5" t="s">
        <v>101</v>
      </c>
      <c r="R275" s="5" t="s">
        <v>688</v>
      </c>
      <c r="S275" s="479">
        <v>55</v>
      </c>
      <c r="T275" s="5" t="s">
        <v>41</v>
      </c>
      <c r="U275" s="5" t="s">
        <v>42</v>
      </c>
      <c r="V275" s="57" t="s">
        <v>33</v>
      </c>
      <c r="W275" s="51">
        <v>0.15</v>
      </c>
      <c r="X275" s="357">
        <v>0.12</v>
      </c>
      <c r="Z275" s="5" t="s">
        <v>48</v>
      </c>
      <c r="AA275" s="112" t="s">
        <v>19</v>
      </c>
    </row>
    <row r="276" spans="1:29" x14ac:dyDescent="0.25">
      <c r="A276" s="329">
        <v>45913</v>
      </c>
      <c r="B276" s="5">
        <v>4</v>
      </c>
      <c r="D276" s="5" t="s">
        <v>193</v>
      </c>
      <c r="E276" s="6">
        <v>1.01</v>
      </c>
      <c r="G276" s="362">
        <v>2</v>
      </c>
      <c r="H276" s="362">
        <v>0</v>
      </c>
      <c r="I276" s="8">
        <v>1.03</v>
      </c>
      <c r="L276" s="5" t="s">
        <v>91</v>
      </c>
      <c r="N276" s="476">
        <v>52</v>
      </c>
      <c r="O276" s="477" t="s">
        <v>193</v>
      </c>
      <c r="P276" s="478" t="s">
        <v>96</v>
      </c>
      <c r="Q276" s="478" t="s">
        <v>327</v>
      </c>
      <c r="R276" s="478" t="s">
        <v>685</v>
      </c>
      <c r="S276" s="479">
        <v>75</v>
      </c>
      <c r="T276" s="478" t="s">
        <v>41</v>
      </c>
      <c r="U276" s="478" t="s">
        <v>45</v>
      </c>
      <c r="V276" s="480" t="s">
        <v>18</v>
      </c>
      <c r="W276" s="51">
        <v>0.1</v>
      </c>
      <c r="X276" s="357">
        <v>0.49</v>
      </c>
      <c r="Y276" s="351" t="s">
        <v>353</v>
      </c>
      <c r="Z276" s="5" t="s">
        <v>8</v>
      </c>
      <c r="AA276" s="112" t="s">
        <v>24</v>
      </c>
      <c r="AB276" s="108" t="s">
        <v>259</v>
      </c>
      <c r="AC276" s="57" t="s">
        <v>260</v>
      </c>
    </row>
    <row r="277" spans="1:29" ht="15.75" thickBot="1" x14ac:dyDescent="0.3">
      <c r="A277" s="330">
        <v>45913</v>
      </c>
      <c r="B277" s="9">
        <v>4</v>
      </c>
      <c r="C277" s="122"/>
      <c r="D277" s="9" t="s">
        <v>193</v>
      </c>
      <c r="E277" s="10">
        <v>1.01</v>
      </c>
      <c r="F277" s="10"/>
      <c r="G277" s="383">
        <v>2</v>
      </c>
      <c r="H277" s="383">
        <v>0</v>
      </c>
      <c r="I277" s="12">
        <v>1.03</v>
      </c>
      <c r="J277" s="12"/>
      <c r="K277" s="122"/>
      <c r="L277" s="9" t="s">
        <v>91</v>
      </c>
      <c r="M277" s="45"/>
      <c r="N277" s="511" t="s">
        <v>31</v>
      </c>
      <c r="O277" s="512" t="s">
        <v>193</v>
      </c>
      <c r="P277" s="513" t="s">
        <v>337</v>
      </c>
      <c r="Q277" s="513" t="s">
        <v>383</v>
      </c>
      <c r="R277" s="513" t="s">
        <v>696</v>
      </c>
      <c r="S277" s="479">
        <v>65</v>
      </c>
      <c r="T277" s="513" t="s">
        <v>41</v>
      </c>
      <c r="U277" s="513" t="s">
        <v>45</v>
      </c>
      <c r="V277" s="514" t="s">
        <v>33</v>
      </c>
      <c r="W277" s="52">
        <v>0.02</v>
      </c>
      <c r="X277" s="358">
        <v>0.13</v>
      </c>
      <c r="Y277" s="352"/>
      <c r="Z277" s="9" t="s">
        <v>48</v>
      </c>
      <c r="AA277" s="113" t="s">
        <v>24</v>
      </c>
      <c r="AB277" s="109"/>
      <c r="AC277" s="58"/>
    </row>
    <row r="278" spans="1:29" ht="15.75" thickBot="1" x14ac:dyDescent="0.3">
      <c r="A278" s="326">
        <v>45913</v>
      </c>
      <c r="B278" s="207">
        <v>4</v>
      </c>
      <c r="C278" s="208"/>
      <c r="D278" s="207" t="s">
        <v>193</v>
      </c>
      <c r="E278" s="209">
        <v>1.01</v>
      </c>
      <c r="F278" s="209"/>
      <c r="G278" s="460">
        <v>2</v>
      </c>
      <c r="H278" s="460">
        <v>0</v>
      </c>
      <c r="I278" s="211">
        <v>1.03</v>
      </c>
      <c r="J278" s="211"/>
      <c r="K278" s="208"/>
      <c r="L278" s="207" t="s">
        <v>91</v>
      </c>
      <c r="M278" s="235"/>
      <c r="N278" s="347"/>
      <c r="O278" s="343" t="s">
        <v>193</v>
      </c>
      <c r="P278" s="199" t="s">
        <v>580</v>
      </c>
      <c r="Q278" s="199" t="s">
        <v>581</v>
      </c>
      <c r="R278" s="199" t="s">
        <v>707</v>
      </c>
      <c r="S278" s="459">
        <v>70</v>
      </c>
      <c r="T278" s="199"/>
      <c r="U278" s="199"/>
      <c r="V278" s="201"/>
      <c r="W278" s="202"/>
      <c r="X278" s="359"/>
      <c r="Y278" s="353">
        <v>0</v>
      </c>
      <c r="Z278" s="199"/>
      <c r="AA278" s="204"/>
      <c r="AB278" s="205"/>
      <c r="AC278" s="201"/>
    </row>
    <row r="279" spans="1:29" ht="15.75" thickBot="1" x14ac:dyDescent="0.3">
      <c r="A279" s="326">
        <v>45913</v>
      </c>
      <c r="B279" s="207">
        <v>4</v>
      </c>
      <c r="C279" s="208"/>
      <c r="D279" s="207" t="s">
        <v>193</v>
      </c>
      <c r="E279" s="209">
        <v>1.01</v>
      </c>
      <c r="F279" s="209"/>
      <c r="G279" s="460">
        <v>2</v>
      </c>
      <c r="H279" s="460">
        <v>0</v>
      </c>
      <c r="I279" s="211">
        <v>1.03</v>
      </c>
      <c r="J279" s="211"/>
      <c r="K279" s="208"/>
      <c r="L279" s="207" t="s">
        <v>91</v>
      </c>
      <c r="M279" s="235"/>
      <c r="N279" s="347"/>
      <c r="O279" s="343" t="s">
        <v>91</v>
      </c>
      <c r="P279" s="199" t="s">
        <v>351</v>
      </c>
      <c r="Q279" s="199" t="s">
        <v>54</v>
      </c>
      <c r="R279" s="199" t="s">
        <v>707</v>
      </c>
      <c r="S279" s="481">
        <v>57</v>
      </c>
      <c r="T279" s="199"/>
      <c r="U279" s="199"/>
      <c r="V279" s="201"/>
      <c r="W279" s="202"/>
      <c r="X279" s="359"/>
      <c r="Y279" s="353">
        <v>2</v>
      </c>
      <c r="Z279" s="199"/>
      <c r="AA279" s="204"/>
      <c r="AB279" s="205"/>
      <c r="AC279" s="201"/>
    </row>
    <row r="280" spans="1:29" x14ac:dyDescent="0.25">
      <c r="A280" s="331">
        <v>45924</v>
      </c>
      <c r="B280" s="13">
        <v>6</v>
      </c>
      <c r="C280" s="124" t="s">
        <v>701</v>
      </c>
      <c r="D280" s="13" t="s">
        <v>193</v>
      </c>
      <c r="E280" s="14">
        <v>3.61</v>
      </c>
      <c r="F280" s="14"/>
      <c r="G280" s="375">
        <v>3</v>
      </c>
      <c r="H280" s="375">
        <v>2</v>
      </c>
      <c r="I280" s="16">
        <v>1.6</v>
      </c>
      <c r="J280" s="16"/>
      <c r="K280" s="124" t="s">
        <v>694</v>
      </c>
      <c r="L280" s="13" t="s">
        <v>70</v>
      </c>
      <c r="M280" s="47"/>
      <c r="N280" s="556">
        <v>12</v>
      </c>
      <c r="O280" s="557" t="s">
        <v>193</v>
      </c>
      <c r="P280" s="558" t="s">
        <v>206</v>
      </c>
      <c r="Q280" s="558" t="s">
        <v>207</v>
      </c>
      <c r="R280" s="558" t="s">
        <v>718</v>
      </c>
      <c r="S280" s="479">
        <v>65</v>
      </c>
      <c r="T280" s="558" t="s">
        <v>41</v>
      </c>
      <c r="U280" s="558" t="s">
        <v>42</v>
      </c>
      <c r="V280" s="559" t="s">
        <v>10</v>
      </c>
      <c r="W280" s="54">
        <v>0.09</v>
      </c>
      <c r="X280" s="361">
        <v>0.17</v>
      </c>
      <c r="Y280" s="355"/>
      <c r="Z280" s="13" t="s">
        <v>48</v>
      </c>
      <c r="AA280" s="115" t="s">
        <v>28</v>
      </c>
      <c r="AB280" s="110"/>
      <c r="AC280" s="60"/>
    </row>
    <row r="281" spans="1:29" x14ac:dyDescent="0.25">
      <c r="A281" s="329">
        <v>45924</v>
      </c>
      <c r="B281" s="5">
        <v>6</v>
      </c>
      <c r="D281" s="5" t="s">
        <v>193</v>
      </c>
      <c r="E281" s="6">
        <v>3.61</v>
      </c>
      <c r="G281" s="362">
        <v>3</v>
      </c>
      <c r="H281" s="362">
        <v>2</v>
      </c>
      <c r="I281" s="8">
        <v>1.6</v>
      </c>
      <c r="L281" s="5" t="s">
        <v>70</v>
      </c>
      <c r="N281" s="476">
        <v>15</v>
      </c>
      <c r="O281" s="477" t="s">
        <v>193</v>
      </c>
      <c r="P281" s="478" t="s">
        <v>200</v>
      </c>
      <c r="Q281" s="478" t="s">
        <v>201</v>
      </c>
      <c r="R281" s="478" t="s">
        <v>717</v>
      </c>
      <c r="S281" s="479">
        <v>96</v>
      </c>
      <c r="T281" s="478" t="s">
        <v>41</v>
      </c>
      <c r="U281" s="478" t="s">
        <v>43</v>
      </c>
      <c r="V281" s="480" t="s">
        <v>10</v>
      </c>
      <c r="W281" s="51">
        <v>0.34</v>
      </c>
      <c r="X281" s="357">
        <v>0.86</v>
      </c>
      <c r="Y281" s="351" t="s">
        <v>353</v>
      </c>
      <c r="Z281" s="5" t="s">
        <v>8</v>
      </c>
      <c r="AA281" s="112" t="s">
        <v>19</v>
      </c>
      <c r="AB281" s="108" t="s">
        <v>259</v>
      </c>
      <c r="AC281" s="57" t="s">
        <v>260</v>
      </c>
    </row>
    <row r="282" spans="1:29" x14ac:dyDescent="0.25">
      <c r="A282" s="329">
        <v>45924</v>
      </c>
      <c r="B282" s="5">
        <v>6</v>
      </c>
      <c r="D282" s="5" t="s">
        <v>193</v>
      </c>
      <c r="E282" s="6">
        <v>3.61</v>
      </c>
      <c r="G282" s="362">
        <v>3</v>
      </c>
      <c r="H282" s="362">
        <v>2</v>
      </c>
      <c r="I282" s="8">
        <v>1.6</v>
      </c>
      <c r="L282" s="5" t="s">
        <v>70</v>
      </c>
      <c r="N282" s="345">
        <v>32</v>
      </c>
      <c r="O282" s="38" t="s">
        <v>70</v>
      </c>
      <c r="P282" s="5" t="s">
        <v>76</v>
      </c>
      <c r="Q282" s="5" t="s">
        <v>77</v>
      </c>
      <c r="R282" s="5" t="s">
        <v>718</v>
      </c>
      <c r="S282" s="479">
        <v>73</v>
      </c>
      <c r="T282" s="5" t="s">
        <v>354</v>
      </c>
      <c r="U282" s="5" t="s">
        <v>43</v>
      </c>
      <c r="V282" s="57" t="s">
        <v>20</v>
      </c>
      <c r="W282" s="51">
        <v>0.01</v>
      </c>
      <c r="X282" s="357" t="s">
        <v>53</v>
      </c>
      <c r="Z282" s="5" t="s">
        <v>22</v>
      </c>
      <c r="AA282" s="112" t="s">
        <v>19</v>
      </c>
    </row>
    <row r="283" spans="1:29" x14ac:dyDescent="0.25">
      <c r="A283" s="329">
        <v>45924</v>
      </c>
      <c r="B283" s="5">
        <v>6</v>
      </c>
      <c r="D283" s="5" t="s">
        <v>193</v>
      </c>
      <c r="E283" s="6">
        <v>3.61</v>
      </c>
      <c r="G283" s="362">
        <v>3</v>
      </c>
      <c r="H283" s="362">
        <v>2</v>
      </c>
      <c r="I283" s="8">
        <v>1.6</v>
      </c>
      <c r="L283" s="5" t="s">
        <v>70</v>
      </c>
      <c r="N283" s="345">
        <v>35</v>
      </c>
      <c r="O283" s="38" t="s">
        <v>70</v>
      </c>
      <c r="P283" s="5" t="s">
        <v>53</v>
      </c>
      <c r="Q283" s="5" t="s">
        <v>405</v>
      </c>
      <c r="R283" s="5" t="s">
        <v>717</v>
      </c>
      <c r="S283" s="7">
        <v>58</v>
      </c>
      <c r="T283" s="5" t="s">
        <v>41</v>
      </c>
      <c r="U283" s="5" t="s">
        <v>42</v>
      </c>
      <c r="V283" s="57" t="s">
        <v>10</v>
      </c>
      <c r="W283" s="51">
        <v>0.6</v>
      </c>
      <c r="X283" s="357" t="s">
        <v>53</v>
      </c>
      <c r="Y283" s="351" t="s">
        <v>353</v>
      </c>
      <c r="Z283" s="5" t="s">
        <v>13</v>
      </c>
      <c r="AA283" s="112" t="s">
        <v>19</v>
      </c>
    </row>
    <row r="284" spans="1:29" x14ac:dyDescent="0.25">
      <c r="A284" s="329">
        <v>45924</v>
      </c>
      <c r="B284" s="5">
        <v>6</v>
      </c>
      <c r="D284" s="5" t="s">
        <v>193</v>
      </c>
      <c r="E284" s="6">
        <v>3.61</v>
      </c>
      <c r="G284" s="362">
        <v>3</v>
      </c>
      <c r="H284" s="362">
        <v>2</v>
      </c>
      <c r="I284" s="8">
        <v>1.6</v>
      </c>
      <c r="L284" s="5" t="s">
        <v>70</v>
      </c>
      <c r="N284" s="476">
        <v>39</v>
      </c>
      <c r="O284" s="477" t="s">
        <v>193</v>
      </c>
      <c r="P284" s="478" t="s">
        <v>200</v>
      </c>
      <c r="Q284" s="478" t="s">
        <v>201</v>
      </c>
      <c r="R284" s="478" t="s">
        <v>717</v>
      </c>
      <c r="S284" s="479">
        <v>96</v>
      </c>
      <c r="T284" s="478" t="s">
        <v>41</v>
      </c>
      <c r="U284" s="478" t="s">
        <v>43</v>
      </c>
      <c r="V284" s="480" t="s">
        <v>10</v>
      </c>
      <c r="W284" s="51">
        <v>0.52</v>
      </c>
      <c r="X284" s="357" t="s">
        <v>53</v>
      </c>
      <c r="Z284" s="5" t="s">
        <v>13</v>
      </c>
      <c r="AA284" s="112" t="s">
        <v>19</v>
      </c>
    </row>
    <row r="285" spans="1:29" x14ac:dyDescent="0.25">
      <c r="A285" s="329">
        <v>45924</v>
      </c>
      <c r="B285" s="5">
        <v>6</v>
      </c>
      <c r="D285" s="5" t="s">
        <v>193</v>
      </c>
      <c r="E285" s="6">
        <v>3.61</v>
      </c>
      <c r="G285" s="362">
        <v>3</v>
      </c>
      <c r="H285" s="362">
        <v>2</v>
      </c>
      <c r="I285" s="8">
        <v>1.6</v>
      </c>
      <c r="L285" s="5" t="s">
        <v>70</v>
      </c>
      <c r="N285" s="345" t="s">
        <v>68</v>
      </c>
      <c r="O285" s="38" t="s">
        <v>70</v>
      </c>
      <c r="P285" s="5" t="s">
        <v>80</v>
      </c>
      <c r="Q285" s="5" t="s">
        <v>81</v>
      </c>
      <c r="R285" s="5" t="s">
        <v>688</v>
      </c>
      <c r="S285" s="7">
        <v>77</v>
      </c>
      <c r="T285" s="5" t="s">
        <v>354</v>
      </c>
      <c r="U285" s="5" t="s">
        <v>43</v>
      </c>
      <c r="V285" s="57" t="s">
        <v>10</v>
      </c>
      <c r="W285" s="51">
        <v>0.01</v>
      </c>
      <c r="X285" s="357">
        <v>0.17</v>
      </c>
      <c r="Y285" s="351" t="s">
        <v>353</v>
      </c>
      <c r="Z285" s="5" t="s">
        <v>8</v>
      </c>
      <c r="AA285" s="112" t="s">
        <v>51</v>
      </c>
      <c r="AB285" s="108" t="s">
        <v>269</v>
      </c>
      <c r="AC285" s="57" t="s">
        <v>150</v>
      </c>
    </row>
    <row r="286" spans="1:29" x14ac:dyDescent="0.25">
      <c r="A286" s="329">
        <v>45924</v>
      </c>
      <c r="B286" s="5">
        <v>6</v>
      </c>
      <c r="D286" s="5" t="s">
        <v>193</v>
      </c>
      <c r="E286" s="6">
        <v>3.61</v>
      </c>
      <c r="G286" s="362">
        <v>3</v>
      </c>
      <c r="H286" s="362">
        <v>2</v>
      </c>
      <c r="I286" s="8">
        <v>1.6</v>
      </c>
      <c r="L286" s="5" t="s">
        <v>70</v>
      </c>
      <c r="N286" s="476">
        <v>50</v>
      </c>
      <c r="O286" s="477" t="s">
        <v>193</v>
      </c>
      <c r="P286" s="478" t="s">
        <v>259</v>
      </c>
      <c r="Q286" s="478" t="s">
        <v>260</v>
      </c>
      <c r="R286" s="478" t="s">
        <v>713</v>
      </c>
      <c r="S286" s="479">
        <v>75</v>
      </c>
      <c r="T286" s="478" t="s">
        <v>41</v>
      </c>
      <c r="U286" s="478" t="s">
        <v>43</v>
      </c>
      <c r="V286" s="480" t="s">
        <v>540</v>
      </c>
      <c r="W286" s="51">
        <v>0.1</v>
      </c>
      <c r="X286" s="357">
        <v>0.08</v>
      </c>
      <c r="Z286" s="5" t="s">
        <v>48</v>
      </c>
      <c r="AA286" s="112" t="s">
        <v>51</v>
      </c>
    </row>
    <row r="287" spans="1:29" x14ac:dyDescent="0.25">
      <c r="A287" s="329">
        <v>45924</v>
      </c>
      <c r="B287" s="5">
        <v>6</v>
      </c>
      <c r="D287" s="5" t="s">
        <v>193</v>
      </c>
      <c r="E287" s="6">
        <v>3.61</v>
      </c>
      <c r="G287" s="362">
        <v>3</v>
      </c>
      <c r="H287" s="362">
        <v>2</v>
      </c>
      <c r="I287" s="8">
        <v>1.6</v>
      </c>
      <c r="L287" s="5" t="s">
        <v>70</v>
      </c>
      <c r="N287" s="345">
        <v>53</v>
      </c>
      <c r="O287" s="38" t="s">
        <v>70</v>
      </c>
      <c r="P287" s="5" t="s">
        <v>76</v>
      </c>
      <c r="Q287" s="5" t="s">
        <v>77</v>
      </c>
      <c r="R287" s="5" t="s">
        <v>718</v>
      </c>
      <c r="S287" s="459">
        <v>73</v>
      </c>
      <c r="T287" s="5" t="s">
        <v>41</v>
      </c>
      <c r="U287" s="5" t="s">
        <v>43</v>
      </c>
      <c r="V287" s="57" t="s">
        <v>540</v>
      </c>
      <c r="W287" s="51">
        <v>0.32</v>
      </c>
      <c r="X287" s="357">
        <v>0.23</v>
      </c>
      <c r="Y287" s="351" t="s">
        <v>353</v>
      </c>
      <c r="Z287" s="5" t="s">
        <v>48</v>
      </c>
      <c r="AA287" s="112" t="s">
        <v>51</v>
      </c>
    </row>
    <row r="288" spans="1:29" x14ac:dyDescent="0.25">
      <c r="A288" s="329">
        <v>45924</v>
      </c>
      <c r="B288" s="5">
        <v>6</v>
      </c>
      <c r="D288" s="5" t="s">
        <v>193</v>
      </c>
      <c r="E288" s="6">
        <v>3.61</v>
      </c>
      <c r="G288" s="362">
        <v>3</v>
      </c>
      <c r="H288" s="362">
        <v>2</v>
      </c>
      <c r="I288" s="8">
        <v>1.6</v>
      </c>
      <c r="L288" s="5" t="s">
        <v>70</v>
      </c>
      <c r="N288" s="476">
        <v>59</v>
      </c>
      <c r="O288" s="477" t="s">
        <v>193</v>
      </c>
      <c r="P288" s="478" t="s">
        <v>96</v>
      </c>
      <c r="Q288" s="478" t="s">
        <v>327</v>
      </c>
      <c r="R288" s="478" t="s">
        <v>696</v>
      </c>
      <c r="S288" s="481">
        <v>64</v>
      </c>
      <c r="T288" s="478" t="s">
        <v>41</v>
      </c>
      <c r="U288" s="478" t="s">
        <v>45</v>
      </c>
      <c r="V288" s="480" t="s">
        <v>10</v>
      </c>
      <c r="W288" s="51">
        <v>0.18</v>
      </c>
      <c r="X288" s="357" t="s">
        <v>53</v>
      </c>
      <c r="Y288" s="351" t="s">
        <v>353</v>
      </c>
      <c r="Z288" s="5" t="s">
        <v>22</v>
      </c>
      <c r="AA288" s="112" t="s">
        <v>51</v>
      </c>
    </row>
    <row r="289" spans="1:29" x14ac:dyDescent="0.25">
      <c r="A289" s="329">
        <v>45924</v>
      </c>
      <c r="B289" s="5">
        <v>6</v>
      </c>
      <c r="D289" s="5" t="s">
        <v>193</v>
      </c>
      <c r="E289" s="6">
        <v>3.61</v>
      </c>
      <c r="G289" s="362">
        <v>3</v>
      </c>
      <c r="H289" s="362">
        <v>2</v>
      </c>
      <c r="I289" s="8">
        <v>1.6</v>
      </c>
      <c r="L289" s="5" t="s">
        <v>70</v>
      </c>
      <c r="N289" s="476">
        <v>67</v>
      </c>
      <c r="O289" s="477" t="s">
        <v>193</v>
      </c>
      <c r="P289" s="478" t="s">
        <v>204</v>
      </c>
      <c r="Q289" s="478" t="s">
        <v>205</v>
      </c>
      <c r="R289" s="478" t="s">
        <v>696</v>
      </c>
      <c r="S289" s="479">
        <v>70</v>
      </c>
      <c r="T289" s="478" t="s">
        <v>41</v>
      </c>
      <c r="U289" s="478" t="s">
        <v>42</v>
      </c>
      <c r="V289" s="480" t="s">
        <v>18</v>
      </c>
      <c r="W289" s="51">
        <v>0.2</v>
      </c>
      <c r="X289" s="357">
        <v>0.57999999999999996</v>
      </c>
      <c r="Z289" s="5" t="s">
        <v>48</v>
      </c>
      <c r="AA289" s="112" t="s">
        <v>51</v>
      </c>
    </row>
    <row r="290" spans="1:29" x14ac:dyDescent="0.25">
      <c r="A290" s="329">
        <v>45924</v>
      </c>
      <c r="B290" s="5">
        <v>6</v>
      </c>
      <c r="D290" s="5" t="s">
        <v>193</v>
      </c>
      <c r="E290" s="6">
        <v>3.61</v>
      </c>
      <c r="G290" s="362">
        <v>3</v>
      </c>
      <c r="H290" s="362">
        <v>2</v>
      </c>
      <c r="I290" s="8">
        <v>1.6</v>
      </c>
      <c r="L290" s="5" t="s">
        <v>70</v>
      </c>
      <c r="N290" s="345">
        <v>77</v>
      </c>
      <c r="O290" s="38" t="s">
        <v>70</v>
      </c>
      <c r="P290" s="5" t="s">
        <v>74</v>
      </c>
      <c r="Q290" s="5" t="s">
        <v>75</v>
      </c>
      <c r="R290" s="5" t="s">
        <v>696</v>
      </c>
      <c r="S290" s="7">
        <v>69</v>
      </c>
      <c r="T290" s="5" t="s">
        <v>41</v>
      </c>
      <c r="U290" s="5" t="s">
        <v>42</v>
      </c>
      <c r="V290" s="57" t="s">
        <v>18</v>
      </c>
      <c r="W290" s="51">
        <v>0.57999999999999996</v>
      </c>
      <c r="X290" s="357">
        <v>0.99</v>
      </c>
      <c r="Y290" s="351" t="s">
        <v>353</v>
      </c>
      <c r="Z290" s="5" t="s">
        <v>8</v>
      </c>
      <c r="AA290" s="112" t="s">
        <v>67</v>
      </c>
      <c r="AB290" s="108" t="s">
        <v>76</v>
      </c>
      <c r="AC290" s="57" t="s">
        <v>77</v>
      </c>
    </row>
    <row r="291" spans="1:29" x14ac:dyDescent="0.25">
      <c r="A291" s="329">
        <v>45924</v>
      </c>
      <c r="B291" s="5">
        <v>6</v>
      </c>
      <c r="D291" s="5" t="s">
        <v>193</v>
      </c>
      <c r="E291" s="6">
        <v>3.61</v>
      </c>
      <c r="G291" s="362">
        <v>3</v>
      </c>
      <c r="H291" s="362">
        <v>2</v>
      </c>
      <c r="I291" s="8">
        <v>1.6</v>
      </c>
      <c r="L291" s="5" t="s">
        <v>70</v>
      </c>
      <c r="N291" s="476">
        <v>80</v>
      </c>
      <c r="O291" s="477" t="s">
        <v>193</v>
      </c>
      <c r="P291" s="478" t="s">
        <v>204</v>
      </c>
      <c r="Q291" s="478" t="s">
        <v>205</v>
      </c>
      <c r="R291" s="478" t="s">
        <v>696</v>
      </c>
      <c r="S291" s="479">
        <v>70</v>
      </c>
      <c r="T291" s="478" t="s">
        <v>47</v>
      </c>
      <c r="U291" s="478" t="s">
        <v>45</v>
      </c>
      <c r="V291" s="480" t="s">
        <v>10</v>
      </c>
      <c r="W291" s="51">
        <v>0.06</v>
      </c>
      <c r="X291" s="357">
        <v>0.27</v>
      </c>
      <c r="Z291" s="5" t="s">
        <v>48</v>
      </c>
      <c r="AA291" s="112" t="s">
        <v>67</v>
      </c>
    </row>
    <row r="292" spans="1:29" x14ac:dyDescent="0.25">
      <c r="A292" s="329">
        <v>45924</v>
      </c>
      <c r="B292" s="5">
        <v>6</v>
      </c>
      <c r="D292" s="5" t="s">
        <v>193</v>
      </c>
      <c r="E292" s="6">
        <v>3.61</v>
      </c>
      <c r="G292" s="362">
        <v>3</v>
      </c>
      <c r="H292" s="362">
        <v>2</v>
      </c>
      <c r="I292" s="8">
        <v>1.6</v>
      </c>
      <c r="L292" s="5" t="s">
        <v>70</v>
      </c>
      <c r="N292" s="476">
        <v>80</v>
      </c>
      <c r="O292" s="477" t="s">
        <v>193</v>
      </c>
      <c r="P292" s="478" t="s">
        <v>200</v>
      </c>
      <c r="Q292" s="478" t="s">
        <v>201</v>
      </c>
      <c r="R292" s="478" t="s">
        <v>717</v>
      </c>
      <c r="S292" s="479">
        <v>96</v>
      </c>
      <c r="T292" s="478" t="s">
        <v>47</v>
      </c>
      <c r="U292" s="478" t="s">
        <v>42</v>
      </c>
      <c r="V292" s="480" t="s">
        <v>540</v>
      </c>
      <c r="W292" s="51">
        <v>0.27</v>
      </c>
      <c r="X292" s="357">
        <v>0.71</v>
      </c>
      <c r="Y292" s="351" t="s">
        <v>353</v>
      </c>
      <c r="Z292" s="5" t="s">
        <v>8</v>
      </c>
      <c r="AA292" s="112" t="s">
        <v>189</v>
      </c>
    </row>
    <row r="293" spans="1:29" x14ac:dyDescent="0.25">
      <c r="A293" s="329">
        <v>45924</v>
      </c>
      <c r="B293" s="5">
        <v>6</v>
      </c>
      <c r="D293" s="5" t="s">
        <v>193</v>
      </c>
      <c r="E293" s="6">
        <v>3.61</v>
      </c>
      <c r="G293" s="362">
        <v>3</v>
      </c>
      <c r="H293" s="362">
        <v>2</v>
      </c>
      <c r="I293" s="8">
        <v>1.6</v>
      </c>
      <c r="L293" s="5" t="s">
        <v>70</v>
      </c>
      <c r="N293" s="476">
        <v>83</v>
      </c>
      <c r="O293" s="477" t="s">
        <v>193</v>
      </c>
      <c r="P293" s="478" t="s">
        <v>204</v>
      </c>
      <c r="Q293" s="478" t="s">
        <v>205</v>
      </c>
      <c r="R293" s="478" t="s">
        <v>696</v>
      </c>
      <c r="S293" s="479">
        <v>70</v>
      </c>
      <c r="T293" s="478" t="s">
        <v>47</v>
      </c>
      <c r="U293" s="478" t="s">
        <v>42</v>
      </c>
      <c r="V293" s="480" t="s">
        <v>10</v>
      </c>
      <c r="W293" s="51">
        <v>0.43</v>
      </c>
      <c r="X293" s="357" t="s">
        <v>53</v>
      </c>
      <c r="Y293" s="351" t="s">
        <v>353</v>
      </c>
      <c r="Z293" s="5" t="s">
        <v>17</v>
      </c>
      <c r="AA293" s="112" t="s">
        <v>189</v>
      </c>
    </row>
    <row r="294" spans="1:29" x14ac:dyDescent="0.25">
      <c r="A294" s="329">
        <v>45924</v>
      </c>
      <c r="B294" s="5">
        <v>6</v>
      </c>
      <c r="D294" s="5" t="s">
        <v>193</v>
      </c>
      <c r="E294" s="6">
        <v>3.61</v>
      </c>
      <c r="G294" s="362">
        <v>3</v>
      </c>
      <c r="H294" s="362">
        <v>2</v>
      </c>
      <c r="I294" s="8">
        <v>1.6</v>
      </c>
      <c r="L294" s="5" t="s">
        <v>70</v>
      </c>
      <c r="N294" s="476">
        <v>83</v>
      </c>
      <c r="O294" s="477" t="s">
        <v>193</v>
      </c>
      <c r="P294" s="478" t="s">
        <v>316</v>
      </c>
      <c r="Q294" s="478" t="s">
        <v>317</v>
      </c>
      <c r="R294" s="478" t="s">
        <v>712</v>
      </c>
      <c r="S294" s="479">
        <v>69</v>
      </c>
      <c r="T294" s="478" t="s">
        <v>47</v>
      </c>
      <c r="U294" s="478" t="s">
        <v>45</v>
      </c>
      <c r="V294" s="480" t="s">
        <v>20</v>
      </c>
      <c r="W294" s="51">
        <v>0.18</v>
      </c>
      <c r="X294" s="357" t="s">
        <v>53</v>
      </c>
      <c r="Z294" s="5" t="s">
        <v>13</v>
      </c>
      <c r="AA294" s="112" t="s">
        <v>189</v>
      </c>
    </row>
    <row r="295" spans="1:29" x14ac:dyDescent="0.25">
      <c r="A295" s="329">
        <v>45924</v>
      </c>
      <c r="B295" s="5">
        <v>6</v>
      </c>
      <c r="D295" s="5" t="s">
        <v>193</v>
      </c>
      <c r="E295" s="6">
        <v>3.61</v>
      </c>
      <c r="G295" s="362">
        <v>3</v>
      </c>
      <c r="H295" s="362">
        <v>2</v>
      </c>
      <c r="I295" s="8">
        <v>1.6</v>
      </c>
      <c r="L295" s="5" t="s">
        <v>70</v>
      </c>
      <c r="N295" s="476">
        <v>84</v>
      </c>
      <c r="O295" s="477" t="s">
        <v>193</v>
      </c>
      <c r="P295" s="478" t="s">
        <v>318</v>
      </c>
      <c r="Q295" s="478" t="s">
        <v>319</v>
      </c>
      <c r="R295" s="478" t="s">
        <v>696</v>
      </c>
      <c r="S295" s="479">
        <v>63</v>
      </c>
      <c r="T295" s="478" t="s">
        <v>41</v>
      </c>
      <c r="U295" s="478" t="s">
        <v>42</v>
      </c>
      <c r="V295" s="480" t="s">
        <v>10</v>
      </c>
      <c r="W295" s="51">
        <v>0.38</v>
      </c>
      <c r="X295" s="357" t="s">
        <v>53</v>
      </c>
      <c r="Y295" s="351" t="s">
        <v>353</v>
      </c>
      <c r="Z295" s="5" t="s">
        <v>13</v>
      </c>
      <c r="AA295" s="112" t="s">
        <v>189</v>
      </c>
    </row>
    <row r="296" spans="1:29" x14ac:dyDescent="0.25">
      <c r="A296" s="329">
        <v>45924</v>
      </c>
      <c r="B296" s="5">
        <v>6</v>
      </c>
      <c r="D296" s="5" t="s">
        <v>193</v>
      </c>
      <c r="E296" s="6">
        <v>3.61</v>
      </c>
      <c r="G296" s="362">
        <v>3</v>
      </c>
      <c r="H296" s="362">
        <v>2</v>
      </c>
      <c r="I296" s="8">
        <v>1.6</v>
      </c>
      <c r="L296" s="5" t="s">
        <v>70</v>
      </c>
      <c r="N296" s="476">
        <v>88</v>
      </c>
      <c r="O296" s="477" t="s">
        <v>193</v>
      </c>
      <c r="P296" s="478" t="s">
        <v>200</v>
      </c>
      <c r="Q296" s="478" t="s">
        <v>201</v>
      </c>
      <c r="R296" s="478" t="s">
        <v>717</v>
      </c>
      <c r="S296" s="479">
        <v>96</v>
      </c>
      <c r="T296" s="478" t="s">
        <v>354</v>
      </c>
      <c r="U296" s="478" t="s">
        <v>43</v>
      </c>
      <c r="V296" s="480" t="s">
        <v>10</v>
      </c>
      <c r="W296" s="51">
        <v>0.04</v>
      </c>
      <c r="X296" s="357">
        <v>0.36</v>
      </c>
      <c r="Z296" s="5" t="s">
        <v>8</v>
      </c>
      <c r="AA296" s="112" t="s">
        <v>180</v>
      </c>
      <c r="AB296" s="108" t="s">
        <v>204</v>
      </c>
      <c r="AC296" s="57" t="s">
        <v>205</v>
      </c>
    </row>
    <row r="297" spans="1:29" ht="15.75" thickBot="1" x14ac:dyDescent="0.3">
      <c r="A297" s="330">
        <v>45924</v>
      </c>
      <c r="B297" s="9">
        <v>6</v>
      </c>
      <c r="C297" s="122"/>
      <c r="D297" s="9" t="s">
        <v>193</v>
      </c>
      <c r="E297" s="10">
        <v>3.61</v>
      </c>
      <c r="F297" s="10"/>
      <c r="G297" s="383">
        <v>3</v>
      </c>
      <c r="H297" s="383">
        <v>2</v>
      </c>
      <c r="I297" s="12">
        <v>1.6</v>
      </c>
      <c r="J297" s="12"/>
      <c r="K297" s="122"/>
      <c r="L297" s="9" t="s">
        <v>70</v>
      </c>
      <c r="M297" s="45"/>
      <c r="N297" s="511" t="s">
        <v>57</v>
      </c>
      <c r="O297" s="512" t="s">
        <v>193</v>
      </c>
      <c r="P297" s="513" t="s">
        <v>204</v>
      </c>
      <c r="Q297" s="513" t="s">
        <v>205</v>
      </c>
      <c r="R297" s="513" t="s">
        <v>696</v>
      </c>
      <c r="S297" s="479">
        <v>70</v>
      </c>
      <c r="T297" s="513" t="s">
        <v>41</v>
      </c>
      <c r="U297" s="513" t="s">
        <v>42</v>
      </c>
      <c r="V297" s="514" t="s">
        <v>10</v>
      </c>
      <c r="W297" s="52">
        <v>0.61</v>
      </c>
      <c r="X297" s="358" t="s">
        <v>53</v>
      </c>
      <c r="Y297" s="352" t="s">
        <v>353</v>
      </c>
      <c r="Z297" s="9" t="s">
        <v>13</v>
      </c>
      <c r="AA297" s="113" t="s">
        <v>180</v>
      </c>
      <c r="AB297" s="109"/>
      <c r="AC297" s="58"/>
    </row>
    <row r="298" spans="1:29" ht="15.75" thickBot="1" x14ac:dyDescent="0.3">
      <c r="A298" s="326">
        <v>45924</v>
      </c>
      <c r="B298" s="207">
        <v>6</v>
      </c>
      <c r="C298" s="208"/>
      <c r="D298" s="207" t="s">
        <v>193</v>
      </c>
      <c r="E298" s="209">
        <v>3.61</v>
      </c>
      <c r="F298" s="209"/>
      <c r="G298" s="460">
        <v>3</v>
      </c>
      <c r="H298" s="460">
        <v>2</v>
      </c>
      <c r="I298" s="211">
        <v>1.6</v>
      </c>
      <c r="J298" s="211"/>
      <c r="K298" s="208"/>
      <c r="L298" s="207" t="s">
        <v>70</v>
      </c>
      <c r="M298" s="235"/>
      <c r="N298" s="347"/>
      <c r="O298" s="343" t="s">
        <v>193</v>
      </c>
      <c r="P298" s="199" t="s">
        <v>580</v>
      </c>
      <c r="Q298" s="199" t="s">
        <v>581</v>
      </c>
      <c r="R298" s="199" t="s">
        <v>707</v>
      </c>
      <c r="S298" s="481">
        <v>60</v>
      </c>
      <c r="T298" s="199"/>
      <c r="U298" s="199"/>
      <c r="V298" s="201"/>
      <c r="W298" s="202"/>
      <c r="X298" s="359"/>
      <c r="Y298" s="353">
        <v>2</v>
      </c>
      <c r="Z298" s="199"/>
      <c r="AA298" s="204"/>
      <c r="AB298" s="205"/>
      <c r="AC298" s="201"/>
    </row>
    <row r="299" spans="1:29" ht="15.75" thickBot="1" x14ac:dyDescent="0.3">
      <c r="A299" s="326">
        <v>45924</v>
      </c>
      <c r="B299" s="207">
        <v>6</v>
      </c>
      <c r="C299" s="208"/>
      <c r="D299" s="207" t="s">
        <v>193</v>
      </c>
      <c r="E299" s="209">
        <v>3.61</v>
      </c>
      <c r="F299" s="209"/>
      <c r="G299" s="460">
        <v>3</v>
      </c>
      <c r="H299" s="460">
        <v>2</v>
      </c>
      <c r="I299" s="211">
        <v>1.6</v>
      </c>
      <c r="J299" s="211"/>
      <c r="K299" s="208"/>
      <c r="L299" s="207" t="s">
        <v>70</v>
      </c>
      <c r="M299" s="235"/>
      <c r="N299" s="347"/>
      <c r="O299" s="343" t="s">
        <v>70</v>
      </c>
      <c r="P299" s="199" t="s">
        <v>714</v>
      </c>
      <c r="Q299" s="199" t="s">
        <v>715</v>
      </c>
      <c r="R299" s="199" t="s">
        <v>707</v>
      </c>
      <c r="S299" s="481">
        <v>62</v>
      </c>
      <c r="T299" s="199"/>
      <c r="U299" s="199"/>
      <c r="V299" s="201"/>
      <c r="W299" s="202"/>
      <c r="X299" s="359"/>
      <c r="Y299" s="353">
        <v>3</v>
      </c>
      <c r="Z299" s="199"/>
      <c r="AA299" s="204"/>
      <c r="AB299" s="205"/>
      <c r="AC299" s="201"/>
    </row>
    <row r="300" spans="1:29" x14ac:dyDescent="0.25">
      <c r="A300" s="328">
        <v>45927</v>
      </c>
      <c r="B300" s="17">
        <v>7</v>
      </c>
      <c r="C300" s="123" t="s">
        <v>694</v>
      </c>
      <c r="D300" s="17" t="s">
        <v>193</v>
      </c>
      <c r="E300" s="18">
        <v>2.34</v>
      </c>
      <c r="F300" s="18"/>
      <c r="G300" s="461">
        <v>5</v>
      </c>
      <c r="H300" s="461">
        <v>2</v>
      </c>
      <c r="I300" s="20">
        <v>0.66</v>
      </c>
      <c r="J300" s="20"/>
      <c r="K300" s="123" t="s">
        <v>693</v>
      </c>
      <c r="L300" s="17" t="s">
        <v>226</v>
      </c>
      <c r="M300" s="46"/>
      <c r="N300" s="507">
        <v>14</v>
      </c>
      <c r="O300" s="508" t="s">
        <v>193</v>
      </c>
      <c r="P300" s="509" t="s">
        <v>513</v>
      </c>
      <c r="Q300" s="509" t="s">
        <v>514</v>
      </c>
      <c r="R300" s="509" t="s">
        <v>713</v>
      </c>
      <c r="S300" s="479">
        <v>64</v>
      </c>
      <c r="T300" s="509" t="s">
        <v>47</v>
      </c>
      <c r="U300" s="509" t="s">
        <v>45</v>
      </c>
      <c r="V300" s="510" t="s">
        <v>33</v>
      </c>
      <c r="W300" s="53">
        <v>0.26</v>
      </c>
      <c r="X300" s="360">
        <v>0.16</v>
      </c>
      <c r="Y300" s="354" t="s">
        <v>353</v>
      </c>
      <c r="Z300" s="17" t="s">
        <v>8</v>
      </c>
      <c r="AA300" s="114" t="s">
        <v>19</v>
      </c>
      <c r="AB300" s="110" t="s">
        <v>204</v>
      </c>
      <c r="AC300" s="60" t="s">
        <v>205</v>
      </c>
    </row>
    <row r="301" spans="1:29" x14ac:dyDescent="0.25">
      <c r="A301" s="329">
        <v>45927</v>
      </c>
      <c r="B301" s="5">
        <v>7</v>
      </c>
      <c r="D301" s="5" t="s">
        <v>193</v>
      </c>
      <c r="E301" s="6">
        <v>2.34</v>
      </c>
      <c r="G301" s="362">
        <v>5</v>
      </c>
      <c r="H301" s="362">
        <v>2</v>
      </c>
      <c r="I301" s="8">
        <v>0.66</v>
      </c>
      <c r="L301" s="5" t="s">
        <v>226</v>
      </c>
      <c r="N301" s="345">
        <v>25</v>
      </c>
      <c r="O301" s="38" t="s">
        <v>226</v>
      </c>
      <c r="P301" s="5" t="s">
        <v>231</v>
      </c>
      <c r="Q301" s="5" t="s">
        <v>232</v>
      </c>
      <c r="R301" s="5" t="s">
        <v>684</v>
      </c>
      <c r="S301" s="481">
        <v>76</v>
      </c>
      <c r="T301" s="5" t="s">
        <v>41</v>
      </c>
      <c r="U301" s="5" t="s">
        <v>42</v>
      </c>
      <c r="V301" s="57" t="s">
        <v>10</v>
      </c>
      <c r="W301" s="51">
        <v>0.17</v>
      </c>
      <c r="X301" s="357">
        <v>0.44</v>
      </c>
      <c r="Y301" s="351" t="s">
        <v>353</v>
      </c>
      <c r="Z301" s="5" t="s">
        <v>8</v>
      </c>
      <c r="AA301" s="112" t="s">
        <v>51</v>
      </c>
      <c r="AB301" s="108" t="s">
        <v>56</v>
      </c>
      <c r="AC301" s="57" t="s">
        <v>235</v>
      </c>
    </row>
    <row r="302" spans="1:29" x14ac:dyDescent="0.25">
      <c r="A302" s="329">
        <v>45927</v>
      </c>
      <c r="B302" s="5">
        <v>7</v>
      </c>
      <c r="D302" s="5" t="s">
        <v>193</v>
      </c>
      <c r="E302" s="6">
        <v>2.34</v>
      </c>
      <c r="G302" s="362">
        <v>5</v>
      </c>
      <c r="H302" s="362">
        <v>2</v>
      </c>
      <c r="I302" s="8">
        <v>0.66</v>
      </c>
      <c r="L302" s="5" t="s">
        <v>226</v>
      </c>
      <c r="N302" s="345">
        <v>36</v>
      </c>
      <c r="O302" s="38" t="s">
        <v>226</v>
      </c>
      <c r="P302" s="5" t="s">
        <v>56</v>
      </c>
      <c r="Q302" s="5" t="s">
        <v>235</v>
      </c>
      <c r="R302" s="5" t="s">
        <v>686</v>
      </c>
      <c r="S302" s="481">
        <v>73</v>
      </c>
      <c r="T302" s="5" t="s">
        <v>41</v>
      </c>
      <c r="U302" s="5" t="s">
        <v>43</v>
      </c>
      <c r="V302" s="57" t="s">
        <v>18</v>
      </c>
      <c r="W302" s="51">
        <v>0.32</v>
      </c>
      <c r="X302" s="357">
        <v>0.26</v>
      </c>
      <c r="Y302" s="351" t="s">
        <v>353</v>
      </c>
      <c r="Z302" s="5" t="s">
        <v>8</v>
      </c>
      <c r="AA302" s="112" t="s">
        <v>67</v>
      </c>
      <c r="AB302" s="108" t="s">
        <v>289</v>
      </c>
      <c r="AC302" s="57" t="s">
        <v>54</v>
      </c>
    </row>
    <row r="303" spans="1:29" x14ac:dyDescent="0.25">
      <c r="A303" s="329">
        <v>45927</v>
      </c>
      <c r="B303" s="5">
        <v>7</v>
      </c>
      <c r="D303" s="5" t="s">
        <v>193</v>
      </c>
      <c r="E303" s="6">
        <v>2.34</v>
      </c>
      <c r="G303" s="362">
        <v>5</v>
      </c>
      <c r="H303" s="362">
        <v>2</v>
      </c>
      <c r="I303" s="8">
        <v>0.66</v>
      </c>
      <c r="L303" s="5" t="s">
        <v>226</v>
      </c>
      <c r="N303" s="476">
        <v>39</v>
      </c>
      <c r="O303" s="477" t="s">
        <v>193</v>
      </c>
      <c r="P303" s="478" t="s">
        <v>200</v>
      </c>
      <c r="Q303" s="478" t="s">
        <v>201</v>
      </c>
      <c r="R303" s="478" t="s">
        <v>717</v>
      </c>
      <c r="S303" s="479">
        <v>88</v>
      </c>
      <c r="T303" s="478" t="s">
        <v>354</v>
      </c>
      <c r="U303" s="478" t="s">
        <v>42</v>
      </c>
      <c r="V303" s="480" t="s">
        <v>10</v>
      </c>
      <c r="W303" s="51">
        <v>0.02</v>
      </c>
      <c r="X303" s="357" t="s">
        <v>53</v>
      </c>
      <c r="Z303" s="5" t="s">
        <v>17</v>
      </c>
      <c r="AA303" s="112" t="s">
        <v>67</v>
      </c>
    </row>
    <row r="304" spans="1:29" x14ac:dyDescent="0.25">
      <c r="A304" s="329">
        <v>45927</v>
      </c>
      <c r="B304" s="5">
        <v>7</v>
      </c>
      <c r="D304" s="5" t="s">
        <v>193</v>
      </c>
      <c r="E304" s="6">
        <v>2.34</v>
      </c>
      <c r="G304" s="362">
        <v>5</v>
      </c>
      <c r="H304" s="362">
        <v>2</v>
      </c>
      <c r="I304" s="8">
        <v>0.66</v>
      </c>
      <c r="L304" s="5" t="s">
        <v>226</v>
      </c>
      <c r="N304" s="476" t="s">
        <v>428</v>
      </c>
      <c r="O304" s="477" t="s">
        <v>193</v>
      </c>
      <c r="P304" s="478" t="s">
        <v>257</v>
      </c>
      <c r="Q304" s="478" t="s">
        <v>258</v>
      </c>
      <c r="R304" s="478" t="s">
        <v>718</v>
      </c>
      <c r="S304" s="479">
        <v>73</v>
      </c>
      <c r="T304" s="478" t="s">
        <v>41</v>
      </c>
      <c r="U304" s="478" t="s">
        <v>45</v>
      </c>
      <c r="V304" s="480" t="s">
        <v>29</v>
      </c>
      <c r="W304" s="51">
        <v>0.23</v>
      </c>
      <c r="X304" s="357">
        <v>0.64</v>
      </c>
      <c r="Y304" s="351" t="s">
        <v>353</v>
      </c>
      <c r="Z304" s="5" t="s">
        <v>8</v>
      </c>
      <c r="AA304" s="112" t="s">
        <v>189</v>
      </c>
      <c r="AB304" s="108" t="s">
        <v>53</v>
      </c>
      <c r="AC304" s="57" t="s">
        <v>477</v>
      </c>
    </row>
    <row r="305" spans="1:29" x14ac:dyDescent="0.25">
      <c r="A305" s="329">
        <v>45927</v>
      </c>
      <c r="B305" s="5">
        <v>7</v>
      </c>
      <c r="D305" s="5" t="s">
        <v>193</v>
      </c>
      <c r="E305" s="6">
        <v>2.34</v>
      </c>
      <c r="G305" s="362">
        <v>5</v>
      </c>
      <c r="H305" s="362">
        <v>2</v>
      </c>
      <c r="I305" s="8">
        <v>0.66</v>
      </c>
      <c r="L305" s="5" t="s">
        <v>226</v>
      </c>
      <c r="N305" s="476">
        <v>51</v>
      </c>
      <c r="O305" s="477" t="s">
        <v>193</v>
      </c>
      <c r="P305" s="478" t="s">
        <v>200</v>
      </c>
      <c r="Q305" s="478" t="s">
        <v>201</v>
      </c>
      <c r="R305" s="478" t="s">
        <v>717</v>
      </c>
      <c r="S305" s="479">
        <v>88</v>
      </c>
      <c r="T305" s="478" t="s">
        <v>41</v>
      </c>
      <c r="U305" s="478" t="s">
        <v>42</v>
      </c>
      <c r="V305" s="480" t="s">
        <v>7</v>
      </c>
      <c r="W305" s="51">
        <v>0.79</v>
      </c>
      <c r="X305" s="357">
        <v>0.6</v>
      </c>
      <c r="Y305" s="351" t="s">
        <v>353</v>
      </c>
      <c r="Z305" s="5" t="s">
        <v>8</v>
      </c>
      <c r="AA305" s="112" t="s">
        <v>180</v>
      </c>
    </row>
    <row r="306" spans="1:29" x14ac:dyDescent="0.25">
      <c r="A306" s="329">
        <v>45927</v>
      </c>
      <c r="B306" s="5">
        <v>7</v>
      </c>
      <c r="D306" s="5" t="s">
        <v>193</v>
      </c>
      <c r="E306" s="6">
        <v>2.34</v>
      </c>
      <c r="G306" s="362">
        <v>5</v>
      </c>
      <c r="H306" s="362">
        <v>2</v>
      </c>
      <c r="I306" s="8">
        <v>0.66</v>
      </c>
      <c r="L306" s="5" t="s">
        <v>226</v>
      </c>
      <c r="N306" s="476">
        <v>59</v>
      </c>
      <c r="O306" s="477" t="s">
        <v>193</v>
      </c>
      <c r="P306" s="478" t="s">
        <v>200</v>
      </c>
      <c r="Q306" s="478" t="s">
        <v>201</v>
      </c>
      <c r="R306" s="478" t="s">
        <v>717</v>
      </c>
      <c r="S306" s="479">
        <v>88</v>
      </c>
      <c r="T306" s="478" t="s">
        <v>44</v>
      </c>
      <c r="U306" s="478" t="s">
        <v>42</v>
      </c>
      <c r="V306" s="480" t="s">
        <v>15</v>
      </c>
      <c r="W306" s="51">
        <v>0.05</v>
      </c>
      <c r="X306" s="357" t="s">
        <v>53</v>
      </c>
      <c r="Z306" s="5" t="s">
        <v>55</v>
      </c>
      <c r="AA306" s="112" t="s">
        <v>180</v>
      </c>
    </row>
    <row r="307" spans="1:29" x14ac:dyDescent="0.25">
      <c r="A307" s="329">
        <v>45927</v>
      </c>
      <c r="B307" s="5">
        <v>7</v>
      </c>
      <c r="D307" s="5" t="s">
        <v>193</v>
      </c>
      <c r="E307" s="6">
        <v>2.34</v>
      </c>
      <c r="G307" s="362">
        <v>5</v>
      </c>
      <c r="H307" s="362">
        <v>2</v>
      </c>
      <c r="I307" s="8">
        <v>0.66</v>
      </c>
      <c r="L307" s="5" t="s">
        <v>226</v>
      </c>
      <c r="N307" s="476">
        <v>62</v>
      </c>
      <c r="O307" s="477" t="s">
        <v>193</v>
      </c>
      <c r="P307" s="478" t="s">
        <v>257</v>
      </c>
      <c r="Q307" s="478" t="s">
        <v>258</v>
      </c>
      <c r="R307" s="478" t="s">
        <v>718</v>
      </c>
      <c r="S307" s="479">
        <v>73</v>
      </c>
      <c r="T307" s="478" t="s">
        <v>41</v>
      </c>
      <c r="U307" s="478" t="s">
        <v>43</v>
      </c>
      <c r="V307" s="480" t="s">
        <v>10</v>
      </c>
      <c r="W307" s="51">
        <v>0.25</v>
      </c>
      <c r="X307" s="357">
        <v>0.17</v>
      </c>
      <c r="Y307" s="351" t="s">
        <v>353</v>
      </c>
      <c r="Z307" s="5" t="s">
        <v>48</v>
      </c>
      <c r="AA307" s="112" t="s">
        <v>180</v>
      </c>
    </row>
    <row r="308" spans="1:29" x14ac:dyDescent="0.25">
      <c r="A308" s="329">
        <v>45927</v>
      </c>
      <c r="B308" s="5">
        <v>7</v>
      </c>
      <c r="D308" s="5" t="s">
        <v>193</v>
      </c>
      <c r="E308" s="6">
        <v>2.34</v>
      </c>
      <c r="G308" s="362">
        <v>5</v>
      </c>
      <c r="H308" s="362">
        <v>2</v>
      </c>
      <c r="I308" s="8">
        <v>0.66</v>
      </c>
      <c r="L308" s="5" t="s">
        <v>226</v>
      </c>
      <c r="N308" s="476">
        <v>64</v>
      </c>
      <c r="O308" s="477" t="s">
        <v>193</v>
      </c>
      <c r="P308" s="478" t="s">
        <v>200</v>
      </c>
      <c r="Q308" s="478" t="s">
        <v>201</v>
      </c>
      <c r="R308" s="478" t="s">
        <v>717</v>
      </c>
      <c r="S308" s="479">
        <v>88</v>
      </c>
      <c r="T308" s="478" t="s">
        <v>354</v>
      </c>
      <c r="U308" s="478" t="s">
        <v>42</v>
      </c>
      <c r="V308" s="480" t="s">
        <v>15</v>
      </c>
      <c r="W308" s="51">
        <v>0.05</v>
      </c>
      <c r="X308" s="357">
        <v>0.06</v>
      </c>
      <c r="Z308" s="5" t="s">
        <v>8</v>
      </c>
      <c r="AA308" s="112" t="s">
        <v>515</v>
      </c>
    </row>
    <row r="309" spans="1:29" ht="15.75" thickBot="1" x14ac:dyDescent="0.3">
      <c r="A309" s="330">
        <v>45927</v>
      </c>
      <c r="B309" s="9">
        <v>7</v>
      </c>
      <c r="C309" s="122"/>
      <c r="D309" s="9" t="s">
        <v>193</v>
      </c>
      <c r="E309" s="10">
        <v>2.34</v>
      </c>
      <c r="F309" s="10"/>
      <c r="G309" s="383">
        <v>5</v>
      </c>
      <c r="H309" s="383">
        <v>2</v>
      </c>
      <c r="I309" s="12">
        <v>0.66</v>
      </c>
      <c r="J309" s="12"/>
      <c r="K309" s="122"/>
      <c r="L309" s="9" t="s">
        <v>226</v>
      </c>
      <c r="M309" s="45"/>
      <c r="N309" s="527" t="s">
        <v>31</v>
      </c>
      <c r="O309" s="528" t="s">
        <v>193</v>
      </c>
      <c r="P309" s="529" t="s">
        <v>206</v>
      </c>
      <c r="Q309" s="529" t="s">
        <v>207</v>
      </c>
      <c r="R309" s="529" t="s">
        <v>696</v>
      </c>
      <c r="S309" s="549">
        <v>69</v>
      </c>
      <c r="T309" s="529" t="s">
        <v>41</v>
      </c>
      <c r="U309" s="529" t="s">
        <v>42</v>
      </c>
      <c r="V309" s="530" t="s">
        <v>10</v>
      </c>
      <c r="W309" s="531">
        <v>0.47</v>
      </c>
      <c r="X309" s="532">
        <v>0.38</v>
      </c>
      <c r="Y309" s="533" t="s">
        <v>353</v>
      </c>
      <c r="Z309" s="526" t="s">
        <v>8</v>
      </c>
      <c r="AA309" s="534" t="s">
        <v>516</v>
      </c>
      <c r="AB309" s="535" t="s">
        <v>176</v>
      </c>
      <c r="AC309" s="536" t="s">
        <v>673</v>
      </c>
    </row>
    <row r="310" spans="1:29" ht="15.75" thickBot="1" x14ac:dyDescent="0.3">
      <c r="A310" s="326">
        <v>45927</v>
      </c>
      <c r="B310" s="207">
        <v>7</v>
      </c>
      <c r="C310" s="208"/>
      <c r="D310" s="207" t="s">
        <v>193</v>
      </c>
      <c r="E310" s="209">
        <v>2.34</v>
      </c>
      <c r="F310" s="209"/>
      <c r="G310" s="460">
        <v>5</v>
      </c>
      <c r="H310" s="460">
        <v>2</v>
      </c>
      <c r="I310" s="211">
        <v>0.66</v>
      </c>
      <c r="J310" s="211"/>
      <c r="K310" s="208"/>
      <c r="L310" s="207" t="s">
        <v>226</v>
      </c>
      <c r="M310" s="235"/>
      <c r="N310" s="570"/>
      <c r="O310" s="585" t="s">
        <v>193</v>
      </c>
      <c r="P310" s="586" t="s">
        <v>580</v>
      </c>
      <c r="Q310" s="586" t="s">
        <v>581</v>
      </c>
      <c r="R310" s="586" t="s">
        <v>707</v>
      </c>
      <c r="S310" s="587">
        <v>59</v>
      </c>
      <c r="T310" s="586"/>
      <c r="U310" s="586"/>
      <c r="V310" s="588"/>
      <c r="W310" s="589"/>
      <c r="X310" s="590"/>
      <c r="Y310" s="572">
        <v>2</v>
      </c>
      <c r="Z310" s="571"/>
      <c r="AA310" s="573"/>
      <c r="AB310" s="568"/>
      <c r="AC310" s="569"/>
    </row>
    <row r="311" spans="1:29" x14ac:dyDescent="0.25">
      <c r="A311" s="561">
        <v>45927</v>
      </c>
      <c r="B311" s="562">
        <v>7</v>
      </c>
      <c r="C311" s="563"/>
      <c r="D311" s="562" t="s">
        <v>193</v>
      </c>
      <c r="E311" s="564">
        <v>2.34</v>
      </c>
      <c r="F311" s="564"/>
      <c r="G311" s="565">
        <v>5</v>
      </c>
      <c r="H311" s="565">
        <v>2</v>
      </c>
      <c r="I311" s="566">
        <v>0.66</v>
      </c>
      <c r="J311" s="566"/>
      <c r="K311" s="563"/>
      <c r="L311" s="562" t="s">
        <v>226</v>
      </c>
      <c r="M311" s="464"/>
      <c r="N311" s="579"/>
      <c r="O311" s="591" t="s">
        <v>226</v>
      </c>
      <c r="P311" s="586" t="s">
        <v>726</v>
      </c>
      <c r="Q311" s="586" t="s">
        <v>727</v>
      </c>
      <c r="R311" s="586" t="s">
        <v>707</v>
      </c>
      <c r="S311" s="587">
        <v>52</v>
      </c>
      <c r="T311" s="586"/>
      <c r="U311" s="586"/>
      <c r="V311" s="588"/>
      <c r="W311" s="589"/>
      <c r="X311" s="590"/>
      <c r="Y311" s="471">
        <v>5</v>
      </c>
      <c r="Z311" s="467"/>
      <c r="AA311" s="472"/>
      <c r="AB311" s="473"/>
      <c r="AC311" s="468"/>
    </row>
    <row r="312" spans="1:29" x14ac:dyDescent="0.25">
      <c r="A312" s="329">
        <v>45948</v>
      </c>
      <c r="B312" s="5">
        <v>9</v>
      </c>
      <c r="C312" s="121" t="s">
        <v>701</v>
      </c>
      <c r="D312" s="5" t="s">
        <v>193</v>
      </c>
      <c r="E312" s="6">
        <v>2.58</v>
      </c>
      <c r="G312" s="362">
        <v>1</v>
      </c>
      <c r="H312" s="362">
        <v>0</v>
      </c>
      <c r="I312" s="8">
        <v>1.1399999999999999</v>
      </c>
      <c r="K312" s="121" t="s">
        <v>700</v>
      </c>
      <c r="L312" s="5" t="s">
        <v>227</v>
      </c>
      <c r="N312" s="476">
        <v>6</v>
      </c>
      <c r="O312" s="477" t="s">
        <v>193</v>
      </c>
      <c r="P312" s="478" t="s">
        <v>206</v>
      </c>
      <c r="Q312" s="478" t="s">
        <v>207</v>
      </c>
      <c r="R312" s="478" t="s">
        <v>718</v>
      </c>
      <c r="S312" s="479">
        <v>64</v>
      </c>
      <c r="T312" s="478" t="s">
        <v>47</v>
      </c>
      <c r="U312" s="478" t="s">
        <v>45</v>
      </c>
      <c r="V312" s="480" t="s">
        <v>540</v>
      </c>
      <c r="W312" s="51">
        <v>7.0000000000000007E-2</v>
      </c>
      <c r="X312" s="357" t="s">
        <v>53</v>
      </c>
      <c r="Z312" s="5" t="s">
        <v>22</v>
      </c>
      <c r="AA312" s="112" t="s">
        <v>28</v>
      </c>
    </row>
    <row r="313" spans="1:29" x14ac:dyDescent="0.25">
      <c r="A313" s="329">
        <v>45948</v>
      </c>
      <c r="B313" s="5">
        <v>9</v>
      </c>
      <c r="D313" s="5" t="s">
        <v>193</v>
      </c>
      <c r="E313" s="6">
        <v>2.58</v>
      </c>
      <c r="G313" s="362">
        <v>1</v>
      </c>
      <c r="H313" s="362">
        <v>0</v>
      </c>
      <c r="I313" s="8">
        <v>1.1399999999999999</v>
      </c>
      <c r="L313" s="5" t="s">
        <v>227</v>
      </c>
      <c r="N313" s="476">
        <v>7</v>
      </c>
      <c r="O313" s="477" t="s">
        <v>193</v>
      </c>
      <c r="P313" s="478" t="s">
        <v>206</v>
      </c>
      <c r="Q313" s="478" t="s">
        <v>207</v>
      </c>
      <c r="R313" s="478" t="s">
        <v>718</v>
      </c>
      <c r="S313" s="479">
        <v>64</v>
      </c>
      <c r="T313" s="478" t="s">
        <v>41</v>
      </c>
      <c r="U313" s="478" t="s">
        <v>43</v>
      </c>
      <c r="V313" s="480" t="s">
        <v>10</v>
      </c>
      <c r="W313" s="51">
        <v>0.53</v>
      </c>
      <c r="X313" s="357">
        <v>0.19</v>
      </c>
      <c r="Y313" s="351" t="s">
        <v>353</v>
      </c>
      <c r="Z313" s="5" t="s">
        <v>48</v>
      </c>
      <c r="AA313" s="112" t="s">
        <v>28</v>
      </c>
    </row>
    <row r="314" spans="1:29" x14ac:dyDescent="0.25">
      <c r="A314" s="329">
        <v>45948</v>
      </c>
      <c r="B314" s="5">
        <v>9</v>
      </c>
      <c r="D314" s="5" t="s">
        <v>193</v>
      </c>
      <c r="E314" s="6">
        <v>2.58</v>
      </c>
      <c r="G314" s="362">
        <v>1</v>
      </c>
      <c r="H314" s="362">
        <v>0</v>
      </c>
      <c r="I314" s="8">
        <v>1.1399999999999999</v>
      </c>
      <c r="L314" s="5" t="s">
        <v>227</v>
      </c>
      <c r="N314" s="476">
        <v>16</v>
      </c>
      <c r="O314" s="477" t="s">
        <v>193</v>
      </c>
      <c r="P314" s="478" t="s">
        <v>206</v>
      </c>
      <c r="Q314" s="478" t="s">
        <v>207</v>
      </c>
      <c r="R314" s="478" t="s">
        <v>718</v>
      </c>
      <c r="S314" s="479">
        <v>64</v>
      </c>
      <c r="T314" s="478" t="s">
        <v>41</v>
      </c>
      <c r="U314" s="478" t="s">
        <v>43</v>
      </c>
      <c r="V314" s="480" t="s">
        <v>10</v>
      </c>
      <c r="W314" s="51">
        <v>0.1</v>
      </c>
      <c r="X314" s="357">
        <v>0.88</v>
      </c>
      <c r="Z314" s="5" t="s">
        <v>48</v>
      </c>
      <c r="AA314" s="112" t="s">
        <v>28</v>
      </c>
    </row>
    <row r="315" spans="1:29" x14ac:dyDescent="0.25">
      <c r="A315" s="329">
        <v>45948</v>
      </c>
      <c r="B315" s="5">
        <v>9</v>
      </c>
      <c r="D315" s="5" t="s">
        <v>193</v>
      </c>
      <c r="E315" s="6">
        <v>2.58</v>
      </c>
      <c r="G315" s="362">
        <v>1</v>
      </c>
      <c r="H315" s="362">
        <v>0</v>
      </c>
      <c r="I315" s="8">
        <v>1.1399999999999999</v>
      </c>
      <c r="L315" s="5" t="s">
        <v>227</v>
      </c>
      <c r="N315" s="345">
        <v>24</v>
      </c>
      <c r="O315" s="38" t="s">
        <v>227</v>
      </c>
      <c r="P315" s="5" t="s">
        <v>25</v>
      </c>
      <c r="Q315" s="5" t="s">
        <v>397</v>
      </c>
      <c r="R315" s="5" t="s">
        <v>685</v>
      </c>
      <c r="S315" s="7">
        <v>60</v>
      </c>
      <c r="T315" s="5" t="s">
        <v>44</v>
      </c>
      <c r="U315" s="5" t="s">
        <v>42</v>
      </c>
      <c r="V315" s="57" t="s">
        <v>10</v>
      </c>
      <c r="W315" s="51">
        <v>0.04</v>
      </c>
      <c r="X315" s="357" t="s">
        <v>53</v>
      </c>
      <c r="Z315" s="5" t="s">
        <v>16</v>
      </c>
      <c r="AA315" s="112" t="s">
        <v>28</v>
      </c>
    </row>
    <row r="316" spans="1:29" x14ac:dyDescent="0.25">
      <c r="A316" s="329">
        <v>45948</v>
      </c>
      <c r="B316" s="5">
        <v>9</v>
      </c>
      <c r="D316" s="5" t="s">
        <v>193</v>
      </c>
      <c r="E316" s="6">
        <v>2.58</v>
      </c>
      <c r="G316" s="362">
        <v>1</v>
      </c>
      <c r="H316" s="362">
        <v>0</v>
      </c>
      <c r="I316" s="8">
        <v>1.1399999999999999</v>
      </c>
      <c r="L316" s="5" t="s">
        <v>227</v>
      </c>
      <c r="N316" s="345">
        <v>27</v>
      </c>
      <c r="O316" s="38" t="s">
        <v>227</v>
      </c>
      <c r="P316" s="5" t="s">
        <v>504</v>
      </c>
      <c r="Q316" s="5" t="s">
        <v>505</v>
      </c>
      <c r="R316" s="5" t="s">
        <v>695</v>
      </c>
      <c r="S316" s="7">
        <v>70</v>
      </c>
      <c r="T316" s="5" t="s">
        <v>47</v>
      </c>
      <c r="U316" s="5" t="s">
        <v>42</v>
      </c>
      <c r="V316" s="57" t="s">
        <v>33</v>
      </c>
      <c r="W316" s="51">
        <v>0.1</v>
      </c>
      <c r="X316" s="357">
        <v>0.16</v>
      </c>
      <c r="Z316" s="5" t="s">
        <v>48</v>
      </c>
      <c r="AA316" s="112" t="s">
        <v>28</v>
      </c>
    </row>
    <row r="317" spans="1:29" x14ac:dyDescent="0.25">
      <c r="A317" s="329">
        <v>45948</v>
      </c>
      <c r="B317" s="5">
        <v>9</v>
      </c>
      <c r="D317" s="5" t="s">
        <v>193</v>
      </c>
      <c r="E317" s="6">
        <v>2.58</v>
      </c>
      <c r="G317" s="362">
        <v>1</v>
      </c>
      <c r="H317" s="362">
        <v>0</v>
      </c>
      <c r="I317" s="8">
        <v>1.1399999999999999</v>
      </c>
      <c r="L317" s="5" t="s">
        <v>227</v>
      </c>
      <c r="N317" s="476">
        <v>31</v>
      </c>
      <c r="O317" s="477" t="s">
        <v>193</v>
      </c>
      <c r="P317" s="478" t="s">
        <v>200</v>
      </c>
      <c r="Q317" s="478" t="s">
        <v>201</v>
      </c>
      <c r="R317" s="478" t="s">
        <v>717</v>
      </c>
      <c r="S317" s="479">
        <v>71</v>
      </c>
      <c r="T317" s="478" t="s">
        <v>41</v>
      </c>
      <c r="U317" s="478" t="s">
        <v>43</v>
      </c>
      <c r="V317" s="480" t="s">
        <v>540</v>
      </c>
      <c r="W317" s="51">
        <v>0.11</v>
      </c>
      <c r="X317" s="357">
        <v>0.14000000000000001</v>
      </c>
      <c r="Z317" s="5" t="s">
        <v>48</v>
      </c>
      <c r="AA317" s="112" t="s">
        <v>28</v>
      </c>
    </row>
    <row r="318" spans="1:29" x14ac:dyDescent="0.25">
      <c r="A318" s="329">
        <v>45948</v>
      </c>
      <c r="B318" s="5">
        <v>9</v>
      </c>
      <c r="D318" s="5" t="s">
        <v>193</v>
      </c>
      <c r="E318" s="6">
        <v>2.58</v>
      </c>
      <c r="G318" s="362">
        <v>1</v>
      </c>
      <c r="H318" s="362">
        <v>0</v>
      </c>
      <c r="I318" s="8">
        <v>1.1399999999999999</v>
      </c>
      <c r="L318" s="5" t="s">
        <v>227</v>
      </c>
      <c r="N318" s="476">
        <v>58</v>
      </c>
      <c r="O318" s="477" t="s">
        <v>193</v>
      </c>
      <c r="P318" s="478" t="s">
        <v>200</v>
      </c>
      <c r="Q318" s="478" t="s">
        <v>201</v>
      </c>
      <c r="R318" s="478" t="s">
        <v>717</v>
      </c>
      <c r="S318" s="481">
        <v>71</v>
      </c>
      <c r="T318" s="478" t="s">
        <v>41</v>
      </c>
      <c r="U318" s="478" t="s">
        <v>42</v>
      </c>
      <c r="V318" s="480" t="s">
        <v>10</v>
      </c>
      <c r="W318" s="51">
        <v>0.08</v>
      </c>
      <c r="X318" s="357">
        <v>0.25</v>
      </c>
      <c r="Y318" s="351" t="s">
        <v>353</v>
      </c>
      <c r="Z318" s="5" t="s">
        <v>48</v>
      </c>
      <c r="AA318" s="112" t="s">
        <v>28</v>
      </c>
    </row>
    <row r="319" spans="1:29" x14ac:dyDescent="0.25">
      <c r="A319" s="329">
        <v>45948</v>
      </c>
      <c r="B319" s="5">
        <v>9</v>
      </c>
      <c r="D319" s="5" t="s">
        <v>193</v>
      </c>
      <c r="E319" s="6">
        <v>2.58</v>
      </c>
      <c r="G319" s="362">
        <v>1</v>
      </c>
      <c r="H319" s="362">
        <v>0</v>
      </c>
      <c r="I319" s="8">
        <v>1.1399999999999999</v>
      </c>
      <c r="L319" s="5" t="s">
        <v>227</v>
      </c>
      <c r="N319" s="476">
        <v>59</v>
      </c>
      <c r="O319" s="477" t="s">
        <v>193</v>
      </c>
      <c r="P319" s="478" t="s">
        <v>747</v>
      </c>
      <c r="Q319" s="478" t="s">
        <v>748</v>
      </c>
      <c r="R319" s="478" t="s">
        <v>728</v>
      </c>
      <c r="S319" s="481">
        <v>74</v>
      </c>
      <c r="T319" s="478" t="s">
        <v>47</v>
      </c>
      <c r="U319" s="478" t="s">
        <v>45</v>
      </c>
      <c r="V319" s="480" t="s">
        <v>20</v>
      </c>
      <c r="W319" s="51">
        <v>0.56999999999999995</v>
      </c>
      <c r="X319" s="357" t="s">
        <v>53</v>
      </c>
      <c r="Y319" s="351" t="s">
        <v>353</v>
      </c>
      <c r="Z319" s="5" t="s">
        <v>13</v>
      </c>
      <c r="AA319" s="112" t="s">
        <v>28</v>
      </c>
    </row>
    <row r="320" spans="1:29" x14ac:dyDescent="0.25">
      <c r="A320" s="329">
        <v>45948</v>
      </c>
      <c r="B320" s="5">
        <v>9</v>
      </c>
      <c r="D320" s="5" t="s">
        <v>193</v>
      </c>
      <c r="E320" s="6">
        <v>2.58</v>
      </c>
      <c r="G320" s="362">
        <v>1</v>
      </c>
      <c r="H320" s="362">
        <v>0</v>
      </c>
      <c r="I320" s="8">
        <v>1.1399999999999999</v>
      </c>
      <c r="L320" s="5" t="s">
        <v>227</v>
      </c>
      <c r="N320" s="476">
        <v>60</v>
      </c>
      <c r="O320" s="477" t="s">
        <v>193</v>
      </c>
      <c r="P320" s="478" t="s">
        <v>257</v>
      </c>
      <c r="Q320" s="478" t="s">
        <v>258</v>
      </c>
      <c r="R320" s="478" t="s">
        <v>696</v>
      </c>
      <c r="S320" s="479">
        <v>62</v>
      </c>
      <c r="T320" s="478" t="s">
        <v>41</v>
      </c>
      <c r="U320" s="478" t="s">
        <v>45</v>
      </c>
      <c r="V320" s="480" t="s">
        <v>10</v>
      </c>
      <c r="W320" s="51">
        <v>0.12</v>
      </c>
      <c r="X320" s="357" t="s">
        <v>53</v>
      </c>
      <c r="Y320" s="351" t="s">
        <v>353</v>
      </c>
      <c r="Z320" s="5" t="s">
        <v>13</v>
      </c>
      <c r="AA320" s="112" t="s">
        <v>28</v>
      </c>
    </row>
    <row r="321" spans="1:29" x14ac:dyDescent="0.25">
      <c r="A321" s="329">
        <v>45948</v>
      </c>
      <c r="B321" s="5">
        <v>9</v>
      </c>
      <c r="D321" s="5" t="s">
        <v>193</v>
      </c>
      <c r="E321" s="6">
        <v>2.58</v>
      </c>
      <c r="G321" s="362">
        <v>1</v>
      </c>
      <c r="H321" s="362">
        <v>0</v>
      </c>
      <c r="I321" s="8">
        <v>1.1399999999999999</v>
      </c>
      <c r="L321" s="5" t="s">
        <v>227</v>
      </c>
      <c r="N321" s="345">
        <v>66</v>
      </c>
      <c r="O321" s="38" t="s">
        <v>227</v>
      </c>
      <c r="P321" s="5" t="s">
        <v>238</v>
      </c>
      <c r="Q321" s="5" t="s">
        <v>239</v>
      </c>
      <c r="R321" s="5" t="s">
        <v>684</v>
      </c>
      <c r="S321" s="7">
        <v>66</v>
      </c>
      <c r="T321" s="5" t="s">
        <v>41</v>
      </c>
      <c r="U321" s="5" t="s">
        <v>45</v>
      </c>
      <c r="V321" s="57" t="s">
        <v>10</v>
      </c>
      <c r="W321" s="51">
        <v>0.06</v>
      </c>
      <c r="X321" s="357" t="s">
        <v>53</v>
      </c>
      <c r="Z321" s="5" t="s">
        <v>16</v>
      </c>
      <c r="AA321" s="112" t="s">
        <v>28</v>
      </c>
    </row>
    <row r="322" spans="1:29" x14ac:dyDescent="0.25">
      <c r="A322" s="329">
        <v>45948</v>
      </c>
      <c r="B322" s="5">
        <v>9</v>
      </c>
      <c r="D322" s="5" t="s">
        <v>193</v>
      </c>
      <c r="E322" s="6">
        <v>2.58</v>
      </c>
      <c r="G322" s="362">
        <v>1</v>
      </c>
      <c r="H322" s="362">
        <v>0</v>
      </c>
      <c r="I322" s="8">
        <v>1.1399999999999999</v>
      </c>
      <c r="L322" s="5" t="s">
        <v>227</v>
      </c>
      <c r="N322" s="345">
        <v>66</v>
      </c>
      <c r="O322" s="38" t="s">
        <v>227</v>
      </c>
      <c r="P322" s="5" t="s">
        <v>238</v>
      </c>
      <c r="Q322" s="5" t="s">
        <v>239</v>
      </c>
      <c r="R322" s="5" t="s">
        <v>684</v>
      </c>
      <c r="S322" s="7">
        <v>66</v>
      </c>
      <c r="T322" s="5" t="s">
        <v>41</v>
      </c>
      <c r="U322" s="5" t="s">
        <v>43</v>
      </c>
      <c r="V322" s="57" t="s">
        <v>10</v>
      </c>
      <c r="W322" s="51">
        <v>0.22</v>
      </c>
      <c r="X322" s="357" t="s">
        <v>53</v>
      </c>
      <c r="Z322" s="5" t="s">
        <v>52</v>
      </c>
      <c r="AA322" s="112" t="s">
        <v>28</v>
      </c>
    </row>
    <row r="323" spans="1:29" x14ac:dyDescent="0.25">
      <c r="A323" s="329">
        <v>45948</v>
      </c>
      <c r="B323" s="5">
        <v>9</v>
      </c>
      <c r="D323" s="5" t="s">
        <v>193</v>
      </c>
      <c r="E323" s="6">
        <v>2.58</v>
      </c>
      <c r="G323" s="362">
        <v>1</v>
      </c>
      <c r="H323" s="362">
        <v>0</v>
      </c>
      <c r="I323" s="8">
        <v>1.1399999999999999</v>
      </c>
      <c r="L323" s="5" t="s">
        <v>227</v>
      </c>
      <c r="N323" s="345">
        <v>66</v>
      </c>
      <c r="O323" s="38" t="s">
        <v>227</v>
      </c>
      <c r="P323" s="5" t="s">
        <v>25</v>
      </c>
      <c r="Q323" s="5" t="s">
        <v>397</v>
      </c>
      <c r="R323" s="5" t="s">
        <v>685</v>
      </c>
      <c r="S323" s="7">
        <v>60</v>
      </c>
      <c r="T323" s="5" t="s">
        <v>41</v>
      </c>
      <c r="U323" s="5" t="s">
        <v>43</v>
      </c>
      <c r="V323" s="57" t="s">
        <v>540</v>
      </c>
      <c r="W323" s="51">
        <v>0.11</v>
      </c>
      <c r="X323" s="357" t="s">
        <v>53</v>
      </c>
      <c r="Z323" s="5" t="s">
        <v>13</v>
      </c>
      <c r="AA323" s="112" t="s">
        <v>28</v>
      </c>
    </row>
    <row r="324" spans="1:29" x14ac:dyDescent="0.25">
      <c r="A324" s="329">
        <v>45948</v>
      </c>
      <c r="B324" s="5">
        <v>9</v>
      </c>
      <c r="D324" s="5" t="s">
        <v>193</v>
      </c>
      <c r="E324" s="6">
        <v>2.58</v>
      </c>
      <c r="G324" s="362">
        <v>1</v>
      </c>
      <c r="H324" s="362">
        <v>0</v>
      </c>
      <c r="I324" s="8">
        <v>1.1399999999999999</v>
      </c>
      <c r="L324" s="5" t="s">
        <v>227</v>
      </c>
      <c r="N324" s="476">
        <v>69</v>
      </c>
      <c r="O324" s="477" t="s">
        <v>193</v>
      </c>
      <c r="P324" s="478" t="s">
        <v>202</v>
      </c>
      <c r="Q324" s="478" t="s">
        <v>203</v>
      </c>
      <c r="R324" s="478" t="s">
        <v>696</v>
      </c>
      <c r="S324" s="479">
        <v>73</v>
      </c>
      <c r="T324" s="478" t="s">
        <v>47</v>
      </c>
      <c r="U324" s="478" t="s">
        <v>43</v>
      </c>
      <c r="V324" s="480" t="s">
        <v>10</v>
      </c>
      <c r="W324" s="51">
        <v>0.56999999999999995</v>
      </c>
      <c r="X324" s="357">
        <v>0.97</v>
      </c>
      <c r="Y324" s="351" t="s">
        <v>353</v>
      </c>
      <c r="Z324" s="5" t="s">
        <v>8</v>
      </c>
      <c r="AA324" s="112" t="s">
        <v>19</v>
      </c>
      <c r="AB324" s="108" t="s">
        <v>204</v>
      </c>
      <c r="AC324" s="57" t="s">
        <v>205</v>
      </c>
    </row>
    <row r="325" spans="1:29" x14ac:dyDescent="0.25">
      <c r="A325" s="329">
        <v>45948</v>
      </c>
      <c r="B325" s="5">
        <v>9</v>
      </c>
      <c r="D325" s="5" t="s">
        <v>193</v>
      </c>
      <c r="E325" s="6">
        <v>2.58</v>
      </c>
      <c r="G325" s="362">
        <v>1</v>
      </c>
      <c r="H325" s="362">
        <v>0</v>
      </c>
      <c r="I325" s="8">
        <v>1.1399999999999999</v>
      </c>
      <c r="L325" s="5" t="s">
        <v>227</v>
      </c>
      <c r="N325" s="345">
        <v>89</v>
      </c>
      <c r="O325" s="38" t="s">
        <v>227</v>
      </c>
      <c r="P325" s="5" t="s">
        <v>238</v>
      </c>
      <c r="Q325" s="5" t="s">
        <v>239</v>
      </c>
      <c r="R325" s="5" t="s">
        <v>684</v>
      </c>
      <c r="S325" s="7">
        <v>66</v>
      </c>
      <c r="T325" s="5" t="s">
        <v>41</v>
      </c>
      <c r="U325" s="5" t="s">
        <v>43</v>
      </c>
      <c r="V325" s="57" t="s">
        <v>10</v>
      </c>
      <c r="W325" s="51">
        <v>0.53</v>
      </c>
      <c r="X325" s="357">
        <v>0.5</v>
      </c>
      <c r="Y325" s="351" t="s">
        <v>353</v>
      </c>
      <c r="Z325" s="5" t="s">
        <v>48</v>
      </c>
      <c r="AA325" s="112" t="s">
        <v>19</v>
      </c>
    </row>
    <row r="326" spans="1:29" ht="15.75" thickBot="1" x14ac:dyDescent="0.3">
      <c r="A326" s="338">
        <v>45948</v>
      </c>
      <c r="B326" s="230">
        <v>9</v>
      </c>
      <c r="C326" s="231"/>
      <c r="D326" s="230" t="s">
        <v>193</v>
      </c>
      <c r="E326" s="232">
        <v>2.58</v>
      </c>
      <c r="F326" s="232"/>
      <c r="G326" s="363">
        <v>1</v>
      </c>
      <c r="H326" s="363">
        <v>0</v>
      </c>
      <c r="I326" s="234">
        <v>1.1399999999999999</v>
      </c>
      <c r="J326" s="234"/>
      <c r="K326" s="231"/>
      <c r="L326" s="230" t="s">
        <v>227</v>
      </c>
      <c r="M326" s="235"/>
      <c r="N326" s="347"/>
      <c r="O326" s="343" t="s">
        <v>193</v>
      </c>
      <c r="P326" s="199" t="s">
        <v>580</v>
      </c>
      <c r="Q326" s="199" t="s">
        <v>581</v>
      </c>
      <c r="R326" s="199" t="s">
        <v>707</v>
      </c>
      <c r="S326" s="7">
        <v>71</v>
      </c>
      <c r="T326" s="199"/>
      <c r="U326" s="199"/>
      <c r="V326" s="201"/>
      <c r="W326" s="202"/>
      <c r="X326" s="359"/>
      <c r="Y326" s="353">
        <v>0</v>
      </c>
      <c r="Z326" s="199"/>
      <c r="AA326" s="204"/>
      <c r="AB326" s="205"/>
      <c r="AC326" s="201"/>
    </row>
    <row r="327" spans="1:29" ht="15.75" thickBot="1" x14ac:dyDescent="0.3">
      <c r="A327" s="338">
        <v>45948</v>
      </c>
      <c r="B327" s="230">
        <v>9</v>
      </c>
      <c r="C327" s="231"/>
      <c r="D327" s="230" t="s">
        <v>193</v>
      </c>
      <c r="E327" s="232">
        <v>2.58</v>
      </c>
      <c r="F327" s="232"/>
      <c r="G327" s="363">
        <v>1</v>
      </c>
      <c r="H327" s="363">
        <v>0</v>
      </c>
      <c r="I327" s="234">
        <v>1.1399999999999999</v>
      </c>
      <c r="J327" s="234"/>
      <c r="K327" s="231"/>
      <c r="L327" s="230" t="s">
        <v>227</v>
      </c>
      <c r="M327" s="235"/>
      <c r="N327" s="347"/>
      <c r="O327" s="343" t="s">
        <v>227</v>
      </c>
      <c r="P327" s="199" t="s">
        <v>298</v>
      </c>
      <c r="Q327" s="199" t="s">
        <v>86</v>
      </c>
      <c r="R327" s="199" t="s">
        <v>707</v>
      </c>
      <c r="S327" s="7">
        <v>78</v>
      </c>
      <c r="T327" s="199"/>
      <c r="U327" s="199"/>
      <c r="V327" s="201"/>
      <c r="W327" s="202"/>
      <c r="X327" s="359"/>
      <c r="Y327" s="353">
        <v>1</v>
      </c>
      <c r="Z327" s="199"/>
      <c r="AA327" s="204"/>
      <c r="AB327" s="205"/>
      <c r="AC327" s="201"/>
    </row>
    <row r="328" spans="1:29" ht="15.75" thickBot="1" x14ac:dyDescent="0.3">
      <c r="A328" s="322" t="s">
        <v>37</v>
      </c>
      <c r="B328" s="24" t="s">
        <v>38</v>
      </c>
      <c r="C328" s="120" t="s">
        <v>682</v>
      </c>
      <c r="D328" s="1" t="s">
        <v>635</v>
      </c>
      <c r="E328" s="2" t="s">
        <v>589</v>
      </c>
      <c r="F328" s="2"/>
      <c r="G328" s="363" t="s">
        <v>636</v>
      </c>
      <c r="H328" s="363" t="s">
        <v>637</v>
      </c>
      <c r="I328" s="4" t="s">
        <v>590</v>
      </c>
      <c r="J328" s="4"/>
      <c r="K328" s="126" t="s">
        <v>683</v>
      </c>
      <c r="L328" s="1" t="s">
        <v>638</v>
      </c>
      <c r="M328" s="1" t="s">
        <v>586</v>
      </c>
      <c r="N328" s="344" t="s">
        <v>0</v>
      </c>
      <c r="O328" s="342" t="s">
        <v>1</v>
      </c>
      <c r="P328" s="39" t="s">
        <v>2</v>
      </c>
      <c r="Q328" s="39" t="s">
        <v>645</v>
      </c>
      <c r="R328" s="39" t="s">
        <v>681</v>
      </c>
      <c r="S328" s="3" t="s">
        <v>711</v>
      </c>
      <c r="T328" s="39" t="s">
        <v>39</v>
      </c>
      <c r="U328" s="39" t="s">
        <v>40</v>
      </c>
      <c r="V328" s="41" t="s">
        <v>3</v>
      </c>
      <c r="W328" s="48" t="s">
        <v>4</v>
      </c>
      <c r="X328" s="356" t="s">
        <v>64</v>
      </c>
      <c r="Y328" s="350" t="s">
        <v>353</v>
      </c>
      <c r="Z328" s="39" t="s">
        <v>5</v>
      </c>
      <c r="AA328" s="50" t="s">
        <v>6</v>
      </c>
      <c r="AB328" s="116" t="s">
        <v>646</v>
      </c>
      <c r="AC328" s="117" t="s">
        <v>647</v>
      </c>
    </row>
    <row r="329" spans="1:29" x14ac:dyDescent="0.25">
      <c r="A329" s="328">
        <v>45886</v>
      </c>
      <c r="B329" s="17">
        <v>1</v>
      </c>
      <c r="C329" s="123" t="s">
        <v>693</v>
      </c>
      <c r="D329" s="17" t="s">
        <v>170</v>
      </c>
      <c r="E329" s="18">
        <v>2.89</v>
      </c>
      <c r="F329" s="18"/>
      <c r="G329" s="461">
        <v>3</v>
      </c>
      <c r="H329" s="461">
        <v>2</v>
      </c>
      <c r="I329" s="20">
        <v>1.01</v>
      </c>
      <c r="J329" s="20"/>
      <c r="K329" s="123" t="s">
        <v>697</v>
      </c>
      <c r="L329" s="17" t="s">
        <v>171</v>
      </c>
      <c r="M329" s="46"/>
      <c r="N329" s="507">
        <v>2</v>
      </c>
      <c r="O329" s="508" t="s">
        <v>170</v>
      </c>
      <c r="P329" s="509" t="s">
        <v>172</v>
      </c>
      <c r="Q329" s="509" t="s">
        <v>173</v>
      </c>
      <c r="R329" s="509" t="s">
        <v>684</v>
      </c>
      <c r="S329" s="479">
        <v>71</v>
      </c>
      <c r="T329" s="509" t="s">
        <v>41</v>
      </c>
      <c r="U329" s="509" t="s">
        <v>43</v>
      </c>
      <c r="V329" s="510" t="s">
        <v>10</v>
      </c>
      <c r="W329" s="53">
        <v>0.12</v>
      </c>
      <c r="X329" s="360" t="s">
        <v>53</v>
      </c>
      <c r="Y329" s="354"/>
      <c r="Z329" s="17" t="s">
        <v>13</v>
      </c>
      <c r="AA329" s="114" t="s">
        <v>28</v>
      </c>
      <c r="AB329" s="110"/>
      <c r="AC329" s="60"/>
    </row>
    <row r="330" spans="1:29" x14ac:dyDescent="0.25">
      <c r="A330" s="329">
        <v>45886</v>
      </c>
      <c r="B330" s="5">
        <v>1</v>
      </c>
      <c r="D330" s="5" t="s">
        <v>170</v>
      </c>
      <c r="E330" s="6">
        <v>2.89</v>
      </c>
      <c r="G330" s="362">
        <v>3</v>
      </c>
      <c r="H330" s="362">
        <v>2</v>
      </c>
      <c r="I330" s="8">
        <v>1.01</v>
      </c>
      <c r="L330" s="5" t="s">
        <v>171</v>
      </c>
      <c r="N330" s="345">
        <v>5</v>
      </c>
      <c r="O330" s="38" t="s">
        <v>171</v>
      </c>
      <c r="P330" s="5" t="s">
        <v>181</v>
      </c>
      <c r="Q330" s="5" t="s">
        <v>182</v>
      </c>
      <c r="R330" s="5" t="s">
        <v>684</v>
      </c>
      <c r="S330" s="7">
        <v>70</v>
      </c>
      <c r="T330" s="5" t="s">
        <v>41</v>
      </c>
      <c r="U330" s="5" t="s">
        <v>43</v>
      </c>
      <c r="V330" s="57" t="s">
        <v>18</v>
      </c>
      <c r="W330" s="51">
        <v>0.08</v>
      </c>
      <c r="X330" s="357">
        <v>0.18</v>
      </c>
      <c r="Z330" s="5" t="s">
        <v>48</v>
      </c>
      <c r="AA330" s="112" t="s">
        <v>28</v>
      </c>
    </row>
    <row r="331" spans="1:29" x14ac:dyDescent="0.25">
      <c r="A331" s="329">
        <v>45886</v>
      </c>
      <c r="B331" s="5">
        <v>1</v>
      </c>
      <c r="D331" s="5" t="s">
        <v>170</v>
      </c>
      <c r="E331" s="6">
        <v>2.89</v>
      </c>
      <c r="G331" s="362">
        <v>3</v>
      </c>
      <c r="H331" s="362">
        <v>2</v>
      </c>
      <c r="I331" s="8">
        <v>1.01</v>
      </c>
      <c r="L331" s="5" t="s">
        <v>171</v>
      </c>
      <c r="N331" s="476">
        <v>36</v>
      </c>
      <c r="O331" s="477" t="s">
        <v>170</v>
      </c>
      <c r="P331" s="478" t="s">
        <v>174</v>
      </c>
      <c r="Q331" s="478" t="s">
        <v>175</v>
      </c>
      <c r="R331" s="478" t="s">
        <v>685</v>
      </c>
      <c r="S331" s="479">
        <v>95</v>
      </c>
      <c r="T331" s="478" t="s">
        <v>41</v>
      </c>
      <c r="U331" s="478" t="s">
        <v>42</v>
      </c>
      <c r="V331" s="480" t="s">
        <v>7</v>
      </c>
      <c r="W331" s="51">
        <v>0.79</v>
      </c>
      <c r="X331" s="357">
        <v>0.81</v>
      </c>
      <c r="Y331" s="351" t="s">
        <v>353</v>
      </c>
      <c r="Z331" s="5" t="s">
        <v>8</v>
      </c>
      <c r="AA331" s="112" t="s">
        <v>19</v>
      </c>
    </row>
    <row r="332" spans="1:29" x14ac:dyDescent="0.25">
      <c r="A332" s="329">
        <v>45886</v>
      </c>
      <c r="B332" s="5">
        <v>1</v>
      </c>
      <c r="D332" s="5" t="s">
        <v>170</v>
      </c>
      <c r="E332" s="6">
        <v>2.89</v>
      </c>
      <c r="G332" s="362">
        <v>3</v>
      </c>
      <c r="H332" s="362">
        <v>2</v>
      </c>
      <c r="I332" s="8">
        <v>1.01</v>
      </c>
      <c r="L332" s="5" t="s">
        <v>171</v>
      </c>
      <c r="N332" s="476">
        <v>43</v>
      </c>
      <c r="O332" s="477" t="s">
        <v>170</v>
      </c>
      <c r="P332" s="478" t="s">
        <v>172</v>
      </c>
      <c r="Q332" s="478" t="s">
        <v>173</v>
      </c>
      <c r="R332" s="478" t="s">
        <v>684</v>
      </c>
      <c r="S332" s="479">
        <v>71</v>
      </c>
      <c r="T332" s="478" t="s">
        <v>47</v>
      </c>
      <c r="U332" s="478" t="s">
        <v>42</v>
      </c>
      <c r="V332" s="480" t="s">
        <v>540</v>
      </c>
      <c r="W332" s="51">
        <v>0.74</v>
      </c>
      <c r="X332" s="357">
        <v>0.97</v>
      </c>
      <c r="Y332" s="351" t="s">
        <v>353</v>
      </c>
      <c r="Z332" s="5" t="s">
        <v>8</v>
      </c>
      <c r="AA332" s="112" t="s">
        <v>24</v>
      </c>
    </row>
    <row r="333" spans="1:29" x14ac:dyDescent="0.25">
      <c r="A333" s="329">
        <v>45886</v>
      </c>
      <c r="B333" s="5">
        <v>1</v>
      </c>
      <c r="D333" s="5" t="s">
        <v>170</v>
      </c>
      <c r="E333" s="6">
        <v>2.89</v>
      </c>
      <c r="G333" s="362">
        <v>3</v>
      </c>
      <c r="H333" s="362">
        <v>2</v>
      </c>
      <c r="I333" s="8">
        <v>1.01</v>
      </c>
      <c r="L333" s="5" t="s">
        <v>171</v>
      </c>
      <c r="N333" s="476">
        <v>50</v>
      </c>
      <c r="O333" s="477" t="s">
        <v>170</v>
      </c>
      <c r="P333" s="478" t="s">
        <v>176</v>
      </c>
      <c r="Q333" s="478" t="s">
        <v>177</v>
      </c>
      <c r="R333" s="478" t="s">
        <v>699</v>
      </c>
      <c r="S333" s="479">
        <v>68</v>
      </c>
      <c r="T333" s="478" t="s">
        <v>41</v>
      </c>
      <c r="U333" s="478" t="s">
        <v>43</v>
      </c>
      <c r="V333" s="480" t="s">
        <v>29</v>
      </c>
      <c r="W333" s="51">
        <v>0.11</v>
      </c>
      <c r="X333" s="357" t="s">
        <v>53</v>
      </c>
      <c r="Z333" s="5" t="s">
        <v>52</v>
      </c>
      <c r="AA333" s="112" t="s">
        <v>24</v>
      </c>
    </row>
    <row r="334" spans="1:29" x14ac:dyDescent="0.25">
      <c r="A334" s="329">
        <v>45886</v>
      </c>
      <c r="B334" s="5">
        <v>1</v>
      </c>
      <c r="D334" s="5" t="s">
        <v>170</v>
      </c>
      <c r="E334" s="6">
        <v>2.89</v>
      </c>
      <c r="G334" s="362">
        <v>3</v>
      </c>
      <c r="H334" s="362">
        <v>2</v>
      </c>
      <c r="I334" s="8">
        <v>1.01</v>
      </c>
      <c r="L334" s="5" t="s">
        <v>171</v>
      </c>
      <c r="N334" s="476">
        <v>51</v>
      </c>
      <c r="O334" s="477" t="s">
        <v>170</v>
      </c>
      <c r="P334" s="478" t="s">
        <v>174</v>
      </c>
      <c r="Q334" s="478" t="s">
        <v>175</v>
      </c>
      <c r="R334" s="478" t="s">
        <v>685</v>
      </c>
      <c r="S334" s="479">
        <v>95</v>
      </c>
      <c r="T334" s="478" t="s">
        <v>47</v>
      </c>
      <c r="U334" s="478" t="s">
        <v>43</v>
      </c>
      <c r="V334" s="480" t="s">
        <v>29</v>
      </c>
      <c r="W334" s="51">
        <v>0.51</v>
      </c>
      <c r="X334" s="357" t="s">
        <v>53</v>
      </c>
      <c r="Y334" s="351" t="s">
        <v>353</v>
      </c>
      <c r="Z334" s="5" t="s">
        <v>17</v>
      </c>
      <c r="AA334" s="112" t="s">
        <v>24</v>
      </c>
    </row>
    <row r="335" spans="1:29" x14ac:dyDescent="0.25">
      <c r="A335" s="329">
        <v>45886</v>
      </c>
      <c r="B335" s="5">
        <v>1</v>
      </c>
      <c r="D335" s="5" t="s">
        <v>170</v>
      </c>
      <c r="E335" s="6">
        <v>2.89</v>
      </c>
      <c r="G335" s="362">
        <v>3</v>
      </c>
      <c r="H335" s="362">
        <v>2</v>
      </c>
      <c r="I335" s="8">
        <v>1.01</v>
      </c>
      <c r="L335" s="5" t="s">
        <v>171</v>
      </c>
      <c r="N335" s="345">
        <v>56</v>
      </c>
      <c r="O335" s="38" t="s">
        <v>171</v>
      </c>
      <c r="P335" s="5" t="s">
        <v>183</v>
      </c>
      <c r="Q335" s="5" t="s">
        <v>184</v>
      </c>
      <c r="R335" s="5" t="s">
        <v>687</v>
      </c>
      <c r="S335" s="7">
        <v>69</v>
      </c>
      <c r="T335" s="5" t="s">
        <v>41</v>
      </c>
      <c r="U335" s="5" t="s">
        <v>42</v>
      </c>
      <c r="V335" s="57" t="s">
        <v>20</v>
      </c>
      <c r="W335" s="51">
        <v>0.08</v>
      </c>
      <c r="X335" s="357">
        <v>0.31</v>
      </c>
      <c r="Z335" s="5" t="s">
        <v>48</v>
      </c>
      <c r="AA335" s="112" t="s">
        <v>24</v>
      </c>
    </row>
    <row r="336" spans="1:29" x14ac:dyDescent="0.25">
      <c r="A336" s="329">
        <v>45886</v>
      </c>
      <c r="B336" s="5">
        <v>1</v>
      </c>
      <c r="D336" s="5" t="s">
        <v>170</v>
      </c>
      <c r="E336" s="6">
        <v>2.89</v>
      </c>
      <c r="G336" s="362">
        <v>3</v>
      </c>
      <c r="H336" s="362">
        <v>2</v>
      </c>
      <c r="I336" s="8">
        <v>1.01</v>
      </c>
      <c r="L336" s="5" t="s">
        <v>171</v>
      </c>
      <c r="N336" s="345">
        <v>60</v>
      </c>
      <c r="O336" s="38" t="s">
        <v>171</v>
      </c>
      <c r="P336" s="5" t="s">
        <v>185</v>
      </c>
      <c r="Q336" s="5" t="s">
        <v>186</v>
      </c>
      <c r="R336" s="5" t="s">
        <v>686</v>
      </c>
      <c r="S336" s="479">
        <v>70</v>
      </c>
      <c r="T336" s="5" t="s">
        <v>354</v>
      </c>
      <c r="U336" s="5" t="s">
        <v>43</v>
      </c>
      <c r="V336" s="57" t="s">
        <v>10</v>
      </c>
      <c r="W336" s="51">
        <v>0.03</v>
      </c>
      <c r="X336" s="357">
        <v>0.37</v>
      </c>
      <c r="Z336" s="5" t="s">
        <v>8</v>
      </c>
      <c r="AA336" s="112" t="s">
        <v>34</v>
      </c>
      <c r="AB336" s="108" t="s">
        <v>300</v>
      </c>
      <c r="AC336" s="57" t="s">
        <v>21</v>
      </c>
    </row>
    <row r="337" spans="1:29" x14ac:dyDescent="0.25">
      <c r="A337" s="329">
        <v>45886</v>
      </c>
      <c r="B337" s="5">
        <v>1</v>
      </c>
      <c r="D337" s="5" t="s">
        <v>170</v>
      </c>
      <c r="E337" s="6">
        <v>2.89</v>
      </c>
      <c r="G337" s="362">
        <v>3</v>
      </c>
      <c r="H337" s="362">
        <v>2</v>
      </c>
      <c r="I337" s="8">
        <v>1.01</v>
      </c>
      <c r="L337" s="5" t="s">
        <v>171</v>
      </c>
      <c r="N337" s="345">
        <v>66</v>
      </c>
      <c r="O337" s="38" t="s">
        <v>171</v>
      </c>
      <c r="P337" s="5" t="s">
        <v>181</v>
      </c>
      <c r="Q337" s="5" t="s">
        <v>182</v>
      </c>
      <c r="R337" s="5" t="s">
        <v>684</v>
      </c>
      <c r="S337" s="479">
        <v>70</v>
      </c>
      <c r="T337" s="5" t="s">
        <v>41</v>
      </c>
      <c r="U337" s="5" t="s">
        <v>43</v>
      </c>
      <c r="V337" s="57" t="s">
        <v>18</v>
      </c>
      <c r="W337" s="51">
        <v>0.36</v>
      </c>
      <c r="X337" s="357" t="s">
        <v>53</v>
      </c>
      <c r="Z337" s="5" t="s">
        <v>13</v>
      </c>
      <c r="AA337" s="112" t="s">
        <v>34</v>
      </c>
    </row>
    <row r="338" spans="1:29" x14ac:dyDescent="0.25">
      <c r="A338" s="329">
        <v>45886</v>
      </c>
      <c r="B338" s="5">
        <v>1</v>
      </c>
      <c r="D338" s="5" t="s">
        <v>170</v>
      </c>
      <c r="E338" s="6">
        <v>2.89</v>
      </c>
      <c r="G338" s="362">
        <v>3</v>
      </c>
      <c r="H338" s="362">
        <v>2</v>
      </c>
      <c r="I338" s="8">
        <v>1.01</v>
      </c>
      <c r="L338" s="5" t="s">
        <v>171</v>
      </c>
      <c r="N338" s="345">
        <v>72</v>
      </c>
      <c r="O338" s="38" t="s">
        <v>171</v>
      </c>
      <c r="P338" s="5" t="s">
        <v>187</v>
      </c>
      <c r="Q338" s="5" t="s">
        <v>188</v>
      </c>
      <c r="R338" s="5" t="s">
        <v>695</v>
      </c>
      <c r="S338" s="479">
        <v>75</v>
      </c>
      <c r="T338" s="5" t="s">
        <v>44</v>
      </c>
      <c r="U338" s="5" t="s">
        <v>43</v>
      </c>
      <c r="V338" s="57" t="s">
        <v>10</v>
      </c>
      <c r="W338" s="51">
        <v>0.09</v>
      </c>
      <c r="X338" s="357">
        <v>0.76</v>
      </c>
      <c r="Z338" s="5" t="s">
        <v>8</v>
      </c>
      <c r="AA338" s="112" t="s">
        <v>189</v>
      </c>
      <c r="AB338" s="108" t="s">
        <v>181</v>
      </c>
      <c r="AC338" s="57" t="s">
        <v>182</v>
      </c>
    </row>
    <row r="339" spans="1:29" x14ac:dyDescent="0.25">
      <c r="A339" s="329">
        <v>45886</v>
      </c>
      <c r="B339" s="5">
        <v>1</v>
      </c>
      <c r="D339" s="5" t="s">
        <v>170</v>
      </c>
      <c r="E339" s="6">
        <v>2.89</v>
      </c>
      <c r="G339" s="362">
        <v>3</v>
      </c>
      <c r="H339" s="362">
        <v>2</v>
      </c>
      <c r="I339" s="8">
        <v>1.01</v>
      </c>
      <c r="L339" s="5" t="s">
        <v>171</v>
      </c>
      <c r="N339" s="476">
        <v>81</v>
      </c>
      <c r="O339" s="477" t="s">
        <v>170</v>
      </c>
      <c r="P339" s="478" t="s">
        <v>178</v>
      </c>
      <c r="Q339" s="478" t="s">
        <v>179</v>
      </c>
      <c r="R339" s="478" t="s">
        <v>696</v>
      </c>
      <c r="S339" s="479">
        <v>70</v>
      </c>
      <c r="T339" s="478" t="s">
        <v>41</v>
      </c>
      <c r="U339" s="478" t="s">
        <v>42</v>
      </c>
      <c r="V339" s="480" t="s">
        <v>10</v>
      </c>
      <c r="W339" s="51">
        <v>0.23</v>
      </c>
      <c r="X339" s="357">
        <v>0.81</v>
      </c>
      <c r="Z339" s="5" t="s">
        <v>8</v>
      </c>
      <c r="AA339" s="112" t="s">
        <v>180</v>
      </c>
      <c r="AB339" s="108" t="s">
        <v>174</v>
      </c>
      <c r="AC339" s="57" t="s">
        <v>175</v>
      </c>
    </row>
    <row r="340" spans="1:29" ht="15.75" thickBot="1" x14ac:dyDescent="0.3">
      <c r="A340" s="330">
        <v>45886</v>
      </c>
      <c r="B340" s="9">
        <v>1</v>
      </c>
      <c r="C340" s="122"/>
      <c r="D340" s="9" t="s">
        <v>170</v>
      </c>
      <c r="E340" s="10">
        <v>2.89</v>
      </c>
      <c r="F340" s="10"/>
      <c r="G340" s="383">
        <v>3</v>
      </c>
      <c r="H340" s="383">
        <v>2</v>
      </c>
      <c r="I340" s="12">
        <v>1.01</v>
      </c>
      <c r="J340" s="12"/>
      <c r="K340" s="122"/>
      <c r="L340" s="9" t="s">
        <v>171</v>
      </c>
      <c r="M340" s="45"/>
      <c r="N340" s="346" t="s">
        <v>57</v>
      </c>
      <c r="O340" s="454" t="s">
        <v>171</v>
      </c>
      <c r="P340" s="9" t="s">
        <v>190</v>
      </c>
      <c r="Q340" s="9" t="s">
        <v>191</v>
      </c>
      <c r="R340" s="9" t="s">
        <v>696</v>
      </c>
      <c r="S340" s="7">
        <v>62</v>
      </c>
      <c r="T340" s="9" t="s">
        <v>41</v>
      </c>
      <c r="U340" s="9" t="s">
        <v>42</v>
      </c>
      <c r="V340" s="58" t="s">
        <v>10</v>
      </c>
      <c r="W340" s="52">
        <v>0.11</v>
      </c>
      <c r="X340" s="358" t="s">
        <v>53</v>
      </c>
      <c r="Y340" s="352"/>
      <c r="Z340" s="9" t="s">
        <v>52</v>
      </c>
      <c r="AA340" s="113" t="s">
        <v>180</v>
      </c>
      <c r="AB340" s="109"/>
      <c r="AC340" s="58"/>
    </row>
    <row r="341" spans="1:29" ht="15.75" thickBot="1" x14ac:dyDescent="0.3">
      <c r="A341" s="326">
        <v>45886</v>
      </c>
      <c r="B341" s="207">
        <v>1</v>
      </c>
      <c r="C341" s="208"/>
      <c r="D341" s="207" t="s">
        <v>170</v>
      </c>
      <c r="E341" s="209">
        <v>2.89</v>
      </c>
      <c r="F341" s="209"/>
      <c r="G341" s="460">
        <v>3</v>
      </c>
      <c r="H341" s="460">
        <v>2</v>
      </c>
      <c r="I341" s="211">
        <v>1.01</v>
      </c>
      <c r="J341" s="211"/>
      <c r="K341" s="208"/>
      <c r="L341" s="207" t="s">
        <v>171</v>
      </c>
      <c r="M341" s="197"/>
      <c r="N341" s="347"/>
      <c r="O341" s="343" t="s">
        <v>170</v>
      </c>
      <c r="P341" s="199" t="s">
        <v>269</v>
      </c>
      <c r="Q341" s="199" t="s">
        <v>722</v>
      </c>
      <c r="R341" s="199" t="s">
        <v>707</v>
      </c>
      <c r="S341" s="7">
        <v>66</v>
      </c>
      <c r="T341" s="199"/>
      <c r="U341" s="199"/>
      <c r="V341" s="201"/>
      <c r="W341" s="202"/>
      <c r="X341" s="359"/>
      <c r="Y341" s="353">
        <v>2</v>
      </c>
      <c r="Z341" s="199"/>
      <c r="AA341" s="204"/>
      <c r="AB341" s="205"/>
      <c r="AC341" s="201"/>
    </row>
    <row r="342" spans="1:29" ht="15.75" thickBot="1" x14ac:dyDescent="0.3">
      <c r="A342" s="326">
        <v>45886</v>
      </c>
      <c r="B342" s="207">
        <v>1</v>
      </c>
      <c r="C342" s="208"/>
      <c r="D342" s="207" t="s">
        <v>170</v>
      </c>
      <c r="E342" s="209">
        <v>2.89</v>
      </c>
      <c r="F342" s="209"/>
      <c r="G342" s="460">
        <v>3</v>
      </c>
      <c r="H342" s="460">
        <v>2</v>
      </c>
      <c r="I342" s="211">
        <v>1.01</v>
      </c>
      <c r="J342" s="211"/>
      <c r="K342" s="208"/>
      <c r="L342" s="207" t="s">
        <v>171</v>
      </c>
      <c r="M342" s="197"/>
      <c r="N342" s="347"/>
      <c r="O342" s="343" t="s">
        <v>171</v>
      </c>
      <c r="P342" s="199" t="s">
        <v>473</v>
      </c>
      <c r="Q342" s="199" t="s">
        <v>474</v>
      </c>
      <c r="R342" s="199" t="s">
        <v>707</v>
      </c>
      <c r="S342" s="7">
        <v>54</v>
      </c>
      <c r="T342" s="199"/>
      <c r="U342" s="199"/>
      <c r="V342" s="201"/>
      <c r="W342" s="202"/>
      <c r="X342" s="359"/>
      <c r="Y342" s="353">
        <v>3</v>
      </c>
      <c r="Z342" s="199"/>
      <c r="AA342" s="204"/>
      <c r="AB342" s="205"/>
      <c r="AC342" s="201"/>
    </row>
    <row r="343" spans="1:29" x14ac:dyDescent="0.25">
      <c r="A343" s="328">
        <v>45899</v>
      </c>
      <c r="B343" s="17">
        <v>3</v>
      </c>
      <c r="C343" s="123" t="s">
        <v>693</v>
      </c>
      <c r="D343" s="17" t="s">
        <v>69</v>
      </c>
      <c r="E343" s="18">
        <v>2.13</v>
      </c>
      <c r="F343" s="18"/>
      <c r="G343" s="461">
        <v>0</v>
      </c>
      <c r="H343" s="461">
        <v>2</v>
      </c>
      <c r="I343" s="20">
        <v>1.32</v>
      </c>
      <c r="J343" s="20"/>
      <c r="K343" s="123" t="s">
        <v>693</v>
      </c>
      <c r="L343" s="17" t="s">
        <v>171</v>
      </c>
      <c r="M343" s="46"/>
      <c r="N343" s="507">
        <v>5</v>
      </c>
      <c r="O343" s="508" t="s">
        <v>69</v>
      </c>
      <c r="P343" s="517" t="s">
        <v>176</v>
      </c>
      <c r="Q343" s="517" t="s">
        <v>99</v>
      </c>
      <c r="R343" s="517" t="s">
        <v>688</v>
      </c>
      <c r="S343" s="479">
        <v>55</v>
      </c>
      <c r="T343" s="509" t="s">
        <v>354</v>
      </c>
      <c r="U343" s="509" t="s">
        <v>43</v>
      </c>
      <c r="V343" s="510" t="s">
        <v>10</v>
      </c>
      <c r="W343" s="53">
        <v>0.01</v>
      </c>
      <c r="X343" s="360">
        <v>0.1</v>
      </c>
      <c r="Y343" s="354"/>
      <c r="Z343" s="17" t="s">
        <v>48</v>
      </c>
      <c r="AA343" s="114" t="s">
        <v>28</v>
      </c>
      <c r="AB343" s="110"/>
      <c r="AC343" s="60"/>
    </row>
    <row r="344" spans="1:29" x14ac:dyDescent="0.25">
      <c r="A344" s="329">
        <v>45899</v>
      </c>
      <c r="B344" s="5">
        <v>3</v>
      </c>
      <c r="D344" s="5" t="s">
        <v>69</v>
      </c>
      <c r="E344" s="6">
        <v>2.13</v>
      </c>
      <c r="G344" s="362">
        <v>0</v>
      </c>
      <c r="H344" s="362">
        <v>2</v>
      </c>
      <c r="I344" s="8">
        <v>1.32</v>
      </c>
      <c r="L344" s="5" t="s">
        <v>171</v>
      </c>
      <c r="N344" s="345">
        <v>28</v>
      </c>
      <c r="O344" s="38" t="s">
        <v>171</v>
      </c>
      <c r="P344" s="453" t="s">
        <v>326</v>
      </c>
      <c r="Q344" s="453" t="s">
        <v>327</v>
      </c>
      <c r="R344" s="453" t="s">
        <v>685</v>
      </c>
      <c r="S344" s="479">
        <v>82</v>
      </c>
      <c r="T344" s="5" t="s">
        <v>354</v>
      </c>
      <c r="U344" s="5" t="s">
        <v>42</v>
      </c>
      <c r="V344" s="57" t="s">
        <v>10</v>
      </c>
      <c r="W344" s="51">
        <v>0.03</v>
      </c>
      <c r="X344" s="357">
        <v>0.09</v>
      </c>
      <c r="Z344" s="5" t="s">
        <v>48</v>
      </c>
      <c r="AA344" s="112" t="s">
        <v>28</v>
      </c>
    </row>
    <row r="345" spans="1:29" x14ac:dyDescent="0.25">
      <c r="A345" s="329">
        <v>45899</v>
      </c>
      <c r="B345" s="5">
        <v>3</v>
      </c>
      <c r="D345" s="5" t="s">
        <v>69</v>
      </c>
      <c r="E345" s="6">
        <v>2.13</v>
      </c>
      <c r="G345" s="362">
        <v>0</v>
      </c>
      <c r="H345" s="362">
        <v>2</v>
      </c>
      <c r="I345" s="8">
        <v>1.32</v>
      </c>
      <c r="L345" s="5" t="s">
        <v>171</v>
      </c>
      <c r="N345" s="345">
        <v>30</v>
      </c>
      <c r="O345" s="38" t="s">
        <v>171</v>
      </c>
      <c r="P345" s="453" t="s">
        <v>326</v>
      </c>
      <c r="Q345" s="453" t="s">
        <v>327</v>
      </c>
      <c r="R345" s="453" t="s">
        <v>685</v>
      </c>
      <c r="S345" s="7">
        <v>82</v>
      </c>
      <c r="T345" s="5" t="s">
        <v>41</v>
      </c>
      <c r="U345" s="5" t="s">
        <v>42</v>
      </c>
      <c r="V345" s="57" t="s">
        <v>10</v>
      </c>
      <c r="W345" s="51">
        <v>0.14000000000000001</v>
      </c>
      <c r="X345" s="357">
        <v>0.34</v>
      </c>
      <c r="Z345" s="5" t="s">
        <v>8</v>
      </c>
      <c r="AA345" s="112" t="s">
        <v>9</v>
      </c>
      <c r="AB345" s="108" t="s">
        <v>328</v>
      </c>
      <c r="AC345" s="57" t="s">
        <v>329</v>
      </c>
    </row>
    <row r="346" spans="1:29" x14ac:dyDescent="0.25">
      <c r="A346" s="329">
        <v>45899</v>
      </c>
      <c r="B346" s="5">
        <v>3</v>
      </c>
      <c r="D346" s="5" t="s">
        <v>69</v>
      </c>
      <c r="E346" s="6">
        <v>2.13</v>
      </c>
      <c r="G346" s="362">
        <v>0</v>
      </c>
      <c r="H346" s="362">
        <v>2</v>
      </c>
      <c r="I346" s="8">
        <v>1.32</v>
      </c>
      <c r="L346" s="5" t="s">
        <v>171</v>
      </c>
      <c r="N346" s="345">
        <v>41</v>
      </c>
      <c r="O346" s="38" t="s">
        <v>171</v>
      </c>
      <c r="P346" s="453" t="s">
        <v>328</v>
      </c>
      <c r="Q346" s="453" t="s">
        <v>329</v>
      </c>
      <c r="R346" s="453" t="s">
        <v>699</v>
      </c>
      <c r="S346" s="479">
        <v>76</v>
      </c>
      <c r="T346" s="5" t="s">
        <v>41</v>
      </c>
      <c r="U346" s="5" t="s">
        <v>43</v>
      </c>
      <c r="V346" s="57" t="s">
        <v>18</v>
      </c>
      <c r="W346" s="51">
        <v>0.15</v>
      </c>
      <c r="X346" s="357" t="s">
        <v>53</v>
      </c>
      <c r="Z346" s="5" t="s">
        <v>13</v>
      </c>
      <c r="AA346" s="112" t="s">
        <v>9</v>
      </c>
    </row>
    <row r="347" spans="1:29" x14ac:dyDescent="0.25">
      <c r="A347" s="329">
        <v>45899</v>
      </c>
      <c r="B347" s="5">
        <v>3</v>
      </c>
      <c r="D347" s="5" t="s">
        <v>69</v>
      </c>
      <c r="E347" s="6">
        <v>2.13</v>
      </c>
      <c r="G347" s="362">
        <v>0</v>
      </c>
      <c r="H347" s="362">
        <v>2</v>
      </c>
      <c r="I347" s="8">
        <v>1.32</v>
      </c>
      <c r="L347" s="5" t="s">
        <v>171</v>
      </c>
      <c r="N347" s="345">
        <v>44</v>
      </c>
      <c r="O347" s="38" t="s">
        <v>171</v>
      </c>
      <c r="P347" s="453" t="s">
        <v>190</v>
      </c>
      <c r="Q347" s="453" t="s">
        <v>191</v>
      </c>
      <c r="R347" s="453" t="s">
        <v>684</v>
      </c>
      <c r="S347" s="7">
        <v>77</v>
      </c>
      <c r="T347" s="5" t="s">
        <v>41</v>
      </c>
      <c r="U347" s="5" t="s">
        <v>43</v>
      </c>
      <c r="V347" s="57" t="s">
        <v>10</v>
      </c>
      <c r="W347" s="51">
        <v>0.28999999999999998</v>
      </c>
      <c r="X347" s="357" t="s">
        <v>53</v>
      </c>
      <c r="Y347" s="351" t="s">
        <v>353</v>
      </c>
      <c r="Z347" s="5" t="s">
        <v>17</v>
      </c>
      <c r="AA347" s="112" t="s">
        <v>9</v>
      </c>
    </row>
    <row r="348" spans="1:29" x14ac:dyDescent="0.25">
      <c r="A348" s="329">
        <v>45899</v>
      </c>
      <c r="B348" s="5">
        <v>3</v>
      </c>
      <c r="D348" s="5" t="s">
        <v>69</v>
      </c>
      <c r="E348" s="6">
        <v>2.13</v>
      </c>
      <c r="G348" s="362">
        <v>0</v>
      </c>
      <c r="H348" s="362">
        <v>2</v>
      </c>
      <c r="I348" s="8">
        <v>1.32</v>
      </c>
      <c r="L348" s="5" t="s">
        <v>171</v>
      </c>
      <c r="N348" s="345">
        <v>44</v>
      </c>
      <c r="O348" s="38" t="s">
        <v>171</v>
      </c>
      <c r="P348" s="453" t="s">
        <v>183</v>
      </c>
      <c r="Q348" s="453" t="s">
        <v>184</v>
      </c>
      <c r="R348" s="453" t="s">
        <v>687</v>
      </c>
      <c r="S348" s="479">
        <v>68</v>
      </c>
      <c r="T348" s="5" t="s">
        <v>354</v>
      </c>
      <c r="U348" s="5" t="s">
        <v>42</v>
      </c>
      <c r="V348" s="57" t="s">
        <v>10</v>
      </c>
      <c r="W348" s="51">
        <v>0.02</v>
      </c>
      <c r="X348" s="357" t="s">
        <v>53</v>
      </c>
      <c r="Z348" s="5" t="s">
        <v>22</v>
      </c>
      <c r="AA348" s="112" t="s">
        <v>9</v>
      </c>
    </row>
    <row r="349" spans="1:29" x14ac:dyDescent="0.25">
      <c r="A349" s="329">
        <v>45899</v>
      </c>
      <c r="B349" s="5">
        <v>3</v>
      </c>
      <c r="D349" s="5" t="s">
        <v>69</v>
      </c>
      <c r="E349" s="6">
        <v>2.13</v>
      </c>
      <c r="G349" s="362">
        <v>0</v>
      </c>
      <c r="H349" s="362">
        <v>2</v>
      </c>
      <c r="I349" s="8">
        <v>1.32</v>
      </c>
      <c r="L349" s="5" t="s">
        <v>171</v>
      </c>
      <c r="N349" s="476">
        <v>52</v>
      </c>
      <c r="O349" s="477" t="s">
        <v>69</v>
      </c>
      <c r="P349" s="506" t="s">
        <v>316</v>
      </c>
      <c r="Q349" s="506" t="s">
        <v>150</v>
      </c>
      <c r="R349" s="506" t="s">
        <v>712</v>
      </c>
      <c r="S349" s="479">
        <v>58</v>
      </c>
      <c r="T349" s="478" t="s">
        <v>47</v>
      </c>
      <c r="U349" s="478" t="s">
        <v>42</v>
      </c>
      <c r="V349" s="480" t="s">
        <v>20</v>
      </c>
      <c r="W349" s="51">
        <v>0.56999999999999995</v>
      </c>
      <c r="X349" s="357">
        <v>0.8</v>
      </c>
      <c r="Y349" s="351" t="s">
        <v>353</v>
      </c>
      <c r="Z349" s="5" t="s">
        <v>48</v>
      </c>
      <c r="AA349" s="112" t="s">
        <v>9</v>
      </c>
    </row>
    <row r="350" spans="1:29" x14ac:dyDescent="0.25">
      <c r="A350" s="329">
        <v>45899</v>
      </c>
      <c r="B350" s="5">
        <v>3</v>
      </c>
      <c r="D350" s="5" t="s">
        <v>69</v>
      </c>
      <c r="E350" s="6">
        <v>2.13</v>
      </c>
      <c r="G350" s="362">
        <v>0</v>
      </c>
      <c r="H350" s="362">
        <v>2</v>
      </c>
      <c r="I350" s="8">
        <v>1.32</v>
      </c>
      <c r="L350" s="5" t="s">
        <v>171</v>
      </c>
      <c r="N350" s="345">
        <v>55</v>
      </c>
      <c r="O350" s="38" t="s">
        <v>171</v>
      </c>
      <c r="P350" s="453" t="s">
        <v>190</v>
      </c>
      <c r="Q350" s="453" t="s">
        <v>191</v>
      </c>
      <c r="R350" s="453" t="s">
        <v>684</v>
      </c>
      <c r="S350" s="7">
        <v>77</v>
      </c>
      <c r="T350" s="5" t="s">
        <v>41</v>
      </c>
      <c r="U350" s="5" t="s">
        <v>43</v>
      </c>
      <c r="V350" s="57" t="s">
        <v>18</v>
      </c>
      <c r="W350" s="51">
        <v>0.36</v>
      </c>
      <c r="X350" s="357">
        <v>0.64</v>
      </c>
      <c r="Y350" s="351" t="s">
        <v>353</v>
      </c>
      <c r="Z350" s="5" t="s">
        <v>8</v>
      </c>
      <c r="AA350" s="112" t="s">
        <v>11</v>
      </c>
      <c r="AB350" s="108" t="s">
        <v>328</v>
      </c>
      <c r="AC350" s="57" t="s">
        <v>329</v>
      </c>
    </row>
    <row r="351" spans="1:29" x14ac:dyDescent="0.25">
      <c r="A351" s="329">
        <v>45899</v>
      </c>
      <c r="B351" s="5">
        <v>3</v>
      </c>
      <c r="D351" s="5" t="s">
        <v>69</v>
      </c>
      <c r="E351" s="6">
        <v>2.13</v>
      </c>
      <c r="G351" s="362">
        <v>0</v>
      </c>
      <c r="H351" s="362">
        <v>2</v>
      </c>
      <c r="I351" s="8">
        <v>1.32</v>
      </c>
      <c r="L351" s="5" t="s">
        <v>171</v>
      </c>
      <c r="N351" s="476">
        <v>60</v>
      </c>
      <c r="O351" s="477" t="s">
        <v>69</v>
      </c>
      <c r="P351" s="506" t="s">
        <v>322</v>
      </c>
      <c r="Q351" s="506" t="s">
        <v>323</v>
      </c>
      <c r="R351" s="506" t="s">
        <v>686</v>
      </c>
      <c r="S351" s="479">
        <v>75</v>
      </c>
      <c r="T351" s="478" t="s">
        <v>354</v>
      </c>
      <c r="U351" s="478" t="s">
        <v>43</v>
      </c>
      <c r="V351" s="480" t="s">
        <v>33</v>
      </c>
      <c r="W351" s="51">
        <v>0.02</v>
      </c>
      <c r="X351" s="357">
        <v>0.13</v>
      </c>
      <c r="Z351" s="5" t="s">
        <v>48</v>
      </c>
      <c r="AA351" s="112" t="s">
        <v>11</v>
      </c>
    </row>
    <row r="352" spans="1:29" x14ac:dyDescent="0.25">
      <c r="A352" s="329">
        <v>45899</v>
      </c>
      <c r="B352" s="5">
        <v>3</v>
      </c>
      <c r="D352" s="5" t="s">
        <v>69</v>
      </c>
      <c r="E352" s="6">
        <v>2.13</v>
      </c>
      <c r="G352" s="362">
        <v>0</v>
      </c>
      <c r="H352" s="362">
        <v>2</v>
      </c>
      <c r="I352" s="8">
        <v>1.32</v>
      </c>
      <c r="L352" s="5" t="s">
        <v>171</v>
      </c>
      <c r="N352" s="476">
        <v>90</v>
      </c>
      <c r="O352" s="477" t="s">
        <v>69</v>
      </c>
      <c r="P352" s="506" t="s">
        <v>53</v>
      </c>
      <c r="Q352" s="506" t="s">
        <v>324</v>
      </c>
      <c r="R352" s="506" t="s">
        <v>696</v>
      </c>
      <c r="S352" s="481">
        <v>65</v>
      </c>
      <c r="T352" s="478" t="s">
        <v>41</v>
      </c>
      <c r="U352" s="478" t="s">
        <v>43</v>
      </c>
      <c r="V352" s="480" t="s">
        <v>10</v>
      </c>
      <c r="W352" s="51">
        <v>0.14000000000000001</v>
      </c>
      <c r="X352" s="357" t="s">
        <v>53</v>
      </c>
      <c r="Z352" s="5" t="s">
        <v>52</v>
      </c>
      <c r="AA352" s="112" t="s">
        <v>11</v>
      </c>
    </row>
    <row r="353" spans="1:29" x14ac:dyDescent="0.25">
      <c r="A353" s="329">
        <v>45899</v>
      </c>
      <c r="B353" s="5">
        <v>3</v>
      </c>
      <c r="D353" s="5" t="s">
        <v>69</v>
      </c>
      <c r="E353" s="6">
        <v>2.13</v>
      </c>
      <c r="G353" s="362">
        <v>0</v>
      </c>
      <c r="H353" s="362">
        <v>2</v>
      </c>
      <c r="I353" s="8">
        <v>1.32</v>
      </c>
      <c r="L353" s="5" t="s">
        <v>171</v>
      </c>
      <c r="N353" s="476" t="s">
        <v>35</v>
      </c>
      <c r="O353" s="477" t="s">
        <v>69</v>
      </c>
      <c r="P353" s="506" t="s">
        <v>147</v>
      </c>
      <c r="Q353" s="506" t="s">
        <v>325</v>
      </c>
      <c r="R353" s="506" t="s">
        <v>696</v>
      </c>
      <c r="S353" s="481">
        <v>62</v>
      </c>
      <c r="T353" s="478" t="s">
        <v>47</v>
      </c>
      <c r="U353" s="478" t="s">
        <v>42</v>
      </c>
      <c r="V353" s="480" t="s">
        <v>20</v>
      </c>
      <c r="W353" s="51">
        <v>0.32</v>
      </c>
      <c r="X353" s="357" t="s">
        <v>53</v>
      </c>
      <c r="Y353" s="351" t="s">
        <v>353</v>
      </c>
      <c r="Z353" s="5" t="s">
        <v>13</v>
      </c>
      <c r="AA353" s="112" t="s">
        <v>11</v>
      </c>
    </row>
    <row r="354" spans="1:29" x14ac:dyDescent="0.25">
      <c r="A354" s="329">
        <v>45899</v>
      </c>
      <c r="B354" s="5">
        <v>3</v>
      </c>
      <c r="D354" s="5" t="s">
        <v>69</v>
      </c>
      <c r="E354" s="6">
        <v>2.13</v>
      </c>
      <c r="G354" s="362">
        <v>0</v>
      </c>
      <c r="H354" s="362">
        <v>2</v>
      </c>
      <c r="I354" s="8">
        <v>1.32</v>
      </c>
      <c r="L354" s="5" t="s">
        <v>171</v>
      </c>
      <c r="N354" s="476" t="s">
        <v>36</v>
      </c>
      <c r="O354" s="477" t="s">
        <v>69</v>
      </c>
      <c r="P354" s="506" t="s">
        <v>147</v>
      </c>
      <c r="Q354" s="506" t="s">
        <v>325</v>
      </c>
      <c r="R354" s="506" t="s">
        <v>696</v>
      </c>
      <c r="S354" s="479">
        <v>62</v>
      </c>
      <c r="T354" s="478" t="s">
        <v>41</v>
      </c>
      <c r="U354" s="478" t="s">
        <v>45</v>
      </c>
      <c r="V354" s="480" t="s">
        <v>10</v>
      </c>
      <c r="W354" s="51">
        <v>0.13</v>
      </c>
      <c r="X354" s="357" t="s">
        <v>53</v>
      </c>
      <c r="Z354" s="5" t="s">
        <v>13</v>
      </c>
      <c r="AA354" s="112" t="s">
        <v>11</v>
      </c>
    </row>
    <row r="355" spans="1:29" ht="15.75" thickBot="1" x14ac:dyDescent="0.3">
      <c r="A355" s="330">
        <v>45899</v>
      </c>
      <c r="B355" s="9">
        <v>3</v>
      </c>
      <c r="C355" s="122"/>
      <c r="D355" s="9" t="s">
        <v>69</v>
      </c>
      <c r="E355" s="10">
        <v>2.13</v>
      </c>
      <c r="F355" s="10"/>
      <c r="G355" s="383">
        <v>0</v>
      </c>
      <c r="H355" s="383">
        <v>2</v>
      </c>
      <c r="I355" s="12">
        <v>1.32</v>
      </c>
      <c r="J355" s="12"/>
      <c r="K355" s="122"/>
      <c r="L355" s="9" t="s">
        <v>171</v>
      </c>
      <c r="M355" s="45"/>
      <c r="N355" s="511" t="s">
        <v>36</v>
      </c>
      <c r="O355" s="512" t="s">
        <v>69</v>
      </c>
      <c r="P355" s="524" t="s">
        <v>176</v>
      </c>
      <c r="Q355" s="524" t="s">
        <v>99</v>
      </c>
      <c r="R355" s="524" t="s">
        <v>688</v>
      </c>
      <c r="S355" s="479">
        <v>55</v>
      </c>
      <c r="T355" s="513" t="s">
        <v>47</v>
      </c>
      <c r="U355" s="513" t="s">
        <v>45</v>
      </c>
      <c r="V355" s="514" t="s">
        <v>10</v>
      </c>
      <c r="W355" s="52">
        <v>0.54</v>
      </c>
      <c r="X355" s="358">
        <v>0.88</v>
      </c>
      <c r="Y355" s="352" t="s">
        <v>353</v>
      </c>
      <c r="Z355" s="9" t="s">
        <v>48</v>
      </c>
      <c r="AA355" s="113" t="s">
        <v>11</v>
      </c>
      <c r="AB355" s="109"/>
      <c r="AC355" s="58"/>
    </row>
    <row r="356" spans="1:29" ht="15.75" thickBot="1" x14ac:dyDescent="0.3">
      <c r="A356" s="326">
        <v>45899</v>
      </c>
      <c r="B356" s="207">
        <v>3</v>
      </c>
      <c r="C356" s="208"/>
      <c r="D356" s="207" t="s">
        <v>69</v>
      </c>
      <c r="E356" s="209">
        <v>2.13</v>
      </c>
      <c r="F356" s="209"/>
      <c r="G356" s="460">
        <v>0</v>
      </c>
      <c r="H356" s="460">
        <v>2</v>
      </c>
      <c r="I356" s="211">
        <v>1.32</v>
      </c>
      <c r="J356" s="211"/>
      <c r="K356" s="208"/>
      <c r="L356" s="207" t="s">
        <v>171</v>
      </c>
      <c r="M356" s="235"/>
      <c r="N356" s="347"/>
      <c r="O356" s="343" t="s">
        <v>69</v>
      </c>
      <c r="P356" s="199" t="s">
        <v>478</v>
      </c>
      <c r="Q356" s="199" t="s">
        <v>479</v>
      </c>
      <c r="R356" s="199" t="s">
        <v>707</v>
      </c>
      <c r="S356" s="479">
        <v>60</v>
      </c>
      <c r="T356" s="199"/>
      <c r="U356" s="199"/>
      <c r="V356" s="201"/>
      <c r="W356" s="202"/>
      <c r="X356" s="359"/>
      <c r="Y356" s="353">
        <v>2</v>
      </c>
      <c r="Z356" s="199"/>
      <c r="AA356" s="204"/>
      <c r="AB356" s="205"/>
      <c r="AC356" s="201"/>
    </row>
    <row r="357" spans="1:29" ht="15.75" thickBot="1" x14ac:dyDescent="0.3">
      <c r="A357" s="326">
        <v>45899</v>
      </c>
      <c r="B357" s="207">
        <v>3</v>
      </c>
      <c r="C357" s="208"/>
      <c r="D357" s="207" t="s">
        <v>69</v>
      </c>
      <c r="E357" s="209">
        <v>2.13</v>
      </c>
      <c r="F357" s="209"/>
      <c r="G357" s="460">
        <v>0</v>
      </c>
      <c r="H357" s="460">
        <v>2</v>
      </c>
      <c r="I357" s="211">
        <v>1.32</v>
      </c>
      <c r="J357" s="211"/>
      <c r="K357" s="208"/>
      <c r="L357" s="207" t="s">
        <v>171</v>
      </c>
      <c r="M357" s="235"/>
      <c r="N357" s="465"/>
      <c r="O357" s="466" t="s">
        <v>171</v>
      </c>
      <c r="P357" s="467" t="s">
        <v>473</v>
      </c>
      <c r="Q357" s="467" t="s">
        <v>474</v>
      </c>
      <c r="R357" s="467" t="s">
        <v>707</v>
      </c>
      <c r="S357" s="549">
        <v>76</v>
      </c>
      <c r="T357" s="467"/>
      <c r="U357" s="467"/>
      <c r="V357" s="468"/>
      <c r="W357" s="469"/>
      <c r="X357" s="470"/>
      <c r="Y357" s="471">
        <v>0</v>
      </c>
      <c r="Z357" s="467"/>
      <c r="AA357" s="472"/>
      <c r="AB357" s="205"/>
      <c r="AC357" s="201"/>
    </row>
    <row r="358" spans="1:29" x14ac:dyDescent="0.25">
      <c r="A358" s="331">
        <v>45920</v>
      </c>
      <c r="B358" s="13">
        <v>5</v>
      </c>
      <c r="C358" s="124" t="s">
        <v>692</v>
      </c>
      <c r="D358" s="13" t="s">
        <v>128</v>
      </c>
      <c r="E358" s="14">
        <v>0.95</v>
      </c>
      <c r="F358" s="14"/>
      <c r="G358" s="375">
        <v>1</v>
      </c>
      <c r="H358" s="375">
        <v>2</v>
      </c>
      <c r="I358" s="16">
        <v>0.48</v>
      </c>
      <c r="J358" s="16"/>
      <c r="K358" s="124" t="s">
        <v>702</v>
      </c>
      <c r="L358" s="13" t="s">
        <v>171</v>
      </c>
      <c r="M358" s="47"/>
      <c r="N358" s="349">
        <v>8</v>
      </c>
      <c r="O358" s="458" t="s">
        <v>171</v>
      </c>
      <c r="P358" s="13" t="s">
        <v>326</v>
      </c>
      <c r="Q358" s="13" t="s">
        <v>327</v>
      </c>
      <c r="R358" s="13" t="s">
        <v>685</v>
      </c>
      <c r="S358" s="481">
        <v>62</v>
      </c>
      <c r="T358" s="13" t="s">
        <v>41</v>
      </c>
      <c r="U358" s="13" t="s">
        <v>42</v>
      </c>
      <c r="V358" s="60" t="s">
        <v>10</v>
      </c>
      <c r="W358" s="54">
        <v>7.0000000000000007E-2</v>
      </c>
      <c r="X358" s="361">
        <v>0.54</v>
      </c>
      <c r="Y358" s="355" t="s">
        <v>353</v>
      </c>
      <c r="Z358" s="13" t="s">
        <v>48</v>
      </c>
      <c r="AA358" s="115" t="s">
        <v>28</v>
      </c>
      <c r="AB358" s="110"/>
      <c r="AC358" s="60"/>
    </row>
    <row r="359" spans="1:29" x14ac:dyDescent="0.25">
      <c r="A359" s="329">
        <v>45920</v>
      </c>
      <c r="B359" s="5">
        <v>5</v>
      </c>
      <c r="D359" s="5" t="s">
        <v>128</v>
      </c>
      <c r="E359" s="6">
        <v>0.95</v>
      </c>
      <c r="G359" s="362">
        <v>1</v>
      </c>
      <c r="H359" s="362">
        <v>2</v>
      </c>
      <c r="I359" s="8">
        <v>0.48</v>
      </c>
      <c r="L359" s="5" t="s">
        <v>171</v>
      </c>
      <c r="N359" s="345">
        <v>10</v>
      </c>
      <c r="O359" s="38" t="s">
        <v>171</v>
      </c>
      <c r="P359" s="5" t="s">
        <v>328</v>
      </c>
      <c r="Q359" s="5" t="s">
        <v>329</v>
      </c>
      <c r="R359" s="5" t="s">
        <v>686</v>
      </c>
      <c r="S359" s="481">
        <v>74</v>
      </c>
      <c r="T359" s="5" t="s">
        <v>44</v>
      </c>
      <c r="U359" s="5" t="s">
        <v>43</v>
      </c>
      <c r="V359" s="57" t="s">
        <v>18</v>
      </c>
      <c r="W359" s="51">
        <v>0.11</v>
      </c>
      <c r="X359" s="357">
        <v>0.52</v>
      </c>
      <c r="Z359" s="5" t="s">
        <v>8</v>
      </c>
      <c r="AA359" s="112" t="s">
        <v>9</v>
      </c>
    </row>
    <row r="360" spans="1:29" x14ac:dyDescent="0.25">
      <c r="A360" s="329">
        <v>45920</v>
      </c>
      <c r="B360" s="5">
        <v>5</v>
      </c>
      <c r="D360" s="5" t="s">
        <v>128</v>
      </c>
      <c r="E360" s="6">
        <v>0.95</v>
      </c>
      <c r="G360" s="362">
        <v>1</v>
      </c>
      <c r="H360" s="362">
        <v>2</v>
      </c>
      <c r="I360" s="8">
        <v>0.48</v>
      </c>
      <c r="L360" s="5" t="s">
        <v>171</v>
      </c>
      <c r="N360" s="519">
        <v>17</v>
      </c>
      <c r="O360" s="520" t="s">
        <v>128</v>
      </c>
      <c r="P360" s="506" t="s">
        <v>46</v>
      </c>
      <c r="Q360" s="506" t="s">
        <v>132</v>
      </c>
      <c r="R360" s="506" t="s">
        <v>686</v>
      </c>
      <c r="S360" s="479">
        <v>73</v>
      </c>
      <c r="T360" s="506" t="s">
        <v>41</v>
      </c>
      <c r="U360" s="506" t="s">
        <v>42</v>
      </c>
      <c r="V360" s="521" t="s">
        <v>7</v>
      </c>
      <c r="W360" s="51">
        <v>0.79</v>
      </c>
      <c r="X360" s="357">
        <v>0.77</v>
      </c>
      <c r="Y360" s="351" t="s">
        <v>353</v>
      </c>
      <c r="Z360" s="5" t="s">
        <v>8</v>
      </c>
      <c r="AA360" s="112" t="s">
        <v>51</v>
      </c>
    </row>
    <row r="361" spans="1:29" x14ac:dyDescent="0.25">
      <c r="A361" s="329">
        <v>45920</v>
      </c>
      <c r="B361" s="5">
        <v>5</v>
      </c>
      <c r="D361" s="5" t="s">
        <v>128</v>
      </c>
      <c r="E361" s="6">
        <v>0.95</v>
      </c>
      <c r="G361" s="362">
        <v>1</v>
      </c>
      <c r="H361" s="362">
        <v>2</v>
      </c>
      <c r="I361" s="8">
        <v>0.48</v>
      </c>
      <c r="L361" s="5" t="s">
        <v>171</v>
      </c>
      <c r="N361" s="345">
        <v>57</v>
      </c>
      <c r="O361" s="38" t="s">
        <v>171</v>
      </c>
      <c r="P361" s="5" t="s">
        <v>441</v>
      </c>
      <c r="Q361" s="5" t="s">
        <v>442</v>
      </c>
      <c r="R361" s="5" t="s">
        <v>689</v>
      </c>
      <c r="S361" s="479">
        <v>73</v>
      </c>
      <c r="T361" s="5" t="s">
        <v>41</v>
      </c>
      <c r="U361" s="5" t="s">
        <v>42</v>
      </c>
      <c r="V361" s="57" t="s">
        <v>10</v>
      </c>
      <c r="W361" s="51">
        <v>0.03</v>
      </c>
      <c r="X361" s="357" t="s">
        <v>53</v>
      </c>
      <c r="Y361" s="351" t="s">
        <v>353</v>
      </c>
      <c r="Z361" s="5" t="s">
        <v>52</v>
      </c>
      <c r="AA361" s="112" t="s">
        <v>51</v>
      </c>
    </row>
    <row r="362" spans="1:29" ht="15.75" thickBot="1" x14ac:dyDescent="0.3">
      <c r="A362" s="330">
        <v>45920</v>
      </c>
      <c r="B362" s="9">
        <v>5</v>
      </c>
      <c r="C362" s="122"/>
      <c r="D362" s="9" t="s">
        <v>128</v>
      </c>
      <c r="E362" s="10">
        <v>0.95</v>
      </c>
      <c r="F362" s="10"/>
      <c r="G362" s="383">
        <v>1</v>
      </c>
      <c r="H362" s="383">
        <v>2</v>
      </c>
      <c r="I362" s="12">
        <v>0.48</v>
      </c>
      <c r="J362" s="12"/>
      <c r="K362" s="122"/>
      <c r="L362" s="9" t="s">
        <v>171</v>
      </c>
      <c r="M362" s="45"/>
      <c r="N362" s="346">
        <v>67</v>
      </c>
      <c r="O362" s="454" t="s">
        <v>171</v>
      </c>
      <c r="P362" s="9" t="s">
        <v>440</v>
      </c>
      <c r="Q362" s="9" t="s">
        <v>21</v>
      </c>
      <c r="R362" s="9" t="s">
        <v>696</v>
      </c>
      <c r="S362" s="479">
        <v>71</v>
      </c>
      <c r="T362" s="9" t="s">
        <v>41</v>
      </c>
      <c r="U362" s="9" t="s">
        <v>42</v>
      </c>
      <c r="V362" s="58" t="s">
        <v>10</v>
      </c>
      <c r="W362" s="52">
        <v>0.12</v>
      </c>
      <c r="X362" s="358">
        <v>0.46</v>
      </c>
      <c r="Y362" s="352"/>
      <c r="Z362" s="9" t="s">
        <v>8</v>
      </c>
      <c r="AA362" s="113" t="s">
        <v>67</v>
      </c>
      <c r="AB362" s="109" t="s">
        <v>441</v>
      </c>
      <c r="AC362" s="58" t="s">
        <v>442</v>
      </c>
    </row>
    <row r="363" spans="1:29" ht="15.75" thickBot="1" x14ac:dyDescent="0.3">
      <c r="A363" s="326">
        <v>45920</v>
      </c>
      <c r="B363" s="207">
        <v>5</v>
      </c>
      <c r="C363" s="208"/>
      <c r="D363" s="207" t="s">
        <v>128</v>
      </c>
      <c r="E363" s="209">
        <v>0.95</v>
      </c>
      <c r="F363" s="209"/>
      <c r="G363" s="460">
        <v>1</v>
      </c>
      <c r="H363" s="460">
        <v>2</v>
      </c>
      <c r="I363" s="211">
        <v>0.48</v>
      </c>
      <c r="J363" s="211"/>
      <c r="K363" s="208"/>
      <c r="L363" s="207" t="s">
        <v>171</v>
      </c>
      <c r="M363" s="235"/>
      <c r="N363" s="347"/>
      <c r="O363" s="343" t="s">
        <v>128</v>
      </c>
      <c r="P363" s="199" t="s">
        <v>127</v>
      </c>
      <c r="Q363" s="199" t="s">
        <v>476</v>
      </c>
      <c r="R363" s="199" t="s">
        <v>707</v>
      </c>
      <c r="S363" s="7">
        <v>57</v>
      </c>
      <c r="T363" s="199"/>
      <c r="U363" s="199"/>
      <c r="V363" s="201"/>
      <c r="W363" s="202"/>
      <c r="X363" s="359"/>
      <c r="Y363" s="353">
        <v>2</v>
      </c>
      <c r="Z363" s="199"/>
      <c r="AA363" s="204"/>
      <c r="AB363" s="205"/>
      <c r="AC363" s="201"/>
    </row>
    <row r="364" spans="1:29" ht="15.75" thickBot="1" x14ac:dyDescent="0.3">
      <c r="A364" s="326">
        <v>45920</v>
      </c>
      <c r="B364" s="207">
        <v>5</v>
      </c>
      <c r="C364" s="208"/>
      <c r="D364" s="207" t="s">
        <v>128</v>
      </c>
      <c r="E364" s="209">
        <v>0.95</v>
      </c>
      <c r="F364" s="209"/>
      <c r="G364" s="460">
        <v>1</v>
      </c>
      <c r="H364" s="460">
        <v>2</v>
      </c>
      <c r="I364" s="211">
        <v>0.48</v>
      </c>
      <c r="J364" s="211"/>
      <c r="K364" s="208"/>
      <c r="L364" s="207" t="s">
        <v>171</v>
      </c>
      <c r="M364" s="235"/>
      <c r="N364" s="347"/>
      <c r="O364" s="343" t="s">
        <v>171</v>
      </c>
      <c r="P364" s="199" t="s">
        <v>524</v>
      </c>
      <c r="Q364" s="199" t="s">
        <v>525</v>
      </c>
      <c r="R364" s="199" t="s">
        <v>707</v>
      </c>
      <c r="S364" s="479">
        <v>64</v>
      </c>
      <c r="T364" s="199"/>
      <c r="U364" s="199"/>
      <c r="V364" s="201"/>
      <c r="W364" s="202"/>
      <c r="X364" s="359"/>
      <c r="Y364" s="353">
        <v>1</v>
      </c>
      <c r="Z364" s="199"/>
      <c r="AA364" s="204"/>
      <c r="AB364" s="205"/>
      <c r="AC364" s="201"/>
    </row>
    <row r="365" spans="1:29" x14ac:dyDescent="0.25">
      <c r="A365" s="328">
        <v>45928</v>
      </c>
      <c r="B365" s="17">
        <v>7</v>
      </c>
      <c r="C365" s="123" t="s">
        <v>694</v>
      </c>
      <c r="D365" s="17" t="s">
        <v>70</v>
      </c>
      <c r="E365" s="18">
        <v>1.89</v>
      </c>
      <c r="F365" s="18"/>
      <c r="G365" s="461">
        <v>0</v>
      </c>
      <c r="H365" s="461">
        <v>1</v>
      </c>
      <c r="I365" s="20">
        <v>0.63</v>
      </c>
      <c r="J365" s="20"/>
      <c r="K365" s="123" t="s">
        <v>700</v>
      </c>
      <c r="L365" s="17" t="s">
        <v>171</v>
      </c>
      <c r="M365" s="597" t="s">
        <v>526</v>
      </c>
      <c r="N365" s="507">
        <v>23</v>
      </c>
      <c r="O365" s="508" t="s">
        <v>70</v>
      </c>
      <c r="P365" s="509" t="s">
        <v>83</v>
      </c>
      <c r="Q365" s="509" t="s">
        <v>84</v>
      </c>
      <c r="R365" s="509" t="s">
        <v>713</v>
      </c>
      <c r="S365" s="479">
        <v>65</v>
      </c>
      <c r="T365" s="509" t="s">
        <v>354</v>
      </c>
      <c r="U365" s="509" t="s">
        <v>42</v>
      </c>
      <c r="V365" s="510" t="s">
        <v>15</v>
      </c>
      <c r="W365" s="53">
        <v>0.01</v>
      </c>
      <c r="X365" s="360">
        <v>0.18</v>
      </c>
      <c r="Y365" s="354"/>
      <c r="Z365" s="17" t="s">
        <v>48</v>
      </c>
      <c r="AA365" s="114" t="s">
        <v>28</v>
      </c>
      <c r="AB365" s="110"/>
      <c r="AC365" s="60"/>
    </row>
    <row r="366" spans="1:29" x14ac:dyDescent="0.25">
      <c r="A366" s="329">
        <v>45928</v>
      </c>
      <c r="B366" s="5">
        <v>7</v>
      </c>
      <c r="D366" s="5" t="s">
        <v>70</v>
      </c>
      <c r="E366" s="6">
        <v>1.89</v>
      </c>
      <c r="G366" s="362">
        <v>0</v>
      </c>
      <c r="H366" s="362">
        <v>1</v>
      </c>
      <c r="I366" s="8">
        <v>0.63</v>
      </c>
      <c r="L366" s="5" t="s">
        <v>171</v>
      </c>
      <c r="M366" s="268" t="s">
        <v>526</v>
      </c>
      <c r="N366" s="476">
        <v>39</v>
      </c>
      <c r="O366" s="477" t="s">
        <v>70</v>
      </c>
      <c r="P366" s="478" t="s">
        <v>74</v>
      </c>
      <c r="Q366" s="478" t="s">
        <v>75</v>
      </c>
      <c r="R366" s="478" t="s">
        <v>685</v>
      </c>
      <c r="S366" s="479">
        <v>66</v>
      </c>
      <c r="T366" s="478" t="s">
        <v>41</v>
      </c>
      <c r="U366" s="478" t="s">
        <v>42</v>
      </c>
      <c r="V366" s="480" t="s">
        <v>18</v>
      </c>
      <c r="W366" s="51">
        <v>0.27</v>
      </c>
      <c r="X366" s="357">
        <v>0.77</v>
      </c>
      <c r="Z366" s="5" t="s">
        <v>48</v>
      </c>
      <c r="AA366" s="112" t="s">
        <v>28</v>
      </c>
    </row>
    <row r="367" spans="1:29" x14ac:dyDescent="0.25">
      <c r="A367" s="329">
        <v>45928</v>
      </c>
      <c r="B367" s="5">
        <v>7</v>
      </c>
      <c r="D367" s="5" t="s">
        <v>70</v>
      </c>
      <c r="E367" s="6">
        <v>1.89</v>
      </c>
      <c r="G367" s="362">
        <v>0</v>
      </c>
      <c r="H367" s="362">
        <v>1</v>
      </c>
      <c r="I367" s="8">
        <v>0.63</v>
      </c>
      <c r="L367" s="5" t="s">
        <v>171</v>
      </c>
      <c r="M367" s="268" t="s">
        <v>526</v>
      </c>
      <c r="N367" s="476">
        <v>48</v>
      </c>
      <c r="O367" s="477" t="s">
        <v>70</v>
      </c>
      <c r="P367" s="478" t="s">
        <v>53</v>
      </c>
      <c r="Q367" s="478" t="s">
        <v>405</v>
      </c>
      <c r="R367" s="478" t="s">
        <v>718</v>
      </c>
      <c r="S367" s="479">
        <v>68</v>
      </c>
      <c r="T367" s="478" t="s">
        <v>41</v>
      </c>
      <c r="U367" s="478" t="s">
        <v>42</v>
      </c>
      <c r="V367" s="480" t="s">
        <v>33</v>
      </c>
      <c r="W367" s="51">
        <v>7.0000000000000007E-2</v>
      </c>
      <c r="X367" s="357">
        <v>0.11</v>
      </c>
      <c r="Z367" s="5" t="s">
        <v>48</v>
      </c>
      <c r="AA367" s="112" t="s">
        <v>28</v>
      </c>
    </row>
    <row r="368" spans="1:29" x14ac:dyDescent="0.25">
      <c r="A368" s="329">
        <v>45928</v>
      </c>
      <c r="B368" s="5">
        <v>7</v>
      </c>
      <c r="D368" s="5" t="s">
        <v>70</v>
      </c>
      <c r="E368" s="6">
        <v>1.89</v>
      </c>
      <c r="G368" s="362">
        <v>0</v>
      </c>
      <c r="H368" s="362">
        <v>1</v>
      </c>
      <c r="I368" s="8">
        <v>0.63</v>
      </c>
      <c r="L368" s="5" t="s">
        <v>171</v>
      </c>
      <c r="M368" s="268" t="s">
        <v>526</v>
      </c>
      <c r="N368" s="476">
        <v>49</v>
      </c>
      <c r="O368" s="477" t="s">
        <v>70</v>
      </c>
      <c r="P368" s="478" t="s">
        <v>78</v>
      </c>
      <c r="Q368" s="478" t="s">
        <v>404</v>
      </c>
      <c r="R368" s="478" t="s">
        <v>712</v>
      </c>
      <c r="S368" s="479">
        <v>67</v>
      </c>
      <c r="T368" s="478" t="s">
        <v>41</v>
      </c>
      <c r="U368" s="478" t="s">
        <v>42</v>
      </c>
      <c r="V368" s="480" t="s">
        <v>29</v>
      </c>
      <c r="W368" s="51">
        <v>0.34</v>
      </c>
      <c r="X368" s="357">
        <v>0.16</v>
      </c>
      <c r="Y368" s="351" t="s">
        <v>353</v>
      </c>
      <c r="Z368" s="5" t="s">
        <v>48</v>
      </c>
      <c r="AA368" s="112" t="s">
        <v>28</v>
      </c>
    </row>
    <row r="369" spans="1:29" x14ac:dyDescent="0.25">
      <c r="A369" s="329">
        <v>45928</v>
      </c>
      <c r="B369" s="5">
        <v>7</v>
      </c>
      <c r="D369" s="5" t="s">
        <v>70</v>
      </c>
      <c r="E369" s="6">
        <v>1.89</v>
      </c>
      <c r="G369" s="362">
        <v>0</v>
      </c>
      <c r="H369" s="362">
        <v>1</v>
      </c>
      <c r="I369" s="8">
        <v>0.63</v>
      </c>
      <c r="L369" s="5" t="s">
        <v>171</v>
      </c>
      <c r="M369" s="268" t="s">
        <v>526</v>
      </c>
      <c r="N369" s="476">
        <v>66</v>
      </c>
      <c r="O369" s="477" t="s">
        <v>70</v>
      </c>
      <c r="P369" s="478" t="s">
        <v>53</v>
      </c>
      <c r="Q369" s="478" t="s">
        <v>405</v>
      </c>
      <c r="R369" s="478" t="s">
        <v>718</v>
      </c>
      <c r="S369" s="479">
        <v>68</v>
      </c>
      <c r="T369" s="478" t="s">
        <v>41</v>
      </c>
      <c r="U369" s="478" t="s">
        <v>45</v>
      </c>
      <c r="V369" s="480" t="s">
        <v>20</v>
      </c>
      <c r="W369" s="51">
        <v>0.1</v>
      </c>
      <c r="X369" s="357" t="s">
        <v>53</v>
      </c>
      <c r="Z369" s="5" t="s">
        <v>13</v>
      </c>
      <c r="AA369" s="112" t="s">
        <v>28</v>
      </c>
    </row>
    <row r="370" spans="1:29" x14ac:dyDescent="0.25">
      <c r="A370" s="329">
        <v>45928</v>
      </c>
      <c r="B370" s="5">
        <v>7</v>
      </c>
      <c r="D370" s="5" t="s">
        <v>70</v>
      </c>
      <c r="E370" s="6">
        <v>1.89</v>
      </c>
      <c r="G370" s="362">
        <v>0</v>
      </c>
      <c r="H370" s="362">
        <v>1</v>
      </c>
      <c r="I370" s="8">
        <v>0.63</v>
      </c>
      <c r="L370" s="5" t="s">
        <v>171</v>
      </c>
      <c r="M370" s="268" t="s">
        <v>526</v>
      </c>
      <c r="N370" s="476">
        <v>70</v>
      </c>
      <c r="O370" s="477" t="s">
        <v>70</v>
      </c>
      <c r="P370" s="478" t="s">
        <v>76</v>
      </c>
      <c r="Q370" s="478" t="s">
        <v>77</v>
      </c>
      <c r="R370" s="478" t="s">
        <v>717</v>
      </c>
      <c r="S370" s="479">
        <v>58</v>
      </c>
      <c r="T370" s="478" t="s">
        <v>41</v>
      </c>
      <c r="U370" s="478" t="s">
        <v>42</v>
      </c>
      <c r="V370" s="480" t="s">
        <v>10</v>
      </c>
      <c r="W370" s="51">
        <v>0.17</v>
      </c>
      <c r="X370" s="357" t="s">
        <v>53</v>
      </c>
      <c r="Z370" s="5" t="s">
        <v>13</v>
      </c>
      <c r="AA370" s="112" t="s">
        <v>28</v>
      </c>
    </row>
    <row r="371" spans="1:29" x14ac:dyDescent="0.25">
      <c r="A371" s="329">
        <v>45928</v>
      </c>
      <c r="B371" s="5">
        <v>7</v>
      </c>
      <c r="D371" s="5" t="s">
        <v>70</v>
      </c>
      <c r="E371" s="6">
        <v>1.89</v>
      </c>
      <c r="G371" s="362">
        <v>0</v>
      </c>
      <c r="H371" s="362">
        <v>1</v>
      </c>
      <c r="I371" s="8">
        <v>0.63</v>
      </c>
      <c r="L371" s="5" t="s">
        <v>171</v>
      </c>
      <c r="M371" s="268" t="s">
        <v>526</v>
      </c>
      <c r="N371" s="345">
        <v>87</v>
      </c>
      <c r="O371" s="38" t="s">
        <v>171</v>
      </c>
      <c r="P371" s="5" t="s">
        <v>181</v>
      </c>
      <c r="Q371" s="5" t="s">
        <v>182</v>
      </c>
      <c r="R371" s="5" t="s">
        <v>696</v>
      </c>
      <c r="S371" s="479">
        <v>69</v>
      </c>
      <c r="T371" s="5" t="s">
        <v>41</v>
      </c>
      <c r="U371" s="5" t="s">
        <v>42</v>
      </c>
      <c r="V371" s="57" t="s">
        <v>10</v>
      </c>
      <c r="W371" s="51">
        <v>0.42</v>
      </c>
      <c r="X371" s="357">
        <v>0.55000000000000004</v>
      </c>
      <c r="Y371" s="351" t="s">
        <v>353</v>
      </c>
      <c r="Z371" s="5" t="s">
        <v>8</v>
      </c>
      <c r="AA371" s="112" t="s">
        <v>9</v>
      </c>
      <c r="AB371" s="108" t="s">
        <v>441</v>
      </c>
      <c r="AC371" s="57" t="s">
        <v>442</v>
      </c>
    </row>
    <row r="372" spans="1:29" ht="15.75" thickBot="1" x14ac:dyDescent="0.3">
      <c r="A372" s="330">
        <v>45928</v>
      </c>
      <c r="B372" s="9">
        <v>7</v>
      </c>
      <c r="C372" s="122"/>
      <c r="D372" s="9" t="s">
        <v>70</v>
      </c>
      <c r="E372" s="10">
        <v>1.89</v>
      </c>
      <c r="F372" s="10"/>
      <c r="G372" s="383">
        <v>0</v>
      </c>
      <c r="H372" s="383">
        <v>1</v>
      </c>
      <c r="I372" s="12">
        <v>0.63</v>
      </c>
      <c r="J372" s="12"/>
      <c r="K372" s="122"/>
      <c r="L372" s="9" t="s">
        <v>171</v>
      </c>
      <c r="M372" s="444" t="s">
        <v>526</v>
      </c>
      <c r="N372" s="511" t="s">
        <v>36</v>
      </c>
      <c r="O372" s="512" t="s">
        <v>70</v>
      </c>
      <c r="P372" s="513" t="s">
        <v>298</v>
      </c>
      <c r="Q372" s="513" t="s">
        <v>299</v>
      </c>
      <c r="R372" s="513" t="s">
        <v>696</v>
      </c>
      <c r="S372" s="479">
        <v>49</v>
      </c>
      <c r="T372" s="513" t="s">
        <v>47</v>
      </c>
      <c r="U372" s="513" t="s">
        <v>42</v>
      </c>
      <c r="V372" s="514" t="s">
        <v>10</v>
      </c>
      <c r="W372" s="52">
        <v>0.42</v>
      </c>
      <c r="X372" s="358">
        <v>0.41</v>
      </c>
      <c r="Y372" s="352" t="s">
        <v>353</v>
      </c>
      <c r="Z372" s="9" t="s">
        <v>48</v>
      </c>
      <c r="AA372" s="113" t="s">
        <v>9</v>
      </c>
      <c r="AB372" s="109"/>
      <c r="AC372" s="58"/>
    </row>
    <row r="373" spans="1:29" ht="15.75" thickBot="1" x14ac:dyDescent="0.3">
      <c r="A373" s="326">
        <v>45928</v>
      </c>
      <c r="B373" s="207">
        <v>7</v>
      </c>
      <c r="C373" s="208"/>
      <c r="D373" s="207" t="s">
        <v>70</v>
      </c>
      <c r="E373" s="209">
        <v>1.89</v>
      </c>
      <c r="F373" s="209"/>
      <c r="G373" s="460">
        <v>0</v>
      </c>
      <c r="H373" s="460">
        <v>1</v>
      </c>
      <c r="I373" s="211">
        <v>0.63</v>
      </c>
      <c r="J373" s="211"/>
      <c r="K373" s="208"/>
      <c r="L373" s="207" t="s">
        <v>171</v>
      </c>
      <c r="M373" s="235"/>
      <c r="N373" s="347"/>
      <c r="O373" s="343" t="s">
        <v>70</v>
      </c>
      <c r="P373" s="199" t="s">
        <v>714</v>
      </c>
      <c r="Q373" s="199" t="s">
        <v>715</v>
      </c>
      <c r="R373" s="199" t="s">
        <v>707</v>
      </c>
      <c r="S373" s="7">
        <v>58</v>
      </c>
      <c r="T373" s="199"/>
      <c r="U373" s="199"/>
      <c r="V373" s="201"/>
      <c r="W373" s="202"/>
      <c r="X373" s="359"/>
      <c r="Y373" s="353">
        <v>1</v>
      </c>
      <c r="Z373" s="199"/>
      <c r="AA373" s="204"/>
      <c r="AB373" s="205"/>
      <c r="AC373" s="201"/>
    </row>
    <row r="374" spans="1:29" ht="15.75" thickBot="1" x14ac:dyDescent="0.3">
      <c r="A374" s="326">
        <v>45928</v>
      </c>
      <c r="B374" s="207">
        <v>7</v>
      </c>
      <c r="C374" s="208"/>
      <c r="D374" s="207" t="s">
        <v>70</v>
      </c>
      <c r="E374" s="209">
        <v>1.89</v>
      </c>
      <c r="F374" s="209"/>
      <c r="G374" s="460">
        <v>0</v>
      </c>
      <c r="H374" s="460">
        <v>1</v>
      </c>
      <c r="I374" s="211">
        <v>0.63</v>
      </c>
      <c r="J374" s="211"/>
      <c r="K374" s="208"/>
      <c r="L374" s="207" t="s">
        <v>171</v>
      </c>
      <c r="M374" s="235"/>
      <c r="N374" s="347"/>
      <c r="O374" s="343" t="s">
        <v>171</v>
      </c>
      <c r="P374" s="199" t="s">
        <v>524</v>
      </c>
      <c r="Q374" s="199" t="s">
        <v>525</v>
      </c>
      <c r="R374" s="199" t="s">
        <v>707</v>
      </c>
      <c r="S374" s="479">
        <v>85</v>
      </c>
      <c r="T374" s="199"/>
      <c r="U374" s="199"/>
      <c r="V374" s="201"/>
      <c r="W374" s="202"/>
      <c r="X374" s="359"/>
      <c r="Y374" s="353">
        <v>0</v>
      </c>
      <c r="Z374" s="199"/>
      <c r="AA374" s="204"/>
      <c r="AB374" s="205"/>
      <c r="AC374" s="201"/>
    </row>
    <row r="375" spans="1:29" x14ac:dyDescent="0.25">
      <c r="A375" s="329">
        <v>45954</v>
      </c>
      <c r="B375" s="5">
        <v>10</v>
      </c>
      <c r="C375" s="121" t="s">
        <v>693</v>
      </c>
      <c r="D375" s="5" t="s">
        <v>146</v>
      </c>
      <c r="E375" s="6">
        <v>1.61</v>
      </c>
      <c r="G375" s="362">
        <v>2</v>
      </c>
      <c r="H375" s="362">
        <v>1</v>
      </c>
      <c r="I375" s="8">
        <v>0.23</v>
      </c>
      <c r="K375" s="121" t="s">
        <v>693</v>
      </c>
      <c r="L375" s="5" t="s">
        <v>171</v>
      </c>
      <c r="N375" s="476">
        <v>19</v>
      </c>
      <c r="O375" s="477" t="s">
        <v>146</v>
      </c>
      <c r="P375" s="478" t="s">
        <v>805</v>
      </c>
      <c r="Q375" s="478" t="s">
        <v>160</v>
      </c>
      <c r="R375" s="478" t="s">
        <v>684</v>
      </c>
      <c r="S375" s="7">
        <v>83</v>
      </c>
      <c r="T375" s="478" t="s">
        <v>41</v>
      </c>
      <c r="U375" s="478" t="s">
        <v>43</v>
      </c>
      <c r="V375" s="480" t="s">
        <v>7</v>
      </c>
      <c r="W375" s="51">
        <v>0.79</v>
      </c>
      <c r="X375" s="357">
        <v>0.92</v>
      </c>
      <c r="Y375" s="351" t="s">
        <v>353</v>
      </c>
      <c r="Z375" s="5" t="s">
        <v>8</v>
      </c>
      <c r="AA375" s="112" t="s">
        <v>19</v>
      </c>
    </row>
    <row r="376" spans="1:29" x14ac:dyDescent="0.25">
      <c r="A376" s="329">
        <v>45954</v>
      </c>
      <c r="B376" s="5">
        <v>10</v>
      </c>
      <c r="D376" s="5" t="s">
        <v>146</v>
      </c>
      <c r="E376" s="6">
        <v>1.61</v>
      </c>
      <c r="G376" s="362">
        <v>2</v>
      </c>
      <c r="H376" s="362">
        <v>1</v>
      </c>
      <c r="I376" s="8">
        <v>0.23</v>
      </c>
      <c r="L376" s="5" t="s">
        <v>171</v>
      </c>
      <c r="N376" s="345">
        <v>30</v>
      </c>
      <c r="O376" s="38" t="s">
        <v>171</v>
      </c>
      <c r="P376" s="5" t="s">
        <v>808</v>
      </c>
      <c r="Q376" s="5" t="s">
        <v>184</v>
      </c>
      <c r="R376" s="5" t="s">
        <v>687</v>
      </c>
      <c r="S376" s="7">
        <v>77</v>
      </c>
      <c r="T376" s="5" t="s">
        <v>44</v>
      </c>
      <c r="U376" s="5" t="s">
        <v>43</v>
      </c>
      <c r="V376" s="57" t="s">
        <v>33</v>
      </c>
      <c r="W376" s="51">
        <v>0.05</v>
      </c>
      <c r="X376" s="357">
        <v>0.52</v>
      </c>
      <c r="Z376" s="5" t="s">
        <v>8</v>
      </c>
      <c r="AA376" s="112" t="s">
        <v>51</v>
      </c>
      <c r="AB376" s="108" t="s">
        <v>812</v>
      </c>
      <c r="AC376" s="57" t="s">
        <v>813</v>
      </c>
    </row>
    <row r="377" spans="1:29" x14ac:dyDescent="0.25">
      <c r="A377" s="329">
        <v>45954</v>
      </c>
      <c r="B377" s="5">
        <v>10</v>
      </c>
      <c r="D377" s="5" t="s">
        <v>146</v>
      </c>
      <c r="E377" s="6">
        <v>1.61</v>
      </c>
      <c r="G377" s="362">
        <v>2</v>
      </c>
      <c r="H377" s="362">
        <v>1</v>
      </c>
      <c r="I377" s="8">
        <v>0.23</v>
      </c>
      <c r="L377" s="5" t="s">
        <v>171</v>
      </c>
      <c r="N377" s="476">
        <v>36</v>
      </c>
      <c r="O377" s="477" t="s">
        <v>146</v>
      </c>
      <c r="P377" s="478" t="s">
        <v>805</v>
      </c>
      <c r="Q377" s="478" t="s">
        <v>160</v>
      </c>
      <c r="R377" s="478" t="s">
        <v>684</v>
      </c>
      <c r="S377" s="7">
        <v>83</v>
      </c>
      <c r="T377" s="478" t="s">
        <v>41</v>
      </c>
      <c r="U377" s="478" t="s">
        <v>43</v>
      </c>
      <c r="V377" s="480" t="s">
        <v>540</v>
      </c>
      <c r="W377" s="51">
        <v>0.04</v>
      </c>
      <c r="X377" s="357">
        <v>0.23</v>
      </c>
      <c r="Z377" s="5" t="s">
        <v>8</v>
      </c>
      <c r="AA377" s="112" t="s">
        <v>34</v>
      </c>
    </row>
    <row r="378" spans="1:29" x14ac:dyDescent="0.25">
      <c r="A378" s="329">
        <v>45954</v>
      </c>
      <c r="B378" s="5">
        <v>10</v>
      </c>
      <c r="D378" s="5" t="s">
        <v>146</v>
      </c>
      <c r="E378" s="6">
        <v>1.61</v>
      </c>
      <c r="G378" s="362">
        <v>2</v>
      </c>
      <c r="H378" s="362">
        <v>1</v>
      </c>
      <c r="I378" s="8">
        <v>0.23</v>
      </c>
      <c r="L378" s="5" t="s">
        <v>171</v>
      </c>
      <c r="N378" s="476" t="s">
        <v>63</v>
      </c>
      <c r="O378" s="477" t="s">
        <v>146</v>
      </c>
      <c r="P378" s="478" t="s">
        <v>806</v>
      </c>
      <c r="Q378" s="478" t="s">
        <v>376</v>
      </c>
      <c r="R378" s="478" t="s">
        <v>696</v>
      </c>
      <c r="S378" s="7">
        <v>65</v>
      </c>
      <c r="T378" s="478" t="s">
        <v>47</v>
      </c>
      <c r="U378" s="478" t="s">
        <v>43</v>
      </c>
      <c r="V378" s="480" t="s">
        <v>10</v>
      </c>
      <c r="W378" s="51">
        <v>0.15</v>
      </c>
      <c r="X378" s="357">
        <v>0.45</v>
      </c>
      <c r="Y378" s="351" t="s">
        <v>353</v>
      </c>
      <c r="Z378" s="5" t="s">
        <v>48</v>
      </c>
      <c r="AA378" s="112" t="s">
        <v>34</v>
      </c>
    </row>
    <row r="379" spans="1:29" x14ac:dyDescent="0.25">
      <c r="A379" s="329">
        <v>45954</v>
      </c>
      <c r="B379" s="5">
        <v>10</v>
      </c>
      <c r="D379" s="5" t="s">
        <v>146</v>
      </c>
      <c r="E379" s="6">
        <v>1.61</v>
      </c>
      <c r="G379" s="362">
        <v>2</v>
      </c>
      <c r="H379" s="362">
        <v>1</v>
      </c>
      <c r="I379" s="8">
        <v>0.23</v>
      </c>
      <c r="L379" s="5" t="s">
        <v>171</v>
      </c>
      <c r="N379" s="476">
        <v>83</v>
      </c>
      <c r="O379" s="477" t="s">
        <v>146</v>
      </c>
      <c r="P379" s="478" t="s">
        <v>807</v>
      </c>
      <c r="Q379" s="478" t="s">
        <v>422</v>
      </c>
      <c r="R379" s="478" t="s">
        <v>688</v>
      </c>
      <c r="S379" s="7">
        <v>64</v>
      </c>
      <c r="T379" s="478" t="s">
        <v>41</v>
      </c>
      <c r="U379" s="478" t="s">
        <v>43</v>
      </c>
      <c r="V379" s="480" t="s">
        <v>540</v>
      </c>
      <c r="W379" s="51">
        <v>0.54</v>
      </c>
      <c r="X379" s="357" t="s">
        <v>53</v>
      </c>
      <c r="Y379" s="351" t="s">
        <v>353</v>
      </c>
      <c r="Z379" s="5" t="s">
        <v>22</v>
      </c>
      <c r="AA379" s="112" t="s">
        <v>34</v>
      </c>
    </row>
    <row r="380" spans="1:29" x14ac:dyDescent="0.25">
      <c r="A380" s="329">
        <v>45954</v>
      </c>
      <c r="B380" s="5">
        <v>10</v>
      </c>
      <c r="D380" s="5" t="s">
        <v>146</v>
      </c>
      <c r="E380" s="6">
        <v>1.61</v>
      </c>
      <c r="G380" s="362">
        <v>2</v>
      </c>
      <c r="H380" s="362">
        <v>1</v>
      </c>
      <c r="I380" s="8">
        <v>0.23</v>
      </c>
      <c r="L380" s="5" t="s">
        <v>171</v>
      </c>
      <c r="N380" s="345">
        <v>90</v>
      </c>
      <c r="O380" s="38" t="s">
        <v>171</v>
      </c>
      <c r="P380" s="5" t="s">
        <v>809</v>
      </c>
      <c r="Q380" s="5" t="s">
        <v>329</v>
      </c>
      <c r="R380" s="5" t="s">
        <v>685</v>
      </c>
      <c r="S380" s="7">
        <v>59</v>
      </c>
      <c r="T380" s="5" t="s">
        <v>41</v>
      </c>
      <c r="U380" s="5" t="s">
        <v>45</v>
      </c>
      <c r="V380" s="57" t="s">
        <v>10</v>
      </c>
      <c r="W380" s="51">
        <v>0.04</v>
      </c>
      <c r="X380" s="357" t="s">
        <v>53</v>
      </c>
      <c r="Z380" s="5" t="s">
        <v>16</v>
      </c>
      <c r="AA380" s="112" t="s">
        <v>34</v>
      </c>
    </row>
    <row r="381" spans="1:29" ht="15.75" thickBot="1" x14ac:dyDescent="0.3">
      <c r="A381" s="400">
        <v>45954</v>
      </c>
      <c r="B381" s="401">
        <v>10</v>
      </c>
      <c r="C381" s="474"/>
      <c r="D381" s="401" t="s">
        <v>146</v>
      </c>
      <c r="E381" s="404">
        <v>1.61</v>
      </c>
      <c r="F381" s="404"/>
      <c r="G381" s="363">
        <v>2</v>
      </c>
      <c r="H381" s="363">
        <v>1</v>
      </c>
      <c r="I381" s="475">
        <v>0.23</v>
      </c>
      <c r="J381" s="475"/>
      <c r="K381" s="474"/>
      <c r="L381" s="401" t="s">
        <v>171</v>
      </c>
      <c r="M381" s="235"/>
      <c r="N381" s="347"/>
      <c r="O381" s="343" t="s">
        <v>146</v>
      </c>
      <c r="P381" s="199" t="s">
        <v>810</v>
      </c>
      <c r="Q381" s="199" t="s">
        <v>423</v>
      </c>
      <c r="R381" s="199" t="s">
        <v>707</v>
      </c>
      <c r="S381" s="7">
        <v>62</v>
      </c>
      <c r="T381" s="199"/>
      <c r="U381" s="199"/>
      <c r="V381" s="201"/>
      <c r="W381" s="202"/>
      <c r="X381" s="359"/>
      <c r="Y381" s="353">
        <v>1</v>
      </c>
      <c r="Z381" s="199"/>
      <c r="AA381" s="204"/>
      <c r="AB381" s="205"/>
      <c r="AC381" s="201"/>
    </row>
    <row r="382" spans="1:29" ht="15.75" thickBot="1" x14ac:dyDescent="0.3">
      <c r="A382" s="400">
        <v>45954</v>
      </c>
      <c r="B382" s="401">
        <v>10</v>
      </c>
      <c r="C382" s="474"/>
      <c r="D382" s="401" t="s">
        <v>146</v>
      </c>
      <c r="E382" s="404">
        <v>1.61</v>
      </c>
      <c r="F382" s="404"/>
      <c r="G382" s="363">
        <v>2</v>
      </c>
      <c r="H382" s="363">
        <v>1</v>
      </c>
      <c r="I382" s="475">
        <v>0.23</v>
      </c>
      <c r="J382" s="475"/>
      <c r="K382" s="474"/>
      <c r="L382" s="401" t="s">
        <v>171</v>
      </c>
      <c r="M382" s="235"/>
      <c r="N382" s="347"/>
      <c r="O382" s="343" t="s">
        <v>171</v>
      </c>
      <c r="P382" s="199" t="s">
        <v>811</v>
      </c>
      <c r="Q382" s="199" t="s">
        <v>525</v>
      </c>
      <c r="R382" s="199" t="s">
        <v>707</v>
      </c>
      <c r="S382" s="7">
        <v>54</v>
      </c>
      <c r="T382" s="199"/>
      <c r="U382" s="199"/>
      <c r="V382" s="201"/>
      <c r="W382" s="202"/>
      <c r="X382" s="359"/>
      <c r="Y382" s="353">
        <v>2</v>
      </c>
      <c r="Z382" s="199"/>
      <c r="AA382" s="204"/>
      <c r="AB382" s="205"/>
      <c r="AC382" s="201"/>
    </row>
    <row r="383" spans="1:29" ht="15.75" thickBot="1" x14ac:dyDescent="0.3">
      <c r="A383" s="602" t="s">
        <v>37</v>
      </c>
      <c r="B383" s="603" t="s">
        <v>38</v>
      </c>
      <c r="C383" s="604" t="s">
        <v>682</v>
      </c>
      <c r="D383" s="27" t="s">
        <v>635</v>
      </c>
      <c r="E383" s="81" t="s">
        <v>589</v>
      </c>
      <c r="F383" s="81"/>
      <c r="G383" s="605" t="s">
        <v>636</v>
      </c>
      <c r="H383" s="605" t="s">
        <v>637</v>
      </c>
      <c r="I383" s="606" t="s">
        <v>590</v>
      </c>
      <c r="J383" s="606"/>
      <c r="K383" s="607" t="s">
        <v>683</v>
      </c>
      <c r="L383" s="27" t="s">
        <v>638</v>
      </c>
      <c r="M383" s="27" t="s">
        <v>586</v>
      </c>
      <c r="N383" s="608" t="s">
        <v>0</v>
      </c>
      <c r="O383" s="609" t="s">
        <v>1</v>
      </c>
      <c r="P383" s="40" t="s">
        <v>2</v>
      </c>
      <c r="Q383" s="40" t="s">
        <v>645</v>
      </c>
      <c r="R383" s="40" t="s">
        <v>681</v>
      </c>
      <c r="S383" s="610" t="s">
        <v>711</v>
      </c>
      <c r="T383" s="40" t="s">
        <v>39</v>
      </c>
      <c r="U383" s="40" t="s">
        <v>40</v>
      </c>
      <c r="V383" s="611" t="s">
        <v>3</v>
      </c>
      <c r="W383" s="612" t="s">
        <v>4</v>
      </c>
      <c r="X383" s="483" t="s">
        <v>64</v>
      </c>
      <c r="Y383" s="613" t="s">
        <v>353</v>
      </c>
      <c r="Z383" s="40" t="s">
        <v>5</v>
      </c>
      <c r="AA383" s="614" t="s">
        <v>6</v>
      </c>
      <c r="AB383" s="615" t="s">
        <v>646</v>
      </c>
      <c r="AC383" s="616" t="s">
        <v>647</v>
      </c>
    </row>
    <row r="384" spans="1:29" x14ac:dyDescent="0.25">
      <c r="A384" s="328">
        <v>45893</v>
      </c>
      <c r="B384" s="17">
        <v>2</v>
      </c>
      <c r="C384" s="123" t="s">
        <v>697</v>
      </c>
      <c r="D384" s="17" t="s">
        <v>146</v>
      </c>
      <c r="E384" s="18">
        <v>1.0900000000000001</v>
      </c>
      <c r="F384" s="18"/>
      <c r="G384" s="461">
        <v>2</v>
      </c>
      <c r="H384" s="461">
        <v>2</v>
      </c>
      <c r="I384" s="20">
        <v>1.81</v>
      </c>
      <c r="J384" s="20"/>
      <c r="K384" s="123" t="s">
        <v>693</v>
      </c>
      <c r="L384" s="17" t="s">
        <v>192</v>
      </c>
      <c r="M384" s="46"/>
      <c r="N384" s="507">
        <v>8</v>
      </c>
      <c r="O384" s="508" t="s">
        <v>146</v>
      </c>
      <c r="P384" s="509" t="s">
        <v>155</v>
      </c>
      <c r="Q384" s="509" t="s">
        <v>156</v>
      </c>
      <c r="R384" s="509" t="s">
        <v>686</v>
      </c>
      <c r="S384" s="479">
        <v>68</v>
      </c>
      <c r="T384" s="509" t="s">
        <v>41</v>
      </c>
      <c r="U384" s="509" t="s">
        <v>42</v>
      </c>
      <c r="V384" s="510" t="s">
        <v>10</v>
      </c>
      <c r="W384" s="53">
        <v>0.12</v>
      </c>
      <c r="X384" s="360">
        <v>0.11</v>
      </c>
      <c r="Y384" s="354"/>
      <c r="Z384" s="17" t="s">
        <v>48</v>
      </c>
      <c r="AA384" s="114" t="s">
        <v>28</v>
      </c>
      <c r="AB384" s="110"/>
      <c r="AC384" s="60"/>
    </row>
    <row r="385" spans="1:29" x14ac:dyDescent="0.25">
      <c r="A385" s="329">
        <v>45893</v>
      </c>
      <c r="B385" s="5">
        <v>2</v>
      </c>
      <c r="D385" s="5" t="s">
        <v>146</v>
      </c>
      <c r="E385" s="6">
        <v>1.0900000000000001</v>
      </c>
      <c r="G385" s="362">
        <v>2</v>
      </c>
      <c r="H385" s="362">
        <v>2</v>
      </c>
      <c r="I385" s="8">
        <v>1.81</v>
      </c>
      <c r="L385" s="5" t="s">
        <v>192</v>
      </c>
      <c r="N385" s="345">
        <v>10</v>
      </c>
      <c r="O385" s="38" t="s">
        <v>192</v>
      </c>
      <c r="P385" s="5" t="s">
        <v>198</v>
      </c>
      <c r="Q385" s="5" t="s">
        <v>199</v>
      </c>
      <c r="R385" s="5" t="s">
        <v>699</v>
      </c>
      <c r="S385" s="479">
        <v>74</v>
      </c>
      <c r="T385" s="5" t="s">
        <v>41</v>
      </c>
      <c r="U385" s="5" t="s">
        <v>45</v>
      </c>
      <c r="V385" s="57" t="s">
        <v>18</v>
      </c>
      <c r="W385" s="51">
        <v>0.28000000000000003</v>
      </c>
      <c r="X385" s="357">
        <v>0.74</v>
      </c>
      <c r="Y385" s="351" t="s">
        <v>353</v>
      </c>
      <c r="Z385" s="5" t="s">
        <v>8</v>
      </c>
      <c r="AA385" s="112" t="s">
        <v>9</v>
      </c>
      <c r="AB385" s="108" t="s">
        <v>410</v>
      </c>
      <c r="AC385" s="57" t="s">
        <v>361</v>
      </c>
    </row>
    <row r="386" spans="1:29" x14ac:dyDescent="0.25">
      <c r="A386" s="329">
        <v>45893</v>
      </c>
      <c r="B386" s="5">
        <v>2</v>
      </c>
      <c r="D386" s="5" t="s">
        <v>146</v>
      </c>
      <c r="E386" s="6">
        <v>1.0900000000000001</v>
      </c>
      <c r="G386" s="362">
        <v>2</v>
      </c>
      <c r="H386" s="362">
        <v>2</v>
      </c>
      <c r="I386" s="8">
        <v>1.81</v>
      </c>
      <c r="L386" s="5" t="s">
        <v>192</v>
      </c>
      <c r="N386" s="345">
        <v>29</v>
      </c>
      <c r="O386" s="38" t="s">
        <v>192</v>
      </c>
      <c r="P386" s="5" t="s">
        <v>276</v>
      </c>
      <c r="Q386" s="5" t="s">
        <v>277</v>
      </c>
      <c r="R386" s="5" t="s">
        <v>687</v>
      </c>
      <c r="S386" s="481">
        <v>67</v>
      </c>
      <c r="T386" s="5" t="s">
        <v>354</v>
      </c>
      <c r="U386" s="5" t="s">
        <v>43</v>
      </c>
      <c r="V386" s="57" t="s">
        <v>10</v>
      </c>
      <c r="W386" s="51">
        <v>0.04</v>
      </c>
      <c r="X386" s="357" t="s">
        <v>53</v>
      </c>
      <c r="Z386" s="5" t="s">
        <v>16</v>
      </c>
      <c r="AA386" s="112" t="s">
        <v>9</v>
      </c>
    </row>
    <row r="387" spans="1:29" x14ac:dyDescent="0.25">
      <c r="A387" s="329">
        <v>45893</v>
      </c>
      <c r="B387" s="5">
        <v>2</v>
      </c>
      <c r="D387" s="5" t="s">
        <v>146</v>
      </c>
      <c r="E387" s="6">
        <v>1.0900000000000001</v>
      </c>
      <c r="G387" s="362">
        <v>2</v>
      </c>
      <c r="H387" s="362">
        <v>2</v>
      </c>
      <c r="I387" s="8">
        <v>1.81</v>
      </c>
      <c r="L387" s="5" t="s">
        <v>192</v>
      </c>
      <c r="N387" s="476">
        <v>30</v>
      </c>
      <c r="O387" s="477" t="s">
        <v>146</v>
      </c>
      <c r="P387" s="478" t="s">
        <v>159</v>
      </c>
      <c r="Q387" s="478" t="s">
        <v>160</v>
      </c>
      <c r="R387" s="478" t="s">
        <v>684</v>
      </c>
      <c r="S387" s="481">
        <v>69</v>
      </c>
      <c r="T387" s="478" t="s">
        <v>41</v>
      </c>
      <c r="U387" s="478" t="s">
        <v>45</v>
      </c>
      <c r="V387" s="480" t="s">
        <v>10</v>
      </c>
      <c r="W387" s="51">
        <v>0.06</v>
      </c>
      <c r="X387" s="357" t="s">
        <v>53</v>
      </c>
      <c r="Y387" s="351" t="s">
        <v>353</v>
      </c>
      <c r="Z387" s="5" t="s">
        <v>22</v>
      </c>
      <c r="AA387" s="112" t="s">
        <v>9</v>
      </c>
    </row>
    <row r="388" spans="1:29" x14ac:dyDescent="0.25">
      <c r="A388" s="329">
        <v>45893</v>
      </c>
      <c r="B388" s="5">
        <v>2</v>
      </c>
      <c r="D388" s="5" t="s">
        <v>146</v>
      </c>
      <c r="E388" s="6">
        <v>1.0900000000000001</v>
      </c>
      <c r="G388" s="362">
        <v>2</v>
      </c>
      <c r="H388" s="362">
        <v>2</v>
      </c>
      <c r="I388" s="8">
        <v>1.81</v>
      </c>
      <c r="L388" s="5" t="s">
        <v>192</v>
      </c>
      <c r="N388" s="476">
        <v>39</v>
      </c>
      <c r="O388" s="477" t="s">
        <v>146</v>
      </c>
      <c r="P388" s="478" t="s">
        <v>135</v>
      </c>
      <c r="Q388" s="478" t="s">
        <v>273</v>
      </c>
      <c r="R388" s="478" t="s">
        <v>689</v>
      </c>
      <c r="S388" s="479">
        <v>70</v>
      </c>
      <c r="T388" s="478" t="s">
        <v>41</v>
      </c>
      <c r="U388" s="478" t="s">
        <v>45</v>
      </c>
      <c r="V388" s="480" t="s">
        <v>20</v>
      </c>
      <c r="W388" s="51">
        <v>0.02</v>
      </c>
      <c r="X388" s="357">
        <v>0.19</v>
      </c>
      <c r="Z388" s="5" t="s">
        <v>48</v>
      </c>
      <c r="AA388" s="112" t="s">
        <v>9</v>
      </c>
    </row>
    <row r="389" spans="1:29" x14ac:dyDescent="0.25">
      <c r="A389" s="329">
        <v>45893</v>
      </c>
      <c r="B389" s="5">
        <v>2</v>
      </c>
      <c r="D389" s="5" t="s">
        <v>146</v>
      </c>
      <c r="E389" s="6">
        <v>1.0900000000000001</v>
      </c>
      <c r="G389" s="362">
        <v>2</v>
      </c>
      <c r="H389" s="362">
        <v>2</v>
      </c>
      <c r="I389" s="8">
        <v>1.81</v>
      </c>
      <c r="L389" s="5" t="s">
        <v>192</v>
      </c>
      <c r="N389" s="345" t="s">
        <v>68</v>
      </c>
      <c r="O389" s="38" t="s">
        <v>192</v>
      </c>
      <c r="P389" s="5" t="s">
        <v>278</v>
      </c>
      <c r="Q389" s="5" t="s">
        <v>279</v>
      </c>
      <c r="R389" s="5" t="s">
        <v>685</v>
      </c>
      <c r="S389" s="479">
        <v>71</v>
      </c>
      <c r="T389" s="5" t="s">
        <v>41</v>
      </c>
      <c r="U389" s="5" t="s">
        <v>42</v>
      </c>
      <c r="V389" s="57" t="s">
        <v>7</v>
      </c>
      <c r="W389" s="51">
        <v>0.79</v>
      </c>
      <c r="X389" s="357">
        <v>0.93</v>
      </c>
      <c r="Y389" s="351" t="s">
        <v>353</v>
      </c>
      <c r="Z389" s="5" t="s">
        <v>8</v>
      </c>
      <c r="AA389" s="112" t="s">
        <v>11</v>
      </c>
    </row>
    <row r="390" spans="1:29" x14ac:dyDescent="0.25">
      <c r="A390" s="329">
        <v>45893</v>
      </c>
      <c r="B390" s="5">
        <v>2</v>
      </c>
      <c r="D390" s="5" t="s">
        <v>146</v>
      </c>
      <c r="E390" s="6">
        <v>1.0900000000000001</v>
      </c>
      <c r="G390" s="362">
        <v>2</v>
      </c>
      <c r="H390" s="362">
        <v>2</v>
      </c>
      <c r="I390" s="8">
        <v>1.81</v>
      </c>
      <c r="L390" s="5" t="s">
        <v>192</v>
      </c>
      <c r="N390" s="345">
        <v>60</v>
      </c>
      <c r="O390" s="38" t="s">
        <v>192</v>
      </c>
      <c r="P390" s="5" t="s">
        <v>280</v>
      </c>
      <c r="Q390" s="5" t="s">
        <v>281</v>
      </c>
      <c r="R390" s="5" t="s">
        <v>686</v>
      </c>
      <c r="S390" s="479">
        <v>69</v>
      </c>
      <c r="T390" s="5" t="s">
        <v>354</v>
      </c>
      <c r="U390" s="5" t="s">
        <v>42</v>
      </c>
      <c r="V390" s="57" t="s">
        <v>540</v>
      </c>
      <c r="W390" s="51">
        <v>0.03</v>
      </c>
      <c r="X390" s="357" t="s">
        <v>53</v>
      </c>
      <c r="Z390" s="5" t="s">
        <v>22</v>
      </c>
      <c r="AA390" s="112" t="s">
        <v>11</v>
      </c>
    </row>
    <row r="391" spans="1:29" x14ac:dyDescent="0.25">
      <c r="A391" s="329">
        <v>45893</v>
      </c>
      <c r="B391" s="5">
        <v>2</v>
      </c>
      <c r="D391" s="5" t="s">
        <v>146</v>
      </c>
      <c r="E391" s="6">
        <v>1.0900000000000001</v>
      </c>
      <c r="G391" s="362">
        <v>2</v>
      </c>
      <c r="H391" s="362">
        <v>2</v>
      </c>
      <c r="I391" s="8">
        <v>1.81</v>
      </c>
      <c r="L391" s="5" t="s">
        <v>192</v>
      </c>
      <c r="N391" s="476">
        <v>61</v>
      </c>
      <c r="O391" s="477" t="s">
        <v>146</v>
      </c>
      <c r="P391" s="478" t="s">
        <v>274</v>
      </c>
      <c r="Q391" s="478" t="s">
        <v>275</v>
      </c>
      <c r="R391" s="478" t="s">
        <v>685</v>
      </c>
      <c r="S391" s="479">
        <v>76</v>
      </c>
      <c r="T391" s="478" t="s">
        <v>41</v>
      </c>
      <c r="U391" s="478" t="s">
        <v>42</v>
      </c>
      <c r="V391" s="480" t="s">
        <v>18</v>
      </c>
      <c r="W391" s="51">
        <v>0.04</v>
      </c>
      <c r="X391" s="357">
        <v>0.43</v>
      </c>
      <c r="Z391" s="5" t="s">
        <v>8</v>
      </c>
      <c r="AA391" s="112" t="s">
        <v>67</v>
      </c>
    </row>
    <row r="392" spans="1:29" x14ac:dyDescent="0.25">
      <c r="A392" s="329">
        <v>45893</v>
      </c>
      <c r="B392" s="5">
        <v>2</v>
      </c>
      <c r="D392" s="5" t="s">
        <v>146</v>
      </c>
      <c r="E392" s="6">
        <v>1.0900000000000001</v>
      </c>
      <c r="G392" s="362">
        <v>2</v>
      </c>
      <c r="H392" s="362">
        <v>2</v>
      </c>
      <c r="I392" s="8">
        <v>1.81</v>
      </c>
      <c r="L392" s="5" t="s">
        <v>192</v>
      </c>
      <c r="N392" s="476">
        <v>69</v>
      </c>
      <c r="O392" s="477" t="s">
        <v>146</v>
      </c>
      <c r="P392" s="478" t="s">
        <v>157</v>
      </c>
      <c r="Q392" s="478" t="s">
        <v>158</v>
      </c>
      <c r="R392" s="478" t="s">
        <v>696</v>
      </c>
      <c r="S392" s="479">
        <v>73</v>
      </c>
      <c r="T392" s="478" t="s">
        <v>41</v>
      </c>
      <c r="U392" s="478" t="s">
        <v>42</v>
      </c>
      <c r="V392" s="480" t="s">
        <v>10</v>
      </c>
      <c r="W392" s="51">
        <v>0.21</v>
      </c>
      <c r="X392" s="357">
        <v>0.71</v>
      </c>
      <c r="Y392" s="351" t="s">
        <v>353</v>
      </c>
      <c r="Z392" s="5" t="s">
        <v>8</v>
      </c>
      <c r="AA392" s="112" t="s">
        <v>189</v>
      </c>
      <c r="AB392" s="108" t="s">
        <v>159</v>
      </c>
      <c r="AC392" s="57" t="s">
        <v>160</v>
      </c>
    </row>
    <row r="393" spans="1:29" x14ac:dyDescent="0.25">
      <c r="A393" s="329">
        <v>45893</v>
      </c>
      <c r="B393" s="5">
        <v>2</v>
      </c>
      <c r="D393" s="5" t="s">
        <v>146</v>
      </c>
      <c r="E393" s="6">
        <v>1.0900000000000001</v>
      </c>
      <c r="G393" s="362">
        <v>2</v>
      </c>
      <c r="H393" s="362">
        <v>2</v>
      </c>
      <c r="I393" s="8">
        <v>1.81</v>
      </c>
      <c r="L393" s="5" t="s">
        <v>192</v>
      </c>
      <c r="N393" s="345">
        <v>71</v>
      </c>
      <c r="O393" s="38" t="s">
        <v>192</v>
      </c>
      <c r="P393" s="5" t="s">
        <v>282</v>
      </c>
      <c r="Q393" s="5" t="s">
        <v>283</v>
      </c>
      <c r="R393" s="5" t="s">
        <v>696</v>
      </c>
      <c r="S393" s="7">
        <v>62</v>
      </c>
      <c r="T393" s="5" t="s">
        <v>41</v>
      </c>
      <c r="U393" s="5" t="s">
        <v>42</v>
      </c>
      <c r="V393" s="57" t="s">
        <v>10</v>
      </c>
      <c r="W393" s="51">
        <v>0.25</v>
      </c>
      <c r="X393" s="357" t="s">
        <v>53</v>
      </c>
      <c r="Z393" s="5" t="s">
        <v>13</v>
      </c>
      <c r="AA393" s="112" t="s">
        <v>189</v>
      </c>
    </row>
    <row r="394" spans="1:29" ht="15.75" thickBot="1" x14ac:dyDescent="0.3">
      <c r="A394" s="330">
        <v>45893</v>
      </c>
      <c r="B394" s="9">
        <v>2</v>
      </c>
      <c r="C394" s="122"/>
      <c r="D394" s="9" t="s">
        <v>146</v>
      </c>
      <c r="E394" s="10">
        <v>1.0900000000000001</v>
      </c>
      <c r="F394" s="10"/>
      <c r="G394" s="383">
        <v>2</v>
      </c>
      <c r="H394" s="383">
        <v>2</v>
      </c>
      <c r="I394" s="12">
        <v>1.81</v>
      </c>
      <c r="J394" s="12"/>
      <c r="K394" s="122"/>
      <c r="L394" s="9" t="s">
        <v>192</v>
      </c>
      <c r="M394" s="45"/>
      <c r="N394" s="511">
        <v>73</v>
      </c>
      <c r="O394" s="512" t="s">
        <v>146</v>
      </c>
      <c r="P394" s="513" t="s">
        <v>153</v>
      </c>
      <c r="Q394" s="513" t="s">
        <v>154</v>
      </c>
      <c r="R394" s="513" t="s">
        <v>696</v>
      </c>
      <c r="S394" s="479">
        <v>62</v>
      </c>
      <c r="T394" s="513" t="s">
        <v>41</v>
      </c>
      <c r="U394" s="513" t="s">
        <v>43</v>
      </c>
      <c r="V394" s="514" t="s">
        <v>10</v>
      </c>
      <c r="W394" s="52">
        <v>0.27</v>
      </c>
      <c r="X394" s="358">
        <v>0.56000000000000005</v>
      </c>
      <c r="Y394" s="352" t="s">
        <v>353</v>
      </c>
      <c r="Z394" s="9" t="s">
        <v>48</v>
      </c>
      <c r="AA394" s="113" t="s">
        <v>189</v>
      </c>
      <c r="AB394" s="109"/>
      <c r="AC394" s="58"/>
    </row>
    <row r="395" spans="1:29" ht="15.75" thickBot="1" x14ac:dyDescent="0.3">
      <c r="A395" s="326">
        <v>45893</v>
      </c>
      <c r="B395" s="207">
        <v>2</v>
      </c>
      <c r="C395" s="208"/>
      <c r="D395" s="207" t="s">
        <v>146</v>
      </c>
      <c r="E395" s="209">
        <v>1.0900000000000001</v>
      </c>
      <c r="F395" s="209"/>
      <c r="G395" s="460">
        <v>2</v>
      </c>
      <c r="H395" s="460">
        <v>2</v>
      </c>
      <c r="I395" s="211">
        <v>1.81</v>
      </c>
      <c r="J395" s="211"/>
      <c r="K395" s="208"/>
      <c r="L395" s="207" t="s">
        <v>192</v>
      </c>
      <c r="M395" s="197"/>
      <c r="N395" s="347"/>
      <c r="O395" s="343" t="s">
        <v>146</v>
      </c>
      <c r="P395" s="199" t="s">
        <v>257</v>
      </c>
      <c r="Q395" s="199" t="s">
        <v>423</v>
      </c>
      <c r="R395" s="199" t="s">
        <v>707</v>
      </c>
      <c r="S395" s="479">
        <v>59</v>
      </c>
      <c r="T395" s="199"/>
      <c r="U395" s="199"/>
      <c r="V395" s="201"/>
      <c r="W395" s="202"/>
      <c r="X395" s="359"/>
      <c r="Y395" s="353">
        <v>2</v>
      </c>
      <c r="Z395" s="199"/>
      <c r="AA395" s="204"/>
      <c r="AB395" s="205"/>
      <c r="AC395" s="201"/>
    </row>
    <row r="396" spans="1:29" ht="15.75" thickBot="1" x14ac:dyDescent="0.3">
      <c r="A396" s="326">
        <v>45893</v>
      </c>
      <c r="B396" s="207">
        <v>2</v>
      </c>
      <c r="C396" s="208"/>
      <c r="D396" s="207" t="s">
        <v>146</v>
      </c>
      <c r="E396" s="209">
        <v>1.0900000000000001</v>
      </c>
      <c r="F396" s="209"/>
      <c r="G396" s="460">
        <v>2</v>
      </c>
      <c r="H396" s="460">
        <v>2</v>
      </c>
      <c r="I396" s="211">
        <v>1.81</v>
      </c>
      <c r="J396" s="211"/>
      <c r="K396" s="208"/>
      <c r="L396" s="207" t="s">
        <v>192</v>
      </c>
      <c r="M396" s="197"/>
      <c r="N396" s="347"/>
      <c r="O396" s="343" t="s">
        <v>192</v>
      </c>
      <c r="P396" s="199" t="s">
        <v>723</v>
      </c>
      <c r="Q396" s="199" t="s">
        <v>724</v>
      </c>
      <c r="R396" s="199" t="s">
        <v>707</v>
      </c>
      <c r="S396" s="7">
        <v>73</v>
      </c>
      <c r="T396" s="199"/>
      <c r="U396" s="199"/>
      <c r="V396" s="201"/>
      <c r="W396" s="202"/>
      <c r="X396" s="359"/>
      <c r="Y396" s="353">
        <v>2</v>
      </c>
      <c r="Z396" s="199"/>
      <c r="AA396" s="204"/>
      <c r="AB396" s="205"/>
      <c r="AC396" s="201"/>
    </row>
    <row r="397" spans="1:29" x14ac:dyDescent="0.25">
      <c r="A397" s="331">
        <v>45913</v>
      </c>
      <c r="B397" s="13">
        <v>4</v>
      </c>
      <c r="C397" s="124" t="s">
        <v>693</v>
      </c>
      <c r="D397" s="13" t="s">
        <v>146</v>
      </c>
      <c r="E397" s="14">
        <v>2.23</v>
      </c>
      <c r="F397" s="14"/>
      <c r="G397" s="375">
        <v>1</v>
      </c>
      <c r="H397" s="375">
        <v>2</v>
      </c>
      <c r="I397" s="16">
        <v>2.42</v>
      </c>
      <c r="J397" s="16"/>
      <c r="K397" s="124" t="s">
        <v>693</v>
      </c>
      <c r="L397" s="13" t="s">
        <v>226</v>
      </c>
      <c r="M397" s="268" t="s">
        <v>371</v>
      </c>
      <c r="N397" s="349">
        <v>9</v>
      </c>
      <c r="O397" s="458" t="s">
        <v>226</v>
      </c>
      <c r="P397" s="13" t="s">
        <v>231</v>
      </c>
      <c r="Q397" s="13" t="s">
        <v>232</v>
      </c>
      <c r="R397" s="13" t="s">
        <v>684</v>
      </c>
      <c r="S397" s="7">
        <v>98</v>
      </c>
      <c r="T397" s="13" t="s">
        <v>47</v>
      </c>
      <c r="U397" s="13" t="s">
        <v>42</v>
      </c>
      <c r="V397" s="60" t="s">
        <v>10</v>
      </c>
      <c r="W397" s="54">
        <v>0.48</v>
      </c>
      <c r="X397" s="361">
        <v>0.11</v>
      </c>
      <c r="Y397" s="355" t="s">
        <v>353</v>
      </c>
      <c r="Z397" s="13" t="s">
        <v>48</v>
      </c>
      <c r="AA397" s="115" t="s">
        <v>28</v>
      </c>
      <c r="AB397" s="110"/>
      <c r="AC397" s="60"/>
    </row>
    <row r="398" spans="1:29" x14ac:dyDescent="0.25">
      <c r="A398" s="329">
        <v>45913</v>
      </c>
      <c r="B398" s="5">
        <v>4</v>
      </c>
      <c r="D398" s="5" t="s">
        <v>146</v>
      </c>
      <c r="E398" s="6">
        <v>2.23</v>
      </c>
      <c r="G398" s="362">
        <v>1</v>
      </c>
      <c r="H398" s="362">
        <v>2</v>
      </c>
      <c r="I398" s="8">
        <v>2.42</v>
      </c>
      <c r="L398" s="5" t="s">
        <v>226</v>
      </c>
      <c r="M398" s="242" t="s">
        <v>371</v>
      </c>
      <c r="N398" s="345">
        <v>12</v>
      </c>
      <c r="O398" s="38" t="s">
        <v>226</v>
      </c>
      <c r="P398" s="5" t="s">
        <v>231</v>
      </c>
      <c r="Q398" s="5" t="s">
        <v>232</v>
      </c>
      <c r="R398" s="5" t="s">
        <v>684</v>
      </c>
      <c r="S398" s="7">
        <v>98</v>
      </c>
      <c r="T398" s="5" t="s">
        <v>44</v>
      </c>
      <c r="U398" s="5" t="s">
        <v>42</v>
      </c>
      <c r="V398" s="57" t="s">
        <v>540</v>
      </c>
      <c r="W398" s="51">
        <v>0.15</v>
      </c>
      <c r="X398" s="357">
        <v>0.08</v>
      </c>
      <c r="Y398" s="351" t="s">
        <v>353</v>
      </c>
      <c r="Z398" s="5" t="s">
        <v>8</v>
      </c>
      <c r="AA398" s="112" t="s">
        <v>9</v>
      </c>
    </row>
    <row r="399" spans="1:29" x14ac:dyDescent="0.25">
      <c r="A399" s="329">
        <v>45913</v>
      </c>
      <c r="B399" s="5">
        <v>4</v>
      </c>
      <c r="D399" s="5" t="s">
        <v>146</v>
      </c>
      <c r="E399" s="6">
        <v>2.23</v>
      </c>
      <c r="G399" s="362">
        <v>1</v>
      </c>
      <c r="H399" s="362">
        <v>2</v>
      </c>
      <c r="I399" s="8">
        <v>2.42</v>
      </c>
      <c r="L399" s="5" t="s">
        <v>226</v>
      </c>
      <c r="M399" s="242" t="s">
        <v>371</v>
      </c>
      <c r="N399" s="345">
        <v>15</v>
      </c>
      <c r="O399" s="38" t="s">
        <v>226</v>
      </c>
      <c r="P399" s="5" t="s">
        <v>231</v>
      </c>
      <c r="Q399" s="5" t="s">
        <v>232</v>
      </c>
      <c r="R399" s="5" t="s">
        <v>684</v>
      </c>
      <c r="S399" s="7">
        <v>98</v>
      </c>
      <c r="T399" s="5" t="s">
        <v>47</v>
      </c>
      <c r="U399" s="5" t="s">
        <v>42</v>
      </c>
      <c r="V399" s="57" t="s">
        <v>10</v>
      </c>
      <c r="W399" s="51">
        <v>0.08</v>
      </c>
      <c r="X399" s="357" t="s">
        <v>53</v>
      </c>
      <c r="Z399" s="5" t="s">
        <v>17</v>
      </c>
      <c r="AA399" s="112" t="s">
        <v>9</v>
      </c>
    </row>
    <row r="400" spans="1:29" x14ac:dyDescent="0.25">
      <c r="A400" s="329">
        <v>45913</v>
      </c>
      <c r="B400" s="5">
        <v>4</v>
      </c>
      <c r="D400" s="5" t="s">
        <v>146</v>
      </c>
      <c r="E400" s="6">
        <v>2.23</v>
      </c>
      <c r="G400" s="362">
        <v>1</v>
      </c>
      <c r="H400" s="362">
        <v>2</v>
      </c>
      <c r="I400" s="8">
        <v>2.42</v>
      </c>
      <c r="L400" s="5" t="s">
        <v>226</v>
      </c>
      <c r="M400" s="242" t="s">
        <v>371</v>
      </c>
      <c r="N400" s="476">
        <v>18</v>
      </c>
      <c r="O400" s="477" t="s">
        <v>146</v>
      </c>
      <c r="P400" s="478" t="s">
        <v>274</v>
      </c>
      <c r="Q400" s="478" t="s">
        <v>275</v>
      </c>
      <c r="R400" s="478" t="s">
        <v>685</v>
      </c>
      <c r="S400" s="479">
        <v>77</v>
      </c>
      <c r="T400" s="478" t="s">
        <v>354</v>
      </c>
      <c r="U400" s="478" t="s">
        <v>42</v>
      </c>
      <c r="V400" s="480" t="s">
        <v>10</v>
      </c>
      <c r="W400" s="51">
        <v>0.02</v>
      </c>
      <c r="X400" s="357" t="s">
        <v>53</v>
      </c>
      <c r="Z400" s="5" t="s">
        <v>16</v>
      </c>
      <c r="AA400" s="112" t="s">
        <v>9</v>
      </c>
    </row>
    <row r="401" spans="1:29" x14ac:dyDescent="0.25">
      <c r="A401" s="329">
        <v>45913</v>
      </c>
      <c r="B401" s="5">
        <v>4</v>
      </c>
      <c r="D401" s="5" t="s">
        <v>146</v>
      </c>
      <c r="E401" s="6">
        <v>2.23</v>
      </c>
      <c r="G401" s="362">
        <v>1</v>
      </c>
      <c r="H401" s="362">
        <v>2</v>
      </c>
      <c r="I401" s="8">
        <v>2.42</v>
      </c>
      <c r="L401" s="5" t="s">
        <v>226</v>
      </c>
      <c r="M401" s="242" t="s">
        <v>371</v>
      </c>
      <c r="N401" s="345">
        <v>26</v>
      </c>
      <c r="O401" s="38" t="s">
        <v>226</v>
      </c>
      <c r="P401" s="5" t="s">
        <v>372</v>
      </c>
      <c r="Q401" s="5" t="s">
        <v>373</v>
      </c>
      <c r="R401" s="5" t="s">
        <v>713</v>
      </c>
      <c r="S401" s="7">
        <v>75</v>
      </c>
      <c r="T401" s="5" t="s">
        <v>47</v>
      </c>
      <c r="U401" s="5" t="s">
        <v>45</v>
      </c>
      <c r="V401" s="57" t="s">
        <v>33</v>
      </c>
      <c r="W401" s="51">
        <v>0.18</v>
      </c>
      <c r="X401" s="357">
        <v>0.65</v>
      </c>
      <c r="Z401" s="5" t="s">
        <v>48</v>
      </c>
      <c r="AA401" s="112" t="s">
        <v>9</v>
      </c>
    </row>
    <row r="402" spans="1:29" x14ac:dyDescent="0.25">
      <c r="A402" s="329">
        <v>45913</v>
      </c>
      <c r="B402" s="5">
        <v>4</v>
      </c>
      <c r="D402" s="5" t="s">
        <v>146</v>
      </c>
      <c r="E402" s="6">
        <v>2.23</v>
      </c>
      <c r="G402" s="362">
        <v>1</v>
      </c>
      <c r="H402" s="362">
        <v>2</v>
      </c>
      <c r="I402" s="8">
        <v>2.42</v>
      </c>
      <c r="L402" s="5" t="s">
        <v>226</v>
      </c>
      <c r="M402" s="242" t="s">
        <v>371</v>
      </c>
      <c r="N402" s="345">
        <v>26</v>
      </c>
      <c r="O402" s="38" t="s">
        <v>226</v>
      </c>
      <c r="P402" s="5" t="s">
        <v>231</v>
      </c>
      <c r="Q402" s="5" t="s">
        <v>232</v>
      </c>
      <c r="R402" s="5" t="s">
        <v>684</v>
      </c>
      <c r="S402" s="7">
        <v>98</v>
      </c>
      <c r="T402" s="5" t="s">
        <v>47</v>
      </c>
      <c r="U402" s="5" t="s">
        <v>43</v>
      </c>
      <c r="V402" s="57" t="s">
        <v>33</v>
      </c>
      <c r="W402" s="51">
        <v>0.15</v>
      </c>
      <c r="X402" s="357" t="s">
        <v>53</v>
      </c>
      <c r="Z402" s="5" t="s">
        <v>52</v>
      </c>
      <c r="AA402" s="112" t="s">
        <v>9</v>
      </c>
    </row>
    <row r="403" spans="1:29" x14ac:dyDescent="0.25">
      <c r="A403" s="329">
        <v>45913</v>
      </c>
      <c r="B403" s="5">
        <v>4</v>
      </c>
      <c r="D403" s="5" t="s">
        <v>146</v>
      </c>
      <c r="E403" s="6">
        <v>2.23</v>
      </c>
      <c r="G403" s="362">
        <v>1</v>
      </c>
      <c r="H403" s="362">
        <v>2</v>
      </c>
      <c r="I403" s="8">
        <v>2.42</v>
      </c>
      <c r="L403" s="5" t="s">
        <v>226</v>
      </c>
      <c r="M403" s="242" t="s">
        <v>371</v>
      </c>
      <c r="N403" s="345">
        <v>30</v>
      </c>
      <c r="O403" s="38" t="s">
        <v>226</v>
      </c>
      <c r="P403" s="5" t="s">
        <v>372</v>
      </c>
      <c r="Q403" s="5" t="s">
        <v>373</v>
      </c>
      <c r="R403" s="5" t="s">
        <v>713</v>
      </c>
      <c r="S403" s="7">
        <v>75</v>
      </c>
      <c r="T403" s="5" t="s">
        <v>47</v>
      </c>
      <c r="U403" s="5" t="s">
        <v>45</v>
      </c>
      <c r="V403" s="57" t="s">
        <v>20</v>
      </c>
      <c r="W403" s="51">
        <v>0.12</v>
      </c>
      <c r="X403" s="357">
        <v>0.37</v>
      </c>
      <c r="Z403" s="5" t="s">
        <v>48</v>
      </c>
      <c r="AA403" s="112" t="s">
        <v>9</v>
      </c>
    </row>
    <row r="404" spans="1:29" x14ac:dyDescent="0.25">
      <c r="A404" s="329">
        <v>45913</v>
      </c>
      <c r="B404" s="5">
        <v>4</v>
      </c>
      <c r="D404" s="5" t="s">
        <v>146</v>
      </c>
      <c r="E404" s="6">
        <v>2.23</v>
      </c>
      <c r="G404" s="362">
        <v>1</v>
      </c>
      <c r="H404" s="362">
        <v>2</v>
      </c>
      <c r="I404" s="8">
        <v>2.42</v>
      </c>
      <c r="L404" s="5" t="s">
        <v>226</v>
      </c>
      <c r="M404" s="242" t="s">
        <v>371</v>
      </c>
      <c r="N404" s="345">
        <v>40</v>
      </c>
      <c r="O404" s="38" t="s">
        <v>226</v>
      </c>
      <c r="P404" s="5" t="s">
        <v>372</v>
      </c>
      <c r="Q404" s="5" t="s">
        <v>373</v>
      </c>
      <c r="R404" s="5" t="s">
        <v>713</v>
      </c>
      <c r="S404" s="479">
        <v>75</v>
      </c>
      <c r="T404" s="5" t="s">
        <v>44</v>
      </c>
      <c r="U404" s="5" t="s">
        <v>42</v>
      </c>
      <c r="V404" s="57" t="s">
        <v>33</v>
      </c>
      <c r="W404" s="51">
        <v>7.0000000000000007E-2</v>
      </c>
      <c r="X404" s="357" t="s">
        <v>53</v>
      </c>
      <c r="Z404" s="5" t="s">
        <v>22</v>
      </c>
      <c r="AA404" s="112" t="s">
        <v>9</v>
      </c>
    </row>
    <row r="405" spans="1:29" x14ac:dyDescent="0.25">
      <c r="A405" s="329">
        <v>45913</v>
      </c>
      <c r="B405" s="5">
        <v>4</v>
      </c>
      <c r="D405" s="5" t="s">
        <v>146</v>
      </c>
      <c r="E405" s="6">
        <v>2.23</v>
      </c>
      <c r="G405" s="362">
        <v>1</v>
      </c>
      <c r="H405" s="362">
        <v>2</v>
      </c>
      <c r="I405" s="8">
        <v>2.42</v>
      </c>
      <c r="L405" s="5" t="s">
        <v>226</v>
      </c>
      <c r="M405" s="242" t="s">
        <v>371</v>
      </c>
      <c r="N405" s="345">
        <v>43</v>
      </c>
      <c r="O405" s="38" t="s">
        <v>226</v>
      </c>
      <c r="P405" s="5" t="s">
        <v>374</v>
      </c>
      <c r="Q405" s="5" t="s">
        <v>375</v>
      </c>
      <c r="R405" s="5" t="s">
        <v>689</v>
      </c>
      <c r="S405" s="479">
        <v>65</v>
      </c>
      <c r="T405" s="5" t="s">
        <v>41</v>
      </c>
      <c r="U405" s="5" t="s">
        <v>45</v>
      </c>
      <c r="V405" s="57" t="s">
        <v>33</v>
      </c>
      <c r="W405" s="51">
        <v>0.03</v>
      </c>
      <c r="X405" s="357" t="s">
        <v>53</v>
      </c>
      <c r="Z405" s="5" t="s">
        <v>17</v>
      </c>
      <c r="AA405" s="112" t="s">
        <v>9</v>
      </c>
    </row>
    <row r="406" spans="1:29" x14ac:dyDescent="0.25">
      <c r="A406" s="329">
        <v>45913</v>
      </c>
      <c r="B406" s="5">
        <v>4</v>
      </c>
      <c r="D406" s="5" t="s">
        <v>146</v>
      </c>
      <c r="E406" s="6">
        <v>2.23</v>
      </c>
      <c r="G406" s="362">
        <v>1</v>
      </c>
      <c r="H406" s="362">
        <v>2</v>
      </c>
      <c r="I406" s="8">
        <v>2.42</v>
      </c>
      <c r="L406" s="5" t="s">
        <v>226</v>
      </c>
      <c r="M406" s="242" t="s">
        <v>371</v>
      </c>
      <c r="N406" s="345">
        <v>44</v>
      </c>
      <c r="O406" s="38" t="s">
        <v>226</v>
      </c>
      <c r="P406" s="5" t="s">
        <v>56</v>
      </c>
      <c r="Q406" s="5" t="s">
        <v>235</v>
      </c>
      <c r="R406" s="5" t="s">
        <v>699</v>
      </c>
      <c r="S406" s="459">
        <v>82</v>
      </c>
      <c r="T406" s="5" t="s">
        <v>47</v>
      </c>
      <c r="U406" s="5" t="s">
        <v>43</v>
      </c>
      <c r="V406" s="57" t="s">
        <v>10</v>
      </c>
      <c r="W406" s="51">
        <v>0.71</v>
      </c>
      <c r="X406" s="357">
        <v>0.97</v>
      </c>
      <c r="Y406" s="351" t="s">
        <v>353</v>
      </c>
      <c r="Z406" s="5" t="s">
        <v>8</v>
      </c>
      <c r="AA406" s="112" t="s">
        <v>11</v>
      </c>
      <c r="AB406" s="108" t="s">
        <v>231</v>
      </c>
      <c r="AC406" s="57" t="s">
        <v>232</v>
      </c>
    </row>
    <row r="407" spans="1:29" x14ac:dyDescent="0.25">
      <c r="A407" s="329">
        <v>45913</v>
      </c>
      <c r="B407" s="5">
        <v>4</v>
      </c>
      <c r="D407" s="5" t="s">
        <v>146</v>
      </c>
      <c r="E407" s="6">
        <v>2.23</v>
      </c>
      <c r="G407" s="362">
        <v>1</v>
      </c>
      <c r="H407" s="362">
        <v>2</v>
      </c>
      <c r="I407" s="8">
        <v>2.42</v>
      </c>
      <c r="L407" s="5" t="s">
        <v>226</v>
      </c>
      <c r="M407" s="242" t="s">
        <v>371</v>
      </c>
      <c r="N407" s="476">
        <v>50</v>
      </c>
      <c r="O407" s="477" t="s">
        <v>146</v>
      </c>
      <c r="P407" s="478" t="s">
        <v>241</v>
      </c>
      <c r="Q407" s="478" t="s">
        <v>284</v>
      </c>
      <c r="R407" s="478" t="s">
        <v>687</v>
      </c>
      <c r="S407" s="481">
        <v>59</v>
      </c>
      <c r="T407" s="478" t="s">
        <v>41</v>
      </c>
      <c r="U407" s="478" t="s">
        <v>43</v>
      </c>
      <c r="V407" s="480" t="s">
        <v>10</v>
      </c>
      <c r="W407" s="51">
        <v>0.19</v>
      </c>
      <c r="X407" s="357" t="s">
        <v>53</v>
      </c>
      <c r="Y407" s="351" t="s">
        <v>353</v>
      </c>
      <c r="Z407" s="5" t="s">
        <v>52</v>
      </c>
      <c r="AA407" s="112" t="s">
        <v>11</v>
      </c>
    </row>
    <row r="408" spans="1:29" x14ac:dyDescent="0.25">
      <c r="A408" s="329">
        <v>45913</v>
      </c>
      <c r="B408" s="5">
        <v>4</v>
      </c>
      <c r="D408" s="5" t="s">
        <v>146</v>
      </c>
      <c r="E408" s="6">
        <v>2.23</v>
      </c>
      <c r="G408" s="362">
        <v>1</v>
      </c>
      <c r="H408" s="362">
        <v>2</v>
      </c>
      <c r="I408" s="8">
        <v>2.42</v>
      </c>
      <c r="L408" s="5" t="s">
        <v>226</v>
      </c>
      <c r="M408" s="242" t="s">
        <v>371</v>
      </c>
      <c r="N408" s="345">
        <v>50</v>
      </c>
      <c r="O408" s="38" t="s">
        <v>226</v>
      </c>
      <c r="P408" s="5" t="s">
        <v>289</v>
      </c>
      <c r="Q408" s="5" t="s">
        <v>54</v>
      </c>
      <c r="R408" s="5" t="s">
        <v>685</v>
      </c>
      <c r="S408" s="479">
        <v>69</v>
      </c>
      <c r="T408" s="5" t="s">
        <v>41</v>
      </c>
      <c r="U408" s="5" t="s">
        <v>42</v>
      </c>
      <c r="V408" s="57" t="s">
        <v>10</v>
      </c>
      <c r="W408" s="51">
        <v>0.03</v>
      </c>
      <c r="X408" s="357" t="s">
        <v>53</v>
      </c>
      <c r="Z408" s="5" t="s">
        <v>22</v>
      </c>
      <c r="AA408" s="112" t="s">
        <v>11</v>
      </c>
    </row>
    <row r="409" spans="1:29" x14ac:dyDescent="0.25">
      <c r="A409" s="329">
        <v>45913</v>
      </c>
      <c r="B409" s="5">
        <v>4</v>
      </c>
      <c r="D409" s="5" t="s">
        <v>146</v>
      </c>
      <c r="E409" s="6">
        <v>2.23</v>
      </c>
      <c r="G409" s="362">
        <v>1</v>
      </c>
      <c r="H409" s="362">
        <v>2</v>
      </c>
      <c r="I409" s="8">
        <v>2.42</v>
      </c>
      <c r="L409" s="5" t="s">
        <v>226</v>
      </c>
      <c r="M409" s="242" t="s">
        <v>371</v>
      </c>
      <c r="N409" s="476">
        <v>56</v>
      </c>
      <c r="O409" s="477" t="s">
        <v>146</v>
      </c>
      <c r="P409" s="478" t="s">
        <v>159</v>
      </c>
      <c r="Q409" s="478" t="s">
        <v>160</v>
      </c>
      <c r="R409" s="478" t="s">
        <v>684</v>
      </c>
      <c r="S409" s="479">
        <v>72</v>
      </c>
      <c r="T409" s="478" t="s">
        <v>41</v>
      </c>
      <c r="U409" s="478" t="s">
        <v>43</v>
      </c>
      <c r="V409" s="480" t="s">
        <v>7</v>
      </c>
      <c r="W409" s="51">
        <v>0.79</v>
      </c>
      <c r="X409" s="357">
        <v>0.77</v>
      </c>
      <c r="Y409" s="351" t="s">
        <v>353</v>
      </c>
      <c r="Z409" s="5" t="s">
        <v>8</v>
      </c>
      <c r="AA409" s="112" t="s">
        <v>67</v>
      </c>
    </row>
    <row r="410" spans="1:29" x14ac:dyDescent="0.25">
      <c r="A410" s="329">
        <v>45913</v>
      </c>
      <c r="B410" s="5">
        <v>4</v>
      </c>
      <c r="D410" s="5" t="s">
        <v>146</v>
      </c>
      <c r="E410" s="6">
        <v>2.23</v>
      </c>
      <c r="G410" s="362">
        <v>1</v>
      </c>
      <c r="H410" s="362">
        <v>2</v>
      </c>
      <c r="I410" s="8">
        <v>2.42</v>
      </c>
      <c r="L410" s="5" t="s">
        <v>226</v>
      </c>
      <c r="M410" s="242" t="s">
        <v>371</v>
      </c>
      <c r="N410" s="345">
        <v>60</v>
      </c>
      <c r="O410" s="38" t="s">
        <v>226</v>
      </c>
      <c r="P410" s="5" t="s">
        <v>231</v>
      </c>
      <c r="Q410" s="5" t="s">
        <v>232</v>
      </c>
      <c r="R410" s="5" t="s">
        <v>684</v>
      </c>
      <c r="S410" s="479">
        <v>98</v>
      </c>
      <c r="T410" s="5" t="s">
        <v>41</v>
      </c>
      <c r="U410" s="5" t="s">
        <v>42</v>
      </c>
      <c r="V410" s="57" t="s">
        <v>18</v>
      </c>
      <c r="W410" s="51">
        <v>0.17</v>
      </c>
      <c r="X410" s="357" t="s">
        <v>53</v>
      </c>
      <c r="Z410" s="5" t="s">
        <v>16</v>
      </c>
      <c r="AA410" s="112" t="s">
        <v>67</v>
      </c>
      <c r="AB410" s="111"/>
      <c r="AC410" s="90"/>
    </row>
    <row r="411" spans="1:29" x14ac:dyDescent="0.25">
      <c r="A411" s="329">
        <v>45913</v>
      </c>
      <c r="B411" s="5">
        <v>4</v>
      </c>
      <c r="D411" s="5" t="s">
        <v>146</v>
      </c>
      <c r="E411" s="6">
        <v>2.23</v>
      </c>
      <c r="G411" s="362">
        <v>1</v>
      </c>
      <c r="H411" s="362">
        <v>2</v>
      </c>
      <c r="I411" s="8">
        <v>2.42</v>
      </c>
      <c r="L411" s="5" t="s">
        <v>226</v>
      </c>
      <c r="M411" s="242" t="s">
        <v>371</v>
      </c>
      <c r="N411" s="476">
        <v>65</v>
      </c>
      <c r="O411" s="477" t="s">
        <v>146</v>
      </c>
      <c r="P411" s="478" t="s">
        <v>159</v>
      </c>
      <c r="Q411" s="478" t="s">
        <v>160</v>
      </c>
      <c r="R411" s="478" t="s">
        <v>684</v>
      </c>
      <c r="S411" s="479">
        <v>72</v>
      </c>
      <c r="T411" s="478" t="s">
        <v>47</v>
      </c>
      <c r="U411" s="478" t="s">
        <v>42</v>
      </c>
      <c r="V411" s="480" t="s">
        <v>10</v>
      </c>
      <c r="W411" s="51">
        <v>0.11</v>
      </c>
      <c r="X411" s="357">
        <v>0.15</v>
      </c>
      <c r="Y411" s="351" t="s">
        <v>353</v>
      </c>
      <c r="Z411" s="5" t="s">
        <v>48</v>
      </c>
      <c r="AA411" s="112" t="s">
        <v>67</v>
      </c>
    </row>
    <row r="412" spans="1:29" x14ac:dyDescent="0.25">
      <c r="A412" s="329">
        <v>45913</v>
      </c>
      <c r="B412" s="5">
        <v>4</v>
      </c>
      <c r="D412" s="5" t="s">
        <v>146</v>
      </c>
      <c r="E412" s="6">
        <v>2.23</v>
      </c>
      <c r="G412" s="362">
        <v>1</v>
      </c>
      <c r="H412" s="362">
        <v>2</v>
      </c>
      <c r="I412" s="8">
        <v>2.42</v>
      </c>
      <c r="L412" s="5" t="s">
        <v>226</v>
      </c>
      <c r="M412" s="242" t="s">
        <v>371</v>
      </c>
      <c r="N412" s="476">
        <v>67</v>
      </c>
      <c r="O412" s="477" t="s">
        <v>146</v>
      </c>
      <c r="P412" s="478" t="s">
        <v>46</v>
      </c>
      <c r="Q412" s="478" t="s">
        <v>376</v>
      </c>
      <c r="R412" s="478" t="s">
        <v>696</v>
      </c>
      <c r="S412" s="479">
        <v>67</v>
      </c>
      <c r="T412" s="478" t="s">
        <v>41</v>
      </c>
      <c r="U412" s="478" t="s">
        <v>42</v>
      </c>
      <c r="V412" s="480" t="s">
        <v>33</v>
      </c>
      <c r="W412" s="51">
        <v>0.18</v>
      </c>
      <c r="X412" s="357" t="s">
        <v>53</v>
      </c>
      <c r="Z412" s="5" t="s">
        <v>13</v>
      </c>
      <c r="AA412" s="112" t="s">
        <v>67</v>
      </c>
    </row>
    <row r="413" spans="1:29" x14ac:dyDescent="0.25">
      <c r="A413" s="329">
        <v>45913</v>
      </c>
      <c r="B413" s="5">
        <v>4</v>
      </c>
      <c r="D413" s="5" t="s">
        <v>146</v>
      </c>
      <c r="E413" s="6">
        <v>2.23</v>
      </c>
      <c r="G413" s="362">
        <v>1</v>
      </c>
      <c r="H413" s="362">
        <v>2</v>
      </c>
      <c r="I413" s="8">
        <v>2.42</v>
      </c>
      <c r="L413" s="5" t="s">
        <v>226</v>
      </c>
      <c r="M413" s="242" t="s">
        <v>371</v>
      </c>
      <c r="N413" s="476">
        <v>67</v>
      </c>
      <c r="O413" s="477" t="s">
        <v>146</v>
      </c>
      <c r="P413" s="478" t="s">
        <v>377</v>
      </c>
      <c r="Q413" s="478" t="s">
        <v>378</v>
      </c>
      <c r="R413" s="478" t="s">
        <v>712</v>
      </c>
      <c r="S413" s="479">
        <v>65</v>
      </c>
      <c r="T413" s="478" t="s">
        <v>41</v>
      </c>
      <c r="U413" s="478" t="s">
        <v>43</v>
      </c>
      <c r="V413" s="480" t="s">
        <v>33</v>
      </c>
      <c r="W413" s="51">
        <v>0.13</v>
      </c>
      <c r="X413" s="357" t="s">
        <v>53</v>
      </c>
      <c r="Y413" s="351" t="s">
        <v>353</v>
      </c>
      <c r="Z413" s="5" t="s">
        <v>22</v>
      </c>
      <c r="AA413" s="112" t="s">
        <v>67</v>
      </c>
    </row>
    <row r="414" spans="1:29" ht="15.75" thickBot="1" x14ac:dyDescent="0.3">
      <c r="A414" s="330">
        <v>45913</v>
      </c>
      <c r="B414" s="9">
        <v>4</v>
      </c>
      <c r="C414" s="122"/>
      <c r="D414" s="9" t="s">
        <v>146</v>
      </c>
      <c r="E414" s="10">
        <v>2.23</v>
      </c>
      <c r="F414" s="10"/>
      <c r="G414" s="383">
        <v>1</v>
      </c>
      <c r="H414" s="383">
        <v>2</v>
      </c>
      <c r="I414" s="12">
        <v>2.42</v>
      </c>
      <c r="J414" s="12"/>
      <c r="K414" s="122"/>
      <c r="L414" s="9" t="s">
        <v>226</v>
      </c>
      <c r="M414" s="445" t="s">
        <v>371</v>
      </c>
      <c r="N414" s="511">
        <v>84</v>
      </c>
      <c r="O414" s="512" t="s">
        <v>146</v>
      </c>
      <c r="P414" s="513" t="s">
        <v>159</v>
      </c>
      <c r="Q414" s="513" t="s">
        <v>160</v>
      </c>
      <c r="R414" s="513" t="s">
        <v>684</v>
      </c>
      <c r="S414" s="479">
        <v>72</v>
      </c>
      <c r="T414" s="513" t="s">
        <v>41</v>
      </c>
      <c r="U414" s="513" t="s">
        <v>43</v>
      </c>
      <c r="V414" s="514" t="s">
        <v>10</v>
      </c>
      <c r="W414" s="52">
        <v>0.12</v>
      </c>
      <c r="X414" s="358">
        <v>0.03</v>
      </c>
      <c r="Y414" s="352" t="s">
        <v>353</v>
      </c>
      <c r="Z414" s="9" t="s">
        <v>48</v>
      </c>
      <c r="AA414" s="113" t="s">
        <v>67</v>
      </c>
      <c r="AB414" s="109"/>
      <c r="AC414" s="58"/>
    </row>
    <row r="415" spans="1:29" ht="15.75" thickBot="1" x14ac:dyDescent="0.3">
      <c r="A415" s="326">
        <v>45913</v>
      </c>
      <c r="B415" s="207">
        <v>4</v>
      </c>
      <c r="C415" s="208"/>
      <c r="D415" s="207" t="s">
        <v>146</v>
      </c>
      <c r="E415" s="209">
        <v>2.23</v>
      </c>
      <c r="F415" s="209"/>
      <c r="G415" s="460">
        <v>1</v>
      </c>
      <c r="H415" s="460">
        <v>2</v>
      </c>
      <c r="I415" s="211">
        <v>2.42</v>
      </c>
      <c r="J415" s="211"/>
      <c r="K415" s="208"/>
      <c r="L415" s="207" t="s">
        <v>226</v>
      </c>
      <c r="M415" s="235"/>
      <c r="N415" s="347"/>
      <c r="O415" s="343" t="s">
        <v>146</v>
      </c>
      <c r="P415" s="199" t="s">
        <v>176</v>
      </c>
      <c r="Q415" s="199" t="s">
        <v>423</v>
      </c>
      <c r="R415" s="199" t="s">
        <v>707</v>
      </c>
      <c r="S415" s="7">
        <v>67</v>
      </c>
      <c r="T415" s="199"/>
      <c r="U415" s="199"/>
      <c r="V415" s="201"/>
      <c r="W415" s="202"/>
      <c r="X415" s="359"/>
      <c r="Y415" s="353">
        <v>2</v>
      </c>
      <c r="Z415" s="199"/>
      <c r="AA415" s="204"/>
      <c r="AB415" s="205"/>
      <c r="AC415" s="201"/>
    </row>
    <row r="416" spans="1:29" ht="15.75" thickBot="1" x14ac:dyDescent="0.3">
      <c r="A416" s="326">
        <v>45913</v>
      </c>
      <c r="B416" s="207">
        <v>4</v>
      </c>
      <c r="C416" s="208"/>
      <c r="D416" s="207" t="s">
        <v>146</v>
      </c>
      <c r="E416" s="209">
        <v>2.23</v>
      </c>
      <c r="F416" s="209"/>
      <c r="G416" s="460">
        <v>1</v>
      </c>
      <c r="H416" s="460">
        <v>2</v>
      </c>
      <c r="I416" s="211">
        <v>2.42</v>
      </c>
      <c r="J416" s="211"/>
      <c r="K416" s="208"/>
      <c r="L416" s="207" t="s">
        <v>226</v>
      </c>
      <c r="M416" s="235"/>
      <c r="N416" s="347"/>
      <c r="O416" s="343" t="s">
        <v>226</v>
      </c>
      <c r="P416" s="199" t="s">
        <v>726</v>
      </c>
      <c r="Q416" s="199" t="s">
        <v>727</v>
      </c>
      <c r="R416" s="199" t="s">
        <v>707</v>
      </c>
      <c r="S416" s="481">
        <v>65</v>
      </c>
      <c r="T416" s="199"/>
      <c r="U416" s="199"/>
      <c r="V416" s="201"/>
      <c r="W416" s="202"/>
      <c r="X416" s="359"/>
      <c r="Y416" s="353">
        <v>1</v>
      </c>
      <c r="Z416" s="199"/>
      <c r="AA416" s="204"/>
      <c r="AB416" s="205"/>
      <c r="AC416" s="201"/>
    </row>
    <row r="417" spans="1:29" x14ac:dyDescent="0.25">
      <c r="A417" s="331">
        <v>45924</v>
      </c>
      <c r="B417" s="13">
        <v>6</v>
      </c>
      <c r="C417" s="124" t="s">
        <v>692</v>
      </c>
      <c r="D417" s="13" t="s">
        <v>146</v>
      </c>
      <c r="E417" s="14">
        <v>2.76</v>
      </c>
      <c r="F417" s="14"/>
      <c r="G417" s="375">
        <v>1</v>
      </c>
      <c r="H417" s="375">
        <v>0</v>
      </c>
      <c r="I417" s="16">
        <v>0.76</v>
      </c>
      <c r="J417" s="16"/>
      <c r="K417" s="124" t="s">
        <v>701</v>
      </c>
      <c r="L417" s="13" t="s">
        <v>112</v>
      </c>
      <c r="M417" s="47"/>
      <c r="N417" s="556">
        <v>3</v>
      </c>
      <c r="O417" s="557" t="s">
        <v>146</v>
      </c>
      <c r="P417" s="558" t="s">
        <v>159</v>
      </c>
      <c r="Q417" s="558" t="s">
        <v>160</v>
      </c>
      <c r="R417" s="558" t="s">
        <v>684</v>
      </c>
      <c r="S417" s="479">
        <v>75</v>
      </c>
      <c r="T417" s="558" t="s">
        <v>41</v>
      </c>
      <c r="U417" s="558" t="s">
        <v>42</v>
      </c>
      <c r="V417" s="559" t="s">
        <v>10</v>
      </c>
      <c r="W417" s="54">
        <v>0.1</v>
      </c>
      <c r="X417" s="361" t="s">
        <v>53</v>
      </c>
      <c r="Y417" s="355"/>
      <c r="Z417" s="13" t="s">
        <v>52</v>
      </c>
      <c r="AA417" s="115" t="s">
        <v>28</v>
      </c>
      <c r="AB417" s="110"/>
      <c r="AC417" s="60"/>
    </row>
    <row r="418" spans="1:29" x14ac:dyDescent="0.25">
      <c r="A418" s="329">
        <v>45924</v>
      </c>
      <c r="B418" s="5">
        <v>6</v>
      </c>
      <c r="D418" s="5" t="s">
        <v>146</v>
      </c>
      <c r="E418" s="6">
        <v>2.76</v>
      </c>
      <c r="G418" s="362">
        <v>1</v>
      </c>
      <c r="H418" s="362">
        <v>0</v>
      </c>
      <c r="I418" s="8">
        <v>0.76</v>
      </c>
      <c r="L418" s="5" t="s">
        <v>112</v>
      </c>
      <c r="N418" s="476">
        <v>18</v>
      </c>
      <c r="O418" s="477" t="s">
        <v>146</v>
      </c>
      <c r="P418" s="478" t="s">
        <v>274</v>
      </c>
      <c r="Q418" s="478" t="s">
        <v>275</v>
      </c>
      <c r="R418" s="478" t="s">
        <v>685</v>
      </c>
      <c r="S418" s="479">
        <v>78</v>
      </c>
      <c r="T418" s="478" t="s">
        <v>41</v>
      </c>
      <c r="U418" s="478" t="s">
        <v>43</v>
      </c>
      <c r="V418" s="480" t="s">
        <v>10</v>
      </c>
      <c r="W418" s="51">
        <v>0.18</v>
      </c>
      <c r="X418" s="357">
        <v>0.68</v>
      </c>
      <c r="Z418" s="5" t="s">
        <v>48</v>
      </c>
      <c r="AA418" s="112" t="s">
        <v>28</v>
      </c>
    </row>
    <row r="419" spans="1:29" x14ac:dyDescent="0.25">
      <c r="A419" s="329">
        <v>45924</v>
      </c>
      <c r="B419" s="5">
        <v>6</v>
      </c>
      <c r="D419" s="5" t="s">
        <v>146</v>
      </c>
      <c r="E419" s="6">
        <v>2.76</v>
      </c>
      <c r="G419" s="362">
        <v>1</v>
      </c>
      <c r="H419" s="362">
        <v>0</v>
      </c>
      <c r="I419" s="8">
        <v>0.76</v>
      </c>
      <c r="L419" s="5" t="s">
        <v>112</v>
      </c>
      <c r="N419" s="476">
        <v>19</v>
      </c>
      <c r="O419" s="477" t="s">
        <v>146</v>
      </c>
      <c r="P419" s="478" t="s">
        <v>135</v>
      </c>
      <c r="Q419" s="478" t="s">
        <v>273</v>
      </c>
      <c r="R419" s="478" t="s">
        <v>689</v>
      </c>
      <c r="S419" s="479">
        <v>70</v>
      </c>
      <c r="T419" s="478" t="s">
        <v>47</v>
      </c>
      <c r="U419" s="478" t="s">
        <v>45</v>
      </c>
      <c r="V419" s="480" t="s">
        <v>20</v>
      </c>
      <c r="W419" s="51">
        <v>0.53</v>
      </c>
      <c r="X419" s="357" t="s">
        <v>53</v>
      </c>
      <c r="Y419" s="351" t="s">
        <v>353</v>
      </c>
      <c r="Z419" s="5" t="s">
        <v>13</v>
      </c>
      <c r="AA419" s="112" t="s">
        <v>28</v>
      </c>
    </row>
    <row r="420" spans="1:29" x14ac:dyDescent="0.25">
      <c r="A420" s="329">
        <v>45924</v>
      </c>
      <c r="B420" s="5">
        <v>6</v>
      </c>
      <c r="D420" s="5" t="s">
        <v>146</v>
      </c>
      <c r="E420" s="6">
        <v>2.76</v>
      </c>
      <c r="G420" s="362">
        <v>1</v>
      </c>
      <c r="H420" s="362">
        <v>0</v>
      </c>
      <c r="I420" s="8">
        <v>0.76</v>
      </c>
      <c r="L420" s="5" t="s">
        <v>112</v>
      </c>
      <c r="N420" s="476">
        <v>22</v>
      </c>
      <c r="O420" s="477" t="s">
        <v>146</v>
      </c>
      <c r="P420" s="478" t="s">
        <v>274</v>
      </c>
      <c r="Q420" s="478" t="s">
        <v>275</v>
      </c>
      <c r="R420" s="478" t="s">
        <v>685</v>
      </c>
      <c r="S420" s="479">
        <v>78</v>
      </c>
      <c r="T420" s="478" t="s">
        <v>41</v>
      </c>
      <c r="U420" s="478" t="s">
        <v>43</v>
      </c>
      <c r="V420" s="480" t="s">
        <v>10</v>
      </c>
      <c r="W420" s="51">
        <v>0.21</v>
      </c>
      <c r="X420" s="357" t="s">
        <v>53</v>
      </c>
      <c r="Z420" s="5" t="s">
        <v>13</v>
      </c>
      <c r="AA420" s="112" t="s">
        <v>28</v>
      </c>
    </row>
    <row r="421" spans="1:29" x14ac:dyDescent="0.25">
      <c r="A421" s="329">
        <v>45924</v>
      </c>
      <c r="B421" s="5">
        <v>6</v>
      </c>
      <c r="D421" s="5" t="s">
        <v>146</v>
      </c>
      <c r="E421" s="6">
        <v>2.76</v>
      </c>
      <c r="G421" s="362">
        <v>1</v>
      </c>
      <c r="H421" s="362">
        <v>0</v>
      </c>
      <c r="I421" s="8">
        <v>0.76</v>
      </c>
      <c r="L421" s="5" t="s">
        <v>112</v>
      </c>
      <c r="N421" s="345">
        <v>25</v>
      </c>
      <c r="O421" s="38" t="s">
        <v>112</v>
      </c>
      <c r="P421" s="5" t="s">
        <v>243</v>
      </c>
      <c r="Q421" s="5" t="s">
        <v>244</v>
      </c>
      <c r="R421" s="5" t="s">
        <v>717</v>
      </c>
      <c r="S421" s="479">
        <v>60</v>
      </c>
      <c r="T421" s="5" t="s">
        <v>41</v>
      </c>
      <c r="U421" s="5" t="s">
        <v>43</v>
      </c>
      <c r="V421" s="57" t="s">
        <v>10</v>
      </c>
      <c r="W421" s="51">
        <v>0.04</v>
      </c>
      <c r="X421" s="357">
        <v>0.12</v>
      </c>
      <c r="Z421" s="5" t="s">
        <v>48</v>
      </c>
      <c r="AA421" s="112" t="s">
        <v>28</v>
      </c>
    </row>
    <row r="422" spans="1:29" x14ac:dyDescent="0.25">
      <c r="A422" s="329">
        <v>45924</v>
      </c>
      <c r="B422" s="5">
        <v>6</v>
      </c>
      <c r="D422" s="5" t="s">
        <v>146</v>
      </c>
      <c r="E422" s="6">
        <v>2.76</v>
      </c>
      <c r="G422" s="362">
        <v>1</v>
      </c>
      <c r="H422" s="362">
        <v>0</v>
      </c>
      <c r="I422" s="8">
        <v>0.76</v>
      </c>
      <c r="L422" s="5" t="s">
        <v>112</v>
      </c>
      <c r="N422" s="476">
        <v>41</v>
      </c>
      <c r="O422" s="477" t="s">
        <v>146</v>
      </c>
      <c r="P422" s="478" t="s">
        <v>274</v>
      </c>
      <c r="Q422" s="478" t="s">
        <v>275</v>
      </c>
      <c r="R422" s="478" t="s">
        <v>685</v>
      </c>
      <c r="S422" s="479">
        <v>78</v>
      </c>
      <c r="T422" s="478" t="s">
        <v>41</v>
      </c>
      <c r="U422" s="478" t="s">
        <v>42</v>
      </c>
      <c r="V422" s="480" t="s">
        <v>10</v>
      </c>
      <c r="W422" s="51">
        <v>0.24</v>
      </c>
      <c r="X422" s="357" t="s">
        <v>53</v>
      </c>
      <c r="Y422" s="351" t="s">
        <v>353</v>
      </c>
      <c r="Z422" s="5" t="s">
        <v>13</v>
      </c>
      <c r="AA422" s="112" t="s">
        <v>28</v>
      </c>
    </row>
    <row r="423" spans="1:29" x14ac:dyDescent="0.25">
      <c r="A423" s="329">
        <v>45924</v>
      </c>
      <c r="B423" s="5">
        <v>6</v>
      </c>
      <c r="D423" s="5" t="s">
        <v>146</v>
      </c>
      <c r="E423" s="6">
        <v>2.76</v>
      </c>
      <c r="G423" s="362">
        <v>1</v>
      </c>
      <c r="H423" s="362">
        <v>0</v>
      </c>
      <c r="I423" s="8">
        <v>0.76</v>
      </c>
      <c r="L423" s="5" t="s">
        <v>112</v>
      </c>
      <c r="N423" s="476">
        <v>49</v>
      </c>
      <c r="O423" s="477" t="s">
        <v>146</v>
      </c>
      <c r="P423" s="478" t="s">
        <v>159</v>
      </c>
      <c r="Q423" s="478" t="s">
        <v>160</v>
      </c>
      <c r="R423" s="478" t="s">
        <v>684</v>
      </c>
      <c r="S423" s="479">
        <v>75</v>
      </c>
      <c r="T423" s="478" t="s">
        <v>47</v>
      </c>
      <c r="U423" s="478" t="s">
        <v>42</v>
      </c>
      <c r="V423" s="480" t="s">
        <v>10</v>
      </c>
      <c r="W423" s="51">
        <v>0.9</v>
      </c>
      <c r="X423" s="357">
        <v>0.99</v>
      </c>
      <c r="Y423" s="351" t="s">
        <v>353</v>
      </c>
      <c r="Z423" s="5" t="s">
        <v>8</v>
      </c>
      <c r="AA423" s="112" t="s">
        <v>19</v>
      </c>
      <c r="AB423" s="108" t="s">
        <v>274</v>
      </c>
      <c r="AC423" s="57" t="s">
        <v>275</v>
      </c>
    </row>
    <row r="424" spans="1:29" x14ac:dyDescent="0.25">
      <c r="A424" s="329">
        <v>45924</v>
      </c>
      <c r="B424" s="5">
        <v>6</v>
      </c>
      <c r="D424" s="5" t="s">
        <v>146</v>
      </c>
      <c r="E424" s="6">
        <v>2.76</v>
      </c>
      <c r="G424" s="362">
        <v>1</v>
      </c>
      <c r="H424" s="362">
        <v>0</v>
      </c>
      <c r="I424" s="8">
        <v>0.76</v>
      </c>
      <c r="L424" s="5" t="s">
        <v>112</v>
      </c>
      <c r="N424" s="476">
        <v>60</v>
      </c>
      <c r="O424" s="477" t="s">
        <v>146</v>
      </c>
      <c r="P424" s="478" t="s">
        <v>46</v>
      </c>
      <c r="Q424" s="478" t="s">
        <v>376</v>
      </c>
      <c r="R424" s="478" t="s">
        <v>691</v>
      </c>
      <c r="S424" s="479">
        <v>66</v>
      </c>
      <c r="T424" s="478" t="s">
        <v>44</v>
      </c>
      <c r="U424" s="478" t="s">
        <v>42</v>
      </c>
      <c r="V424" s="480" t="s">
        <v>540</v>
      </c>
      <c r="W424" s="51">
        <v>0.04</v>
      </c>
      <c r="X424" s="357">
        <v>0.18</v>
      </c>
      <c r="Z424" s="5" t="s">
        <v>48</v>
      </c>
      <c r="AA424" s="112" t="s">
        <v>19</v>
      </c>
    </row>
    <row r="425" spans="1:29" x14ac:dyDescent="0.25">
      <c r="A425" s="329">
        <v>45924</v>
      </c>
      <c r="B425" s="5">
        <v>6</v>
      </c>
      <c r="D425" s="5" t="s">
        <v>146</v>
      </c>
      <c r="E425" s="6">
        <v>2.76</v>
      </c>
      <c r="G425" s="362">
        <v>1</v>
      </c>
      <c r="H425" s="362">
        <v>0</v>
      </c>
      <c r="I425" s="8">
        <v>0.76</v>
      </c>
      <c r="L425" s="5" t="s">
        <v>112</v>
      </c>
      <c r="N425" s="476">
        <v>67</v>
      </c>
      <c r="O425" s="477" t="s">
        <v>146</v>
      </c>
      <c r="P425" s="478" t="s">
        <v>377</v>
      </c>
      <c r="Q425" s="478" t="s">
        <v>378</v>
      </c>
      <c r="R425" s="478" t="s">
        <v>712</v>
      </c>
      <c r="S425" s="479">
        <v>68</v>
      </c>
      <c r="T425" s="478" t="s">
        <v>41</v>
      </c>
      <c r="U425" s="478" t="s">
        <v>45</v>
      </c>
      <c r="V425" s="480" t="s">
        <v>20</v>
      </c>
      <c r="W425" s="51">
        <v>0.16</v>
      </c>
      <c r="X425" s="357" t="s">
        <v>53</v>
      </c>
      <c r="Z425" s="5" t="s">
        <v>13</v>
      </c>
      <c r="AA425" s="112" t="s">
        <v>19</v>
      </c>
    </row>
    <row r="426" spans="1:29" x14ac:dyDescent="0.25">
      <c r="A426" s="329">
        <v>45924</v>
      </c>
      <c r="B426" s="5">
        <v>6</v>
      </c>
      <c r="D426" s="5" t="s">
        <v>146</v>
      </c>
      <c r="E426" s="6">
        <v>2.76</v>
      </c>
      <c r="G426" s="362">
        <v>1</v>
      </c>
      <c r="H426" s="362">
        <v>0</v>
      </c>
      <c r="I426" s="8">
        <v>0.76</v>
      </c>
      <c r="L426" s="5" t="s">
        <v>112</v>
      </c>
      <c r="N426" s="476">
        <v>69</v>
      </c>
      <c r="O426" s="477" t="s">
        <v>146</v>
      </c>
      <c r="P426" s="478" t="s">
        <v>155</v>
      </c>
      <c r="Q426" s="478" t="s">
        <v>156</v>
      </c>
      <c r="R426" s="478" t="s">
        <v>686</v>
      </c>
      <c r="S426" s="479">
        <v>69</v>
      </c>
      <c r="T426" s="478" t="s">
        <v>41</v>
      </c>
      <c r="U426" s="478" t="s">
        <v>43</v>
      </c>
      <c r="V426" s="480" t="s">
        <v>10</v>
      </c>
      <c r="W426" s="51">
        <v>0.15</v>
      </c>
      <c r="X426" s="357" t="s">
        <v>53</v>
      </c>
      <c r="Y426" s="351" t="s">
        <v>353</v>
      </c>
      <c r="Z426" s="5" t="s">
        <v>744</v>
      </c>
      <c r="AA426" s="112" t="s">
        <v>19</v>
      </c>
      <c r="AB426" s="108" t="s">
        <v>127</v>
      </c>
      <c r="AC426" s="57" t="s">
        <v>246</v>
      </c>
    </row>
    <row r="427" spans="1:29" ht="15.75" thickBot="1" x14ac:dyDescent="0.3">
      <c r="A427" s="330">
        <v>45924</v>
      </c>
      <c r="B427" s="9">
        <v>6</v>
      </c>
      <c r="C427" s="122"/>
      <c r="D427" s="9" t="s">
        <v>146</v>
      </c>
      <c r="E427" s="10">
        <v>2.76</v>
      </c>
      <c r="F427" s="10"/>
      <c r="G427" s="383">
        <v>1</v>
      </c>
      <c r="H427" s="383">
        <v>0</v>
      </c>
      <c r="I427" s="12">
        <v>0.76</v>
      </c>
      <c r="J427" s="12"/>
      <c r="K427" s="122"/>
      <c r="L427" s="9" t="s">
        <v>112</v>
      </c>
      <c r="M427" s="45"/>
      <c r="N427" s="346">
        <v>69</v>
      </c>
      <c r="O427" s="454" t="s">
        <v>112</v>
      </c>
      <c r="P427" s="9" t="s">
        <v>243</v>
      </c>
      <c r="Q427" s="9" t="s">
        <v>244</v>
      </c>
      <c r="R427" s="9" t="s">
        <v>717</v>
      </c>
      <c r="S427" s="7">
        <v>60</v>
      </c>
      <c r="T427" s="9" t="s">
        <v>41</v>
      </c>
      <c r="U427" s="9" t="s">
        <v>43</v>
      </c>
      <c r="V427" s="58" t="s">
        <v>18</v>
      </c>
      <c r="W427" s="52">
        <v>0.47</v>
      </c>
      <c r="X427" s="358" t="s">
        <v>53</v>
      </c>
      <c r="Y427" s="352" t="s">
        <v>353</v>
      </c>
      <c r="Z427" s="9" t="s">
        <v>13</v>
      </c>
      <c r="AA427" s="113" t="s">
        <v>19</v>
      </c>
      <c r="AB427" s="109"/>
      <c r="AC427" s="58"/>
    </row>
    <row r="428" spans="1:29" ht="15.75" thickBot="1" x14ac:dyDescent="0.3">
      <c r="A428" s="326">
        <v>45924</v>
      </c>
      <c r="B428" s="207">
        <v>6</v>
      </c>
      <c r="C428" s="208"/>
      <c r="D428" s="207" t="s">
        <v>146</v>
      </c>
      <c r="E428" s="209">
        <v>2.76</v>
      </c>
      <c r="F428" s="209"/>
      <c r="G428" s="460">
        <v>1</v>
      </c>
      <c r="H428" s="460">
        <v>0</v>
      </c>
      <c r="I428" s="211">
        <v>0.76</v>
      </c>
      <c r="J428" s="211"/>
      <c r="K428" s="208"/>
      <c r="L428" s="207" t="s">
        <v>112</v>
      </c>
      <c r="M428" s="235"/>
      <c r="N428" s="347"/>
      <c r="O428" s="343" t="s">
        <v>146</v>
      </c>
      <c r="P428" s="199" t="s">
        <v>176</v>
      </c>
      <c r="Q428" s="199" t="s">
        <v>423</v>
      </c>
      <c r="R428" s="199" t="s">
        <v>707</v>
      </c>
      <c r="S428" s="479">
        <v>72</v>
      </c>
      <c r="T428" s="199"/>
      <c r="U428" s="199"/>
      <c r="V428" s="201"/>
      <c r="W428" s="202"/>
      <c r="X428" s="359"/>
      <c r="Y428" s="353">
        <v>0</v>
      </c>
      <c r="Z428" s="199"/>
      <c r="AA428" s="204"/>
      <c r="AB428" s="205"/>
      <c r="AC428" s="201"/>
    </row>
    <row r="429" spans="1:29" ht="15.75" thickBot="1" x14ac:dyDescent="0.3">
      <c r="A429" s="326">
        <v>45924</v>
      </c>
      <c r="B429" s="207">
        <v>6</v>
      </c>
      <c r="C429" s="208"/>
      <c r="D429" s="207" t="s">
        <v>146</v>
      </c>
      <c r="E429" s="209">
        <v>2.76</v>
      </c>
      <c r="F429" s="209"/>
      <c r="G429" s="460">
        <v>1</v>
      </c>
      <c r="H429" s="460">
        <v>0</v>
      </c>
      <c r="I429" s="211">
        <v>0.76</v>
      </c>
      <c r="J429" s="211"/>
      <c r="K429" s="208"/>
      <c r="L429" s="207" t="s">
        <v>112</v>
      </c>
      <c r="M429" s="235"/>
      <c r="N429" s="347"/>
      <c r="O429" s="343" t="s">
        <v>112</v>
      </c>
      <c r="P429" s="199" t="s">
        <v>60</v>
      </c>
      <c r="Q429" s="199" t="s">
        <v>464</v>
      </c>
      <c r="R429" s="199" t="s">
        <v>707</v>
      </c>
      <c r="S429" s="479">
        <v>67</v>
      </c>
      <c r="T429" s="199"/>
      <c r="U429" s="199"/>
      <c r="V429" s="201"/>
      <c r="W429" s="202"/>
      <c r="X429" s="359"/>
      <c r="Y429" s="353">
        <v>1</v>
      </c>
      <c r="Z429" s="199"/>
      <c r="AA429" s="204"/>
      <c r="AB429" s="205"/>
      <c r="AC429" s="201"/>
    </row>
    <row r="430" spans="1:29" x14ac:dyDescent="0.25">
      <c r="A430" s="331">
        <v>45935</v>
      </c>
      <c r="B430" s="13">
        <v>8</v>
      </c>
      <c r="C430" s="124" t="s">
        <v>697</v>
      </c>
      <c r="D430" s="13" t="s">
        <v>146</v>
      </c>
      <c r="E430" s="14">
        <v>0.79</v>
      </c>
      <c r="F430" s="14"/>
      <c r="G430" s="375">
        <v>0</v>
      </c>
      <c r="H430" s="375">
        <v>1</v>
      </c>
      <c r="I430" s="16">
        <v>0.8</v>
      </c>
      <c r="J430" s="16"/>
      <c r="K430" s="124" t="s">
        <v>693</v>
      </c>
      <c r="L430" s="13" t="s">
        <v>70</v>
      </c>
      <c r="M430" s="47"/>
      <c r="N430" s="349">
        <v>37</v>
      </c>
      <c r="O430" s="458" t="s">
        <v>70</v>
      </c>
      <c r="P430" s="13" t="s">
        <v>458</v>
      </c>
      <c r="Q430" s="13" t="s">
        <v>73</v>
      </c>
      <c r="R430" s="13" t="s">
        <v>686</v>
      </c>
      <c r="S430" s="479">
        <v>64</v>
      </c>
      <c r="T430" s="13" t="s">
        <v>354</v>
      </c>
      <c r="U430" s="13" t="s">
        <v>42</v>
      </c>
      <c r="V430" s="60" t="s">
        <v>540</v>
      </c>
      <c r="W430" s="54">
        <v>0.1</v>
      </c>
      <c r="X430" s="361" t="s">
        <v>53</v>
      </c>
      <c r="Y430" s="355" t="s">
        <v>353</v>
      </c>
      <c r="Z430" s="13" t="s">
        <v>16</v>
      </c>
      <c r="AA430" s="115" t="s">
        <v>28</v>
      </c>
      <c r="AB430" s="110"/>
      <c r="AC430" s="60"/>
    </row>
    <row r="431" spans="1:29" x14ac:dyDescent="0.25">
      <c r="A431" s="329">
        <v>45935</v>
      </c>
      <c r="B431" s="5">
        <v>8</v>
      </c>
      <c r="D431" s="5" t="s">
        <v>146</v>
      </c>
      <c r="E431" s="6">
        <v>0.79</v>
      </c>
      <c r="G431" s="362">
        <v>0</v>
      </c>
      <c r="H431" s="362">
        <v>1</v>
      </c>
      <c r="I431" s="8">
        <v>0.8</v>
      </c>
      <c r="L431" s="5" t="s">
        <v>70</v>
      </c>
      <c r="N431" s="476">
        <v>49</v>
      </c>
      <c r="O431" s="477" t="s">
        <v>146</v>
      </c>
      <c r="P431" s="478" t="s">
        <v>159</v>
      </c>
      <c r="Q431" s="478" t="s">
        <v>160</v>
      </c>
      <c r="R431" s="478" t="s">
        <v>684</v>
      </c>
      <c r="S431" s="479">
        <v>70</v>
      </c>
      <c r="T431" s="478" t="s">
        <v>41</v>
      </c>
      <c r="U431" s="478" t="s">
        <v>43</v>
      </c>
      <c r="V431" s="480" t="s">
        <v>10</v>
      </c>
      <c r="W431" s="51">
        <v>0.12</v>
      </c>
      <c r="X431" s="357" t="s">
        <v>53</v>
      </c>
      <c r="Z431" s="5" t="s">
        <v>52</v>
      </c>
      <c r="AA431" s="112" t="s">
        <v>28</v>
      </c>
    </row>
    <row r="432" spans="1:29" x14ac:dyDescent="0.25">
      <c r="A432" s="329">
        <v>45935</v>
      </c>
      <c r="B432" s="5">
        <v>8</v>
      </c>
      <c r="D432" s="5" t="s">
        <v>146</v>
      </c>
      <c r="E432" s="6">
        <v>0.79</v>
      </c>
      <c r="G432" s="362">
        <v>0</v>
      </c>
      <c r="H432" s="362">
        <v>1</v>
      </c>
      <c r="I432" s="8">
        <v>0.8</v>
      </c>
      <c r="L432" s="5" t="s">
        <v>70</v>
      </c>
      <c r="N432" s="476">
        <v>49</v>
      </c>
      <c r="O432" s="477" t="s">
        <v>146</v>
      </c>
      <c r="P432" s="478" t="s">
        <v>298</v>
      </c>
      <c r="Q432" s="478" t="s">
        <v>422</v>
      </c>
      <c r="R432" s="478" t="s">
        <v>688</v>
      </c>
      <c r="S432" s="479">
        <v>70</v>
      </c>
      <c r="T432" s="478" t="s">
        <v>41</v>
      </c>
      <c r="U432" s="478" t="s">
        <v>43</v>
      </c>
      <c r="V432" s="480" t="s">
        <v>20</v>
      </c>
      <c r="W432" s="51">
        <v>0.13</v>
      </c>
      <c r="X432" s="357" t="s">
        <v>53</v>
      </c>
      <c r="Y432" s="351" t="s">
        <v>353</v>
      </c>
      <c r="Z432" s="5" t="s">
        <v>52</v>
      </c>
      <c r="AA432" s="112" t="s">
        <v>28</v>
      </c>
    </row>
    <row r="433" spans="1:29" x14ac:dyDescent="0.25">
      <c r="A433" s="329">
        <v>45935</v>
      </c>
      <c r="B433" s="5">
        <v>8</v>
      </c>
      <c r="D433" s="5" t="s">
        <v>146</v>
      </c>
      <c r="E433" s="6">
        <v>0.79</v>
      </c>
      <c r="G433" s="362">
        <v>0</v>
      </c>
      <c r="H433" s="362">
        <v>1</v>
      </c>
      <c r="I433" s="8">
        <v>0.8</v>
      </c>
      <c r="L433" s="5" t="s">
        <v>70</v>
      </c>
      <c r="N433" s="476">
        <v>53</v>
      </c>
      <c r="O433" s="477" t="s">
        <v>146</v>
      </c>
      <c r="P433" s="478" t="s">
        <v>159</v>
      </c>
      <c r="Q433" s="478" t="s">
        <v>160</v>
      </c>
      <c r="R433" s="478" t="s">
        <v>684</v>
      </c>
      <c r="S433" s="479">
        <v>70</v>
      </c>
      <c r="T433" s="478" t="s">
        <v>354</v>
      </c>
      <c r="U433" s="478" t="s">
        <v>43</v>
      </c>
      <c r="V433" s="480" t="s">
        <v>10</v>
      </c>
      <c r="W433" s="51">
        <v>0.03</v>
      </c>
      <c r="X433" s="357">
        <v>0.62</v>
      </c>
      <c r="Z433" s="5" t="s">
        <v>48</v>
      </c>
      <c r="AA433" s="112" t="s">
        <v>28</v>
      </c>
    </row>
    <row r="434" spans="1:29" x14ac:dyDescent="0.25">
      <c r="A434" s="329">
        <v>45935</v>
      </c>
      <c r="B434" s="5">
        <v>8</v>
      </c>
      <c r="D434" s="5" t="s">
        <v>146</v>
      </c>
      <c r="E434" s="6">
        <v>0.79</v>
      </c>
      <c r="G434" s="362">
        <v>0</v>
      </c>
      <c r="H434" s="362">
        <v>1</v>
      </c>
      <c r="I434" s="8">
        <v>0.8</v>
      </c>
      <c r="L434" s="5" t="s">
        <v>70</v>
      </c>
      <c r="N434" s="345">
        <v>57</v>
      </c>
      <c r="O434" s="38" t="s">
        <v>70</v>
      </c>
      <c r="P434" s="5" t="s">
        <v>80</v>
      </c>
      <c r="Q434" s="5" t="s">
        <v>81</v>
      </c>
      <c r="R434" s="5" t="s">
        <v>688</v>
      </c>
      <c r="S434" s="481">
        <v>70</v>
      </c>
      <c r="T434" s="5" t="s">
        <v>41</v>
      </c>
      <c r="U434" s="5" t="s">
        <v>43</v>
      </c>
      <c r="V434" s="57" t="s">
        <v>10</v>
      </c>
      <c r="W434" s="51">
        <v>0.12</v>
      </c>
      <c r="X434" s="357" t="s">
        <v>53</v>
      </c>
      <c r="Y434" s="351" t="s">
        <v>353</v>
      </c>
      <c r="Z434" s="5" t="s">
        <v>52</v>
      </c>
      <c r="AA434" s="112" t="s">
        <v>28</v>
      </c>
    </row>
    <row r="435" spans="1:29" x14ac:dyDescent="0.25">
      <c r="A435" s="329">
        <v>45935</v>
      </c>
      <c r="B435" s="5">
        <v>8</v>
      </c>
      <c r="D435" s="5" t="s">
        <v>146</v>
      </c>
      <c r="E435" s="6">
        <v>0.79</v>
      </c>
      <c r="G435" s="362">
        <v>0</v>
      </c>
      <c r="H435" s="362">
        <v>1</v>
      </c>
      <c r="I435" s="8">
        <v>0.8</v>
      </c>
      <c r="L435" s="5" t="s">
        <v>70</v>
      </c>
      <c r="N435" s="476">
        <v>68</v>
      </c>
      <c r="O435" s="477" t="s">
        <v>146</v>
      </c>
      <c r="P435" s="478" t="s">
        <v>159</v>
      </c>
      <c r="Q435" s="478" t="s">
        <v>160</v>
      </c>
      <c r="R435" s="478" t="s">
        <v>684</v>
      </c>
      <c r="S435" s="481">
        <v>70</v>
      </c>
      <c r="T435" s="478" t="s">
        <v>47</v>
      </c>
      <c r="U435" s="478" t="s">
        <v>42</v>
      </c>
      <c r="V435" s="480" t="s">
        <v>18</v>
      </c>
      <c r="W435" s="51">
        <v>0.11</v>
      </c>
      <c r="X435" s="357" t="s">
        <v>53</v>
      </c>
      <c r="Z435" s="5" t="s">
        <v>52</v>
      </c>
      <c r="AA435" s="112" t="s">
        <v>28</v>
      </c>
    </row>
    <row r="436" spans="1:29" x14ac:dyDescent="0.25">
      <c r="A436" s="329">
        <v>45935</v>
      </c>
      <c r="B436" s="5">
        <v>8</v>
      </c>
      <c r="D436" s="5" t="s">
        <v>146</v>
      </c>
      <c r="E436" s="6">
        <v>0.79</v>
      </c>
      <c r="G436" s="362">
        <v>0</v>
      </c>
      <c r="H436" s="362">
        <v>1</v>
      </c>
      <c r="I436" s="8">
        <v>0.8</v>
      </c>
      <c r="L436" s="5" t="s">
        <v>70</v>
      </c>
      <c r="N436" s="345">
        <v>81</v>
      </c>
      <c r="O436" s="38" t="s">
        <v>70</v>
      </c>
      <c r="P436" s="5" t="s">
        <v>457</v>
      </c>
      <c r="Q436" s="5" t="s">
        <v>138</v>
      </c>
      <c r="R436" s="5" t="s">
        <v>696</v>
      </c>
      <c r="S436" s="481">
        <v>63</v>
      </c>
      <c r="T436" s="5" t="s">
        <v>354</v>
      </c>
      <c r="U436" s="5" t="s">
        <v>42</v>
      </c>
      <c r="V436" s="57" t="s">
        <v>33</v>
      </c>
      <c r="W436" s="51">
        <v>0.01</v>
      </c>
      <c r="X436" s="357">
        <v>0.23</v>
      </c>
      <c r="Z436" s="5" t="s">
        <v>48</v>
      </c>
      <c r="AA436" s="112" t="s">
        <v>28</v>
      </c>
    </row>
    <row r="437" spans="1:29" x14ac:dyDescent="0.25">
      <c r="A437" s="329">
        <v>45935</v>
      </c>
      <c r="B437" s="5">
        <v>8</v>
      </c>
      <c r="D437" s="5" t="s">
        <v>146</v>
      </c>
      <c r="E437" s="6">
        <v>0.79</v>
      </c>
      <c r="G437" s="362">
        <v>0</v>
      </c>
      <c r="H437" s="362">
        <v>1</v>
      </c>
      <c r="I437" s="8">
        <v>0.8</v>
      </c>
      <c r="L437" s="5" t="s">
        <v>70</v>
      </c>
      <c r="N437" s="345">
        <v>82</v>
      </c>
      <c r="O437" s="38" t="s">
        <v>70</v>
      </c>
      <c r="P437" s="5" t="s">
        <v>578</v>
      </c>
      <c r="Q437" s="5" t="s">
        <v>579</v>
      </c>
      <c r="R437" s="5" t="s">
        <v>696</v>
      </c>
      <c r="S437" s="479">
        <v>62</v>
      </c>
      <c r="T437" s="5" t="s">
        <v>41</v>
      </c>
      <c r="U437" s="5" t="s">
        <v>45</v>
      </c>
      <c r="V437" s="57" t="s">
        <v>20</v>
      </c>
      <c r="W437" s="51">
        <v>0.04</v>
      </c>
      <c r="X437" s="357" t="s">
        <v>53</v>
      </c>
      <c r="Z437" s="5" t="s">
        <v>16</v>
      </c>
      <c r="AA437" s="112" t="s">
        <v>28</v>
      </c>
    </row>
    <row r="438" spans="1:29" x14ac:dyDescent="0.25">
      <c r="A438" s="329">
        <v>45935</v>
      </c>
      <c r="B438" s="5">
        <v>8</v>
      </c>
      <c r="D438" s="5" t="s">
        <v>146</v>
      </c>
      <c r="E438" s="6">
        <v>0.79</v>
      </c>
      <c r="G438" s="362">
        <v>0</v>
      </c>
      <c r="H438" s="362">
        <v>1</v>
      </c>
      <c r="I438" s="8">
        <v>0.8</v>
      </c>
      <c r="L438" s="5" t="s">
        <v>70</v>
      </c>
      <c r="N438" s="345">
        <v>84</v>
      </c>
      <c r="O438" s="38" t="s">
        <v>70</v>
      </c>
      <c r="P438" s="5" t="s">
        <v>575</v>
      </c>
      <c r="Q438" s="5" t="s">
        <v>576</v>
      </c>
      <c r="R438" s="5" t="s">
        <v>696</v>
      </c>
      <c r="S438" s="479">
        <v>69</v>
      </c>
      <c r="T438" s="5" t="s">
        <v>41</v>
      </c>
      <c r="U438" s="5" t="s">
        <v>43</v>
      </c>
      <c r="V438" s="57" t="s">
        <v>18</v>
      </c>
      <c r="W438" s="51">
        <v>0.43</v>
      </c>
      <c r="X438" s="357">
        <v>0.39</v>
      </c>
      <c r="Y438" s="351" t="s">
        <v>353</v>
      </c>
      <c r="Z438" s="5" t="s">
        <v>8</v>
      </c>
      <c r="AA438" s="112" t="s">
        <v>9</v>
      </c>
      <c r="AB438" s="108" t="s">
        <v>349</v>
      </c>
      <c r="AC438" s="57" t="s">
        <v>350</v>
      </c>
    </row>
    <row r="439" spans="1:29" ht="15.75" thickBot="1" x14ac:dyDescent="0.3">
      <c r="A439" s="330">
        <v>45935</v>
      </c>
      <c r="B439" s="9">
        <v>8</v>
      </c>
      <c r="C439" s="122"/>
      <c r="D439" s="9" t="s">
        <v>146</v>
      </c>
      <c r="E439" s="10">
        <v>0.79</v>
      </c>
      <c r="F439" s="10"/>
      <c r="G439" s="383">
        <v>0</v>
      </c>
      <c r="H439" s="383">
        <v>1</v>
      </c>
      <c r="I439" s="12">
        <v>0.8</v>
      </c>
      <c r="J439" s="12"/>
      <c r="K439" s="122"/>
      <c r="L439" s="9" t="s">
        <v>70</v>
      </c>
      <c r="M439" s="45"/>
      <c r="N439" s="511" t="s">
        <v>57</v>
      </c>
      <c r="O439" s="512" t="s">
        <v>146</v>
      </c>
      <c r="P439" s="513" t="s">
        <v>419</v>
      </c>
      <c r="Q439" s="513" t="s">
        <v>577</v>
      </c>
      <c r="R439" s="513" t="s">
        <v>696</v>
      </c>
      <c r="S439" s="479">
        <v>61</v>
      </c>
      <c r="T439" s="513" t="s">
        <v>41</v>
      </c>
      <c r="U439" s="513" t="s">
        <v>43</v>
      </c>
      <c r="V439" s="514" t="s">
        <v>10</v>
      </c>
      <c r="W439" s="52">
        <v>0.16</v>
      </c>
      <c r="X439" s="358">
        <v>0.37</v>
      </c>
      <c r="Y439" s="352"/>
      <c r="Z439" s="9" t="s">
        <v>48</v>
      </c>
      <c r="AA439" s="113" t="s">
        <v>9</v>
      </c>
      <c r="AB439" s="109"/>
      <c r="AC439" s="58"/>
    </row>
    <row r="440" spans="1:29" ht="15.75" thickBot="1" x14ac:dyDescent="0.3">
      <c r="A440" s="326">
        <v>45935</v>
      </c>
      <c r="B440" s="207">
        <v>8</v>
      </c>
      <c r="C440" s="208"/>
      <c r="D440" s="207" t="s">
        <v>146</v>
      </c>
      <c r="E440" s="209">
        <v>0.79</v>
      </c>
      <c r="F440" s="209"/>
      <c r="G440" s="460">
        <v>0</v>
      </c>
      <c r="H440" s="460">
        <v>1</v>
      </c>
      <c r="I440" s="211">
        <v>0.8</v>
      </c>
      <c r="J440" s="211"/>
      <c r="K440" s="208"/>
      <c r="L440" s="207" t="s">
        <v>70</v>
      </c>
      <c r="M440" s="235"/>
      <c r="N440" s="347"/>
      <c r="O440" s="343" t="s">
        <v>146</v>
      </c>
      <c r="P440" s="199" t="s">
        <v>176</v>
      </c>
      <c r="Q440" s="199" t="s">
        <v>423</v>
      </c>
      <c r="R440" s="199" t="s">
        <v>707</v>
      </c>
      <c r="S440" s="479">
        <v>63</v>
      </c>
      <c r="T440" s="199"/>
      <c r="U440" s="199"/>
      <c r="V440" s="201"/>
      <c r="W440" s="202"/>
      <c r="X440" s="359"/>
      <c r="Y440" s="353">
        <v>1</v>
      </c>
      <c r="Z440" s="199"/>
      <c r="AA440" s="204"/>
      <c r="AB440" s="205"/>
      <c r="AC440" s="201"/>
    </row>
    <row r="441" spans="1:29" ht="15.75" thickBot="1" x14ac:dyDescent="0.3">
      <c r="A441" s="326">
        <v>45935</v>
      </c>
      <c r="B441" s="207">
        <v>8</v>
      </c>
      <c r="C441" s="208"/>
      <c r="D441" s="207" t="s">
        <v>146</v>
      </c>
      <c r="E441" s="209">
        <v>0.79</v>
      </c>
      <c r="F441" s="209"/>
      <c r="G441" s="460">
        <v>0</v>
      </c>
      <c r="H441" s="460">
        <v>1</v>
      </c>
      <c r="I441" s="211">
        <v>0.8</v>
      </c>
      <c r="J441" s="211"/>
      <c r="K441" s="208"/>
      <c r="L441" s="207" t="s">
        <v>70</v>
      </c>
      <c r="M441" s="235"/>
      <c r="N441" s="347"/>
      <c r="O441" s="343" t="s">
        <v>70</v>
      </c>
      <c r="P441" s="199" t="s">
        <v>714</v>
      </c>
      <c r="Q441" s="199" t="s">
        <v>715</v>
      </c>
      <c r="R441" s="199" t="s">
        <v>707</v>
      </c>
      <c r="S441" s="479">
        <v>77</v>
      </c>
      <c r="T441" s="199"/>
      <c r="U441" s="199"/>
      <c r="V441" s="201"/>
      <c r="W441" s="202"/>
      <c r="X441" s="359"/>
      <c r="Y441" s="353">
        <v>0</v>
      </c>
      <c r="Z441" s="199"/>
      <c r="AA441" s="204"/>
      <c r="AB441" s="205"/>
      <c r="AC441" s="201"/>
    </row>
    <row r="442" spans="1:29" x14ac:dyDescent="0.25">
      <c r="A442" s="329">
        <v>45954</v>
      </c>
      <c r="B442" s="5">
        <v>10</v>
      </c>
      <c r="C442" s="121" t="s">
        <v>693</v>
      </c>
      <c r="D442" s="5" t="s">
        <v>146</v>
      </c>
      <c r="E442" s="6">
        <v>1.61</v>
      </c>
      <c r="G442" s="362">
        <v>2</v>
      </c>
      <c r="H442" s="362">
        <v>1</v>
      </c>
      <c r="I442" s="8">
        <v>0.23</v>
      </c>
      <c r="K442" s="121" t="s">
        <v>693</v>
      </c>
      <c r="L442" s="5" t="s">
        <v>171</v>
      </c>
      <c r="N442" s="476">
        <v>19</v>
      </c>
      <c r="O442" s="477" t="s">
        <v>146</v>
      </c>
      <c r="P442" s="478" t="s">
        <v>805</v>
      </c>
      <c r="Q442" s="478" t="s">
        <v>160</v>
      </c>
      <c r="R442" s="478" t="s">
        <v>684</v>
      </c>
      <c r="S442" s="7">
        <v>83</v>
      </c>
      <c r="T442" s="478" t="s">
        <v>41</v>
      </c>
      <c r="U442" s="478" t="s">
        <v>43</v>
      </c>
      <c r="V442" s="480" t="s">
        <v>7</v>
      </c>
      <c r="W442" s="51">
        <v>0.79</v>
      </c>
      <c r="X442" s="357">
        <v>0.92</v>
      </c>
      <c r="Y442" s="351" t="s">
        <v>353</v>
      </c>
      <c r="Z442" s="5" t="s">
        <v>8</v>
      </c>
      <c r="AA442" s="112" t="s">
        <v>19</v>
      </c>
    </row>
    <row r="443" spans="1:29" x14ac:dyDescent="0.25">
      <c r="A443" s="329">
        <v>45954</v>
      </c>
      <c r="B443" s="5">
        <v>10</v>
      </c>
      <c r="D443" s="5" t="s">
        <v>146</v>
      </c>
      <c r="E443" s="6">
        <v>1.61</v>
      </c>
      <c r="G443" s="362">
        <v>2</v>
      </c>
      <c r="H443" s="362">
        <v>1</v>
      </c>
      <c r="I443" s="8">
        <v>0.23</v>
      </c>
      <c r="L443" s="5" t="s">
        <v>171</v>
      </c>
      <c r="N443" s="345">
        <v>30</v>
      </c>
      <c r="O443" s="38" t="s">
        <v>171</v>
      </c>
      <c r="P443" s="5" t="s">
        <v>808</v>
      </c>
      <c r="Q443" s="5" t="s">
        <v>184</v>
      </c>
      <c r="R443" s="5" t="s">
        <v>687</v>
      </c>
      <c r="S443" s="7">
        <v>77</v>
      </c>
      <c r="T443" s="5" t="s">
        <v>44</v>
      </c>
      <c r="U443" s="5" t="s">
        <v>43</v>
      </c>
      <c r="V443" s="57" t="s">
        <v>33</v>
      </c>
      <c r="W443" s="51">
        <v>0.05</v>
      </c>
      <c r="X443" s="357">
        <v>0.52</v>
      </c>
      <c r="Z443" s="5" t="s">
        <v>8</v>
      </c>
      <c r="AA443" s="112" t="s">
        <v>51</v>
      </c>
      <c r="AB443" s="108" t="s">
        <v>812</v>
      </c>
      <c r="AC443" s="57" t="s">
        <v>813</v>
      </c>
    </row>
    <row r="444" spans="1:29" x14ac:dyDescent="0.25">
      <c r="A444" s="329">
        <v>45954</v>
      </c>
      <c r="B444" s="5">
        <v>10</v>
      </c>
      <c r="D444" s="5" t="s">
        <v>146</v>
      </c>
      <c r="E444" s="6">
        <v>1.61</v>
      </c>
      <c r="G444" s="362">
        <v>2</v>
      </c>
      <c r="H444" s="362">
        <v>1</v>
      </c>
      <c r="I444" s="8">
        <v>0.23</v>
      </c>
      <c r="L444" s="5" t="s">
        <v>171</v>
      </c>
      <c r="N444" s="476">
        <v>36</v>
      </c>
      <c r="O444" s="477" t="s">
        <v>146</v>
      </c>
      <c r="P444" s="478" t="s">
        <v>805</v>
      </c>
      <c r="Q444" s="478" t="s">
        <v>160</v>
      </c>
      <c r="R444" s="478" t="s">
        <v>684</v>
      </c>
      <c r="S444" s="7">
        <v>83</v>
      </c>
      <c r="T444" s="478" t="s">
        <v>41</v>
      </c>
      <c r="U444" s="478" t="s">
        <v>43</v>
      </c>
      <c r="V444" s="480" t="s">
        <v>540</v>
      </c>
      <c r="W444" s="51">
        <v>0.04</v>
      </c>
      <c r="X444" s="357">
        <v>0.23</v>
      </c>
      <c r="Z444" s="5" t="s">
        <v>8</v>
      </c>
      <c r="AA444" s="112" t="s">
        <v>34</v>
      </c>
    </row>
    <row r="445" spans="1:29" x14ac:dyDescent="0.25">
      <c r="A445" s="329">
        <v>45954</v>
      </c>
      <c r="B445" s="5">
        <v>10</v>
      </c>
      <c r="D445" s="5" t="s">
        <v>146</v>
      </c>
      <c r="E445" s="6">
        <v>1.61</v>
      </c>
      <c r="G445" s="362">
        <v>2</v>
      </c>
      <c r="H445" s="362">
        <v>1</v>
      </c>
      <c r="I445" s="8">
        <v>0.23</v>
      </c>
      <c r="L445" s="5" t="s">
        <v>171</v>
      </c>
      <c r="N445" s="476" t="s">
        <v>63</v>
      </c>
      <c r="O445" s="477" t="s">
        <v>146</v>
      </c>
      <c r="P445" s="478" t="s">
        <v>806</v>
      </c>
      <c r="Q445" s="478" t="s">
        <v>376</v>
      </c>
      <c r="R445" s="478" t="s">
        <v>696</v>
      </c>
      <c r="S445" s="7">
        <v>65</v>
      </c>
      <c r="T445" s="478" t="s">
        <v>47</v>
      </c>
      <c r="U445" s="478" t="s">
        <v>43</v>
      </c>
      <c r="V445" s="480" t="s">
        <v>10</v>
      </c>
      <c r="W445" s="51">
        <v>0.15</v>
      </c>
      <c r="X445" s="357">
        <v>0.45</v>
      </c>
      <c r="Y445" s="351" t="s">
        <v>353</v>
      </c>
      <c r="Z445" s="5" t="s">
        <v>48</v>
      </c>
      <c r="AA445" s="112" t="s">
        <v>34</v>
      </c>
    </row>
    <row r="446" spans="1:29" x14ac:dyDescent="0.25">
      <c r="A446" s="329">
        <v>45954</v>
      </c>
      <c r="B446" s="5">
        <v>10</v>
      </c>
      <c r="D446" s="5" t="s">
        <v>146</v>
      </c>
      <c r="E446" s="6">
        <v>1.61</v>
      </c>
      <c r="G446" s="362">
        <v>2</v>
      </c>
      <c r="H446" s="362">
        <v>1</v>
      </c>
      <c r="I446" s="8">
        <v>0.23</v>
      </c>
      <c r="L446" s="5" t="s">
        <v>171</v>
      </c>
      <c r="N446" s="476">
        <v>83</v>
      </c>
      <c r="O446" s="477" t="s">
        <v>146</v>
      </c>
      <c r="P446" s="478" t="s">
        <v>807</v>
      </c>
      <c r="Q446" s="478" t="s">
        <v>422</v>
      </c>
      <c r="R446" s="478" t="s">
        <v>688</v>
      </c>
      <c r="S446" s="7">
        <v>64</v>
      </c>
      <c r="T446" s="478" t="s">
        <v>41</v>
      </c>
      <c r="U446" s="478" t="s">
        <v>43</v>
      </c>
      <c r="V446" s="480" t="s">
        <v>540</v>
      </c>
      <c r="W446" s="51">
        <v>0.54</v>
      </c>
      <c r="X446" s="357" t="s">
        <v>53</v>
      </c>
      <c r="Y446" s="351" t="s">
        <v>353</v>
      </c>
      <c r="Z446" s="5" t="s">
        <v>22</v>
      </c>
      <c r="AA446" s="112" t="s">
        <v>34</v>
      </c>
    </row>
    <row r="447" spans="1:29" x14ac:dyDescent="0.25">
      <c r="A447" s="329">
        <v>45954</v>
      </c>
      <c r="B447" s="5">
        <v>10</v>
      </c>
      <c r="D447" s="5" t="s">
        <v>146</v>
      </c>
      <c r="E447" s="6">
        <v>1.61</v>
      </c>
      <c r="G447" s="362">
        <v>2</v>
      </c>
      <c r="H447" s="362">
        <v>1</v>
      </c>
      <c r="I447" s="8">
        <v>0.23</v>
      </c>
      <c r="L447" s="5" t="s">
        <v>171</v>
      </c>
      <c r="N447" s="345">
        <v>90</v>
      </c>
      <c r="O447" s="38" t="s">
        <v>171</v>
      </c>
      <c r="P447" s="5" t="s">
        <v>809</v>
      </c>
      <c r="Q447" s="5" t="s">
        <v>329</v>
      </c>
      <c r="R447" s="5" t="s">
        <v>685</v>
      </c>
      <c r="S447" s="7">
        <v>59</v>
      </c>
      <c r="T447" s="5" t="s">
        <v>41</v>
      </c>
      <c r="U447" s="5" t="s">
        <v>45</v>
      </c>
      <c r="V447" s="57" t="s">
        <v>10</v>
      </c>
      <c r="W447" s="51">
        <v>0.04</v>
      </c>
      <c r="X447" s="357" t="s">
        <v>53</v>
      </c>
      <c r="Z447" s="5" t="s">
        <v>16</v>
      </c>
      <c r="AA447" s="112" t="s">
        <v>34</v>
      </c>
    </row>
    <row r="448" spans="1:29" ht="15.75" thickBot="1" x14ac:dyDescent="0.3">
      <c r="A448" s="400">
        <v>45954</v>
      </c>
      <c r="B448" s="401">
        <v>10</v>
      </c>
      <c r="C448" s="474"/>
      <c r="D448" s="401" t="s">
        <v>146</v>
      </c>
      <c r="E448" s="404">
        <v>1.61</v>
      </c>
      <c r="F448" s="404"/>
      <c r="G448" s="363">
        <v>2</v>
      </c>
      <c r="H448" s="363">
        <v>1</v>
      </c>
      <c r="I448" s="475">
        <v>0.23</v>
      </c>
      <c r="J448" s="475"/>
      <c r="K448" s="474"/>
      <c r="L448" s="401" t="s">
        <v>171</v>
      </c>
      <c r="M448" s="235"/>
      <c r="N448" s="347"/>
      <c r="O448" s="343" t="s">
        <v>146</v>
      </c>
      <c r="P448" s="199" t="s">
        <v>810</v>
      </c>
      <c r="Q448" s="199" t="s">
        <v>423</v>
      </c>
      <c r="R448" s="199" t="s">
        <v>707</v>
      </c>
      <c r="S448" s="7">
        <v>62</v>
      </c>
      <c r="T448" s="199"/>
      <c r="U448" s="199"/>
      <c r="V448" s="201"/>
      <c r="W448" s="202"/>
      <c r="X448" s="359"/>
      <c r="Y448" s="353">
        <v>1</v>
      </c>
      <c r="Z448" s="199"/>
      <c r="AA448" s="204"/>
      <c r="AB448" s="205"/>
      <c r="AC448" s="201"/>
    </row>
    <row r="449" spans="1:29" ht="15.75" thickBot="1" x14ac:dyDescent="0.3">
      <c r="A449" s="400">
        <v>45954</v>
      </c>
      <c r="B449" s="401">
        <v>10</v>
      </c>
      <c r="C449" s="474"/>
      <c r="D449" s="401" t="s">
        <v>146</v>
      </c>
      <c r="E449" s="404">
        <v>1.61</v>
      </c>
      <c r="F449" s="404"/>
      <c r="G449" s="363">
        <v>2</v>
      </c>
      <c r="H449" s="363">
        <v>1</v>
      </c>
      <c r="I449" s="475">
        <v>0.23</v>
      </c>
      <c r="J449" s="475"/>
      <c r="K449" s="474"/>
      <c r="L449" s="401" t="s">
        <v>171</v>
      </c>
      <c r="M449" s="235"/>
      <c r="N449" s="347"/>
      <c r="O449" s="343" t="s">
        <v>171</v>
      </c>
      <c r="P449" s="199" t="s">
        <v>811</v>
      </c>
      <c r="Q449" s="199" t="s">
        <v>525</v>
      </c>
      <c r="R449" s="199" t="s">
        <v>707</v>
      </c>
      <c r="S449" s="7">
        <v>54</v>
      </c>
      <c r="T449" s="199"/>
      <c r="U449" s="199"/>
      <c r="V449" s="201"/>
      <c r="W449" s="202"/>
      <c r="X449" s="359"/>
      <c r="Y449" s="353">
        <v>2</v>
      </c>
      <c r="Z449" s="199"/>
      <c r="AA449" s="204"/>
      <c r="AB449" s="205"/>
      <c r="AC449" s="201"/>
    </row>
    <row r="450" spans="1:29" x14ac:dyDescent="0.25">
      <c r="A450" s="328">
        <v>45900</v>
      </c>
      <c r="B450" s="17">
        <v>3</v>
      </c>
      <c r="C450" s="123" t="s">
        <v>693</v>
      </c>
      <c r="D450" s="17" t="s">
        <v>209</v>
      </c>
      <c r="E450" s="18">
        <v>0.62</v>
      </c>
      <c r="F450" s="18"/>
      <c r="G450" s="461">
        <v>1</v>
      </c>
      <c r="H450" s="461">
        <v>2</v>
      </c>
      <c r="I450" s="20">
        <v>1.1100000000000001</v>
      </c>
      <c r="J450" s="20"/>
      <c r="K450" s="123" t="s">
        <v>693</v>
      </c>
      <c r="L450" s="17" t="s">
        <v>170</v>
      </c>
      <c r="M450" s="46"/>
      <c r="N450" s="348">
        <v>11</v>
      </c>
      <c r="O450" s="456" t="s">
        <v>170</v>
      </c>
      <c r="P450" s="17" t="s">
        <v>335</v>
      </c>
      <c r="Q450" s="17" t="s">
        <v>336</v>
      </c>
      <c r="R450" s="17" t="s">
        <v>688</v>
      </c>
      <c r="S450" s="7">
        <v>66</v>
      </c>
      <c r="T450" s="17" t="s">
        <v>44</v>
      </c>
      <c r="U450" s="17" t="s">
        <v>43</v>
      </c>
      <c r="V450" s="59" t="s">
        <v>10</v>
      </c>
      <c r="W450" s="53">
        <v>0.02</v>
      </c>
      <c r="X450" s="360" t="s">
        <v>53</v>
      </c>
      <c r="Y450" s="354"/>
      <c r="Z450" s="17" t="s">
        <v>22</v>
      </c>
      <c r="AA450" s="114" t="s">
        <v>28</v>
      </c>
      <c r="AB450" s="110"/>
      <c r="AC450" s="60"/>
    </row>
    <row r="451" spans="1:29" x14ac:dyDescent="0.25">
      <c r="A451" s="329">
        <v>45900</v>
      </c>
      <c r="B451" s="5">
        <v>3</v>
      </c>
      <c r="D451" s="5" t="s">
        <v>209</v>
      </c>
      <c r="E451" s="6">
        <v>0.62</v>
      </c>
      <c r="G451" s="362">
        <v>1</v>
      </c>
      <c r="H451" s="362">
        <v>2</v>
      </c>
      <c r="I451" s="8">
        <v>1.1100000000000001</v>
      </c>
      <c r="L451" s="5" t="s">
        <v>170</v>
      </c>
      <c r="N451" s="345">
        <v>17</v>
      </c>
      <c r="O451" s="38" t="s">
        <v>170</v>
      </c>
      <c r="P451" s="5" t="s">
        <v>295</v>
      </c>
      <c r="Q451" s="5" t="s">
        <v>175</v>
      </c>
      <c r="R451" s="5" t="s">
        <v>686</v>
      </c>
      <c r="S451" s="7">
        <v>66</v>
      </c>
      <c r="T451" s="5" t="s">
        <v>41</v>
      </c>
      <c r="U451" s="5" t="s">
        <v>42</v>
      </c>
      <c r="V451" s="57" t="s">
        <v>10</v>
      </c>
      <c r="W451" s="51">
        <v>0.06</v>
      </c>
      <c r="X451" s="357">
        <v>0.11</v>
      </c>
      <c r="Z451" s="5" t="s">
        <v>48</v>
      </c>
      <c r="AA451" s="112" t="s">
        <v>28</v>
      </c>
    </row>
    <row r="452" spans="1:29" x14ac:dyDescent="0.25">
      <c r="A452" s="329">
        <v>45900</v>
      </c>
      <c r="B452" s="5">
        <v>3</v>
      </c>
      <c r="D452" s="5" t="s">
        <v>209</v>
      </c>
      <c r="E452" s="6">
        <v>0.62</v>
      </c>
      <c r="G452" s="362">
        <v>1</v>
      </c>
      <c r="H452" s="362">
        <v>2</v>
      </c>
      <c r="I452" s="8">
        <v>1.1100000000000001</v>
      </c>
      <c r="L452" s="5" t="s">
        <v>170</v>
      </c>
      <c r="N452" s="345">
        <v>19</v>
      </c>
      <c r="O452" s="38" t="s">
        <v>170</v>
      </c>
      <c r="P452" s="5" t="s">
        <v>295</v>
      </c>
      <c r="Q452" s="5" t="s">
        <v>175</v>
      </c>
      <c r="R452" s="5" t="s">
        <v>686</v>
      </c>
      <c r="S452" s="479">
        <v>66</v>
      </c>
      <c r="T452" s="5" t="s">
        <v>41</v>
      </c>
      <c r="U452" s="5" t="s">
        <v>42</v>
      </c>
      <c r="V452" s="57" t="s">
        <v>10</v>
      </c>
      <c r="W452" s="51">
        <v>0.34</v>
      </c>
      <c r="X452" s="357">
        <v>0.3</v>
      </c>
      <c r="Y452" s="351" t="s">
        <v>353</v>
      </c>
      <c r="Z452" s="5" t="s">
        <v>48</v>
      </c>
      <c r="AA452" s="112" t="s">
        <v>28</v>
      </c>
    </row>
    <row r="453" spans="1:29" x14ac:dyDescent="0.25">
      <c r="A453" s="329">
        <v>45900</v>
      </c>
      <c r="B453" s="5">
        <v>3</v>
      </c>
      <c r="D453" s="5" t="s">
        <v>209</v>
      </c>
      <c r="E453" s="6">
        <v>0.62</v>
      </c>
      <c r="G453" s="362">
        <v>1</v>
      </c>
      <c r="H453" s="362">
        <v>2</v>
      </c>
      <c r="I453" s="8">
        <v>1.1100000000000001</v>
      </c>
      <c r="L453" s="5" t="s">
        <v>170</v>
      </c>
      <c r="N453" s="476">
        <v>21</v>
      </c>
      <c r="O453" s="477" t="s">
        <v>209</v>
      </c>
      <c r="P453" s="478" t="s">
        <v>241</v>
      </c>
      <c r="Q453" s="478" t="s">
        <v>75</v>
      </c>
      <c r="R453" s="478" t="s">
        <v>686</v>
      </c>
      <c r="S453" s="479">
        <v>60</v>
      </c>
      <c r="T453" s="478" t="s">
        <v>41</v>
      </c>
      <c r="U453" s="478" t="s">
        <v>43</v>
      </c>
      <c r="V453" s="480" t="s">
        <v>10</v>
      </c>
      <c r="W453" s="51">
        <v>0.08</v>
      </c>
      <c r="X453" s="357" t="s">
        <v>53</v>
      </c>
      <c r="Z453" s="5" t="s">
        <v>55</v>
      </c>
      <c r="AA453" s="112" t="s">
        <v>28</v>
      </c>
    </row>
    <row r="454" spans="1:29" x14ac:dyDescent="0.25">
      <c r="A454" s="329">
        <v>45900</v>
      </c>
      <c r="B454" s="5">
        <v>3</v>
      </c>
      <c r="D454" s="5" t="s">
        <v>209</v>
      </c>
      <c r="E454" s="6">
        <v>0.62</v>
      </c>
      <c r="G454" s="362">
        <v>1</v>
      </c>
      <c r="H454" s="362">
        <v>2</v>
      </c>
      <c r="I454" s="8">
        <v>1.1100000000000001</v>
      </c>
      <c r="L454" s="5" t="s">
        <v>170</v>
      </c>
      <c r="N454" s="476">
        <v>49</v>
      </c>
      <c r="O454" s="477" t="s">
        <v>209</v>
      </c>
      <c r="P454" s="478" t="s">
        <v>220</v>
      </c>
      <c r="Q454" s="478" t="s">
        <v>221</v>
      </c>
      <c r="R454" s="478" t="s">
        <v>684</v>
      </c>
      <c r="S454" s="479">
        <v>66</v>
      </c>
      <c r="T454" s="478" t="s">
        <v>41</v>
      </c>
      <c r="U454" s="478" t="s">
        <v>43</v>
      </c>
      <c r="V454" s="480" t="s">
        <v>10</v>
      </c>
      <c r="W454" s="51">
        <v>0.05</v>
      </c>
      <c r="X454" s="357" t="s">
        <v>53</v>
      </c>
      <c r="Z454" s="5" t="s">
        <v>16</v>
      </c>
      <c r="AA454" s="112" t="s">
        <v>28</v>
      </c>
    </row>
    <row r="455" spans="1:29" x14ac:dyDescent="0.25">
      <c r="A455" s="329">
        <v>45900</v>
      </c>
      <c r="B455" s="5">
        <v>3</v>
      </c>
      <c r="D455" s="5" t="s">
        <v>209</v>
      </c>
      <c r="E455" s="6">
        <v>0.62</v>
      </c>
      <c r="G455" s="362">
        <v>1</v>
      </c>
      <c r="H455" s="362">
        <v>2</v>
      </c>
      <c r="I455" s="8">
        <v>1.1100000000000001</v>
      </c>
      <c r="L455" s="5" t="s">
        <v>170</v>
      </c>
      <c r="N455" s="476">
        <v>56</v>
      </c>
      <c r="O455" s="477" t="s">
        <v>209</v>
      </c>
      <c r="P455" s="478" t="s">
        <v>218</v>
      </c>
      <c r="Q455" s="478" t="s">
        <v>219</v>
      </c>
      <c r="R455" s="478" t="s">
        <v>685</v>
      </c>
      <c r="S455" s="479">
        <v>67</v>
      </c>
      <c r="T455" s="478" t="s">
        <v>41</v>
      </c>
      <c r="U455" s="478" t="s">
        <v>42</v>
      </c>
      <c r="V455" s="480" t="s">
        <v>10</v>
      </c>
      <c r="W455" s="51">
        <v>0.12</v>
      </c>
      <c r="X455" s="357">
        <v>0.19</v>
      </c>
      <c r="Z455" s="5" t="s">
        <v>48</v>
      </c>
      <c r="AA455" s="112" t="s">
        <v>28</v>
      </c>
    </row>
    <row r="456" spans="1:29" x14ac:dyDescent="0.25">
      <c r="A456" s="329">
        <v>45900</v>
      </c>
      <c r="B456" s="5">
        <v>3</v>
      </c>
      <c r="D456" s="5" t="s">
        <v>209</v>
      </c>
      <c r="E456" s="6">
        <v>0.62</v>
      </c>
      <c r="G456" s="362">
        <v>1</v>
      </c>
      <c r="H456" s="362">
        <v>2</v>
      </c>
      <c r="I456" s="8">
        <v>1.1100000000000001</v>
      </c>
      <c r="L456" s="5" t="s">
        <v>170</v>
      </c>
      <c r="N456" s="476">
        <v>60</v>
      </c>
      <c r="O456" s="477" t="s">
        <v>209</v>
      </c>
      <c r="P456" s="478" t="s">
        <v>337</v>
      </c>
      <c r="Q456" s="478" t="s">
        <v>338</v>
      </c>
      <c r="R456" s="478" t="s">
        <v>713</v>
      </c>
      <c r="S456" s="481">
        <v>63</v>
      </c>
      <c r="T456" s="478" t="s">
        <v>47</v>
      </c>
      <c r="U456" s="478" t="s">
        <v>42</v>
      </c>
      <c r="V456" s="480" t="s">
        <v>20</v>
      </c>
      <c r="W456" s="51" t="s">
        <v>53</v>
      </c>
      <c r="X456" s="357" t="s">
        <v>53</v>
      </c>
      <c r="Z456" s="130" t="s">
        <v>23</v>
      </c>
      <c r="AA456" s="134" t="s">
        <v>9</v>
      </c>
    </row>
    <row r="457" spans="1:29" x14ac:dyDescent="0.25">
      <c r="A457" s="329">
        <v>45900</v>
      </c>
      <c r="B457" s="5">
        <v>3</v>
      </c>
      <c r="D457" s="5" t="s">
        <v>209</v>
      </c>
      <c r="E457" s="6">
        <v>0.62</v>
      </c>
      <c r="G457" s="362">
        <v>1</v>
      </c>
      <c r="H457" s="362">
        <v>2</v>
      </c>
      <c r="I457" s="8">
        <v>1.1100000000000001</v>
      </c>
      <c r="L457" s="5" t="s">
        <v>170</v>
      </c>
      <c r="N457" s="345">
        <v>85</v>
      </c>
      <c r="O457" s="38" t="s">
        <v>170</v>
      </c>
      <c r="P457" s="5" t="s">
        <v>214</v>
      </c>
      <c r="Q457" s="5" t="s">
        <v>339</v>
      </c>
      <c r="R457" s="5" t="s">
        <v>712</v>
      </c>
      <c r="S457" s="481">
        <v>77</v>
      </c>
      <c r="T457" s="5" t="s">
        <v>47</v>
      </c>
      <c r="U457" s="5" t="s">
        <v>45</v>
      </c>
      <c r="V457" s="57" t="s">
        <v>20</v>
      </c>
      <c r="W457" s="51">
        <v>0.35</v>
      </c>
      <c r="X457" s="357">
        <v>0.32</v>
      </c>
      <c r="Y457" s="351" t="s">
        <v>353</v>
      </c>
      <c r="Z457" s="5" t="s">
        <v>8</v>
      </c>
      <c r="AA457" s="112" t="s">
        <v>11</v>
      </c>
    </row>
    <row r="458" spans="1:29" ht="15.75" thickBot="1" x14ac:dyDescent="0.3">
      <c r="A458" s="330">
        <v>45900</v>
      </c>
      <c r="B458" s="9">
        <v>3</v>
      </c>
      <c r="C458" s="122"/>
      <c r="D458" s="9" t="s">
        <v>209</v>
      </c>
      <c r="E458" s="10">
        <v>0.62</v>
      </c>
      <c r="F458" s="10"/>
      <c r="G458" s="383">
        <v>1</v>
      </c>
      <c r="H458" s="383">
        <v>2</v>
      </c>
      <c r="I458" s="12">
        <v>1.1100000000000001</v>
      </c>
      <c r="J458" s="12"/>
      <c r="K458" s="122"/>
      <c r="L458" s="9" t="s">
        <v>170</v>
      </c>
      <c r="M458" s="45"/>
      <c r="N458" s="511" t="s">
        <v>312</v>
      </c>
      <c r="O458" s="512" t="s">
        <v>209</v>
      </c>
      <c r="P458" s="513" t="s">
        <v>340</v>
      </c>
      <c r="Q458" s="513" t="s">
        <v>341</v>
      </c>
      <c r="R458" s="513" t="s">
        <v>696</v>
      </c>
      <c r="S458" s="479">
        <v>68</v>
      </c>
      <c r="T458" s="513" t="s">
        <v>41</v>
      </c>
      <c r="U458" s="513" t="s">
        <v>45</v>
      </c>
      <c r="V458" s="514" t="s">
        <v>10</v>
      </c>
      <c r="W458" s="52">
        <v>0.2</v>
      </c>
      <c r="X458" s="358">
        <v>0.83</v>
      </c>
      <c r="Y458" s="352" t="s">
        <v>353</v>
      </c>
      <c r="Z458" s="9" t="s">
        <v>8</v>
      </c>
      <c r="AA458" s="113" t="s">
        <v>67</v>
      </c>
      <c r="AB458" s="109" t="s">
        <v>54</v>
      </c>
      <c r="AC458" s="58" t="s">
        <v>240</v>
      </c>
    </row>
    <row r="459" spans="1:29" ht="15.75" thickBot="1" x14ac:dyDescent="0.3">
      <c r="A459" s="326">
        <v>45900</v>
      </c>
      <c r="B459" s="207">
        <v>3</v>
      </c>
      <c r="C459" s="208"/>
      <c r="D459" s="207" t="s">
        <v>209</v>
      </c>
      <c r="E459" s="209">
        <v>0.62</v>
      </c>
      <c r="F459" s="209"/>
      <c r="G459" s="460">
        <v>1</v>
      </c>
      <c r="H459" s="460">
        <v>2</v>
      </c>
      <c r="I459" s="211">
        <v>1.1100000000000001</v>
      </c>
      <c r="J459" s="211"/>
      <c r="K459" s="208"/>
      <c r="L459" s="207" t="s">
        <v>170</v>
      </c>
      <c r="M459" s="235"/>
      <c r="N459" s="347"/>
      <c r="O459" s="343" t="s">
        <v>209</v>
      </c>
      <c r="P459" s="199" t="s">
        <v>74</v>
      </c>
      <c r="Q459" s="199" t="s">
        <v>730</v>
      </c>
      <c r="R459" s="199" t="s">
        <v>707</v>
      </c>
      <c r="S459" s="479">
        <v>68</v>
      </c>
      <c r="T459" s="199"/>
      <c r="U459" s="199"/>
      <c r="V459" s="201"/>
      <c r="W459" s="202"/>
      <c r="X459" s="359"/>
      <c r="Y459" s="353">
        <v>2</v>
      </c>
      <c r="Z459" s="199"/>
      <c r="AA459" s="204"/>
      <c r="AB459" s="205"/>
      <c r="AC459" s="201"/>
    </row>
    <row r="460" spans="1:29" ht="15.75" thickBot="1" x14ac:dyDescent="0.3">
      <c r="A460" s="326">
        <v>45900</v>
      </c>
      <c r="B460" s="207">
        <v>3</v>
      </c>
      <c r="C460" s="208"/>
      <c r="D460" s="207" t="s">
        <v>209</v>
      </c>
      <c r="E460" s="209">
        <v>0.62</v>
      </c>
      <c r="F460" s="209"/>
      <c r="G460" s="460">
        <v>1</v>
      </c>
      <c r="H460" s="460">
        <v>2</v>
      </c>
      <c r="I460" s="211">
        <v>1.1100000000000001</v>
      </c>
      <c r="J460" s="211"/>
      <c r="K460" s="208"/>
      <c r="L460" s="207" t="s">
        <v>170</v>
      </c>
      <c r="M460" s="235"/>
      <c r="N460" s="347"/>
      <c r="O460" s="343" t="s">
        <v>170</v>
      </c>
      <c r="P460" s="199" t="s">
        <v>269</v>
      </c>
      <c r="Q460" s="199" t="s">
        <v>722</v>
      </c>
      <c r="R460" s="199" t="s">
        <v>707</v>
      </c>
      <c r="S460" s="7">
        <v>64</v>
      </c>
      <c r="T460" s="199"/>
      <c r="U460" s="199"/>
      <c r="V460" s="201"/>
      <c r="W460" s="202"/>
      <c r="X460" s="359"/>
      <c r="Y460" s="353">
        <v>1</v>
      </c>
      <c r="Z460" s="199"/>
      <c r="AA460" s="204"/>
      <c r="AB460" s="205"/>
      <c r="AC460" s="201"/>
    </row>
    <row r="461" spans="1:29" x14ac:dyDescent="0.25">
      <c r="A461" s="331">
        <v>45920</v>
      </c>
      <c r="B461" s="13">
        <v>5</v>
      </c>
      <c r="C461" s="124" t="s">
        <v>694</v>
      </c>
      <c r="D461" s="13" t="s">
        <v>145</v>
      </c>
      <c r="E461" s="14">
        <v>1.88</v>
      </c>
      <c r="F461" s="14"/>
      <c r="G461" s="375">
        <v>2</v>
      </c>
      <c r="H461" s="375">
        <v>0</v>
      </c>
      <c r="I461" s="16">
        <v>0.49</v>
      </c>
      <c r="J461" s="16"/>
      <c r="K461" s="124" t="s">
        <v>693</v>
      </c>
      <c r="L461" s="13" t="s">
        <v>170</v>
      </c>
      <c r="M461" s="242" t="s">
        <v>455</v>
      </c>
      <c r="N461" s="349">
        <v>26</v>
      </c>
      <c r="O461" s="458" t="s">
        <v>170</v>
      </c>
      <c r="P461" s="13" t="s">
        <v>296</v>
      </c>
      <c r="Q461" s="13" t="s">
        <v>297</v>
      </c>
      <c r="R461" s="13" t="s">
        <v>699</v>
      </c>
      <c r="S461" s="459">
        <v>65</v>
      </c>
      <c r="T461" s="13" t="s">
        <v>354</v>
      </c>
      <c r="U461" s="13" t="s">
        <v>42</v>
      </c>
      <c r="V461" s="60" t="s">
        <v>10</v>
      </c>
      <c r="W461" s="54">
        <v>7.0000000000000007E-2</v>
      </c>
      <c r="X461" s="361">
        <v>0.32</v>
      </c>
      <c r="Y461" s="355"/>
      <c r="Z461" s="13" t="s">
        <v>48</v>
      </c>
      <c r="AA461" s="115" t="s">
        <v>28</v>
      </c>
      <c r="AB461" s="110"/>
      <c r="AC461" s="60"/>
    </row>
    <row r="462" spans="1:29" x14ac:dyDescent="0.25">
      <c r="A462" s="329">
        <v>45920</v>
      </c>
      <c r="B462" s="5">
        <v>5</v>
      </c>
      <c r="D462" s="5" t="s">
        <v>145</v>
      </c>
      <c r="E462" s="6">
        <v>1.88</v>
      </c>
      <c r="G462" s="362">
        <v>2</v>
      </c>
      <c r="H462" s="362">
        <v>0</v>
      </c>
      <c r="I462" s="8">
        <v>0.49</v>
      </c>
      <c r="L462" s="5" t="s">
        <v>170</v>
      </c>
      <c r="M462" s="242" t="s">
        <v>455</v>
      </c>
      <c r="N462" s="345">
        <v>30</v>
      </c>
      <c r="O462" s="38" t="s">
        <v>170</v>
      </c>
      <c r="P462" s="5" t="s">
        <v>295</v>
      </c>
      <c r="Q462" s="5" t="s">
        <v>175</v>
      </c>
      <c r="R462" s="5" t="s">
        <v>684</v>
      </c>
      <c r="S462" s="459">
        <v>62</v>
      </c>
      <c r="T462" s="5" t="s">
        <v>41</v>
      </c>
      <c r="U462" s="5" t="s">
        <v>43</v>
      </c>
      <c r="V462" s="57" t="s">
        <v>18</v>
      </c>
      <c r="W462" s="51">
        <v>0.08</v>
      </c>
      <c r="X462" s="357">
        <v>0.17</v>
      </c>
      <c r="Z462" s="5" t="s">
        <v>48</v>
      </c>
      <c r="AA462" s="112" t="s">
        <v>28</v>
      </c>
    </row>
    <row r="463" spans="1:29" x14ac:dyDescent="0.25">
      <c r="A463" s="329">
        <v>45920</v>
      </c>
      <c r="B463" s="5">
        <v>5</v>
      </c>
      <c r="D463" s="5" t="s">
        <v>145</v>
      </c>
      <c r="E463" s="6">
        <v>1.88</v>
      </c>
      <c r="G463" s="362">
        <v>2</v>
      </c>
      <c r="H463" s="362">
        <v>0</v>
      </c>
      <c r="I463" s="8">
        <v>0.49</v>
      </c>
      <c r="L463" s="5" t="s">
        <v>170</v>
      </c>
      <c r="M463" s="242" t="s">
        <v>455</v>
      </c>
      <c r="N463" s="476">
        <v>52</v>
      </c>
      <c r="O463" s="477" t="s">
        <v>145</v>
      </c>
      <c r="P463" s="478" t="s">
        <v>315</v>
      </c>
      <c r="Q463" s="478" t="s">
        <v>409</v>
      </c>
      <c r="R463" s="478" t="s">
        <v>686</v>
      </c>
      <c r="S463" s="479">
        <v>66</v>
      </c>
      <c r="T463" s="478" t="s">
        <v>41</v>
      </c>
      <c r="U463" s="478" t="s">
        <v>43</v>
      </c>
      <c r="V463" s="480" t="s">
        <v>10</v>
      </c>
      <c r="W463" s="51">
        <v>0.14000000000000001</v>
      </c>
      <c r="X463" s="357" t="s">
        <v>53</v>
      </c>
      <c r="Z463" s="5" t="s">
        <v>13</v>
      </c>
      <c r="AA463" s="112" t="s">
        <v>28</v>
      </c>
    </row>
    <row r="464" spans="1:29" x14ac:dyDescent="0.25">
      <c r="A464" s="329">
        <v>45920</v>
      </c>
      <c r="B464" s="5">
        <v>5</v>
      </c>
      <c r="D464" s="5" t="s">
        <v>145</v>
      </c>
      <c r="E464" s="6">
        <v>1.88</v>
      </c>
      <c r="G464" s="362">
        <v>2</v>
      </c>
      <c r="H464" s="362">
        <v>0</v>
      </c>
      <c r="I464" s="8">
        <v>0.49</v>
      </c>
      <c r="L464" s="5" t="s">
        <v>170</v>
      </c>
      <c r="M464" s="242" t="s">
        <v>455</v>
      </c>
      <c r="N464" s="476">
        <v>62</v>
      </c>
      <c r="O464" s="477" t="s">
        <v>145</v>
      </c>
      <c r="P464" s="478" t="s">
        <v>310</v>
      </c>
      <c r="Q464" s="478" t="s">
        <v>311</v>
      </c>
      <c r="R464" s="478" t="s">
        <v>712</v>
      </c>
      <c r="S464" s="479">
        <v>75</v>
      </c>
      <c r="T464" s="478" t="s">
        <v>41</v>
      </c>
      <c r="U464" s="478" t="s">
        <v>45</v>
      </c>
      <c r="V464" s="480" t="s">
        <v>33</v>
      </c>
      <c r="W464" s="51">
        <v>0.08</v>
      </c>
      <c r="X464" s="357">
        <v>0.13</v>
      </c>
      <c r="Z464" s="5" t="s">
        <v>48</v>
      </c>
      <c r="AA464" s="112" t="s">
        <v>28</v>
      </c>
    </row>
    <row r="465" spans="1:29" x14ac:dyDescent="0.25">
      <c r="A465" s="329">
        <v>45920</v>
      </c>
      <c r="B465" s="5">
        <v>5</v>
      </c>
      <c r="D465" s="5" t="s">
        <v>145</v>
      </c>
      <c r="E465" s="6">
        <v>1.88</v>
      </c>
      <c r="G465" s="362">
        <v>2</v>
      </c>
      <c r="H465" s="362">
        <v>0</v>
      </c>
      <c r="I465" s="8">
        <v>0.49</v>
      </c>
      <c r="L465" s="5" t="s">
        <v>170</v>
      </c>
      <c r="M465" s="242" t="s">
        <v>455</v>
      </c>
      <c r="N465" s="476">
        <v>73</v>
      </c>
      <c r="O465" s="477" t="s">
        <v>145</v>
      </c>
      <c r="P465" s="478" t="s">
        <v>308</v>
      </c>
      <c r="Q465" s="478" t="s">
        <v>309</v>
      </c>
      <c r="R465" s="478" t="s">
        <v>695</v>
      </c>
      <c r="S465" s="479">
        <v>86</v>
      </c>
      <c r="T465" s="478" t="s">
        <v>47</v>
      </c>
      <c r="U465" s="478" t="s">
        <v>45</v>
      </c>
      <c r="V465" s="480" t="s">
        <v>20</v>
      </c>
      <c r="W465" s="51">
        <v>0.18</v>
      </c>
      <c r="X465" s="357">
        <v>0.82</v>
      </c>
      <c r="Y465" s="351" t="s">
        <v>353</v>
      </c>
      <c r="Z465" s="5" t="s">
        <v>8</v>
      </c>
      <c r="AA465" s="112" t="s">
        <v>19</v>
      </c>
      <c r="AB465" s="108" t="s">
        <v>278</v>
      </c>
      <c r="AC465" s="57" t="s">
        <v>452</v>
      </c>
    </row>
    <row r="466" spans="1:29" x14ac:dyDescent="0.25">
      <c r="A466" s="329">
        <v>45920</v>
      </c>
      <c r="B466" s="5">
        <v>5</v>
      </c>
      <c r="D466" s="5" t="s">
        <v>145</v>
      </c>
      <c r="E466" s="6">
        <v>1.88</v>
      </c>
      <c r="G466" s="362">
        <v>2</v>
      </c>
      <c r="H466" s="362">
        <v>0</v>
      </c>
      <c r="I466" s="8">
        <v>0.49</v>
      </c>
      <c r="L466" s="5" t="s">
        <v>170</v>
      </c>
      <c r="M466" s="242" t="s">
        <v>455</v>
      </c>
      <c r="N466" s="476">
        <v>90</v>
      </c>
      <c r="O466" s="477" t="s">
        <v>145</v>
      </c>
      <c r="P466" s="478" t="s">
        <v>251</v>
      </c>
      <c r="Q466" s="478" t="s">
        <v>452</v>
      </c>
      <c r="R466" s="478" t="s">
        <v>695</v>
      </c>
      <c r="S466" s="479">
        <v>78</v>
      </c>
      <c r="T466" s="478" t="s">
        <v>41</v>
      </c>
      <c r="U466" s="478" t="s">
        <v>42</v>
      </c>
      <c r="V466" s="480" t="s">
        <v>18</v>
      </c>
      <c r="W466" s="51">
        <v>0.17</v>
      </c>
      <c r="X466" s="357">
        <v>0.47</v>
      </c>
      <c r="Y466" s="351" t="s">
        <v>353</v>
      </c>
      <c r="Z466" s="5" t="s">
        <v>48</v>
      </c>
      <c r="AA466" s="112" t="s">
        <v>19</v>
      </c>
    </row>
    <row r="467" spans="1:29" x14ac:dyDescent="0.25">
      <c r="A467" s="329">
        <v>45920</v>
      </c>
      <c r="B467" s="5">
        <v>5</v>
      </c>
      <c r="D467" s="5" t="s">
        <v>145</v>
      </c>
      <c r="E467" s="6">
        <v>1.88</v>
      </c>
      <c r="G467" s="362">
        <v>2</v>
      </c>
      <c r="H467" s="362">
        <v>0</v>
      </c>
      <c r="I467" s="8">
        <v>0.49</v>
      </c>
      <c r="L467" s="5" t="s">
        <v>170</v>
      </c>
      <c r="M467" s="242" t="s">
        <v>455</v>
      </c>
      <c r="N467" s="476" t="s">
        <v>268</v>
      </c>
      <c r="O467" s="477" t="s">
        <v>145</v>
      </c>
      <c r="P467" s="478" t="s">
        <v>310</v>
      </c>
      <c r="Q467" s="478" t="s">
        <v>311</v>
      </c>
      <c r="R467" s="478" t="s">
        <v>712</v>
      </c>
      <c r="S467" s="479">
        <v>75</v>
      </c>
      <c r="T467" s="478" t="s">
        <v>41</v>
      </c>
      <c r="U467" s="478" t="s">
        <v>42</v>
      </c>
      <c r="V467" s="480" t="s">
        <v>20</v>
      </c>
      <c r="W467" s="51">
        <v>0.12</v>
      </c>
      <c r="X467" s="357" t="s">
        <v>53</v>
      </c>
      <c r="Z467" s="5" t="s">
        <v>13</v>
      </c>
      <c r="AA467" s="112" t="s">
        <v>19</v>
      </c>
    </row>
    <row r="468" spans="1:29" x14ac:dyDescent="0.25">
      <c r="A468" s="329">
        <v>45920</v>
      </c>
      <c r="B468" s="5">
        <v>5</v>
      </c>
      <c r="D468" s="5" t="s">
        <v>145</v>
      </c>
      <c r="E468" s="6">
        <v>1.88</v>
      </c>
      <c r="G468" s="362">
        <v>2</v>
      </c>
      <c r="H468" s="362">
        <v>0</v>
      </c>
      <c r="I468" s="8">
        <v>0.49</v>
      </c>
      <c r="L468" s="5" t="s">
        <v>170</v>
      </c>
      <c r="M468" s="242" t="s">
        <v>455</v>
      </c>
      <c r="N468" s="476" t="s">
        <v>31</v>
      </c>
      <c r="O468" s="477" t="s">
        <v>145</v>
      </c>
      <c r="P468" s="478" t="s">
        <v>147</v>
      </c>
      <c r="Q468" s="478" t="s">
        <v>148</v>
      </c>
      <c r="R468" s="478" t="s">
        <v>696</v>
      </c>
      <c r="S468" s="479">
        <v>73</v>
      </c>
      <c r="T468" s="478" t="s">
        <v>47</v>
      </c>
      <c r="U468" s="478" t="s">
        <v>43</v>
      </c>
      <c r="V468" s="480" t="s">
        <v>10</v>
      </c>
      <c r="W468" s="51">
        <v>0.79</v>
      </c>
      <c r="X468" s="357">
        <v>0.99</v>
      </c>
      <c r="Y468" s="351" t="s">
        <v>353</v>
      </c>
      <c r="Z468" s="5" t="s">
        <v>8</v>
      </c>
      <c r="AA468" s="112" t="s">
        <v>24</v>
      </c>
      <c r="AB468" s="108" t="s">
        <v>308</v>
      </c>
      <c r="AC468" s="57" t="s">
        <v>309</v>
      </c>
    </row>
    <row r="469" spans="1:29" ht="15.75" thickBot="1" x14ac:dyDescent="0.3">
      <c r="A469" s="330">
        <v>45920</v>
      </c>
      <c r="B469" s="9">
        <v>5</v>
      </c>
      <c r="C469" s="122"/>
      <c r="D469" s="9" t="s">
        <v>145</v>
      </c>
      <c r="E469" s="10">
        <v>1.88</v>
      </c>
      <c r="F469" s="10"/>
      <c r="G469" s="383">
        <v>2</v>
      </c>
      <c r="H469" s="383">
        <v>0</v>
      </c>
      <c r="I469" s="12">
        <v>0.49</v>
      </c>
      <c r="J469" s="12"/>
      <c r="K469" s="122"/>
      <c r="L469" s="9" t="s">
        <v>170</v>
      </c>
      <c r="M469" s="445" t="s">
        <v>455</v>
      </c>
      <c r="N469" s="511" t="s">
        <v>82</v>
      </c>
      <c r="O469" s="512" t="s">
        <v>145</v>
      </c>
      <c r="P469" s="513" t="s">
        <v>453</v>
      </c>
      <c r="Q469" s="513" t="s">
        <v>454</v>
      </c>
      <c r="R469" s="513" t="s">
        <v>696</v>
      </c>
      <c r="S469" s="479">
        <v>60</v>
      </c>
      <c r="T469" s="513" t="s">
        <v>41</v>
      </c>
      <c r="U469" s="513" t="s">
        <v>42</v>
      </c>
      <c r="V469" s="514" t="s">
        <v>10</v>
      </c>
      <c r="W469" s="52">
        <v>0.16</v>
      </c>
      <c r="X469" s="358" t="s">
        <v>53</v>
      </c>
      <c r="Y469" s="352" t="s">
        <v>353</v>
      </c>
      <c r="Z469" s="9" t="s">
        <v>13</v>
      </c>
      <c r="AA469" s="113" t="s">
        <v>24</v>
      </c>
      <c r="AB469" s="109"/>
      <c r="AC469" s="58"/>
    </row>
    <row r="470" spans="1:29" ht="15.75" thickBot="1" x14ac:dyDescent="0.3">
      <c r="A470" s="326">
        <v>45920</v>
      </c>
      <c r="B470" s="207">
        <v>5</v>
      </c>
      <c r="C470" s="208"/>
      <c r="D470" s="207" t="s">
        <v>145</v>
      </c>
      <c r="E470" s="209">
        <v>1.88</v>
      </c>
      <c r="F470" s="209"/>
      <c r="G470" s="460">
        <v>2</v>
      </c>
      <c r="H470" s="460">
        <v>0</v>
      </c>
      <c r="I470" s="211">
        <v>0.49</v>
      </c>
      <c r="J470" s="211"/>
      <c r="K470" s="208"/>
      <c r="L470" s="207" t="s">
        <v>170</v>
      </c>
      <c r="M470" s="235"/>
      <c r="N470" s="347"/>
      <c r="O470" s="343" t="s">
        <v>145</v>
      </c>
      <c r="P470" s="199" t="s">
        <v>482</v>
      </c>
      <c r="Q470" s="199" t="s">
        <v>483</v>
      </c>
      <c r="R470" s="199" t="s">
        <v>707</v>
      </c>
      <c r="S470" s="7">
        <v>81</v>
      </c>
      <c r="T470" s="199"/>
      <c r="U470" s="199"/>
      <c r="V470" s="201"/>
      <c r="W470" s="202"/>
      <c r="X470" s="359"/>
      <c r="Y470" s="353">
        <v>0</v>
      </c>
      <c r="Z470" s="199"/>
      <c r="AA470" s="204"/>
      <c r="AB470" s="205"/>
      <c r="AC470" s="201"/>
    </row>
    <row r="471" spans="1:29" ht="15.75" thickBot="1" x14ac:dyDescent="0.3">
      <c r="A471" s="326">
        <v>45920</v>
      </c>
      <c r="B471" s="207">
        <v>5</v>
      </c>
      <c r="C471" s="208"/>
      <c r="D471" s="207" t="s">
        <v>145</v>
      </c>
      <c r="E471" s="209">
        <v>1.88</v>
      </c>
      <c r="F471" s="209"/>
      <c r="G471" s="460">
        <v>2</v>
      </c>
      <c r="H471" s="460">
        <v>0</v>
      </c>
      <c r="I471" s="211">
        <v>0.49</v>
      </c>
      <c r="J471" s="211"/>
      <c r="K471" s="208"/>
      <c r="L471" s="207" t="s">
        <v>170</v>
      </c>
      <c r="M471" s="235"/>
      <c r="N471" s="347"/>
      <c r="O471" s="343" t="s">
        <v>170</v>
      </c>
      <c r="P471" s="199" t="s">
        <v>269</v>
      </c>
      <c r="Q471" s="199" t="s">
        <v>722</v>
      </c>
      <c r="R471" s="199" t="s">
        <v>707</v>
      </c>
      <c r="S471" s="479">
        <v>63</v>
      </c>
      <c r="T471" s="199"/>
      <c r="U471" s="199"/>
      <c r="V471" s="201"/>
      <c r="W471" s="202"/>
      <c r="X471" s="359"/>
      <c r="Y471" s="353">
        <v>2</v>
      </c>
      <c r="Z471" s="199"/>
      <c r="AA471" s="204"/>
      <c r="AB471" s="205"/>
      <c r="AC471" s="201"/>
    </row>
    <row r="472" spans="1:29" x14ac:dyDescent="0.25">
      <c r="A472" s="328">
        <v>45927</v>
      </c>
      <c r="B472" s="17">
        <v>7</v>
      </c>
      <c r="C472" s="123" t="s">
        <v>694</v>
      </c>
      <c r="D472" s="17" t="s">
        <v>91</v>
      </c>
      <c r="E472" s="18">
        <v>1.22</v>
      </c>
      <c r="F472" s="18"/>
      <c r="G472" s="461">
        <v>1</v>
      </c>
      <c r="H472" s="461">
        <v>0</v>
      </c>
      <c r="I472" s="20">
        <v>1.44</v>
      </c>
      <c r="J472" s="20"/>
      <c r="K472" s="123" t="s">
        <v>693</v>
      </c>
      <c r="L472" s="17" t="s">
        <v>170</v>
      </c>
      <c r="M472" s="46"/>
      <c r="N472" s="556">
        <v>3</v>
      </c>
      <c r="O472" s="557" t="s">
        <v>91</v>
      </c>
      <c r="P472" s="558" t="s">
        <v>493</v>
      </c>
      <c r="Q472" s="558" t="s">
        <v>494</v>
      </c>
      <c r="R472" s="558" t="s">
        <v>689</v>
      </c>
      <c r="S472" s="541">
        <v>79</v>
      </c>
      <c r="T472" s="558" t="s">
        <v>354</v>
      </c>
      <c r="U472" s="558" t="s">
        <v>42</v>
      </c>
      <c r="V472" s="559" t="s">
        <v>540</v>
      </c>
      <c r="W472" s="54">
        <v>0.01</v>
      </c>
      <c r="X472" s="361" t="s">
        <v>53</v>
      </c>
      <c r="Y472" s="355"/>
      <c r="Z472" s="13" t="s">
        <v>22</v>
      </c>
      <c r="AA472" s="115" t="s">
        <v>28</v>
      </c>
      <c r="AB472" s="110"/>
      <c r="AC472" s="60"/>
    </row>
    <row r="473" spans="1:29" x14ac:dyDescent="0.25">
      <c r="A473" s="329">
        <v>45927</v>
      </c>
      <c r="B473" s="5">
        <v>7</v>
      </c>
      <c r="D473" s="5" t="s">
        <v>91</v>
      </c>
      <c r="E473" s="6">
        <v>1.22</v>
      </c>
      <c r="G473" s="362">
        <v>1</v>
      </c>
      <c r="H473" s="362">
        <v>0</v>
      </c>
      <c r="I473" s="8">
        <v>1.44</v>
      </c>
      <c r="L473" s="5" t="s">
        <v>170</v>
      </c>
      <c r="N473" s="476">
        <v>5</v>
      </c>
      <c r="O473" s="477" t="s">
        <v>91</v>
      </c>
      <c r="P473" s="478" t="s">
        <v>96</v>
      </c>
      <c r="Q473" s="478" t="s">
        <v>97</v>
      </c>
      <c r="R473" s="478" t="s">
        <v>718</v>
      </c>
      <c r="S473" s="479">
        <v>75</v>
      </c>
      <c r="T473" s="478" t="s">
        <v>41</v>
      </c>
      <c r="U473" s="478" t="s">
        <v>43</v>
      </c>
      <c r="V473" s="480" t="s">
        <v>20</v>
      </c>
      <c r="W473" s="51">
        <v>0.05</v>
      </c>
      <c r="X473" s="357" t="s">
        <v>53</v>
      </c>
      <c r="Z473" s="5" t="s">
        <v>17</v>
      </c>
      <c r="AA473" s="112" t="s">
        <v>28</v>
      </c>
    </row>
    <row r="474" spans="1:29" x14ac:dyDescent="0.25">
      <c r="A474" s="329">
        <v>45927</v>
      </c>
      <c r="B474" s="5">
        <v>7</v>
      </c>
      <c r="D474" s="5" t="s">
        <v>91</v>
      </c>
      <c r="E474" s="6">
        <v>1.22</v>
      </c>
      <c r="G474" s="362">
        <v>1</v>
      </c>
      <c r="H474" s="362">
        <v>0</v>
      </c>
      <c r="I474" s="8">
        <v>1.44</v>
      </c>
      <c r="L474" s="5" t="s">
        <v>170</v>
      </c>
      <c r="N474" s="345">
        <v>17</v>
      </c>
      <c r="O474" s="38" t="s">
        <v>170</v>
      </c>
      <c r="P474" s="5" t="s">
        <v>296</v>
      </c>
      <c r="Q474" s="5" t="s">
        <v>297</v>
      </c>
      <c r="R474" s="5" t="s">
        <v>699</v>
      </c>
      <c r="S474" s="479">
        <v>60</v>
      </c>
      <c r="T474" s="5" t="s">
        <v>41</v>
      </c>
      <c r="U474" s="5" t="s">
        <v>42</v>
      </c>
      <c r="V474" s="57" t="s">
        <v>33</v>
      </c>
      <c r="W474" s="51">
        <v>0.45</v>
      </c>
      <c r="X474" s="357">
        <v>0.37</v>
      </c>
      <c r="Y474" s="351" t="s">
        <v>353</v>
      </c>
      <c r="Z474" s="5" t="s">
        <v>48</v>
      </c>
      <c r="AA474" s="112" t="s">
        <v>28</v>
      </c>
    </row>
    <row r="475" spans="1:29" x14ac:dyDescent="0.25">
      <c r="A475" s="329">
        <v>45927</v>
      </c>
      <c r="B475" s="5">
        <v>7</v>
      </c>
      <c r="D475" s="5" t="s">
        <v>91</v>
      </c>
      <c r="E475" s="6">
        <v>1.22</v>
      </c>
      <c r="G475" s="362">
        <v>1</v>
      </c>
      <c r="H475" s="362">
        <v>0</v>
      </c>
      <c r="I475" s="8">
        <v>1.44</v>
      </c>
      <c r="L475" s="5" t="s">
        <v>170</v>
      </c>
      <c r="N475" s="345">
        <v>17</v>
      </c>
      <c r="O475" s="38" t="s">
        <v>170</v>
      </c>
      <c r="P475" s="5" t="s">
        <v>296</v>
      </c>
      <c r="Q475" s="5" t="s">
        <v>297</v>
      </c>
      <c r="R475" s="5" t="s">
        <v>699</v>
      </c>
      <c r="S475" s="7">
        <v>60</v>
      </c>
      <c r="T475" s="5" t="s">
        <v>41</v>
      </c>
      <c r="U475" s="5" t="s">
        <v>42</v>
      </c>
      <c r="V475" s="57" t="s">
        <v>33</v>
      </c>
      <c r="W475" s="51">
        <v>0.12</v>
      </c>
      <c r="X475" s="357" t="s">
        <v>53</v>
      </c>
      <c r="Z475" s="5" t="s">
        <v>52</v>
      </c>
      <c r="AA475" s="112" t="s">
        <v>28</v>
      </c>
    </row>
    <row r="476" spans="1:29" x14ac:dyDescent="0.25">
      <c r="A476" s="329">
        <v>45927</v>
      </c>
      <c r="B476" s="5">
        <v>7</v>
      </c>
      <c r="D476" s="5" t="s">
        <v>91</v>
      </c>
      <c r="E476" s="6">
        <v>1.22</v>
      </c>
      <c r="G476" s="362">
        <v>1</v>
      </c>
      <c r="H476" s="362">
        <v>0</v>
      </c>
      <c r="I476" s="8">
        <v>1.44</v>
      </c>
      <c r="L476" s="5" t="s">
        <v>170</v>
      </c>
      <c r="N476" s="345">
        <v>17</v>
      </c>
      <c r="O476" s="38" t="s">
        <v>170</v>
      </c>
      <c r="P476" s="5" t="s">
        <v>374</v>
      </c>
      <c r="Q476" s="5" t="s">
        <v>521</v>
      </c>
      <c r="R476" s="5" t="s">
        <v>713</v>
      </c>
      <c r="S476" s="479">
        <v>70</v>
      </c>
      <c r="T476" s="5" t="s">
        <v>41</v>
      </c>
      <c r="U476" s="5" t="s">
        <v>42</v>
      </c>
      <c r="V476" s="57" t="s">
        <v>33</v>
      </c>
      <c r="W476" s="51">
        <v>0.14000000000000001</v>
      </c>
      <c r="X476" s="357" t="s">
        <v>53</v>
      </c>
      <c r="Z476" s="5" t="s">
        <v>13</v>
      </c>
      <c r="AA476" s="112" t="s">
        <v>28</v>
      </c>
    </row>
    <row r="477" spans="1:29" x14ac:dyDescent="0.25">
      <c r="A477" s="329">
        <v>45927</v>
      </c>
      <c r="B477" s="5">
        <v>7</v>
      </c>
      <c r="D477" s="5" t="s">
        <v>91</v>
      </c>
      <c r="E477" s="6">
        <v>1.22</v>
      </c>
      <c r="G477" s="362">
        <v>1</v>
      </c>
      <c r="H477" s="362">
        <v>0</v>
      </c>
      <c r="I477" s="8">
        <v>1.44</v>
      </c>
      <c r="L477" s="5" t="s">
        <v>170</v>
      </c>
      <c r="N477" s="345">
        <v>17</v>
      </c>
      <c r="O477" s="38" t="s">
        <v>170</v>
      </c>
      <c r="P477" s="5" t="s">
        <v>379</v>
      </c>
      <c r="Q477" s="5" t="s">
        <v>380</v>
      </c>
      <c r="R477" s="5" t="s">
        <v>684</v>
      </c>
      <c r="S477" s="479">
        <v>67</v>
      </c>
      <c r="T477" s="5" t="s">
        <v>41</v>
      </c>
      <c r="U477" s="5" t="s">
        <v>43</v>
      </c>
      <c r="V477" s="57" t="s">
        <v>33</v>
      </c>
      <c r="W477" s="51">
        <v>0.09</v>
      </c>
      <c r="X477" s="357">
        <v>0.22</v>
      </c>
      <c r="Z477" s="5" t="s">
        <v>48</v>
      </c>
      <c r="AA477" s="112" t="s">
        <v>28</v>
      </c>
    </row>
    <row r="478" spans="1:29" x14ac:dyDescent="0.25">
      <c r="A478" s="329">
        <v>45927</v>
      </c>
      <c r="B478" s="5">
        <v>7</v>
      </c>
      <c r="D478" s="5" t="s">
        <v>91</v>
      </c>
      <c r="E478" s="6">
        <v>1.22</v>
      </c>
      <c r="G478" s="362">
        <v>1</v>
      </c>
      <c r="H478" s="362">
        <v>0</v>
      </c>
      <c r="I478" s="8">
        <v>1.44</v>
      </c>
      <c r="L478" s="5" t="s">
        <v>170</v>
      </c>
      <c r="N478" s="476">
        <v>18</v>
      </c>
      <c r="O478" s="477" t="s">
        <v>91</v>
      </c>
      <c r="P478" s="478" t="s">
        <v>96</v>
      </c>
      <c r="Q478" s="478" t="s">
        <v>97</v>
      </c>
      <c r="R478" s="478" t="s">
        <v>718</v>
      </c>
      <c r="S478" s="479">
        <v>75</v>
      </c>
      <c r="T478" s="478" t="s">
        <v>47</v>
      </c>
      <c r="U478" s="478" t="s">
        <v>43</v>
      </c>
      <c r="V478" s="480" t="s">
        <v>10</v>
      </c>
      <c r="W478" s="51">
        <v>0.36</v>
      </c>
      <c r="X478" s="357">
        <v>0.27</v>
      </c>
      <c r="Y478" s="351" t="s">
        <v>353</v>
      </c>
      <c r="Z478" s="5" t="s">
        <v>48</v>
      </c>
      <c r="AA478" s="112" t="s">
        <v>28</v>
      </c>
    </row>
    <row r="479" spans="1:29" x14ac:dyDescent="0.25">
      <c r="A479" s="329">
        <v>45927</v>
      </c>
      <c r="B479" s="5">
        <v>7</v>
      </c>
      <c r="D479" s="5" t="s">
        <v>91</v>
      </c>
      <c r="E479" s="6">
        <v>1.22</v>
      </c>
      <c r="G479" s="362">
        <v>1</v>
      </c>
      <c r="H479" s="362">
        <v>0</v>
      </c>
      <c r="I479" s="8">
        <v>1.44</v>
      </c>
      <c r="L479" s="5" t="s">
        <v>170</v>
      </c>
      <c r="N479" s="345">
        <v>27</v>
      </c>
      <c r="O479" s="38" t="s">
        <v>170</v>
      </c>
      <c r="P479" s="5" t="s">
        <v>379</v>
      </c>
      <c r="Q479" s="5" t="s">
        <v>380</v>
      </c>
      <c r="R479" s="5" t="s">
        <v>684</v>
      </c>
      <c r="S479" s="7">
        <v>67</v>
      </c>
      <c r="T479" s="5" t="s">
        <v>41</v>
      </c>
      <c r="U479" s="5" t="s">
        <v>42</v>
      </c>
      <c r="V479" s="57" t="s">
        <v>10</v>
      </c>
      <c r="W479" s="51">
        <v>0.15</v>
      </c>
      <c r="X479" s="357">
        <v>0.12</v>
      </c>
      <c r="Z479" s="5" t="s">
        <v>48</v>
      </c>
      <c r="AA479" s="112" t="s">
        <v>28</v>
      </c>
    </row>
    <row r="480" spans="1:29" x14ac:dyDescent="0.25">
      <c r="A480" s="329">
        <v>45927</v>
      </c>
      <c r="B480" s="5">
        <v>7</v>
      </c>
      <c r="D480" s="5" t="s">
        <v>91</v>
      </c>
      <c r="E480" s="6">
        <v>1.22</v>
      </c>
      <c r="G480" s="362">
        <v>1</v>
      </c>
      <c r="H480" s="362">
        <v>0</v>
      </c>
      <c r="I480" s="8">
        <v>1.44</v>
      </c>
      <c r="L480" s="5" t="s">
        <v>170</v>
      </c>
      <c r="N480" s="476">
        <v>28</v>
      </c>
      <c r="O480" s="477" t="s">
        <v>91</v>
      </c>
      <c r="P480" s="478" t="s">
        <v>443</v>
      </c>
      <c r="Q480" s="478" t="s">
        <v>444</v>
      </c>
      <c r="R480" s="478" t="s">
        <v>717</v>
      </c>
      <c r="S480" s="479">
        <v>61</v>
      </c>
      <c r="T480" s="478" t="s">
        <v>47</v>
      </c>
      <c r="U480" s="478" t="s">
        <v>42</v>
      </c>
      <c r="V480" s="480" t="s">
        <v>10</v>
      </c>
      <c r="W480" s="51">
        <v>0.18</v>
      </c>
      <c r="X480" s="357">
        <v>0.56000000000000005</v>
      </c>
      <c r="Y480" s="351" t="s">
        <v>353</v>
      </c>
      <c r="Z480" s="5" t="s">
        <v>48</v>
      </c>
      <c r="AA480" s="112" t="s">
        <v>28</v>
      </c>
    </row>
    <row r="481" spans="1:29" x14ac:dyDescent="0.25">
      <c r="A481" s="329">
        <v>45927</v>
      </c>
      <c r="B481" s="5">
        <v>7</v>
      </c>
      <c r="D481" s="5" t="s">
        <v>91</v>
      </c>
      <c r="E481" s="6">
        <v>1.22</v>
      </c>
      <c r="G481" s="362">
        <v>1</v>
      </c>
      <c r="H481" s="362">
        <v>0</v>
      </c>
      <c r="I481" s="8">
        <v>1.44</v>
      </c>
      <c r="L481" s="5" t="s">
        <v>170</v>
      </c>
      <c r="N481" s="476">
        <v>56</v>
      </c>
      <c r="O481" s="477" t="s">
        <v>91</v>
      </c>
      <c r="P481" s="478" t="s">
        <v>96</v>
      </c>
      <c r="Q481" s="478" t="s">
        <v>97</v>
      </c>
      <c r="R481" s="478" t="s">
        <v>718</v>
      </c>
      <c r="S481" s="479">
        <v>75</v>
      </c>
      <c r="T481" s="478" t="s">
        <v>41</v>
      </c>
      <c r="U481" s="478" t="s">
        <v>43</v>
      </c>
      <c r="V481" s="480" t="s">
        <v>10</v>
      </c>
      <c r="W481" s="51">
        <v>0.11</v>
      </c>
      <c r="X481" s="357" t="s">
        <v>53</v>
      </c>
      <c r="Y481" s="351" t="s">
        <v>353</v>
      </c>
      <c r="Z481" s="5" t="s">
        <v>13</v>
      </c>
      <c r="AA481" s="112" t="s">
        <v>28</v>
      </c>
    </row>
    <row r="482" spans="1:29" x14ac:dyDescent="0.25">
      <c r="A482" s="329">
        <v>45927</v>
      </c>
      <c r="B482" s="5">
        <v>7</v>
      </c>
      <c r="D482" s="5" t="s">
        <v>91</v>
      </c>
      <c r="E482" s="6">
        <v>1.22</v>
      </c>
      <c r="G482" s="362">
        <v>1</v>
      </c>
      <c r="H482" s="362">
        <v>0</v>
      </c>
      <c r="I482" s="8">
        <v>1.44</v>
      </c>
      <c r="L482" s="5" t="s">
        <v>170</v>
      </c>
      <c r="N482" s="476">
        <v>58</v>
      </c>
      <c r="O482" s="477" t="s">
        <v>91</v>
      </c>
      <c r="P482" s="478" t="s">
        <v>61</v>
      </c>
      <c r="Q482" s="478" t="s">
        <v>284</v>
      </c>
      <c r="R482" s="478" t="s">
        <v>713</v>
      </c>
      <c r="S482" s="479">
        <v>77</v>
      </c>
      <c r="T482" s="478" t="s">
        <v>41</v>
      </c>
      <c r="U482" s="478" t="s">
        <v>42</v>
      </c>
      <c r="V482" s="480" t="s">
        <v>33</v>
      </c>
      <c r="W482" s="51">
        <v>0.04</v>
      </c>
      <c r="X482" s="357" t="s">
        <v>53</v>
      </c>
      <c r="Z482" s="5" t="s">
        <v>22</v>
      </c>
      <c r="AA482" s="112" t="s">
        <v>28</v>
      </c>
    </row>
    <row r="483" spans="1:29" x14ac:dyDescent="0.25">
      <c r="A483" s="329">
        <v>45927</v>
      </c>
      <c r="B483" s="5">
        <v>7</v>
      </c>
      <c r="D483" s="5" t="s">
        <v>91</v>
      </c>
      <c r="E483" s="6">
        <v>1.22</v>
      </c>
      <c r="G483" s="362">
        <v>1</v>
      </c>
      <c r="H483" s="362">
        <v>0</v>
      </c>
      <c r="I483" s="8">
        <v>1.44</v>
      </c>
      <c r="L483" s="5" t="s">
        <v>170</v>
      </c>
      <c r="N483" s="345">
        <v>60</v>
      </c>
      <c r="O483" s="38" t="s">
        <v>170</v>
      </c>
      <c r="P483" s="5" t="s">
        <v>296</v>
      </c>
      <c r="Q483" s="5" t="s">
        <v>297</v>
      </c>
      <c r="R483" s="5" t="s">
        <v>699</v>
      </c>
      <c r="S483" s="7">
        <v>60</v>
      </c>
      <c r="T483" s="5" t="s">
        <v>47</v>
      </c>
      <c r="U483" s="5" t="s">
        <v>42</v>
      </c>
      <c r="V483" s="57" t="s">
        <v>10</v>
      </c>
      <c r="W483" s="51">
        <v>0.2</v>
      </c>
      <c r="X483" s="357" t="s">
        <v>53</v>
      </c>
      <c r="Y483" s="351" t="s">
        <v>353</v>
      </c>
      <c r="Z483" s="5" t="s">
        <v>13</v>
      </c>
      <c r="AA483" s="112" t="s">
        <v>28</v>
      </c>
    </row>
    <row r="484" spans="1:29" x14ac:dyDescent="0.25">
      <c r="A484" s="329">
        <v>45927</v>
      </c>
      <c r="B484" s="5">
        <v>7</v>
      </c>
      <c r="D484" s="5" t="s">
        <v>91</v>
      </c>
      <c r="E484" s="6">
        <v>1.22</v>
      </c>
      <c r="G484" s="362">
        <v>1</v>
      </c>
      <c r="H484" s="362">
        <v>0</v>
      </c>
      <c r="I484" s="8">
        <v>1.44</v>
      </c>
      <c r="L484" s="5" t="s">
        <v>170</v>
      </c>
      <c r="N484" s="476">
        <v>77</v>
      </c>
      <c r="O484" s="477" t="s">
        <v>91</v>
      </c>
      <c r="P484" s="478" t="s">
        <v>332</v>
      </c>
      <c r="Q484" s="478" t="s">
        <v>333</v>
      </c>
      <c r="R484" s="478" t="s">
        <v>696</v>
      </c>
      <c r="S484" s="479">
        <v>72</v>
      </c>
      <c r="T484" s="478" t="s">
        <v>41</v>
      </c>
      <c r="U484" s="478" t="s">
        <v>42</v>
      </c>
      <c r="V484" s="480" t="s">
        <v>540</v>
      </c>
      <c r="W484" s="51">
        <v>0.14000000000000001</v>
      </c>
      <c r="X484" s="357">
        <v>0.67</v>
      </c>
      <c r="Z484" s="5" t="s">
        <v>8</v>
      </c>
      <c r="AA484" s="112" t="s">
        <v>19</v>
      </c>
    </row>
    <row r="485" spans="1:29" x14ac:dyDescent="0.25">
      <c r="A485" s="329">
        <v>45927</v>
      </c>
      <c r="B485" s="5">
        <v>7</v>
      </c>
      <c r="D485" s="5" t="s">
        <v>91</v>
      </c>
      <c r="E485" s="6">
        <v>1.22</v>
      </c>
      <c r="G485" s="362">
        <v>1</v>
      </c>
      <c r="H485" s="362">
        <v>0</v>
      </c>
      <c r="I485" s="8">
        <v>1.44</v>
      </c>
      <c r="L485" s="5" t="s">
        <v>170</v>
      </c>
      <c r="N485" s="345">
        <v>83</v>
      </c>
      <c r="O485" s="38" t="s">
        <v>170</v>
      </c>
      <c r="P485" s="5" t="s">
        <v>522</v>
      </c>
      <c r="Q485" s="5" t="s">
        <v>523</v>
      </c>
      <c r="R485" s="5" t="s">
        <v>696</v>
      </c>
      <c r="S485" s="479">
        <v>63</v>
      </c>
      <c r="T485" s="5" t="s">
        <v>354</v>
      </c>
      <c r="U485" s="5" t="s">
        <v>42</v>
      </c>
      <c r="V485" s="57" t="s">
        <v>540</v>
      </c>
      <c r="W485" s="51">
        <v>0.02</v>
      </c>
      <c r="X485" s="357" t="s">
        <v>53</v>
      </c>
      <c r="Z485" s="5" t="s">
        <v>17</v>
      </c>
      <c r="AA485" s="112" t="s">
        <v>19</v>
      </c>
    </row>
    <row r="486" spans="1:29" ht="15.75" thickBot="1" x14ac:dyDescent="0.3">
      <c r="A486" s="330">
        <v>45927</v>
      </c>
      <c r="B486" s="9">
        <v>7</v>
      </c>
      <c r="C486" s="122"/>
      <c r="D486" s="9" t="s">
        <v>91</v>
      </c>
      <c r="E486" s="10">
        <v>1.22</v>
      </c>
      <c r="F486" s="10"/>
      <c r="G486" s="383">
        <v>1</v>
      </c>
      <c r="H486" s="383">
        <v>0</v>
      </c>
      <c r="I486" s="12">
        <v>1.44</v>
      </c>
      <c r="J486" s="12"/>
      <c r="K486" s="122"/>
      <c r="L486" s="9" t="s">
        <v>170</v>
      </c>
      <c r="M486" s="45"/>
      <c r="N486" s="511">
        <v>88</v>
      </c>
      <c r="O486" s="512" t="s">
        <v>91</v>
      </c>
      <c r="P486" s="513" t="s">
        <v>96</v>
      </c>
      <c r="Q486" s="513" t="s">
        <v>97</v>
      </c>
      <c r="R486" s="513" t="s">
        <v>718</v>
      </c>
      <c r="S486" s="479">
        <v>75</v>
      </c>
      <c r="T486" s="513" t="s">
        <v>41</v>
      </c>
      <c r="U486" s="513" t="s">
        <v>43</v>
      </c>
      <c r="V486" s="514" t="s">
        <v>18</v>
      </c>
      <c r="W486" s="52">
        <v>0.14000000000000001</v>
      </c>
      <c r="X486" s="358" t="s">
        <v>53</v>
      </c>
      <c r="Y486" s="352"/>
      <c r="Z486" s="9" t="s">
        <v>52</v>
      </c>
      <c r="AA486" s="113" t="s">
        <v>19</v>
      </c>
      <c r="AB486" s="109"/>
      <c r="AC486" s="58"/>
    </row>
    <row r="487" spans="1:29" ht="15.75" thickBot="1" x14ac:dyDescent="0.3">
      <c r="A487" s="326">
        <v>45927</v>
      </c>
      <c r="B487" s="207">
        <v>7</v>
      </c>
      <c r="C487" s="208"/>
      <c r="D487" s="207" t="s">
        <v>91</v>
      </c>
      <c r="E487" s="209">
        <v>1.22</v>
      </c>
      <c r="F487" s="209"/>
      <c r="G487" s="460">
        <v>1</v>
      </c>
      <c r="H487" s="460">
        <v>0</v>
      </c>
      <c r="I487" s="211">
        <v>1.44</v>
      </c>
      <c r="J487" s="211"/>
      <c r="K487" s="208"/>
      <c r="L487" s="207" t="s">
        <v>170</v>
      </c>
      <c r="M487" s="235"/>
      <c r="N487" s="347"/>
      <c r="O487" s="343" t="s">
        <v>91</v>
      </c>
      <c r="P487" s="199" t="s">
        <v>351</v>
      </c>
      <c r="Q487" s="199" t="s">
        <v>54</v>
      </c>
      <c r="R487" s="199" t="s">
        <v>707</v>
      </c>
      <c r="S487" s="479">
        <v>78</v>
      </c>
      <c r="T487" s="199"/>
      <c r="U487" s="199"/>
      <c r="V487" s="201"/>
      <c r="W487" s="202"/>
      <c r="X487" s="359"/>
      <c r="Y487" s="353">
        <v>0</v>
      </c>
      <c r="Z487" s="199"/>
      <c r="AA487" s="204"/>
      <c r="AB487" s="205"/>
      <c r="AC487" s="201"/>
    </row>
    <row r="488" spans="1:29" ht="15.75" thickBot="1" x14ac:dyDescent="0.3">
      <c r="A488" s="326">
        <v>45927</v>
      </c>
      <c r="B488" s="207">
        <v>7</v>
      </c>
      <c r="C488" s="208"/>
      <c r="D488" s="207" t="s">
        <v>91</v>
      </c>
      <c r="E488" s="209">
        <v>1.22</v>
      </c>
      <c r="F488" s="209"/>
      <c r="G488" s="460">
        <v>1</v>
      </c>
      <c r="H488" s="460">
        <v>0</v>
      </c>
      <c r="I488" s="211">
        <v>1.44</v>
      </c>
      <c r="J488" s="211"/>
      <c r="K488" s="208"/>
      <c r="L488" s="207" t="s">
        <v>170</v>
      </c>
      <c r="M488" s="235"/>
      <c r="N488" s="347"/>
      <c r="O488" s="343" t="s">
        <v>170</v>
      </c>
      <c r="P488" s="199" t="s">
        <v>269</v>
      </c>
      <c r="Q488" s="199" t="s">
        <v>722</v>
      </c>
      <c r="R488" s="199" t="s">
        <v>707</v>
      </c>
      <c r="S488" s="479">
        <v>69</v>
      </c>
      <c r="T488" s="199"/>
      <c r="U488" s="199"/>
      <c r="V488" s="201"/>
      <c r="W488" s="202"/>
      <c r="X488" s="359"/>
      <c r="Y488" s="353">
        <v>1</v>
      </c>
      <c r="Z488" s="199"/>
      <c r="AA488" s="204"/>
      <c r="AB488" s="205"/>
      <c r="AC488" s="201"/>
    </row>
    <row r="489" spans="1:29" x14ac:dyDescent="0.25">
      <c r="A489" s="329">
        <v>45949</v>
      </c>
      <c r="B489" s="5">
        <v>9</v>
      </c>
      <c r="C489" s="121" t="s">
        <v>692</v>
      </c>
      <c r="D489" s="5" t="s">
        <v>208</v>
      </c>
      <c r="E489" s="6">
        <v>1.08</v>
      </c>
      <c r="G489" s="362">
        <v>0</v>
      </c>
      <c r="H489" s="362">
        <v>0</v>
      </c>
      <c r="I489" s="8">
        <v>0.25</v>
      </c>
      <c r="K489" s="121" t="s">
        <v>693</v>
      </c>
      <c r="L489" s="5" t="s">
        <v>170</v>
      </c>
      <c r="N489" s="476">
        <v>19</v>
      </c>
      <c r="O489" s="477" t="s">
        <v>208</v>
      </c>
      <c r="P489" s="478" t="s">
        <v>61</v>
      </c>
      <c r="Q489" s="478" t="s">
        <v>261</v>
      </c>
      <c r="R489" s="478" t="s">
        <v>686</v>
      </c>
      <c r="S489" s="479">
        <v>70</v>
      </c>
      <c r="T489" s="478" t="s">
        <v>47</v>
      </c>
      <c r="U489" s="478" t="s">
        <v>42</v>
      </c>
      <c r="V489" s="480" t="s">
        <v>10</v>
      </c>
      <c r="W489" s="51">
        <v>0.12</v>
      </c>
      <c r="X489" s="357">
        <v>0.28999999999999998</v>
      </c>
      <c r="Z489" s="5" t="s">
        <v>48</v>
      </c>
      <c r="AA489" s="112" t="s">
        <v>28</v>
      </c>
    </row>
    <row r="490" spans="1:29" x14ac:dyDescent="0.25">
      <c r="A490" s="329">
        <v>45949</v>
      </c>
      <c r="B490" s="5">
        <v>9</v>
      </c>
      <c r="D490" s="5" t="s">
        <v>208</v>
      </c>
      <c r="E490" s="6">
        <v>1.08</v>
      </c>
      <c r="G490" s="362">
        <v>0</v>
      </c>
      <c r="H490" s="362">
        <v>0</v>
      </c>
      <c r="I490" s="8">
        <v>0.25</v>
      </c>
      <c r="L490" s="5" t="s">
        <v>170</v>
      </c>
      <c r="N490" s="476">
        <v>21</v>
      </c>
      <c r="O490" s="477" t="s">
        <v>208</v>
      </c>
      <c r="P490" s="478" t="s">
        <v>61</v>
      </c>
      <c r="Q490" s="478" t="s">
        <v>261</v>
      </c>
      <c r="R490" s="478" t="s">
        <v>686</v>
      </c>
      <c r="S490" s="479">
        <v>70</v>
      </c>
      <c r="T490" s="478" t="s">
        <v>41</v>
      </c>
      <c r="U490" s="478" t="s">
        <v>42</v>
      </c>
      <c r="V490" s="480" t="s">
        <v>540</v>
      </c>
      <c r="W490" s="51">
        <v>7.0000000000000007E-2</v>
      </c>
      <c r="X490" s="357">
        <v>0.12</v>
      </c>
      <c r="Z490" s="5" t="s">
        <v>48</v>
      </c>
      <c r="AA490" s="112" t="s">
        <v>28</v>
      </c>
    </row>
    <row r="491" spans="1:29" x14ac:dyDescent="0.25">
      <c r="A491" s="329">
        <v>45949</v>
      </c>
      <c r="B491" s="5">
        <v>9</v>
      </c>
      <c r="D491" s="5" t="s">
        <v>208</v>
      </c>
      <c r="E491" s="6">
        <v>1.08</v>
      </c>
      <c r="G491" s="362">
        <v>0</v>
      </c>
      <c r="H491" s="362">
        <v>0</v>
      </c>
      <c r="I491" s="8">
        <v>0.25</v>
      </c>
      <c r="L491" s="5" t="s">
        <v>170</v>
      </c>
      <c r="N491" s="345">
        <v>59</v>
      </c>
      <c r="O491" s="38" t="s">
        <v>170</v>
      </c>
      <c r="P491" s="5" t="s">
        <v>159</v>
      </c>
      <c r="Q491" s="5" t="s">
        <v>381</v>
      </c>
      <c r="R491" s="5" t="s">
        <v>687</v>
      </c>
      <c r="S491" s="7">
        <v>65</v>
      </c>
      <c r="T491" s="5" t="s">
        <v>41</v>
      </c>
      <c r="U491" s="5" t="s">
        <v>42</v>
      </c>
      <c r="V491" s="57" t="s">
        <v>10</v>
      </c>
      <c r="W491" s="51">
        <v>0.13</v>
      </c>
      <c r="X491" s="357" t="s">
        <v>53</v>
      </c>
      <c r="Z491" s="5" t="s">
        <v>52</v>
      </c>
      <c r="AA491" s="112" t="s">
        <v>28</v>
      </c>
    </row>
    <row r="492" spans="1:29" x14ac:dyDescent="0.25">
      <c r="A492" s="329">
        <v>45949</v>
      </c>
      <c r="B492" s="5">
        <v>9</v>
      </c>
      <c r="D492" s="5" t="s">
        <v>208</v>
      </c>
      <c r="E492" s="6">
        <v>1.08</v>
      </c>
      <c r="G492" s="362">
        <v>0</v>
      </c>
      <c r="H492" s="362">
        <v>0</v>
      </c>
      <c r="I492" s="8">
        <v>0.25</v>
      </c>
      <c r="L492" s="5" t="s">
        <v>170</v>
      </c>
      <c r="N492" s="476">
        <v>67</v>
      </c>
      <c r="O492" s="477" t="s">
        <v>208</v>
      </c>
      <c r="P492" s="478" t="s">
        <v>362</v>
      </c>
      <c r="Q492" s="478" t="s">
        <v>363</v>
      </c>
      <c r="R492" s="478" t="s">
        <v>684</v>
      </c>
      <c r="S492" s="479">
        <v>68</v>
      </c>
      <c r="T492" s="478" t="s">
        <v>47</v>
      </c>
      <c r="U492" s="478" t="s">
        <v>42</v>
      </c>
      <c r="V492" s="480" t="s">
        <v>540</v>
      </c>
      <c r="W492" s="51">
        <v>0.41</v>
      </c>
      <c r="X492" s="357">
        <v>0.26</v>
      </c>
      <c r="Z492" s="5" t="s">
        <v>48</v>
      </c>
      <c r="AA492" s="112" t="s">
        <v>28</v>
      </c>
    </row>
    <row r="493" spans="1:29" ht="15.75" thickBot="1" x14ac:dyDescent="0.3">
      <c r="A493" s="338">
        <v>45949</v>
      </c>
      <c r="B493" s="230">
        <v>9</v>
      </c>
      <c r="C493" s="231"/>
      <c r="D493" s="230" t="s">
        <v>208</v>
      </c>
      <c r="E493" s="232">
        <v>1.08</v>
      </c>
      <c r="F493" s="232"/>
      <c r="G493" s="363">
        <v>0</v>
      </c>
      <c r="H493" s="363">
        <v>0</v>
      </c>
      <c r="I493" s="234">
        <v>0.25</v>
      </c>
      <c r="J493" s="234"/>
      <c r="K493" s="231"/>
      <c r="L493" s="230" t="s">
        <v>170</v>
      </c>
      <c r="M493" s="235"/>
      <c r="N493" s="347"/>
      <c r="O493" s="343" t="s">
        <v>208</v>
      </c>
      <c r="P493" s="199" t="s">
        <v>295</v>
      </c>
      <c r="Q493" s="199" t="s">
        <v>735</v>
      </c>
      <c r="R493" s="199" t="s">
        <v>707</v>
      </c>
      <c r="S493" s="7">
        <v>67</v>
      </c>
      <c r="T493" s="199"/>
      <c r="U493" s="199"/>
      <c r="V493" s="201"/>
      <c r="W493" s="202"/>
      <c r="X493" s="359"/>
      <c r="Y493" s="353">
        <v>0</v>
      </c>
      <c r="Z493" s="199"/>
      <c r="AA493" s="204"/>
      <c r="AB493" s="205"/>
      <c r="AC493" s="201"/>
    </row>
    <row r="494" spans="1:29" ht="15.75" thickBot="1" x14ac:dyDescent="0.3">
      <c r="A494" s="338">
        <v>45949</v>
      </c>
      <c r="B494" s="230">
        <v>9</v>
      </c>
      <c r="C494" s="231"/>
      <c r="D494" s="230" t="s">
        <v>208</v>
      </c>
      <c r="E494" s="232">
        <v>1.08</v>
      </c>
      <c r="F494" s="232"/>
      <c r="G494" s="363">
        <v>0</v>
      </c>
      <c r="H494" s="363">
        <v>0</v>
      </c>
      <c r="I494" s="234">
        <v>0.25</v>
      </c>
      <c r="J494" s="234"/>
      <c r="K494" s="231"/>
      <c r="L494" s="230" t="s">
        <v>170</v>
      </c>
      <c r="M494" s="235"/>
      <c r="N494" s="347"/>
      <c r="O494" s="343" t="s">
        <v>170</v>
      </c>
      <c r="P494" s="199" t="s">
        <v>269</v>
      </c>
      <c r="Q494" s="199" t="s">
        <v>722</v>
      </c>
      <c r="R494" s="199" t="s">
        <v>707</v>
      </c>
      <c r="S494" s="7">
        <v>81</v>
      </c>
      <c r="T494" s="199"/>
      <c r="U494" s="199"/>
      <c r="V494" s="201"/>
      <c r="W494" s="202"/>
      <c r="X494" s="359"/>
      <c r="Y494" s="353">
        <v>0</v>
      </c>
      <c r="Z494" s="199"/>
      <c r="AA494" s="204"/>
      <c r="AB494" s="205"/>
      <c r="AC494" s="201"/>
    </row>
    <row r="495" spans="1:29" ht="15.75" thickBot="1" x14ac:dyDescent="0.3">
      <c r="A495" s="602" t="s">
        <v>37</v>
      </c>
      <c r="B495" s="603" t="s">
        <v>38</v>
      </c>
      <c r="C495" s="604" t="s">
        <v>682</v>
      </c>
      <c r="D495" s="27" t="s">
        <v>635</v>
      </c>
      <c r="E495" s="81" t="s">
        <v>589</v>
      </c>
      <c r="F495" s="81"/>
      <c r="G495" s="605" t="s">
        <v>636</v>
      </c>
      <c r="H495" s="605" t="s">
        <v>637</v>
      </c>
      <c r="I495" s="606" t="s">
        <v>590</v>
      </c>
      <c r="J495" s="606"/>
      <c r="K495" s="607" t="s">
        <v>683</v>
      </c>
      <c r="L495" s="27" t="s">
        <v>638</v>
      </c>
      <c r="M495" s="27" t="s">
        <v>586</v>
      </c>
      <c r="N495" s="608" t="s">
        <v>0</v>
      </c>
      <c r="O495" s="609" t="s">
        <v>1</v>
      </c>
      <c r="P495" s="40" t="s">
        <v>2</v>
      </c>
      <c r="Q495" s="40" t="s">
        <v>645</v>
      </c>
      <c r="R495" s="40" t="s">
        <v>681</v>
      </c>
      <c r="S495" s="610" t="s">
        <v>711</v>
      </c>
      <c r="T495" s="40" t="s">
        <v>39</v>
      </c>
      <c r="U495" s="40" t="s">
        <v>40</v>
      </c>
      <c r="V495" s="611" t="s">
        <v>3</v>
      </c>
      <c r="W495" s="612" t="s">
        <v>4</v>
      </c>
      <c r="X495" s="483" t="s">
        <v>64</v>
      </c>
      <c r="Y495" s="613" t="s">
        <v>353</v>
      </c>
      <c r="Z495" s="40" t="s">
        <v>5</v>
      </c>
      <c r="AA495" s="614" t="s">
        <v>6</v>
      </c>
      <c r="AB495" s="615" t="s">
        <v>646</v>
      </c>
      <c r="AC495" s="616" t="s">
        <v>647</v>
      </c>
    </row>
    <row r="496" spans="1:29" x14ac:dyDescent="0.25">
      <c r="A496" s="328">
        <v>45888</v>
      </c>
      <c r="B496" s="17">
        <v>1</v>
      </c>
      <c r="C496" s="123" t="s">
        <v>692</v>
      </c>
      <c r="D496" s="17" t="s">
        <v>226</v>
      </c>
      <c r="E496" s="18">
        <v>1.64</v>
      </c>
      <c r="F496" s="18"/>
      <c r="G496" s="461">
        <v>1</v>
      </c>
      <c r="H496" s="461">
        <v>0</v>
      </c>
      <c r="I496" s="20">
        <v>0.36</v>
      </c>
      <c r="J496" s="20"/>
      <c r="K496" s="123" t="s">
        <v>702</v>
      </c>
      <c r="L496" s="17" t="s">
        <v>227</v>
      </c>
      <c r="M496" s="242" t="s">
        <v>536</v>
      </c>
      <c r="N496" s="507">
        <v>7</v>
      </c>
      <c r="O496" s="508" t="s">
        <v>226</v>
      </c>
      <c r="P496" s="509" t="s">
        <v>74</v>
      </c>
      <c r="Q496" s="509" t="s">
        <v>228</v>
      </c>
      <c r="R496" s="509" t="s">
        <v>688</v>
      </c>
      <c r="S496" s="479">
        <v>68</v>
      </c>
      <c r="T496" s="509" t="s">
        <v>354</v>
      </c>
      <c r="U496" s="509" t="s">
        <v>43</v>
      </c>
      <c r="V496" s="510" t="s">
        <v>10</v>
      </c>
      <c r="W496" s="53">
        <v>0.04</v>
      </c>
      <c r="X496" s="360" t="s">
        <v>53</v>
      </c>
      <c r="Y496" s="354"/>
      <c r="Z496" s="17" t="s">
        <v>22</v>
      </c>
      <c r="AA496" s="114" t="s">
        <v>28</v>
      </c>
      <c r="AB496" s="110"/>
      <c r="AC496" s="60"/>
    </row>
    <row r="497" spans="1:29" x14ac:dyDescent="0.25">
      <c r="A497" s="329">
        <v>45888</v>
      </c>
      <c r="B497" s="5">
        <v>1</v>
      </c>
      <c r="D497" s="5" t="s">
        <v>226</v>
      </c>
      <c r="E497" s="6">
        <v>1.64</v>
      </c>
      <c r="G497" s="362">
        <v>1</v>
      </c>
      <c r="H497" s="362">
        <v>0</v>
      </c>
      <c r="I497" s="8">
        <v>0.36</v>
      </c>
      <c r="L497" s="5" t="s">
        <v>227</v>
      </c>
      <c r="M497" s="242" t="s">
        <v>536</v>
      </c>
      <c r="N497" s="476">
        <v>18</v>
      </c>
      <c r="O497" s="477" t="s">
        <v>226</v>
      </c>
      <c r="P497" s="478" t="s">
        <v>229</v>
      </c>
      <c r="Q497" s="478" t="s">
        <v>230</v>
      </c>
      <c r="R497" s="478" t="s">
        <v>712</v>
      </c>
      <c r="S497" s="479">
        <v>78</v>
      </c>
      <c r="T497" s="478" t="s">
        <v>354</v>
      </c>
      <c r="U497" s="478" t="s">
        <v>42</v>
      </c>
      <c r="V497" s="480" t="s">
        <v>10</v>
      </c>
      <c r="W497" s="51">
        <v>0.02</v>
      </c>
      <c r="X497" s="357">
        <v>0.16</v>
      </c>
      <c r="Z497" s="5" t="s">
        <v>48</v>
      </c>
      <c r="AA497" s="112" t="s">
        <v>28</v>
      </c>
    </row>
    <row r="498" spans="1:29" x14ac:dyDescent="0.25">
      <c r="A498" s="329">
        <v>45888</v>
      </c>
      <c r="B498" s="5">
        <v>1</v>
      </c>
      <c r="D498" s="5" t="s">
        <v>226</v>
      </c>
      <c r="E498" s="6">
        <v>1.64</v>
      </c>
      <c r="G498" s="362">
        <v>1</v>
      </c>
      <c r="H498" s="362">
        <v>0</v>
      </c>
      <c r="I498" s="8">
        <v>0.36</v>
      </c>
      <c r="L498" s="5" t="s">
        <v>227</v>
      </c>
      <c r="M498" s="242" t="s">
        <v>536</v>
      </c>
      <c r="N498" s="476">
        <v>25</v>
      </c>
      <c r="O498" s="477" t="s">
        <v>226</v>
      </c>
      <c r="P498" s="478" t="s">
        <v>231</v>
      </c>
      <c r="Q498" s="478" t="s">
        <v>232</v>
      </c>
      <c r="R498" s="478" t="s">
        <v>684</v>
      </c>
      <c r="S498" s="479">
        <v>90</v>
      </c>
      <c r="T498" s="478" t="s">
        <v>41</v>
      </c>
      <c r="U498" s="478" t="s">
        <v>43</v>
      </c>
      <c r="V498" s="480" t="s">
        <v>10</v>
      </c>
      <c r="W498" s="51">
        <v>0.13</v>
      </c>
      <c r="X498" s="357">
        <v>0.11</v>
      </c>
      <c r="Z498" s="5" t="s">
        <v>48</v>
      </c>
      <c r="AA498" s="112" t="s">
        <v>28</v>
      </c>
    </row>
    <row r="499" spans="1:29" x14ac:dyDescent="0.25">
      <c r="A499" s="329">
        <v>45888</v>
      </c>
      <c r="B499" s="5">
        <v>1</v>
      </c>
      <c r="D499" s="5" t="s">
        <v>226</v>
      </c>
      <c r="E499" s="6">
        <v>1.64</v>
      </c>
      <c r="G499" s="362">
        <v>1</v>
      </c>
      <c r="H499" s="362">
        <v>0</v>
      </c>
      <c r="I499" s="8">
        <v>0.36</v>
      </c>
      <c r="L499" s="5" t="s">
        <v>227</v>
      </c>
      <c r="M499" s="242" t="s">
        <v>536</v>
      </c>
      <c r="N499" s="476">
        <v>34</v>
      </c>
      <c r="O499" s="477" t="s">
        <v>226</v>
      </c>
      <c r="P499" s="478" t="s">
        <v>231</v>
      </c>
      <c r="Q499" s="478" t="s">
        <v>232</v>
      </c>
      <c r="R499" s="478" t="s">
        <v>684</v>
      </c>
      <c r="S499" s="479">
        <v>90</v>
      </c>
      <c r="T499" s="478" t="s">
        <v>41</v>
      </c>
      <c r="U499" s="478" t="s">
        <v>42</v>
      </c>
      <c r="V499" s="480" t="s">
        <v>540</v>
      </c>
      <c r="W499" s="51">
        <v>0.03</v>
      </c>
      <c r="X499" s="357" t="s">
        <v>53</v>
      </c>
      <c r="Z499" s="5" t="s">
        <v>22</v>
      </c>
      <c r="AA499" s="112" t="s">
        <v>28</v>
      </c>
    </row>
    <row r="500" spans="1:29" x14ac:dyDescent="0.25">
      <c r="A500" s="329">
        <v>45888</v>
      </c>
      <c r="B500" s="5">
        <v>1</v>
      </c>
      <c r="D500" s="5" t="s">
        <v>226</v>
      </c>
      <c r="E500" s="6">
        <v>1.64</v>
      </c>
      <c r="G500" s="362">
        <v>1</v>
      </c>
      <c r="H500" s="362">
        <v>0</v>
      </c>
      <c r="I500" s="8">
        <v>0.36</v>
      </c>
      <c r="L500" s="5" t="s">
        <v>227</v>
      </c>
      <c r="M500" s="242" t="s">
        <v>536</v>
      </c>
      <c r="N500" s="476">
        <v>51</v>
      </c>
      <c r="O500" s="477" t="s">
        <v>226</v>
      </c>
      <c r="P500" s="478" t="s">
        <v>231</v>
      </c>
      <c r="Q500" s="478" t="s">
        <v>232</v>
      </c>
      <c r="R500" s="478" t="s">
        <v>684</v>
      </c>
      <c r="S500" s="479">
        <v>90</v>
      </c>
      <c r="T500" s="478" t="s">
        <v>41</v>
      </c>
      <c r="U500" s="478" t="s">
        <v>42</v>
      </c>
      <c r="V500" s="480" t="s">
        <v>7</v>
      </c>
      <c r="W500" s="51">
        <v>0.79</v>
      </c>
      <c r="X500" s="357">
        <v>0.84</v>
      </c>
      <c r="Y500" s="351" t="s">
        <v>353</v>
      </c>
      <c r="Z500" s="5" t="s">
        <v>8</v>
      </c>
      <c r="AA500" s="112" t="s">
        <v>19</v>
      </c>
    </row>
    <row r="501" spans="1:29" x14ac:dyDescent="0.25">
      <c r="A501" s="329">
        <v>45888</v>
      </c>
      <c r="B501" s="5">
        <v>1</v>
      </c>
      <c r="D501" s="5" t="s">
        <v>226</v>
      </c>
      <c r="E501" s="6">
        <v>1.64</v>
      </c>
      <c r="G501" s="362">
        <v>1</v>
      </c>
      <c r="H501" s="362">
        <v>0</v>
      </c>
      <c r="I501" s="8">
        <v>0.36</v>
      </c>
      <c r="L501" s="5" t="s">
        <v>227</v>
      </c>
      <c r="M501" s="242" t="s">
        <v>536</v>
      </c>
      <c r="N501" s="476">
        <v>57</v>
      </c>
      <c r="O501" s="477" t="s">
        <v>226</v>
      </c>
      <c r="P501" s="478" t="s">
        <v>233</v>
      </c>
      <c r="Q501" s="478" t="s">
        <v>234</v>
      </c>
      <c r="R501" s="478" t="s">
        <v>695</v>
      </c>
      <c r="S501" s="481">
        <v>68</v>
      </c>
      <c r="T501" s="478" t="s">
        <v>41</v>
      </c>
      <c r="U501" s="478" t="s">
        <v>42</v>
      </c>
      <c r="V501" s="480" t="s">
        <v>10</v>
      </c>
      <c r="W501" s="51">
        <v>0.14000000000000001</v>
      </c>
      <c r="X501" s="357" t="s">
        <v>53</v>
      </c>
      <c r="Z501" s="5" t="s">
        <v>13</v>
      </c>
      <c r="AA501" s="112" t="s">
        <v>19</v>
      </c>
    </row>
    <row r="502" spans="1:29" x14ac:dyDescent="0.25">
      <c r="A502" s="329">
        <v>45888</v>
      </c>
      <c r="B502" s="5">
        <v>1</v>
      </c>
      <c r="D502" s="5" t="s">
        <v>226</v>
      </c>
      <c r="E502" s="6">
        <v>1.64</v>
      </c>
      <c r="G502" s="362">
        <v>1</v>
      </c>
      <c r="H502" s="362">
        <v>0</v>
      </c>
      <c r="I502" s="8">
        <v>0.36</v>
      </c>
      <c r="L502" s="5" t="s">
        <v>227</v>
      </c>
      <c r="M502" s="242" t="s">
        <v>536</v>
      </c>
      <c r="N502" s="476">
        <v>63</v>
      </c>
      <c r="O502" s="477" t="s">
        <v>226</v>
      </c>
      <c r="P502" s="478" t="s">
        <v>56</v>
      </c>
      <c r="Q502" s="478" t="s">
        <v>235</v>
      </c>
      <c r="R502" s="478" t="s">
        <v>691</v>
      </c>
      <c r="S502" s="481">
        <v>74</v>
      </c>
      <c r="T502" s="478" t="s">
        <v>354</v>
      </c>
      <c r="U502" s="478" t="s">
        <v>43</v>
      </c>
      <c r="V502" s="480" t="s">
        <v>10</v>
      </c>
      <c r="W502" s="51">
        <v>0.03</v>
      </c>
      <c r="X502" s="357" t="s">
        <v>53</v>
      </c>
      <c r="Z502" s="5" t="s">
        <v>55</v>
      </c>
      <c r="AA502" s="112" t="s">
        <v>19</v>
      </c>
    </row>
    <row r="503" spans="1:29" x14ac:dyDescent="0.25">
      <c r="A503" s="329">
        <v>45888</v>
      </c>
      <c r="B503" s="5">
        <v>1</v>
      </c>
      <c r="D503" s="5" t="s">
        <v>226</v>
      </c>
      <c r="E503" s="6">
        <v>1.64</v>
      </c>
      <c r="G503" s="362">
        <v>1</v>
      </c>
      <c r="H503" s="362">
        <v>0</v>
      </c>
      <c r="I503" s="8">
        <v>0.36</v>
      </c>
      <c r="L503" s="5" t="s">
        <v>227</v>
      </c>
      <c r="M503" s="242" t="s">
        <v>536</v>
      </c>
      <c r="N503" s="476">
        <v>74</v>
      </c>
      <c r="O503" s="477" t="s">
        <v>226</v>
      </c>
      <c r="P503" s="478" t="s">
        <v>233</v>
      </c>
      <c r="Q503" s="478" t="s">
        <v>234</v>
      </c>
      <c r="R503" s="478" t="s">
        <v>695</v>
      </c>
      <c r="S503" s="479">
        <v>68</v>
      </c>
      <c r="T503" s="478" t="s">
        <v>41</v>
      </c>
      <c r="U503" s="478" t="s">
        <v>45</v>
      </c>
      <c r="V503" s="480" t="s">
        <v>20</v>
      </c>
      <c r="W503" s="51">
        <v>0.1</v>
      </c>
      <c r="X503" s="357" t="s">
        <v>53</v>
      </c>
      <c r="Z503" s="5" t="s">
        <v>16</v>
      </c>
      <c r="AA503" s="112" t="s">
        <v>19</v>
      </c>
    </row>
    <row r="504" spans="1:29" x14ac:dyDescent="0.25">
      <c r="A504" s="329">
        <v>45888</v>
      </c>
      <c r="B504" s="5">
        <v>1</v>
      </c>
      <c r="D504" s="5" t="s">
        <v>226</v>
      </c>
      <c r="E504" s="6">
        <v>1.64</v>
      </c>
      <c r="G504" s="362">
        <v>1</v>
      </c>
      <c r="H504" s="362">
        <v>0</v>
      </c>
      <c r="I504" s="8">
        <v>0.36</v>
      </c>
      <c r="L504" s="5" t="s">
        <v>227</v>
      </c>
      <c r="M504" s="242" t="s">
        <v>536</v>
      </c>
      <c r="N504" s="345">
        <v>85</v>
      </c>
      <c r="O504" s="38" t="s">
        <v>227</v>
      </c>
      <c r="P504" s="5" t="s">
        <v>238</v>
      </c>
      <c r="Q504" s="5" t="s">
        <v>239</v>
      </c>
      <c r="R504" s="5" t="s">
        <v>684</v>
      </c>
      <c r="S504" s="7">
        <v>63</v>
      </c>
      <c r="T504" s="5" t="s">
        <v>47</v>
      </c>
      <c r="U504" s="5" t="s">
        <v>45</v>
      </c>
      <c r="V504" s="57" t="s">
        <v>33</v>
      </c>
      <c r="W504" s="51">
        <v>0.3</v>
      </c>
      <c r="X504" s="357" t="s">
        <v>53</v>
      </c>
      <c r="Z504" s="5" t="s">
        <v>13</v>
      </c>
      <c r="AA504" s="112" t="s">
        <v>19</v>
      </c>
    </row>
    <row r="505" spans="1:29" ht="15.75" thickBot="1" x14ac:dyDescent="0.3">
      <c r="A505" s="330">
        <v>45888</v>
      </c>
      <c r="B505" s="9">
        <v>1</v>
      </c>
      <c r="C505" s="122"/>
      <c r="D505" s="9" t="s">
        <v>226</v>
      </c>
      <c r="E505" s="10">
        <v>1.64</v>
      </c>
      <c r="F505" s="10"/>
      <c r="G505" s="383">
        <v>1</v>
      </c>
      <c r="H505" s="383">
        <v>0</v>
      </c>
      <c r="I505" s="12">
        <v>0.36</v>
      </c>
      <c r="J505" s="12"/>
      <c r="K505" s="122"/>
      <c r="L505" s="9" t="s">
        <v>227</v>
      </c>
      <c r="M505" s="242" t="s">
        <v>536</v>
      </c>
      <c r="N505" s="511">
        <v>89</v>
      </c>
      <c r="O505" s="512" t="s">
        <v>226</v>
      </c>
      <c r="P505" s="513" t="s">
        <v>236</v>
      </c>
      <c r="Q505" s="513" t="s">
        <v>237</v>
      </c>
      <c r="R505" s="513" t="s">
        <v>696</v>
      </c>
      <c r="S505" s="479">
        <v>67</v>
      </c>
      <c r="T505" s="513" t="s">
        <v>41</v>
      </c>
      <c r="U505" s="513" t="s">
        <v>43</v>
      </c>
      <c r="V505" s="514" t="s">
        <v>10</v>
      </c>
      <c r="W505" s="52">
        <v>0.09</v>
      </c>
      <c r="X505" s="358">
        <v>0.16</v>
      </c>
      <c r="Y505" s="352"/>
      <c r="Z505" s="9" t="s">
        <v>48</v>
      </c>
      <c r="AA505" s="113" t="s">
        <v>19</v>
      </c>
      <c r="AB505" s="109"/>
      <c r="AC505" s="58"/>
    </row>
    <row r="506" spans="1:29" ht="15.75" thickBot="1" x14ac:dyDescent="0.3">
      <c r="A506" s="326">
        <v>45888</v>
      </c>
      <c r="B506" s="207">
        <v>1</v>
      </c>
      <c r="C506" s="208"/>
      <c r="D506" s="207" t="s">
        <v>226</v>
      </c>
      <c r="E506" s="209">
        <v>1.64</v>
      </c>
      <c r="F506" s="209"/>
      <c r="G506" s="460">
        <v>1</v>
      </c>
      <c r="H506" s="460">
        <v>0</v>
      </c>
      <c r="I506" s="211">
        <v>0.36</v>
      </c>
      <c r="J506" s="211"/>
      <c r="K506" s="208"/>
      <c r="L506" s="207" t="s">
        <v>227</v>
      </c>
      <c r="M506" s="197"/>
      <c r="N506" s="347"/>
      <c r="O506" s="343" t="s">
        <v>226</v>
      </c>
      <c r="P506" s="199" t="s">
        <v>726</v>
      </c>
      <c r="Q506" s="199" t="s">
        <v>727</v>
      </c>
      <c r="R506" s="199" t="s">
        <v>707</v>
      </c>
      <c r="S506" s="7">
        <v>66</v>
      </c>
      <c r="T506" s="199"/>
      <c r="U506" s="199"/>
      <c r="V506" s="201"/>
      <c r="W506" s="202"/>
      <c r="X506" s="359"/>
      <c r="Y506" s="353">
        <v>0</v>
      </c>
      <c r="Z506" s="199"/>
      <c r="AA506" s="204"/>
      <c r="AB506" s="205"/>
      <c r="AC506" s="201"/>
    </row>
    <row r="507" spans="1:29" ht="15.75" thickBot="1" x14ac:dyDescent="0.3">
      <c r="A507" s="326">
        <v>45888</v>
      </c>
      <c r="B507" s="207">
        <v>1</v>
      </c>
      <c r="C507" s="208"/>
      <c r="D507" s="207" t="s">
        <v>226</v>
      </c>
      <c r="E507" s="209">
        <v>1.64</v>
      </c>
      <c r="F507" s="209"/>
      <c r="G507" s="460">
        <v>1</v>
      </c>
      <c r="H507" s="460">
        <v>0</v>
      </c>
      <c r="I507" s="211">
        <v>0.36</v>
      </c>
      <c r="J507" s="211"/>
      <c r="K507" s="208"/>
      <c r="L507" s="207" t="s">
        <v>227</v>
      </c>
      <c r="M507" s="197"/>
      <c r="N507" s="347"/>
      <c r="O507" s="343" t="s">
        <v>227</v>
      </c>
      <c r="P507" s="199" t="s">
        <v>298</v>
      </c>
      <c r="Q507" s="199" t="s">
        <v>86</v>
      </c>
      <c r="R507" s="199" t="s">
        <v>707</v>
      </c>
      <c r="S507" s="7">
        <v>67</v>
      </c>
      <c r="T507" s="199"/>
      <c r="U507" s="199"/>
      <c r="V507" s="201"/>
      <c r="W507" s="202"/>
      <c r="X507" s="359"/>
      <c r="Y507" s="353">
        <v>1</v>
      </c>
      <c r="Z507" s="199"/>
      <c r="AA507" s="204"/>
      <c r="AB507" s="205"/>
      <c r="AC507" s="201"/>
    </row>
    <row r="508" spans="1:29" x14ac:dyDescent="0.25">
      <c r="A508" s="328">
        <v>45899</v>
      </c>
      <c r="B508" s="17">
        <v>3</v>
      </c>
      <c r="C508" s="123" t="s">
        <v>693</v>
      </c>
      <c r="D508" s="17" t="s">
        <v>226</v>
      </c>
      <c r="E508" s="18">
        <v>1.82</v>
      </c>
      <c r="F508" s="18"/>
      <c r="G508" s="461">
        <v>2</v>
      </c>
      <c r="H508" s="461">
        <v>1</v>
      </c>
      <c r="I508" s="20">
        <v>0.72</v>
      </c>
      <c r="J508" s="20"/>
      <c r="K508" s="123" t="s">
        <v>701</v>
      </c>
      <c r="L508" s="17" t="s">
        <v>112</v>
      </c>
      <c r="M508" s="46"/>
      <c r="N508" s="348">
        <v>18</v>
      </c>
      <c r="O508" s="456" t="s">
        <v>112</v>
      </c>
      <c r="P508" s="17" t="s">
        <v>114</v>
      </c>
      <c r="Q508" s="17" t="s">
        <v>115</v>
      </c>
      <c r="R508" s="17" t="s">
        <v>717</v>
      </c>
      <c r="S508" s="550">
        <v>77</v>
      </c>
      <c r="T508" s="17" t="s">
        <v>41</v>
      </c>
      <c r="U508" s="17" t="s">
        <v>45</v>
      </c>
      <c r="V508" s="59" t="s">
        <v>20</v>
      </c>
      <c r="W508" s="53">
        <v>7.0000000000000007E-2</v>
      </c>
      <c r="X508" s="360">
        <v>0.62</v>
      </c>
      <c r="Y508" s="354"/>
      <c r="Z508" s="17" t="s">
        <v>8</v>
      </c>
      <c r="AA508" s="551" t="s">
        <v>9</v>
      </c>
      <c r="AB508" s="118" t="s">
        <v>241</v>
      </c>
      <c r="AC508" s="59" t="s">
        <v>245</v>
      </c>
    </row>
    <row r="509" spans="1:29" x14ac:dyDescent="0.25">
      <c r="A509" s="329">
        <v>45899</v>
      </c>
      <c r="B509" s="5">
        <v>3</v>
      </c>
      <c r="D509" s="5" t="s">
        <v>226</v>
      </c>
      <c r="E509" s="6">
        <v>1.82</v>
      </c>
      <c r="G509" s="362">
        <v>2</v>
      </c>
      <c r="H509" s="362">
        <v>1</v>
      </c>
      <c r="I509" s="8">
        <v>0.72</v>
      </c>
      <c r="L509" s="5" t="s">
        <v>112</v>
      </c>
      <c r="N509" s="476">
        <v>23</v>
      </c>
      <c r="O509" s="477" t="s">
        <v>226</v>
      </c>
      <c r="P509" s="478" t="s">
        <v>289</v>
      </c>
      <c r="Q509" s="478" t="s">
        <v>54</v>
      </c>
      <c r="R509" s="478" t="s">
        <v>685</v>
      </c>
      <c r="S509" s="479">
        <v>79</v>
      </c>
      <c r="T509" s="478" t="s">
        <v>354</v>
      </c>
      <c r="U509" s="478" t="s">
        <v>42</v>
      </c>
      <c r="V509" s="480" t="s">
        <v>10</v>
      </c>
      <c r="W509" s="51">
        <v>0.02</v>
      </c>
      <c r="X509" s="357">
        <v>0.12</v>
      </c>
      <c r="Z509" s="5" t="s">
        <v>48</v>
      </c>
      <c r="AA509" s="552" t="s">
        <v>9</v>
      </c>
    </row>
    <row r="510" spans="1:29" x14ac:dyDescent="0.25">
      <c r="A510" s="329">
        <v>45899</v>
      </c>
      <c r="B510" s="5">
        <v>3</v>
      </c>
      <c r="D510" s="5" t="s">
        <v>226</v>
      </c>
      <c r="E510" s="6">
        <v>1.82</v>
      </c>
      <c r="G510" s="362">
        <v>2</v>
      </c>
      <c r="H510" s="362">
        <v>1</v>
      </c>
      <c r="I510" s="8">
        <v>0.72</v>
      </c>
      <c r="L510" s="5" t="s">
        <v>112</v>
      </c>
      <c r="N510" s="476">
        <v>25</v>
      </c>
      <c r="O510" s="477" t="s">
        <v>226</v>
      </c>
      <c r="P510" s="478" t="s">
        <v>236</v>
      </c>
      <c r="Q510" s="478" t="s">
        <v>237</v>
      </c>
      <c r="R510" s="478" t="s">
        <v>686</v>
      </c>
      <c r="S510" s="479">
        <v>66</v>
      </c>
      <c r="T510" s="478" t="s">
        <v>354</v>
      </c>
      <c r="U510" s="478" t="s">
        <v>43</v>
      </c>
      <c r="V510" s="480" t="s">
        <v>10</v>
      </c>
      <c r="W510" s="51">
        <v>0.03</v>
      </c>
      <c r="X510" s="357" t="s">
        <v>53</v>
      </c>
      <c r="Z510" s="5" t="s">
        <v>22</v>
      </c>
      <c r="AA510" s="552" t="s">
        <v>9</v>
      </c>
    </row>
    <row r="511" spans="1:29" x14ac:dyDescent="0.25">
      <c r="A511" s="329">
        <v>45899</v>
      </c>
      <c r="B511" s="5">
        <v>3</v>
      </c>
      <c r="D511" s="5" t="s">
        <v>226</v>
      </c>
      <c r="E511" s="6">
        <v>1.82</v>
      </c>
      <c r="G511" s="362">
        <v>2</v>
      </c>
      <c r="H511" s="362">
        <v>1</v>
      </c>
      <c r="I511" s="8">
        <v>0.72</v>
      </c>
      <c r="L511" s="5" t="s">
        <v>112</v>
      </c>
      <c r="N511" s="476">
        <v>37</v>
      </c>
      <c r="O511" s="477" t="s">
        <v>226</v>
      </c>
      <c r="P511" s="478" t="s">
        <v>56</v>
      </c>
      <c r="Q511" s="478" t="s">
        <v>235</v>
      </c>
      <c r="R511" s="478" t="s">
        <v>699</v>
      </c>
      <c r="S511" s="479">
        <v>71</v>
      </c>
      <c r="T511" s="478" t="s">
        <v>47</v>
      </c>
      <c r="U511" s="478" t="s">
        <v>45</v>
      </c>
      <c r="V511" s="480" t="s">
        <v>20</v>
      </c>
      <c r="W511" s="51">
        <v>0.75</v>
      </c>
      <c r="X511" s="357">
        <v>0.99</v>
      </c>
      <c r="Y511" s="351" t="s">
        <v>353</v>
      </c>
      <c r="Z511" s="5" t="s">
        <v>8</v>
      </c>
      <c r="AA511" s="552" t="s">
        <v>51</v>
      </c>
      <c r="AB511" s="108" t="s">
        <v>229</v>
      </c>
      <c r="AC511" s="57" t="s">
        <v>230</v>
      </c>
    </row>
    <row r="512" spans="1:29" x14ac:dyDescent="0.25">
      <c r="A512" s="329">
        <v>45899</v>
      </c>
      <c r="B512" s="5">
        <v>3</v>
      </c>
      <c r="D512" s="5" t="s">
        <v>226</v>
      </c>
      <c r="E512" s="6">
        <v>1.82</v>
      </c>
      <c r="G512" s="362">
        <v>2</v>
      </c>
      <c r="H512" s="362">
        <v>1</v>
      </c>
      <c r="I512" s="8">
        <v>0.72</v>
      </c>
      <c r="L512" s="5" t="s">
        <v>112</v>
      </c>
      <c r="N512" s="476">
        <v>38</v>
      </c>
      <c r="O512" s="477" t="s">
        <v>226</v>
      </c>
      <c r="P512" s="478" t="s">
        <v>289</v>
      </c>
      <c r="Q512" s="478" t="s">
        <v>54</v>
      </c>
      <c r="R512" s="478" t="s">
        <v>685</v>
      </c>
      <c r="S512" s="479">
        <v>79</v>
      </c>
      <c r="T512" s="478" t="s">
        <v>41</v>
      </c>
      <c r="U512" s="478" t="s">
        <v>43</v>
      </c>
      <c r="V512" s="480" t="s">
        <v>18</v>
      </c>
      <c r="W512" s="51">
        <v>0.1</v>
      </c>
      <c r="X512" s="357">
        <v>0.61</v>
      </c>
      <c r="Z512" s="5" t="s">
        <v>8</v>
      </c>
      <c r="AA512" s="552" t="s">
        <v>34</v>
      </c>
      <c r="AB512" s="108" t="s">
        <v>287</v>
      </c>
      <c r="AC512" s="57" t="s">
        <v>288</v>
      </c>
    </row>
    <row r="513" spans="1:29" x14ac:dyDescent="0.25">
      <c r="A513" s="329">
        <v>45899</v>
      </c>
      <c r="B513" s="5">
        <v>3</v>
      </c>
      <c r="D513" s="5" t="s">
        <v>226</v>
      </c>
      <c r="E513" s="6">
        <v>1.82</v>
      </c>
      <c r="G513" s="362">
        <v>2</v>
      </c>
      <c r="H513" s="362">
        <v>1</v>
      </c>
      <c r="I513" s="8">
        <v>0.72</v>
      </c>
      <c r="L513" s="5" t="s">
        <v>112</v>
      </c>
      <c r="N513" s="476">
        <v>42</v>
      </c>
      <c r="O513" s="477" t="s">
        <v>226</v>
      </c>
      <c r="P513" s="478" t="s">
        <v>330</v>
      </c>
      <c r="Q513" s="478" t="s">
        <v>331</v>
      </c>
      <c r="R513" s="478" t="s">
        <v>689</v>
      </c>
      <c r="S513" s="479">
        <v>74</v>
      </c>
      <c r="T513" s="478" t="s">
        <v>354</v>
      </c>
      <c r="U513" s="478" t="s">
        <v>42</v>
      </c>
      <c r="V513" s="480" t="s">
        <v>10</v>
      </c>
      <c r="W513" s="51">
        <v>0.02</v>
      </c>
      <c r="X513" s="357" t="s">
        <v>53</v>
      </c>
      <c r="Z513" s="5" t="s">
        <v>16</v>
      </c>
      <c r="AA513" s="552" t="s">
        <v>34</v>
      </c>
    </row>
    <row r="514" spans="1:29" x14ac:dyDescent="0.25">
      <c r="A514" s="329">
        <v>45899</v>
      </c>
      <c r="B514" s="5">
        <v>3</v>
      </c>
      <c r="D514" s="5" t="s">
        <v>226</v>
      </c>
      <c r="E514" s="6">
        <v>1.82</v>
      </c>
      <c r="G514" s="362">
        <v>2</v>
      </c>
      <c r="H514" s="362">
        <v>1</v>
      </c>
      <c r="I514" s="8">
        <v>0.72</v>
      </c>
      <c r="L514" s="5" t="s">
        <v>112</v>
      </c>
      <c r="N514" s="476">
        <v>43</v>
      </c>
      <c r="O514" s="477" t="s">
        <v>226</v>
      </c>
      <c r="P514" s="478" t="s">
        <v>231</v>
      </c>
      <c r="Q514" s="478" t="s">
        <v>232</v>
      </c>
      <c r="R514" s="478" t="s">
        <v>684</v>
      </c>
      <c r="S514" s="479">
        <v>67</v>
      </c>
      <c r="T514" s="478" t="s">
        <v>41</v>
      </c>
      <c r="U514" s="478" t="s">
        <v>43</v>
      </c>
      <c r="V514" s="480" t="s">
        <v>540</v>
      </c>
      <c r="W514" s="51">
        <v>0.36</v>
      </c>
      <c r="X514" s="357" t="s">
        <v>53</v>
      </c>
      <c r="Y514" s="351" t="s">
        <v>353</v>
      </c>
      <c r="Z514" s="5" t="s">
        <v>16</v>
      </c>
      <c r="AA514" s="552" t="s">
        <v>34</v>
      </c>
    </row>
    <row r="515" spans="1:29" x14ac:dyDescent="0.25">
      <c r="A515" s="329">
        <v>45899</v>
      </c>
      <c r="B515" s="5">
        <v>3</v>
      </c>
      <c r="D515" s="5" t="s">
        <v>226</v>
      </c>
      <c r="E515" s="6">
        <v>1.82</v>
      </c>
      <c r="G515" s="362">
        <v>2</v>
      </c>
      <c r="H515" s="362">
        <v>1</v>
      </c>
      <c r="I515" s="8">
        <v>0.72</v>
      </c>
      <c r="L515" s="5" t="s">
        <v>112</v>
      </c>
      <c r="N515" s="476">
        <v>55</v>
      </c>
      <c r="O515" s="477" t="s">
        <v>226</v>
      </c>
      <c r="P515" s="478" t="s">
        <v>236</v>
      </c>
      <c r="Q515" s="478" t="s">
        <v>237</v>
      </c>
      <c r="R515" s="478" t="s">
        <v>686</v>
      </c>
      <c r="S515" s="479">
        <v>66</v>
      </c>
      <c r="T515" s="478" t="s">
        <v>41</v>
      </c>
      <c r="U515" s="478" t="s">
        <v>42</v>
      </c>
      <c r="V515" s="480" t="s">
        <v>540</v>
      </c>
      <c r="W515" s="51">
        <v>0.14000000000000001</v>
      </c>
      <c r="X515" s="357">
        <v>0.41</v>
      </c>
      <c r="Z515" s="5" t="s">
        <v>48</v>
      </c>
      <c r="AA515" s="552" t="s">
        <v>34</v>
      </c>
    </row>
    <row r="516" spans="1:29" x14ac:dyDescent="0.25">
      <c r="A516" s="329">
        <v>45899</v>
      </c>
      <c r="B516" s="5">
        <v>3</v>
      </c>
      <c r="D516" s="5" t="s">
        <v>226</v>
      </c>
      <c r="E516" s="6">
        <v>1.82</v>
      </c>
      <c r="G516" s="362">
        <v>2</v>
      </c>
      <c r="H516" s="362">
        <v>1</v>
      </c>
      <c r="I516" s="8">
        <v>0.72</v>
      </c>
      <c r="L516" s="5" t="s">
        <v>112</v>
      </c>
      <c r="N516" s="56">
        <v>61</v>
      </c>
      <c r="O516" s="5" t="s">
        <v>112</v>
      </c>
      <c r="P516" s="5" t="s">
        <v>243</v>
      </c>
      <c r="Q516" s="5" t="s">
        <v>244</v>
      </c>
      <c r="R516" s="5" t="s">
        <v>718</v>
      </c>
      <c r="S516" s="479">
        <v>60</v>
      </c>
      <c r="T516" s="5" t="s">
        <v>47</v>
      </c>
      <c r="U516" s="5" t="s">
        <v>42</v>
      </c>
      <c r="V516" s="5" t="s">
        <v>10</v>
      </c>
      <c r="W516" s="6">
        <v>0.43</v>
      </c>
      <c r="X516" s="6" t="s">
        <v>53</v>
      </c>
      <c r="Y516" s="6" t="s">
        <v>353</v>
      </c>
      <c r="Z516" s="5" t="s">
        <v>744</v>
      </c>
      <c r="AA516" s="552" t="s">
        <v>34</v>
      </c>
      <c r="AB516" s="108" t="s">
        <v>330</v>
      </c>
      <c r="AC516" s="57" t="s">
        <v>331</v>
      </c>
    </row>
    <row r="517" spans="1:29" x14ac:dyDescent="0.25">
      <c r="A517" s="329">
        <v>45899</v>
      </c>
      <c r="B517" s="5">
        <v>3</v>
      </c>
      <c r="D517" s="5" t="s">
        <v>226</v>
      </c>
      <c r="E517" s="6">
        <v>1.82</v>
      </c>
      <c r="G517" s="362">
        <v>2</v>
      </c>
      <c r="H517" s="362">
        <v>1</v>
      </c>
      <c r="I517" s="8">
        <v>0.72</v>
      </c>
      <c r="L517" s="5" t="s">
        <v>112</v>
      </c>
      <c r="N517" s="56">
        <v>65</v>
      </c>
      <c r="O517" s="5" t="s">
        <v>112</v>
      </c>
      <c r="P517" s="5" t="s">
        <v>558</v>
      </c>
      <c r="Q517" s="5" t="s">
        <v>559</v>
      </c>
      <c r="R517" s="5" t="s">
        <v>696</v>
      </c>
      <c r="S517" s="479">
        <v>60</v>
      </c>
      <c r="T517" s="5" t="s">
        <v>41</v>
      </c>
      <c r="U517" s="5" t="s">
        <v>43</v>
      </c>
      <c r="V517" s="5" t="s">
        <v>540</v>
      </c>
      <c r="W517" s="6">
        <v>0.04</v>
      </c>
      <c r="X517" s="6" t="s">
        <v>53</v>
      </c>
      <c r="Y517" s="6"/>
      <c r="Z517" s="5" t="s">
        <v>744</v>
      </c>
      <c r="AA517" s="552" t="s">
        <v>34</v>
      </c>
      <c r="AB517" s="108" t="s">
        <v>74</v>
      </c>
      <c r="AC517" s="57" t="s">
        <v>228</v>
      </c>
    </row>
    <row r="518" spans="1:29" ht="15.75" thickBot="1" x14ac:dyDescent="0.3">
      <c r="A518" s="334">
        <v>45899</v>
      </c>
      <c r="B518" s="192">
        <v>3</v>
      </c>
      <c r="C518" s="193"/>
      <c r="D518" s="192" t="s">
        <v>226</v>
      </c>
      <c r="E518" s="194">
        <v>1.82</v>
      </c>
      <c r="F518" s="194"/>
      <c r="G518" s="463">
        <v>2</v>
      </c>
      <c r="H518" s="463">
        <v>1</v>
      </c>
      <c r="I518" s="196">
        <v>0.72</v>
      </c>
      <c r="J518" s="196"/>
      <c r="K518" s="193"/>
      <c r="L518" s="192" t="s">
        <v>112</v>
      </c>
      <c r="M518" s="537"/>
      <c r="N518" s="538"/>
      <c r="O518" s="539" t="s">
        <v>226</v>
      </c>
      <c r="P518" s="540" t="s">
        <v>726</v>
      </c>
      <c r="Q518" s="540" t="s">
        <v>727</v>
      </c>
      <c r="R518" s="540" t="s">
        <v>707</v>
      </c>
      <c r="S518" s="541">
        <v>64</v>
      </c>
      <c r="T518" s="540"/>
      <c r="U518" s="540"/>
      <c r="V518" s="542"/>
      <c r="W518" s="543"/>
      <c r="X518" s="544"/>
      <c r="Y518" s="545">
        <v>1</v>
      </c>
      <c r="Z518" s="540"/>
      <c r="AA518" s="553"/>
      <c r="AB518" s="547"/>
      <c r="AC518" s="542"/>
    </row>
    <row r="519" spans="1:29" ht="15.75" thickBot="1" x14ac:dyDescent="0.3">
      <c r="A519" s="326">
        <v>45899</v>
      </c>
      <c r="B519" s="207">
        <v>3</v>
      </c>
      <c r="C519" s="208"/>
      <c r="D519" s="207" t="s">
        <v>226</v>
      </c>
      <c r="E519" s="209">
        <v>1.82</v>
      </c>
      <c r="F519" s="209"/>
      <c r="G519" s="460">
        <v>2</v>
      </c>
      <c r="H519" s="460">
        <v>1</v>
      </c>
      <c r="I519" s="211">
        <v>0.72</v>
      </c>
      <c r="J519" s="211"/>
      <c r="K519" s="208"/>
      <c r="L519" s="207" t="s">
        <v>112</v>
      </c>
      <c r="M519" s="235"/>
      <c r="N519" s="347"/>
      <c r="O519" s="343" t="s">
        <v>112</v>
      </c>
      <c r="P519" s="199" t="s">
        <v>60</v>
      </c>
      <c r="Q519" s="199" t="s">
        <v>464</v>
      </c>
      <c r="R519" s="199" t="s">
        <v>707</v>
      </c>
      <c r="S519" s="554">
        <v>61</v>
      </c>
      <c r="T519" s="199"/>
      <c r="U519" s="199"/>
      <c r="V519" s="201"/>
      <c r="W519" s="202"/>
      <c r="X519" s="359"/>
      <c r="Y519" s="353">
        <v>2</v>
      </c>
      <c r="Z519" s="199"/>
      <c r="AA519" s="555"/>
      <c r="AB519" s="205"/>
      <c r="AC519" s="201"/>
    </row>
    <row r="520" spans="1:29" x14ac:dyDescent="0.25">
      <c r="A520" s="331">
        <v>45920</v>
      </c>
      <c r="B520" s="13">
        <v>5</v>
      </c>
      <c r="C520" s="124" t="s">
        <v>694</v>
      </c>
      <c r="D520" s="13" t="s">
        <v>226</v>
      </c>
      <c r="E520" s="14">
        <v>1.18</v>
      </c>
      <c r="F520" s="14"/>
      <c r="G520" s="375">
        <v>2</v>
      </c>
      <c r="H520" s="375">
        <v>0</v>
      </c>
      <c r="I520" s="16">
        <v>0.96</v>
      </c>
      <c r="J520" s="16"/>
      <c r="K520" s="124" t="s">
        <v>693</v>
      </c>
      <c r="L520" s="13" t="s">
        <v>192</v>
      </c>
      <c r="M520" s="47"/>
      <c r="N520" s="349">
        <v>1</v>
      </c>
      <c r="O520" s="458" t="s">
        <v>192</v>
      </c>
      <c r="P520" s="13" t="s">
        <v>276</v>
      </c>
      <c r="Q520" s="13" t="s">
        <v>277</v>
      </c>
      <c r="R520" s="13" t="s">
        <v>699</v>
      </c>
      <c r="S520" s="481">
        <v>61</v>
      </c>
      <c r="T520" s="13" t="s">
        <v>354</v>
      </c>
      <c r="U520" s="13" t="s">
        <v>42</v>
      </c>
      <c r="V520" s="60" t="s">
        <v>10</v>
      </c>
      <c r="W520" s="54">
        <v>0.05</v>
      </c>
      <c r="X520" s="361">
        <v>0.18</v>
      </c>
      <c r="Y520" s="355"/>
      <c r="Z520" s="13" t="s">
        <v>48</v>
      </c>
      <c r="AA520" s="115" t="s">
        <v>28</v>
      </c>
      <c r="AB520" s="110"/>
      <c r="AC520" s="60"/>
    </row>
    <row r="521" spans="1:29" x14ac:dyDescent="0.25">
      <c r="A521" s="329">
        <v>45920</v>
      </c>
      <c r="B521" s="5">
        <v>5</v>
      </c>
      <c r="D521" s="5" t="s">
        <v>226</v>
      </c>
      <c r="E521" s="6">
        <v>1.18</v>
      </c>
      <c r="G521" s="362">
        <v>2</v>
      </c>
      <c r="H521" s="362">
        <v>0</v>
      </c>
      <c r="I521" s="8">
        <v>0.96</v>
      </c>
      <c r="L521" s="5" t="s">
        <v>192</v>
      </c>
      <c r="N521" s="345">
        <v>15</v>
      </c>
      <c r="O521" s="38" t="s">
        <v>192</v>
      </c>
      <c r="P521" s="5" t="s">
        <v>410</v>
      </c>
      <c r="Q521" s="5" t="s">
        <v>361</v>
      </c>
      <c r="R521" s="5" t="s">
        <v>684</v>
      </c>
      <c r="S521" s="7">
        <v>61</v>
      </c>
      <c r="T521" s="5" t="s">
        <v>41</v>
      </c>
      <c r="U521" s="5" t="s">
        <v>42</v>
      </c>
      <c r="V521" s="57" t="s">
        <v>10</v>
      </c>
      <c r="W521" s="51">
        <v>0.12</v>
      </c>
      <c r="X521" s="357" t="s">
        <v>53</v>
      </c>
      <c r="Z521" s="5" t="s">
        <v>52</v>
      </c>
      <c r="AA521" s="112" t="s">
        <v>28</v>
      </c>
    </row>
    <row r="522" spans="1:29" x14ac:dyDescent="0.25">
      <c r="A522" s="329">
        <v>45920</v>
      </c>
      <c r="B522" s="5">
        <v>5</v>
      </c>
      <c r="D522" s="5" t="s">
        <v>226</v>
      </c>
      <c r="E522" s="6">
        <v>1.18</v>
      </c>
      <c r="G522" s="362">
        <v>2</v>
      </c>
      <c r="H522" s="362">
        <v>0</v>
      </c>
      <c r="I522" s="8">
        <v>0.96</v>
      </c>
      <c r="L522" s="5" t="s">
        <v>192</v>
      </c>
      <c r="N522" s="476">
        <v>22</v>
      </c>
      <c r="O522" s="477" t="s">
        <v>226</v>
      </c>
      <c r="P522" s="478" t="s">
        <v>372</v>
      </c>
      <c r="Q522" s="478" t="s">
        <v>373</v>
      </c>
      <c r="R522" s="478" t="s">
        <v>712</v>
      </c>
      <c r="S522" s="479">
        <v>84</v>
      </c>
      <c r="T522" s="478" t="s">
        <v>354</v>
      </c>
      <c r="U522" s="478" t="s">
        <v>42</v>
      </c>
      <c r="V522" s="480" t="s">
        <v>10</v>
      </c>
      <c r="W522" s="51">
        <v>0.03</v>
      </c>
      <c r="X522" s="357">
        <v>0.08</v>
      </c>
      <c r="Z522" s="5" t="s">
        <v>8</v>
      </c>
      <c r="AA522" s="112" t="s">
        <v>19</v>
      </c>
      <c r="AB522" s="108" t="s">
        <v>287</v>
      </c>
      <c r="AC522" s="57" t="s">
        <v>288</v>
      </c>
    </row>
    <row r="523" spans="1:29" x14ac:dyDescent="0.25">
      <c r="A523" s="329">
        <v>45920</v>
      </c>
      <c r="B523" s="5">
        <v>5</v>
      </c>
      <c r="D523" s="5" t="s">
        <v>226</v>
      </c>
      <c r="E523" s="6">
        <v>1.18</v>
      </c>
      <c r="G523" s="362">
        <v>2</v>
      </c>
      <c r="H523" s="362">
        <v>0</v>
      </c>
      <c r="I523" s="8">
        <v>0.96</v>
      </c>
      <c r="L523" s="5" t="s">
        <v>192</v>
      </c>
      <c r="N523" s="476">
        <v>27</v>
      </c>
      <c r="O523" s="477" t="s">
        <v>226</v>
      </c>
      <c r="P523" s="478" t="s">
        <v>374</v>
      </c>
      <c r="Q523" s="478" t="s">
        <v>375</v>
      </c>
      <c r="R523" s="478" t="s">
        <v>689</v>
      </c>
      <c r="S523" s="479">
        <v>72</v>
      </c>
      <c r="T523" s="478" t="s">
        <v>41</v>
      </c>
      <c r="U523" s="478" t="s">
        <v>43</v>
      </c>
      <c r="V523" s="480" t="s">
        <v>10</v>
      </c>
      <c r="W523" s="51">
        <v>0.13</v>
      </c>
      <c r="X523" s="357" t="s">
        <v>53</v>
      </c>
      <c r="Z523" s="5" t="s">
        <v>52</v>
      </c>
      <c r="AA523" s="112" t="s">
        <v>19</v>
      </c>
    </row>
    <row r="524" spans="1:29" x14ac:dyDescent="0.25">
      <c r="A524" s="329">
        <v>45920</v>
      </c>
      <c r="B524" s="5">
        <v>5</v>
      </c>
      <c r="D524" s="5" t="s">
        <v>226</v>
      </c>
      <c r="E524" s="6">
        <v>1.18</v>
      </c>
      <c r="G524" s="362">
        <v>2</v>
      </c>
      <c r="H524" s="362">
        <v>0</v>
      </c>
      <c r="I524" s="8">
        <v>0.96</v>
      </c>
      <c r="L524" s="5" t="s">
        <v>192</v>
      </c>
      <c r="N524" s="476">
        <v>41</v>
      </c>
      <c r="O524" s="477" t="s">
        <v>226</v>
      </c>
      <c r="P524" s="478" t="s">
        <v>231</v>
      </c>
      <c r="Q524" s="478" t="s">
        <v>232</v>
      </c>
      <c r="R524" s="478" t="s">
        <v>717</v>
      </c>
      <c r="S524" s="479">
        <v>79</v>
      </c>
      <c r="T524" s="478" t="s">
        <v>41</v>
      </c>
      <c r="U524" s="478" t="s">
        <v>42</v>
      </c>
      <c r="V524" s="480" t="s">
        <v>10</v>
      </c>
      <c r="W524" s="51">
        <v>0.03</v>
      </c>
      <c r="X524" s="357" t="s">
        <v>53</v>
      </c>
      <c r="Z524" s="5" t="s">
        <v>22</v>
      </c>
      <c r="AA524" s="112" t="s">
        <v>19</v>
      </c>
    </row>
    <row r="525" spans="1:29" x14ac:dyDescent="0.25">
      <c r="A525" s="329">
        <v>45920</v>
      </c>
      <c r="B525" s="5">
        <v>5</v>
      </c>
      <c r="D525" s="5" t="s">
        <v>226</v>
      </c>
      <c r="E525" s="6">
        <v>1.18</v>
      </c>
      <c r="G525" s="362">
        <v>2</v>
      </c>
      <c r="H525" s="362">
        <v>0</v>
      </c>
      <c r="I525" s="8">
        <v>0.96</v>
      </c>
      <c r="L525" s="5" t="s">
        <v>192</v>
      </c>
      <c r="N525" s="345">
        <v>45</v>
      </c>
      <c r="O525" s="38" t="s">
        <v>192</v>
      </c>
      <c r="P525" s="5" t="s">
        <v>282</v>
      </c>
      <c r="Q525" s="5" t="s">
        <v>283</v>
      </c>
      <c r="R525" s="5" t="s">
        <v>713</v>
      </c>
      <c r="S525" s="479">
        <v>60</v>
      </c>
      <c r="T525" s="5" t="s">
        <v>47</v>
      </c>
      <c r="U525" s="5" t="s">
        <v>43</v>
      </c>
      <c r="V525" s="57" t="s">
        <v>33</v>
      </c>
      <c r="W525" s="51">
        <v>0.56000000000000005</v>
      </c>
      <c r="X525" s="357" t="s">
        <v>53</v>
      </c>
      <c r="Y525" s="351" t="s">
        <v>353</v>
      </c>
      <c r="Z525" s="5" t="s">
        <v>13</v>
      </c>
      <c r="AA525" s="112" t="s">
        <v>19</v>
      </c>
    </row>
    <row r="526" spans="1:29" x14ac:dyDescent="0.25">
      <c r="A526" s="329">
        <v>45920</v>
      </c>
      <c r="B526" s="5">
        <v>5</v>
      </c>
      <c r="D526" s="5" t="s">
        <v>226</v>
      </c>
      <c r="E526" s="6">
        <v>1.18</v>
      </c>
      <c r="G526" s="362">
        <v>2</v>
      </c>
      <c r="H526" s="362">
        <v>0</v>
      </c>
      <c r="I526" s="8">
        <v>0.96</v>
      </c>
      <c r="L526" s="5" t="s">
        <v>192</v>
      </c>
      <c r="N526" s="476" t="s">
        <v>122</v>
      </c>
      <c r="O526" s="477" t="s">
        <v>226</v>
      </c>
      <c r="P526" s="478" t="s">
        <v>231</v>
      </c>
      <c r="Q526" s="478" t="s">
        <v>232</v>
      </c>
      <c r="R526" s="478" t="s">
        <v>717</v>
      </c>
      <c r="S526" s="479">
        <v>79</v>
      </c>
      <c r="T526" s="478" t="s">
        <v>41</v>
      </c>
      <c r="U526" s="478" t="s">
        <v>42</v>
      </c>
      <c r="V526" s="480" t="s">
        <v>18</v>
      </c>
      <c r="W526" s="51">
        <v>0.28000000000000003</v>
      </c>
      <c r="X526" s="357" t="s">
        <v>53</v>
      </c>
      <c r="Y526" s="351" t="s">
        <v>353</v>
      </c>
      <c r="Z526" s="5" t="s">
        <v>22</v>
      </c>
      <c r="AA526" s="112" t="s">
        <v>19</v>
      </c>
    </row>
    <row r="527" spans="1:29" x14ac:dyDescent="0.25">
      <c r="A527" s="329">
        <v>45920</v>
      </c>
      <c r="B527" s="5">
        <v>5</v>
      </c>
      <c r="D527" s="5" t="s">
        <v>226</v>
      </c>
      <c r="E527" s="6">
        <v>1.18</v>
      </c>
      <c r="G527" s="362">
        <v>2</v>
      </c>
      <c r="H527" s="362">
        <v>0</v>
      </c>
      <c r="I527" s="8">
        <v>0.96</v>
      </c>
      <c r="L527" s="5" t="s">
        <v>192</v>
      </c>
      <c r="N527" s="476">
        <v>47</v>
      </c>
      <c r="O527" s="477" t="s">
        <v>226</v>
      </c>
      <c r="P527" s="478" t="s">
        <v>231</v>
      </c>
      <c r="Q527" s="478" t="s">
        <v>232</v>
      </c>
      <c r="R527" s="478" t="s">
        <v>717</v>
      </c>
      <c r="S527" s="479">
        <v>79</v>
      </c>
      <c r="T527" s="478" t="s">
        <v>354</v>
      </c>
      <c r="U527" s="478" t="s">
        <v>42</v>
      </c>
      <c r="V527" s="480" t="s">
        <v>10</v>
      </c>
      <c r="W527" s="51">
        <v>0.02</v>
      </c>
      <c r="X527" s="357">
        <v>0.18</v>
      </c>
      <c r="Z527" s="5" t="s">
        <v>8</v>
      </c>
      <c r="AA527" s="112" t="s">
        <v>24</v>
      </c>
      <c r="AB527" s="108" t="s">
        <v>289</v>
      </c>
      <c r="AC527" s="57" t="s">
        <v>54</v>
      </c>
    </row>
    <row r="528" spans="1:29" x14ac:dyDescent="0.25">
      <c r="A528" s="329">
        <v>45920</v>
      </c>
      <c r="B528" s="5">
        <v>5</v>
      </c>
      <c r="D528" s="5" t="s">
        <v>226</v>
      </c>
      <c r="E528" s="6">
        <v>1.18</v>
      </c>
      <c r="G528" s="362">
        <v>2</v>
      </c>
      <c r="H528" s="362">
        <v>0</v>
      </c>
      <c r="I528" s="8">
        <v>0.96</v>
      </c>
      <c r="L528" s="5" t="s">
        <v>192</v>
      </c>
      <c r="N528" s="476">
        <v>52</v>
      </c>
      <c r="O528" s="477" t="s">
        <v>226</v>
      </c>
      <c r="P528" s="478" t="s">
        <v>231</v>
      </c>
      <c r="Q528" s="478" t="s">
        <v>232</v>
      </c>
      <c r="R528" s="478" t="s">
        <v>717</v>
      </c>
      <c r="S528" s="479">
        <v>79</v>
      </c>
      <c r="T528" s="478" t="s">
        <v>47</v>
      </c>
      <c r="U528" s="478" t="s">
        <v>42</v>
      </c>
      <c r="V528" s="480" t="s">
        <v>10</v>
      </c>
      <c r="W528" s="51">
        <v>0.11</v>
      </c>
      <c r="X528" s="357" t="s">
        <v>53</v>
      </c>
      <c r="Z528" s="5" t="s">
        <v>55</v>
      </c>
      <c r="AA528" s="112" t="s">
        <v>24</v>
      </c>
    </row>
    <row r="529" spans="1:29" x14ac:dyDescent="0.25">
      <c r="A529" s="329">
        <v>45920</v>
      </c>
      <c r="B529" s="5">
        <v>5</v>
      </c>
      <c r="D529" s="5" t="s">
        <v>226</v>
      </c>
      <c r="E529" s="6">
        <v>1.18</v>
      </c>
      <c r="G529" s="362">
        <v>2</v>
      </c>
      <c r="H529" s="362">
        <v>0</v>
      </c>
      <c r="I529" s="8">
        <v>0.96</v>
      </c>
      <c r="L529" s="5" t="s">
        <v>192</v>
      </c>
      <c r="N529" s="476">
        <v>66</v>
      </c>
      <c r="O529" s="477" t="s">
        <v>226</v>
      </c>
      <c r="P529" s="478" t="s">
        <v>231</v>
      </c>
      <c r="Q529" s="478" t="s">
        <v>232</v>
      </c>
      <c r="R529" s="478" t="s">
        <v>717</v>
      </c>
      <c r="S529" s="479">
        <v>79</v>
      </c>
      <c r="T529" s="478" t="s">
        <v>47</v>
      </c>
      <c r="U529" s="478" t="s">
        <v>42</v>
      </c>
      <c r="V529" s="480" t="s">
        <v>540</v>
      </c>
      <c r="W529" s="51">
        <v>0.18</v>
      </c>
      <c r="X529" s="357">
        <v>0.5</v>
      </c>
      <c r="Y529" s="351" t="s">
        <v>353</v>
      </c>
      <c r="Z529" s="5" t="s">
        <v>48</v>
      </c>
      <c r="AA529" s="112" t="s">
        <v>24</v>
      </c>
    </row>
    <row r="530" spans="1:29" x14ac:dyDescent="0.25">
      <c r="A530" s="329">
        <v>45920</v>
      </c>
      <c r="B530" s="5">
        <v>5</v>
      </c>
      <c r="D530" s="5" t="s">
        <v>226</v>
      </c>
      <c r="E530" s="6">
        <v>1.18</v>
      </c>
      <c r="G530" s="362">
        <v>2</v>
      </c>
      <c r="H530" s="362">
        <v>0</v>
      </c>
      <c r="I530" s="8">
        <v>0.96</v>
      </c>
      <c r="L530" s="5" t="s">
        <v>192</v>
      </c>
      <c r="N530" s="476">
        <v>66</v>
      </c>
      <c r="O530" s="477" t="s">
        <v>226</v>
      </c>
      <c r="P530" s="478" t="s">
        <v>289</v>
      </c>
      <c r="Q530" s="478" t="s">
        <v>54</v>
      </c>
      <c r="R530" s="478" t="s">
        <v>685</v>
      </c>
      <c r="S530" s="479">
        <v>77</v>
      </c>
      <c r="T530" s="478" t="s">
        <v>47</v>
      </c>
      <c r="U530" s="478" t="s">
        <v>43</v>
      </c>
      <c r="V530" s="480" t="s">
        <v>540</v>
      </c>
      <c r="W530" s="51">
        <v>0.16</v>
      </c>
      <c r="X530" s="357" t="s">
        <v>53</v>
      </c>
      <c r="Y530" s="351" t="s">
        <v>353</v>
      </c>
      <c r="Z530" s="5" t="s">
        <v>17</v>
      </c>
      <c r="AA530" s="112" t="s">
        <v>24</v>
      </c>
    </row>
    <row r="531" spans="1:29" x14ac:dyDescent="0.25">
      <c r="A531" s="329">
        <v>45920</v>
      </c>
      <c r="B531" s="5">
        <v>5</v>
      </c>
      <c r="D531" s="5" t="s">
        <v>226</v>
      </c>
      <c r="E531" s="6">
        <v>1.18</v>
      </c>
      <c r="G531" s="362">
        <v>2</v>
      </c>
      <c r="H531" s="362">
        <v>0</v>
      </c>
      <c r="I531" s="8">
        <v>0.96</v>
      </c>
      <c r="L531" s="5" t="s">
        <v>192</v>
      </c>
      <c r="N531" s="476">
        <v>72</v>
      </c>
      <c r="O531" s="477" t="s">
        <v>226</v>
      </c>
      <c r="P531" s="478" t="s">
        <v>289</v>
      </c>
      <c r="Q531" s="478" t="s">
        <v>54</v>
      </c>
      <c r="R531" s="478" t="s">
        <v>685</v>
      </c>
      <c r="S531" s="479">
        <v>77</v>
      </c>
      <c r="T531" s="478" t="s">
        <v>354</v>
      </c>
      <c r="U531" s="478" t="s">
        <v>42</v>
      </c>
      <c r="V531" s="480" t="s">
        <v>540</v>
      </c>
      <c r="W531" s="51">
        <v>0.03</v>
      </c>
      <c r="X531" s="357">
        <v>0.24</v>
      </c>
      <c r="Z531" s="5" t="s">
        <v>48</v>
      </c>
      <c r="AA531" s="112" t="s">
        <v>24</v>
      </c>
    </row>
    <row r="532" spans="1:29" ht="15.75" thickBot="1" x14ac:dyDescent="0.3">
      <c r="A532" s="330">
        <v>45920</v>
      </c>
      <c r="B532" s="9">
        <v>5</v>
      </c>
      <c r="C532" s="122"/>
      <c r="D532" s="9" t="s">
        <v>226</v>
      </c>
      <c r="E532" s="10">
        <v>1.18</v>
      </c>
      <c r="F532" s="10"/>
      <c r="G532" s="383">
        <v>2</v>
      </c>
      <c r="H532" s="383">
        <v>0</v>
      </c>
      <c r="I532" s="12">
        <v>0.96</v>
      </c>
      <c r="J532" s="12"/>
      <c r="K532" s="122"/>
      <c r="L532" s="9" t="s">
        <v>192</v>
      </c>
      <c r="M532" s="45"/>
      <c r="N532" s="346" t="s">
        <v>415</v>
      </c>
      <c r="O532" s="454" t="s">
        <v>192</v>
      </c>
      <c r="P532" s="9" t="s">
        <v>194</v>
      </c>
      <c r="Q532" s="9" t="s">
        <v>195</v>
      </c>
      <c r="R532" s="9" t="s">
        <v>712</v>
      </c>
      <c r="S532" s="7">
        <v>59</v>
      </c>
      <c r="T532" s="9" t="s">
        <v>41</v>
      </c>
      <c r="U532" s="9" t="s">
        <v>45</v>
      </c>
      <c r="V532" s="58" t="s">
        <v>20</v>
      </c>
      <c r="W532" s="52">
        <v>0.1</v>
      </c>
      <c r="X532" s="358" t="s">
        <v>53</v>
      </c>
      <c r="Y532" s="352"/>
      <c r="Z532" s="9" t="s">
        <v>13</v>
      </c>
      <c r="AA532" s="113" t="s">
        <v>24</v>
      </c>
      <c r="AB532" s="109"/>
      <c r="AC532" s="58"/>
    </row>
    <row r="533" spans="1:29" ht="15.75" thickBot="1" x14ac:dyDescent="0.3">
      <c r="A533" s="326">
        <v>45920</v>
      </c>
      <c r="B533" s="207">
        <v>5</v>
      </c>
      <c r="C533" s="208"/>
      <c r="D533" s="207" t="s">
        <v>226</v>
      </c>
      <c r="E533" s="209">
        <v>1.18</v>
      </c>
      <c r="F533" s="209"/>
      <c r="G533" s="460">
        <v>2</v>
      </c>
      <c r="H533" s="460">
        <v>0</v>
      </c>
      <c r="I533" s="211">
        <v>0.96</v>
      </c>
      <c r="J533" s="211"/>
      <c r="K533" s="208"/>
      <c r="L533" s="207" t="s">
        <v>192</v>
      </c>
      <c r="M533" s="235"/>
      <c r="N533" s="347"/>
      <c r="O533" s="343" t="s">
        <v>226</v>
      </c>
      <c r="P533" s="199" t="s">
        <v>726</v>
      </c>
      <c r="Q533" s="199" t="s">
        <v>727</v>
      </c>
      <c r="R533" s="199" t="s">
        <v>707</v>
      </c>
      <c r="S533" s="7">
        <v>70</v>
      </c>
      <c r="T533" s="199"/>
      <c r="U533" s="199"/>
      <c r="V533" s="201"/>
      <c r="W533" s="202"/>
      <c r="X533" s="359"/>
      <c r="Y533" s="353">
        <v>0</v>
      </c>
      <c r="Z533" s="199"/>
      <c r="AA533" s="204"/>
      <c r="AB533" s="205"/>
      <c r="AC533" s="201"/>
    </row>
    <row r="534" spans="1:29" ht="15.75" thickBot="1" x14ac:dyDescent="0.3">
      <c r="A534" s="326">
        <v>45920</v>
      </c>
      <c r="B534" s="207">
        <v>5</v>
      </c>
      <c r="C534" s="208"/>
      <c r="D534" s="207" t="s">
        <v>226</v>
      </c>
      <c r="E534" s="209">
        <v>1.18</v>
      </c>
      <c r="F534" s="209"/>
      <c r="G534" s="460">
        <v>2</v>
      </c>
      <c r="H534" s="460">
        <v>0</v>
      </c>
      <c r="I534" s="211">
        <v>0.96</v>
      </c>
      <c r="J534" s="211"/>
      <c r="K534" s="208"/>
      <c r="L534" s="207" t="s">
        <v>192</v>
      </c>
      <c r="M534" s="235"/>
      <c r="N534" s="347"/>
      <c r="O534" s="343" t="s">
        <v>192</v>
      </c>
      <c r="P534" s="199" t="s">
        <v>723</v>
      </c>
      <c r="Q534" s="199" t="s">
        <v>724</v>
      </c>
      <c r="R534" s="199" t="s">
        <v>707</v>
      </c>
      <c r="S534" s="479">
        <v>59</v>
      </c>
      <c r="T534" s="199"/>
      <c r="U534" s="199"/>
      <c r="V534" s="201"/>
      <c r="W534" s="202"/>
      <c r="X534" s="359"/>
      <c r="Y534" s="353">
        <v>2</v>
      </c>
      <c r="Z534" s="199"/>
      <c r="AA534" s="204"/>
      <c r="AB534" s="205"/>
      <c r="AC534" s="201"/>
    </row>
    <row r="535" spans="1:29" x14ac:dyDescent="0.25">
      <c r="A535" s="331">
        <v>45934</v>
      </c>
      <c r="B535" s="13">
        <v>8</v>
      </c>
      <c r="C535" s="124" t="s">
        <v>693</v>
      </c>
      <c r="D535" s="13" t="s">
        <v>226</v>
      </c>
      <c r="E535" s="14">
        <v>3.52</v>
      </c>
      <c r="F535" s="14"/>
      <c r="G535" s="375">
        <v>3</v>
      </c>
      <c r="H535" s="375">
        <v>1</v>
      </c>
      <c r="I535" s="16">
        <v>1</v>
      </c>
      <c r="J535" s="16"/>
      <c r="K535" s="124" t="s">
        <v>694</v>
      </c>
      <c r="L535" s="13" t="s">
        <v>91</v>
      </c>
      <c r="M535" s="268" t="s">
        <v>563</v>
      </c>
      <c r="N535" s="556">
        <v>20</v>
      </c>
      <c r="O535" s="557" t="s">
        <v>226</v>
      </c>
      <c r="P535" s="558" t="s">
        <v>231</v>
      </c>
      <c r="Q535" s="558" t="s">
        <v>232</v>
      </c>
      <c r="R535" s="558" t="s">
        <v>684</v>
      </c>
      <c r="S535" s="479">
        <v>82</v>
      </c>
      <c r="T535" s="558" t="s">
        <v>41</v>
      </c>
      <c r="U535" s="558" t="s">
        <v>42</v>
      </c>
      <c r="V535" s="559" t="s">
        <v>10</v>
      </c>
      <c r="W535" s="54">
        <v>0.03</v>
      </c>
      <c r="X535" s="361">
        <v>0.16</v>
      </c>
      <c r="Y535" s="355"/>
      <c r="Z535" s="13" t="s">
        <v>48</v>
      </c>
      <c r="AA535" s="115" t="s">
        <v>28</v>
      </c>
      <c r="AB535" s="110"/>
      <c r="AC535" s="60"/>
    </row>
    <row r="536" spans="1:29" x14ac:dyDescent="0.25">
      <c r="A536" s="329">
        <v>45934</v>
      </c>
      <c r="B536" s="5">
        <v>8</v>
      </c>
      <c r="D536" s="5" t="s">
        <v>226</v>
      </c>
      <c r="E536" s="6">
        <v>3.52</v>
      </c>
      <c r="G536" s="362">
        <v>3</v>
      </c>
      <c r="H536" s="362">
        <v>1</v>
      </c>
      <c r="I536" s="8">
        <v>1</v>
      </c>
      <c r="L536" s="5" t="s">
        <v>91</v>
      </c>
      <c r="M536" s="242" t="s">
        <v>563</v>
      </c>
      <c r="N536" s="476">
        <v>22</v>
      </c>
      <c r="O536" s="477" t="s">
        <v>226</v>
      </c>
      <c r="P536" s="478" t="s">
        <v>233</v>
      </c>
      <c r="Q536" s="478" t="s">
        <v>234</v>
      </c>
      <c r="R536" s="478" t="s">
        <v>687</v>
      </c>
      <c r="S536" s="479">
        <v>66</v>
      </c>
      <c r="T536" s="478" t="s">
        <v>41</v>
      </c>
      <c r="U536" s="478" t="s">
        <v>45</v>
      </c>
      <c r="V536" s="480" t="s">
        <v>10</v>
      </c>
      <c r="W536" s="51">
        <v>0.16</v>
      </c>
      <c r="X536" s="357" t="s">
        <v>53</v>
      </c>
      <c r="Y536" s="351" t="s">
        <v>353</v>
      </c>
      <c r="Z536" s="5" t="s">
        <v>22</v>
      </c>
      <c r="AA536" s="112" t="s">
        <v>28</v>
      </c>
    </row>
    <row r="537" spans="1:29" x14ac:dyDescent="0.25">
      <c r="A537" s="329">
        <v>45934</v>
      </c>
      <c r="B537" s="5">
        <v>8</v>
      </c>
      <c r="D537" s="5" t="s">
        <v>226</v>
      </c>
      <c r="E537" s="6">
        <v>3.52</v>
      </c>
      <c r="G537" s="362">
        <v>3</v>
      </c>
      <c r="H537" s="362">
        <v>1</v>
      </c>
      <c r="I537" s="8">
        <v>1</v>
      </c>
      <c r="L537" s="5" t="s">
        <v>91</v>
      </c>
      <c r="M537" s="242" t="s">
        <v>563</v>
      </c>
      <c r="N537" s="476">
        <v>22</v>
      </c>
      <c r="O537" s="477" t="s">
        <v>226</v>
      </c>
      <c r="P537" s="478" t="s">
        <v>236</v>
      </c>
      <c r="Q537" s="478" t="s">
        <v>237</v>
      </c>
      <c r="R537" s="478" t="s">
        <v>686</v>
      </c>
      <c r="S537" s="481">
        <v>67</v>
      </c>
      <c r="T537" s="478" t="s">
        <v>41</v>
      </c>
      <c r="U537" s="478" t="s">
        <v>43</v>
      </c>
      <c r="V537" s="480" t="s">
        <v>10</v>
      </c>
      <c r="W537" s="51">
        <v>0.37</v>
      </c>
      <c r="X537" s="357" t="s">
        <v>53</v>
      </c>
      <c r="Y537" s="351" t="s">
        <v>353</v>
      </c>
      <c r="Z537" s="5" t="s">
        <v>52</v>
      </c>
      <c r="AA537" s="112" t="s">
        <v>28</v>
      </c>
    </row>
    <row r="538" spans="1:29" x14ac:dyDescent="0.25">
      <c r="A538" s="329">
        <v>45934</v>
      </c>
      <c r="B538" s="5">
        <v>8</v>
      </c>
      <c r="D538" s="5" t="s">
        <v>226</v>
      </c>
      <c r="E538" s="6">
        <v>3.52</v>
      </c>
      <c r="G538" s="362">
        <v>3</v>
      </c>
      <c r="H538" s="362">
        <v>1</v>
      </c>
      <c r="I538" s="8">
        <v>1</v>
      </c>
      <c r="L538" s="5" t="s">
        <v>91</v>
      </c>
      <c r="M538" s="242" t="s">
        <v>563</v>
      </c>
      <c r="N538" s="476">
        <v>27</v>
      </c>
      <c r="O538" s="477" t="s">
        <v>226</v>
      </c>
      <c r="P538" s="478" t="s">
        <v>233</v>
      </c>
      <c r="Q538" s="478" t="s">
        <v>234</v>
      </c>
      <c r="R538" s="478" t="s">
        <v>687</v>
      </c>
      <c r="S538" s="481">
        <v>66</v>
      </c>
      <c r="T538" s="478" t="s">
        <v>47</v>
      </c>
      <c r="U538" s="478" t="s">
        <v>45</v>
      </c>
      <c r="V538" s="480" t="s">
        <v>33</v>
      </c>
      <c r="W538" s="51">
        <v>0.34</v>
      </c>
      <c r="X538" s="357" t="s">
        <v>53</v>
      </c>
      <c r="Y538" s="351" t="s">
        <v>353</v>
      </c>
      <c r="Z538" s="5" t="s">
        <v>13</v>
      </c>
      <c r="AA538" s="112" t="s">
        <v>28</v>
      </c>
    </row>
    <row r="539" spans="1:29" x14ac:dyDescent="0.25">
      <c r="A539" s="329">
        <v>45934</v>
      </c>
      <c r="B539" s="5">
        <v>8</v>
      </c>
      <c r="D539" s="5" t="s">
        <v>226</v>
      </c>
      <c r="E539" s="6">
        <v>3.52</v>
      </c>
      <c r="G539" s="362">
        <v>3</v>
      </c>
      <c r="H539" s="362">
        <v>1</v>
      </c>
      <c r="I539" s="8">
        <v>1</v>
      </c>
      <c r="L539" s="5" t="s">
        <v>91</v>
      </c>
      <c r="M539" s="242" t="s">
        <v>563</v>
      </c>
      <c r="N539" s="345">
        <v>41</v>
      </c>
      <c r="O539" s="38" t="s">
        <v>91</v>
      </c>
      <c r="P539" s="5" t="s">
        <v>448</v>
      </c>
      <c r="Q539" s="5" t="s">
        <v>449</v>
      </c>
      <c r="R539" s="5" t="s">
        <v>718</v>
      </c>
      <c r="S539" s="459">
        <v>51</v>
      </c>
      <c r="T539" s="5" t="s">
        <v>41</v>
      </c>
      <c r="U539" s="5" t="s">
        <v>42</v>
      </c>
      <c r="V539" s="57" t="s">
        <v>18</v>
      </c>
      <c r="W539" s="51">
        <v>0.63</v>
      </c>
      <c r="X539" s="357">
        <v>0.37</v>
      </c>
      <c r="Y539" s="351" t="s">
        <v>353</v>
      </c>
      <c r="Z539" s="5" t="s">
        <v>48</v>
      </c>
      <c r="AA539" s="112" t="s">
        <v>28</v>
      </c>
    </row>
    <row r="540" spans="1:29" x14ac:dyDescent="0.25">
      <c r="A540" s="329">
        <v>45934</v>
      </c>
      <c r="B540" s="5">
        <v>8</v>
      </c>
      <c r="D540" s="5" t="s">
        <v>226</v>
      </c>
      <c r="E540" s="6">
        <v>3.52</v>
      </c>
      <c r="G540" s="362">
        <v>3</v>
      </c>
      <c r="H540" s="362">
        <v>1</v>
      </c>
      <c r="I540" s="8">
        <v>1</v>
      </c>
      <c r="L540" s="5" t="s">
        <v>91</v>
      </c>
      <c r="M540" s="242" t="s">
        <v>563</v>
      </c>
      <c r="N540" s="345">
        <v>42</v>
      </c>
      <c r="O540" s="38" t="s">
        <v>91</v>
      </c>
      <c r="P540" s="5" t="s">
        <v>332</v>
      </c>
      <c r="Q540" s="5" t="s">
        <v>333</v>
      </c>
      <c r="R540" s="5" t="s">
        <v>717</v>
      </c>
      <c r="S540" s="481">
        <v>63</v>
      </c>
      <c r="T540" s="5" t="s">
        <v>41</v>
      </c>
      <c r="U540" s="5" t="s">
        <v>42</v>
      </c>
      <c r="V540" s="57" t="s">
        <v>18</v>
      </c>
      <c r="W540" s="51">
        <v>0.11</v>
      </c>
      <c r="X540" s="357" t="s">
        <v>53</v>
      </c>
      <c r="Z540" s="5" t="s">
        <v>13</v>
      </c>
      <c r="AA540" s="112" t="s">
        <v>28</v>
      </c>
    </row>
    <row r="541" spans="1:29" x14ac:dyDescent="0.25">
      <c r="A541" s="329">
        <v>45934</v>
      </c>
      <c r="B541" s="5">
        <v>8</v>
      </c>
      <c r="D541" s="5" t="s">
        <v>226</v>
      </c>
      <c r="E541" s="6">
        <v>3.52</v>
      </c>
      <c r="G541" s="362">
        <v>3</v>
      </c>
      <c r="H541" s="362">
        <v>1</v>
      </c>
      <c r="I541" s="8">
        <v>1</v>
      </c>
      <c r="L541" s="5" t="s">
        <v>91</v>
      </c>
      <c r="M541" s="242" t="s">
        <v>563</v>
      </c>
      <c r="N541" s="476">
        <v>45</v>
      </c>
      <c r="O541" s="477" t="s">
        <v>226</v>
      </c>
      <c r="P541" s="478" t="s">
        <v>236</v>
      </c>
      <c r="Q541" s="478" t="s">
        <v>237</v>
      </c>
      <c r="R541" s="478" t="s">
        <v>686</v>
      </c>
      <c r="S541" s="481">
        <v>67</v>
      </c>
      <c r="T541" s="478" t="s">
        <v>44</v>
      </c>
      <c r="U541" s="478" t="s">
        <v>43</v>
      </c>
      <c r="V541" s="480" t="s">
        <v>10</v>
      </c>
      <c r="W541" s="51">
        <v>0.05</v>
      </c>
      <c r="X541" s="357" t="s">
        <v>53</v>
      </c>
      <c r="Z541" s="5" t="s">
        <v>22</v>
      </c>
      <c r="AA541" s="112" t="s">
        <v>28</v>
      </c>
    </row>
    <row r="542" spans="1:29" x14ac:dyDescent="0.25">
      <c r="A542" s="329">
        <v>45934</v>
      </c>
      <c r="B542" s="5">
        <v>8</v>
      </c>
      <c r="D542" s="5" t="s">
        <v>226</v>
      </c>
      <c r="E542" s="6">
        <v>3.52</v>
      </c>
      <c r="G542" s="362">
        <v>3</v>
      </c>
      <c r="H542" s="362">
        <v>1</v>
      </c>
      <c r="I542" s="8">
        <v>1</v>
      </c>
      <c r="L542" s="5" t="s">
        <v>91</v>
      </c>
      <c r="M542" s="242" t="s">
        <v>563</v>
      </c>
      <c r="N542" s="476">
        <v>47</v>
      </c>
      <c r="O542" s="477" t="s">
        <v>226</v>
      </c>
      <c r="P542" s="478" t="s">
        <v>289</v>
      </c>
      <c r="Q542" s="478" t="s">
        <v>54</v>
      </c>
      <c r="R542" s="478" t="s">
        <v>685</v>
      </c>
      <c r="S542" s="479">
        <v>100</v>
      </c>
      <c r="T542" s="478" t="s">
        <v>41</v>
      </c>
      <c r="U542" s="478" t="s">
        <v>42</v>
      </c>
      <c r="V542" s="480" t="s">
        <v>10</v>
      </c>
      <c r="W542" s="51">
        <v>0.06</v>
      </c>
      <c r="X542" s="357">
        <v>0.26</v>
      </c>
      <c r="Z542" s="5" t="s">
        <v>8</v>
      </c>
      <c r="AA542" s="112" t="s">
        <v>19</v>
      </c>
      <c r="AB542" s="108" t="s">
        <v>231</v>
      </c>
      <c r="AC542" s="57" t="s">
        <v>232</v>
      </c>
    </row>
    <row r="543" spans="1:29" x14ac:dyDescent="0.25">
      <c r="A543" s="329">
        <v>45934</v>
      </c>
      <c r="B543" s="5">
        <v>8</v>
      </c>
      <c r="D543" s="5" t="s">
        <v>226</v>
      </c>
      <c r="E543" s="6">
        <v>3.52</v>
      </c>
      <c r="G543" s="362">
        <v>3</v>
      </c>
      <c r="H543" s="362">
        <v>1</v>
      </c>
      <c r="I543" s="8">
        <v>1</v>
      </c>
      <c r="L543" s="5" t="s">
        <v>91</v>
      </c>
      <c r="M543" s="242" t="s">
        <v>563</v>
      </c>
      <c r="N543" s="476">
        <v>69</v>
      </c>
      <c r="O543" s="477" t="s">
        <v>226</v>
      </c>
      <c r="P543" s="478" t="s">
        <v>289</v>
      </c>
      <c r="Q543" s="478" t="s">
        <v>54</v>
      </c>
      <c r="R543" s="478" t="s">
        <v>685</v>
      </c>
      <c r="S543" s="479">
        <v>100</v>
      </c>
      <c r="T543" s="478" t="s">
        <v>41</v>
      </c>
      <c r="U543" s="478" t="s">
        <v>42</v>
      </c>
      <c r="V543" s="480" t="s">
        <v>7</v>
      </c>
      <c r="W543" s="51">
        <v>0.79</v>
      </c>
      <c r="X543" s="357">
        <v>0.77</v>
      </c>
      <c r="Y543" s="351" t="s">
        <v>353</v>
      </c>
      <c r="Z543" s="5" t="s">
        <v>8</v>
      </c>
      <c r="AA543" s="112" t="s">
        <v>24</v>
      </c>
    </row>
    <row r="544" spans="1:29" x14ac:dyDescent="0.25">
      <c r="A544" s="329">
        <v>45934</v>
      </c>
      <c r="B544" s="5">
        <v>8</v>
      </c>
      <c r="D544" s="5" t="s">
        <v>226</v>
      </c>
      <c r="E544" s="6">
        <v>3.52</v>
      </c>
      <c r="G544" s="362">
        <v>3</v>
      </c>
      <c r="H544" s="362">
        <v>1</v>
      </c>
      <c r="I544" s="8">
        <v>1</v>
      </c>
      <c r="L544" s="5" t="s">
        <v>91</v>
      </c>
      <c r="M544" s="242" t="s">
        <v>563</v>
      </c>
      <c r="N544" s="476">
        <v>72</v>
      </c>
      <c r="O544" s="477" t="s">
        <v>226</v>
      </c>
      <c r="P544" s="478" t="s">
        <v>486</v>
      </c>
      <c r="Q544" s="478" t="s">
        <v>487</v>
      </c>
      <c r="R544" s="478" t="s">
        <v>696</v>
      </c>
      <c r="S544" s="479">
        <v>68</v>
      </c>
      <c r="T544" s="478" t="s">
        <v>41</v>
      </c>
      <c r="U544" s="478" t="s">
        <v>42</v>
      </c>
      <c r="V544" s="480" t="s">
        <v>10</v>
      </c>
      <c r="W544" s="51">
        <v>0.09</v>
      </c>
      <c r="X544" s="357">
        <v>0.17</v>
      </c>
      <c r="Z544" s="5" t="s">
        <v>48</v>
      </c>
      <c r="AA544" s="112" t="s">
        <v>24</v>
      </c>
    </row>
    <row r="545" spans="1:29" x14ac:dyDescent="0.25">
      <c r="A545" s="329">
        <v>45934</v>
      </c>
      <c r="B545" s="5">
        <v>8</v>
      </c>
      <c r="D545" s="5" t="s">
        <v>226</v>
      </c>
      <c r="E545" s="6">
        <v>3.52</v>
      </c>
      <c r="G545" s="362">
        <v>3</v>
      </c>
      <c r="H545" s="362">
        <v>1</v>
      </c>
      <c r="I545" s="8">
        <v>1</v>
      </c>
      <c r="L545" s="5" t="s">
        <v>91</v>
      </c>
      <c r="M545" s="242" t="s">
        <v>563</v>
      </c>
      <c r="N545" s="476">
        <v>72</v>
      </c>
      <c r="O545" s="477" t="s">
        <v>226</v>
      </c>
      <c r="P545" s="478" t="s">
        <v>486</v>
      </c>
      <c r="Q545" s="478" t="s">
        <v>487</v>
      </c>
      <c r="R545" s="478" t="s">
        <v>696</v>
      </c>
      <c r="S545" s="479">
        <v>68</v>
      </c>
      <c r="T545" s="478" t="s">
        <v>47</v>
      </c>
      <c r="U545" s="478" t="s">
        <v>43</v>
      </c>
      <c r="V545" s="480" t="s">
        <v>10</v>
      </c>
      <c r="W545" s="51">
        <v>0.4</v>
      </c>
      <c r="X545" s="357">
        <v>0.27</v>
      </c>
      <c r="Y545" s="351" t="s">
        <v>353</v>
      </c>
      <c r="Z545" s="5" t="s">
        <v>48</v>
      </c>
      <c r="AA545" s="112" t="s">
        <v>24</v>
      </c>
    </row>
    <row r="546" spans="1:29" x14ac:dyDescent="0.25">
      <c r="A546" s="329">
        <v>45934</v>
      </c>
      <c r="B546" s="5">
        <v>8</v>
      </c>
      <c r="D546" s="5" t="s">
        <v>226</v>
      </c>
      <c r="E546" s="6">
        <v>3.52</v>
      </c>
      <c r="G546" s="362">
        <v>3</v>
      </c>
      <c r="H546" s="362">
        <v>1</v>
      </c>
      <c r="I546" s="8">
        <v>1</v>
      </c>
      <c r="L546" s="5" t="s">
        <v>91</v>
      </c>
      <c r="M546" s="242" t="s">
        <v>563</v>
      </c>
      <c r="N546" s="345">
        <v>73</v>
      </c>
      <c r="O546" s="38" t="s">
        <v>91</v>
      </c>
      <c r="P546" s="5" t="s">
        <v>443</v>
      </c>
      <c r="Q546" s="5" t="s">
        <v>444</v>
      </c>
      <c r="R546" s="5" t="s">
        <v>696</v>
      </c>
      <c r="S546" s="7">
        <v>67</v>
      </c>
      <c r="T546" s="5" t="s">
        <v>44</v>
      </c>
      <c r="U546" s="5" t="s">
        <v>42</v>
      </c>
      <c r="V546" s="57" t="s">
        <v>10</v>
      </c>
      <c r="W546" s="51">
        <v>0.11</v>
      </c>
      <c r="X546" s="357">
        <v>0.59</v>
      </c>
      <c r="Z546" s="5" t="s">
        <v>8</v>
      </c>
      <c r="AA546" s="112" t="s">
        <v>34</v>
      </c>
      <c r="AB546" s="108" t="s">
        <v>49</v>
      </c>
      <c r="AC546" s="57" t="s">
        <v>50</v>
      </c>
    </row>
    <row r="547" spans="1:29" x14ac:dyDescent="0.25">
      <c r="A547" s="329">
        <v>45934</v>
      </c>
      <c r="B547" s="5">
        <v>8</v>
      </c>
      <c r="D547" s="5" t="s">
        <v>226</v>
      </c>
      <c r="E547" s="6">
        <v>3.52</v>
      </c>
      <c r="G547" s="362">
        <v>3</v>
      </c>
      <c r="H547" s="362">
        <v>1</v>
      </c>
      <c r="I547" s="8">
        <v>1</v>
      </c>
      <c r="L547" s="5" t="s">
        <v>91</v>
      </c>
      <c r="M547" s="242" t="s">
        <v>563</v>
      </c>
      <c r="N547" s="476">
        <v>80</v>
      </c>
      <c r="O547" s="477" t="s">
        <v>226</v>
      </c>
      <c r="P547" s="478" t="s">
        <v>289</v>
      </c>
      <c r="Q547" s="478" t="s">
        <v>54</v>
      </c>
      <c r="R547" s="478" t="s">
        <v>685</v>
      </c>
      <c r="S547" s="479">
        <v>100</v>
      </c>
      <c r="T547" s="478" t="s">
        <v>41</v>
      </c>
      <c r="U547" s="478" t="s">
        <v>43</v>
      </c>
      <c r="V547" s="480" t="s">
        <v>540</v>
      </c>
      <c r="W547" s="51">
        <v>0.4</v>
      </c>
      <c r="X547" s="357">
        <v>0.34</v>
      </c>
      <c r="Y547" s="351" t="s">
        <v>353</v>
      </c>
      <c r="Z547" s="5" t="s">
        <v>48</v>
      </c>
      <c r="AA547" s="112" t="s">
        <v>34</v>
      </c>
    </row>
    <row r="548" spans="1:29" x14ac:dyDescent="0.25">
      <c r="A548" s="329">
        <v>45934</v>
      </c>
      <c r="B548" s="5">
        <v>8</v>
      </c>
      <c r="D548" s="5" t="s">
        <v>226</v>
      </c>
      <c r="E548" s="6">
        <v>3.52</v>
      </c>
      <c r="G548" s="362">
        <v>3</v>
      </c>
      <c r="H548" s="362">
        <v>1</v>
      </c>
      <c r="I548" s="8">
        <v>1</v>
      </c>
      <c r="L548" s="5" t="s">
        <v>91</v>
      </c>
      <c r="M548" s="242" t="s">
        <v>563</v>
      </c>
      <c r="N548" s="476">
        <v>81</v>
      </c>
      <c r="O548" s="477" t="s">
        <v>226</v>
      </c>
      <c r="P548" s="478" t="s">
        <v>231</v>
      </c>
      <c r="Q548" s="478" t="s">
        <v>232</v>
      </c>
      <c r="R548" s="478" t="s">
        <v>684</v>
      </c>
      <c r="S548" s="479">
        <v>82</v>
      </c>
      <c r="T548" s="478" t="s">
        <v>41</v>
      </c>
      <c r="U548" s="478" t="s">
        <v>42</v>
      </c>
      <c r="V548" s="480" t="s">
        <v>10</v>
      </c>
      <c r="W548" s="51">
        <v>0.28000000000000003</v>
      </c>
      <c r="X548" s="357">
        <v>0.68</v>
      </c>
      <c r="Y548" s="351" t="s">
        <v>353</v>
      </c>
      <c r="Z548" s="5" t="s">
        <v>8</v>
      </c>
      <c r="AA548" s="112" t="s">
        <v>427</v>
      </c>
      <c r="AB548" s="108" t="s">
        <v>657</v>
      </c>
      <c r="AC548" s="57" t="s">
        <v>138</v>
      </c>
    </row>
    <row r="549" spans="1:29" ht="15.75" thickBot="1" x14ac:dyDescent="0.3">
      <c r="A549" s="330">
        <v>45934</v>
      </c>
      <c r="B549" s="9">
        <v>8</v>
      </c>
      <c r="C549" s="122"/>
      <c r="D549" s="9" t="s">
        <v>226</v>
      </c>
      <c r="E549" s="10">
        <v>3.52</v>
      </c>
      <c r="F549" s="10"/>
      <c r="G549" s="383">
        <v>3</v>
      </c>
      <c r="H549" s="383">
        <v>1</v>
      </c>
      <c r="I549" s="12">
        <v>1</v>
      </c>
      <c r="J549" s="12"/>
      <c r="K549" s="122"/>
      <c r="L549" s="9" t="s">
        <v>91</v>
      </c>
      <c r="M549" s="445" t="s">
        <v>563</v>
      </c>
      <c r="N549" s="346">
        <v>88</v>
      </c>
      <c r="O549" s="454" t="s">
        <v>91</v>
      </c>
      <c r="P549" s="9" t="s">
        <v>443</v>
      </c>
      <c r="Q549" s="9" t="s">
        <v>444</v>
      </c>
      <c r="R549" s="9" t="s">
        <v>696</v>
      </c>
      <c r="S549" s="479">
        <v>67</v>
      </c>
      <c r="T549" s="9" t="s">
        <v>44</v>
      </c>
      <c r="U549" s="9" t="s">
        <v>42</v>
      </c>
      <c r="V549" s="58" t="s">
        <v>10</v>
      </c>
      <c r="W549" s="52">
        <v>0.02</v>
      </c>
      <c r="X549" s="358" t="s">
        <v>53</v>
      </c>
      <c r="Y549" s="352"/>
      <c r="Z549" s="9" t="s">
        <v>55</v>
      </c>
      <c r="AA549" s="113" t="s">
        <v>427</v>
      </c>
      <c r="AB549" s="109"/>
      <c r="AC549" s="58"/>
    </row>
    <row r="550" spans="1:29" ht="15.75" thickBot="1" x14ac:dyDescent="0.3">
      <c r="A550" s="326">
        <v>45934</v>
      </c>
      <c r="B550" s="207">
        <v>8</v>
      </c>
      <c r="C550" s="208"/>
      <c r="D550" s="207" t="s">
        <v>226</v>
      </c>
      <c r="E550" s="209">
        <v>3.52</v>
      </c>
      <c r="F550" s="209"/>
      <c r="G550" s="460">
        <v>3</v>
      </c>
      <c r="H550" s="460">
        <v>1</v>
      </c>
      <c r="I550" s="211">
        <v>1</v>
      </c>
      <c r="J550" s="211"/>
      <c r="K550" s="208"/>
      <c r="L550" s="207" t="s">
        <v>91</v>
      </c>
      <c r="M550" s="235"/>
      <c r="N550" s="347"/>
      <c r="O550" s="343" t="s">
        <v>226</v>
      </c>
      <c r="P550" s="199" t="s">
        <v>726</v>
      </c>
      <c r="Q550" s="199" t="s">
        <v>727</v>
      </c>
      <c r="R550" s="199" t="s">
        <v>707</v>
      </c>
      <c r="S550" s="7">
        <v>61</v>
      </c>
      <c r="T550" s="199"/>
      <c r="U550" s="199"/>
      <c r="V550" s="201"/>
      <c r="W550" s="202"/>
      <c r="X550" s="359"/>
      <c r="Y550" s="353">
        <v>1</v>
      </c>
      <c r="Z550" s="199"/>
      <c r="AA550" s="204"/>
      <c r="AB550" s="205"/>
      <c r="AC550" s="201"/>
    </row>
    <row r="551" spans="1:29" ht="15.75" thickBot="1" x14ac:dyDescent="0.3">
      <c r="A551" s="326">
        <v>45934</v>
      </c>
      <c r="B551" s="207">
        <v>8</v>
      </c>
      <c r="C551" s="208"/>
      <c r="D551" s="207" t="s">
        <v>226</v>
      </c>
      <c r="E551" s="209">
        <v>3.52</v>
      </c>
      <c r="F551" s="209"/>
      <c r="G551" s="460">
        <v>3</v>
      </c>
      <c r="H551" s="460">
        <v>1</v>
      </c>
      <c r="I551" s="211">
        <v>1</v>
      </c>
      <c r="J551" s="211"/>
      <c r="K551" s="208"/>
      <c r="L551" s="207" t="s">
        <v>91</v>
      </c>
      <c r="M551" s="235"/>
      <c r="N551" s="347"/>
      <c r="O551" s="343" t="s">
        <v>91</v>
      </c>
      <c r="P551" s="199" t="s">
        <v>553</v>
      </c>
      <c r="Q551" s="199" t="s">
        <v>737</v>
      </c>
      <c r="R551" s="199" t="s">
        <v>707</v>
      </c>
      <c r="S551" s="481">
        <v>63</v>
      </c>
      <c r="T551" s="199"/>
      <c r="U551" s="199"/>
      <c r="V551" s="201"/>
      <c r="W551" s="202"/>
      <c r="X551" s="359"/>
      <c r="Y551" s="353">
        <v>3</v>
      </c>
      <c r="Z551" s="199"/>
      <c r="AA551" s="204"/>
      <c r="AB551" s="205"/>
      <c r="AC551" s="201"/>
    </row>
    <row r="552" spans="1:29" x14ac:dyDescent="0.25">
      <c r="A552" s="329">
        <v>45956</v>
      </c>
      <c r="B552" s="5">
        <v>10</v>
      </c>
      <c r="C552" s="121" t="s">
        <v>697</v>
      </c>
      <c r="D552" s="5" t="s">
        <v>226</v>
      </c>
      <c r="E552" s="6">
        <v>3.63</v>
      </c>
      <c r="G552" s="362">
        <v>2</v>
      </c>
      <c r="H552" s="362">
        <v>1</v>
      </c>
      <c r="I552" s="8">
        <v>1.03</v>
      </c>
      <c r="K552" s="121" t="s">
        <v>693</v>
      </c>
      <c r="L552" s="5" t="s">
        <v>113</v>
      </c>
      <c r="M552" s="242" t="s">
        <v>835</v>
      </c>
      <c r="N552" s="476">
        <v>22</v>
      </c>
      <c r="O552" s="477" t="s">
        <v>226</v>
      </c>
      <c r="P552" s="478" t="s">
        <v>833</v>
      </c>
      <c r="Q552" s="478" t="s">
        <v>232</v>
      </c>
      <c r="R552" s="478" t="s">
        <v>684</v>
      </c>
      <c r="S552" s="479">
        <v>70</v>
      </c>
      <c r="T552" s="478" t="s">
        <v>41</v>
      </c>
      <c r="U552" s="478" t="s">
        <v>42</v>
      </c>
      <c r="V552" s="480" t="s">
        <v>10</v>
      </c>
      <c r="W552" s="51">
        <v>0.54</v>
      </c>
      <c r="X552" s="357">
        <v>0.41</v>
      </c>
      <c r="Y552" s="351" t="s">
        <v>353</v>
      </c>
      <c r="Z552" s="5" t="s">
        <v>8</v>
      </c>
      <c r="AA552" s="112" t="s">
        <v>19</v>
      </c>
      <c r="AB552" s="108" t="s">
        <v>486</v>
      </c>
      <c r="AC552" s="57" t="s">
        <v>487</v>
      </c>
    </row>
    <row r="553" spans="1:29" x14ac:dyDescent="0.25">
      <c r="A553" s="329">
        <v>45956</v>
      </c>
      <c r="B553" s="5">
        <v>10</v>
      </c>
      <c r="D553" s="5" t="s">
        <v>226</v>
      </c>
      <c r="E553" s="6">
        <v>3.63</v>
      </c>
      <c r="G553" s="362">
        <v>2</v>
      </c>
      <c r="H553" s="362">
        <v>1</v>
      </c>
      <c r="I553" s="8">
        <v>1.03</v>
      </c>
      <c r="L553" s="5" t="s">
        <v>113</v>
      </c>
      <c r="M553" s="242" t="s">
        <v>835</v>
      </c>
      <c r="N553" s="476">
        <v>30</v>
      </c>
      <c r="O553" s="477" t="s">
        <v>226</v>
      </c>
      <c r="P553" s="478" t="s">
        <v>817</v>
      </c>
      <c r="Q553" s="478" t="s">
        <v>230</v>
      </c>
      <c r="R553" s="478" t="s">
        <v>712</v>
      </c>
      <c r="S553" s="479">
        <v>67</v>
      </c>
      <c r="T553" s="478" t="s">
        <v>41</v>
      </c>
      <c r="U553" s="478" t="s">
        <v>42</v>
      </c>
      <c r="V553" s="480" t="s">
        <v>20</v>
      </c>
      <c r="W553" s="51">
        <v>0.34</v>
      </c>
      <c r="X553" s="357">
        <v>0.85</v>
      </c>
      <c r="Y553" s="351" t="s">
        <v>353</v>
      </c>
      <c r="Z553" s="5" t="s">
        <v>48</v>
      </c>
      <c r="AA553" s="112" t="s">
        <v>19</v>
      </c>
    </row>
    <row r="554" spans="1:29" x14ac:dyDescent="0.25">
      <c r="A554" s="329">
        <v>45956</v>
      </c>
      <c r="B554" s="5">
        <v>10</v>
      </c>
      <c r="D554" s="5" t="s">
        <v>226</v>
      </c>
      <c r="E554" s="6">
        <v>3.63</v>
      </c>
      <c r="G554" s="362">
        <v>2</v>
      </c>
      <c r="H554" s="362">
        <v>1</v>
      </c>
      <c r="I554" s="8">
        <v>1.03</v>
      </c>
      <c r="L554" s="5" t="s">
        <v>113</v>
      </c>
      <c r="M554" s="242" t="s">
        <v>835</v>
      </c>
      <c r="N554" s="345">
        <v>34</v>
      </c>
      <c r="O554" s="38" t="s">
        <v>113</v>
      </c>
      <c r="P554" s="5" t="s">
        <v>816</v>
      </c>
      <c r="Q554" s="5" t="s">
        <v>119</v>
      </c>
      <c r="R554" s="5" t="s">
        <v>684</v>
      </c>
      <c r="S554" s="7">
        <v>62</v>
      </c>
      <c r="T554" s="5" t="s">
        <v>41</v>
      </c>
      <c r="U554" s="5" t="s">
        <v>42</v>
      </c>
      <c r="V554" s="57" t="s">
        <v>10</v>
      </c>
      <c r="W554" s="51">
        <v>0.08</v>
      </c>
      <c r="X554" s="357">
        <v>0.11</v>
      </c>
      <c r="Z554" s="5" t="s">
        <v>48</v>
      </c>
      <c r="AA554" s="112" t="s">
        <v>19</v>
      </c>
    </row>
    <row r="555" spans="1:29" x14ac:dyDescent="0.25">
      <c r="A555" s="329">
        <v>45956</v>
      </c>
      <c r="B555" s="5">
        <v>10</v>
      </c>
      <c r="D555" s="5" t="s">
        <v>226</v>
      </c>
      <c r="E555" s="6">
        <v>3.63</v>
      </c>
      <c r="G555" s="362">
        <v>2</v>
      </c>
      <c r="H555" s="362">
        <v>1</v>
      </c>
      <c r="I555" s="8">
        <v>1.03</v>
      </c>
      <c r="L555" s="5" t="s">
        <v>113</v>
      </c>
      <c r="M555" s="242" t="s">
        <v>835</v>
      </c>
      <c r="N555" s="476">
        <v>35</v>
      </c>
      <c r="O555" s="477" t="s">
        <v>226</v>
      </c>
      <c r="P555" s="478" t="s">
        <v>829</v>
      </c>
      <c r="Q555" s="478" t="s">
        <v>54</v>
      </c>
      <c r="R555" s="478" t="s">
        <v>685</v>
      </c>
      <c r="S555" s="479">
        <v>71</v>
      </c>
      <c r="T555" s="478" t="s">
        <v>41</v>
      </c>
      <c r="U555" s="478" t="s">
        <v>42</v>
      </c>
      <c r="V555" s="480" t="s">
        <v>10</v>
      </c>
      <c r="W555" s="51">
        <v>0.08</v>
      </c>
      <c r="X555" s="357">
        <v>0.33</v>
      </c>
      <c r="Z555" s="5" t="s">
        <v>48</v>
      </c>
      <c r="AA555" s="112" t="s">
        <v>19</v>
      </c>
    </row>
    <row r="556" spans="1:29" x14ac:dyDescent="0.25">
      <c r="A556" s="329">
        <v>45956</v>
      </c>
      <c r="B556" s="5">
        <v>10</v>
      </c>
      <c r="D556" s="5" t="s">
        <v>226</v>
      </c>
      <c r="E556" s="6">
        <v>3.63</v>
      </c>
      <c r="G556" s="362">
        <v>2</v>
      </c>
      <c r="H556" s="362">
        <v>1</v>
      </c>
      <c r="I556" s="8">
        <v>1.03</v>
      </c>
      <c r="L556" s="5" t="s">
        <v>113</v>
      </c>
      <c r="M556" s="242" t="s">
        <v>835</v>
      </c>
      <c r="N556" s="476">
        <v>37</v>
      </c>
      <c r="O556" s="477" t="s">
        <v>226</v>
      </c>
      <c r="P556" s="478" t="s">
        <v>814</v>
      </c>
      <c r="Q556" s="478" t="s">
        <v>487</v>
      </c>
      <c r="R556" s="478" t="s">
        <v>686</v>
      </c>
      <c r="S556" s="479">
        <v>83</v>
      </c>
      <c r="T556" s="478" t="s">
        <v>44</v>
      </c>
      <c r="U556" s="478" t="s">
        <v>43</v>
      </c>
      <c r="V556" s="480" t="s">
        <v>10</v>
      </c>
      <c r="W556" s="51">
        <v>0.1</v>
      </c>
      <c r="X556" s="357">
        <v>0.2</v>
      </c>
      <c r="Z556" s="5" t="s">
        <v>48</v>
      </c>
      <c r="AA556" s="112" t="s">
        <v>19</v>
      </c>
    </row>
    <row r="557" spans="1:29" x14ac:dyDescent="0.25">
      <c r="A557" s="329">
        <v>45956</v>
      </c>
      <c r="B557" s="5">
        <v>10</v>
      </c>
      <c r="D557" s="5" t="s">
        <v>226</v>
      </c>
      <c r="E557" s="6">
        <v>3.63</v>
      </c>
      <c r="G557" s="362">
        <v>2</v>
      </c>
      <c r="H557" s="362">
        <v>1</v>
      </c>
      <c r="I557" s="8">
        <v>1.03</v>
      </c>
      <c r="L557" s="5" t="s">
        <v>113</v>
      </c>
      <c r="M557" s="242" t="s">
        <v>835</v>
      </c>
      <c r="N557" s="345">
        <v>38</v>
      </c>
      <c r="O557" s="38" t="s">
        <v>113</v>
      </c>
      <c r="P557" s="5" t="s">
        <v>816</v>
      </c>
      <c r="Q557" s="5" t="s">
        <v>150</v>
      </c>
      <c r="R557" s="5" t="s">
        <v>699</v>
      </c>
      <c r="S557" s="7">
        <v>72</v>
      </c>
      <c r="T557" s="5" t="s">
        <v>41</v>
      </c>
      <c r="U557" s="5" t="s">
        <v>42</v>
      </c>
      <c r="V557" s="57" t="s">
        <v>10</v>
      </c>
      <c r="W557" s="51">
        <v>0.36</v>
      </c>
      <c r="X557" s="357">
        <v>0.8</v>
      </c>
      <c r="Y557" s="351" t="s">
        <v>353</v>
      </c>
      <c r="Z557" s="5" t="s">
        <v>8</v>
      </c>
      <c r="AA557" s="112" t="s">
        <v>51</v>
      </c>
      <c r="AB557" s="108" t="s">
        <v>468</v>
      </c>
      <c r="AC557" s="57" t="s">
        <v>469</v>
      </c>
    </row>
    <row r="558" spans="1:29" x14ac:dyDescent="0.25">
      <c r="A558" s="329">
        <v>45956</v>
      </c>
      <c r="B558" s="5">
        <v>10</v>
      </c>
      <c r="D558" s="5" t="s">
        <v>226</v>
      </c>
      <c r="E558" s="6">
        <v>3.63</v>
      </c>
      <c r="G558" s="362">
        <v>2</v>
      </c>
      <c r="H558" s="362">
        <v>1</v>
      </c>
      <c r="I558" s="8">
        <v>1.03</v>
      </c>
      <c r="L558" s="5" t="s">
        <v>113</v>
      </c>
      <c r="M558" s="242" t="s">
        <v>835</v>
      </c>
      <c r="N558" s="345">
        <v>41</v>
      </c>
      <c r="O558" s="38" t="s">
        <v>113</v>
      </c>
      <c r="P558" s="5" t="s">
        <v>816</v>
      </c>
      <c r="Q558" s="5" t="s">
        <v>150</v>
      </c>
      <c r="R558" s="5" t="s">
        <v>699</v>
      </c>
      <c r="S558" s="7">
        <v>72</v>
      </c>
      <c r="T558" s="5" t="s">
        <v>47</v>
      </c>
      <c r="U558" s="5" t="s">
        <v>45</v>
      </c>
      <c r="V558" s="57" t="s">
        <v>20</v>
      </c>
      <c r="W558" s="51">
        <v>0.13</v>
      </c>
      <c r="X558" s="357" t="s">
        <v>53</v>
      </c>
      <c r="Z558" s="5" t="s">
        <v>744</v>
      </c>
      <c r="AA558" s="112" t="s">
        <v>51</v>
      </c>
      <c r="AB558" s="108" t="s">
        <v>229</v>
      </c>
      <c r="AC558" s="57" t="s">
        <v>230</v>
      </c>
    </row>
    <row r="559" spans="1:29" x14ac:dyDescent="0.25">
      <c r="A559" s="329">
        <v>45956</v>
      </c>
      <c r="B559" s="5">
        <v>10</v>
      </c>
      <c r="D559" s="5" t="s">
        <v>226</v>
      </c>
      <c r="E559" s="6">
        <v>3.63</v>
      </c>
      <c r="G559" s="362">
        <v>2</v>
      </c>
      <c r="H559" s="362">
        <v>1</v>
      </c>
      <c r="I559" s="8">
        <v>1.03</v>
      </c>
      <c r="L559" s="5" t="s">
        <v>113</v>
      </c>
      <c r="M559" s="242" t="s">
        <v>835</v>
      </c>
      <c r="N559" s="476">
        <v>43</v>
      </c>
      <c r="O559" s="477" t="s">
        <v>226</v>
      </c>
      <c r="P559" s="478" t="s">
        <v>814</v>
      </c>
      <c r="Q559" s="478" t="s">
        <v>487</v>
      </c>
      <c r="R559" s="478" t="s">
        <v>686</v>
      </c>
      <c r="S559" s="479">
        <v>83</v>
      </c>
      <c r="T559" s="478" t="s">
        <v>47</v>
      </c>
      <c r="U559" s="478" t="s">
        <v>42</v>
      </c>
      <c r="V559" s="480" t="s">
        <v>33</v>
      </c>
      <c r="W559" s="51">
        <v>0.82</v>
      </c>
      <c r="X559" s="357">
        <v>0.99</v>
      </c>
      <c r="Y559" s="351" t="s">
        <v>353</v>
      </c>
      <c r="Z559" s="5" t="s">
        <v>8</v>
      </c>
      <c r="AA559" s="112" t="s">
        <v>34</v>
      </c>
      <c r="AB559" s="108" t="s">
        <v>372</v>
      </c>
      <c r="AC559" s="57" t="s">
        <v>373</v>
      </c>
    </row>
    <row r="560" spans="1:29" x14ac:dyDescent="0.25">
      <c r="A560" s="329">
        <v>45956</v>
      </c>
      <c r="B560" s="5">
        <v>10</v>
      </c>
      <c r="D560" s="5" t="s">
        <v>226</v>
      </c>
      <c r="E560" s="6">
        <v>3.63</v>
      </c>
      <c r="G560" s="362">
        <v>2</v>
      </c>
      <c r="H560" s="362">
        <v>1</v>
      </c>
      <c r="I560" s="8">
        <v>1.03</v>
      </c>
      <c r="L560" s="5" t="s">
        <v>113</v>
      </c>
      <c r="M560" s="242" t="s">
        <v>835</v>
      </c>
      <c r="N560" s="476" t="s">
        <v>68</v>
      </c>
      <c r="O560" s="477" t="s">
        <v>226</v>
      </c>
      <c r="P560" s="478" t="s">
        <v>814</v>
      </c>
      <c r="Q560" s="478" t="s">
        <v>487</v>
      </c>
      <c r="R560" s="478" t="s">
        <v>686</v>
      </c>
      <c r="S560" s="479">
        <v>83</v>
      </c>
      <c r="T560" s="478" t="s">
        <v>41</v>
      </c>
      <c r="U560" s="478" t="s">
        <v>42</v>
      </c>
      <c r="V560" s="480" t="s">
        <v>10</v>
      </c>
      <c r="W560" s="51">
        <v>0.18</v>
      </c>
      <c r="X560" s="357">
        <v>0.23</v>
      </c>
      <c r="Z560" s="5" t="s">
        <v>48</v>
      </c>
      <c r="AA560" s="112" t="s">
        <v>34</v>
      </c>
    </row>
    <row r="561" spans="1:29" x14ac:dyDescent="0.25">
      <c r="A561" s="329">
        <v>45956</v>
      </c>
      <c r="B561" s="5">
        <v>10</v>
      </c>
      <c r="D561" s="5" t="s">
        <v>226</v>
      </c>
      <c r="E561" s="6">
        <v>3.63</v>
      </c>
      <c r="G561" s="362">
        <v>2</v>
      </c>
      <c r="H561" s="362">
        <v>1</v>
      </c>
      <c r="I561" s="8">
        <v>1.03</v>
      </c>
      <c r="L561" s="5" t="s">
        <v>113</v>
      </c>
      <c r="M561" s="242" t="s">
        <v>835</v>
      </c>
      <c r="N561" s="476">
        <v>52</v>
      </c>
      <c r="O561" s="477" t="s">
        <v>226</v>
      </c>
      <c r="P561" s="478" t="s">
        <v>833</v>
      </c>
      <c r="Q561" s="478" t="s">
        <v>232</v>
      </c>
      <c r="R561" s="478" t="s">
        <v>684</v>
      </c>
      <c r="S561" s="479">
        <v>70</v>
      </c>
      <c r="T561" s="478" t="s">
        <v>41</v>
      </c>
      <c r="U561" s="478" t="s">
        <v>42</v>
      </c>
      <c r="V561" s="480" t="s">
        <v>7</v>
      </c>
      <c r="W561" s="51">
        <v>0.79</v>
      </c>
      <c r="X561" s="357">
        <v>0.95</v>
      </c>
      <c r="Y561" s="351" t="s">
        <v>353</v>
      </c>
      <c r="Z561" s="5" t="s">
        <v>48</v>
      </c>
      <c r="AA561" s="112" t="s">
        <v>34</v>
      </c>
    </row>
    <row r="562" spans="1:29" x14ac:dyDescent="0.25">
      <c r="A562" s="329">
        <v>45956</v>
      </c>
      <c r="B562" s="5">
        <v>10</v>
      </c>
      <c r="D562" s="5" t="s">
        <v>226</v>
      </c>
      <c r="E562" s="6">
        <v>3.63</v>
      </c>
      <c r="G562" s="362">
        <v>2</v>
      </c>
      <c r="H562" s="362">
        <v>1</v>
      </c>
      <c r="I562" s="8">
        <v>1.03</v>
      </c>
      <c r="L562" s="5" t="s">
        <v>113</v>
      </c>
      <c r="M562" s="242" t="s">
        <v>835</v>
      </c>
      <c r="N562" s="345">
        <v>53</v>
      </c>
      <c r="O562" s="38" t="s">
        <v>113</v>
      </c>
      <c r="P562" s="5" t="s">
        <v>816</v>
      </c>
      <c r="Q562" s="5" t="s">
        <v>150</v>
      </c>
      <c r="R562" s="5" t="s">
        <v>699</v>
      </c>
      <c r="S562" s="7">
        <v>72</v>
      </c>
      <c r="T562" s="5" t="s">
        <v>44</v>
      </c>
      <c r="U562" s="5" t="s">
        <v>42</v>
      </c>
      <c r="V562" s="57" t="s">
        <v>10</v>
      </c>
      <c r="W562" s="51">
        <v>0.13</v>
      </c>
      <c r="X562" s="357">
        <v>0.03</v>
      </c>
      <c r="Z562" s="5" t="s">
        <v>48</v>
      </c>
      <c r="AA562" s="112" t="s">
        <v>34</v>
      </c>
    </row>
    <row r="563" spans="1:29" x14ac:dyDescent="0.25">
      <c r="A563" s="329">
        <v>45956</v>
      </c>
      <c r="B563" s="5">
        <v>10</v>
      </c>
      <c r="D563" s="5" t="s">
        <v>226</v>
      </c>
      <c r="E563" s="6">
        <v>3.63</v>
      </c>
      <c r="G563" s="362">
        <v>2</v>
      </c>
      <c r="H563" s="362">
        <v>1</v>
      </c>
      <c r="I563" s="8">
        <v>1.03</v>
      </c>
      <c r="L563" s="5" t="s">
        <v>113</v>
      </c>
      <c r="M563" s="242" t="s">
        <v>835</v>
      </c>
      <c r="N563" s="345">
        <v>71</v>
      </c>
      <c r="O563" s="38" t="s">
        <v>113</v>
      </c>
      <c r="P563" s="5" t="s">
        <v>814</v>
      </c>
      <c r="Q563" s="5" t="s">
        <v>532</v>
      </c>
      <c r="R563" s="5" t="s">
        <v>689</v>
      </c>
      <c r="S563" s="7">
        <v>64</v>
      </c>
      <c r="T563" s="5" t="s">
        <v>47</v>
      </c>
      <c r="U563" s="5" t="s">
        <v>45</v>
      </c>
      <c r="V563" s="57" t="s">
        <v>20</v>
      </c>
      <c r="W563" s="51">
        <v>0.1</v>
      </c>
      <c r="X563" s="357" t="s">
        <v>53</v>
      </c>
      <c r="Z563" s="5" t="s">
        <v>13</v>
      </c>
      <c r="AA563" s="112" t="s">
        <v>34</v>
      </c>
    </row>
    <row r="564" spans="1:29" x14ac:dyDescent="0.25">
      <c r="A564" s="329">
        <v>45956</v>
      </c>
      <c r="B564" s="5">
        <v>10</v>
      </c>
      <c r="D564" s="5" t="s">
        <v>226</v>
      </c>
      <c r="E564" s="6">
        <v>3.63</v>
      </c>
      <c r="G564" s="362">
        <v>2</v>
      </c>
      <c r="H564" s="362">
        <v>1</v>
      </c>
      <c r="I564" s="8">
        <v>1.03</v>
      </c>
      <c r="L564" s="5" t="s">
        <v>113</v>
      </c>
      <c r="M564" s="242" t="s">
        <v>835</v>
      </c>
      <c r="N564" s="476">
        <v>80</v>
      </c>
      <c r="O564" s="477" t="s">
        <v>226</v>
      </c>
      <c r="P564" s="478" t="s">
        <v>833</v>
      </c>
      <c r="Q564" s="478" t="s">
        <v>232</v>
      </c>
      <c r="R564" s="478" t="s">
        <v>684</v>
      </c>
      <c r="S564" s="479">
        <v>70</v>
      </c>
      <c r="T564" s="478" t="s">
        <v>41</v>
      </c>
      <c r="U564" s="478" t="s">
        <v>42</v>
      </c>
      <c r="V564" s="480" t="s">
        <v>18</v>
      </c>
      <c r="W564" s="51">
        <v>0.11</v>
      </c>
      <c r="X564" s="357" t="s">
        <v>53</v>
      </c>
      <c r="Z564" s="5" t="s">
        <v>52</v>
      </c>
      <c r="AA564" s="112" t="s">
        <v>34</v>
      </c>
    </row>
    <row r="565" spans="1:29" x14ac:dyDescent="0.25">
      <c r="A565" s="329">
        <v>45956</v>
      </c>
      <c r="B565" s="5">
        <v>10</v>
      </c>
      <c r="D565" s="5" t="s">
        <v>226</v>
      </c>
      <c r="E565" s="6">
        <v>3.63</v>
      </c>
      <c r="G565" s="362">
        <v>2</v>
      </c>
      <c r="H565" s="362">
        <v>1</v>
      </c>
      <c r="I565" s="8">
        <v>1.03</v>
      </c>
      <c r="L565" s="5" t="s">
        <v>113</v>
      </c>
      <c r="M565" s="242" t="s">
        <v>835</v>
      </c>
      <c r="N565" s="476">
        <v>80</v>
      </c>
      <c r="O565" s="477" t="s">
        <v>226</v>
      </c>
      <c r="P565" s="478" t="s">
        <v>810</v>
      </c>
      <c r="Q565" s="478" t="s">
        <v>234</v>
      </c>
      <c r="R565" s="478" t="s">
        <v>687</v>
      </c>
      <c r="S565" s="479">
        <v>72</v>
      </c>
      <c r="T565" s="478" t="s">
        <v>41</v>
      </c>
      <c r="U565" s="478" t="s">
        <v>42</v>
      </c>
      <c r="V565" s="480" t="s">
        <v>18</v>
      </c>
      <c r="W565" s="51">
        <v>0.1</v>
      </c>
      <c r="X565" s="357" t="s">
        <v>53</v>
      </c>
      <c r="Z565" s="5" t="s">
        <v>52</v>
      </c>
      <c r="AA565" s="112" t="s">
        <v>34</v>
      </c>
    </row>
    <row r="566" spans="1:29" x14ac:dyDescent="0.25">
      <c r="A566" s="329">
        <v>45956</v>
      </c>
      <c r="B566" s="5">
        <v>10</v>
      </c>
      <c r="D566" s="5" t="s">
        <v>226</v>
      </c>
      <c r="E566" s="6">
        <v>3.63</v>
      </c>
      <c r="G566" s="362">
        <v>2</v>
      </c>
      <c r="H566" s="362">
        <v>1</v>
      </c>
      <c r="I566" s="8">
        <v>1.03</v>
      </c>
      <c r="L566" s="5" t="s">
        <v>113</v>
      </c>
      <c r="M566" s="242" t="s">
        <v>835</v>
      </c>
      <c r="N566" s="476" t="s">
        <v>415</v>
      </c>
      <c r="O566" s="477" t="s">
        <v>226</v>
      </c>
      <c r="P566" s="478" t="s">
        <v>53</v>
      </c>
      <c r="Q566" s="478" t="s">
        <v>286</v>
      </c>
      <c r="R566" s="478" t="s">
        <v>696</v>
      </c>
      <c r="S566" s="479">
        <v>63</v>
      </c>
      <c r="T566" s="478" t="s">
        <v>41</v>
      </c>
      <c r="U566" s="478" t="s">
        <v>42</v>
      </c>
      <c r="V566" s="480" t="s">
        <v>18</v>
      </c>
      <c r="W566" s="51">
        <v>0.06</v>
      </c>
      <c r="X566" s="357">
        <v>0.12</v>
      </c>
      <c r="Z566" s="5" t="s">
        <v>48</v>
      </c>
      <c r="AA566" s="112" t="s">
        <v>34</v>
      </c>
    </row>
    <row r="567" spans="1:29" x14ac:dyDescent="0.25">
      <c r="A567" s="329">
        <v>45956</v>
      </c>
      <c r="B567" s="5">
        <v>10</v>
      </c>
      <c r="D567" s="5" t="s">
        <v>226</v>
      </c>
      <c r="E567" s="6">
        <v>3.63</v>
      </c>
      <c r="G567" s="362">
        <v>2</v>
      </c>
      <c r="H567" s="362">
        <v>1</v>
      </c>
      <c r="I567" s="8">
        <v>1.03</v>
      </c>
      <c r="L567" s="5" t="s">
        <v>113</v>
      </c>
      <c r="M567" s="242" t="s">
        <v>835</v>
      </c>
      <c r="N567" s="476" t="s">
        <v>82</v>
      </c>
      <c r="O567" s="477" t="s">
        <v>226</v>
      </c>
      <c r="P567" s="478" t="s">
        <v>53</v>
      </c>
      <c r="Q567" s="478" t="s">
        <v>286</v>
      </c>
      <c r="R567" s="478" t="s">
        <v>696</v>
      </c>
      <c r="S567" s="479">
        <v>63</v>
      </c>
      <c r="T567" s="478" t="s">
        <v>354</v>
      </c>
      <c r="U567" s="478" t="s">
        <v>42</v>
      </c>
      <c r="V567" s="480" t="s">
        <v>15</v>
      </c>
      <c r="W567" s="51">
        <v>0.06</v>
      </c>
      <c r="X567" s="357">
        <v>0.23</v>
      </c>
      <c r="Z567" s="5" t="s">
        <v>48</v>
      </c>
      <c r="AA567" s="112" t="s">
        <v>34</v>
      </c>
    </row>
    <row r="568" spans="1:29" ht="15.75" thickBot="1" x14ac:dyDescent="0.3">
      <c r="A568" s="400">
        <v>45956</v>
      </c>
      <c r="B568" s="401">
        <v>10</v>
      </c>
      <c r="C568" s="474"/>
      <c r="D568" s="401" t="s">
        <v>226</v>
      </c>
      <c r="E568" s="404">
        <v>3.63</v>
      </c>
      <c r="F568" s="404"/>
      <c r="G568" s="363">
        <v>2</v>
      </c>
      <c r="H568" s="363">
        <v>1</v>
      </c>
      <c r="I568" s="475">
        <v>1.03</v>
      </c>
      <c r="J568" s="475"/>
      <c r="K568" s="474"/>
      <c r="L568" s="401" t="s">
        <v>113</v>
      </c>
      <c r="M568" s="235"/>
      <c r="N568" s="347"/>
      <c r="O568" s="343" t="s">
        <v>226</v>
      </c>
      <c r="P568" s="199" t="s">
        <v>821</v>
      </c>
      <c r="Q568" s="199" t="s">
        <v>727</v>
      </c>
      <c r="R568" s="199" t="s">
        <v>707</v>
      </c>
      <c r="S568" s="7">
        <v>70</v>
      </c>
      <c r="T568" s="199"/>
      <c r="U568" s="199"/>
      <c r="V568" s="201"/>
      <c r="W568" s="202"/>
      <c r="X568" s="359"/>
      <c r="Y568" s="353">
        <v>1</v>
      </c>
      <c r="Z568" s="199"/>
      <c r="AA568" s="204"/>
      <c r="AB568" s="205"/>
      <c r="AC568" s="201"/>
    </row>
    <row r="569" spans="1:29" ht="15.75" thickBot="1" x14ac:dyDescent="0.3">
      <c r="A569" s="400">
        <v>45956</v>
      </c>
      <c r="B569" s="401">
        <v>10</v>
      </c>
      <c r="C569" s="474"/>
      <c r="D569" s="401" t="s">
        <v>226</v>
      </c>
      <c r="E569" s="404">
        <v>3.63</v>
      </c>
      <c r="F569" s="404"/>
      <c r="G569" s="363">
        <v>2</v>
      </c>
      <c r="H569" s="363">
        <v>1</v>
      </c>
      <c r="I569" s="475">
        <v>1.03</v>
      </c>
      <c r="J569" s="475"/>
      <c r="K569" s="474"/>
      <c r="L569" s="401" t="s">
        <v>113</v>
      </c>
      <c r="M569" s="235"/>
      <c r="N569" s="347"/>
      <c r="O569" s="343" t="s">
        <v>113</v>
      </c>
      <c r="P569" s="199" t="s">
        <v>834</v>
      </c>
      <c r="Q569" s="199" t="s">
        <v>740</v>
      </c>
      <c r="R569" s="199" t="s">
        <v>707</v>
      </c>
      <c r="S569" s="7">
        <v>95</v>
      </c>
      <c r="T569" s="199"/>
      <c r="U569" s="199"/>
      <c r="V569" s="201"/>
      <c r="W569" s="202"/>
      <c r="X569" s="359"/>
      <c r="Y569" s="353">
        <v>2</v>
      </c>
      <c r="Z569" s="199"/>
      <c r="AA569" s="204"/>
      <c r="AB569" s="205"/>
      <c r="AC569" s="201"/>
    </row>
    <row r="570" spans="1:29" x14ac:dyDescent="0.25">
      <c r="A570" s="328">
        <v>45893</v>
      </c>
      <c r="B570" s="17">
        <v>2</v>
      </c>
      <c r="C570" s="123" t="s">
        <v>702</v>
      </c>
      <c r="D570" s="17" t="s">
        <v>227</v>
      </c>
      <c r="E570" s="18">
        <v>0.83</v>
      </c>
      <c r="F570" s="18"/>
      <c r="G570" s="461">
        <v>1</v>
      </c>
      <c r="H570" s="461">
        <v>0</v>
      </c>
      <c r="I570" s="20">
        <v>0.41</v>
      </c>
      <c r="J570" s="20"/>
      <c r="K570" s="123" t="s">
        <v>694</v>
      </c>
      <c r="L570" s="17" t="s">
        <v>145</v>
      </c>
      <c r="M570" s="597" t="s">
        <v>761</v>
      </c>
      <c r="N570" s="507">
        <v>9</v>
      </c>
      <c r="O570" s="508" t="s">
        <v>227</v>
      </c>
      <c r="P570" s="509" t="s">
        <v>238</v>
      </c>
      <c r="Q570" s="509" t="s">
        <v>239</v>
      </c>
      <c r="R570" s="509" t="s">
        <v>684</v>
      </c>
      <c r="S570" s="479">
        <v>75</v>
      </c>
      <c r="T570" s="509" t="s">
        <v>41</v>
      </c>
      <c r="U570" s="509" t="s">
        <v>45</v>
      </c>
      <c r="V570" s="510" t="s">
        <v>10</v>
      </c>
      <c r="W570" s="53">
        <v>0.23</v>
      </c>
      <c r="X570" s="360">
        <v>0.42</v>
      </c>
      <c r="Y570" s="354" t="s">
        <v>353</v>
      </c>
      <c r="Z570" s="17" t="s">
        <v>8</v>
      </c>
      <c r="AA570" s="114" t="s">
        <v>19</v>
      </c>
      <c r="AB570" s="110" t="s">
        <v>421</v>
      </c>
      <c r="AC570" s="60" t="s">
        <v>656</v>
      </c>
    </row>
    <row r="571" spans="1:29" x14ac:dyDescent="0.25">
      <c r="A571" s="329">
        <v>45893</v>
      </c>
      <c r="B571" s="5">
        <v>2</v>
      </c>
      <c r="D571" s="5" t="s">
        <v>227</v>
      </c>
      <c r="E571" s="6">
        <v>0.83</v>
      </c>
      <c r="G571" s="362">
        <v>1</v>
      </c>
      <c r="H571" s="362">
        <v>0</v>
      </c>
      <c r="I571" s="8">
        <v>0.41</v>
      </c>
      <c r="L571" s="5" t="s">
        <v>145</v>
      </c>
      <c r="M571" s="242" t="s">
        <v>356</v>
      </c>
      <c r="N571" s="476">
        <v>44</v>
      </c>
      <c r="O571" s="477" t="s">
        <v>227</v>
      </c>
      <c r="P571" s="478" t="s">
        <v>238</v>
      </c>
      <c r="Q571" s="478" t="s">
        <v>239</v>
      </c>
      <c r="R571" s="478" t="s">
        <v>684</v>
      </c>
      <c r="S571" s="479">
        <v>75</v>
      </c>
      <c r="T571" s="478" t="s">
        <v>41</v>
      </c>
      <c r="U571" s="478" t="s">
        <v>43</v>
      </c>
      <c r="V571" s="480" t="s">
        <v>10</v>
      </c>
      <c r="W571" s="51">
        <v>0.04</v>
      </c>
      <c r="X571" s="357">
        <v>0.14000000000000001</v>
      </c>
      <c r="Z571" s="5" t="s">
        <v>48</v>
      </c>
      <c r="AA571" s="112" t="s">
        <v>19</v>
      </c>
    </row>
    <row r="572" spans="1:29" ht="15.75" thickBot="1" x14ac:dyDescent="0.3">
      <c r="A572" s="330">
        <v>45893</v>
      </c>
      <c r="B572" s="9">
        <v>2</v>
      </c>
      <c r="C572" s="122"/>
      <c r="D572" s="9" t="s">
        <v>227</v>
      </c>
      <c r="E572" s="10">
        <v>0.83</v>
      </c>
      <c r="F572" s="10"/>
      <c r="G572" s="383">
        <v>1</v>
      </c>
      <c r="H572" s="383">
        <v>0</v>
      </c>
      <c r="I572" s="12">
        <v>0.41</v>
      </c>
      <c r="J572" s="12"/>
      <c r="K572" s="122"/>
      <c r="L572" s="9" t="s">
        <v>145</v>
      </c>
      <c r="M572" s="445" t="s">
        <v>356</v>
      </c>
      <c r="N572" s="346" t="s">
        <v>122</v>
      </c>
      <c r="O572" s="454" t="s">
        <v>145</v>
      </c>
      <c r="P572" s="9" t="s">
        <v>271</v>
      </c>
      <c r="Q572" s="9" t="s">
        <v>272</v>
      </c>
      <c r="R572" s="9" t="s">
        <v>718</v>
      </c>
      <c r="S572" s="7">
        <v>62</v>
      </c>
      <c r="T572" s="9" t="s">
        <v>41</v>
      </c>
      <c r="U572" s="9" t="s">
        <v>42</v>
      </c>
      <c r="V572" s="58" t="s">
        <v>10</v>
      </c>
      <c r="W572" s="52">
        <v>0.35</v>
      </c>
      <c r="X572" s="358" t="s">
        <v>53</v>
      </c>
      <c r="Y572" s="352" t="s">
        <v>353</v>
      </c>
      <c r="Z572" s="9" t="s">
        <v>13</v>
      </c>
      <c r="AA572" s="113" t="s">
        <v>19</v>
      </c>
      <c r="AB572" s="109"/>
      <c r="AC572" s="58"/>
    </row>
    <row r="573" spans="1:29" ht="15.75" thickBot="1" x14ac:dyDescent="0.3">
      <c r="A573" s="326">
        <v>45893</v>
      </c>
      <c r="B573" s="207">
        <v>2</v>
      </c>
      <c r="C573" s="208"/>
      <c r="D573" s="207" t="s">
        <v>227</v>
      </c>
      <c r="E573" s="209">
        <v>0.83</v>
      </c>
      <c r="F573" s="209"/>
      <c r="G573" s="460">
        <v>1</v>
      </c>
      <c r="H573" s="460">
        <v>0</v>
      </c>
      <c r="I573" s="211">
        <v>0.41</v>
      </c>
      <c r="J573" s="211"/>
      <c r="K573" s="208"/>
      <c r="L573" s="207" t="s">
        <v>145</v>
      </c>
      <c r="M573" s="197"/>
      <c r="N573" s="347"/>
      <c r="O573" s="343" t="s">
        <v>227</v>
      </c>
      <c r="P573" s="199" t="s">
        <v>298</v>
      </c>
      <c r="Q573" s="199" t="s">
        <v>86</v>
      </c>
      <c r="R573" s="199" t="s">
        <v>707</v>
      </c>
      <c r="S573" s="479">
        <v>69</v>
      </c>
      <c r="T573" s="199"/>
      <c r="U573" s="199"/>
      <c r="V573" s="201"/>
      <c r="W573" s="202"/>
      <c r="X573" s="359"/>
      <c r="Y573" s="353">
        <v>0</v>
      </c>
      <c r="Z573" s="199"/>
      <c r="AA573" s="204"/>
      <c r="AB573" s="205"/>
      <c r="AC573" s="201"/>
    </row>
    <row r="574" spans="1:29" ht="15.75" thickBot="1" x14ac:dyDescent="0.3">
      <c r="A574" s="326">
        <v>45893</v>
      </c>
      <c r="B574" s="207">
        <v>2</v>
      </c>
      <c r="C574" s="208"/>
      <c r="D574" s="207" t="s">
        <v>227</v>
      </c>
      <c r="E574" s="209">
        <v>0.83</v>
      </c>
      <c r="F574" s="209"/>
      <c r="G574" s="460">
        <v>1</v>
      </c>
      <c r="H574" s="460">
        <v>0</v>
      </c>
      <c r="I574" s="211">
        <v>0.41</v>
      </c>
      <c r="J574" s="211"/>
      <c r="K574" s="208"/>
      <c r="L574" s="207" t="s">
        <v>145</v>
      </c>
      <c r="M574" s="197"/>
      <c r="N574" s="347"/>
      <c r="O574" s="343" t="s">
        <v>145</v>
      </c>
      <c r="P574" s="199" t="s">
        <v>482</v>
      </c>
      <c r="Q574" s="199" t="s">
        <v>483</v>
      </c>
      <c r="R574" s="199" t="s">
        <v>707</v>
      </c>
      <c r="S574" s="479">
        <v>70</v>
      </c>
      <c r="T574" s="199"/>
      <c r="U574" s="199"/>
      <c r="V574" s="201"/>
      <c r="W574" s="202"/>
      <c r="X574" s="359"/>
      <c r="Y574" s="353">
        <v>1</v>
      </c>
      <c r="Z574" s="199"/>
      <c r="AA574" s="204"/>
      <c r="AB574" s="205"/>
      <c r="AC574" s="201"/>
    </row>
    <row r="575" spans="1:29" x14ac:dyDescent="0.25">
      <c r="A575" s="328">
        <v>45914</v>
      </c>
      <c r="B575" s="17">
        <v>4</v>
      </c>
      <c r="C575" s="123" t="s">
        <v>693</v>
      </c>
      <c r="D575" s="17" t="s">
        <v>113</v>
      </c>
      <c r="E575" s="18">
        <v>4.0199999999999996</v>
      </c>
      <c r="F575" s="18"/>
      <c r="G575" s="461">
        <v>6</v>
      </c>
      <c r="H575" s="461">
        <v>0</v>
      </c>
      <c r="I575" s="20">
        <v>0.18</v>
      </c>
      <c r="J575" s="20"/>
      <c r="K575" s="123" t="s">
        <v>701</v>
      </c>
      <c r="L575" s="17" t="s">
        <v>145</v>
      </c>
      <c r="M575" s="46"/>
      <c r="N575" s="507">
        <v>5</v>
      </c>
      <c r="O575" s="508" t="s">
        <v>113</v>
      </c>
      <c r="P575" s="509" t="s">
        <v>267</v>
      </c>
      <c r="Q575" s="509" t="s">
        <v>75</v>
      </c>
      <c r="R575" s="509" t="s">
        <v>713</v>
      </c>
      <c r="S575" s="479">
        <v>74</v>
      </c>
      <c r="T575" s="509" t="s">
        <v>47</v>
      </c>
      <c r="U575" s="509" t="s">
        <v>45</v>
      </c>
      <c r="V575" s="510" t="s">
        <v>20</v>
      </c>
      <c r="W575" s="53">
        <v>0.1</v>
      </c>
      <c r="X575" s="360" t="s">
        <v>53</v>
      </c>
      <c r="Y575" s="354"/>
      <c r="Z575" s="17" t="s">
        <v>13</v>
      </c>
      <c r="AA575" s="114" t="s">
        <v>28</v>
      </c>
      <c r="AB575" s="110"/>
      <c r="AC575" s="60"/>
    </row>
    <row r="576" spans="1:29" x14ac:dyDescent="0.25">
      <c r="A576" s="329">
        <v>45914</v>
      </c>
      <c r="B576" s="5">
        <v>4</v>
      </c>
      <c r="D576" s="5" t="s">
        <v>113</v>
      </c>
      <c r="E576" s="6">
        <v>4.0199999999999996</v>
      </c>
      <c r="G576" s="362">
        <v>6</v>
      </c>
      <c r="H576" s="362">
        <v>0</v>
      </c>
      <c r="I576" s="8">
        <v>0.18</v>
      </c>
      <c r="L576" s="5" t="s">
        <v>145</v>
      </c>
      <c r="N576" s="476">
        <v>10</v>
      </c>
      <c r="O576" s="477" t="s">
        <v>113</v>
      </c>
      <c r="P576" s="478" t="s">
        <v>118</v>
      </c>
      <c r="Q576" s="478" t="s">
        <v>119</v>
      </c>
      <c r="R576" s="478" t="s">
        <v>684</v>
      </c>
      <c r="S576" s="481">
        <v>75</v>
      </c>
      <c r="T576" s="478" t="s">
        <v>41</v>
      </c>
      <c r="U576" s="478" t="s">
        <v>42</v>
      </c>
      <c r="V576" s="480" t="s">
        <v>10</v>
      </c>
      <c r="W576" s="51">
        <v>0.68</v>
      </c>
      <c r="X576" s="357" t="s">
        <v>53</v>
      </c>
      <c r="Y576" s="351" t="s">
        <v>353</v>
      </c>
      <c r="Z576" s="5" t="s">
        <v>55</v>
      </c>
      <c r="AA576" s="112" t="s">
        <v>28</v>
      </c>
    </row>
    <row r="577" spans="1:29" x14ac:dyDescent="0.25">
      <c r="A577" s="329">
        <v>45914</v>
      </c>
      <c r="B577" s="5">
        <v>4</v>
      </c>
      <c r="D577" s="5" t="s">
        <v>113</v>
      </c>
      <c r="E577" s="6">
        <v>4.0199999999999996</v>
      </c>
      <c r="G577" s="362">
        <v>6</v>
      </c>
      <c r="H577" s="362">
        <v>0</v>
      </c>
      <c r="I577" s="8">
        <v>0.18</v>
      </c>
      <c r="L577" s="5" t="s">
        <v>145</v>
      </c>
      <c r="N577" s="476">
        <v>19</v>
      </c>
      <c r="O577" s="477" t="s">
        <v>113</v>
      </c>
      <c r="P577" s="478" t="s">
        <v>118</v>
      </c>
      <c r="Q577" s="478" t="s">
        <v>119</v>
      </c>
      <c r="R577" s="478" t="s">
        <v>684</v>
      </c>
      <c r="S577" s="481">
        <v>75</v>
      </c>
      <c r="T577" s="478" t="s">
        <v>41</v>
      </c>
      <c r="U577" s="478" t="s">
        <v>42</v>
      </c>
      <c r="V577" s="480" t="s">
        <v>10</v>
      </c>
      <c r="W577" s="51">
        <v>0.12</v>
      </c>
      <c r="X577" s="357" t="s">
        <v>53</v>
      </c>
      <c r="Z577" s="5" t="s">
        <v>52</v>
      </c>
      <c r="AA577" s="112" t="s">
        <v>28</v>
      </c>
    </row>
    <row r="578" spans="1:29" x14ac:dyDescent="0.25">
      <c r="A578" s="329">
        <v>45914</v>
      </c>
      <c r="B578" s="5">
        <v>4</v>
      </c>
      <c r="D578" s="5" t="s">
        <v>113</v>
      </c>
      <c r="E578" s="6">
        <v>4.0199999999999996</v>
      </c>
      <c r="G578" s="362">
        <v>6</v>
      </c>
      <c r="H578" s="362">
        <v>0</v>
      </c>
      <c r="I578" s="8">
        <v>0.18</v>
      </c>
      <c r="L578" s="5" t="s">
        <v>145</v>
      </c>
      <c r="N578" s="476">
        <v>29</v>
      </c>
      <c r="O578" s="477" t="s">
        <v>113</v>
      </c>
      <c r="P578" s="478" t="s">
        <v>406</v>
      </c>
      <c r="Q578" s="478" t="s">
        <v>150</v>
      </c>
      <c r="R578" s="478" t="s">
        <v>699</v>
      </c>
      <c r="S578" s="479">
        <v>100</v>
      </c>
      <c r="T578" s="478" t="s">
        <v>41</v>
      </c>
      <c r="U578" s="478" t="s">
        <v>42</v>
      </c>
      <c r="V578" s="480" t="s">
        <v>10</v>
      </c>
      <c r="W578" s="51">
        <v>0.13</v>
      </c>
      <c r="X578" s="357">
        <v>0.13</v>
      </c>
      <c r="Z578" s="5" t="s">
        <v>8</v>
      </c>
      <c r="AA578" s="112" t="s">
        <v>19</v>
      </c>
      <c r="AB578" s="108" t="s">
        <v>118</v>
      </c>
      <c r="AC578" s="57" t="s">
        <v>119</v>
      </c>
    </row>
    <row r="579" spans="1:29" x14ac:dyDescent="0.25">
      <c r="A579" s="329">
        <v>45914</v>
      </c>
      <c r="B579" s="5">
        <v>4</v>
      </c>
      <c r="D579" s="5" t="s">
        <v>113</v>
      </c>
      <c r="E579" s="6">
        <v>4.0199999999999996</v>
      </c>
      <c r="G579" s="362">
        <v>6</v>
      </c>
      <c r="H579" s="362">
        <v>0</v>
      </c>
      <c r="I579" s="8">
        <v>0.18</v>
      </c>
      <c r="L579" s="5" t="s">
        <v>145</v>
      </c>
      <c r="N579" s="476">
        <v>48</v>
      </c>
      <c r="O579" s="477" t="s">
        <v>113</v>
      </c>
      <c r="P579" s="478" t="s">
        <v>118</v>
      </c>
      <c r="Q579" s="478" t="s">
        <v>119</v>
      </c>
      <c r="R579" s="478" t="s">
        <v>684</v>
      </c>
      <c r="S579" s="479">
        <v>75</v>
      </c>
      <c r="T579" s="478" t="s">
        <v>41</v>
      </c>
      <c r="U579" s="478" t="s">
        <v>42</v>
      </c>
      <c r="V579" s="480" t="s">
        <v>10</v>
      </c>
      <c r="W579" s="51">
        <v>0.41</v>
      </c>
      <c r="X579" s="357" t="s">
        <v>53</v>
      </c>
      <c r="Y579" s="351" t="s">
        <v>353</v>
      </c>
      <c r="Z579" s="5" t="s">
        <v>17</v>
      </c>
      <c r="AA579" s="112" t="s">
        <v>19</v>
      </c>
    </row>
    <row r="580" spans="1:29" x14ac:dyDescent="0.25">
      <c r="A580" s="329">
        <v>45914</v>
      </c>
      <c r="B580" s="5">
        <v>4</v>
      </c>
      <c r="D580" s="5" t="s">
        <v>113</v>
      </c>
      <c r="E580" s="6">
        <v>4.0199999999999996</v>
      </c>
      <c r="G580" s="362">
        <v>6</v>
      </c>
      <c r="H580" s="362">
        <v>0</v>
      </c>
      <c r="I580" s="8">
        <v>0.18</v>
      </c>
      <c r="L580" s="5" t="s">
        <v>145</v>
      </c>
      <c r="N580" s="476">
        <v>53</v>
      </c>
      <c r="O580" s="477" t="s">
        <v>113</v>
      </c>
      <c r="P580" s="478" t="s">
        <v>118</v>
      </c>
      <c r="Q580" s="478" t="s">
        <v>119</v>
      </c>
      <c r="R580" s="478" t="s">
        <v>684</v>
      </c>
      <c r="S580" s="479">
        <v>75</v>
      </c>
      <c r="T580" s="478" t="s">
        <v>41</v>
      </c>
      <c r="U580" s="478" t="s">
        <v>43</v>
      </c>
      <c r="V580" s="480" t="s">
        <v>10</v>
      </c>
      <c r="W580" s="51">
        <v>0.23</v>
      </c>
      <c r="X580" s="357">
        <v>0.24</v>
      </c>
      <c r="Y580" s="351" t="s">
        <v>353</v>
      </c>
      <c r="Z580" s="5" t="s">
        <v>48</v>
      </c>
      <c r="AA580" s="112" t="s">
        <v>19</v>
      </c>
    </row>
    <row r="581" spans="1:29" x14ac:dyDescent="0.25">
      <c r="A581" s="329">
        <v>45914</v>
      </c>
      <c r="B581" s="5">
        <v>4</v>
      </c>
      <c r="D581" s="5" t="s">
        <v>113</v>
      </c>
      <c r="E581" s="6">
        <v>4.0199999999999996</v>
      </c>
      <c r="G581" s="362">
        <v>6</v>
      </c>
      <c r="H581" s="362">
        <v>0</v>
      </c>
      <c r="I581" s="8">
        <v>0.18</v>
      </c>
      <c r="L581" s="5" t="s">
        <v>145</v>
      </c>
      <c r="N581" s="476">
        <v>53</v>
      </c>
      <c r="O581" s="477" t="s">
        <v>113</v>
      </c>
      <c r="P581" s="478" t="s">
        <v>53</v>
      </c>
      <c r="Q581" s="478" t="s">
        <v>117</v>
      </c>
      <c r="R581" s="478" t="s">
        <v>696</v>
      </c>
      <c r="S581" s="479">
        <v>84</v>
      </c>
      <c r="T581" s="478" t="s">
        <v>47</v>
      </c>
      <c r="U581" s="478" t="s">
        <v>42</v>
      </c>
      <c r="V581" s="480" t="s">
        <v>10</v>
      </c>
      <c r="W581" s="51">
        <v>0.56000000000000005</v>
      </c>
      <c r="X581" s="357">
        <v>0.78</v>
      </c>
      <c r="Y581" s="351" t="s">
        <v>353</v>
      </c>
      <c r="Z581" s="5" t="s">
        <v>8</v>
      </c>
      <c r="AA581" s="112" t="s">
        <v>24</v>
      </c>
      <c r="AB581" s="108" t="s">
        <v>468</v>
      </c>
      <c r="AC581" s="57" t="s">
        <v>469</v>
      </c>
    </row>
    <row r="582" spans="1:29" x14ac:dyDescent="0.25">
      <c r="A582" s="329">
        <v>45914</v>
      </c>
      <c r="B582" s="5">
        <v>4</v>
      </c>
      <c r="D582" s="5" t="s">
        <v>113</v>
      </c>
      <c r="E582" s="6">
        <v>4.0199999999999996</v>
      </c>
      <c r="G582" s="362">
        <v>6</v>
      </c>
      <c r="H582" s="362">
        <v>0</v>
      </c>
      <c r="I582" s="8">
        <v>0.18</v>
      </c>
      <c r="L582" s="5" t="s">
        <v>145</v>
      </c>
      <c r="N582" s="476">
        <v>56</v>
      </c>
      <c r="O582" s="477" t="s">
        <v>113</v>
      </c>
      <c r="P582" s="478" t="s">
        <v>406</v>
      </c>
      <c r="Q582" s="478" t="s">
        <v>150</v>
      </c>
      <c r="R582" s="478" t="s">
        <v>699</v>
      </c>
      <c r="S582" s="479">
        <v>100</v>
      </c>
      <c r="T582" s="478" t="s">
        <v>354</v>
      </c>
      <c r="U582" s="478" t="s">
        <v>43</v>
      </c>
      <c r="V582" s="480" t="s">
        <v>10</v>
      </c>
      <c r="W582" s="51">
        <v>0.02</v>
      </c>
      <c r="X582" s="357">
        <v>0.04</v>
      </c>
      <c r="Z582" s="5" t="s">
        <v>8</v>
      </c>
      <c r="AA582" s="112" t="s">
        <v>27</v>
      </c>
      <c r="AB582" s="108" t="s">
        <v>337</v>
      </c>
      <c r="AC582" s="57" t="s">
        <v>662</v>
      </c>
    </row>
    <row r="583" spans="1:29" x14ac:dyDescent="0.25">
      <c r="A583" s="329">
        <v>45914</v>
      </c>
      <c r="B583" s="5">
        <v>4</v>
      </c>
      <c r="D583" s="5" t="s">
        <v>113</v>
      </c>
      <c r="E583" s="6">
        <v>4.0199999999999996</v>
      </c>
      <c r="G583" s="362">
        <v>6</v>
      </c>
      <c r="H583" s="362">
        <v>0</v>
      </c>
      <c r="I583" s="8">
        <v>0.18</v>
      </c>
      <c r="L583" s="5" t="s">
        <v>145</v>
      </c>
      <c r="N583" s="476">
        <v>66</v>
      </c>
      <c r="O583" s="477" t="s">
        <v>113</v>
      </c>
      <c r="P583" s="478" t="s">
        <v>53</v>
      </c>
      <c r="Q583" s="478" t="s">
        <v>117</v>
      </c>
      <c r="R583" s="478" t="s">
        <v>696</v>
      </c>
      <c r="S583" s="479">
        <v>84</v>
      </c>
      <c r="T583" s="478" t="s">
        <v>41</v>
      </c>
      <c r="U583" s="478" t="s">
        <v>43</v>
      </c>
      <c r="V583" s="480" t="s">
        <v>540</v>
      </c>
      <c r="W583" s="51">
        <v>0.05</v>
      </c>
      <c r="X583" s="357">
        <v>7.0000000000000007E-2</v>
      </c>
      <c r="Z583" s="5" t="s">
        <v>8</v>
      </c>
      <c r="AA583" s="112" t="s">
        <v>32</v>
      </c>
    </row>
    <row r="584" spans="1:29" x14ac:dyDescent="0.25">
      <c r="A584" s="329">
        <v>45914</v>
      </c>
      <c r="B584" s="5">
        <v>4</v>
      </c>
      <c r="D584" s="5" t="s">
        <v>113</v>
      </c>
      <c r="E584" s="6">
        <v>4.0199999999999996</v>
      </c>
      <c r="G584" s="362">
        <v>6</v>
      </c>
      <c r="H584" s="362">
        <v>0</v>
      </c>
      <c r="I584" s="8">
        <v>0.18</v>
      </c>
      <c r="L584" s="5" t="s">
        <v>145</v>
      </c>
      <c r="N584" s="476">
        <v>70</v>
      </c>
      <c r="O584" s="477" t="s">
        <v>113</v>
      </c>
      <c r="P584" s="478" t="s">
        <v>53</v>
      </c>
      <c r="Q584" s="478" t="s">
        <v>117</v>
      </c>
      <c r="R584" s="478" t="s">
        <v>696</v>
      </c>
      <c r="S584" s="479">
        <v>84</v>
      </c>
      <c r="T584" s="478" t="s">
        <v>41</v>
      </c>
      <c r="U584" s="478" t="s">
        <v>43</v>
      </c>
      <c r="V584" s="480" t="s">
        <v>10</v>
      </c>
      <c r="W584" s="51">
        <v>0.11</v>
      </c>
      <c r="X584" s="357" t="s">
        <v>53</v>
      </c>
      <c r="Z584" s="5" t="s">
        <v>13</v>
      </c>
      <c r="AA584" s="112" t="s">
        <v>32</v>
      </c>
    </row>
    <row r="585" spans="1:29" x14ac:dyDescent="0.25">
      <c r="A585" s="329">
        <v>45914</v>
      </c>
      <c r="B585" s="5">
        <v>4</v>
      </c>
      <c r="D585" s="5" t="s">
        <v>113</v>
      </c>
      <c r="E585" s="6">
        <v>4.0199999999999996</v>
      </c>
      <c r="G585" s="362">
        <v>6</v>
      </c>
      <c r="H585" s="362">
        <v>0</v>
      </c>
      <c r="I585" s="8">
        <v>0.18</v>
      </c>
      <c r="L585" s="5" t="s">
        <v>145</v>
      </c>
      <c r="N585" s="345">
        <v>71</v>
      </c>
      <c r="O585" s="38" t="s">
        <v>145</v>
      </c>
      <c r="P585" s="5" t="s">
        <v>315</v>
      </c>
      <c r="Q585" s="5" t="s">
        <v>409</v>
      </c>
      <c r="R585" s="5" t="s">
        <v>696</v>
      </c>
      <c r="S585" s="479">
        <v>59</v>
      </c>
      <c r="T585" s="5" t="s">
        <v>41</v>
      </c>
      <c r="U585" s="5" t="s">
        <v>43</v>
      </c>
      <c r="V585" s="57" t="s">
        <v>10</v>
      </c>
      <c r="W585" s="51">
        <v>0.11</v>
      </c>
      <c r="X585" s="357">
        <v>0.28999999999999998</v>
      </c>
      <c r="Z585" s="5" t="s">
        <v>48</v>
      </c>
      <c r="AA585" s="112" t="s">
        <v>32</v>
      </c>
    </row>
    <row r="586" spans="1:29" x14ac:dyDescent="0.25">
      <c r="A586" s="329">
        <v>45914</v>
      </c>
      <c r="B586" s="5">
        <v>4</v>
      </c>
      <c r="D586" s="5" t="s">
        <v>113</v>
      </c>
      <c r="E586" s="6">
        <v>4.0199999999999996</v>
      </c>
      <c r="G586" s="362">
        <v>6</v>
      </c>
      <c r="H586" s="362">
        <v>0</v>
      </c>
      <c r="I586" s="8">
        <v>0.18</v>
      </c>
      <c r="L586" s="5" t="s">
        <v>145</v>
      </c>
      <c r="N586" s="476">
        <v>76</v>
      </c>
      <c r="O586" s="477" t="s">
        <v>113</v>
      </c>
      <c r="P586" s="478" t="s">
        <v>178</v>
      </c>
      <c r="Q586" s="478" t="s">
        <v>407</v>
      </c>
      <c r="R586" s="478" t="s">
        <v>696</v>
      </c>
      <c r="S586" s="479">
        <v>79</v>
      </c>
      <c r="T586" s="478" t="s">
        <v>41</v>
      </c>
      <c r="U586" s="478" t="s">
        <v>42</v>
      </c>
      <c r="V586" s="480" t="s">
        <v>10</v>
      </c>
      <c r="W586" s="51">
        <v>0.62</v>
      </c>
      <c r="X586" s="357">
        <v>0.86</v>
      </c>
      <c r="Y586" s="351" t="s">
        <v>353</v>
      </c>
      <c r="Z586" s="5" t="s">
        <v>8</v>
      </c>
      <c r="AA586" s="112" t="s">
        <v>285</v>
      </c>
      <c r="AB586" s="108" t="s">
        <v>124</v>
      </c>
      <c r="AC586" s="57" t="s">
        <v>125</v>
      </c>
    </row>
    <row r="587" spans="1:29" ht="15.75" thickBot="1" x14ac:dyDescent="0.3">
      <c r="A587" s="330">
        <v>45914</v>
      </c>
      <c r="B587" s="9">
        <v>4</v>
      </c>
      <c r="C587" s="122"/>
      <c r="D587" s="9" t="s">
        <v>113</v>
      </c>
      <c r="E587" s="10">
        <v>4.0199999999999996</v>
      </c>
      <c r="F587" s="10"/>
      <c r="G587" s="383">
        <v>6</v>
      </c>
      <c r="H587" s="383">
        <v>0</v>
      </c>
      <c r="I587" s="12">
        <v>0.18</v>
      </c>
      <c r="J587" s="12"/>
      <c r="K587" s="122"/>
      <c r="L587" s="9" t="s">
        <v>145</v>
      </c>
      <c r="M587" s="45"/>
      <c r="N587" s="511">
        <v>86</v>
      </c>
      <c r="O587" s="512" t="s">
        <v>113</v>
      </c>
      <c r="P587" s="513" t="s">
        <v>178</v>
      </c>
      <c r="Q587" s="513" t="s">
        <v>407</v>
      </c>
      <c r="R587" s="513" t="s">
        <v>696</v>
      </c>
      <c r="S587" s="479">
        <v>79</v>
      </c>
      <c r="T587" s="513" t="s">
        <v>41</v>
      </c>
      <c r="U587" s="513" t="s">
        <v>42</v>
      </c>
      <c r="V587" s="514" t="s">
        <v>10</v>
      </c>
      <c r="W587" s="52">
        <v>0.57999999999999996</v>
      </c>
      <c r="X587" s="358">
        <v>0.37</v>
      </c>
      <c r="Y587" s="352" t="s">
        <v>353</v>
      </c>
      <c r="Z587" s="9" t="s">
        <v>8</v>
      </c>
      <c r="AA587" s="113" t="s">
        <v>408</v>
      </c>
      <c r="AB587" s="109" t="s">
        <v>337</v>
      </c>
      <c r="AC587" s="58" t="s">
        <v>663</v>
      </c>
    </row>
    <row r="588" spans="1:29" ht="15.75" thickBot="1" x14ac:dyDescent="0.3">
      <c r="A588" s="326">
        <v>45914</v>
      </c>
      <c r="B588" s="207">
        <v>4</v>
      </c>
      <c r="C588" s="208"/>
      <c r="D588" s="207" t="s">
        <v>113</v>
      </c>
      <c r="E588" s="209">
        <v>4.0199999999999996</v>
      </c>
      <c r="F588" s="209"/>
      <c r="G588" s="460">
        <v>6</v>
      </c>
      <c r="H588" s="460">
        <v>0</v>
      </c>
      <c r="I588" s="211">
        <v>0.18</v>
      </c>
      <c r="J588" s="211"/>
      <c r="K588" s="208"/>
      <c r="L588" s="207" t="s">
        <v>145</v>
      </c>
      <c r="M588" s="235"/>
      <c r="N588" s="347"/>
      <c r="O588" s="343" t="s">
        <v>113</v>
      </c>
      <c r="P588" s="199" t="s">
        <v>475</v>
      </c>
      <c r="Q588" s="199" t="s">
        <v>75</v>
      </c>
      <c r="R588" s="199" t="s">
        <v>707</v>
      </c>
      <c r="S588" s="7">
        <v>70</v>
      </c>
      <c r="T588" s="199"/>
      <c r="U588" s="199"/>
      <c r="V588" s="201"/>
      <c r="W588" s="202"/>
      <c r="X588" s="359"/>
      <c r="Y588" s="353">
        <v>0</v>
      </c>
      <c r="Z588" s="199"/>
      <c r="AA588" s="204"/>
      <c r="AB588" s="205"/>
      <c r="AC588" s="201"/>
    </row>
    <row r="589" spans="1:29" ht="15.75" thickBot="1" x14ac:dyDescent="0.3">
      <c r="A589" s="326">
        <v>45914</v>
      </c>
      <c r="B589" s="207">
        <v>4</v>
      </c>
      <c r="C589" s="208"/>
      <c r="D589" s="207" t="s">
        <v>113</v>
      </c>
      <c r="E589" s="209">
        <v>4.0199999999999996</v>
      </c>
      <c r="F589" s="209"/>
      <c r="G589" s="460">
        <v>6</v>
      </c>
      <c r="H589" s="460">
        <v>0</v>
      </c>
      <c r="I589" s="211">
        <v>0.18</v>
      </c>
      <c r="J589" s="211"/>
      <c r="K589" s="208"/>
      <c r="L589" s="207" t="s">
        <v>145</v>
      </c>
      <c r="M589" s="235"/>
      <c r="N589" s="347"/>
      <c r="O589" s="343" t="s">
        <v>145</v>
      </c>
      <c r="P589" s="199" t="s">
        <v>482</v>
      </c>
      <c r="Q589" s="199" t="s">
        <v>483</v>
      </c>
      <c r="R589" s="199" t="s">
        <v>707</v>
      </c>
      <c r="S589" s="7">
        <v>56</v>
      </c>
      <c r="T589" s="199"/>
      <c r="U589" s="199"/>
      <c r="V589" s="201"/>
      <c r="W589" s="202"/>
      <c r="X589" s="359"/>
      <c r="Y589" s="353">
        <v>6</v>
      </c>
      <c r="Z589" s="199"/>
      <c r="AA589" s="204"/>
      <c r="AB589" s="205"/>
      <c r="AC589" s="201"/>
    </row>
    <row r="590" spans="1:29" x14ac:dyDescent="0.25">
      <c r="A590" s="331">
        <v>45923</v>
      </c>
      <c r="B590" s="13">
        <v>6</v>
      </c>
      <c r="C590" s="124" t="s">
        <v>693</v>
      </c>
      <c r="D590" s="13" t="s">
        <v>192</v>
      </c>
      <c r="E590" s="14">
        <v>2.57</v>
      </c>
      <c r="F590" s="14"/>
      <c r="G590" s="375">
        <v>2</v>
      </c>
      <c r="H590" s="375">
        <v>2</v>
      </c>
      <c r="I590" s="16">
        <v>0.74</v>
      </c>
      <c r="J590" s="16"/>
      <c r="K590" s="124" t="s">
        <v>694</v>
      </c>
      <c r="L590" s="13" t="s">
        <v>145</v>
      </c>
      <c r="M590" s="47"/>
      <c r="N590" s="349">
        <v>15</v>
      </c>
      <c r="O590" s="458" t="s">
        <v>145</v>
      </c>
      <c r="P590" s="13" t="s">
        <v>271</v>
      </c>
      <c r="Q590" s="13" t="s">
        <v>272</v>
      </c>
      <c r="R590" s="13" t="s">
        <v>684</v>
      </c>
      <c r="S590" s="479">
        <v>75</v>
      </c>
      <c r="T590" s="13" t="s">
        <v>47</v>
      </c>
      <c r="U590" s="13" t="s">
        <v>42</v>
      </c>
      <c r="V590" s="60" t="s">
        <v>10</v>
      </c>
      <c r="W590" s="54">
        <v>0.56999999999999995</v>
      </c>
      <c r="X590" s="361">
        <v>0.98</v>
      </c>
      <c r="Y590" s="355" t="s">
        <v>353</v>
      </c>
      <c r="Z590" s="13" t="s">
        <v>8</v>
      </c>
      <c r="AA590" s="115" t="s">
        <v>9</v>
      </c>
      <c r="AB590" s="110" t="s">
        <v>315</v>
      </c>
      <c r="AC590" s="60" t="s">
        <v>409</v>
      </c>
    </row>
    <row r="591" spans="1:29" x14ac:dyDescent="0.25">
      <c r="A591" s="331">
        <v>45923</v>
      </c>
      <c r="B591" s="5">
        <v>6</v>
      </c>
      <c r="D591" s="5" t="s">
        <v>192</v>
      </c>
      <c r="E591" s="6">
        <v>2.57</v>
      </c>
      <c r="G591" s="362">
        <v>2</v>
      </c>
      <c r="H591" s="362">
        <v>2</v>
      </c>
      <c r="I591" s="8">
        <v>0.74</v>
      </c>
      <c r="L591" s="5" t="s">
        <v>145</v>
      </c>
      <c r="N591" s="476">
        <v>32</v>
      </c>
      <c r="O591" s="477" t="s">
        <v>192</v>
      </c>
      <c r="P591" s="478" t="s">
        <v>196</v>
      </c>
      <c r="Q591" s="478" t="s">
        <v>75</v>
      </c>
      <c r="R591" s="478" t="s">
        <v>684</v>
      </c>
      <c r="S591" s="479">
        <v>70</v>
      </c>
      <c r="T591" s="478" t="s">
        <v>47</v>
      </c>
      <c r="U591" s="478" t="s">
        <v>43</v>
      </c>
      <c r="V591" s="480" t="s">
        <v>540</v>
      </c>
      <c r="W591" s="51">
        <v>7.0000000000000007E-2</v>
      </c>
      <c r="X591" s="357">
        <v>0.14000000000000001</v>
      </c>
      <c r="Z591" s="5" t="s">
        <v>48</v>
      </c>
      <c r="AA591" s="112" t="s">
        <v>9</v>
      </c>
    </row>
    <row r="592" spans="1:29" x14ac:dyDescent="0.25">
      <c r="A592" s="331">
        <v>45923</v>
      </c>
      <c r="B592" s="5">
        <v>6</v>
      </c>
      <c r="D592" s="5" t="s">
        <v>192</v>
      </c>
      <c r="E592" s="6">
        <v>2.57</v>
      </c>
      <c r="G592" s="362">
        <v>2</v>
      </c>
      <c r="H592" s="362">
        <v>2</v>
      </c>
      <c r="I592" s="8">
        <v>0.74</v>
      </c>
      <c r="L592" s="5" t="s">
        <v>145</v>
      </c>
      <c r="N592" s="476">
        <v>37</v>
      </c>
      <c r="O592" s="477" t="s">
        <v>192</v>
      </c>
      <c r="P592" s="478" t="s">
        <v>278</v>
      </c>
      <c r="Q592" s="478" t="s">
        <v>279</v>
      </c>
      <c r="R592" s="478" t="s">
        <v>685</v>
      </c>
      <c r="S592" s="481">
        <v>73</v>
      </c>
      <c r="T592" s="478" t="s">
        <v>41</v>
      </c>
      <c r="U592" s="478" t="s">
        <v>43</v>
      </c>
      <c r="V592" s="480" t="s">
        <v>20</v>
      </c>
      <c r="W592" s="51">
        <v>0.23</v>
      </c>
      <c r="X592" s="357" t="s">
        <v>53</v>
      </c>
      <c r="Y592" s="351" t="s">
        <v>353</v>
      </c>
      <c r="Z592" s="5" t="s">
        <v>744</v>
      </c>
      <c r="AA592" s="112" t="s">
        <v>9</v>
      </c>
      <c r="AB592" s="108" t="s">
        <v>555</v>
      </c>
      <c r="AC592" s="57" t="s">
        <v>556</v>
      </c>
    </row>
    <row r="593" spans="1:29" x14ac:dyDescent="0.25">
      <c r="A593" s="331">
        <v>45923</v>
      </c>
      <c r="B593" s="5">
        <v>6</v>
      </c>
      <c r="D593" s="5" t="s">
        <v>192</v>
      </c>
      <c r="E593" s="6">
        <v>2.57</v>
      </c>
      <c r="G593" s="362">
        <v>2</v>
      </c>
      <c r="H593" s="362">
        <v>2</v>
      </c>
      <c r="I593" s="8">
        <v>0.74</v>
      </c>
      <c r="L593" s="5" t="s">
        <v>145</v>
      </c>
      <c r="N593" s="476">
        <v>37</v>
      </c>
      <c r="O593" s="477" t="s">
        <v>192</v>
      </c>
      <c r="P593" s="478" t="s">
        <v>278</v>
      </c>
      <c r="Q593" s="478" t="s">
        <v>279</v>
      </c>
      <c r="R593" s="478" t="s">
        <v>685</v>
      </c>
      <c r="S593" s="481">
        <v>73</v>
      </c>
      <c r="T593" s="478" t="s">
        <v>41</v>
      </c>
      <c r="U593" s="478" t="s">
        <v>43</v>
      </c>
      <c r="V593" s="480" t="s">
        <v>20</v>
      </c>
      <c r="W593" s="51">
        <v>0.32</v>
      </c>
      <c r="X593" s="357" t="s">
        <v>53</v>
      </c>
      <c r="Y593" s="351" t="s">
        <v>353</v>
      </c>
      <c r="Z593" s="5" t="s">
        <v>22</v>
      </c>
      <c r="AA593" s="112" t="s">
        <v>9</v>
      </c>
    </row>
    <row r="594" spans="1:29" x14ac:dyDescent="0.25">
      <c r="A594" s="331">
        <v>45923</v>
      </c>
      <c r="B594" s="5">
        <v>6</v>
      </c>
      <c r="D594" s="5" t="s">
        <v>192</v>
      </c>
      <c r="E594" s="6">
        <v>2.57</v>
      </c>
      <c r="G594" s="362">
        <v>2</v>
      </c>
      <c r="H594" s="362">
        <v>2</v>
      </c>
      <c r="I594" s="8">
        <v>0.74</v>
      </c>
      <c r="L594" s="5" t="s">
        <v>145</v>
      </c>
      <c r="N594" s="476">
        <v>37</v>
      </c>
      <c r="O594" s="477" t="s">
        <v>192</v>
      </c>
      <c r="P594" s="478" t="s">
        <v>411</v>
      </c>
      <c r="Q594" s="478" t="s">
        <v>412</v>
      </c>
      <c r="R594" s="478" t="s">
        <v>699</v>
      </c>
      <c r="S594" s="479">
        <v>60</v>
      </c>
      <c r="T594" s="478" t="s">
        <v>47</v>
      </c>
      <c r="U594" s="478" t="s">
        <v>45</v>
      </c>
      <c r="V594" s="480" t="s">
        <v>20</v>
      </c>
      <c r="W594" s="51">
        <v>0.09</v>
      </c>
      <c r="X594" s="357" t="s">
        <v>53</v>
      </c>
      <c r="Y594" s="351" t="s">
        <v>353</v>
      </c>
      <c r="Z594" s="5" t="s">
        <v>744</v>
      </c>
      <c r="AA594" s="112" t="s">
        <v>9</v>
      </c>
      <c r="AB594" s="108" t="s">
        <v>555</v>
      </c>
      <c r="AC594" s="57" t="s">
        <v>556</v>
      </c>
    </row>
    <row r="595" spans="1:29" x14ac:dyDescent="0.25">
      <c r="A595" s="331">
        <v>45923</v>
      </c>
      <c r="B595" s="5">
        <v>6</v>
      </c>
      <c r="D595" s="5" t="s">
        <v>192</v>
      </c>
      <c r="E595" s="6">
        <v>2.57</v>
      </c>
      <c r="G595" s="362">
        <v>2</v>
      </c>
      <c r="H595" s="362">
        <v>2</v>
      </c>
      <c r="I595" s="8">
        <v>0.74</v>
      </c>
      <c r="L595" s="5" t="s">
        <v>145</v>
      </c>
      <c r="N595" s="476">
        <v>39</v>
      </c>
      <c r="O595" s="477" t="s">
        <v>192</v>
      </c>
      <c r="P595" s="478" t="s">
        <v>194</v>
      </c>
      <c r="Q595" s="478" t="s">
        <v>195</v>
      </c>
      <c r="R595" s="478" t="s">
        <v>712</v>
      </c>
      <c r="S595" s="479">
        <v>80</v>
      </c>
      <c r="T595" s="478" t="s">
        <v>41</v>
      </c>
      <c r="U595" s="478" t="s">
        <v>45</v>
      </c>
      <c r="V595" s="480" t="s">
        <v>20</v>
      </c>
      <c r="W595" s="51">
        <v>0.03</v>
      </c>
      <c r="X595" s="357" t="s">
        <v>53</v>
      </c>
      <c r="Z595" s="5" t="s">
        <v>55</v>
      </c>
      <c r="AA595" s="112" t="s">
        <v>9</v>
      </c>
    </row>
    <row r="596" spans="1:29" x14ac:dyDescent="0.25">
      <c r="A596" s="331">
        <v>45923</v>
      </c>
      <c r="B596" s="5">
        <v>6</v>
      </c>
      <c r="D596" s="5" t="s">
        <v>192</v>
      </c>
      <c r="E596" s="6">
        <v>2.57</v>
      </c>
      <c r="G596" s="362">
        <v>2</v>
      </c>
      <c r="H596" s="362">
        <v>2</v>
      </c>
      <c r="I596" s="8">
        <v>0.74</v>
      </c>
      <c r="L596" s="5" t="s">
        <v>145</v>
      </c>
      <c r="N596" s="476">
        <v>41</v>
      </c>
      <c r="O596" s="477" t="s">
        <v>192</v>
      </c>
      <c r="P596" s="478" t="s">
        <v>280</v>
      </c>
      <c r="Q596" s="478" t="s">
        <v>281</v>
      </c>
      <c r="R596" s="478" t="s">
        <v>686</v>
      </c>
      <c r="S596" s="479">
        <v>61</v>
      </c>
      <c r="T596" s="478" t="s">
        <v>41</v>
      </c>
      <c r="U596" s="478" t="s">
        <v>42</v>
      </c>
      <c r="V596" s="480" t="s">
        <v>10</v>
      </c>
      <c r="W596" s="51">
        <v>0.02</v>
      </c>
      <c r="X596" s="357">
        <v>0.12</v>
      </c>
      <c r="Z596" s="5" t="s">
        <v>48</v>
      </c>
      <c r="AA596" s="112" t="s">
        <v>9</v>
      </c>
    </row>
    <row r="597" spans="1:29" x14ac:dyDescent="0.25">
      <c r="A597" s="331">
        <v>45923</v>
      </c>
      <c r="B597" s="5">
        <v>6</v>
      </c>
      <c r="D597" s="5" t="s">
        <v>192</v>
      </c>
      <c r="E597" s="6">
        <v>2.57</v>
      </c>
      <c r="G597" s="362">
        <v>2</v>
      </c>
      <c r="H597" s="362">
        <v>2</v>
      </c>
      <c r="I597" s="8">
        <v>0.74</v>
      </c>
      <c r="L597" s="5" t="s">
        <v>145</v>
      </c>
      <c r="N597" s="476">
        <v>45</v>
      </c>
      <c r="O597" s="477" t="s">
        <v>192</v>
      </c>
      <c r="P597" s="478" t="s">
        <v>194</v>
      </c>
      <c r="Q597" s="478" t="s">
        <v>195</v>
      </c>
      <c r="R597" s="478" t="s">
        <v>712</v>
      </c>
      <c r="S597" s="479">
        <v>80</v>
      </c>
      <c r="T597" s="478" t="s">
        <v>41</v>
      </c>
      <c r="U597" s="478" t="s">
        <v>45</v>
      </c>
      <c r="V597" s="480" t="s">
        <v>20</v>
      </c>
      <c r="W597" s="51">
        <v>0.03</v>
      </c>
      <c r="X597" s="357" t="s">
        <v>53</v>
      </c>
      <c r="Z597" s="5" t="s">
        <v>55</v>
      </c>
      <c r="AA597" s="112" t="s">
        <v>9</v>
      </c>
    </row>
    <row r="598" spans="1:29" x14ac:dyDescent="0.25">
      <c r="A598" s="331">
        <v>45923</v>
      </c>
      <c r="B598" s="5">
        <v>6</v>
      </c>
      <c r="D598" s="5" t="s">
        <v>192</v>
      </c>
      <c r="E598" s="6">
        <v>2.57</v>
      </c>
      <c r="G598" s="362">
        <v>2</v>
      </c>
      <c r="H598" s="362">
        <v>2</v>
      </c>
      <c r="I598" s="8">
        <v>0.74</v>
      </c>
      <c r="L598" s="5" t="s">
        <v>145</v>
      </c>
      <c r="N598" s="476">
        <v>59</v>
      </c>
      <c r="O598" s="477" t="s">
        <v>192</v>
      </c>
      <c r="P598" s="478" t="s">
        <v>194</v>
      </c>
      <c r="Q598" s="478" t="s">
        <v>195</v>
      </c>
      <c r="R598" s="478" t="s">
        <v>712</v>
      </c>
      <c r="S598" s="479">
        <v>80</v>
      </c>
      <c r="T598" s="478" t="s">
        <v>47</v>
      </c>
      <c r="U598" s="478" t="s">
        <v>45</v>
      </c>
      <c r="V598" s="480" t="s">
        <v>20</v>
      </c>
      <c r="W598" s="51">
        <v>0.16</v>
      </c>
      <c r="X598" s="357">
        <v>0.65</v>
      </c>
      <c r="Z598" s="5" t="s">
        <v>8</v>
      </c>
      <c r="AA598" s="112" t="s">
        <v>51</v>
      </c>
      <c r="AB598" s="108" t="s">
        <v>276</v>
      </c>
      <c r="AC598" s="57" t="s">
        <v>277</v>
      </c>
    </row>
    <row r="599" spans="1:29" x14ac:dyDescent="0.25">
      <c r="A599" s="331">
        <v>45923</v>
      </c>
      <c r="B599" s="5">
        <v>6</v>
      </c>
      <c r="D599" s="5" t="s">
        <v>192</v>
      </c>
      <c r="E599" s="6">
        <v>2.57</v>
      </c>
      <c r="G599" s="362">
        <v>2</v>
      </c>
      <c r="H599" s="362">
        <v>2</v>
      </c>
      <c r="I599" s="8">
        <v>0.74</v>
      </c>
      <c r="L599" s="5" t="s">
        <v>145</v>
      </c>
      <c r="N599" s="345">
        <v>62</v>
      </c>
      <c r="O599" s="38" t="s">
        <v>145</v>
      </c>
      <c r="P599" s="5" t="s">
        <v>147</v>
      </c>
      <c r="Q599" s="5" t="s">
        <v>148</v>
      </c>
      <c r="R599" s="5" t="s">
        <v>684</v>
      </c>
      <c r="S599" s="7">
        <v>75</v>
      </c>
      <c r="T599" s="5" t="s">
        <v>41</v>
      </c>
      <c r="U599" s="5" t="s">
        <v>45</v>
      </c>
      <c r="V599" s="57" t="s">
        <v>20</v>
      </c>
      <c r="W599" s="51">
        <v>0.19</v>
      </c>
      <c r="X599" s="357">
        <v>0.44</v>
      </c>
      <c r="Y599" s="351" t="s">
        <v>353</v>
      </c>
      <c r="Z599" s="5" t="s">
        <v>8</v>
      </c>
      <c r="AA599" s="112" t="s">
        <v>67</v>
      </c>
      <c r="AB599" s="108" t="s">
        <v>667</v>
      </c>
      <c r="AC599" s="57" t="s">
        <v>668</v>
      </c>
    </row>
    <row r="600" spans="1:29" x14ac:dyDescent="0.25">
      <c r="A600" s="331">
        <v>45923</v>
      </c>
      <c r="B600" s="5">
        <v>6</v>
      </c>
      <c r="D600" s="5" t="s">
        <v>192</v>
      </c>
      <c r="E600" s="6">
        <v>2.57</v>
      </c>
      <c r="G600" s="362">
        <v>2</v>
      </c>
      <c r="H600" s="362">
        <v>2</v>
      </c>
      <c r="I600" s="8">
        <v>0.74</v>
      </c>
      <c r="L600" s="5" t="s">
        <v>145</v>
      </c>
      <c r="N600" s="476">
        <v>66</v>
      </c>
      <c r="O600" s="477" t="s">
        <v>192</v>
      </c>
      <c r="P600" s="478" t="s">
        <v>280</v>
      </c>
      <c r="Q600" s="478" t="s">
        <v>281</v>
      </c>
      <c r="R600" s="478" t="s">
        <v>686</v>
      </c>
      <c r="S600" s="479">
        <v>61</v>
      </c>
      <c r="T600" s="478" t="s">
        <v>41</v>
      </c>
      <c r="U600" s="478" t="s">
        <v>43</v>
      </c>
      <c r="V600" s="480" t="s">
        <v>10</v>
      </c>
      <c r="W600" s="51">
        <v>0.16</v>
      </c>
      <c r="X600" s="357" t="s">
        <v>53</v>
      </c>
      <c r="Z600" s="5" t="s">
        <v>52</v>
      </c>
      <c r="AA600" s="112" t="s">
        <v>67</v>
      </c>
    </row>
    <row r="601" spans="1:29" x14ac:dyDescent="0.25">
      <c r="A601" s="331">
        <v>45923</v>
      </c>
      <c r="B601" s="5">
        <v>6</v>
      </c>
      <c r="D601" s="5" t="s">
        <v>192</v>
      </c>
      <c r="E601" s="6">
        <v>2.57</v>
      </c>
      <c r="G601" s="362">
        <v>2</v>
      </c>
      <c r="H601" s="362">
        <v>2</v>
      </c>
      <c r="I601" s="8">
        <v>0.74</v>
      </c>
      <c r="L601" s="5" t="s">
        <v>145</v>
      </c>
      <c r="N601" s="476">
        <v>66</v>
      </c>
      <c r="O601" s="477" t="s">
        <v>192</v>
      </c>
      <c r="P601" s="478" t="s">
        <v>410</v>
      </c>
      <c r="Q601" s="478" t="s">
        <v>361</v>
      </c>
      <c r="R601" s="478" t="s">
        <v>696</v>
      </c>
      <c r="S601" s="479">
        <v>75</v>
      </c>
      <c r="T601" s="478" t="s">
        <v>47</v>
      </c>
      <c r="U601" s="478" t="s">
        <v>43</v>
      </c>
      <c r="V601" s="480" t="s">
        <v>540</v>
      </c>
      <c r="W601" s="51">
        <v>0.11</v>
      </c>
      <c r="X601" s="357" t="s">
        <v>53</v>
      </c>
      <c r="Z601" s="5" t="s">
        <v>52</v>
      </c>
      <c r="AA601" s="112" t="s">
        <v>67</v>
      </c>
    </row>
    <row r="602" spans="1:29" x14ac:dyDescent="0.25">
      <c r="A602" s="331">
        <v>45923</v>
      </c>
      <c r="B602" s="5">
        <v>6</v>
      </c>
      <c r="D602" s="5" t="s">
        <v>192</v>
      </c>
      <c r="E602" s="6">
        <v>2.57</v>
      </c>
      <c r="G602" s="362">
        <v>2</v>
      </c>
      <c r="H602" s="362">
        <v>2</v>
      </c>
      <c r="I602" s="8">
        <v>0.74</v>
      </c>
      <c r="L602" s="5" t="s">
        <v>145</v>
      </c>
      <c r="N602" s="476">
        <v>69</v>
      </c>
      <c r="O602" s="477" t="s">
        <v>192</v>
      </c>
      <c r="P602" s="478" t="s">
        <v>276</v>
      </c>
      <c r="Q602" s="478" t="s">
        <v>277</v>
      </c>
      <c r="R602" s="478" t="s">
        <v>687</v>
      </c>
      <c r="S602" s="479">
        <v>81</v>
      </c>
      <c r="T602" s="478" t="s">
        <v>44</v>
      </c>
      <c r="U602" s="478" t="s">
        <v>42</v>
      </c>
      <c r="V602" s="480" t="s">
        <v>540</v>
      </c>
      <c r="W602" s="51">
        <v>0.02</v>
      </c>
      <c r="X602" s="357">
        <v>0.11</v>
      </c>
      <c r="Z602" s="5" t="s">
        <v>48</v>
      </c>
      <c r="AA602" s="112" t="s">
        <v>67</v>
      </c>
    </row>
    <row r="603" spans="1:29" x14ac:dyDescent="0.25">
      <c r="A603" s="331">
        <v>45923</v>
      </c>
      <c r="B603" s="5">
        <v>6</v>
      </c>
      <c r="D603" s="5" t="s">
        <v>192</v>
      </c>
      <c r="E603" s="6">
        <v>2.57</v>
      </c>
      <c r="G603" s="362">
        <v>2</v>
      </c>
      <c r="H603" s="362">
        <v>2</v>
      </c>
      <c r="I603" s="8">
        <v>0.74</v>
      </c>
      <c r="L603" s="5" t="s">
        <v>145</v>
      </c>
      <c r="N603" s="476">
        <v>69</v>
      </c>
      <c r="O603" s="477" t="s">
        <v>192</v>
      </c>
      <c r="P603" s="478" t="s">
        <v>276</v>
      </c>
      <c r="Q603" s="478" t="s">
        <v>277</v>
      </c>
      <c r="R603" s="478" t="s">
        <v>687</v>
      </c>
      <c r="S603" s="479">
        <v>81</v>
      </c>
      <c r="T603" s="478" t="s">
        <v>44</v>
      </c>
      <c r="U603" s="478" t="s">
        <v>42</v>
      </c>
      <c r="V603" s="480" t="s">
        <v>10</v>
      </c>
      <c r="W603" s="51">
        <v>0.06</v>
      </c>
      <c r="X603" s="357">
        <v>0.11</v>
      </c>
      <c r="Z603" s="5" t="s">
        <v>48</v>
      </c>
      <c r="AA603" s="112" t="s">
        <v>67</v>
      </c>
    </row>
    <row r="604" spans="1:29" x14ac:dyDescent="0.25">
      <c r="A604" s="331">
        <v>45923</v>
      </c>
      <c r="B604" s="5">
        <v>6</v>
      </c>
      <c r="D604" s="5" t="s">
        <v>192</v>
      </c>
      <c r="E604" s="6">
        <v>2.57</v>
      </c>
      <c r="G604" s="362">
        <v>2</v>
      </c>
      <c r="H604" s="362">
        <v>2</v>
      </c>
      <c r="I604" s="8">
        <v>0.74</v>
      </c>
      <c r="L604" s="5" t="s">
        <v>145</v>
      </c>
      <c r="N604" s="476">
        <v>77</v>
      </c>
      <c r="O604" s="477" t="s">
        <v>192</v>
      </c>
      <c r="P604" s="478" t="s">
        <v>196</v>
      </c>
      <c r="Q604" s="478" t="s">
        <v>75</v>
      </c>
      <c r="R604" s="478" t="s">
        <v>684</v>
      </c>
      <c r="S604" s="479">
        <v>70</v>
      </c>
      <c r="T604" s="478" t="s">
        <v>41</v>
      </c>
      <c r="U604" s="478" t="s">
        <v>43</v>
      </c>
      <c r="V604" s="480" t="s">
        <v>10</v>
      </c>
      <c r="W604" s="51">
        <v>0.31</v>
      </c>
      <c r="X604" s="357" t="s">
        <v>53</v>
      </c>
      <c r="Y604" s="351" t="s">
        <v>353</v>
      </c>
      <c r="Z604" s="5" t="s">
        <v>22</v>
      </c>
      <c r="AA604" s="112" t="s">
        <v>67</v>
      </c>
    </row>
    <row r="605" spans="1:29" x14ac:dyDescent="0.25">
      <c r="A605" s="331">
        <v>45923</v>
      </c>
      <c r="B605" s="5">
        <v>6</v>
      </c>
      <c r="D605" s="5" t="s">
        <v>192</v>
      </c>
      <c r="E605" s="6">
        <v>2.57</v>
      </c>
      <c r="G605" s="362">
        <v>2</v>
      </c>
      <c r="H605" s="362">
        <v>2</v>
      </c>
      <c r="I605" s="8">
        <v>0.74</v>
      </c>
      <c r="L605" s="5" t="s">
        <v>145</v>
      </c>
      <c r="N605" s="476">
        <v>85</v>
      </c>
      <c r="O605" s="477" t="s">
        <v>192</v>
      </c>
      <c r="P605" s="478" t="s">
        <v>276</v>
      </c>
      <c r="Q605" s="478" t="s">
        <v>277</v>
      </c>
      <c r="R605" s="478" t="s">
        <v>687</v>
      </c>
      <c r="S605" s="479">
        <v>81</v>
      </c>
      <c r="T605" s="478" t="s">
        <v>47</v>
      </c>
      <c r="U605" s="478" t="s">
        <v>42</v>
      </c>
      <c r="V605" s="480" t="s">
        <v>10</v>
      </c>
      <c r="W605" s="51">
        <v>0.24</v>
      </c>
      <c r="X605" s="357" t="s">
        <v>53</v>
      </c>
      <c r="Y605" s="351" t="s">
        <v>353</v>
      </c>
      <c r="Z605" s="5" t="s">
        <v>13</v>
      </c>
      <c r="AA605" s="112" t="s">
        <v>67</v>
      </c>
    </row>
    <row r="606" spans="1:29" x14ac:dyDescent="0.25">
      <c r="A606" s="331">
        <v>45923</v>
      </c>
      <c r="B606" s="5">
        <v>6</v>
      </c>
      <c r="D606" s="5" t="s">
        <v>192</v>
      </c>
      <c r="E606" s="6">
        <v>2.57</v>
      </c>
      <c r="G606" s="362">
        <v>2</v>
      </c>
      <c r="H606" s="362">
        <v>2</v>
      </c>
      <c r="I606" s="8">
        <v>0.74</v>
      </c>
      <c r="L606" s="5" t="s">
        <v>145</v>
      </c>
      <c r="N606" s="476" t="s">
        <v>35</v>
      </c>
      <c r="O606" s="477" t="s">
        <v>192</v>
      </c>
      <c r="P606" s="478" t="s">
        <v>278</v>
      </c>
      <c r="Q606" s="478" t="s">
        <v>279</v>
      </c>
      <c r="R606" s="478" t="s">
        <v>685</v>
      </c>
      <c r="S606" s="479">
        <v>73</v>
      </c>
      <c r="T606" s="478" t="s">
        <v>41</v>
      </c>
      <c r="U606" s="478" t="s">
        <v>43</v>
      </c>
      <c r="V606" s="480" t="s">
        <v>10</v>
      </c>
      <c r="W606" s="51">
        <v>0.54</v>
      </c>
      <c r="X606" s="357">
        <v>0.48</v>
      </c>
      <c r="Y606" s="351" t="s">
        <v>353</v>
      </c>
      <c r="Z606" s="5" t="s">
        <v>48</v>
      </c>
      <c r="AA606" s="112" t="s">
        <v>67</v>
      </c>
    </row>
    <row r="607" spans="1:29" ht="15.75" thickBot="1" x14ac:dyDescent="0.3">
      <c r="A607" s="330">
        <v>45923</v>
      </c>
      <c r="B607" s="9">
        <v>6</v>
      </c>
      <c r="C607" s="122"/>
      <c r="D607" s="9" t="s">
        <v>192</v>
      </c>
      <c r="E607" s="10">
        <v>2.57</v>
      </c>
      <c r="F607" s="10"/>
      <c r="G607" s="383">
        <v>2</v>
      </c>
      <c r="H607" s="383">
        <v>2</v>
      </c>
      <c r="I607" s="12">
        <v>0.74</v>
      </c>
      <c r="J607" s="12"/>
      <c r="K607" s="122"/>
      <c r="L607" s="9" t="s">
        <v>145</v>
      </c>
      <c r="M607" s="45"/>
      <c r="N607" s="511" t="s">
        <v>57</v>
      </c>
      <c r="O607" s="512" t="s">
        <v>192</v>
      </c>
      <c r="P607" s="513" t="s">
        <v>278</v>
      </c>
      <c r="Q607" s="513" t="s">
        <v>279</v>
      </c>
      <c r="R607" s="513" t="s">
        <v>685</v>
      </c>
      <c r="S607" s="479">
        <v>73</v>
      </c>
      <c r="T607" s="513" t="s">
        <v>47</v>
      </c>
      <c r="U607" s="513" t="s">
        <v>45</v>
      </c>
      <c r="V607" s="514" t="s">
        <v>33</v>
      </c>
      <c r="W607" s="52">
        <v>0.17</v>
      </c>
      <c r="X607" s="358">
        <v>0.8</v>
      </c>
      <c r="Y607" s="352" t="s">
        <v>353</v>
      </c>
      <c r="Z607" s="9" t="s">
        <v>8</v>
      </c>
      <c r="AA607" s="113" t="s">
        <v>189</v>
      </c>
      <c r="AB607" s="109" t="s">
        <v>410</v>
      </c>
      <c r="AC607" s="58" t="s">
        <v>361</v>
      </c>
    </row>
    <row r="608" spans="1:29" ht="15.75" thickBot="1" x14ac:dyDescent="0.3">
      <c r="A608" s="326">
        <v>45923</v>
      </c>
      <c r="B608" s="207">
        <v>6</v>
      </c>
      <c r="C608" s="208"/>
      <c r="D608" s="207" t="s">
        <v>192</v>
      </c>
      <c r="E608" s="209">
        <v>2.57</v>
      </c>
      <c r="F608" s="209"/>
      <c r="G608" s="460">
        <v>2</v>
      </c>
      <c r="H608" s="460">
        <v>2</v>
      </c>
      <c r="I608" s="211">
        <v>0.74</v>
      </c>
      <c r="J608" s="211"/>
      <c r="K608" s="208"/>
      <c r="L608" s="207" t="s">
        <v>145</v>
      </c>
      <c r="M608" s="235"/>
      <c r="N608" s="347"/>
      <c r="O608" s="343" t="s">
        <v>192</v>
      </c>
      <c r="P608" s="199" t="s">
        <v>723</v>
      </c>
      <c r="Q608" s="199" t="s">
        <v>724</v>
      </c>
      <c r="R608" s="199" t="s">
        <v>707</v>
      </c>
      <c r="S608" s="7">
        <v>59</v>
      </c>
      <c r="T608" s="199"/>
      <c r="U608" s="199"/>
      <c r="V608" s="201"/>
      <c r="W608" s="202"/>
      <c r="X608" s="359"/>
      <c r="Y608" s="353">
        <v>2</v>
      </c>
      <c r="Z608" s="199"/>
      <c r="AA608" s="204"/>
      <c r="AB608" s="205"/>
      <c r="AC608" s="201"/>
    </row>
    <row r="609" spans="1:29" ht="15.75" thickBot="1" x14ac:dyDescent="0.3">
      <c r="A609" s="326">
        <v>45923</v>
      </c>
      <c r="B609" s="207">
        <v>6</v>
      </c>
      <c r="C609" s="208"/>
      <c r="D609" s="207" t="s">
        <v>192</v>
      </c>
      <c r="E609" s="209">
        <v>2.57</v>
      </c>
      <c r="F609" s="209"/>
      <c r="G609" s="460">
        <v>2</v>
      </c>
      <c r="H609" s="460">
        <v>2</v>
      </c>
      <c r="I609" s="211">
        <v>0.74</v>
      </c>
      <c r="J609" s="211"/>
      <c r="K609" s="208"/>
      <c r="L609" s="207" t="s">
        <v>145</v>
      </c>
      <c r="M609" s="235"/>
      <c r="N609" s="347"/>
      <c r="O609" s="343" t="s">
        <v>145</v>
      </c>
      <c r="P609" s="199" t="s">
        <v>482</v>
      </c>
      <c r="Q609" s="199" t="s">
        <v>483</v>
      </c>
      <c r="R609" s="199" t="s">
        <v>707</v>
      </c>
      <c r="S609" s="479">
        <v>80</v>
      </c>
      <c r="T609" s="199"/>
      <c r="U609" s="199"/>
      <c r="V609" s="201"/>
      <c r="W609" s="202"/>
      <c r="X609" s="359"/>
      <c r="Y609" s="353">
        <v>2</v>
      </c>
      <c r="Z609" s="199"/>
      <c r="AA609" s="204"/>
      <c r="AB609" s="205"/>
      <c r="AC609" s="201"/>
    </row>
    <row r="610" spans="1:29" x14ac:dyDescent="0.25">
      <c r="A610" s="331">
        <v>45934</v>
      </c>
      <c r="B610" s="13">
        <v>8</v>
      </c>
      <c r="C610" s="124" t="s">
        <v>700</v>
      </c>
      <c r="D610" s="13" t="s">
        <v>69</v>
      </c>
      <c r="E610" s="14">
        <v>1.02</v>
      </c>
      <c r="F610" s="14"/>
      <c r="G610" s="375">
        <v>2</v>
      </c>
      <c r="H610" s="375">
        <v>1</v>
      </c>
      <c r="I610" s="16">
        <v>1.1399999999999999</v>
      </c>
      <c r="J610" s="16"/>
      <c r="K610" s="124" t="s">
        <v>694</v>
      </c>
      <c r="L610" s="13" t="s">
        <v>145</v>
      </c>
      <c r="M610" s="237" t="s">
        <v>557</v>
      </c>
      <c r="N610" s="556">
        <v>3</v>
      </c>
      <c r="O610" s="557" t="s">
        <v>69</v>
      </c>
      <c r="P610" s="558" t="s">
        <v>53</v>
      </c>
      <c r="Q610" s="558" t="s">
        <v>324</v>
      </c>
      <c r="R610" s="558" t="s">
        <v>685</v>
      </c>
      <c r="S610" s="479">
        <v>61</v>
      </c>
      <c r="T610" s="558" t="s">
        <v>41</v>
      </c>
      <c r="U610" s="558" t="s">
        <v>42</v>
      </c>
      <c r="V610" s="559" t="s">
        <v>10</v>
      </c>
      <c r="W610" s="54">
        <v>0.25</v>
      </c>
      <c r="X610" s="361">
        <v>0.54</v>
      </c>
      <c r="Y610" s="355" t="s">
        <v>353</v>
      </c>
      <c r="Z610" s="13" t="s">
        <v>48</v>
      </c>
      <c r="AA610" s="115" t="s">
        <v>28</v>
      </c>
      <c r="AB610" s="110"/>
      <c r="AC610" s="60"/>
    </row>
    <row r="611" spans="1:29" x14ac:dyDescent="0.25">
      <c r="A611" s="329">
        <v>45934</v>
      </c>
      <c r="B611" s="5">
        <v>8</v>
      </c>
      <c r="D611" s="5" t="s">
        <v>69</v>
      </c>
      <c r="E611" s="6">
        <v>1.02</v>
      </c>
      <c r="G611" s="362">
        <v>2</v>
      </c>
      <c r="H611" s="362">
        <v>1</v>
      </c>
      <c r="I611" s="8">
        <v>1.1399999999999999</v>
      </c>
      <c r="L611" s="5" t="s">
        <v>145</v>
      </c>
      <c r="M611" s="237" t="s">
        <v>557</v>
      </c>
      <c r="N611" s="476">
        <v>18</v>
      </c>
      <c r="O611" s="477" t="s">
        <v>69</v>
      </c>
      <c r="P611" s="478" t="s">
        <v>389</v>
      </c>
      <c r="Q611" s="478" t="s">
        <v>390</v>
      </c>
      <c r="R611" s="478" t="s">
        <v>684</v>
      </c>
      <c r="S611" s="479">
        <v>75</v>
      </c>
      <c r="T611" s="478" t="s">
        <v>44</v>
      </c>
      <c r="U611" s="478" t="s">
        <v>42</v>
      </c>
      <c r="V611" s="480" t="s">
        <v>540</v>
      </c>
      <c r="W611" s="51">
        <v>0.09</v>
      </c>
      <c r="X611" s="357">
        <v>0.72</v>
      </c>
      <c r="Z611" s="5" t="s">
        <v>8</v>
      </c>
      <c r="AA611" s="112" t="s">
        <v>19</v>
      </c>
    </row>
    <row r="612" spans="1:29" x14ac:dyDescent="0.25">
      <c r="A612" s="329">
        <v>45934</v>
      </c>
      <c r="B612" s="5">
        <v>8</v>
      </c>
      <c r="D612" s="5" t="s">
        <v>69</v>
      </c>
      <c r="E612" s="6">
        <v>1.02</v>
      </c>
      <c r="G612" s="362">
        <v>2</v>
      </c>
      <c r="H612" s="362">
        <v>1</v>
      </c>
      <c r="I612" s="8">
        <v>1.1399999999999999</v>
      </c>
      <c r="L612" s="5" t="s">
        <v>145</v>
      </c>
      <c r="M612" s="237" t="s">
        <v>557</v>
      </c>
      <c r="N612" s="345">
        <v>32</v>
      </c>
      <c r="O612" s="38" t="s">
        <v>145</v>
      </c>
      <c r="P612" s="5" t="s">
        <v>306</v>
      </c>
      <c r="Q612" s="5" t="s">
        <v>307</v>
      </c>
      <c r="R612" s="5" t="s">
        <v>688</v>
      </c>
      <c r="S612" s="479">
        <v>64</v>
      </c>
      <c r="T612" s="5" t="s">
        <v>44</v>
      </c>
      <c r="U612" s="5" t="s">
        <v>43</v>
      </c>
      <c r="V612" s="57" t="s">
        <v>29</v>
      </c>
      <c r="W612" s="51">
        <v>0.08</v>
      </c>
      <c r="X612" s="357">
        <v>0.12</v>
      </c>
      <c r="Z612" s="5" t="s">
        <v>48</v>
      </c>
      <c r="AA612" s="112" t="s">
        <v>19</v>
      </c>
    </row>
    <row r="613" spans="1:29" x14ac:dyDescent="0.25">
      <c r="A613" s="329">
        <v>45934</v>
      </c>
      <c r="B613" s="5">
        <v>8</v>
      </c>
      <c r="D613" s="5" t="s">
        <v>69</v>
      </c>
      <c r="E613" s="6">
        <v>1.02</v>
      </c>
      <c r="G613" s="362">
        <v>2</v>
      </c>
      <c r="H613" s="362">
        <v>1</v>
      </c>
      <c r="I613" s="8">
        <v>1.1399999999999999</v>
      </c>
      <c r="L613" s="5" t="s">
        <v>145</v>
      </c>
      <c r="M613" s="237" t="s">
        <v>557</v>
      </c>
      <c r="N613" s="345">
        <v>42</v>
      </c>
      <c r="O613" s="38" t="s">
        <v>145</v>
      </c>
      <c r="P613" s="5" t="s">
        <v>271</v>
      </c>
      <c r="Q613" s="5" t="s">
        <v>272</v>
      </c>
      <c r="R613" s="5" t="s">
        <v>718</v>
      </c>
      <c r="S613" s="479">
        <v>69</v>
      </c>
      <c r="T613" s="5" t="s">
        <v>41</v>
      </c>
      <c r="U613" s="5" t="s">
        <v>43</v>
      </c>
      <c r="V613" s="57" t="s">
        <v>18</v>
      </c>
      <c r="W613" s="51">
        <v>0.04</v>
      </c>
      <c r="X613" s="357" t="s">
        <v>53</v>
      </c>
      <c r="Z613" s="5" t="s">
        <v>16</v>
      </c>
      <c r="AA613" s="112" t="s">
        <v>19</v>
      </c>
    </row>
    <row r="614" spans="1:29" x14ac:dyDescent="0.25">
      <c r="A614" s="329">
        <v>45934</v>
      </c>
      <c r="B614" s="5">
        <v>8</v>
      </c>
      <c r="D614" s="5" t="s">
        <v>69</v>
      </c>
      <c r="E614" s="6">
        <v>1.02</v>
      </c>
      <c r="G614" s="362">
        <v>2</v>
      </c>
      <c r="H614" s="362">
        <v>1</v>
      </c>
      <c r="I614" s="8">
        <v>1.1399999999999999</v>
      </c>
      <c r="L614" s="5" t="s">
        <v>145</v>
      </c>
      <c r="M614" s="237" t="s">
        <v>557</v>
      </c>
      <c r="N614" s="345" t="s">
        <v>122</v>
      </c>
      <c r="O614" s="38" t="s">
        <v>145</v>
      </c>
      <c r="P614" s="5" t="s">
        <v>53</v>
      </c>
      <c r="Q614" s="5" t="s">
        <v>554</v>
      </c>
      <c r="R614" s="5" t="s">
        <v>695</v>
      </c>
      <c r="S614" s="479">
        <v>69</v>
      </c>
      <c r="T614" s="5" t="s">
        <v>44</v>
      </c>
      <c r="U614" s="5" t="s">
        <v>42</v>
      </c>
      <c r="V614" s="57" t="s">
        <v>15</v>
      </c>
      <c r="W614" s="51">
        <v>0.1</v>
      </c>
      <c r="X614" s="357" t="s">
        <v>53</v>
      </c>
      <c r="Z614" s="5" t="s">
        <v>13</v>
      </c>
      <c r="AA614" s="112" t="s">
        <v>19</v>
      </c>
    </row>
    <row r="615" spans="1:29" x14ac:dyDescent="0.25">
      <c r="A615" s="329">
        <v>45934</v>
      </c>
      <c r="B615" s="5">
        <v>8</v>
      </c>
      <c r="D615" s="5" t="s">
        <v>69</v>
      </c>
      <c r="E615" s="6">
        <v>1.02</v>
      </c>
      <c r="G615" s="362">
        <v>2</v>
      </c>
      <c r="H615" s="362">
        <v>1</v>
      </c>
      <c r="I615" s="8">
        <v>1.1399999999999999</v>
      </c>
      <c r="L615" s="5" t="s">
        <v>145</v>
      </c>
      <c r="M615" s="237" t="s">
        <v>557</v>
      </c>
      <c r="N615" s="345">
        <v>55</v>
      </c>
      <c r="O615" s="38" t="s">
        <v>145</v>
      </c>
      <c r="P615" s="5" t="s">
        <v>149</v>
      </c>
      <c r="Q615" s="5" t="s">
        <v>150</v>
      </c>
      <c r="R615" s="5" t="s">
        <v>685</v>
      </c>
      <c r="S615" s="479">
        <v>70</v>
      </c>
      <c r="T615" s="5" t="s">
        <v>44</v>
      </c>
      <c r="U615" s="5" t="s">
        <v>43</v>
      </c>
      <c r="V615" s="57" t="s">
        <v>10</v>
      </c>
      <c r="W615" s="51">
        <v>0.03</v>
      </c>
      <c r="X615" s="357" t="s">
        <v>53</v>
      </c>
      <c r="Z615" s="5" t="s">
        <v>17</v>
      </c>
      <c r="AA615" s="112" t="s">
        <v>19</v>
      </c>
    </row>
    <row r="616" spans="1:29" x14ac:dyDescent="0.25">
      <c r="A616" s="329">
        <v>45934</v>
      </c>
      <c r="B616" s="5">
        <v>8</v>
      </c>
      <c r="D616" s="5" t="s">
        <v>69</v>
      </c>
      <c r="E616" s="6">
        <v>1.02</v>
      </c>
      <c r="G616" s="362">
        <v>2</v>
      </c>
      <c r="H616" s="362">
        <v>1</v>
      </c>
      <c r="I616" s="8">
        <v>1.1399999999999999</v>
      </c>
      <c r="L616" s="5" t="s">
        <v>145</v>
      </c>
      <c r="M616" s="237" t="s">
        <v>557</v>
      </c>
      <c r="N616" s="345">
        <v>57</v>
      </c>
      <c r="O616" s="38" t="s">
        <v>145</v>
      </c>
      <c r="P616" s="5" t="s">
        <v>149</v>
      </c>
      <c r="Q616" s="5" t="s">
        <v>150</v>
      </c>
      <c r="R616" s="5" t="s">
        <v>685</v>
      </c>
      <c r="S616" s="479">
        <v>70</v>
      </c>
      <c r="T616" s="5" t="s">
        <v>47</v>
      </c>
      <c r="U616" s="5" t="s">
        <v>42</v>
      </c>
      <c r="V616" s="57" t="s">
        <v>10</v>
      </c>
      <c r="W616" s="51">
        <v>0.24</v>
      </c>
      <c r="X616" s="357">
        <v>0.21</v>
      </c>
      <c r="Y616" s="351" t="s">
        <v>353</v>
      </c>
      <c r="Z616" s="5" t="s">
        <v>8</v>
      </c>
      <c r="AA616" s="112" t="s">
        <v>51</v>
      </c>
      <c r="AB616" s="108" t="s">
        <v>271</v>
      </c>
      <c r="AC616" s="57" t="s">
        <v>272</v>
      </c>
    </row>
    <row r="617" spans="1:29" x14ac:dyDescent="0.25">
      <c r="A617" s="329">
        <v>45934</v>
      </c>
      <c r="B617" s="5">
        <v>8</v>
      </c>
      <c r="D617" s="5" t="s">
        <v>69</v>
      </c>
      <c r="E617" s="6">
        <v>1.02</v>
      </c>
      <c r="G617" s="362">
        <v>2</v>
      </c>
      <c r="H617" s="362">
        <v>1</v>
      </c>
      <c r="I617" s="8">
        <v>1.1399999999999999</v>
      </c>
      <c r="L617" s="5" t="s">
        <v>145</v>
      </c>
      <c r="M617" s="237" t="s">
        <v>557</v>
      </c>
      <c r="N617" s="345">
        <v>60</v>
      </c>
      <c r="O617" s="38" t="s">
        <v>145</v>
      </c>
      <c r="P617" s="5" t="s">
        <v>555</v>
      </c>
      <c r="Q617" s="5" t="s">
        <v>556</v>
      </c>
      <c r="R617" s="5" t="s">
        <v>713</v>
      </c>
      <c r="S617" s="479">
        <v>64</v>
      </c>
      <c r="T617" s="5" t="s">
        <v>41</v>
      </c>
      <c r="U617" s="5" t="s">
        <v>43</v>
      </c>
      <c r="V617" s="57" t="s">
        <v>20</v>
      </c>
      <c r="W617" s="51">
        <v>0.03</v>
      </c>
      <c r="X617" s="357">
        <v>0.21</v>
      </c>
      <c r="Z617" s="5" t="s">
        <v>48</v>
      </c>
      <c r="AA617" s="112" t="s">
        <v>51</v>
      </c>
    </row>
    <row r="618" spans="1:29" x14ac:dyDescent="0.25">
      <c r="A618" s="329">
        <v>45934</v>
      </c>
      <c r="B618" s="5">
        <v>8</v>
      </c>
      <c r="D618" s="5" t="s">
        <v>69</v>
      </c>
      <c r="E618" s="6">
        <v>1.02</v>
      </c>
      <c r="G618" s="362">
        <v>2</v>
      </c>
      <c r="H618" s="362">
        <v>1</v>
      </c>
      <c r="I618" s="8">
        <v>1.1399999999999999</v>
      </c>
      <c r="L618" s="5" t="s">
        <v>145</v>
      </c>
      <c r="M618" s="237" t="s">
        <v>557</v>
      </c>
      <c r="N618" s="345">
        <v>61</v>
      </c>
      <c r="O618" s="38" t="s">
        <v>145</v>
      </c>
      <c r="P618" s="5" t="s">
        <v>151</v>
      </c>
      <c r="Q618" s="5" t="s">
        <v>152</v>
      </c>
      <c r="R618" s="5" t="s">
        <v>696</v>
      </c>
      <c r="S618" s="479">
        <v>64</v>
      </c>
      <c r="T618" s="5" t="s">
        <v>41</v>
      </c>
      <c r="U618" s="5" t="s">
        <v>42</v>
      </c>
      <c r="V618" s="57" t="s">
        <v>20</v>
      </c>
      <c r="W618" s="51">
        <v>0.09</v>
      </c>
      <c r="X618" s="357" t="s">
        <v>53</v>
      </c>
      <c r="Y618" s="351" t="s">
        <v>353</v>
      </c>
      <c r="Z618" s="5" t="s">
        <v>13</v>
      </c>
      <c r="AA618" s="112" t="s">
        <v>51</v>
      </c>
    </row>
    <row r="619" spans="1:29" x14ac:dyDescent="0.25">
      <c r="A619" s="329">
        <v>45934</v>
      </c>
      <c r="B619" s="5">
        <v>8</v>
      </c>
      <c r="D619" s="5" t="s">
        <v>69</v>
      </c>
      <c r="E619" s="6">
        <v>1.02</v>
      </c>
      <c r="G619" s="362">
        <v>2</v>
      </c>
      <c r="H619" s="362">
        <v>1</v>
      </c>
      <c r="I619" s="8">
        <v>1.1399999999999999</v>
      </c>
      <c r="L619" s="5" t="s">
        <v>145</v>
      </c>
      <c r="M619" s="237" t="s">
        <v>557</v>
      </c>
      <c r="N619" s="476">
        <v>63</v>
      </c>
      <c r="O619" s="477" t="s">
        <v>69</v>
      </c>
      <c r="P619" s="478" t="s">
        <v>389</v>
      </c>
      <c r="Q619" s="478" t="s">
        <v>390</v>
      </c>
      <c r="R619" s="478" t="s">
        <v>684</v>
      </c>
      <c r="S619" s="479">
        <v>75</v>
      </c>
      <c r="T619" s="478" t="s">
        <v>47</v>
      </c>
      <c r="U619" s="478" t="s">
        <v>43</v>
      </c>
      <c r="V619" s="480" t="s">
        <v>33</v>
      </c>
      <c r="W619" s="51">
        <v>0.51</v>
      </c>
      <c r="X619" s="357">
        <v>0.25</v>
      </c>
      <c r="Y619" s="351" t="s">
        <v>353</v>
      </c>
      <c r="Z619" s="5" t="s">
        <v>48</v>
      </c>
      <c r="AA619" s="112" t="s">
        <v>51</v>
      </c>
    </row>
    <row r="620" spans="1:29" x14ac:dyDescent="0.25">
      <c r="A620" s="329">
        <v>45934</v>
      </c>
      <c r="B620" s="5">
        <v>8</v>
      </c>
      <c r="D620" s="5" t="s">
        <v>69</v>
      </c>
      <c r="E620" s="6">
        <v>1.02</v>
      </c>
      <c r="G620" s="362">
        <v>2</v>
      </c>
      <c r="H620" s="362">
        <v>1</v>
      </c>
      <c r="I620" s="8">
        <v>1.1399999999999999</v>
      </c>
      <c r="L620" s="5" t="s">
        <v>145</v>
      </c>
      <c r="M620" s="237" t="s">
        <v>557</v>
      </c>
      <c r="N620" s="476">
        <v>63</v>
      </c>
      <c r="O620" s="477" t="s">
        <v>69</v>
      </c>
      <c r="P620" s="478" t="s">
        <v>553</v>
      </c>
      <c r="Q620" s="478" t="s">
        <v>131</v>
      </c>
      <c r="R620" s="478" t="s">
        <v>689</v>
      </c>
      <c r="S620" s="479">
        <v>76</v>
      </c>
      <c r="T620" s="478" t="s">
        <v>47</v>
      </c>
      <c r="U620" s="478" t="s">
        <v>42</v>
      </c>
      <c r="V620" s="480" t="s">
        <v>33</v>
      </c>
      <c r="W620" s="51">
        <v>0.31</v>
      </c>
      <c r="X620" s="357">
        <v>0.86</v>
      </c>
      <c r="Y620" s="351" t="s">
        <v>353</v>
      </c>
      <c r="Z620" s="5" t="s">
        <v>8</v>
      </c>
      <c r="AA620" s="112" t="s">
        <v>34</v>
      </c>
    </row>
    <row r="621" spans="1:29" x14ac:dyDescent="0.25">
      <c r="A621" s="329">
        <v>45934</v>
      </c>
      <c r="B621" s="5">
        <v>8</v>
      </c>
      <c r="D621" s="5" t="s">
        <v>69</v>
      </c>
      <c r="E621" s="6">
        <v>1.02</v>
      </c>
      <c r="G621" s="362">
        <v>2</v>
      </c>
      <c r="H621" s="362">
        <v>1</v>
      </c>
      <c r="I621" s="8">
        <v>1.1399999999999999</v>
      </c>
      <c r="L621" s="5" t="s">
        <v>145</v>
      </c>
      <c r="M621" s="237" t="s">
        <v>557</v>
      </c>
      <c r="N621" s="345">
        <v>79</v>
      </c>
      <c r="O621" s="38" t="s">
        <v>145</v>
      </c>
      <c r="P621" s="5" t="s">
        <v>453</v>
      </c>
      <c r="Q621" s="5" t="s">
        <v>454</v>
      </c>
      <c r="R621" s="5" t="s">
        <v>696</v>
      </c>
      <c r="S621" s="479">
        <v>67</v>
      </c>
      <c r="T621" s="5" t="s">
        <v>41</v>
      </c>
      <c r="U621" s="5" t="s">
        <v>42</v>
      </c>
      <c r="V621" s="57" t="s">
        <v>10</v>
      </c>
      <c r="W621" s="51">
        <v>0.08</v>
      </c>
      <c r="X621" s="357">
        <v>0.22</v>
      </c>
      <c r="Z621" s="5" t="s">
        <v>48</v>
      </c>
      <c r="AA621" s="112" t="s">
        <v>34</v>
      </c>
    </row>
    <row r="622" spans="1:29" x14ac:dyDescent="0.25">
      <c r="A622" s="329">
        <v>45934</v>
      </c>
      <c r="B622" s="5">
        <v>8</v>
      </c>
      <c r="D622" s="5" t="s">
        <v>69</v>
      </c>
      <c r="E622" s="6">
        <v>1.02</v>
      </c>
      <c r="G622" s="362">
        <v>2</v>
      </c>
      <c r="H622" s="362">
        <v>1</v>
      </c>
      <c r="I622" s="8">
        <v>1.1399999999999999</v>
      </c>
      <c r="L622" s="5" t="s">
        <v>145</v>
      </c>
      <c r="M622" s="237" t="s">
        <v>557</v>
      </c>
      <c r="N622" s="345">
        <v>79</v>
      </c>
      <c r="O622" s="38" t="s">
        <v>145</v>
      </c>
      <c r="P622" s="5" t="s">
        <v>151</v>
      </c>
      <c r="Q622" s="5" t="s">
        <v>152</v>
      </c>
      <c r="R622" s="5" t="s">
        <v>696</v>
      </c>
      <c r="S622" s="479">
        <v>64</v>
      </c>
      <c r="T622" s="5" t="s">
        <v>47</v>
      </c>
      <c r="U622" s="5" t="s">
        <v>43</v>
      </c>
      <c r="V622" s="57" t="s">
        <v>20</v>
      </c>
      <c r="W622" s="51">
        <v>0.18</v>
      </c>
      <c r="X622" s="357" t="s">
        <v>53</v>
      </c>
      <c r="Y622" s="351" t="s">
        <v>353</v>
      </c>
      <c r="Z622" s="5" t="s">
        <v>52</v>
      </c>
      <c r="AA622" s="112" t="s">
        <v>34</v>
      </c>
    </row>
    <row r="623" spans="1:29" ht="15.75" thickBot="1" x14ac:dyDescent="0.3">
      <c r="A623" s="330">
        <v>45934</v>
      </c>
      <c r="B623" s="9">
        <v>8</v>
      </c>
      <c r="C623" s="122"/>
      <c r="D623" s="9" t="s">
        <v>69</v>
      </c>
      <c r="E623" s="10">
        <v>1.02</v>
      </c>
      <c r="F623" s="10"/>
      <c r="G623" s="383">
        <v>2</v>
      </c>
      <c r="H623" s="383">
        <v>1</v>
      </c>
      <c r="I623" s="12">
        <v>1.1399999999999999</v>
      </c>
      <c r="J623" s="12"/>
      <c r="K623" s="122"/>
      <c r="L623" s="9" t="s">
        <v>145</v>
      </c>
      <c r="M623" s="598" t="s">
        <v>557</v>
      </c>
      <c r="N623" s="346">
        <v>85</v>
      </c>
      <c r="O623" s="454" t="s">
        <v>145</v>
      </c>
      <c r="P623" s="9" t="s">
        <v>453</v>
      </c>
      <c r="Q623" s="9" t="s">
        <v>454</v>
      </c>
      <c r="R623" s="9" t="s">
        <v>696</v>
      </c>
      <c r="S623" s="479">
        <v>67</v>
      </c>
      <c r="T623" s="9" t="s">
        <v>354</v>
      </c>
      <c r="U623" s="9" t="s">
        <v>42</v>
      </c>
      <c r="V623" s="58" t="s">
        <v>20</v>
      </c>
      <c r="W623" s="52">
        <v>0.2</v>
      </c>
      <c r="X623" s="358" t="s">
        <v>53</v>
      </c>
      <c r="Y623" s="352"/>
      <c r="Z623" s="9" t="s">
        <v>22</v>
      </c>
      <c r="AA623" s="113" t="s">
        <v>34</v>
      </c>
      <c r="AB623" s="109"/>
      <c r="AC623" s="58"/>
    </row>
    <row r="624" spans="1:29" ht="15.75" thickBot="1" x14ac:dyDescent="0.3">
      <c r="A624" s="326">
        <v>45934</v>
      </c>
      <c r="B624" s="207">
        <v>8</v>
      </c>
      <c r="C624" s="208"/>
      <c r="D624" s="207" t="s">
        <v>69</v>
      </c>
      <c r="E624" s="209">
        <v>1.02</v>
      </c>
      <c r="F624" s="209"/>
      <c r="G624" s="460">
        <v>2</v>
      </c>
      <c r="H624" s="460">
        <v>1</v>
      </c>
      <c r="I624" s="211">
        <v>1.1399999999999999</v>
      </c>
      <c r="J624" s="211"/>
      <c r="K624" s="208"/>
      <c r="L624" s="207" t="s">
        <v>145</v>
      </c>
      <c r="M624" s="235"/>
      <c r="N624" s="347"/>
      <c r="O624" s="343" t="s">
        <v>69</v>
      </c>
      <c r="P624" s="199" t="s">
        <v>478</v>
      </c>
      <c r="Q624" s="199" t="s">
        <v>479</v>
      </c>
      <c r="R624" s="199" t="s">
        <v>707</v>
      </c>
      <c r="S624" s="479">
        <v>72</v>
      </c>
      <c r="T624" s="199"/>
      <c r="U624" s="199"/>
      <c r="V624" s="201"/>
      <c r="W624" s="202"/>
      <c r="X624" s="359"/>
      <c r="Y624" s="353">
        <v>1</v>
      </c>
      <c r="Z624" s="199"/>
      <c r="AA624" s="204"/>
      <c r="AB624" s="205"/>
      <c r="AC624" s="201"/>
    </row>
    <row r="625" spans="1:29" ht="15.75" thickBot="1" x14ac:dyDescent="0.3">
      <c r="A625" s="326">
        <v>45934</v>
      </c>
      <c r="B625" s="207">
        <v>8</v>
      </c>
      <c r="C625" s="208"/>
      <c r="D625" s="207" t="s">
        <v>69</v>
      </c>
      <c r="E625" s="209">
        <v>1.02</v>
      </c>
      <c r="F625" s="209"/>
      <c r="G625" s="460">
        <v>2</v>
      </c>
      <c r="H625" s="460">
        <v>1</v>
      </c>
      <c r="I625" s="211">
        <v>1.1399999999999999</v>
      </c>
      <c r="J625" s="211"/>
      <c r="K625" s="208"/>
      <c r="L625" s="207" t="s">
        <v>145</v>
      </c>
      <c r="M625" s="235"/>
      <c r="N625" s="347"/>
      <c r="O625" s="343" t="s">
        <v>145</v>
      </c>
      <c r="P625" s="199" t="s">
        <v>482</v>
      </c>
      <c r="Q625" s="199" t="s">
        <v>483</v>
      </c>
      <c r="R625" s="199" t="s">
        <v>707</v>
      </c>
      <c r="S625" s="479">
        <v>62</v>
      </c>
      <c r="T625" s="199"/>
      <c r="U625" s="199"/>
      <c r="V625" s="201"/>
      <c r="W625" s="202"/>
      <c r="X625" s="359"/>
      <c r="Y625" s="353">
        <v>2</v>
      </c>
      <c r="Z625" s="199"/>
      <c r="AA625" s="204"/>
      <c r="AB625" s="205"/>
      <c r="AC625" s="201"/>
    </row>
    <row r="626" spans="1:29" x14ac:dyDescent="0.25">
      <c r="A626" s="329">
        <v>45950</v>
      </c>
      <c r="B626" s="5">
        <v>9</v>
      </c>
      <c r="C626" s="121" t="s">
        <v>706</v>
      </c>
      <c r="D626" s="5" t="s">
        <v>128</v>
      </c>
      <c r="E626" s="6">
        <v>0.74</v>
      </c>
      <c r="G626" s="362">
        <v>0</v>
      </c>
      <c r="H626" s="362">
        <v>0</v>
      </c>
      <c r="I626" s="8">
        <v>0.45</v>
      </c>
      <c r="K626" s="121" t="s">
        <v>694</v>
      </c>
      <c r="L626" s="5" t="s">
        <v>145</v>
      </c>
      <c r="N626" s="345">
        <v>2</v>
      </c>
      <c r="O626" s="38" t="s">
        <v>145</v>
      </c>
      <c r="P626" s="5" t="s">
        <v>271</v>
      </c>
      <c r="Q626" s="5" t="s">
        <v>272</v>
      </c>
      <c r="R626" s="5" t="s">
        <v>685</v>
      </c>
      <c r="S626" s="7">
        <v>63</v>
      </c>
      <c r="T626" s="5" t="s">
        <v>47</v>
      </c>
      <c r="U626" s="5" t="s">
        <v>43</v>
      </c>
      <c r="V626" s="57" t="s">
        <v>10</v>
      </c>
      <c r="W626" s="51">
        <v>0.28000000000000003</v>
      </c>
      <c r="X626" s="357" t="s">
        <v>53</v>
      </c>
      <c r="Y626" s="351" t="s">
        <v>353</v>
      </c>
      <c r="Z626" s="5" t="s">
        <v>13</v>
      </c>
      <c r="AA626" s="112" t="s">
        <v>28</v>
      </c>
    </row>
    <row r="627" spans="1:29" x14ac:dyDescent="0.25">
      <c r="A627" s="329">
        <v>45950</v>
      </c>
      <c r="B627" s="5">
        <v>9</v>
      </c>
      <c r="D627" s="5" t="s">
        <v>128</v>
      </c>
      <c r="E627" s="6">
        <v>0.74</v>
      </c>
      <c r="G627" s="362">
        <v>0</v>
      </c>
      <c r="H627" s="362">
        <v>0</v>
      </c>
      <c r="I627" s="8">
        <v>0.45</v>
      </c>
      <c r="L627" s="5" t="s">
        <v>145</v>
      </c>
      <c r="N627" s="345">
        <v>18</v>
      </c>
      <c r="O627" s="38" t="s">
        <v>145</v>
      </c>
      <c r="P627" s="5" t="s">
        <v>271</v>
      </c>
      <c r="Q627" s="5" t="s">
        <v>272</v>
      </c>
      <c r="R627" s="5" t="s">
        <v>685</v>
      </c>
      <c r="S627" s="7">
        <v>63</v>
      </c>
      <c r="T627" s="5" t="s">
        <v>41</v>
      </c>
      <c r="U627" s="5" t="s">
        <v>42</v>
      </c>
      <c r="V627" s="57" t="s">
        <v>10</v>
      </c>
      <c r="W627" s="51">
        <v>0.05</v>
      </c>
      <c r="X627" s="357">
        <v>0.35</v>
      </c>
      <c r="Z627" s="5" t="s">
        <v>48</v>
      </c>
      <c r="AA627" s="112" t="s">
        <v>28</v>
      </c>
    </row>
    <row r="628" spans="1:29" x14ac:dyDescent="0.25">
      <c r="A628" s="329">
        <v>45950</v>
      </c>
      <c r="B628" s="5">
        <v>9</v>
      </c>
      <c r="D628" s="5" t="s">
        <v>128</v>
      </c>
      <c r="E628" s="6">
        <v>0.74</v>
      </c>
      <c r="G628" s="362">
        <v>0</v>
      </c>
      <c r="H628" s="362">
        <v>0</v>
      </c>
      <c r="I628" s="8">
        <v>0.45</v>
      </c>
      <c r="L628" s="5" t="s">
        <v>145</v>
      </c>
      <c r="N628" s="476">
        <v>28</v>
      </c>
      <c r="O628" s="477" t="s">
        <v>128</v>
      </c>
      <c r="P628" s="478" t="s">
        <v>504</v>
      </c>
      <c r="Q628" s="478" t="s">
        <v>520</v>
      </c>
      <c r="R628" s="478" t="s">
        <v>717</v>
      </c>
      <c r="S628" s="479">
        <v>61</v>
      </c>
      <c r="T628" s="478" t="s">
        <v>41</v>
      </c>
      <c r="U628" s="478" t="s">
        <v>42</v>
      </c>
      <c r="V628" s="480" t="s">
        <v>10</v>
      </c>
      <c r="W628" s="51">
        <v>7.0000000000000007E-2</v>
      </c>
      <c r="X628" s="357" t="s">
        <v>53</v>
      </c>
      <c r="Z628" s="5" t="s">
        <v>55</v>
      </c>
      <c r="AA628" s="112" t="s">
        <v>28</v>
      </c>
    </row>
    <row r="629" spans="1:29" x14ac:dyDescent="0.25">
      <c r="A629" s="329">
        <v>45950</v>
      </c>
      <c r="B629" s="5">
        <v>9</v>
      </c>
      <c r="D629" s="5" t="s">
        <v>128</v>
      </c>
      <c r="E629" s="6">
        <v>0.74</v>
      </c>
      <c r="G629" s="362">
        <v>0</v>
      </c>
      <c r="H629" s="362">
        <v>0</v>
      </c>
      <c r="I629" s="8">
        <v>0.45</v>
      </c>
      <c r="L629" s="5" t="s">
        <v>145</v>
      </c>
      <c r="N629" s="476">
        <v>29</v>
      </c>
      <c r="O629" s="477" t="s">
        <v>128</v>
      </c>
      <c r="P629" s="478" t="s">
        <v>504</v>
      </c>
      <c r="Q629" s="478" t="s">
        <v>520</v>
      </c>
      <c r="R629" s="478" t="s">
        <v>717</v>
      </c>
      <c r="S629" s="479">
        <v>61</v>
      </c>
      <c r="T629" s="478" t="s">
        <v>41</v>
      </c>
      <c r="U629" s="478" t="s">
        <v>43</v>
      </c>
      <c r="V629" s="480" t="s">
        <v>29</v>
      </c>
      <c r="W629" s="51">
        <v>0.12</v>
      </c>
      <c r="X629" s="357" t="s">
        <v>53</v>
      </c>
      <c r="Z629" s="5" t="s">
        <v>52</v>
      </c>
      <c r="AA629" s="112" t="s">
        <v>28</v>
      </c>
    </row>
    <row r="630" spans="1:29" x14ac:dyDescent="0.25">
      <c r="A630" s="329">
        <v>45950</v>
      </c>
      <c r="B630" s="5">
        <v>9</v>
      </c>
      <c r="D630" s="5" t="s">
        <v>128</v>
      </c>
      <c r="E630" s="6">
        <v>0.74</v>
      </c>
      <c r="G630" s="362">
        <v>0</v>
      </c>
      <c r="H630" s="362">
        <v>0</v>
      </c>
      <c r="I630" s="8">
        <v>0.45</v>
      </c>
      <c r="L630" s="5" t="s">
        <v>145</v>
      </c>
      <c r="N630" s="476">
        <v>31</v>
      </c>
      <c r="O630" s="477" t="s">
        <v>128</v>
      </c>
      <c r="P630" s="478" t="s">
        <v>504</v>
      </c>
      <c r="Q630" s="478" t="s">
        <v>520</v>
      </c>
      <c r="R630" s="478" t="s">
        <v>717</v>
      </c>
      <c r="S630" s="479">
        <v>61</v>
      </c>
      <c r="T630" s="478" t="s">
        <v>41</v>
      </c>
      <c r="U630" s="478" t="s">
        <v>42</v>
      </c>
      <c r="V630" s="480" t="s">
        <v>10</v>
      </c>
      <c r="W630" s="51">
        <v>0.06</v>
      </c>
      <c r="X630" s="357">
        <v>0.13</v>
      </c>
      <c r="Z630" s="5" t="s">
        <v>48</v>
      </c>
      <c r="AA630" s="112" t="s">
        <v>28</v>
      </c>
    </row>
    <row r="631" spans="1:29" x14ac:dyDescent="0.25">
      <c r="A631" s="329">
        <v>45950</v>
      </c>
      <c r="B631" s="5">
        <v>9</v>
      </c>
      <c r="D631" s="5" t="s">
        <v>128</v>
      </c>
      <c r="E631" s="6">
        <v>0.74</v>
      </c>
      <c r="G631" s="362">
        <v>0</v>
      </c>
      <c r="H631" s="362">
        <v>0</v>
      </c>
      <c r="I631" s="8">
        <v>0.45</v>
      </c>
      <c r="L631" s="5" t="s">
        <v>145</v>
      </c>
      <c r="N631" s="476">
        <v>31</v>
      </c>
      <c r="O631" s="477" t="s">
        <v>128</v>
      </c>
      <c r="P631" s="478" t="s">
        <v>504</v>
      </c>
      <c r="Q631" s="478" t="s">
        <v>520</v>
      </c>
      <c r="R631" s="478" t="s">
        <v>717</v>
      </c>
      <c r="S631" s="479">
        <v>61</v>
      </c>
      <c r="T631" s="478" t="s">
        <v>47</v>
      </c>
      <c r="U631" s="478" t="s">
        <v>42</v>
      </c>
      <c r="V631" s="480" t="s">
        <v>540</v>
      </c>
      <c r="W631" s="51">
        <v>0.08</v>
      </c>
      <c r="X631" s="357" t="s">
        <v>53</v>
      </c>
      <c r="Z631" s="5" t="s">
        <v>22</v>
      </c>
      <c r="AA631" s="112" t="s">
        <v>28</v>
      </c>
    </row>
    <row r="632" spans="1:29" x14ac:dyDescent="0.25">
      <c r="A632" s="329">
        <v>45950</v>
      </c>
      <c r="B632" s="5">
        <v>9</v>
      </c>
      <c r="D632" s="5" t="s">
        <v>128</v>
      </c>
      <c r="E632" s="6">
        <v>0.74</v>
      </c>
      <c r="G632" s="362">
        <v>0</v>
      </c>
      <c r="H632" s="362">
        <v>0</v>
      </c>
      <c r="I632" s="8">
        <v>0.45</v>
      </c>
      <c r="L632" s="5" t="s">
        <v>145</v>
      </c>
      <c r="N632" s="476">
        <v>34</v>
      </c>
      <c r="O632" s="477" t="s">
        <v>128</v>
      </c>
      <c r="P632" s="478" t="s">
        <v>241</v>
      </c>
      <c r="Q632" s="478" t="s">
        <v>567</v>
      </c>
      <c r="R632" s="478" t="s">
        <v>695</v>
      </c>
      <c r="S632" s="479">
        <v>74</v>
      </c>
      <c r="T632" s="478" t="s">
        <v>44</v>
      </c>
      <c r="U632" s="478" t="s">
        <v>42</v>
      </c>
      <c r="V632" s="480" t="s">
        <v>10</v>
      </c>
      <c r="W632" s="51">
        <v>0.04</v>
      </c>
      <c r="X632" s="357">
        <v>0.12</v>
      </c>
      <c r="Z632" s="5" t="s">
        <v>48</v>
      </c>
      <c r="AA632" s="112" t="s">
        <v>28</v>
      </c>
    </row>
    <row r="633" spans="1:29" x14ac:dyDescent="0.25">
      <c r="A633" s="329">
        <v>45950</v>
      </c>
      <c r="B633" s="5">
        <v>9</v>
      </c>
      <c r="D633" s="5" t="s">
        <v>128</v>
      </c>
      <c r="E633" s="6">
        <v>0.74</v>
      </c>
      <c r="G633" s="362">
        <v>0</v>
      </c>
      <c r="H633" s="362">
        <v>0</v>
      </c>
      <c r="I633" s="8">
        <v>0.45</v>
      </c>
      <c r="L633" s="5" t="s">
        <v>145</v>
      </c>
      <c r="N633" s="476">
        <v>50</v>
      </c>
      <c r="O633" s="477" t="s">
        <v>128</v>
      </c>
      <c r="P633" s="478" t="s">
        <v>130</v>
      </c>
      <c r="Q633" s="478" t="s">
        <v>131</v>
      </c>
      <c r="R633" s="478" t="s">
        <v>718</v>
      </c>
      <c r="S633" s="479">
        <v>69</v>
      </c>
      <c r="T633" s="478" t="s">
        <v>41</v>
      </c>
      <c r="U633" s="478" t="s">
        <v>42</v>
      </c>
      <c r="V633" s="480" t="s">
        <v>10</v>
      </c>
      <c r="W633" s="51">
        <v>0.02</v>
      </c>
      <c r="X633" s="357" t="s">
        <v>53</v>
      </c>
      <c r="Z633" s="5" t="s">
        <v>22</v>
      </c>
      <c r="AA633" s="112" t="s">
        <v>28</v>
      </c>
    </row>
    <row r="634" spans="1:29" x14ac:dyDescent="0.25">
      <c r="A634" s="329">
        <v>45950</v>
      </c>
      <c r="B634" s="5">
        <v>9</v>
      </c>
      <c r="D634" s="5" t="s">
        <v>128</v>
      </c>
      <c r="E634" s="6">
        <v>0.74</v>
      </c>
      <c r="G634" s="362">
        <v>0</v>
      </c>
      <c r="H634" s="362">
        <v>0</v>
      </c>
      <c r="I634" s="8">
        <v>0.45</v>
      </c>
      <c r="L634" s="5" t="s">
        <v>145</v>
      </c>
      <c r="N634" s="476">
        <v>54</v>
      </c>
      <c r="O634" s="477" t="s">
        <v>128</v>
      </c>
      <c r="P634" s="478" t="s">
        <v>130</v>
      </c>
      <c r="Q634" s="478" t="s">
        <v>131</v>
      </c>
      <c r="R634" s="478" t="s">
        <v>718</v>
      </c>
      <c r="S634" s="479">
        <v>69</v>
      </c>
      <c r="T634" s="478" t="s">
        <v>41</v>
      </c>
      <c r="U634" s="478" t="s">
        <v>45</v>
      </c>
      <c r="V634" s="480" t="s">
        <v>33</v>
      </c>
      <c r="W634" s="51">
        <v>0.09</v>
      </c>
      <c r="X634" s="357">
        <v>0.1</v>
      </c>
      <c r="Y634" s="351" t="s">
        <v>353</v>
      </c>
      <c r="Z634" s="5" t="s">
        <v>48</v>
      </c>
      <c r="AA634" s="112" t="s">
        <v>28</v>
      </c>
    </row>
    <row r="635" spans="1:29" x14ac:dyDescent="0.25">
      <c r="A635" s="329">
        <v>45950</v>
      </c>
      <c r="B635" s="5">
        <v>9</v>
      </c>
      <c r="D635" s="5" t="s">
        <v>128</v>
      </c>
      <c r="E635" s="6">
        <v>0.74</v>
      </c>
      <c r="G635" s="362">
        <v>0</v>
      </c>
      <c r="H635" s="362">
        <v>0</v>
      </c>
      <c r="I635" s="8">
        <v>0.45</v>
      </c>
      <c r="L635" s="5" t="s">
        <v>145</v>
      </c>
      <c r="N635" s="345">
        <v>87</v>
      </c>
      <c r="O635" s="38" t="s">
        <v>145</v>
      </c>
      <c r="P635" s="5" t="s">
        <v>124</v>
      </c>
      <c r="Q635" s="5" t="s">
        <v>652</v>
      </c>
      <c r="R635" s="5" t="s">
        <v>696</v>
      </c>
      <c r="S635" s="7">
        <v>62</v>
      </c>
      <c r="T635" s="5" t="s">
        <v>354</v>
      </c>
      <c r="U635" s="5" t="s">
        <v>43</v>
      </c>
      <c r="V635" s="57" t="s">
        <v>540</v>
      </c>
      <c r="W635" s="51">
        <v>0.02</v>
      </c>
      <c r="X635" s="357">
        <v>0.1</v>
      </c>
      <c r="Z635" s="5" t="s">
        <v>48</v>
      </c>
      <c r="AA635" s="112" t="s">
        <v>28</v>
      </c>
    </row>
    <row r="636" spans="1:29" ht="15.75" thickBot="1" x14ac:dyDescent="0.3">
      <c r="A636" s="338">
        <v>45950</v>
      </c>
      <c r="B636" s="230">
        <v>9</v>
      </c>
      <c r="C636" s="231"/>
      <c r="D636" s="230" t="s">
        <v>128</v>
      </c>
      <c r="E636" s="232">
        <v>0.74</v>
      </c>
      <c r="F636" s="232"/>
      <c r="G636" s="363">
        <v>0</v>
      </c>
      <c r="H636" s="363">
        <v>0</v>
      </c>
      <c r="I636" s="234">
        <v>0.45</v>
      </c>
      <c r="J636" s="234"/>
      <c r="K636" s="231"/>
      <c r="L636" s="230" t="s">
        <v>145</v>
      </c>
      <c r="M636" s="235"/>
      <c r="N636" s="347"/>
      <c r="O636" s="343" t="s">
        <v>128</v>
      </c>
      <c r="P636" s="199" t="s">
        <v>206</v>
      </c>
      <c r="Q636" s="199" t="s">
        <v>476</v>
      </c>
      <c r="R636" s="199" t="s">
        <v>707</v>
      </c>
      <c r="S636" s="7">
        <v>68</v>
      </c>
      <c r="T636" s="199"/>
      <c r="U636" s="199"/>
      <c r="V636" s="201"/>
      <c r="W636" s="202"/>
      <c r="X636" s="359"/>
      <c r="Y636" s="353">
        <v>0</v>
      </c>
      <c r="Z636" s="199"/>
      <c r="AA636" s="204"/>
      <c r="AB636" s="205"/>
      <c r="AC636" s="201"/>
    </row>
    <row r="637" spans="1:29" ht="15.75" thickBot="1" x14ac:dyDescent="0.3">
      <c r="A637" s="338">
        <v>45950</v>
      </c>
      <c r="B637" s="230">
        <v>9</v>
      </c>
      <c r="C637" s="231"/>
      <c r="D637" s="230" t="s">
        <v>128</v>
      </c>
      <c r="E637" s="232">
        <v>0.74</v>
      </c>
      <c r="F637" s="232"/>
      <c r="G637" s="363">
        <v>0</v>
      </c>
      <c r="H637" s="363">
        <v>0</v>
      </c>
      <c r="I637" s="234">
        <v>0.45</v>
      </c>
      <c r="J637" s="234"/>
      <c r="K637" s="231"/>
      <c r="L637" s="230" t="s">
        <v>145</v>
      </c>
      <c r="M637" s="235"/>
      <c r="N637" s="347"/>
      <c r="O637" s="343" t="s">
        <v>145</v>
      </c>
      <c r="P637" s="199" t="s">
        <v>482</v>
      </c>
      <c r="Q637" s="199" t="s">
        <v>483</v>
      </c>
      <c r="R637" s="199" t="s">
        <v>707</v>
      </c>
      <c r="S637" s="7">
        <v>73</v>
      </c>
      <c r="T637" s="199"/>
      <c r="U637" s="199"/>
      <c r="V637" s="201"/>
      <c r="W637" s="202"/>
      <c r="X637" s="359"/>
      <c r="Y637" s="353">
        <v>0</v>
      </c>
      <c r="Z637" s="199"/>
      <c r="AA637" s="204"/>
      <c r="AB637" s="205"/>
      <c r="AC637" s="201"/>
    </row>
  </sheetData>
  <autoFilter ref="A1:AC1" xr:uid="{A6E1C719-4483-4E73-851F-E4D851879744}"/>
  <conditionalFormatting sqref="S1:S1048576">
    <cfRule type="cellIs" dxfId="1091" priority="9" operator="between">
      <formula>80</formula>
      <formula>105</formula>
    </cfRule>
    <cfRule type="cellIs" dxfId="1090" priority="10" operator="between">
      <formula>70</formula>
      <formula>79</formula>
    </cfRule>
    <cfRule type="cellIs" dxfId="1089" priority="11" operator="between">
      <formula>65</formula>
      <formula>69</formula>
    </cfRule>
    <cfRule type="cellIs" dxfId="1088" priority="12" operator="between">
      <formula>10</formula>
      <formula>64</formula>
    </cfRule>
  </conditionalFormatting>
  <conditionalFormatting sqref="V1:V9 V12:V16 V19:V22 V25:V33">
    <cfRule type="containsText" dxfId="1087" priority="198" operator="containsText" text="penaltı">
      <formula>NOT(ISERROR(SEARCH("penaltı",V1)))</formula>
    </cfRule>
  </conditionalFormatting>
  <conditionalFormatting sqref="V10:V11">
    <cfRule type="cellIs" dxfId="1086" priority="197" operator="equal">
      <formula>"Penaltı"</formula>
    </cfRule>
  </conditionalFormatting>
  <conditionalFormatting sqref="V17:V18">
    <cfRule type="cellIs" dxfId="1085" priority="182" operator="equal">
      <formula>"Penaltı"</formula>
    </cfRule>
  </conditionalFormatting>
  <conditionalFormatting sqref="V23:V24">
    <cfRule type="cellIs" dxfId="1084" priority="181" operator="equal">
      <formula>"Penaltı"</formula>
    </cfRule>
  </conditionalFormatting>
  <conditionalFormatting sqref="V34:V35">
    <cfRule type="cellIs" dxfId="1083" priority="180" operator="equal">
      <formula>"Penaltı"</formula>
    </cfRule>
  </conditionalFormatting>
  <conditionalFormatting sqref="V36:V44 V47:V62 V65:V74 V77:V92">
    <cfRule type="containsText" dxfId="1082" priority="179" operator="containsText" text="penaltı">
      <formula>NOT(ISERROR(SEARCH("penaltı",V36)))</formula>
    </cfRule>
  </conditionalFormatting>
  <conditionalFormatting sqref="V45:V46">
    <cfRule type="cellIs" dxfId="1081" priority="178" operator="equal">
      <formula>"Penaltı"</formula>
    </cfRule>
  </conditionalFormatting>
  <conditionalFormatting sqref="V63:V64">
    <cfRule type="cellIs" dxfId="1080" priority="166" operator="equal">
      <formula>"Penaltı"</formula>
    </cfRule>
  </conditionalFormatting>
  <conditionalFormatting sqref="V75:V76">
    <cfRule type="cellIs" dxfId="1079" priority="165" operator="equal">
      <formula>"Penaltı"</formula>
    </cfRule>
  </conditionalFormatting>
  <conditionalFormatting sqref="V93:V94">
    <cfRule type="cellIs" dxfId="1078" priority="161" operator="equal">
      <formula>"Penaltı"</formula>
    </cfRule>
  </conditionalFormatting>
  <conditionalFormatting sqref="V95:V112 V115:V123 V126:V143 V146:V160 V163:V174">
    <cfRule type="containsText" dxfId="1077" priority="160" operator="containsText" text="penaltı">
      <formula>NOT(ISERROR(SEARCH("penaltı",V95)))</formula>
    </cfRule>
  </conditionalFormatting>
  <conditionalFormatting sqref="V113:V114">
    <cfRule type="cellIs" dxfId="1076" priority="148" operator="equal">
      <formula>"Penaltı"</formula>
    </cfRule>
  </conditionalFormatting>
  <conditionalFormatting sqref="V124:V125">
    <cfRule type="cellIs" dxfId="1075" priority="147" operator="equal">
      <formula>"Penaltı"</formula>
    </cfRule>
  </conditionalFormatting>
  <conditionalFormatting sqref="V144:V145">
    <cfRule type="cellIs" dxfId="1074" priority="146" operator="equal">
      <formula>"Penaltı"</formula>
    </cfRule>
  </conditionalFormatting>
  <conditionalFormatting sqref="V161:V162">
    <cfRule type="cellIs" dxfId="1073" priority="142" operator="equal">
      <formula>"Penaltı"</formula>
    </cfRule>
  </conditionalFormatting>
  <conditionalFormatting sqref="V175:V176">
    <cfRule type="cellIs" dxfId="1072" priority="141" operator="equal">
      <formula>"Penaltı"</formula>
    </cfRule>
  </conditionalFormatting>
  <conditionalFormatting sqref="V177:V187 V190:V197 V200:V215 V218:V235 V238:V247 V250:V258">
    <cfRule type="containsText" dxfId="1071" priority="140" operator="containsText" text="penaltı">
      <formula>NOT(ISERROR(SEARCH("penaltı",V177)))</formula>
    </cfRule>
  </conditionalFormatting>
  <conditionalFormatting sqref="V188:V189">
    <cfRule type="cellIs" dxfId="1070" priority="139" operator="equal">
      <formula>"Penaltı"</formula>
    </cfRule>
  </conditionalFormatting>
  <conditionalFormatting sqref="V198:V199">
    <cfRule type="cellIs" dxfId="1069" priority="127" operator="equal">
      <formula>"Penaltı"</formula>
    </cfRule>
  </conditionalFormatting>
  <conditionalFormatting sqref="V216:V217">
    <cfRule type="cellIs" dxfId="1068" priority="126" operator="equal">
      <formula>"Penaltı"</formula>
    </cfRule>
  </conditionalFormatting>
  <conditionalFormatting sqref="V236:V237">
    <cfRule type="cellIs" dxfId="1067" priority="122" operator="equal">
      <formula>"Penaltı"</formula>
    </cfRule>
  </conditionalFormatting>
  <conditionalFormatting sqref="V248:V249">
    <cfRule type="cellIs" dxfId="1066" priority="121" operator="equal">
      <formula>"Penaltı"</formula>
    </cfRule>
  </conditionalFormatting>
  <conditionalFormatting sqref="V259:V260">
    <cfRule type="cellIs" dxfId="1065" priority="120" operator="equal">
      <formula>"Penaltı"</formula>
    </cfRule>
  </conditionalFormatting>
  <conditionalFormatting sqref="V261:V267 V270:V277 V280:V297 V300:V309 V312:V325">
    <cfRule type="containsText" dxfId="1064" priority="119" operator="containsText" text="penaltı">
      <formula>NOT(ISERROR(SEARCH("penaltı",V261)))</formula>
    </cfRule>
  </conditionalFormatting>
  <conditionalFormatting sqref="V268:V269">
    <cfRule type="cellIs" dxfId="1063" priority="107" operator="equal">
      <formula>"Penaltı"</formula>
    </cfRule>
  </conditionalFormatting>
  <conditionalFormatting sqref="V278:V279">
    <cfRule type="cellIs" dxfId="1062" priority="106" operator="equal">
      <formula>"Penaltı"</formula>
    </cfRule>
  </conditionalFormatting>
  <conditionalFormatting sqref="V298:V299">
    <cfRule type="cellIs" dxfId="1061" priority="102" operator="equal">
      <formula>"Penaltı"</formula>
    </cfRule>
  </conditionalFormatting>
  <conditionalFormatting sqref="V310:V311">
    <cfRule type="cellIs" dxfId="1060" priority="101" operator="equal">
      <formula>"Penaltı"</formula>
    </cfRule>
  </conditionalFormatting>
  <conditionalFormatting sqref="V326:V327">
    <cfRule type="cellIs" dxfId="1059" priority="100" operator="equal">
      <formula>"Penaltı"</formula>
    </cfRule>
  </conditionalFormatting>
  <conditionalFormatting sqref="V328:V340 V343:V355 V358:V362 V365:V372 V375:V380">
    <cfRule type="containsText" dxfId="1058" priority="99" operator="containsText" text="penaltı">
      <formula>NOT(ISERROR(SEARCH("penaltı",V328)))</formula>
    </cfRule>
  </conditionalFormatting>
  <conditionalFormatting sqref="V341:V342">
    <cfRule type="cellIs" dxfId="1057" priority="87" operator="equal">
      <formula>"Penaltı"</formula>
    </cfRule>
  </conditionalFormatting>
  <conditionalFormatting sqref="V356:V357">
    <cfRule type="cellIs" dxfId="1056" priority="86" operator="equal">
      <formula>"Penaltı"</formula>
    </cfRule>
  </conditionalFormatting>
  <conditionalFormatting sqref="V363:V364">
    <cfRule type="cellIs" dxfId="1055" priority="85" operator="equal">
      <formula>"Penaltı"</formula>
    </cfRule>
  </conditionalFormatting>
  <conditionalFormatting sqref="V373:V374">
    <cfRule type="cellIs" dxfId="1054" priority="81" operator="equal">
      <formula>"Penaltı"</formula>
    </cfRule>
  </conditionalFormatting>
  <conditionalFormatting sqref="V381:V382">
    <cfRule type="cellIs" dxfId="1053" priority="80" operator="equal">
      <formula>"Penaltı"</formula>
    </cfRule>
  </conditionalFormatting>
  <conditionalFormatting sqref="V383:V394 V397:V414 V417:V427 V430:V439 V442:V447">
    <cfRule type="containsText" dxfId="1052" priority="79" operator="containsText" text="penaltı">
      <formula>NOT(ISERROR(SEARCH("penaltı",V383)))</formula>
    </cfRule>
  </conditionalFormatting>
  <conditionalFormatting sqref="V395:V396">
    <cfRule type="cellIs" dxfId="1051" priority="67" operator="equal">
      <formula>"Penaltı"</formula>
    </cfRule>
  </conditionalFormatting>
  <conditionalFormatting sqref="V415:V416">
    <cfRule type="cellIs" dxfId="1050" priority="66" operator="equal">
      <formula>"Penaltı"</formula>
    </cfRule>
  </conditionalFormatting>
  <conditionalFormatting sqref="V428:V429">
    <cfRule type="cellIs" dxfId="1049" priority="62" operator="equal">
      <formula>"Penaltı"</formula>
    </cfRule>
  </conditionalFormatting>
  <conditionalFormatting sqref="V440:V441">
    <cfRule type="cellIs" dxfId="1048" priority="61" operator="equal">
      <formula>"Penaltı"</formula>
    </cfRule>
  </conditionalFormatting>
  <conditionalFormatting sqref="V448:V449">
    <cfRule type="cellIs" dxfId="1047" priority="60" operator="equal">
      <formula>"Penaltı"</formula>
    </cfRule>
  </conditionalFormatting>
  <conditionalFormatting sqref="V450:V458 V461:V469 V472:V486 V489:V492">
    <cfRule type="containsText" dxfId="1046" priority="59" operator="containsText" text="penaltı">
      <formula>NOT(ISERROR(SEARCH("penaltı",V450)))</formula>
    </cfRule>
  </conditionalFormatting>
  <conditionalFormatting sqref="V459:V460">
    <cfRule type="cellIs" dxfId="1045" priority="58" operator="equal">
      <formula>"Penaltı"</formula>
    </cfRule>
  </conditionalFormatting>
  <conditionalFormatting sqref="V470:V471">
    <cfRule type="cellIs" dxfId="1044" priority="46" operator="equal">
      <formula>"Penaltı"</formula>
    </cfRule>
  </conditionalFormatting>
  <conditionalFormatting sqref="V487:V488">
    <cfRule type="cellIs" dxfId="1043" priority="42" operator="equal">
      <formula>"Penaltı"</formula>
    </cfRule>
  </conditionalFormatting>
  <conditionalFormatting sqref="V493:V494">
    <cfRule type="cellIs" dxfId="1042" priority="41" operator="equal">
      <formula>"Penaltı"</formula>
    </cfRule>
  </conditionalFormatting>
  <conditionalFormatting sqref="V495:V505 V508:V517 V520:V532 V535:V549 V552:V567">
    <cfRule type="containsText" dxfId="1041" priority="40" operator="containsText" text="penaltı">
      <formula>NOT(ISERROR(SEARCH("penaltı",V495)))</formula>
    </cfRule>
  </conditionalFormatting>
  <conditionalFormatting sqref="V506:V507">
    <cfRule type="cellIs" dxfId="1040" priority="28" operator="equal">
      <formula>"Penaltı"</formula>
    </cfRule>
  </conditionalFormatting>
  <conditionalFormatting sqref="V518:V519">
    <cfRule type="cellIs" dxfId="1039" priority="27" operator="equal">
      <formula>"Penaltı"</formula>
    </cfRule>
  </conditionalFormatting>
  <conditionalFormatting sqref="V533:V534">
    <cfRule type="cellIs" dxfId="1038" priority="26" operator="equal">
      <formula>"Penaltı"</formula>
    </cfRule>
  </conditionalFormatting>
  <conditionalFormatting sqref="V550:V551">
    <cfRule type="cellIs" dxfId="1037" priority="22" operator="equal">
      <formula>"Penaltı"</formula>
    </cfRule>
  </conditionalFormatting>
  <conditionalFormatting sqref="V568:V569">
    <cfRule type="cellIs" dxfId="1036" priority="21" operator="equal">
      <formula>"Penaltı"</formula>
    </cfRule>
  </conditionalFormatting>
  <conditionalFormatting sqref="V570:V572 V575:V587 V590:V607 V610:V623 V626:V635">
    <cfRule type="containsText" dxfId="1035" priority="20" operator="containsText" text="penaltı">
      <formula>NOT(ISERROR(SEARCH("penaltı",V570)))</formula>
    </cfRule>
  </conditionalFormatting>
  <conditionalFormatting sqref="V573:V574">
    <cfRule type="cellIs" dxfId="1034" priority="19" operator="equal">
      <formula>"Penaltı"</formula>
    </cfRule>
  </conditionalFormatting>
  <conditionalFormatting sqref="V588:V589">
    <cfRule type="cellIs" dxfId="1033" priority="7" operator="equal">
      <formula>"Penaltı"</formula>
    </cfRule>
  </conditionalFormatting>
  <conditionalFormatting sqref="V608:V609">
    <cfRule type="cellIs" dxfId="1032" priority="6" operator="equal">
      <formula>"Penaltı"</formula>
    </cfRule>
  </conditionalFormatting>
  <conditionalFormatting sqref="V624:V625">
    <cfRule type="cellIs" dxfId="1031" priority="2" operator="equal">
      <formula>"Penaltı"</formula>
    </cfRule>
  </conditionalFormatting>
  <conditionalFormatting sqref="V636:V637">
    <cfRule type="cellIs" dxfId="1030" priority="1" operator="equal">
      <formula>"Penaltı"</formula>
    </cfRule>
  </conditionalFormatting>
  <conditionalFormatting sqref="W1:Y637">
    <cfRule type="cellIs" dxfId="1029" priority="3" operator="between">
      <formula>0.6</formula>
      <formula>0.99</formula>
    </cfRule>
    <cfRule type="cellIs" dxfId="1028" priority="4" operator="between">
      <formula>0.3</formula>
      <formula>0.6</formula>
    </cfRule>
    <cfRule type="cellIs" dxfId="1027" priority="5" operator="between">
      <formula>0.1</formula>
      <formula>0.3</formula>
    </cfRule>
  </conditionalFormatting>
  <conditionalFormatting sqref="Z1:Z1048576">
    <cfRule type="cellIs" dxfId="1026" priority="8" operator="equal">
      <formula>"Çizgiden Çıkarıldı"</formula>
    </cfRule>
    <cfRule type="cellIs" dxfId="1025" priority="13" operator="equal">
      <formula>"Kendi Kalesine Gol"</formula>
    </cfRule>
    <cfRule type="cellIs" dxfId="1024" priority="14" operator="equal">
      <formula>"Direkten Döndü"</formula>
    </cfRule>
    <cfRule type="cellIs" dxfId="1023" priority="15" operator="equal">
      <formula>"Gol"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0DEE-0C7B-4CBE-9E34-9634953413A4}">
  <sheetPr>
    <tabColor rgb="FFFF0000"/>
  </sheetPr>
  <dimension ref="A1:M35"/>
  <sheetViews>
    <sheetView workbookViewId="0">
      <pane ySplit="1" topLeftCell="A2" activePane="bottomLeft" state="frozen"/>
      <selection pane="bottomLeft" sqref="A1:M8"/>
    </sheetView>
  </sheetViews>
  <sheetFormatPr defaultRowHeight="15" x14ac:dyDescent="0.25"/>
  <cols>
    <col min="1" max="1" width="12.28515625" customWidth="1"/>
    <col min="6" max="6" width="18.7109375" customWidth="1"/>
    <col min="7" max="7" width="10.85546875" customWidth="1"/>
    <col min="8" max="9" width="6.7109375" customWidth="1"/>
    <col min="11" max="12" width="6.7109375" customWidth="1"/>
    <col min="13" max="13" width="6.7109375" style="448" customWidth="1"/>
  </cols>
  <sheetData>
    <row r="1" spans="1:13" x14ac:dyDescent="0.25">
      <c r="A1" s="446" t="s">
        <v>1</v>
      </c>
      <c r="B1" s="446" t="s">
        <v>762</v>
      </c>
      <c r="C1" s="446" t="s">
        <v>645</v>
      </c>
      <c r="D1" s="446" t="s">
        <v>780</v>
      </c>
      <c r="E1" s="446" t="s">
        <v>763</v>
      </c>
      <c r="F1" s="446" t="s">
        <v>764</v>
      </c>
      <c r="G1" s="446"/>
      <c r="H1" s="446" t="s">
        <v>765</v>
      </c>
      <c r="I1" s="446" t="s">
        <v>696</v>
      </c>
      <c r="J1" s="446" t="s">
        <v>0</v>
      </c>
      <c r="K1" s="446" t="s">
        <v>8</v>
      </c>
      <c r="L1" s="446" t="s">
        <v>10</v>
      </c>
      <c r="M1" s="447" t="s">
        <v>766</v>
      </c>
    </row>
    <row r="2" spans="1:13" x14ac:dyDescent="0.25">
      <c r="A2" t="s">
        <v>146</v>
      </c>
      <c r="B2" t="s">
        <v>772</v>
      </c>
      <c r="C2" t="s">
        <v>158</v>
      </c>
      <c r="D2" t="s">
        <v>781</v>
      </c>
      <c r="E2" t="s">
        <v>684</v>
      </c>
      <c r="F2" t="s">
        <v>773</v>
      </c>
      <c r="G2" t="s">
        <v>684</v>
      </c>
      <c r="H2">
        <v>1</v>
      </c>
      <c r="I2">
        <v>2</v>
      </c>
      <c r="J2">
        <v>112</v>
      </c>
      <c r="K2">
        <v>1</v>
      </c>
      <c r="L2">
        <v>0</v>
      </c>
      <c r="M2" s="448">
        <v>65.400000000000006</v>
      </c>
    </row>
    <row r="3" spans="1:13" x14ac:dyDescent="0.25">
      <c r="A3" t="s">
        <v>146</v>
      </c>
      <c r="B3" t="s">
        <v>782</v>
      </c>
      <c r="C3" t="s">
        <v>156</v>
      </c>
      <c r="D3" t="s">
        <v>781</v>
      </c>
      <c r="E3" t="s">
        <v>686</v>
      </c>
      <c r="F3" t="s">
        <v>784</v>
      </c>
      <c r="G3" t="s">
        <v>686</v>
      </c>
      <c r="H3">
        <v>5</v>
      </c>
      <c r="I3">
        <v>3</v>
      </c>
      <c r="J3">
        <v>472</v>
      </c>
      <c r="K3">
        <v>1</v>
      </c>
      <c r="L3">
        <v>0</v>
      </c>
      <c r="M3" s="448">
        <v>65.599999999999994</v>
      </c>
    </row>
    <row r="4" spans="1:13" x14ac:dyDescent="0.25">
      <c r="A4" t="s">
        <v>171</v>
      </c>
      <c r="B4" t="s">
        <v>555</v>
      </c>
      <c r="C4" t="s">
        <v>785</v>
      </c>
      <c r="D4" t="s">
        <v>781</v>
      </c>
      <c r="E4" t="s">
        <v>767</v>
      </c>
      <c r="F4" t="s">
        <v>784</v>
      </c>
      <c r="G4" t="s">
        <v>767</v>
      </c>
      <c r="H4">
        <v>6</v>
      </c>
      <c r="I4">
        <v>0</v>
      </c>
      <c r="J4">
        <v>453</v>
      </c>
      <c r="K4">
        <v>0</v>
      </c>
      <c r="L4">
        <v>0</v>
      </c>
      <c r="M4" s="448">
        <v>66.7</v>
      </c>
    </row>
    <row r="5" spans="1:13" x14ac:dyDescent="0.25">
      <c r="A5" t="s">
        <v>171</v>
      </c>
      <c r="B5" t="s">
        <v>491</v>
      </c>
      <c r="C5" t="s">
        <v>492</v>
      </c>
      <c r="D5" t="s">
        <v>781</v>
      </c>
      <c r="E5" t="s">
        <v>687</v>
      </c>
      <c r="F5" t="s">
        <v>784</v>
      </c>
      <c r="G5" t="s">
        <v>687</v>
      </c>
      <c r="H5">
        <v>5</v>
      </c>
      <c r="I5">
        <v>1</v>
      </c>
      <c r="J5">
        <v>452</v>
      </c>
      <c r="K5">
        <v>0</v>
      </c>
      <c r="L5">
        <v>0</v>
      </c>
      <c r="M5" s="448">
        <v>63.9</v>
      </c>
    </row>
    <row r="6" spans="1:13" x14ac:dyDescent="0.25">
      <c r="A6" t="s">
        <v>171</v>
      </c>
      <c r="B6" t="s">
        <v>475</v>
      </c>
      <c r="C6" t="s">
        <v>786</v>
      </c>
      <c r="D6" t="s">
        <v>781</v>
      </c>
      <c r="E6" t="s">
        <v>695</v>
      </c>
      <c r="F6" t="s">
        <v>784</v>
      </c>
      <c r="G6" t="s">
        <v>53</v>
      </c>
      <c r="H6">
        <v>0</v>
      </c>
      <c r="I6">
        <v>0</v>
      </c>
      <c r="J6">
        <v>0</v>
      </c>
      <c r="K6">
        <v>0</v>
      </c>
      <c r="L6">
        <v>0</v>
      </c>
      <c r="M6" s="448">
        <v>0</v>
      </c>
    </row>
    <row r="7" spans="1:13" x14ac:dyDescent="0.25">
      <c r="A7" t="s">
        <v>171</v>
      </c>
      <c r="B7" t="s">
        <v>774</v>
      </c>
      <c r="C7" t="s">
        <v>775</v>
      </c>
      <c r="D7" t="s">
        <v>781</v>
      </c>
      <c r="E7" t="s">
        <v>767</v>
      </c>
      <c r="F7" t="s">
        <v>768</v>
      </c>
      <c r="G7" t="s">
        <v>767</v>
      </c>
      <c r="H7">
        <v>2</v>
      </c>
      <c r="I7">
        <v>1</v>
      </c>
      <c r="J7">
        <v>160</v>
      </c>
      <c r="K7">
        <v>0</v>
      </c>
      <c r="L7">
        <v>0</v>
      </c>
      <c r="M7" s="448">
        <v>65.2</v>
      </c>
    </row>
    <row r="8" spans="1:13" ht="15.75" thickBot="1" x14ac:dyDescent="0.3">
      <c r="A8" s="449" t="s">
        <v>171</v>
      </c>
      <c r="B8" s="449" t="s">
        <v>326</v>
      </c>
      <c r="C8" s="449" t="s">
        <v>327</v>
      </c>
      <c r="D8" s="449" t="s">
        <v>783</v>
      </c>
      <c r="E8" s="449" t="s">
        <v>685</v>
      </c>
      <c r="F8" s="449" t="s">
        <v>776</v>
      </c>
      <c r="G8" s="449" t="s">
        <v>685</v>
      </c>
      <c r="H8" s="449">
        <v>3</v>
      </c>
      <c r="I8" s="449">
        <v>0</v>
      </c>
      <c r="J8" s="449">
        <v>165</v>
      </c>
      <c r="K8" s="449">
        <v>1</v>
      </c>
      <c r="L8" s="449">
        <v>0</v>
      </c>
      <c r="M8" s="450">
        <v>68.3</v>
      </c>
    </row>
    <row r="9" spans="1:13" x14ac:dyDescent="0.25">
      <c r="A9" s="451" t="s">
        <v>69</v>
      </c>
      <c r="B9" s="451" t="s">
        <v>391</v>
      </c>
      <c r="C9" s="451" t="s">
        <v>392</v>
      </c>
      <c r="D9" s="451" t="s">
        <v>781</v>
      </c>
      <c r="E9" s="451" t="s">
        <v>695</v>
      </c>
      <c r="F9" s="451" t="s">
        <v>770</v>
      </c>
      <c r="G9" s="451" t="s">
        <v>695</v>
      </c>
      <c r="H9" s="451">
        <v>1</v>
      </c>
      <c r="I9" s="451">
        <v>1</v>
      </c>
      <c r="J9" s="451">
        <v>41</v>
      </c>
      <c r="K9" s="451">
        <v>0</v>
      </c>
      <c r="L9" s="451">
        <v>0</v>
      </c>
      <c r="M9" s="452">
        <v>62.3</v>
      </c>
    </row>
    <row r="10" spans="1:13" x14ac:dyDescent="0.25">
      <c r="A10" t="s">
        <v>69</v>
      </c>
      <c r="B10" t="s">
        <v>347</v>
      </c>
      <c r="C10" t="s">
        <v>787</v>
      </c>
      <c r="D10" t="s">
        <v>788</v>
      </c>
      <c r="E10" t="s">
        <v>767</v>
      </c>
      <c r="F10" t="s">
        <v>788</v>
      </c>
      <c r="G10" t="s">
        <v>767</v>
      </c>
      <c r="H10">
        <v>3</v>
      </c>
      <c r="I10">
        <v>2</v>
      </c>
      <c r="J10">
        <v>262</v>
      </c>
      <c r="K10">
        <v>0</v>
      </c>
      <c r="L10">
        <v>0</v>
      </c>
      <c r="M10" s="448">
        <v>65.3</v>
      </c>
    </row>
    <row r="11" spans="1:13" x14ac:dyDescent="0.25">
      <c r="A11" t="s">
        <v>69</v>
      </c>
      <c r="B11" t="s">
        <v>316</v>
      </c>
      <c r="C11" t="s">
        <v>150</v>
      </c>
      <c r="D11" t="s">
        <v>783</v>
      </c>
      <c r="E11" t="s">
        <v>767</v>
      </c>
      <c r="F11" t="s">
        <v>784</v>
      </c>
      <c r="G11" t="s">
        <v>767</v>
      </c>
      <c r="H11">
        <v>2</v>
      </c>
      <c r="I11">
        <v>1</v>
      </c>
      <c r="J11">
        <v>202</v>
      </c>
      <c r="K11">
        <v>0</v>
      </c>
      <c r="L11">
        <v>0</v>
      </c>
      <c r="M11" s="448">
        <v>58.1</v>
      </c>
    </row>
    <row r="12" spans="1:13" x14ac:dyDescent="0.25">
      <c r="A12" t="s">
        <v>69</v>
      </c>
      <c r="B12" t="s">
        <v>480</v>
      </c>
      <c r="C12" t="s">
        <v>481</v>
      </c>
      <c r="D12" t="s">
        <v>783</v>
      </c>
      <c r="E12" t="s">
        <v>695</v>
      </c>
      <c r="F12" t="s">
        <v>784</v>
      </c>
      <c r="G12" t="s">
        <v>695</v>
      </c>
      <c r="H12">
        <v>4</v>
      </c>
      <c r="I12">
        <v>0</v>
      </c>
      <c r="J12">
        <v>337</v>
      </c>
      <c r="K12">
        <v>1</v>
      </c>
      <c r="L12">
        <v>0</v>
      </c>
      <c r="M12" s="448">
        <v>73.599999999999994</v>
      </c>
    </row>
    <row r="13" spans="1:13" x14ac:dyDescent="0.25">
      <c r="A13" t="s">
        <v>69</v>
      </c>
      <c r="B13" t="s">
        <v>789</v>
      </c>
      <c r="C13" t="s">
        <v>790</v>
      </c>
      <c r="D13" t="s">
        <v>783</v>
      </c>
      <c r="E13" t="s">
        <v>699</v>
      </c>
      <c r="F13" t="s">
        <v>784</v>
      </c>
      <c r="G13" t="s">
        <v>699</v>
      </c>
      <c r="H13">
        <v>1</v>
      </c>
      <c r="I13">
        <v>2</v>
      </c>
      <c r="J13">
        <v>143</v>
      </c>
      <c r="K13">
        <v>0</v>
      </c>
      <c r="L13">
        <v>0</v>
      </c>
      <c r="M13" s="448">
        <v>62.8</v>
      </c>
    </row>
    <row r="14" spans="1:13" x14ac:dyDescent="0.25">
      <c r="A14" t="s">
        <v>92</v>
      </c>
      <c r="B14" t="s">
        <v>74</v>
      </c>
      <c r="C14" t="s">
        <v>777</v>
      </c>
      <c r="D14" t="s">
        <v>781</v>
      </c>
      <c r="E14" t="s">
        <v>689</v>
      </c>
      <c r="F14" t="s">
        <v>769</v>
      </c>
      <c r="G14" t="s">
        <v>53</v>
      </c>
      <c r="H14">
        <v>0</v>
      </c>
      <c r="I14">
        <v>0</v>
      </c>
      <c r="J14">
        <v>0</v>
      </c>
      <c r="K14">
        <v>0</v>
      </c>
      <c r="L14">
        <v>0</v>
      </c>
      <c r="M14" s="448">
        <v>0</v>
      </c>
    </row>
    <row r="15" spans="1:13" ht="15.75" thickBot="1" x14ac:dyDescent="0.3">
      <c r="A15" s="449" t="s">
        <v>92</v>
      </c>
      <c r="B15" s="449" t="s">
        <v>94</v>
      </c>
      <c r="C15" s="449" t="s">
        <v>791</v>
      </c>
      <c r="D15" s="449" t="s">
        <v>783</v>
      </c>
      <c r="E15" s="449" t="s">
        <v>695</v>
      </c>
      <c r="F15" s="449" t="s">
        <v>784</v>
      </c>
      <c r="G15" s="449" t="s">
        <v>695</v>
      </c>
      <c r="H15" s="449">
        <v>1</v>
      </c>
      <c r="I15" s="449">
        <v>6</v>
      </c>
      <c r="J15" s="449">
        <v>0</v>
      </c>
      <c r="K15" s="449">
        <v>0</v>
      </c>
      <c r="L15" s="449">
        <v>0</v>
      </c>
      <c r="M15" s="450">
        <v>61.9</v>
      </c>
    </row>
    <row r="16" spans="1:13" x14ac:dyDescent="0.25">
      <c r="A16" s="451" t="s">
        <v>192</v>
      </c>
      <c r="B16" s="451" t="s">
        <v>278</v>
      </c>
      <c r="C16" s="451" t="s">
        <v>279</v>
      </c>
      <c r="D16" s="451" t="s">
        <v>781</v>
      </c>
      <c r="E16" s="451" t="s">
        <v>685</v>
      </c>
      <c r="F16" s="451" t="s">
        <v>784</v>
      </c>
      <c r="G16" s="451" t="s">
        <v>685</v>
      </c>
      <c r="H16" s="451">
        <v>8</v>
      </c>
      <c r="I16" s="451">
        <v>0</v>
      </c>
      <c r="J16" s="451">
        <v>666</v>
      </c>
      <c r="K16" s="451">
        <v>2</v>
      </c>
      <c r="L16" s="451">
        <v>0</v>
      </c>
      <c r="M16" s="452">
        <v>64.7</v>
      </c>
    </row>
    <row r="17" spans="1:13" ht="15.75" thickBot="1" x14ac:dyDescent="0.3">
      <c r="A17" s="449" t="s">
        <v>208</v>
      </c>
      <c r="B17" s="449" t="s">
        <v>507</v>
      </c>
      <c r="C17" s="449" t="s">
        <v>508</v>
      </c>
      <c r="D17" s="449" t="s">
        <v>783</v>
      </c>
      <c r="E17" s="449" t="s">
        <v>686</v>
      </c>
      <c r="F17" s="449" t="s">
        <v>784</v>
      </c>
      <c r="G17" s="449" t="s">
        <v>699</v>
      </c>
      <c r="H17" s="449">
        <v>2</v>
      </c>
      <c r="I17" s="449">
        <v>2</v>
      </c>
      <c r="J17" s="449">
        <v>142</v>
      </c>
      <c r="K17" s="449">
        <v>0</v>
      </c>
      <c r="L17" s="449">
        <v>0</v>
      </c>
      <c r="M17" s="450">
        <v>61.2</v>
      </c>
    </row>
    <row r="18" spans="1:13" x14ac:dyDescent="0.25">
      <c r="A18" s="451" t="s">
        <v>170</v>
      </c>
      <c r="B18" s="451" t="s">
        <v>792</v>
      </c>
      <c r="C18" s="451" t="s">
        <v>201</v>
      </c>
      <c r="D18" s="451" t="s">
        <v>788</v>
      </c>
      <c r="E18" s="451" t="s">
        <v>767</v>
      </c>
      <c r="F18" s="451" t="s">
        <v>788</v>
      </c>
      <c r="G18" s="451" t="s">
        <v>53</v>
      </c>
      <c r="H18" s="451">
        <v>0</v>
      </c>
      <c r="I18" s="451">
        <v>0</v>
      </c>
      <c r="J18" s="451">
        <v>0</v>
      </c>
      <c r="K18" s="451">
        <v>0</v>
      </c>
      <c r="L18" s="451">
        <v>0</v>
      </c>
      <c r="M18" s="452">
        <v>0</v>
      </c>
    </row>
    <row r="19" spans="1:13" x14ac:dyDescent="0.25">
      <c r="A19" t="s">
        <v>170</v>
      </c>
      <c r="B19" t="s">
        <v>269</v>
      </c>
      <c r="C19" t="s">
        <v>793</v>
      </c>
      <c r="D19" t="s">
        <v>781</v>
      </c>
      <c r="E19" t="s">
        <v>767</v>
      </c>
      <c r="F19" t="s">
        <v>769</v>
      </c>
      <c r="G19" t="s">
        <v>53</v>
      </c>
      <c r="H19">
        <v>0</v>
      </c>
      <c r="I19">
        <v>0</v>
      </c>
      <c r="J19">
        <v>0</v>
      </c>
      <c r="K19">
        <v>0</v>
      </c>
      <c r="L19">
        <v>0</v>
      </c>
      <c r="M19" s="448">
        <v>0</v>
      </c>
    </row>
    <row r="20" spans="1:13" x14ac:dyDescent="0.25">
      <c r="A20" t="s">
        <v>170</v>
      </c>
      <c r="B20" t="s">
        <v>778</v>
      </c>
      <c r="C20" t="s">
        <v>779</v>
      </c>
      <c r="D20" t="s">
        <v>781</v>
      </c>
      <c r="E20" t="s">
        <v>695</v>
      </c>
      <c r="F20" t="s">
        <v>769</v>
      </c>
      <c r="G20" t="s">
        <v>695</v>
      </c>
      <c r="H20">
        <v>1</v>
      </c>
      <c r="I20">
        <v>1</v>
      </c>
      <c r="J20">
        <v>85</v>
      </c>
      <c r="K20">
        <v>0</v>
      </c>
      <c r="L20">
        <v>0</v>
      </c>
      <c r="M20" s="448">
        <v>65.2</v>
      </c>
    </row>
    <row r="21" spans="1:13" x14ac:dyDescent="0.25">
      <c r="A21" t="s">
        <v>170</v>
      </c>
      <c r="B21" t="s">
        <v>295</v>
      </c>
      <c r="C21" t="s">
        <v>175</v>
      </c>
      <c r="D21" t="s">
        <v>781</v>
      </c>
      <c r="E21" t="s">
        <v>686</v>
      </c>
      <c r="F21" t="s">
        <v>784</v>
      </c>
      <c r="G21" t="s">
        <v>794</v>
      </c>
      <c r="H21">
        <v>8</v>
      </c>
      <c r="I21">
        <v>1</v>
      </c>
      <c r="J21">
        <v>677</v>
      </c>
      <c r="K21">
        <v>1</v>
      </c>
      <c r="L21">
        <v>0</v>
      </c>
      <c r="M21" s="448">
        <v>63.1</v>
      </c>
    </row>
    <row r="22" spans="1:13" x14ac:dyDescent="0.25">
      <c r="A22" t="s">
        <v>161</v>
      </c>
      <c r="B22" t="s">
        <v>53</v>
      </c>
      <c r="C22" t="s">
        <v>470</v>
      </c>
      <c r="D22" t="s">
        <v>781</v>
      </c>
      <c r="E22" t="s">
        <v>688</v>
      </c>
      <c r="F22" t="s">
        <v>784</v>
      </c>
      <c r="G22" t="s">
        <v>688</v>
      </c>
      <c r="H22">
        <v>4</v>
      </c>
      <c r="I22">
        <v>3</v>
      </c>
      <c r="J22">
        <v>429</v>
      </c>
      <c r="K22">
        <v>0</v>
      </c>
      <c r="L22">
        <v>0</v>
      </c>
      <c r="M22" s="448">
        <v>65.400000000000006</v>
      </c>
    </row>
    <row r="23" spans="1:13" x14ac:dyDescent="0.25">
      <c r="A23" t="s">
        <v>161</v>
      </c>
      <c r="B23" t="s">
        <v>795</v>
      </c>
      <c r="C23" t="s">
        <v>796</v>
      </c>
      <c r="D23" t="s">
        <v>788</v>
      </c>
      <c r="E23" t="s">
        <v>689</v>
      </c>
      <c r="F23" t="s">
        <v>788</v>
      </c>
      <c r="G23" t="s">
        <v>53</v>
      </c>
      <c r="H23">
        <v>0</v>
      </c>
      <c r="I23">
        <v>2</v>
      </c>
      <c r="J23">
        <v>14</v>
      </c>
      <c r="K23">
        <v>0</v>
      </c>
      <c r="L23">
        <v>0</v>
      </c>
      <c r="M23" s="448">
        <v>54.9</v>
      </c>
    </row>
    <row r="24" spans="1:13" x14ac:dyDescent="0.25">
      <c r="A24" t="s">
        <v>161</v>
      </c>
      <c r="B24" t="s">
        <v>176</v>
      </c>
      <c r="C24" t="s">
        <v>797</v>
      </c>
      <c r="D24" t="s">
        <v>788</v>
      </c>
      <c r="E24" t="s">
        <v>686</v>
      </c>
      <c r="F24" t="s">
        <v>788</v>
      </c>
      <c r="G24" t="s">
        <v>684</v>
      </c>
      <c r="H24">
        <v>2</v>
      </c>
      <c r="I24">
        <v>3</v>
      </c>
      <c r="J24">
        <v>263</v>
      </c>
      <c r="K24">
        <v>0</v>
      </c>
      <c r="L24">
        <v>0</v>
      </c>
      <c r="M24" s="448">
        <v>58.8</v>
      </c>
    </row>
    <row r="25" spans="1:13" ht="15.75" thickBot="1" x14ac:dyDescent="0.3">
      <c r="A25" s="449" t="s">
        <v>161</v>
      </c>
      <c r="B25" s="449" t="s">
        <v>672</v>
      </c>
      <c r="C25" s="449" t="s">
        <v>546</v>
      </c>
      <c r="D25" s="449" t="s">
        <v>783</v>
      </c>
      <c r="E25" s="449" t="s">
        <v>767</v>
      </c>
      <c r="F25" s="449" t="s">
        <v>784</v>
      </c>
      <c r="G25" s="449" t="s">
        <v>767</v>
      </c>
      <c r="H25" s="449">
        <v>5</v>
      </c>
      <c r="I25" s="449">
        <v>0</v>
      </c>
      <c r="J25" s="449">
        <v>389</v>
      </c>
      <c r="K25" s="449">
        <v>1</v>
      </c>
      <c r="L25" s="449">
        <v>0</v>
      </c>
      <c r="M25" s="450">
        <v>69</v>
      </c>
    </row>
    <row r="26" spans="1:13" x14ac:dyDescent="0.25">
      <c r="A26" t="s">
        <v>145</v>
      </c>
      <c r="B26" t="s">
        <v>151</v>
      </c>
      <c r="C26" t="s">
        <v>152</v>
      </c>
      <c r="D26" t="s">
        <v>781</v>
      </c>
      <c r="E26" t="s">
        <v>767</v>
      </c>
      <c r="F26" t="s">
        <v>784</v>
      </c>
      <c r="G26" t="s">
        <v>767</v>
      </c>
      <c r="H26">
        <v>4</v>
      </c>
      <c r="I26">
        <v>2</v>
      </c>
      <c r="J26">
        <v>429</v>
      </c>
      <c r="K26">
        <v>0</v>
      </c>
      <c r="L26">
        <v>0</v>
      </c>
      <c r="M26" s="448">
        <v>63.1</v>
      </c>
    </row>
    <row r="27" spans="1:13" x14ac:dyDescent="0.25">
      <c r="A27" t="s">
        <v>145</v>
      </c>
      <c r="B27" t="s">
        <v>310</v>
      </c>
      <c r="C27" t="s">
        <v>311</v>
      </c>
      <c r="D27" t="s">
        <v>781</v>
      </c>
      <c r="E27" t="s">
        <v>767</v>
      </c>
      <c r="F27" t="s">
        <v>771</v>
      </c>
      <c r="G27" t="s">
        <v>767</v>
      </c>
      <c r="H27">
        <v>6</v>
      </c>
      <c r="I27">
        <v>1</v>
      </c>
      <c r="J27">
        <v>454</v>
      </c>
      <c r="K27">
        <v>1</v>
      </c>
      <c r="L27">
        <v>0</v>
      </c>
      <c r="M27" s="448">
        <v>69.8</v>
      </c>
    </row>
    <row r="28" spans="1:13" x14ac:dyDescent="0.25">
      <c r="A28" t="s">
        <v>145</v>
      </c>
      <c r="B28" t="s">
        <v>798</v>
      </c>
      <c r="C28" t="s">
        <v>799</v>
      </c>
      <c r="D28" t="s">
        <v>781</v>
      </c>
      <c r="E28" t="s">
        <v>689</v>
      </c>
      <c r="F28" t="s">
        <v>784</v>
      </c>
      <c r="G28" t="s">
        <v>689</v>
      </c>
      <c r="H28">
        <v>7</v>
      </c>
      <c r="I28">
        <v>0</v>
      </c>
      <c r="J28">
        <v>630</v>
      </c>
      <c r="K28">
        <v>0</v>
      </c>
      <c r="L28">
        <v>0</v>
      </c>
      <c r="M28" s="448">
        <v>64.5</v>
      </c>
    </row>
    <row r="29" spans="1:13" x14ac:dyDescent="0.25">
      <c r="A29" t="s">
        <v>145</v>
      </c>
      <c r="B29" t="s">
        <v>667</v>
      </c>
      <c r="C29" t="s">
        <v>800</v>
      </c>
      <c r="D29" t="s">
        <v>781</v>
      </c>
      <c r="E29" t="s">
        <v>695</v>
      </c>
      <c r="F29" t="s">
        <v>784</v>
      </c>
      <c r="G29" t="s">
        <v>53</v>
      </c>
      <c r="H29">
        <v>0</v>
      </c>
      <c r="I29">
        <v>4</v>
      </c>
      <c r="J29">
        <v>90</v>
      </c>
      <c r="K29">
        <v>0</v>
      </c>
      <c r="L29">
        <v>0</v>
      </c>
      <c r="M29" s="448">
        <v>63.3</v>
      </c>
    </row>
    <row r="30" spans="1:13" x14ac:dyDescent="0.25">
      <c r="A30" t="s">
        <v>145</v>
      </c>
      <c r="B30" t="s">
        <v>453</v>
      </c>
      <c r="C30" t="s">
        <v>454</v>
      </c>
      <c r="D30" t="s">
        <v>781</v>
      </c>
      <c r="E30" t="s">
        <v>685</v>
      </c>
      <c r="F30" t="s">
        <v>784</v>
      </c>
      <c r="G30" t="s">
        <v>53</v>
      </c>
      <c r="H30">
        <v>0</v>
      </c>
      <c r="I30">
        <v>5</v>
      </c>
      <c r="J30">
        <v>85</v>
      </c>
      <c r="K30">
        <v>0</v>
      </c>
      <c r="L30">
        <v>1</v>
      </c>
      <c r="M30" s="448">
        <v>61.7</v>
      </c>
    </row>
    <row r="31" spans="1:13" x14ac:dyDescent="0.25">
      <c r="A31" t="s">
        <v>91</v>
      </c>
      <c r="B31" t="s">
        <v>801</v>
      </c>
      <c r="C31" t="s">
        <v>559</v>
      </c>
      <c r="D31" t="s">
        <v>781</v>
      </c>
      <c r="E31" t="s">
        <v>767</v>
      </c>
      <c r="F31" t="s">
        <v>769</v>
      </c>
      <c r="G31" t="s">
        <v>53</v>
      </c>
      <c r="H31">
        <v>0</v>
      </c>
      <c r="I31">
        <v>0</v>
      </c>
      <c r="J31">
        <v>0</v>
      </c>
      <c r="K31">
        <v>0</v>
      </c>
      <c r="L31">
        <v>0</v>
      </c>
      <c r="M31" s="448">
        <v>0</v>
      </c>
    </row>
    <row r="32" spans="1:13" x14ac:dyDescent="0.25">
      <c r="A32" t="s">
        <v>91</v>
      </c>
      <c r="B32" t="s">
        <v>802</v>
      </c>
      <c r="C32" t="s">
        <v>803</v>
      </c>
      <c r="D32" t="s">
        <v>781</v>
      </c>
      <c r="E32" t="s">
        <v>767</v>
      </c>
      <c r="F32" t="s">
        <v>768</v>
      </c>
      <c r="G32" t="s">
        <v>53</v>
      </c>
      <c r="H32">
        <v>0</v>
      </c>
      <c r="I32">
        <v>0</v>
      </c>
      <c r="J32">
        <v>0</v>
      </c>
      <c r="K32">
        <v>0</v>
      </c>
      <c r="L32">
        <v>0</v>
      </c>
      <c r="M32" s="448">
        <v>0</v>
      </c>
    </row>
    <row r="33" spans="1:13" x14ac:dyDescent="0.25">
      <c r="A33" t="s">
        <v>91</v>
      </c>
      <c r="B33" t="s">
        <v>61</v>
      </c>
      <c r="C33" t="s">
        <v>284</v>
      </c>
      <c r="D33" t="s">
        <v>781</v>
      </c>
      <c r="E33" t="s">
        <v>767</v>
      </c>
      <c r="F33" t="s">
        <v>784</v>
      </c>
      <c r="G33" t="s">
        <v>767</v>
      </c>
      <c r="H33">
        <v>8</v>
      </c>
      <c r="I33">
        <v>0</v>
      </c>
      <c r="J33">
        <v>720</v>
      </c>
      <c r="K33">
        <v>1</v>
      </c>
      <c r="L33">
        <v>0</v>
      </c>
      <c r="M33" s="448">
        <v>69.5</v>
      </c>
    </row>
    <row r="34" spans="1:13" x14ac:dyDescent="0.25">
      <c r="A34" t="s">
        <v>91</v>
      </c>
      <c r="B34" t="s">
        <v>447</v>
      </c>
      <c r="C34" t="s">
        <v>804</v>
      </c>
      <c r="D34" t="s">
        <v>781</v>
      </c>
      <c r="E34" t="s">
        <v>684</v>
      </c>
      <c r="F34" t="s">
        <v>784</v>
      </c>
      <c r="G34" t="s">
        <v>53</v>
      </c>
      <c r="H34">
        <v>0</v>
      </c>
      <c r="I34">
        <v>0</v>
      </c>
      <c r="J34">
        <v>0</v>
      </c>
      <c r="K34">
        <v>0</v>
      </c>
      <c r="L34">
        <v>0</v>
      </c>
      <c r="M34" s="448">
        <v>0</v>
      </c>
    </row>
    <row r="35" spans="1:13" x14ac:dyDescent="0.25">
      <c r="A35" t="s">
        <v>91</v>
      </c>
      <c r="B35" t="s">
        <v>65</v>
      </c>
      <c r="C35" t="s">
        <v>334</v>
      </c>
      <c r="D35" t="s">
        <v>783</v>
      </c>
      <c r="E35" t="s">
        <v>767</v>
      </c>
      <c r="F35" t="s">
        <v>784</v>
      </c>
      <c r="G35" t="s">
        <v>767</v>
      </c>
      <c r="H35">
        <v>5</v>
      </c>
      <c r="I35">
        <v>0</v>
      </c>
      <c r="J35">
        <v>363</v>
      </c>
      <c r="K35">
        <v>0</v>
      </c>
      <c r="L35">
        <v>0</v>
      </c>
      <c r="M35" s="448">
        <v>66.3</v>
      </c>
    </row>
  </sheetData>
  <autoFilter ref="A1:M1" xr:uid="{0E1F0DEE-0C7B-4CBE-9E34-9634953413A4}"/>
  <conditionalFormatting sqref="D1:D1048576 E5:G6 E15:G15 G16 E17:G35">
    <cfRule type="cellIs" dxfId="1022" priority="1" operator="equal">
      <formula>"Şüpheli"</formula>
    </cfRule>
    <cfRule type="cellIs" dxfId="1021" priority="2" operator="equal">
      <formula>"Cezalı"</formula>
    </cfRule>
    <cfRule type="cellIs" dxfId="1020" priority="3" operator="equal">
      <formula>"Sakat"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5DB3-882B-49A2-B081-EE8A566B0358}">
  <sheetPr>
    <tabColor theme="9" tint="0.39997558519241921"/>
  </sheetPr>
  <dimension ref="A1:BF95"/>
  <sheetViews>
    <sheetView workbookViewId="0">
      <pane ySplit="1" topLeftCell="A73" activePane="bottomLeft" state="frozen"/>
      <selection pane="bottomLeft" activeCell="A79" sqref="A79:BE86"/>
    </sheetView>
  </sheetViews>
  <sheetFormatPr defaultRowHeight="15" x14ac:dyDescent="0.25"/>
  <cols>
    <col min="1" max="1" width="13.28515625" style="329" customWidth="1"/>
    <col min="2" max="2" width="2.7109375" style="5" customWidth="1"/>
    <col min="3" max="3" width="12.7109375" style="5" customWidth="1"/>
    <col min="4" max="5" width="3.7109375" style="7" customWidth="1"/>
    <col min="6" max="6" width="12.7109375" style="5" customWidth="1"/>
    <col min="7" max="7" width="9.7109375" style="44" customWidth="1"/>
    <col min="8" max="8" width="3.7109375" style="108" customWidth="1"/>
    <col min="9" max="9" width="3.7109375" style="5" customWidth="1"/>
    <col min="10" max="11" width="5.28515625" style="6" customWidth="1"/>
    <col min="12" max="19" width="3.7109375" style="5" customWidth="1"/>
    <col min="20" max="21" width="5.28515625" style="6" customWidth="1"/>
    <col min="22" max="25" width="3.7109375" style="5" customWidth="1"/>
    <col min="26" max="27" width="4.28515625" style="5" customWidth="1"/>
    <col min="28" max="31" width="3.7109375" style="5" customWidth="1"/>
    <col min="32" max="35" width="2.7109375" style="5" customWidth="1"/>
    <col min="36" max="36" width="3.7109375" style="5" customWidth="1"/>
    <col min="37" max="37" width="3.7109375" style="57" customWidth="1"/>
    <col min="38" max="38" width="4.7109375" style="108" customWidth="1"/>
    <col min="39" max="39" width="5.28515625" style="373" customWidth="1"/>
    <col min="40" max="43" width="4.7109375" style="5" customWidth="1"/>
    <col min="44" max="44" width="5.28515625" style="372" customWidth="1"/>
    <col min="45" max="46" width="4.7109375" style="5" customWidth="1"/>
    <col min="47" max="47" width="5.28515625" style="372" customWidth="1"/>
    <col min="48" max="51" width="4.7109375" style="5" customWidth="1"/>
    <col min="52" max="52" width="5.28515625" style="372" customWidth="1"/>
    <col min="53" max="53" width="4.7109375" style="57" customWidth="1"/>
    <col min="54" max="54" width="3.7109375" style="374" customWidth="1"/>
    <col min="55" max="56" width="3.7109375" style="366" customWidth="1"/>
    <col min="57" max="57" width="3.7109375" style="368" customWidth="1"/>
    <col min="58" max="58" width="9.140625" style="38"/>
    <col min="59" max="16384" width="9.140625" style="5"/>
  </cols>
  <sheetData>
    <row r="1" spans="1:57" x14ac:dyDescent="0.25">
      <c r="A1" s="322" t="s">
        <v>37</v>
      </c>
      <c r="B1" s="24" t="s">
        <v>38</v>
      </c>
      <c r="C1" s="1" t="s">
        <v>635</v>
      </c>
      <c r="D1" s="3" t="s">
        <v>636</v>
      </c>
      <c r="E1" s="3" t="s">
        <v>637</v>
      </c>
      <c r="F1" s="1" t="s">
        <v>638</v>
      </c>
      <c r="G1" s="35" t="s">
        <v>586</v>
      </c>
      <c r="H1" s="369" t="s">
        <v>587</v>
      </c>
      <c r="I1" s="39" t="s">
        <v>588</v>
      </c>
      <c r="J1" s="370" t="s">
        <v>589</v>
      </c>
      <c r="K1" s="370" t="s">
        <v>590</v>
      </c>
      <c r="L1" s="87" t="s">
        <v>593</v>
      </c>
      <c r="M1" s="87" t="s">
        <v>594</v>
      </c>
      <c r="N1" s="87" t="s">
        <v>595</v>
      </c>
      <c r="O1" s="87" t="s">
        <v>596</v>
      </c>
      <c r="P1" s="40" t="s">
        <v>597</v>
      </c>
      <c r="Q1" s="40" t="s">
        <v>598</v>
      </c>
      <c r="R1" s="40" t="s">
        <v>599</v>
      </c>
      <c r="S1" s="40" t="s">
        <v>600</v>
      </c>
      <c r="T1" s="371" t="s">
        <v>601</v>
      </c>
      <c r="U1" s="371" t="s">
        <v>602</v>
      </c>
      <c r="V1" s="39" t="s">
        <v>603</v>
      </c>
      <c r="W1" s="39" t="s">
        <v>604</v>
      </c>
      <c r="X1" s="39" t="s">
        <v>605</v>
      </c>
      <c r="Y1" s="39" t="s">
        <v>606</v>
      </c>
      <c r="Z1" s="39" t="s">
        <v>607</v>
      </c>
      <c r="AA1" s="39" t="s">
        <v>608</v>
      </c>
      <c r="AB1" s="39" t="s">
        <v>609</v>
      </c>
      <c r="AC1" s="39" t="s">
        <v>610</v>
      </c>
      <c r="AD1" s="39" t="s">
        <v>611</v>
      </c>
      <c r="AE1" s="39" t="s">
        <v>612</v>
      </c>
      <c r="AF1" s="39" t="s">
        <v>613</v>
      </c>
      <c r="AG1" s="39" t="s">
        <v>614</v>
      </c>
      <c r="AH1" s="39" t="s">
        <v>615</v>
      </c>
      <c r="AI1" s="39" t="s">
        <v>616</v>
      </c>
      <c r="AJ1" s="39" t="s">
        <v>617</v>
      </c>
      <c r="AK1" s="41" t="s">
        <v>618</v>
      </c>
      <c r="AL1" s="85" t="s">
        <v>619</v>
      </c>
      <c r="AM1" s="84" t="s">
        <v>639</v>
      </c>
      <c r="AN1" s="39" t="s">
        <v>620</v>
      </c>
      <c r="AO1" s="39" t="s">
        <v>621</v>
      </c>
      <c r="AP1" s="40" t="s">
        <v>622</v>
      </c>
      <c r="AQ1" s="87" t="s">
        <v>623</v>
      </c>
      <c r="AR1" s="341" t="s">
        <v>640</v>
      </c>
      <c r="AS1" s="39" t="s">
        <v>624</v>
      </c>
      <c r="AT1" s="87" t="s">
        <v>625</v>
      </c>
      <c r="AU1" s="341" t="s">
        <v>641</v>
      </c>
      <c r="AV1" s="39" t="s">
        <v>626</v>
      </c>
      <c r="AW1" s="39" t="s">
        <v>627</v>
      </c>
      <c r="AX1" s="40" t="s">
        <v>628</v>
      </c>
      <c r="AY1" s="87" t="s">
        <v>629</v>
      </c>
      <c r="AZ1" s="341" t="s">
        <v>642</v>
      </c>
      <c r="BA1" s="41" t="s">
        <v>630</v>
      </c>
      <c r="BB1" s="314" t="s">
        <v>631</v>
      </c>
      <c r="BC1" s="314" t="s">
        <v>632</v>
      </c>
      <c r="BD1" s="314" t="s">
        <v>633</v>
      </c>
      <c r="BE1" s="367" t="s">
        <v>634</v>
      </c>
    </row>
    <row r="2" spans="1:57" x14ac:dyDescent="0.25">
      <c r="A2" s="329">
        <v>45893</v>
      </c>
      <c r="B2" s="5">
        <v>2</v>
      </c>
      <c r="C2" s="5" t="s">
        <v>146</v>
      </c>
      <c r="D2" s="424">
        <v>2</v>
      </c>
      <c r="E2" s="424">
        <v>2</v>
      </c>
      <c r="F2" s="5" t="s">
        <v>192</v>
      </c>
      <c r="H2" s="42">
        <v>62</v>
      </c>
      <c r="I2" s="26">
        <v>38</v>
      </c>
      <c r="J2" s="33">
        <v>1.0900000000000001</v>
      </c>
      <c r="K2" s="34">
        <v>1.81</v>
      </c>
      <c r="L2" s="25">
        <v>3</v>
      </c>
      <c r="M2" s="26">
        <v>2</v>
      </c>
      <c r="N2" s="25">
        <v>15</v>
      </c>
      <c r="O2" s="26">
        <v>14</v>
      </c>
      <c r="P2" s="25">
        <v>1</v>
      </c>
      <c r="Q2" s="26">
        <v>5</v>
      </c>
      <c r="R2" s="25">
        <v>0</v>
      </c>
      <c r="S2" s="26">
        <v>2</v>
      </c>
      <c r="T2" s="33">
        <v>-0.27</v>
      </c>
      <c r="U2" s="34">
        <v>7.0000000000000007E-2</v>
      </c>
      <c r="V2" s="25">
        <v>5</v>
      </c>
      <c r="W2" s="26">
        <v>2</v>
      </c>
      <c r="X2" s="25">
        <v>16</v>
      </c>
      <c r="Y2" s="26">
        <v>18</v>
      </c>
      <c r="Z2" s="25">
        <v>198</v>
      </c>
      <c r="AA2" s="26">
        <v>305</v>
      </c>
      <c r="AB2" s="25">
        <v>16</v>
      </c>
      <c r="AC2" s="26">
        <v>21</v>
      </c>
      <c r="AD2" s="25">
        <v>18</v>
      </c>
      <c r="AE2" s="26">
        <v>15</v>
      </c>
      <c r="AF2" s="25">
        <v>2</v>
      </c>
      <c r="AG2" s="26">
        <v>2</v>
      </c>
      <c r="AH2" s="25">
        <v>0</v>
      </c>
      <c r="AI2" s="26">
        <v>0</v>
      </c>
      <c r="AJ2" s="25">
        <v>0</v>
      </c>
      <c r="AK2" s="43">
        <v>0.7</v>
      </c>
      <c r="AL2" s="173">
        <v>7</v>
      </c>
      <c r="AM2" s="364">
        <v>0.46666666666666667</v>
      </c>
      <c r="AN2" s="144">
        <v>0</v>
      </c>
      <c r="AO2" s="144">
        <v>4</v>
      </c>
      <c r="AP2" s="144">
        <v>4</v>
      </c>
      <c r="AQ2" s="144">
        <v>11</v>
      </c>
      <c r="AR2" s="365">
        <v>0.73333333333333328</v>
      </c>
      <c r="AS2" s="144">
        <v>4</v>
      </c>
      <c r="AT2" s="5">
        <v>3</v>
      </c>
      <c r="AU2" s="372">
        <v>0.21428571428571427</v>
      </c>
      <c r="AV2" s="5">
        <v>0</v>
      </c>
      <c r="AW2" s="5">
        <v>7</v>
      </c>
      <c r="AX2" s="5">
        <v>4</v>
      </c>
      <c r="AY2" s="5">
        <v>5</v>
      </c>
      <c r="AZ2" s="372">
        <v>0.35714285714285715</v>
      </c>
      <c r="BA2" s="57">
        <v>9</v>
      </c>
      <c r="BB2" s="393">
        <v>0</v>
      </c>
      <c r="BC2" s="394">
        <v>0</v>
      </c>
      <c r="BD2" s="395">
        <v>0</v>
      </c>
      <c r="BE2" s="396">
        <v>1</v>
      </c>
    </row>
    <row r="3" spans="1:57" x14ac:dyDescent="0.25">
      <c r="A3" s="329">
        <v>45913</v>
      </c>
      <c r="B3" s="5">
        <v>4</v>
      </c>
      <c r="C3" s="5" t="s">
        <v>146</v>
      </c>
      <c r="D3" s="425">
        <v>1</v>
      </c>
      <c r="E3" s="425">
        <v>2</v>
      </c>
      <c r="F3" s="26" t="s">
        <v>226</v>
      </c>
      <c r="G3" s="242" t="s">
        <v>538</v>
      </c>
      <c r="H3" s="42">
        <v>64</v>
      </c>
      <c r="I3" s="26">
        <v>36</v>
      </c>
      <c r="J3" s="33">
        <v>2.23</v>
      </c>
      <c r="K3" s="34">
        <v>2.42</v>
      </c>
      <c r="L3" s="25">
        <v>5</v>
      </c>
      <c r="M3" s="26">
        <v>3</v>
      </c>
      <c r="N3" s="25">
        <v>23</v>
      </c>
      <c r="O3" s="26">
        <v>16</v>
      </c>
      <c r="P3" s="25">
        <v>4</v>
      </c>
      <c r="Q3" s="26">
        <v>3</v>
      </c>
      <c r="R3" s="25">
        <v>1</v>
      </c>
      <c r="S3" s="26">
        <v>0</v>
      </c>
      <c r="T3" s="33">
        <v>0.42</v>
      </c>
      <c r="U3" s="34">
        <v>-0.02</v>
      </c>
      <c r="V3" s="25">
        <v>12</v>
      </c>
      <c r="W3" s="26">
        <v>4</v>
      </c>
      <c r="X3" s="25">
        <v>17</v>
      </c>
      <c r="Y3" s="26">
        <v>7</v>
      </c>
      <c r="Z3" s="25">
        <v>521</v>
      </c>
      <c r="AA3" s="26">
        <v>314</v>
      </c>
      <c r="AB3" s="25">
        <v>13</v>
      </c>
      <c r="AC3" s="26">
        <v>9</v>
      </c>
      <c r="AD3" s="25">
        <v>6</v>
      </c>
      <c r="AE3" s="26">
        <v>17</v>
      </c>
      <c r="AF3" s="25">
        <v>2</v>
      </c>
      <c r="AG3" s="26">
        <v>1</v>
      </c>
      <c r="AH3" s="25">
        <v>0</v>
      </c>
      <c r="AI3" s="26">
        <v>1</v>
      </c>
      <c r="AJ3" s="25">
        <v>0.7</v>
      </c>
      <c r="AK3" s="43">
        <v>0</v>
      </c>
      <c r="AL3" s="173">
        <v>4</v>
      </c>
      <c r="AM3" s="364">
        <v>0.17391304347826086</v>
      </c>
      <c r="AN3" s="144">
        <v>0</v>
      </c>
      <c r="AO3" s="144">
        <v>7</v>
      </c>
      <c r="AP3" s="144">
        <v>12</v>
      </c>
      <c r="AQ3" s="144">
        <v>15</v>
      </c>
      <c r="AR3" s="365">
        <v>0.65217391304347827</v>
      </c>
      <c r="AS3" s="144">
        <v>8</v>
      </c>
      <c r="AT3" s="5">
        <v>6</v>
      </c>
      <c r="AU3" s="372">
        <v>0.375</v>
      </c>
      <c r="AV3" s="5">
        <v>2</v>
      </c>
      <c r="AW3" s="5">
        <v>7</v>
      </c>
      <c r="AX3" s="5">
        <v>3</v>
      </c>
      <c r="AY3" s="5">
        <v>14</v>
      </c>
      <c r="AZ3" s="372">
        <v>0.875</v>
      </c>
      <c r="BA3" s="57">
        <v>2</v>
      </c>
      <c r="BB3" s="393">
        <v>0</v>
      </c>
      <c r="BC3" s="394">
        <v>1</v>
      </c>
      <c r="BD3" s="395">
        <v>0</v>
      </c>
      <c r="BE3" s="396">
        <v>0</v>
      </c>
    </row>
    <row r="4" spans="1:57" x14ac:dyDescent="0.25">
      <c r="A4" s="329">
        <v>45924</v>
      </c>
      <c r="B4" s="5">
        <v>6</v>
      </c>
      <c r="C4" s="5" t="s">
        <v>146</v>
      </c>
      <c r="D4" s="426">
        <v>1</v>
      </c>
      <c r="E4" s="426">
        <v>0</v>
      </c>
      <c r="F4" s="5" t="s">
        <v>112</v>
      </c>
      <c r="H4" s="42">
        <v>64</v>
      </c>
      <c r="I4" s="26">
        <v>36</v>
      </c>
      <c r="J4" s="33">
        <v>2.76</v>
      </c>
      <c r="K4" s="34">
        <v>0.76</v>
      </c>
      <c r="L4" s="25">
        <v>4</v>
      </c>
      <c r="M4" s="26">
        <v>1</v>
      </c>
      <c r="N4" s="25">
        <v>17</v>
      </c>
      <c r="O4" s="26">
        <v>7</v>
      </c>
      <c r="P4" s="25">
        <v>3</v>
      </c>
      <c r="Q4" s="26">
        <v>3</v>
      </c>
      <c r="R4" s="25">
        <v>0</v>
      </c>
      <c r="S4" s="26">
        <v>2</v>
      </c>
      <c r="T4" s="33">
        <v>0.15</v>
      </c>
      <c r="U4" s="34">
        <v>0.85</v>
      </c>
      <c r="V4" s="25">
        <v>11</v>
      </c>
      <c r="W4" s="26">
        <v>2</v>
      </c>
      <c r="X4" s="25">
        <v>13</v>
      </c>
      <c r="Y4" s="26">
        <v>15</v>
      </c>
      <c r="Z4" s="25">
        <v>548</v>
      </c>
      <c r="AA4" s="26">
        <v>310</v>
      </c>
      <c r="AB4" s="25">
        <v>13</v>
      </c>
      <c r="AC4" s="26">
        <v>15</v>
      </c>
      <c r="AD4" s="25">
        <v>15</v>
      </c>
      <c r="AE4" s="26">
        <v>13</v>
      </c>
      <c r="AF4" s="25">
        <v>2</v>
      </c>
      <c r="AG4" s="26">
        <v>2</v>
      </c>
      <c r="AH4" s="25">
        <v>0</v>
      </c>
      <c r="AI4" s="26">
        <v>0</v>
      </c>
      <c r="AJ4" s="25">
        <v>0</v>
      </c>
      <c r="AK4" s="43">
        <v>0</v>
      </c>
      <c r="AL4" s="173">
        <v>4</v>
      </c>
      <c r="AM4" s="364">
        <v>0.23529411764705882</v>
      </c>
      <c r="AN4" s="144">
        <v>0</v>
      </c>
      <c r="AO4" s="144">
        <v>10</v>
      </c>
      <c r="AP4" s="144">
        <v>3</v>
      </c>
      <c r="AQ4" s="144">
        <v>12</v>
      </c>
      <c r="AR4" s="365">
        <v>0.70588235294117652</v>
      </c>
      <c r="AS4" s="144">
        <v>5</v>
      </c>
      <c r="AT4" s="5">
        <v>3</v>
      </c>
      <c r="AU4" s="372">
        <v>0.42857142857142855</v>
      </c>
      <c r="AV4" s="5">
        <v>0</v>
      </c>
      <c r="AW4" s="5">
        <v>3</v>
      </c>
      <c r="AX4" s="5">
        <v>1</v>
      </c>
      <c r="AY4" s="5">
        <v>6</v>
      </c>
      <c r="AZ4" s="372">
        <v>0.8571428571428571</v>
      </c>
      <c r="BA4" s="57">
        <v>1</v>
      </c>
      <c r="BB4" s="393">
        <v>0</v>
      </c>
      <c r="BC4" s="394">
        <v>0</v>
      </c>
      <c r="BD4" s="395">
        <v>1</v>
      </c>
      <c r="BE4" s="396">
        <v>0</v>
      </c>
    </row>
    <row r="5" spans="1:57" ht="15.75" thickBot="1" x14ac:dyDescent="0.3">
      <c r="A5" s="330">
        <v>45935</v>
      </c>
      <c r="B5" s="9">
        <v>8</v>
      </c>
      <c r="C5" s="9" t="s">
        <v>146</v>
      </c>
      <c r="D5" s="427">
        <v>0</v>
      </c>
      <c r="E5" s="427">
        <v>1</v>
      </c>
      <c r="F5" s="9" t="s">
        <v>70</v>
      </c>
      <c r="G5" s="45"/>
      <c r="H5" s="384">
        <v>51</v>
      </c>
      <c r="I5" s="74">
        <v>49</v>
      </c>
      <c r="J5" s="385">
        <v>0.79</v>
      </c>
      <c r="K5" s="386">
        <v>0.8</v>
      </c>
      <c r="L5" s="387">
        <v>1</v>
      </c>
      <c r="M5" s="74">
        <v>3</v>
      </c>
      <c r="N5" s="387">
        <v>10</v>
      </c>
      <c r="O5" s="74">
        <v>7</v>
      </c>
      <c r="P5" s="387">
        <v>1</v>
      </c>
      <c r="Q5" s="74">
        <v>3</v>
      </c>
      <c r="R5" s="387">
        <v>1</v>
      </c>
      <c r="S5" s="74">
        <v>0</v>
      </c>
      <c r="T5" s="385">
        <v>-0.38</v>
      </c>
      <c r="U5" s="386">
        <v>1.02</v>
      </c>
      <c r="V5" s="387">
        <v>7</v>
      </c>
      <c r="W5" s="74">
        <v>5</v>
      </c>
      <c r="X5" s="387">
        <v>13</v>
      </c>
      <c r="Y5" s="74">
        <v>21</v>
      </c>
      <c r="Z5" s="387">
        <v>421</v>
      </c>
      <c r="AA5" s="74">
        <v>414</v>
      </c>
      <c r="AB5" s="387">
        <v>11</v>
      </c>
      <c r="AC5" s="74">
        <v>13</v>
      </c>
      <c r="AD5" s="387">
        <v>21</v>
      </c>
      <c r="AE5" s="74">
        <v>13</v>
      </c>
      <c r="AF5" s="387">
        <v>1</v>
      </c>
      <c r="AG5" s="74">
        <v>2</v>
      </c>
      <c r="AH5" s="387">
        <v>0</v>
      </c>
      <c r="AI5" s="74">
        <v>0</v>
      </c>
      <c r="AJ5" s="387">
        <v>0</v>
      </c>
      <c r="AK5" s="76">
        <v>0</v>
      </c>
      <c r="AL5" s="177">
        <v>3</v>
      </c>
      <c r="AM5" s="388">
        <v>0.3</v>
      </c>
      <c r="AN5" s="152">
        <v>0</v>
      </c>
      <c r="AO5" s="152">
        <v>1</v>
      </c>
      <c r="AP5" s="152">
        <v>6</v>
      </c>
      <c r="AQ5" s="152">
        <v>7</v>
      </c>
      <c r="AR5" s="389">
        <v>0.7</v>
      </c>
      <c r="AS5" s="152">
        <v>3</v>
      </c>
      <c r="AT5" s="9">
        <v>2</v>
      </c>
      <c r="AU5" s="390">
        <v>0.2857142857142857</v>
      </c>
      <c r="AV5" s="9">
        <v>0</v>
      </c>
      <c r="AW5" s="9">
        <v>3</v>
      </c>
      <c r="AX5" s="9">
        <v>2</v>
      </c>
      <c r="AY5" s="9">
        <v>5</v>
      </c>
      <c r="AZ5" s="390">
        <v>0.7142857142857143</v>
      </c>
      <c r="BA5" s="58">
        <v>2</v>
      </c>
      <c r="BB5" s="420">
        <v>1</v>
      </c>
      <c r="BC5" s="421">
        <v>0</v>
      </c>
      <c r="BD5" s="422">
        <v>0</v>
      </c>
      <c r="BE5" s="423">
        <v>0</v>
      </c>
    </row>
    <row r="6" spans="1:57" x14ac:dyDescent="0.25">
      <c r="A6" s="331">
        <v>45886</v>
      </c>
      <c r="B6" s="13">
        <v>1</v>
      </c>
      <c r="C6" s="13" t="s">
        <v>170</v>
      </c>
      <c r="D6" s="428">
        <v>3</v>
      </c>
      <c r="E6" s="428">
        <v>2</v>
      </c>
      <c r="F6" s="13" t="s">
        <v>171</v>
      </c>
      <c r="G6" s="47"/>
      <c r="H6" s="376">
        <v>46</v>
      </c>
      <c r="I6" s="79">
        <v>54</v>
      </c>
      <c r="J6" s="377">
        <v>2.89</v>
      </c>
      <c r="K6" s="378">
        <v>1.01</v>
      </c>
      <c r="L6" s="379">
        <v>3</v>
      </c>
      <c r="M6" s="79">
        <v>0</v>
      </c>
      <c r="N6" s="379">
        <v>14</v>
      </c>
      <c r="O6" s="79">
        <v>12</v>
      </c>
      <c r="P6" s="379">
        <v>4</v>
      </c>
      <c r="Q6" s="79">
        <v>0</v>
      </c>
      <c r="R6" s="379">
        <v>0</v>
      </c>
      <c r="S6" s="79">
        <v>0</v>
      </c>
      <c r="T6" s="377">
        <v>-0.26</v>
      </c>
      <c r="U6" s="378">
        <v>-0.41</v>
      </c>
      <c r="V6" s="379">
        <v>10</v>
      </c>
      <c r="W6" s="79">
        <v>1</v>
      </c>
      <c r="X6" s="379">
        <v>8</v>
      </c>
      <c r="Y6" s="79">
        <v>12</v>
      </c>
      <c r="Z6" s="379">
        <v>387</v>
      </c>
      <c r="AA6" s="79">
        <v>477</v>
      </c>
      <c r="AB6" s="379">
        <v>11</v>
      </c>
      <c r="AC6" s="79">
        <v>18</v>
      </c>
      <c r="AD6" s="379">
        <v>11</v>
      </c>
      <c r="AE6" s="79">
        <v>8</v>
      </c>
      <c r="AF6" s="379">
        <v>0</v>
      </c>
      <c r="AG6" s="79">
        <v>2</v>
      </c>
      <c r="AH6" s="379">
        <v>0</v>
      </c>
      <c r="AI6" s="79">
        <v>0</v>
      </c>
      <c r="AJ6" s="379">
        <v>0.7</v>
      </c>
      <c r="AK6" s="80">
        <v>0</v>
      </c>
      <c r="AL6" s="169">
        <v>3</v>
      </c>
      <c r="AM6" s="380">
        <v>0.21428571428571427</v>
      </c>
      <c r="AN6" s="160">
        <v>1</v>
      </c>
      <c r="AO6" s="160">
        <v>3</v>
      </c>
      <c r="AP6" s="160">
        <v>8</v>
      </c>
      <c r="AQ6" s="160">
        <v>11</v>
      </c>
      <c r="AR6" s="381">
        <v>0.7857142857142857</v>
      </c>
      <c r="AS6" s="160">
        <v>3</v>
      </c>
      <c r="AT6" s="13">
        <v>6</v>
      </c>
      <c r="AU6" s="382">
        <v>0.5</v>
      </c>
      <c r="AV6" s="13">
        <v>0</v>
      </c>
      <c r="AW6" s="13">
        <v>4</v>
      </c>
      <c r="AX6" s="13">
        <v>2</v>
      </c>
      <c r="AY6" s="13">
        <v>10</v>
      </c>
      <c r="AZ6" s="382">
        <v>0.83333333333333337</v>
      </c>
      <c r="BA6" s="60">
        <v>2</v>
      </c>
      <c r="BB6" s="416">
        <v>0</v>
      </c>
      <c r="BC6" s="417">
        <v>0</v>
      </c>
      <c r="BD6" s="418">
        <v>1</v>
      </c>
      <c r="BE6" s="419">
        <v>0</v>
      </c>
    </row>
    <row r="7" spans="1:57" x14ac:dyDescent="0.25">
      <c r="A7" s="329">
        <v>45899</v>
      </c>
      <c r="B7" s="5">
        <v>3</v>
      </c>
      <c r="C7" s="5" t="s">
        <v>69</v>
      </c>
      <c r="D7" s="426">
        <v>0</v>
      </c>
      <c r="E7" s="426">
        <v>2</v>
      </c>
      <c r="F7" s="5" t="s">
        <v>171</v>
      </c>
      <c r="H7" s="42">
        <v>59</v>
      </c>
      <c r="I7" s="26">
        <v>41</v>
      </c>
      <c r="J7" s="33">
        <v>2.13</v>
      </c>
      <c r="K7" s="34">
        <v>1.32</v>
      </c>
      <c r="L7" s="25">
        <v>3</v>
      </c>
      <c r="M7" s="26">
        <v>2</v>
      </c>
      <c r="N7" s="25">
        <v>20</v>
      </c>
      <c r="O7" s="26">
        <v>13</v>
      </c>
      <c r="P7" s="25">
        <v>2</v>
      </c>
      <c r="Q7" s="26">
        <v>5</v>
      </c>
      <c r="R7" s="25">
        <v>0</v>
      </c>
      <c r="S7" s="26">
        <v>1</v>
      </c>
      <c r="T7" s="33">
        <v>-0.74</v>
      </c>
      <c r="U7" s="34">
        <v>1.96</v>
      </c>
      <c r="V7" s="25">
        <v>11</v>
      </c>
      <c r="W7" s="26">
        <v>3</v>
      </c>
      <c r="X7" s="25">
        <v>5</v>
      </c>
      <c r="Y7" s="26">
        <v>14</v>
      </c>
      <c r="Z7" s="25">
        <v>427</v>
      </c>
      <c r="AA7" s="26">
        <v>322</v>
      </c>
      <c r="AB7" s="25">
        <v>15</v>
      </c>
      <c r="AC7" s="26">
        <v>17</v>
      </c>
      <c r="AD7" s="25">
        <v>14</v>
      </c>
      <c r="AE7" s="26">
        <v>5</v>
      </c>
      <c r="AF7" s="25">
        <v>0</v>
      </c>
      <c r="AG7" s="26">
        <v>2</v>
      </c>
      <c r="AH7" s="25">
        <v>0</v>
      </c>
      <c r="AI7" s="26">
        <v>0</v>
      </c>
      <c r="AJ7" s="25">
        <v>0</v>
      </c>
      <c r="AK7" s="43">
        <v>0</v>
      </c>
      <c r="AL7" s="173">
        <v>5</v>
      </c>
      <c r="AM7" s="364">
        <v>0.25</v>
      </c>
      <c r="AN7" s="144">
        <v>0</v>
      </c>
      <c r="AO7" s="144">
        <v>6</v>
      </c>
      <c r="AP7" s="144">
        <v>9</v>
      </c>
      <c r="AQ7" s="144">
        <v>12</v>
      </c>
      <c r="AR7" s="365">
        <v>0.6</v>
      </c>
      <c r="AS7" s="144">
        <v>8</v>
      </c>
      <c r="AT7" s="5">
        <v>4</v>
      </c>
      <c r="AU7" s="372">
        <v>0.30769230769230771</v>
      </c>
      <c r="AV7" s="5">
        <v>1</v>
      </c>
      <c r="AW7" s="5">
        <v>6</v>
      </c>
      <c r="AX7" s="5">
        <v>3</v>
      </c>
      <c r="AY7" s="5">
        <v>10</v>
      </c>
      <c r="AZ7" s="372">
        <v>0.76923076923076927</v>
      </c>
      <c r="BA7" s="57">
        <v>3</v>
      </c>
      <c r="BB7" s="393">
        <v>2</v>
      </c>
      <c r="BC7" s="394">
        <v>1</v>
      </c>
      <c r="BD7" s="395">
        <v>0</v>
      </c>
      <c r="BE7" s="396">
        <v>0</v>
      </c>
    </row>
    <row r="8" spans="1:57" x14ac:dyDescent="0.25">
      <c r="A8" s="329">
        <v>45920</v>
      </c>
      <c r="B8" s="5">
        <v>5</v>
      </c>
      <c r="C8" s="5" t="s">
        <v>128</v>
      </c>
      <c r="D8" s="426">
        <v>1</v>
      </c>
      <c r="E8" s="426">
        <v>2</v>
      </c>
      <c r="F8" s="5" t="s">
        <v>171</v>
      </c>
      <c r="H8" s="42">
        <v>48</v>
      </c>
      <c r="I8" s="26">
        <v>52</v>
      </c>
      <c r="J8" s="33">
        <v>0.95</v>
      </c>
      <c r="K8" s="34">
        <v>0.48</v>
      </c>
      <c r="L8" s="25">
        <v>1</v>
      </c>
      <c r="M8" s="26">
        <v>2</v>
      </c>
      <c r="N8" s="25">
        <v>8</v>
      </c>
      <c r="O8" s="26">
        <v>9</v>
      </c>
      <c r="P8" s="25">
        <v>1</v>
      </c>
      <c r="Q8" s="26">
        <v>4</v>
      </c>
      <c r="R8" s="25">
        <v>0</v>
      </c>
      <c r="S8" s="26">
        <v>0</v>
      </c>
      <c r="T8" s="33">
        <v>-0.48</v>
      </c>
      <c r="U8" s="34">
        <v>0</v>
      </c>
      <c r="V8" s="25">
        <v>4</v>
      </c>
      <c r="W8" s="26">
        <v>4</v>
      </c>
      <c r="X8" s="25">
        <v>20</v>
      </c>
      <c r="Y8" s="26">
        <v>19</v>
      </c>
      <c r="Z8" s="25">
        <v>394</v>
      </c>
      <c r="AA8" s="26">
        <v>423</v>
      </c>
      <c r="AB8" s="25">
        <v>21</v>
      </c>
      <c r="AC8" s="26">
        <v>20</v>
      </c>
      <c r="AD8" s="25">
        <v>18</v>
      </c>
      <c r="AE8" s="26">
        <v>20</v>
      </c>
      <c r="AF8" s="25">
        <v>1</v>
      </c>
      <c r="AG8" s="26">
        <v>7</v>
      </c>
      <c r="AH8" s="25">
        <v>0</v>
      </c>
      <c r="AI8" s="26">
        <v>0</v>
      </c>
      <c r="AJ8" s="25">
        <v>0.7</v>
      </c>
      <c r="AK8" s="43">
        <v>0</v>
      </c>
      <c r="AL8" s="173">
        <v>5</v>
      </c>
      <c r="AM8" s="364">
        <v>0.625</v>
      </c>
      <c r="AN8" s="144">
        <v>0</v>
      </c>
      <c r="AO8" s="144">
        <v>2</v>
      </c>
      <c r="AP8" s="144">
        <v>1</v>
      </c>
      <c r="AQ8" s="144">
        <v>4</v>
      </c>
      <c r="AR8" s="365">
        <v>0.5</v>
      </c>
      <c r="AS8" s="144">
        <v>4</v>
      </c>
      <c r="AT8" s="5">
        <v>3</v>
      </c>
      <c r="AU8" s="372">
        <v>0.33333333333333331</v>
      </c>
      <c r="AV8" s="5">
        <v>0</v>
      </c>
      <c r="AW8" s="5">
        <v>4</v>
      </c>
      <c r="AX8" s="5">
        <v>2</v>
      </c>
      <c r="AY8" s="5">
        <v>5</v>
      </c>
      <c r="AZ8" s="372">
        <v>0.55555555555555558</v>
      </c>
      <c r="BA8" s="57">
        <v>4</v>
      </c>
      <c r="BB8" s="393">
        <v>0</v>
      </c>
      <c r="BC8" s="394">
        <v>1</v>
      </c>
      <c r="BD8" s="395">
        <v>0</v>
      </c>
      <c r="BE8" s="396">
        <v>0</v>
      </c>
    </row>
    <row r="9" spans="1:57" x14ac:dyDescent="0.25">
      <c r="A9" s="329">
        <v>45928</v>
      </c>
      <c r="B9" s="5">
        <v>7</v>
      </c>
      <c r="C9" s="26" t="s">
        <v>70</v>
      </c>
      <c r="D9" s="426">
        <v>0</v>
      </c>
      <c r="E9" s="426">
        <v>1</v>
      </c>
      <c r="F9" s="5" t="s">
        <v>171</v>
      </c>
      <c r="G9" s="268" t="s">
        <v>526</v>
      </c>
      <c r="H9" s="42">
        <v>64</v>
      </c>
      <c r="I9" s="26">
        <v>36</v>
      </c>
      <c r="J9" s="33">
        <v>1.89</v>
      </c>
      <c r="K9" s="34">
        <v>0.63</v>
      </c>
      <c r="L9" s="25">
        <v>2</v>
      </c>
      <c r="M9" s="26">
        <v>1</v>
      </c>
      <c r="N9" s="25">
        <v>18</v>
      </c>
      <c r="O9" s="26">
        <v>4</v>
      </c>
      <c r="P9" s="25">
        <v>0</v>
      </c>
      <c r="Q9" s="26">
        <v>6</v>
      </c>
      <c r="R9" s="25">
        <v>0</v>
      </c>
      <c r="S9" s="26">
        <v>3</v>
      </c>
      <c r="T9" s="33">
        <v>-0.03</v>
      </c>
      <c r="U9" s="34">
        <v>1.65</v>
      </c>
      <c r="V9" s="25">
        <v>12</v>
      </c>
      <c r="W9" s="26">
        <v>4</v>
      </c>
      <c r="X9" s="25">
        <v>11</v>
      </c>
      <c r="Y9" s="26">
        <v>15</v>
      </c>
      <c r="Z9" s="25">
        <v>486</v>
      </c>
      <c r="AA9" s="26">
        <v>280</v>
      </c>
      <c r="AB9" s="25">
        <v>14</v>
      </c>
      <c r="AC9" s="26">
        <v>15</v>
      </c>
      <c r="AD9" s="25">
        <v>15</v>
      </c>
      <c r="AE9" s="26">
        <v>12</v>
      </c>
      <c r="AF9" s="25">
        <v>3</v>
      </c>
      <c r="AG9" s="26">
        <v>2</v>
      </c>
      <c r="AH9" s="25">
        <v>1</v>
      </c>
      <c r="AI9" s="26">
        <v>0</v>
      </c>
      <c r="AJ9" s="25">
        <v>0</v>
      </c>
      <c r="AK9" s="43">
        <v>0</v>
      </c>
      <c r="AL9" s="173">
        <v>6</v>
      </c>
      <c r="AM9" s="364">
        <v>0.33333333333333331</v>
      </c>
      <c r="AN9" s="144">
        <v>0</v>
      </c>
      <c r="AO9" s="144">
        <v>7</v>
      </c>
      <c r="AP9" s="144">
        <v>5</v>
      </c>
      <c r="AQ9" s="144">
        <v>13</v>
      </c>
      <c r="AR9" s="365">
        <v>0.72222222222222221</v>
      </c>
      <c r="AS9" s="144">
        <v>5</v>
      </c>
      <c r="AT9" s="5">
        <v>1</v>
      </c>
      <c r="AU9" s="372">
        <v>0.25</v>
      </c>
      <c r="AV9" s="5">
        <v>0</v>
      </c>
      <c r="AW9" s="5">
        <v>1</v>
      </c>
      <c r="AX9" s="5">
        <v>2</v>
      </c>
      <c r="AY9" s="5">
        <v>2</v>
      </c>
      <c r="AZ9" s="372">
        <v>0.5</v>
      </c>
      <c r="BA9" s="57">
        <v>2</v>
      </c>
      <c r="BB9" s="393">
        <v>1</v>
      </c>
      <c r="BC9" s="394">
        <v>0</v>
      </c>
      <c r="BD9" s="395">
        <v>1</v>
      </c>
      <c r="BE9" s="396">
        <v>0</v>
      </c>
    </row>
    <row r="10" spans="1:57" x14ac:dyDescent="0.25">
      <c r="A10" s="400">
        <v>45954</v>
      </c>
      <c r="B10" s="401">
        <v>10</v>
      </c>
      <c r="C10" s="401" t="s">
        <v>146</v>
      </c>
      <c r="D10" s="429">
        <f>AVERAGE(D2:D9)</f>
        <v>1</v>
      </c>
      <c r="E10" s="429">
        <f>AVERAGE(E2:E9)</f>
        <v>1.5</v>
      </c>
      <c r="F10" s="401" t="s">
        <v>171</v>
      </c>
      <c r="G10" s="402"/>
      <c r="H10" s="403">
        <f t="shared" ref="H10:AM10" si="0">AVERAGE(H2:H9)</f>
        <v>57.25</v>
      </c>
      <c r="I10" s="401">
        <f t="shared" si="0"/>
        <v>42.75</v>
      </c>
      <c r="J10" s="411">
        <f t="shared" si="0"/>
        <v>1.8412500000000001</v>
      </c>
      <c r="K10" s="404">
        <f t="shared" si="0"/>
        <v>1.1537500000000001</v>
      </c>
      <c r="L10" s="412">
        <f t="shared" si="0"/>
        <v>2.75</v>
      </c>
      <c r="M10" s="401">
        <f t="shared" si="0"/>
        <v>1.75</v>
      </c>
      <c r="N10" s="401">
        <f t="shared" si="0"/>
        <v>15.625</v>
      </c>
      <c r="O10" s="401">
        <f t="shared" si="0"/>
        <v>10.25</v>
      </c>
      <c r="P10" s="401">
        <f t="shared" si="0"/>
        <v>2</v>
      </c>
      <c r="Q10" s="401">
        <f t="shared" si="0"/>
        <v>3.625</v>
      </c>
      <c r="R10" s="401">
        <f t="shared" si="0"/>
        <v>0.25</v>
      </c>
      <c r="S10" s="401">
        <f t="shared" si="0"/>
        <v>1</v>
      </c>
      <c r="T10" s="404">
        <f t="shared" si="0"/>
        <v>-0.19875000000000001</v>
      </c>
      <c r="U10" s="404">
        <f t="shared" si="0"/>
        <v>0.6399999999999999</v>
      </c>
      <c r="V10" s="401">
        <f t="shared" si="0"/>
        <v>9</v>
      </c>
      <c r="W10" s="401">
        <f t="shared" si="0"/>
        <v>3.125</v>
      </c>
      <c r="X10" s="401">
        <f t="shared" si="0"/>
        <v>12.875</v>
      </c>
      <c r="Y10" s="401">
        <f t="shared" si="0"/>
        <v>15.125</v>
      </c>
      <c r="Z10" s="401">
        <f t="shared" si="0"/>
        <v>422.75</v>
      </c>
      <c r="AA10" s="401">
        <f t="shared" si="0"/>
        <v>355.625</v>
      </c>
      <c r="AB10" s="401">
        <f t="shared" si="0"/>
        <v>14.25</v>
      </c>
      <c r="AC10" s="401">
        <f t="shared" si="0"/>
        <v>16</v>
      </c>
      <c r="AD10" s="401">
        <f t="shared" si="0"/>
        <v>14.75</v>
      </c>
      <c r="AE10" s="401">
        <f t="shared" si="0"/>
        <v>12.875</v>
      </c>
      <c r="AF10" s="401">
        <f t="shared" si="0"/>
        <v>1.375</v>
      </c>
      <c r="AG10" s="401">
        <f t="shared" si="0"/>
        <v>2.5</v>
      </c>
      <c r="AH10" s="401">
        <f t="shared" si="0"/>
        <v>0.125</v>
      </c>
      <c r="AI10" s="401">
        <f t="shared" si="0"/>
        <v>0.125</v>
      </c>
      <c r="AJ10" s="401">
        <f t="shared" si="0"/>
        <v>0.26249999999999996</v>
      </c>
      <c r="AK10" s="405">
        <f t="shared" si="0"/>
        <v>8.7499999999999994E-2</v>
      </c>
      <c r="AL10" s="413">
        <f t="shared" si="0"/>
        <v>4.625</v>
      </c>
      <c r="AM10" s="414">
        <f t="shared" si="0"/>
        <v>0.32481160942637927</v>
      </c>
      <c r="AN10" s="401">
        <f t="shared" ref="AN10:BS10" si="1">AVERAGE(AN2:AN9)</f>
        <v>0.125</v>
      </c>
      <c r="AO10" s="401">
        <f t="shared" si="1"/>
        <v>5</v>
      </c>
      <c r="AP10" s="401">
        <f t="shared" si="1"/>
        <v>6</v>
      </c>
      <c r="AQ10" s="401">
        <f t="shared" si="1"/>
        <v>10.625</v>
      </c>
      <c r="AR10" s="415">
        <f t="shared" si="1"/>
        <v>0.67491576340681192</v>
      </c>
      <c r="AS10" s="401">
        <f t="shared" si="1"/>
        <v>5</v>
      </c>
      <c r="AT10" s="412">
        <f t="shared" si="1"/>
        <v>3.5</v>
      </c>
      <c r="AU10" s="415">
        <f t="shared" si="1"/>
        <v>0.33682463369963372</v>
      </c>
      <c r="AV10" s="401">
        <f t="shared" si="1"/>
        <v>0.375</v>
      </c>
      <c r="AW10" s="401">
        <f t="shared" si="1"/>
        <v>4.375</v>
      </c>
      <c r="AX10" s="401">
        <f t="shared" si="1"/>
        <v>2.375</v>
      </c>
      <c r="AY10" s="401">
        <f t="shared" si="1"/>
        <v>7.125</v>
      </c>
      <c r="AZ10" s="415">
        <f t="shared" si="1"/>
        <v>0.68271138583638591</v>
      </c>
      <c r="BA10" s="405">
        <f t="shared" si="1"/>
        <v>3.125</v>
      </c>
      <c r="BB10" s="397">
        <f t="shared" si="1"/>
        <v>0.5</v>
      </c>
      <c r="BC10" s="398">
        <f t="shared" si="1"/>
        <v>0.375</v>
      </c>
      <c r="BD10" s="398">
        <f t="shared" si="1"/>
        <v>0.375</v>
      </c>
      <c r="BE10" s="399">
        <f t="shared" si="1"/>
        <v>0.125</v>
      </c>
    </row>
    <row r="11" spans="1:57" x14ac:dyDescent="0.25">
      <c r="A11" s="329">
        <v>45884</v>
      </c>
      <c r="B11" s="5">
        <v>1</v>
      </c>
      <c r="C11" s="26" t="s">
        <v>69</v>
      </c>
      <c r="D11" s="425">
        <v>1</v>
      </c>
      <c r="E11" s="425">
        <v>3</v>
      </c>
      <c r="F11" s="5" t="s">
        <v>70</v>
      </c>
      <c r="G11" s="242" t="s">
        <v>534</v>
      </c>
      <c r="H11" s="42">
        <v>44</v>
      </c>
      <c r="I11" s="26">
        <v>56</v>
      </c>
      <c r="J11" s="33">
        <v>0.56000000000000005</v>
      </c>
      <c r="K11" s="34">
        <v>3.43</v>
      </c>
      <c r="L11" s="25">
        <v>1</v>
      </c>
      <c r="M11" s="26">
        <v>4</v>
      </c>
      <c r="N11" s="25">
        <v>7</v>
      </c>
      <c r="O11" s="26">
        <v>16</v>
      </c>
      <c r="P11" s="25">
        <v>2</v>
      </c>
      <c r="Q11" s="26">
        <v>1</v>
      </c>
      <c r="R11" s="25">
        <v>0</v>
      </c>
      <c r="S11" s="26">
        <v>0</v>
      </c>
      <c r="T11" s="33">
        <v>0.2</v>
      </c>
      <c r="U11" s="34">
        <v>-0.28000000000000003</v>
      </c>
      <c r="V11" s="25">
        <v>2</v>
      </c>
      <c r="W11" s="26">
        <v>4</v>
      </c>
      <c r="X11" s="25">
        <v>8</v>
      </c>
      <c r="Y11" s="26">
        <v>17</v>
      </c>
      <c r="Z11" s="25">
        <v>382</v>
      </c>
      <c r="AA11" s="26">
        <v>481</v>
      </c>
      <c r="AB11" s="25">
        <v>13</v>
      </c>
      <c r="AC11" s="26">
        <v>27</v>
      </c>
      <c r="AD11" s="25">
        <v>17</v>
      </c>
      <c r="AE11" s="26">
        <v>7</v>
      </c>
      <c r="AF11" s="25">
        <v>0</v>
      </c>
      <c r="AG11" s="26">
        <v>1</v>
      </c>
      <c r="AH11" s="25">
        <v>1</v>
      </c>
      <c r="AI11" s="26">
        <v>0</v>
      </c>
      <c r="AJ11" s="25">
        <v>0</v>
      </c>
      <c r="AK11" s="43">
        <v>0.7</v>
      </c>
      <c r="AL11" s="173">
        <v>2</v>
      </c>
      <c r="AM11" s="364">
        <v>0.2857142857142857</v>
      </c>
      <c r="AN11" s="144">
        <v>0</v>
      </c>
      <c r="AO11" s="144">
        <v>2</v>
      </c>
      <c r="AP11" s="144">
        <v>3</v>
      </c>
      <c r="AQ11" s="144">
        <v>3</v>
      </c>
      <c r="AR11" s="365">
        <v>0.42857142857142855</v>
      </c>
      <c r="AS11" s="144">
        <v>4</v>
      </c>
      <c r="AT11" s="5">
        <v>5</v>
      </c>
      <c r="AU11" s="372">
        <v>0.3125</v>
      </c>
      <c r="AV11" s="5">
        <v>0</v>
      </c>
      <c r="AW11" s="5">
        <v>10</v>
      </c>
      <c r="AX11" s="5">
        <v>1</v>
      </c>
      <c r="AY11" s="5">
        <v>12</v>
      </c>
      <c r="AZ11" s="372">
        <v>0.75</v>
      </c>
      <c r="BA11" s="57">
        <v>4</v>
      </c>
      <c r="BB11" s="393">
        <v>2</v>
      </c>
      <c r="BC11" s="394">
        <v>1</v>
      </c>
      <c r="BD11" s="395">
        <v>1</v>
      </c>
      <c r="BE11" s="396">
        <v>0</v>
      </c>
    </row>
    <row r="12" spans="1:57" x14ac:dyDescent="0.25">
      <c r="A12" s="329">
        <v>45899</v>
      </c>
      <c r="B12" s="5">
        <v>3</v>
      </c>
      <c r="C12" s="5" t="s">
        <v>69</v>
      </c>
      <c r="D12" s="425">
        <v>0</v>
      </c>
      <c r="E12" s="425">
        <v>2</v>
      </c>
      <c r="F12" s="5" t="s">
        <v>171</v>
      </c>
      <c r="H12" s="42">
        <v>59</v>
      </c>
      <c r="I12" s="26">
        <v>41</v>
      </c>
      <c r="J12" s="33">
        <v>2.13</v>
      </c>
      <c r="K12" s="34">
        <v>1.32</v>
      </c>
      <c r="L12" s="25">
        <v>3</v>
      </c>
      <c r="M12" s="26">
        <v>2</v>
      </c>
      <c r="N12" s="25">
        <v>20</v>
      </c>
      <c r="O12" s="26">
        <v>13</v>
      </c>
      <c r="P12" s="25">
        <v>2</v>
      </c>
      <c r="Q12" s="26">
        <v>5</v>
      </c>
      <c r="R12" s="25">
        <v>0</v>
      </c>
      <c r="S12" s="26">
        <v>1</v>
      </c>
      <c r="T12" s="33">
        <v>-0.74</v>
      </c>
      <c r="U12" s="34">
        <v>1.96</v>
      </c>
      <c r="V12" s="25">
        <v>11</v>
      </c>
      <c r="W12" s="26">
        <v>3</v>
      </c>
      <c r="X12" s="25">
        <v>5</v>
      </c>
      <c r="Y12" s="26">
        <v>14</v>
      </c>
      <c r="Z12" s="25">
        <v>427</v>
      </c>
      <c r="AA12" s="26">
        <v>322</v>
      </c>
      <c r="AB12" s="25">
        <v>15</v>
      </c>
      <c r="AC12" s="26">
        <v>17</v>
      </c>
      <c r="AD12" s="25">
        <v>14</v>
      </c>
      <c r="AE12" s="26">
        <v>5</v>
      </c>
      <c r="AF12" s="25">
        <v>0</v>
      </c>
      <c r="AG12" s="26">
        <v>2</v>
      </c>
      <c r="AH12" s="25">
        <v>0</v>
      </c>
      <c r="AI12" s="26">
        <v>0</v>
      </c>
      <c r="AJ12" s="25">
        <v>0</v>
      </c>
      <c r="AK12" s="43">
        <v>0</v>
      </c>
      <c r="AL12" s="173">
        <v>5</v>
      </c>
      <c r="AM12" s="364">
        <v>0.25</v>
      </c>
      <c r="AN12" s="144">
        <v>0</v>
      </c>
      <c r="AO12" s="144">
        <v>6</v>
      </c>
      <c r="AP12" s="144">
        <v>9</v>
      </c>
      <c r="AQ12" s="144">
        <v>12</v>
      </c>
      <c r="AR12" s="365">
        <v>0.6</v>
      </c>
      <c r="AS12" s="144">
        <v>8</v>
      </c>
      <c r="AT12" s="5">
        <v>4</v>
      </c>
      <c r="AU12" s="372">
        <v>0.30769230769230771</v>
      </c>
      <c r="AV12" s="5">
        <v>1</v>
      </c>
      <c r="AW12" s="5">
        <v>6</v>
      </c>
      <c r="AX12" s="5">
        <v>3</v>
      </c>
      <c r="AY12" s="5">
        <v>10</v>
      </c>
      <c r="AZ12" s="372">
        <v>0.76923076923076927</v>
      </c>
      <c r="BA12" s="57">
        <v>3</v>
      </c>
      <c r="BB12" s="393">
        <v>2</v>
      </c>
      <c r="BC12" s="394">
        <v>1</v>
      </c>
      <c r="BD12" s="395">
        <v>0</v>
      </c>
      <c r="BE12" s="396">
        <v>0</v>
      </c>
    </row>
    <row r="13" spans="1:57" x14ac:dyDescent="0.25">
      <c r="A13" s="329">
        <v>45920</v>
      </c>
      <c r="B13" s="5">
        <v>5</v>
      </c>
      <c r="C13" s="26" t="s">
        <v>69</v>
      </c>
      <c r="D13" s="425">
        <v>0</v>
      </c>
      <c r="E13" s="425">
        <v>4</v>
      </c>
      <c r="F13" s="5" t="s">
        <v>129</v>
      </c>
      <c r="G13" s="242" t="s">
        <v>539</v>
      </c>
      <c r="H13" s="42">
        <v>35</v>
      </c>
      <c r="I13" s="26">
        <v>65</v>
      </c>
      <c r="J13" s="33">
        <v>0.5</v>
      </c>
      <c r="K13" s="34">
        <v>2.88</v>
      </c>
      <c r="L13" s="25">
        <v>0</v>
      </c>
      <c r="M13" s="26">
        <v>8</v>
      </c>
      <c r="N13" s="25">
        <v>7</v>
      </c>
      <c r="O13" s="26">
        <v>14</v>
      </c>
      <c r="P13" s="25">
        <v>2</v>
      </c>
      <c r="Q13" s="26">
        <v>1</v>
      </c>
      <c r="R13" s="25">
        <v>0</v>
      </c>
      <c r="S13" s="26">
        <v>0</v>
      </c>
      <c r="T13" s="33">
        <v>-0.44</v>
      </c>
      <c r="U13" s="34">
        <v>0.76</v>
      </c>
      <c r="V13" s="25">
        <v>5</v>
      </c>
      <c r="W13" s="26">
        <v>4</v>
      </c>
      <c r="X13" s="25">
        <v>11</v>
      </c>
      <c r="Y13" s="26">
        <v>17</v>
      </c>
      <c r="Z13" s="25">
        <v>295</v>
      </c>
      <c r="AA13" s="26">
        <v>575</v>
      </c>
      <c r="AB13" s="25">
        <v>16</v>
      </c>
      <c r="AC13" s="26">
        <v>15</v>
      </c>
      <c r="AD13" s="25">
        <v>17</v>
      </c>
      <c r="AE13" s="26">
        <v>11</v>
      </c>
      <c r="AF13" s="25">
        <v>4</v>
      </c>
      <c r="AG13" s="26">
        <v>3</v>
      </c>
      <c r="AH13" s="25">
        <v>2</v>
      </c>
      <c r="AI13" s="26">
        <v>0</v>
      </c>
      <c r="AJ13" s="25">
        <v>0</v>
      </c>
      <c r="AK13" s="43">
        <v>0</v>
      </c>
      <c r="AL13" s="173">
        <v>1</v>
      </c>
      <c r="AM13" s="364">
        <v>0.14285714285714285</v>
      </c>
      <c r="AN13" s="144">
        <v>0</v>
      </c>
      <c r="AO13" s="144">
        <v>3</v>
      </c>
      <c r="AP13" s="144">
        <v>3</v>
      </c>
      <c r="AQ13" s="144">
        <v>5</v>
      </c>
      <c r="AR13" s="365">
        <v>0.7142857142857143</v>
      </c>
      <c r="AS13" s="144">
        <v>2</v>
      </c>
      <c r="AT13" s="5">
        <v>7</v>
      </c>
      <c r="AU13" s="372">
        <v>0.5</v>
      </c>
      <c r="AV13" s="5">
        <v>3</v>
      </c>
      <c r="AW13" s="5">
        <v>6</v>
      </c>
      <c r="AX13" s="5">
        <v>1</v>
      </c>
      <c r="AY13" s="5">
        <v>11</v>
      </c>
      <c r="AZ13" s="372">
        <v>0.7857142857142857</v>
      </c>
      <c r="BA13" s="57">
        <v>3</v>
      </c>
      <c r="BB13" s="393">
        <v>0</v>
      </c>
      <c r="BC13" s="394">
        <v>0</v>
      </c>
      <c r="BD13" s="395">
        <v>0</v>
      </c>
      <c r="BE13" s="396">
        <v>0</v>
      </c>
    </row>
    <row r="14" spans="1:57" x14ac:dyDescent="0.25">
      <c r="A14" s="329">
        <v>45926</v>
      </c>
      <c r="B14" s="5">
        <v>7</v>
      </c>
      <c r="C14" s="5" t="s">
        <v>69</v>
      </c>
      <c r="D14" s="424">
        <v>0</v>
      </c>
      <c r="E14" s="424">
        <v>0</v>
      </c>
      <c r="F14" s="5" t="s">
        <v>192</v>
      </c>
      <c r="H14" s="42">
        <v>60</v>
      </c>
      <c r="I14" s="26">
        <v>40</v>
      </c>
      <c r="J14" s="33">
        <v>1.08</v>
      </c>
      <c r="K14" s="34">
        <v>1.08</v>
      </c>
      <c r="L14" s="25">
        <v>1</v>
      </c>
      <c r="M14" s="26">
        <v>0</v>
      </c>
      <c r="N14" s="25">
        <v>12</v>
      </c>
      <c r="O14" s="26">
        <v>20</v>
      </c>
      <c r="P14" s="25">
        <v>5</v>
      </c>
      <c r="Q14" s="26">
        <v>3</v>
      </c>
      <c r="R14" s="25">
        <v>1</v>
      </c>
      <c r="S14" s="26">
        <v>0</v>
      </c>
      <c r="T14" s="33">
        <v>1.67</v>
      </c>
      <c r="U14" s="34">
        <v>0.89</v>
      </c>
      <c r="V14" s="25">
        <v>8</v>
      </c>
      <c r="W14" s="26">
        <v>4</v>
      </c>
      <c r="X14" s="25">
        <v>9</v>
      </c>
      <c r="Y14" s="26">
        <v>11</v>
      </c>
      <c r="Z14" s="25">
        <v>522</v>
      </c>
      <c r="AA14" s="26">
        <v>338</v>
      </c>
      <c r="AB14" s="25">
        <v>6</v>
      </c>
      <c r="AC14" s="26">
        <v>20</v>
      </c>
      <c r="AD14" s="25">
        <v>11</v>
      </c>
      <c r="AE14" s="26">
        <v>9</v>
      </c>
      <c r="AF14" s="25">
        <v>0</v>
      </c>
      <c r="AG14" s="26">
        <v>1</v>
      </c>
      <c r="AH14" s="25">
        <v>0</v>
      </c>
      <c r="AI14" s="26">
        <v>0</v>
      </c>
      <c r="AJ14" s="25">
        <v>0</v>
      </c>
      <c r="AK14" s="43">
        <v>0</v>
      </c>
      <c r="AL14" s="173">
        <v>3</v>
      </c>
      <c r="AM14" s="364">
        <v>0.25</v>
      </c>
      <c r="AN14" s="144">
        <v>0</v>
      </c>
      <c r="AO14" s="144">
        <v>4</v>
      </c>
      <c r="AP14" s="144">
        <v>5</v>
      </c>
      <c r="AQ14" s="144">
        <v>7</v>
      </c>
      <c r="AR14" s="365">
        <v>0.58333333333333337</v>
      </c>
      <c r="AS14" s="144">
        <v>5</v>
      </c>
      <c r="AT14" s="5">
        <v>5</v>
      </c>
      <c r="AU14" s="372">
        <v>0.25</v>
      </c>
      <c r="AV14" s="5">
        <v>0</v>
      </c>
      <c r="AW14" s="5">
        <v>10</v>
      </c>
      <c r="AX14" s="5">
        <v>5</v>
      </c>
      <c r="AY14" s="5">
        <v>11</v>
      </c>
      <c r="AZ14" s="372">
        <v>0.55000000000000004</v>
      </c>
      <c r="BA14" s="57">
        <v>9</v>
      </c>
      <c r="BB14" s="393">
        <v>1</v>
      </c>
      <c r="BC14" s="394">
        <v>0</v>
      </c>
      <c r="BD14" s="395">
        <v>1</v>
      </c>
      <c r="BE14" s="396">
        <v>0</v>
      </c>
    </row>
    <row r="15" spans="1:57" ht="15.75" thickBot="1" x14ac:dyDescent="0.3">
      <c r="A15" s="330">
        <v>45934</v>
      </c>
      <c r="B15" s="9">
        <v>8</v>
      </c>
      <c r="C15" s="74" t="s">
        <v>69</v>
      </c>
      <c r="D15" s="438">
        <v>2</v>
      </c>
      <c r="E15" s="438">
        <v>1</v>
      </c>
      <c r="F15" s="9" t="s">
        <v>145</v>
      </c>
      <c r="G15" s="445" t="s">
        <v>557</v>
      </c>
      <c r="H15" s="384">
        <v>45</v>
      </c>
      <c r="I15" s="74">
        <v>55</v>
      </c>
      <c r="J15" s="385">
        <v>1.02</v>
      </c>
      <c r="K15" s="386">
        <v>1.1399999999999999</v>
      </c>
      <c r="L15" s="387">
        <v>3</v>
      </c>
      <c r="M15" s="74">
        <v>3</v>
      </c>
      <c r="N15" s="387">
        <v>4</v>
      </c>
      <c r="O15" s="74">
        <v>19</v>
      </c>
      <c r="P15" s="387">
        <v>5</v>
      </c>
      <c r="Q15" s="74">
        <v>2</v>
      </c>
      <c r="R15" s="387">
        <v>2</v>
      </c>
      <c r="S15" s="74">
        <v>0</v>
      </c>
      <c r="T15" s="385">
        <v>-0.09</v>
      </c>
      <c r="U15" s="386">
        <v>0.12</v>
      </c>
      <c r="V15" s="387">
        <v>0</v>
      </c>
      <c r="W15" s="74">
        <v>7</v>
      </c>
      <c r="X15" s="387">
        <v>13</v>
      </c>
      <c r="Y15" s="74">
        <v>12</v>
      </c>
      <c r="Z15" s="387">
        <v>387</v>
      </c>
      <c r="AA15" s="74">
        <v>461</v>
      </c>
      <c r="AB15" s="387">
        <v>10</v>
      </c>
      <c r="AC15" s="74">
        <v>10</v>
      </c>
      <c r="AD15" s="387">
        <v>12</v>
      </c>
      <c r="AE15" s="74">
        <v>13</v>
      </c>
      <c r="AF15" s="387">
        <v>5</v>
      </c>
      <c r="AG15" s="74">
        <v>1</v>
      </c>
      <c r="AH15" s="387">
        <v>1</v>
      </c>
      <c r="AI15" s="74">
        <v>0</v>
      </c>
      <c r="AJ15" s="387">
        <v>0</v>
      </c>
      <c r="AK15" s="76">
        <v>0</v>
      </c>
      <c r="AL15" s="177">
        <v>4</v>
      </c>
      <c r="AM15" s="388">
        <v>1</v>
      </c>
      <c r="AN15" s="152">
        <v>0</v>
      </c>
      <c r="AO15" s="152">
        <v>0</v>
      </c>
      <c r="AP15" s="152">
        <v>0</v>
      </c>
      <c r="AQ15" s="152">
        <v>3</v>
      </c>
      <c r="AR15" s="389">
        <v>0.75</v>
      </c>
      <c r="AS15" s="152">
        <v>1</v>
      </c>
      <c r="AT15" s="9">
        <v>6</v>
      </c>
      <c r="AU15" s="390">
        <v>0.31578947368421051</v>
      </c>
      <c r="AV15" s="9">
        <v>1</v>
      </c>
      <c r="AW15" s="9">
        <v>8</v>
      </c>
      <c r="AX15" s="9">
        <v>5</v>
      </c>
      <c r="AY15" s="9">
        <v>9</v>
      </c>
      <c r="AZ15" s="390">
        <v>0.47368421052631576</v>
      </c>
      <c r="BA15" s="58">
        <v>10</v>
      </c>
      <c r="BB15" s="420">
        <v>1</v>
      </c>
      <c r="BC15" s="421">
        <v>0</v>
      </c>
      <c r="BD15" s="422">
        <v>0</v>
      </c>
      <c r="BE15" s="423">
        <v>0</v>
      </c>
    </row>
    <row r="16" spans="1:57" x14ac:dyDescent="0.25">
      <c r="A16" s="331">
        <v>45884</v>
      </c>
      <c r="B16" s="13">
        <v>1</v>
      </c>
      <c r="C16" s="13" t="s">
        <v>91</v>
      </c>
      <c r="D16" s="428">
        <v>2</v>
      </c>
      <c r="E16" s="428">
        <v>0</v>
      </c>
      <c r="F16" s="79" t="s">
        <v>92</v>
      </c>
      <c r="G16" s="268" t="s">
        <v>535</v>
      </c>
      <c r="H16" s="376">
        <v>68</v>
      </c>
      <c r="I16" s="79">
        <v>32</v>
      </c>
      <c r="J16" s="377">
        <v>2.44</v>
      </c>
      <c r="K16" s="378">
        <v>0.93</v>
      </c>
      <c r="L16" s="379">
        <v>3</v>
      </c>
      <c r="M16" s="79">
        <v>1</v>
      </c>
      <c r="N16" s="379">
        <v>25</v>
      </c>
      <c r="O16" s="79">
        <v>5</v>
      </c>
      <c r="P16" s="379">
        <v>4</v>
      </c>
      <c r="Q16" s="79">
        <v>8</v>
      </c>
      <c r="R16" s="379">
        <v>1</v>
      </c>
      <c r="S16" s="79">
        <v>2</v>
      </c>
      <c r="T16" s="377">
        <v>1.0900000000000001</v>
      </c>
      <c r="U16" s="378">
        <v>0.2</v>
      </c>
      <c r="V16" s="379">
        <v>10</v>
      </c>
      <c r="W16" s="79">
        <v>1</v>
      </c>
      <c r="X16" s="379">
        <v>10</v>
      </c>
      <c r="Y16" s="79">
        <v>8</v>
      </c>
      <c r="Z16" s="379">
        <v>668</v>
      </c>
      <c r="AA16" s="79">
        <v>326</v>
      </c>
      <c r="AB16" s="379">
        <v>11</v>
      </c>
      <c r="AC16" s="79">
        <v>11</v>
      </c>
      <c r="AD16" s="379">
        <v>8</v>
      </c>
      <c r="AE16" s="79">
        <v>9</v>
      </c>
      <c r="AF16" s="379">
        <v>1</v>
      </c>
      <c r="AG16" s="79">
        <v>2</v>
      </c>
      <c r="AH16" s="379">
        <v>0</v>
      </c>
      <c r="AI16" s="79">
        <v>1</v>
      </c>
      <c r="AJ16" s="379">
        <v>0</v>
      </c>
      <c r="AK16" s="80">
        <v>0.7</v>
      </c>
      <c r="AL16" s="169">
        <v>10</v>
      </c>
      <c r="AM16" s="380">
        <v>0.4</v>
      </c>
      <c r="AN16" s="160">
        <v>0</v>
      </c>
      <c r="AO16" s="160">
        <v>11</v>
      </c>
      <c r="AP16" s="160">
        <v>4</v>
      </c>
      <c r="AQ16" s="160">
        <v>17</v>
      </c>
      <c r="AR16" s="381">
        <v>0.68</v>
      </c>
      <c r="AS16" s="160">
        <v>8</v>
      </c>
      <c r="AT16" s="13">
        <v>4</v>
      </c>
      <c r="AU16" s="382">
        <v>0.8</v>
      </c>
      <c r="AV16" s="13">
        <v>0</v>
      </c>
      <c r="AW16" s="13">
        <v>1</v>
      </c>
      <c r="AX16" s="13">
        <v>0</v>
      </c>
      <c r="AY16" s="13">
        <v>3</v>
      </c>
      <c r="AZ16" s="382">
        <v>0.6</v>
      </c>
      <c r="BA16" s="60">
        <v>2</v>
      </c>
      <c r="BB16" s="416">
        <v>1</v>
      </c>
      <c r="BC16" s="417">
        <v>0</v>
      </c>
      <c r="BD16" s="418">
        <v>2</v>
      </c>
      <c r="BE16" s="419">
        <v>0</v>
      </c>
    </row>
    <row r="17" spans="1:57" x14ac:dyDescent="0.25">
      <c r="A17" s="329">
        <v>45913</v>
      </c>
      <c r="B17" s="5">
        <v>4</v>
      </c>
      <c r="C17" s="5" t="s">
        <v>161</v>
      </c>
      <c r="D17" s="425">
        <v>2</v>
      </c>
      <c r="E17" s="425">
        <v>0</v>
      </c>
      <c r="F17" s="26" t="s">
        <v>92</v>
      </c>
      <c r="G17" s="242" t="s">
        <v>537</v>
      </c>
      <c r="H17" s="42">
        <v>48</v>
      </c>
      <c r="I17" s="26">
        <v>52</v>
      </c>
      <c r="J17" s="33">
        <v>0.75</v>
      </c>
      <c r="K17" s="34">
        <v>0.46</v>
      </c>
      <c r="L17" s="25">
        <v>2</v>
      </c>
      <c r="M17" s="26">
        <v>1</v>
      </c>
      <c r="N17" s="25">
        <v>10</v>
      </c>
      <c r="O17" s="26">
        <v>5</v>
      </c>
      <c r="P17" s="25">
        <v>1</v>
      </c>
      <c r="Q17" s="26">
        <v>1</v>
      </c>
      <c r="R17" s="25">
        <v>0</v>
      </c>
      <c r="S17" s="26">
        <v>1</v>
      </c>
      <c r="T17" s="33">
        <v>0.06</v>
      </c>
      <c r="U17" s="34">
        <v>-0.32</v>
      </c>
      <c r="V17" s="25">
        <v>4</v>
      </c>
      <c r="W17" s="26">
        <v>3</v>
      </c>
      <c r="X17" s="25">
        <v>12</v>
      </c>
      <c r="Y17" s="26">
        <v>18</v>
      </c>
      <c r="Z17" s="25">
        <v>342</v>
      </c>
      <c r="AA17" s="26">
        <v>373</v>
      </c>
      <c r="AB17" s="25">
        <v>16</v>
      </c>
      <c r="AC17" s="26">
        <v>20</v>
      </c>
      <c r="AD17" s="25">
        <v>18</v>
      </c>
      <c r="AE17" s="26">
        <v>12</v>
      </c>
      <c r="AF17" s="25">
        <v>2</v>
      </c>
      <c r="AG17" s="26">
        <v>5</v>
      </c>
      <c r="AH17" s="25">
        <v>0</v>
      </c>
      <c r="AI17" s="26">
        <v>1</v>
      </c>
      <c r="AJ17" s="25">
        <v>0</v>
      </c>
      <c r="AK17" s="43">
        <v>0</v>
      </c>
      <c r="AL17" s="173">
        <v>3</v>
      </c>
      <c r="AM17" s="364">
        <v>0.3</v>
      </c>
      <c r="AN17" s="144">
        <v>0</v>
      </c>
      <c r="AO17" s="144">
        <v>4</v>
      </c>
      <c r="AP17" s="144">
        <v>3</v>
      </c>
      <c r="AQ17" s="144">
        <v>6</v>
      </c>
      <c r="AR17" s="365">
        <v>0.6</v>
      </c>
      <c r="AS17" s="144">
        <v>4</v>
      </c>
      <c r="AT17" s="5">
        <v>1</v>
      </c>
      <c r="AU17" s="372">
        <v>0.2</v>
      </c>
      <c r="AV17" s="5">
        <v>1</v>
      </c>
      <c r="AW17" s="5">
        <v>2</v>
      </c>
      <c r="AX17" s="5">
        <v>2</v>
      </c>
      <c r="AY17" s="5">
        <v>1</v>
      </c>
      <c r="AZ17" s="372">
        <v>0.2</v>
      </c>
      <c r="BA17" s="57">
        <v>4</v>
      </c>
      <c r="BB17" s="393">
        <v>0</v>
      </c>
      <c r="BC17" s="394">
        <v>0</v>
      </c>
      <c r="BD17" s="395">
        <v>1</v>
      </c>
      <c r="BE17" s="396">
        <v>1</v>
      </c>
    </row>
    <row r="18" spans="1:57" x14ac:dyDescent="0.25">
      <c r="A18" s="329">
        <v>45921</v>
      </c>
      <c r="B18" s="5">
        <v>5</v>
      </c>
      <c r="C18" s="5" t="s">
        <v>208</v>
      </c>
      <c r="D18" s="425">
        <v>1</v>
      </c>
      <c r="E18" s="425">
        <v>0</v>
      </c>
      <c r="F18" s="5" t="s">
        <v>92</v>
      </c>
      <c r="H18" s="42">
        <v>61</v>
      </c>
      <c r="I18" s="26">
        <v>39</v>
      </c>
      <c r="J18" s="33">
        <v>1.55</v>
      </c>
      <c r="K18" s="34">
        <v>1.0900000000000001</v>
      </c>
      <c r="L18" s="25">
        <v>1</v>
      </c>
      <c r="M18" s="26">
        <v>2</v>
      </c>
      <c r="N18" s="25">
        <v>15</v>
      </c>
      <c r="O18" s="26">
        <v>12</v>
      </c>
      <c r="P18" s="25">
        <v>4</v>
      </c>
      <c r="Q18" s="26">
        <v>4</v>
      </c>
      <c r="R18" s="25">
        <v>0</v>
      </c>
      <c r="S18" s="26">
        <v>0</v>
      </c>
      <c r="T18" s="33">
        <v>0.54</v>
      </c>
      <c r="U18" s="34">
        <v>0.44</v>
      </c>
      <c r="V18" s="25">
        <v>3</v>
      </c>
      <c r="W18" s="26">
        <v>3</v>
      </c>
      <c r="X18" s="25">
        <v>9</v>
      </c>
      <c r="Y18" s="26">
        <v>18</v>
      </c>
      <c r="Z18" s="25">
        <v>601</v>
      </c>
      <c r="AA18" s="26">
        <v>372</v>
      </c>
      <c r="AB18" s="25">
        <v>18</v>
      </c>
      <c r="AC18" s="26">
        <v>16</v>
      </c>
      <c r="AD18" s="25">
        <v>18</v>
      </c>
      <c r="AE18" s="26">
        <v>9</v>
      </c>
      <c r="AF18" s="25">
        <v>2</v>
      </c>
      <c r="AG18" s="26">
        <v>2</v>
      </c>
      <c r="AH18" s="25">
        <v>0</v>
      </c>
      <c r="AI18" s="26">
        <v>0</v>
      </c>
      <c r="AJ18" s="25">
        <v>0</v>
      </c>
      <c r="AK18" s="43">
        <v>0</v>
      </c>
      <c r="AL18" s="173">
        <v>5</v>
      </c>
      <c r="AM18" s="364">
        <v>0.33333333333333331</v>
      </c>
      <c r="AN18" s="144">
        <v>1</v>
      </c>
      <c r="AO18" s="144">
        <v>4</v>
      </c>
      <c r="AP18" s="144">
        <v>6</v>
      </c>
      <c r="AQ18" s="144">
        <v>10</v>
      </c>
      <c r="AR18" s="365">
        <v>0.66666666666666663</v>
      </c>
      <c r="AS18" s="144">
        <v>5</v>
      </c>
      <c r="AT18" s="5">
        <v>4</v>
      </c>
      <c r="AU18" s="372">
        <v>0.33333333333333331</v>
      </c>
      <c r="AV18" s="5">
        <v>0</v>
      </c>
      <c r="AW18" s="5">
        <v>5</v>
      </c>
      <c r="AX18" s="5">
        <v>3</v>
      </c>
      <c r="AY18" s="5">
        <v>8</v>
      </c>
      <c r="AZ18" s="372">
        <v>0.66666666666666663</v>
      </c>
      <c r="BA18" s="57">
        <v>4</v>
      </c>
      <c r="BB18" s="393">
        <v>2</v>
      </c>
      <c r="BC18" s="394">
        <v>0</v>
      </c>
      <c r="BD18" s="395">
        <v>1</v>
      </c>
      <c r="BE18" s="396">
        <v>0</v>
      </c>
    </row>
    <row r="19" spans="1:57" x14ac:dyDescent="0.25">
      <c r="A19" s="329">
        <v>45929</v>
      </c>
      <c r="B19" s="5">
        <v>7</v>
      </c>
      <c r="C19" s="5" t="s">
        <v>145</v>
      </c>
      <c r="D19" s="426">
        <v>1</v>
      </c>
      <c r="E19" s="426">
        <v>2</v>
      </c>
      <c r="F19" s="26" t="s">
        <v>92</v>
      </c>
      <c r="G19" s="242" t="s">
        <v>543</v>
      </c>
      <c r="H19" s="42">
        <v>57</v>
      </c>
      <c r="I19" s="26">
        <v>43</v>
      </c>
      <c r="J19" s="33">
        <v>1.51</v>
      </c>
      <c r="K19" s="34">
        <v>0.77</v>
      </c>
      <c r="L19" s="25">
        <v>3</v>
      </c>
      <c r="M19" s="26">
        <v>1</v>
      </c>
      <c r="N19" s="25">
        <v>16</v>
      </c>
      <c r="O19" s="26">
        <v>10</v>
      </c>
      <c r="P19" s="25">
        <v>2</v>
      </c>
      <c r="Q19" s="26">
        <v>4</v>
      </c>
      <c r="R19" s="25">
        <v>1</v>
      </c>
      <c r="S19" s="26">
        <v>1</v>
      </c>
      <c r="T19" s="33">
        <v>-0.54</v>
      </c>
      <c r="U19" s="34">
        <v>0.6</v>
      </c>
      <c r="V19" s="25">
        <v>5</v>
      </c>
      <c r="W19" s="26">
        <v>4</v>
      </c>
      <c r="X19" s="25">
        <v>14</v>
      </c>
      <c r="Y19" s="26">
        <v>12</v>
      </c>
      <c r="Z19" s="25">
        <v>541</v>
      </c>
      <c r="AA19" s="26">
        <v>414</v>
      </c>
      <c r="AB19" s="25">
        <v>10</v>
      </c>
      <c r="AC19" s="26">
        <v>17</v>
      </c>
      <c r="AD19" s="25">
        <v>11</v>
      </c>
      <c r="AE19" s="26">
        <v>14</v>
      </c>
      <c r="AF19" s="25">
        <v>1</v>
      </c>
      <c r="AG19" s="26">
        <v>4</v>
      </c>
      <c r="AH19" s="25">
        <v>0</v>
      </c>
      <c r="AI19" s="26">
        <v>1</v>
      </c>
      <c r="AJ19" s="25">
        <v>0.7</v>
      </c>
      <c r="AK19" s="43">
        <v>0</v>
      </c>
      <c r="AL19" s="173">
        <v>5</v>
      </c>
      <c r="AM19" s="364">
        <v>0.3125</v>
      </c>
      <c r="AN19" s="144">
        <v>0</v>
      </c>
      <c r="AO19" s="144">
        <v>8</v>
      </c>
      <c r="AP19" s="144">
        <v>3</v>
      </c>
      <c r="AQ19" s="144">
        <v>12</v>
      </c>
      <c r="AR19" s="365">
        <v>0.75</v>
      </c>
      <c r="AS19" s="144">
        <v>4</v>
      </c>
      <c r="AT19" s="5">
        <v>4</v>
      </c>
      <c r="AU19" s="372">
        <v>0.4</v>
      </c>
      <c r="AV19" s="5">
        <v>0</v>
      </c>
      <c r="AW19" s="5">
        <v>3</v>
      </c>
      <c r="AX19" s="5">
        <v>3</v>
      </c>
      <c r="AY19" s="5">
        <v>5</v>
      </c>
      <c r="AZ19" s="372">
        <v>0.5</v>
      </c>
      <c r="BA19" s="57">
        <v>5</v>
      </c>
      <c r="BB19" s="393">
        <v>0</v>
      </c>
      <c r="BC19" s="394">
        <v>0</v>
      </c>
      <c r="BD19" s="395">
        <v>1</v>
      </c>
      <c r="BE19" s="396">
        <v>0</v>
      </c>
    </row>
    <row r="20" spans="1:57" x14ac:dyDescent="0.25">
      <c r="A20" s="400">
        <v>45955</v>
      </c>
      <c r="B20" s="401">
        <v>10</v>
      </c>
      <c r="C20" s="401" t="s">
        <v>69</v>
      </c>
      <c r="D20" s="429">
        <f>AVERAGE(D11:D19)</f>
        <v>1</v>
      </c>
      <c r="E20" s="429">
        <f>AVERAGE(E11:E19)</f>
        <v>1.3333333333333333</v>
      </c>
      <c r="F20" s="401" t="s">
        <v>92</v>
      </c>
      <c r="G20" s="402"/>
      <c r="H20" s="403">
        <f t="shared" ref="H20:AM20" si="2">AVERAGE(H11:H19)</f>
        <v>53</v>
      </c>
      <c r="I20" s="401">
        <f t="shared" si="2"/>
        <v>47</v>
      </c>
      <c r="J20" s="437">
        <f t="shared" si="2"/>
        <v>1.2822222222222222</v>
      </c>
      <c r="K20" s="437">
        <f t="shared" si="2"/>
        <v>1.4555555555555557</v>
      </c>
      <c r="L20" s="401">
        <f t="shared" si="2"/>
        <v>1.8888888888888888</v>
      </c>
      <c r="M20" s="433">
        <f t="shared" si="2"/>
        <v>2.4444444444444446</v>
      </c>
      <c r="N20" s="401">
        <f t="shared" si="2"/>
        <v>12.888888888888889</v>
      </c>
      <c r="O20" s="401">
        <f t="shared" si="2"/>
        <v>12.666666666666666</v>
      </c>
      <c r="P20" s="401">
        <f t="shared" si="2"/>
        <v>3</v>
      </c>
      <c r="Q20" s="401">
        <f t="shared" si="2"/>
        <v>3.2222222222222223</v>
      </c>
      <c r="R20" s="401">
        <f t="shared" si="2"/>
        <v>0.55555555555555558</v>
      </c>
      <c r="S20" s="401">
        <f t="shared" si="2"/>
        <v>0.55555555555555558</v>
      </c>
      <c r="T20" s="404">
        <f t="shared" si="2"/>
        <v>0.19444444444444445</v>
      </c>
      <c r="U20" s="404">
        <f t="shared" si="2"/>
        <v>0.48555555555555557</v>
      </c>
      <c r="V20" s="401">
        <f t="shared" si="2"/>
        <v>5.333333333333333</v>
      </c>
      <c r="W20" s="401">
        <f t="shared" si="2"/>
        <v>3.6666666666666665</v>
      </c>
      <c r="X20" s="401">
        <f t="shared" si="2"/>
        <v>10.111111111111111</v>
      </c>
      <c r="Y20" s="401">
        <f t="shared" si="2"/>
        <v>14.111111111111111</v>
      </c>
      <c r="Z20" s="401">
        <f t="shared" si="2"/>
        <v>462.77777777777777</v>
      </c>
      <c r="AA20" s="401">
        <f t="shared" si="2"/>
        <v>406.88888888888891</v>
      </c>
      <c r="AB20" s="401">
        <f t="shared" si="2"/>
        <v>12.777777777777779</v>
      </c>
      <c r="AC20" s="401">
        <f t="shared" si="2"/>
        <v>17</v>
      </c>
      <c r="AD20" s="401">
        <f t="shared" si="2"/>
        <v>14</v>
      </c>
      <c r="AE20" s="401">
        <f t="shared" si="2"/>
        <v>9.8888888888888893</v>
      </c>
      <c r="AF20" s="401">
        <f t="shared" si="2"/>
        <v>1.6666666666666667</v>
      </c>
      <c r="AG20" s="401">
        <f t="shared" si="2"/>
        <v>2.3333333333333335</v>
      </c>
      <c r="AH20" s="401">
        <f t="shared" si="2"/>
        <v>0.44444444444444442</v>
      </c>
      <c r="AI20" s="401">
        <f t="shared" si="2"/>
        <v>0.33333333333333331</v>
      </c>
      <c r="AJ20" s="401">
        <f t="shared" si="2"/>
        <v>7.7777777777777779E-2</v>
      </c>
      <c r="AK20" s="405">
        <f t="shared" si="2"/>
        <v>0.15555555555555556</v>
      </c>
      <c r="AL20" s="435">
        <f t="shared" si="2"/>
        <v>4.2222222222222223</v>
      </c>
      <c r="AM20" s="436">
        <f t="shared" si="2"/>
        <v>0.36382275132275133</v>
      </c>
      <c r="AN20" s="401">
        <f t="shared" ref="AN20:BS20" si="3">AVERAGE(AN11:AN19)</f>
        <v>0.1111111111111111</v>
      </c>
      <c r="AO20" s="401">
        <f t="shared" si="3"/>
        <v>4.666666666666667</v>
      </c>
      <c r="AP20" s="401">
        <f t="shared" si="3"/>
        <v>4</v>
      </c>
      <c r="AQ20" s="401">
        <f t="shared" si="3"/>
        <v>8.3333333333333339</v>
      </c>
      <c r="AR20" s="434">
        <f t="shared" si="3"/>
        <v>0.64142857142857146</v>
      </c>
      <c r="AS20" s="401">
        <f t="shared" si="3"/>
        <v>4.5555555555555554</v>
      </c>
      <c r="AT20" s="433">
        <f t="shared" si="3"/>
        <v>4.4444444444444446</v>
      </c>
      <c r="AU20" s="434">
        <f t="shared" si="3"/>
        <v>0.37992390163442796</v>
      </c>
      <c r="AV20" s="401">
        <f t="shared" si="3"/>
        <v>0.66666666666666663</v>
      </c>
      <c r="AW20" s="401">
        <f t="shared" si="3"/>
        <v>5.666666666666667</v>
      </c>
      <c r="AX20" s="401">
        <f t="shared" si="3"/>
        <v>2.5555555555555554</v>
      </c>
      <c r="AY20" s="401">
        <f t="shared" si="3"/>
        <v>7.7777777777777777</v>
      </c>
      <c r="AZ20" s="407">
        <f t="shared" si="3"/>
        <v>0.58836621468200412</v>
      </c>
      <c r="BA20" s="405">
        <f t="shared" si="3"/>
        <v>4.8888888888888893</v>
      </c>
      <c r="BB20" s="430">
        <f t="shared" si="3"/>
        <v>1</v>
      </c>
      <c r="BC20" s="431">
        <f t="shared" si="3"/>
        <v>0.22222222222222221</v>
      </c>
      <c r="BD20" s="431">
        <f t="shared" si="3"/>
        <v>0.77777777777777779</v>
      </c>
      <c r="BE20" s="432">
        <f t="shared" si="3"/>
        <v>0.1111111111111111</v>
      </c>
    </row>
    <row r="21" spans="1:57" x14ac:dyDescent="0.25">
      <c r="A21" s="329">
        <v>45887</v>
      </c>
      <c r="B21" s="5">
        <v>1</v>
      </c>
      <c r="C21" s="5" t="s">
        <v>192</v>
      </c>
      <c r="D21" s="426">
        <v>2</v>
      </c>
      <c r="E21" s="426">
        <v>1</v>
      </c>
      <c r="F21" s="5" t="s">
        <v>193</v>
      </c>
      <c r="H21" s="42">
        <v>40</v>
      </c>
      <c r="I21" s="26">
        <v>60</v>
      </c>
      <c r="J21" s="33">
        <v>1.26</v>
      </c>
      <c r="K21" s="34">
        <v>1.1000000000000001</v>
      </c>
      <c r="L21" s="25">
        <v>2</v>
      </c>
      <c r="M21" s="26">
        <v>1</v>
      </c>
      <c r="N21" s="25">
        <v>9</v>
      </c>
      <c r="O21" s="26">
        <v>15</v>
      </c>
      <c r="P21" s="25">
        <v>3</v>
      </c>
      <c r="Q21" s="26">
        <v>3</v>
      </c>
      <c r="R21" s="25">
        <v>0</v>
      </c>
      <c r="S21" s="26">
        <v>0</v>
      </c>
      <c r="T21" s="33">
        <v>0.26</v>
      </c>
      <c r="U21" s="34">
        <v>-0.55000000000000004</v>
      </c>
      <c r="V21" s="25">
        <v>1</v>
      </c>
      <c r="W21" s="26">
        <v>3</v>
      </c>
      <c r="X21" s="25">
        <v>14</v>
      </c>
      <c r="Y21" s="26">
        <v>11</v>
      </c>
      <c r="Z21" s="25">
        <v>394</v>
      </c>
      <c r="AA21" s="26">
        <v>618</v>
      </c>
      <c r="AB21" s="25">
        <v>10</v>
      </c>
      <c r="AC21" s="26">
        <v>11</v>
      </c>
      <c r="AD21" s="25">
        <v>11</v>
      </c>
      <c r="AE21" s="26">
        <v>14</v>
      </c>
      <c r="AF21" s="25">
        <v>3</v>
      </c>
      <c r="AG21" s="26">
        <v>3</v>
      </c>
      <c r="AH21" s="25">
        <v>0</v>
      </c>
      <c r="AI21" s="26">
        <v>0</v>
      </c>
      <c r="AJ21" s="25">
        <v>0</v>
      </c>
      <c r="AK21" s="43">
        <v>0</v>
      </c>
      <c r="AL21" s="173">
        <v>5</v>
      </c>
      <c r="AM21" s="364">
        <v>0.55555555555555558</v>
      </c>
      <c r="AN21" s="144">
        <v>0</v>
      </c>
      <c r="AO21" s="144">
        <v>4</v>
      </c>
      <c r="AP21" s="144">
        <v>0</v>
      </c>
      <c r="AQ21" s="144">
        <v>6</v>
      </c>
      <c r="AR21" s="365">
        <v>0.66666666666666663</v>
      </c>
      <c r="AS21" s="144">
        <v>3</v>
      </c>
      <c r="AT21" s="5">
        <v>4</v>
      </c>
      <c r="AU21" s="372">
        <v>0.26666666666666666</v>
      </c>
      <c r="AV21" s="5">
        <v>1</v>
      </c>
      <c r="AW21" s="5">
        <v>7</v>
      </c>
      <c r="AX21" s="5">
        <v>4</v>
      </c>
      <c r="AY21" s="5">
        <v>9</v>
      </c>
      <c r="AZ21" s="372">
        <v>0.6</v>
      </c>
      <c r="BA21" s="57">
        <v>6</v>
      </c>
      <c r="BB21" s="393">
        <v>0</v>
      </c>
      <c r="BC21" s="394">
        <v>0</v>
      </c>
      <c r="BD21" s="395">
        <v>0</v>
      </c>
      <c r="BE21" s="396">
        <v>0</v>
      </c>
    </row>
    <row r="22" spans="1:57" x14ac:dyDescent="0.25">
      <c r="A22" s="329">
        <v>45900</v>
      </c>
      <c r="B22" s="5">
        <v>3</v>
      </c>
      <c r="C22" s="5" t="s">
        <v>192</v>
      </c>
      <c r="D22" s="426">
        <v>1</v>
      </c>
      <c r="E22" s="426">
        <v>0</v>
      </c>
      <c r="F22" s="5" t="s">
        <v>227</v>
      </c>
      <c r="H22" s="42">
        <v>45</v>
      </c>
      <c r="I22" s="26">
        <v>55</v>
      </c>
      <c r="J22" s="33">
        <v>1.21</v>
      </c>
      <c r="K22" s="34">
        <v>1.37</v>
      </c>
      <c r="L22" s="25">
        <v>2</v>
      </c>
      <c r="M22" s="26">
        <v>3</v>
      </c>
      <c r="N22" s="25">
        <v>10</v>
      </c>
      <c r="O22" s="26">
        <v>10</v>
      </c>
      <c r="P22" s="25">
        <v>3</v>
      </c>
      <c r="Q22" s="26">
        <v>3</v>
      </c>
      <c r="R22" s="25">
        <v>1</v>
      </c>
      <c r="S22" s="26">
        <v>1</v>
      </c>
      <c r="T22" s="33">
        <v>0.56999999999999995</v>
      </c>
      <c r="U22" s="34">
        <v>0.41</v>
      </c>
      <c r="V22" s="25">
        <v>2</v>
      </c>
      <c r="W22" s="26">
        <v>3</v>
      </c>
      <c r="X22" s="25">
        <v>13</v>
      </c>
      <c r="Y22" s="26">
        <v>14</v>
      </c>
      <c r="Z22" s="25">
        <v>408</v>
      </c>
      <c r="AA22" s="26">
        <v>493</v>
      </c>
      <c r="AB22" s="25">
        <v>16</v>
      </c>
      <c r="AC22" s="26">
        <v>14</v>
      </c>
      <c r="AD22" s="25">
        <v>14</v>
      </c>
      <c r="AE22" s="26">
        <v>13</v>
      </c>
      <c r="AF22" s="25">
        <v>2</v>
      </c>
      <c r="AG22" s="26">
        <v>3</v>
      </c>
      <c r="AH22" s="25">
        <v>0</v>
      </c>
      <c r="AI22" s="26">
        <v>0</v>
      </c>
      <c r="AJ22" s="25">
        <v>0</v>
      </c>
      <c r="AK22" s="43">
        <v>0</v>
      </c>
      <c r="AL22" s="173">
        <v>4</v>
      </c>
      <c r="AM22" s="364">
        <v>0.4</v>
      </c>
      <c r="AN22" s="144">
        <v>0</v>
      </c>
      <c r="AO22" s="144">
        <v>5</v>
      </c>
      <c r="AP22" s="144">
        <v>1</v>
      </c>
      <c r="AQ22" s="144">
        <v>7</v>
      </c>
      <c r="AR22" s="365">
        <v>0.7</v>
      </c>
      <c r="AS22" s="144">
        <v>3</v>
      </c>
      <c r="AT22" s="5">
        <v>3</v>
      </c>
      <c r="AU22" s="372">
        <v>0.3</v>
      </c>
      <c r="AV22" s="5">
        <v>1</v>
      </c>
      <c r="AW22" s="5">
        <v>5</v>
      </c>
      <c r="AX22" s="5">
        <v>2</v>
      </c>
      <c r="AY22" s="5">
        <v>6</v>
      </c>
      <c r="AZ22" s="372">
        <v>0.6</v>
      </c>
      <c r="BA22" s="57">
        <v>4</v>
      </c>
      <c r="BB22" s="393">
        <v>0</v>
      </c>
      <c r="BC22" s="394">
        <v>0</v>
      </c>
      <c r="BD22" s="395">
        <v>0</v>
      </c>
      <c r="BE22" s="396">
        <v>0</v>
      </c>
    </row>
    <row r="23" spans="1:57" x14ac:dyDescent="0.25">
      <c r="A23" s="329">
        <v>45915</v>
      </c>
      <c r="B23" s="5">
        <v>4</v>
      </c>
      <c r="C23" s="26" t="s">
        <v>192</v>
      </c>
      <c r="D23" s="426">
        <v>3</v>
      </c>
      <c r="E23" s="426">
        <v>2</v>
      </c>
      <c r="F23" s="5" t="s">
        <v>112</v>
      </c>
      <c r="G23" s="268" t="s">
        <v>734</v>
      </c>
      <c r="H23" s="42">
        <v>38</v>
      </c>
      <c r="I23" s="26">
        <v>62</v>
      </c>
      <c r="J23" s="33">
        <v>2.46</v>
      </c>
      <c r="K23" s="34">
        <v>2.23</v>
      </c>
      <c r="L23" s="25">
        <v>4</v>
      </c>
      <c r="M23" s="26">
        <v>2</v>
      </c>
      <c r="N23" s="25">
        <v>9</v>
      </c>
      <c r="O23" s="26">
        <v>24</v>
      </c>
      <c r="P23" s="25">
        <v>8</v>
      </c>
      <c r="Q23" s="26">
        <v>0</v>
      </c>
      <c r="R23" s="25">
        <v>4</v>
      </c>
      <c r="S23" s="26">
        <v>0</v>
      </c>
      <c r="T23" s="33">
        <v>0.03</v>
      </c>
      <c r="U23" s="34">
        <v>-0.81</v>
      </c>
      <c r="V23" s="25">
        <v>3</v>
      </c>
      <c r="W23" s="26">
        <v>9</v>
      </c>
      <c r="X23" s="25">
        <v>9</v>
      </c>
      <c r="Y23" s="26">
        <v>16</v>
      </c>
      <c r="Z23" s="25">
        <v>303</v>
      </c>
      <c r="AA23" s="26">
        <v>493</v>
      </c>
      <c r="AB23" s="25">
        <v>11</v>
      </c>
      <c r="AC23" s="26">
        <v>20</v>
      </c>
      <c r="AD23" s="25">
        <v>15</v>
      </c>
      <c r="AE23" s="26">
        <v>8</v>
      </c>
      <c r="AF23" s="25">
        <v>2</v>
      </c>
      <c r="AG23" s="26">
        <v>1</v>
      </c>
      <c r="AH23" s="25">
        <v>1</v>
      </c>
      <c r="AI23" s="26">
        <v>0</v>
      </c>
      <c r="AJ23" s="25">
        <v>0.7</v>
      </c>
      <c r="AK23" s="43">
        <v>0.7</v>
      </c>
      <c r="AL23" s="173">
        <v>3</v>
      </c>
      <c r="AM23" s="364">
        <v>0.33333333333333331</v>
      </c>
      <c r="AN23" s="144">
        <v>1</v>
      </c>
      <c r="AO23" s="144">
        <v>5</v>
      </c>
      <c r="AP23" s="144">
        <v>1</v>
      </c>
      <c r="AQ23" s="144">
        <v>6</v>
      </c>
      <c r="AR23" s="365">
        <v>0.66666666666666663</v>
      </c>
      <c r="AS23" s="144">
        <v>3</v>
      </c>
      <c r="AT23" s="5">
        <v>10</v>
      </c>
      <c r="AU23" s="372">
        <v>0.41666666666666669</v>
      </c>
      <c r="AV23" s="5">
        <v>0</v>
      </c>
      <c r="AW23" s="5">
        <v>6</v>
      </c>
      <c r="AX23" s="5">
        <v>8</v>
      </c>
      <c r="AY23" s="5">
        <v>14</v>
      </c>
      <c r="AZ23" s="372">
        <v>0.58333333333333337</v>
      </c>
      <c r="BA23" s="57">
        <v>10</v>
      </c>
      <c r="BB23" s="393">
        <v>0</v>
      </c>
      <c r="BC23" s="394">
        <v>0</v>
      </c>
      <c r="BD23" s="395">
        <v>0</v>
      </c>
      <c r="BE23" s="396">
        <v>1</v>
      </c>
    </row>
    <row r="24" spans="1:57" x14ac:dyDescent="0.25">
      <c r="A24" s="329">
        <v>45923</v>
      </c>
      <c r="B24" s="5">
        <v>6</v>
      </c>
      <c r="C24" s="5" t="s">
        <v>192</v>
      </c>
      <c r="D24" s="424">
        <v>2</v>
      </c>
      <c r="E24" s="424">
        <v>2</v>
      </c>
      <c r="F24" s="5" t="s">
        <v>145</v>
      </c>
      <c r="H24" s="42">
        <v>56</v>
      </c>
      <c r="I24" s="26">
        <v>44</v>
      </c>
      <c r="J24" s="33">
        <v>2.57</v>
      </c>
      <c r="K24" s="34">
        <v>0.74</v>
      </c>
      <c r="L24" s="25">
        <v>7</v>
      </c>
      <c r="M24" s="26">
        <v>2</v>
      </c>
      <c r="N24" s="25">
        <v>21</v>
      </c>
      <c r="O24" s="26">
        <v>5</v>
      </c>
      <c r="P24" s="25">
        <v>0</v>
      </c>
      <c r="Q24" s="26">
        <v>6</v>
      </c>
      <c r="R24" s="25">
        <v>0</v>
      </c>
      <c r="S24" s="26">
        <v>0</v>
      </c>
      <c r="T24" s="33">
        <v>-0.68</v>
      </c>
      <c r="U24" s="34">
        <v>0.45</v>
      </c>
      <c r="V24" s="25">
        <v>8</v>
      </c>
      <c r="W24" s="26">
        <v>3</v>
      </c>
      <c r="X24" s="25">
        <v>9</v>
      </c>
      <c r="Y24" s="26">
        <v>9</v>
      </c>
      <c r="Z24" s="25">
        <v>440</v>
      </c>
      <c r="AA24" s="26">
        <v>369</v>
      </c>
      <c r="AB24" s="25">
        <v>7</v>
      </c>
      <c r="AC24" s="26">
        <v>25</v>
      </c>
      <c r="AD24" s="25">
        <v>9</v>
      </c>
      <c r="AE24" s="26">
        <v>9</v>
      </c>
      <c r="AF24" s="25">
        <v>1</v>
      </c>
      <c r="AG24" s="26">
        <v>4</v>
      </c>
      <c r="AH24" s="25">
        <v>0</v>
      </c>
      <c r="AI24" s="26">
        <v>0</v>
      </c>
      <c r="AJ24" s="25">
        <v>0</v>
      </c>
      <c r="AK24" s="43">
        <v>0</v>
      </c>
      <c r="AL24" s="173">
        <v>10</v>
      </c>
      <c r="AM24" s="364">
        <v>0.47619047619047616</v>
      </c>
      <c r="AN24" s="144">
        <v>0</v>
      </c>
      <c r="AO24" s="144">
        <v>7</v>
      </c>
      <c r="AP24" s="144">
        <v>4</v>
      </c>
      <c r="AQ24" s="144">
        <v>15</v>
      </c>
      <c r="AR24" s="365">
        <v>0.7142857142857143</v>
      </c>
      <c r="AS24" s="144">
        <v>6</v>
      </c>
      <c r="AT24" s="5">
        <v>2</v>
      </c>
      <c r="AU24" s="372">
        <v>0.4</v>
      </c>
      <c r="AV24" s="5">
        <v>0</v>
      </c>
      <c r="AW24" s="5">
        <v>2</v>
      </c>
      <c r="AX24" s="5">
        <v>1</v>
      </c>
      <c r="AY24" s="5">
        <v>4</v>
      </c>
      <c r="AZ24" s="372">
        <v>0.8</v>
      </c>
      <c r="BA24" s="57">
        <v>1</v>
      </c>
      <c r="BB24" s="393">
        <v>0</v>
      </c>
      <c r="BC24" s="394">
        <v>0</v>
      </c>
      <c r="BD24" s="395">
        <v>0</v>
      </c>
      <c r="BE24" s="396">
        <v>0</v>
      </c>
    </row>
    <row r="25" spans="1:57" ht="15.75" thickBot="1" x14ac:dyDescent="0.3">
      <c r="A25" s="330">
        <v>45935</v>
      </c>
      <c r="B25" s="9">
        <v>8</v>
      </c>
      <c r="C25" s="9" t="s">
        <v>192</v>
      </c>
      <c r="D25" s="439">
        <v>1</v>
      </c>
      <c r="E25" s="439">
        <v>2</v>
      </c>
      <c r="F25" s="9" t="s">
        <v>209</v>
      </c>
      <c r="G25" s="45"/>
      <c r="H25" s="384">
        <v>50</v>
      </c>
      <c r="I25" s="74">
        <v>50</v>
      </c>
      <c r="J25" s="385">
        <v>2.2400000000000002</v>
      </c>
      <c r="K25" s="386">
        <v>1.33</v>
      </c>
      <c r="L25" s="387">
        <v>2</v>
      </c>
      <c r="M25" s="74">
        <v>2</v>
      </c>
      <c r="N25" s="387">
        <v>14</v>
      </c>
      <c r="O25" s="74">
        <v>12</v>
      </c>
      <c r="P25" s="387">
        <v>1</v>
      </c>
      <c r="Q25" s="74">
        <v>4</v>
      </c>
      <c r="R25" s="387">
        <v>1</v>
      </c>
      <c r="S25" s="74">
        <v>2</v>
      </c>
      <c r="T25" s="385">
        <v>-0.5</v>
      </c>
      <c r="U25" s="386">
        <v>1.38</v>
      </c>
      <c r="V25" s="387">
        <v>10</v>
      </c>
      <c r="W25" s="74">
        <v>5</v>
      </c>
      <c r="X25" s="387">
        <v>16</v>
      </c>
      <c r="Y25" s="74">
        <v>4</v>
      </c>
      <c r="Z25" s="387">
        <v>448</v>
      </c>
      <c r="AA25" s="74">
        <v>463</v>
      </c>
      <c r="AB25" s="387">
        <v>15</v>
      </c>
      <c r="AC25" s="74">
        <v>17</v>
      </c>
      <c r="AD25" s="387">
        <v>3</v>
      </c>
      <c r="AE25" s="74">
        <v>16</v>
      </c>
      <c r="AF25" s="387">
        <v>2</v>
      </c>
      <c r="AG25" s="74">
        <v>6</v>
      </c>
      <c r="AH25" s="387">
        <v>0</v>
      </c>
      <c r="AI25" s="74">
        <v>0</v>
      </c>
      <c r="AJ25" s="387">
        <v>0.7</v>
      </c>
      <c r="AK25" s="76">
        <v>0</v>
      </c>
      <c r="AL25" s="177">
        <v>5</v>
      </c>
      <c r="AM25" s="388">
        <v>0.35714285714285715</v>
      </c>
      <c r="AN25" s="152">
        <v>0</v>
      </c>
      <c r="AO25" s="152">
        <v>8</v>
      </c>
      <c r="AP25" s="152">
        <v>1</v>
      </c>
      <c r="AQ25" s="152">
        <v>9</v>
      </c>
      <c r="AR25" s="389">
        <v>0.6428571428571429</v>
      </c>
      <c r="AS25" s="152">
        <v>5</v>
      </c>
      <c r="AT25" s="9">
        <v>3</v>
      </c>
      <c r="AU25" s="390">
        <v>0.25</v>
      </c>
      <c r="AV25" s="9">
        <v>0</v>
      </c>
      <c r="AW25" s="9">
        <v>6</v>
      </c>
      <c r="AX25" s="9">
        <v>3</v>
      </c>
      <c r="AY25" s="9">
        <v>7</v>
      </c>
      <c r="AZ25" s="390">
        <v>0.58333333333333337</v>
      </c>
      <c r="BA25" s="58">
        <v>5</v>
      </c>
      <c r="BB25" s="420">
        <v>0</v>
      </c>
      <c r="BC25" s="421">
        <v>0</v>
      </c>
      <c r="BD25" s="422">
        <v>0</v>
      </c>
      <c r="BE25" s="423">
        <v>0</v>
      </c>
    </row>
    <row r="26" spans="1:57" x14ac:dyDescent="0.25">
      <c r="A26" s="331">
        <v>45892</v>
      </c>
      <c r="B26" s="13">
        <v>2</v>
      </c>
      <c r="C26" s="13" t="s">
        <v>193</v>
      </c>
      <c r="D26" s="440">
        <v>1</v>
      </c>
      <c r="E26" s="440">
        <v>1</v>
      </c>
      <c r="F26" s="13" t="s">
        <v>208</v>
      </c>
      <c r="G26" s="47"/>
      <c r="H26" s="376">
        <v>58</v>
      </c>
      <c r="I26" s="79">
        <v>42</v>
      </c>
      <c r="J26" s="377">
        <v>1.74</v>
      </c>
      <c r="K26" s="378">
        <v>0.56999999999999995</v>
      </c>
      <c r="L26" s="379">
        <v>3</v>
      </c>
      <c r="M26" s="79">
        <v>1</v>
      </c>
      <c r="N26" s="379">
        <v>13</v>
      </c>
      <c r="O26" s="79">
        <v>6</v>
      </c>
      <c r="P26" s="379">
        <v>1</v>
      </c>
      <c r="Q26" s="79">
        <v>5</v>
      </c>
      <c r="R26" s="379">
        <v>0</v>
      </c>
      <c r="S26" s="79">
        <v>0</v>
      </c>
      <c r="T26" s="377">
        <v>-0.59</v>
      </c>
      <c r="U26" s="378">
        <v>-7.0000000000000007E-2</v>
      </c>
      <c r="V26" s="379">
        <v>10</v>
      </c>
      <c r="W26" s="79">
        <v>2</v>
      </c>
      <c r="X26" s="379">
        <v>14</v>
      </c>
      <c r="Y26" s="79">
        <v>7</v>
      </c>
      <c r="Z26" s="379">
        <v>545</v>
      </c>
      <c r="AA26" s="79">
        <v>413</v>
      </c>
      <c r="AB26" s="379">
        <v>20</v>
      </c>
      <c r="AC26" s="79">
        <v>19</v>
      </c>
      <c r="AD26" s="379">
        <v>7</v>
      </c>
      <c r="AE26" s="79">
        <v>14</v>
      </c>
      <c r="AF26" s="379">
        <v>0</v>
      </c>
      <c r="AG26" s="79">
        <v>3</v>
      </c>
      <c r="AH26" s="379">
        <v>0</v>
      </c>
      <c r="AI26" s="79">
        <v>0</v>
      </c>
      <c r="AJ26" s="379">
        <v>0</v>
      </c>
      <c r="AK26" s="80">
        <v>0</v>
      </c>
      <c r="AL26" s="169">
        <v>6</v>
      </c>
      <c r="AM26" s="380">
        <v>0.46153846153846156</v>
      </c>
      <c r="AN26" s="160">
        <v>0</v>
      </c>
      <c r="AO26" s="160">
        <v>4</v>
      </c>
      <c r="AP26" s="160">
        <v>3</v>
      </c>
      <c r="AQ26" s="160">
        <v>7</v>
      </c>
      <c r="AR26" s="381">
        <v>0.53846153846153844</v>
      </c>
      <c r="AS26" s="160">
        <v>6</v>
      </c>
      <c r="AT26" s="13">
        <v>2</v>
      </c>
      <c r="AU26" s="382">
        <v>0.33333333333333331</v>
      </c>
      <c r="AV26" s="13">
        <v>0</v>
      </c>
      <c r="AW26" s="13">
        <v>3</v>
      </c>
      <c r="AX26" s="13">
        <v>1</v>
      </c>
      <c r="AY26" s="13">
        <v>5</v>
      </c>
      <c r="AZ26" s="382">
        <v>0.83333333333333337</v>
      </c>
      <c r="BA26" s="60">
        <v>1</v>
      </c>
      <c r="BB26" s="416">
        <v>0</v>
      </c>
      <c r="BC26" s="417">
        <v>0</v>
      </c>
      <c r="BD26" s="418">
        <v>0</v>
      </c>
      <c r="BE26" s="419">
        <v>0</v>
      </c>
    </row>
    <row r="27" spans="1:57" x14ac:dyDescent="0.25">
      <c r="A27" s="329">
        <v>45912</v>
      </c>
      <c r="B27" s="5">
        <v>4</v>
      </c>
      <c r="C27" s="5" t="s">
        <v>171</v>
      </c>
      <c r="D27" s="424">
        <v>2</v>
      </c>
      <c r="E27" s="424">
        <v>2</v>
      </c>
      <c r="F27" s="5" t="s">
        <v>208</v>
      </c>
      <c r="H27" s="42">
        <v>53</v>
      </c>
      <c r="I27" s="26">
        <v>47</v>
      </c>
      <c r="J27" s="33">
        <v>0.4</v>
      </c>
      <c r="K27" s="34">
        <v>0.95</v>
      </c>
      <c r="L27" s="25">
        <v>0</v>
      </c>
      <c r="M27" s="26">
        <v>3</v>
      </c>
      <c r="N27" s="25">
        <v>7</v>
      </c>
      <c r="O27" s="26">
        <v>5</v>
      </c>
      <c r="P27" s="25">
        <v>0</v>
      </c>
      <c r="Q27" s="26">
        <v>1</v>
      </c>
      <c r="R27" s="25">
        <v>0</v>
      </c>
      <c r="S27" s="26">
        <v>1</v>
      </c>
      <c r="T27" s="33">
        <v>-1.1399999999999999</v>
      </c>
      <c r="U27" s="34">
        <v>-0.91</v>
      </c>
      <c r="V27" s="25">
        <v>2</v>
      </c>
      <c r="W27" s="26">
        <v>2</v>
      </c>
      <c r="X27" s="25">
        <v>23</v>
      </c>
      <c r="Y27" s="26">
        <v>19</v>
      </c>
      <c r="Z27" s="25">
        <v>392</v>
      </c>
      <c r="AA27" s="26">
        <v>362</v>
      </c>
      <c r="AB27" s="25">
        <v>22</v>
      </c>
      <c r="AC27" s="26">
        <v>25</v>
      </c>
      <c r="AD27" s="25">
        <v>19</v>
      </c>
      <c r="AE27" s="26">
        <v>23</v>
      </c>
      <c r="AF27" s="25">
        <v>4</v>
      </c>
      <c r="AG27" s="26">
        <v>3</v>
      </c>
      <c r="AH27" s="25">
        <v>0</v>
      </c>
      <c r="AI27" s="26">
        <v>0</v>
      </c>
      <c r="AJ27" s="25">
        <v>0</v>
      </c>
      <c r="AK27" s="43">
        <v>0</v>
      </c>
      <c r="AL27" s="173">
        <v>3</v>
      </c>
      <c r="AM27" s="364">
        <v>0.42857142857142855</v>
      </c>
      <c r="AN27" s="144">
        <v>0</v>
      </c>
      <c r="AO27" s="144">
        <v>2</v>
      </c>
      <c r="AP27" s="144">
        <v>2</v>
      </c>
      <c r="AQ27" s="144">
        <v>4</v>
      </c>
      <c r="AR27" s="365">
        <v>0.5714285714285714</v>
      </c>
      <c r="AS27" s="144">
        <v>3</v>
      </c>
      <c r="AT27" s="5">
        <v>2</v>
      </c>
      <c r="AU27" s="372">
        <v>0.4</v>
      </c>
      <c r="AV27" s="5">
        <v>0</v>
      </c>
      <c r="AW27" s="5">
        <v>3</v>
      </c>
      <c r="AX27" s="5">
        <v>0</v>
      </c>
      <c r="AY27" s="5">
        <v>2</v>
      </c>
      <c r="AZ27" s="372">
        <v>0.4</v>
      </c>
      <c r="BA27" s="57">
        <v>3</v>
      </c>
      <c r="BB27" s="393">
        <v>0</v>
      </c>
      <c r="BC27" s="394">
        <v>0</v>
      </c>
      <c r="BD27" s="395">
        <v>1</v>
      </c>
      <c r="BE27" s="396">
        <v>0</v>
      </c>
    </row>
    <row r="28" spans="1:57" x14ac:dyDescent="0.25">
      <c r="A28" s="329">
        <v>45925</v>
      </c>
      <c r="B28" s="5">
        <v>6</v>
      </c>
      <c r="C28" s="5" t="s">
        <v>227</v>
      </c>
      <c r="D28" s="424">
        <v>1</v>
      </c>
      <c r="E28" s="424">
        <v>1</v>
      </c>
      <c r="F28" s="5" t="s">
        <v>208</v>
      </c>
      <c r="H28" s="42">
        <v>40</v>
      </c>
      <c r="I28" s="26">
        <v>60</v>
      </c>
      <c r="J28" s="33">
        <v>0.9</v>
      </c>
      <c r="K28" s="34">
        <v>0.82</v>
      </c>
      <c r="L28" s="25">
        <v>1</v>
      </c>
      <c r="M28" s="26">
        <v>3</v>
      </c>
      <c r="N28" s="25">
        <v>9</v>
      </c>
      <c r="O28" s="26">
        <v>12</v>
      </c>
      <c r="P28" s="25">
        <v>3</v>
      </c>
      <c r="Q28" s="26">
        <v>1</v>
      </c>
      <c r="R28" s="25">
        <v>0</v>
      </c>
      <c r="S28" s="26">
        <v>0</v>
      </c>
      <c r="T28" s="33">
        <v>0.2</v>
      </c>
      <c r="U28" s="34">
        <v>-0.75</v>
      </c>
      <c r="V28" s="25">
        <v>2</v>
      </c>
      <c r="W28" s="26">
        <v>3</v>
      </c>
      <c r="X28" s="25">
        <v>19</v>
      </c>
      <c r="Y28" s="26">
        <v>13</v>
      </c>
      <c r="Z28" s="25">
        <v>375</v>
      </c>
      <c r="AA28" s="26">
        <v>588</v>
      </c>
      <c r="AB28" s="25">
        <v>21</v>
      </c>
      <c r="AC28" s="26">
        <v>15</v>
      </c>
      <c r="AD28" s="25">
        <v>13</v>
      </c>
      <c r="AE28" s="26">
        <v>19</v>
      </c>
      <c r="AF28" s="25">
        <v>2</v>
      </c>
      <c r="AG28" s="26">
        <v>2</v>
      </c>
      <c r="AH28" s="25">
        <v>0</v>
      </c>
      <c r="AI28" s="26">
        <v>0</v>
      </c>
      <c r="AJ28" s="25">
        <v>0</v>
      </c>
      <c r="AK28" s="43">
        <v>0</v>
      </c>
      <c r="AL28" s="173">
        <v>2</v>
      </c>
      <c r="AM28" s="364">
        <v>0.22222222222222221</v>
      </c>
      <c r="AN28" s="144">
        <v>0</v>
      </c>
      <c r="AO28" s="144">
        <v>4</v>
      </c>
      <c r="AP28" s="144">
        <v>3</v>
      </c>
      <c r="AQ28" s="144">
        <v>7</v>
      </c>
      <c r="AR28" s="365">
        <v>0.77777777777777779</v>
      </c>
      <c r="AS28" s="144">
        <v>2</v>
      </c>
      <c r="AT28" s="5">
        <v>4</v>
      </c>
      <c r="AU28" s="372">
        <v>0.33333333333333331</v>
      </c>
      <c r="AV28" s="5">
        <v>1</v>
      </c>
      <c r="AW28" s="5">
        <v>2</v>
      </c>
      <c r="AX28" s="5">
        <v>6</v>
      </c>
      <c r="AY28" s="5">
        <v>7</v>
      </c>
      <c r="AZ28" s="372">
        <v>0.58333333333333337</v>
      </c>
      <c r="BA28" s="57">
        <v>5</v>
      </c>
      <c r="BB28" s="393">
        <v>0</v>
      </c>
      <c r="BC28" s="394">
        <v>1</v>
      </c>
      <c r="BD28" s="395">
        <v>0</v>
      </c>
      <c r="BE28" s="396">
        <v>0</v>
      </c>
    </row>
    <row r="29" spans="1:57" x14ac:dyDescent="0.25">
      <c r="A29" s="329">
        <v>45935</v>
      </c>
      <c r="B29" s="5">
        <v>8</v>
      </c>
      <c r="C29" s="5" t="s">
        <v>128</v>
      </c>
      <c r="D29" s="425">
        <v>3</v>
      </c>
      <c r="E29" s="425">
        <v>1</v>
      </c>
      <c r="F29" s="26" t="s">
        <v>208</v>
      </c>
      <c r="G29" s="242" t="s">
        <v>564</v>
      </c>
      <c r="H29" s="42">
        <v>47</v>
      </c>
      <c r="I29" s="26">
        <v>53</v>
      </c>
      <c r="J29" s="33">
        <v>2.42</v>
      </c>
      <c r="K29" s="34">
        <v>0.38</v>
      </c>
      <c r="L29" s="25">
        <v>3</v>
      </c>
      <c r="M29" s="26">
        <v>2</v>
      </c>
      <c r="N29" s="25">
        <v>25</v>
      </c>
      <c r="O29" s="26">
        <v>6</v>
      </c>
      <c r="P29" s="25">
        <v>2</v>
      </c>
      <c r="Q29" s="26">
        <v>2</v>
      </c>
      <c r="R29" s="25">
        <v>0</v>
      </c>
      <c r="S29" s="26">
        <v>2</v>
      </c>
      <c r="T29" s="33">
        <v>-0.8</v>
      </c>
      <c r="U29" s="34">
        <v>-0.37</v>
      </c>
      <c r="V29" s="25">
        <v>14</v>
      </c>
      <c r="W29" s="26">
        <v>4</v>
      </c>
      <c r="X29" s="25">
        <v>13</v>
      </c>
      <c r="Y29" s="26">
        <v>9</v>
      </c>
      <c r="Z29" s="25">
        <v>395</v>
      </c>
      <c r="AA29" s="26">
        <v>461</v>
      </c>
      <c r="AB29" s="25">
        <v>20</v>
      </c>
      <c r="AC29" s="26">
        <v>18</v>
      </c>
      <c r="AD29" s="25">
        <v>8</v>
      </c>
      <c r="AE29" s="26">
        <v>13</v>
      </c>
      <c r="AF29" s="25">
        <v>3</v>
      </c>
      <c r="AG29" s="26">
        <v>1</v>
      </c>
      <c r="AH29" s="25">
        <v>0</v>
      </c>
      <c r="AI29" s="26">
        <v>1</v>
      </c>
      <c r="AJ29" s="25">
        <v>0.7</v>
      </c>
      <c r="AK29" s="43">
        <v>0</v>
      </c>
      <c r="AL29" s="173">
        <v>5</v>
      </c>
      <c r="AM29" s="364">
        <v>0.2</v>
      </c>
      <c r="AN29" s="144">
        <v>0</v>
      </c>
      <c r="AO29" s="144">
        <v>8</v>
      </c>
      <c r="AP29" s="144">
        <v>12</v>
      </c>
      <c r="AQ29" s="144">
        <v>14</v>
      </c>
      <c r="AR29" s="365">
        <v>0.56000000000000005</v>
      </c>
      <c r="AS29" s="144">
        <v>11</v>
      </c>
      <c r="AT29" s="5">
        <v>3</v>
      </c>
      <c r="AU29" s="372">
        <v>0.5</v>
      </c>
      <c r="AV29" s="5">
        <v>0</v>
      </c>
      <c r="AW29" s="5">
        <v>1</v>
      </c>
      <c r="AX29" s="5">
        <v>2</v>
      </c>
      <c r="AY29" s="5">
        <v>3</v>
      </c>
      <c r="AZ29" s="372">
        <v>0.5</v>
      </c>
      <c r="BA29" s="57">
        <v>3</v>
      </c>
      <c r="BB29" s="393">
        <v>0</v>
      </c>
      <c r="BC29" s="394">
        <v>0</v>
      </c>
      <c r="BD29" s="395">
        <v>0</v>
      </c>
      <c r="BE29" s="396">
        <v>0</v>
      </c>
    </row>
    <row r="30" spans="1:57" x14ac:dyDescent="0.25">
      <c r="A30" s="400">
        <v>45955</v>
      </c>
      <c r="B30" s="401">
        <v>10</v>
      </c>
      <c r="C30" s="401" t="s">
        <v>192</v>
      </c>
      <c r="D30" s="429">
        <f>AVERAGE(D21:D29)</f>
        <v>1.7777777777777777</v>
      </c>
      <c r="E30" s="429">
        <f>AVERAGE(E21:E29)</f>
        <v>1.3333333333333333</v>
      </c>
      <c r="F30" s="401" t="s">
        <v>208</v>
      </c>
      <c r="G30" s="402"/>
      <c r="H30" s="403">
        <f t="shared" ref="H30:AM30" si="4">AVERAGE(H21:H29)</f>
        <v>47.444444444444443</v>
      </c>
      <c r="I30" s="401">
        <f t="shared" si="4"/>
        <v>52.555555555555557</v>
      </c>
      <c r="J30" s="437">
        <f t="shared" si="4"/>
        <v>1.6888888888888891</v>
      </c>
      <c r="K30" s="404">
        <f t="shared" si="4"/>
        <v>1.0544444444444447</v>
      </c>
      <c r="L30" s="433">
        <f t="shared" si="4"/>
        <v>2.6666666666666665</v>
      </c>
      <c r="M30" s="433">
        <f t="shared" si="4"/>
        <v>2.1111111111111112</v>
      </c>
      <c r="N30" s="401">
        <f t="shared" si="4"/>
        <v>13</v>
      </c>
      <c r="O30" s="401">
        <f t="shared" si="4"/>
        <v>10.555555555555555</v>
      </c>
      <c r="P30" s="401">
        <f t="shared" si="4"/>
        <v>2.3333333333333335</v>
      </c>
      <c r="Q30" s="401">
        <f t="shared" si="4"/>
        <v>2.7777777777777777</v>
      </c>
      <c r="R30" s="401">
        <f t="shared" si="4"/>
        <v>0.66666666666666663</v>
      </c>
      <c r="S30" s="401">
        <f t="shared" si="4"/>
        <v>0.66666666666666663</v>
      </c>
      <c r="T30" s="404">
        <f t="shared" si="4"/>
        <v>-0.29444444444444445</v>
      </c>
      <c r="U30" s="404">
        <f t="shared" si="4"/>
        <v>-0.1355555555555556</v>
      </c>
      <c r="V30" s="401">
        <f t="shared" si="4"/>
        <v>5.7777777777777777</v>
      </c>
      <c r="W30" s="401">
        <f t="shared" si="4"/>
        <v>3.7777777777777777</v>
      </c>
      <c r="X30" s="401">
        <f t="shared" si="4"/>
        <v>14.444444444444445</v>
      </c>
      <c r="Y30" s="401">
        <f t="shared" si="4"/>
        <v>11.333333333333334</v>
      </c>
      <c r="Z30" s="401">
        <f t="shared" si="4"/>
        <v>411.11111111111109</v>
      </c>
      <c r="AA30" s="401">
        <f t="shared" si="4"/>
        <v>473.33333333333331</v>
      </c>
      <c r="AB30" s="401">
        <f t="shared" si="4"/>
        <v>15.777777777777779</v>
      </c>
      <c r="AC30" s="401">
        <f t="shared" si="4"/>
        <v>18.222222222222221</v>
      </c>
      <c r="AD30" s="401">
        <f t="shared" si="4"/>
        <v>11</v>
      </c>
      <c r="AE30" s="401">
        <f t="shared" si="4"/>
        <v>14.333333333333334</v>
      </c>
      <c r="AF30" s="401">
        <f t="shared" si="4"/>
        <v>2.1111111111111112</v>
      </c>
      <c r="AG30" s="401">
        <f t="shared" si="4"/>
        <v>2.8888888888888888</v>
      </c>
      <c r="AH30" s="401">
        <f t="shared" si="4"/>
        <v>0.1111111111111111</v>
      </c>
      <c r="AI30" s="401">
        <f t="shared" si="4"/>
        <v>0.1111111111111111</v>
      </c>
      <c r="AJ30" s="401">
        <f t="shared" si="4"/>
        <v>0.23333333333333328</v>
      </c>
      <c r="AK30" s="405">
        <f t="shared" si="4"/>
        <v>7.7777777777777779E-2</v>
      </c>
      <c r="AL30" s="435">
        <f t="shared" si="4"/>
        <v>4.7777777777777777</v>
      </c>
      <c r="AM30" s="436">
        <f t="shared" si="4"/>
        <v>0.38161714828381499</v>
      </c>
      <c r="AN30" s="401">
        <f t="shared" ref="AN30:BS30" si="5">AVERAGE(AN21:AN29)</f>
        <v>0.1111111111111111</v>
      </c>
      <c r="AO30" s="401">
        <f t="shared" si="5"/>
        <v>5.2222222222222223</v>
      </c>
      <c r="AP30" s="401">
        <f t="shared" si="5"/>
        <v>3</v>
      </c>
      <c r="AQ30" s="401">
        <f t="shared" si="5"/>
        <v>8.3333333333333339</v>
      </c>
      <c r="AR30" s="434">
        <f t="shared" si="5"/>
        <v>0.64868267534934199</v>
      </c>
      <c r="AS30" s="401">
        <f t="shared" si="5"/>
        <v>4.666666666666667</v>
      </c>
      <c r="AT30" s="433">
        <f t="shared" si="5"/>
        <v>3.6666666666666665</v>
      </c>
      <c r="AU30" s="434">
        <f t="shared" si="5"/>
        <v>0.35555555555555557</v>
      </c>
      <c r="AV30" s="401">
        <f t="shared" si="5"/>
        <v>0.33333333333333331</v>
      </c>
      <c r="AW30" s="401">
        <f t="shared" si="5"/>
        <v>3.8888888888888888</v>
      </c>
      <c r="AX30" s="401">
        <f t="shared" si="5"/>
        <v>3</v>
      </c>
      <c r="AY30" s="401">
        <f t="shared" si="5"/>
        <v>6.333333333333333</v>
      </c>
      <c r="AZ30" s="434">
        <f t="shared" si="5"/>
        <v>0.60925925925925928</v>
      </c>
      <c r="BA30" s="405">
        <f t="shared" si="5"/>
        <v>4.2222222222222223</v>
      </c>
      <c r="BB30" s="408">
        <f t="shared" si="5"/>
        <v>0</v>
      </c>
      <c r="BC30" s="431">
        <f t="shared" si="5"/>
        <v>0.1111111111111111</v>
      </c>
      <c r="BD30" s="431">
        <f t="shared" si="5"/>
        <v>0.1111111111111111</v>
      </c>
      <c r="BE30" s="432">
        <f t="shared" si="5"/>
        <v>0.1111111111111111</v>
      </c>
    </row>
    <row r="31" spans="1:57" x14ac:dyDescent="0.25">
      <c r="A31" s="329">
        <v>45886</v>
      </c>
      <c r="B31" s="5">
        <v>1</v>
      </c>
      <c r="C31" s="5" t="s">
        <v>170</v>
      </c>
      <c r="D31" s="426">
        <v>3</v>
      </c>
      <c r="E31" s="426">
        <v>2</v>
      </c>
      <c r="F31" s="5" t="s">
        <v>171</v>
      </c>
      <c r="H31" s="42">
        <v>46</v>
      </c>
      <c r="I31" s="26">
        <v>54</v>
      </c>
      <c r="J31" s="33">
        <v>2.89</v>
      </c>
      <c r="K31" s="34">
        <v>1.01</v>
      </c>
      <c r="L31" s="25">
        <v>3</v>
      </c>
      <c r="M31" s="26">
        <v>0</v>
      </c>
      <c r="N31" s="25">
        <v>14</v>
      </c>
      <c r="O31" s="26">
        <v>12</v>
      </c>
      <c r="P31" s="25">
        <v>4</v>
      </c>
      <c r="Q31" s="26">
        <v>0</v>
      </c>
      <c r="R31" s="25">
        <v>0</v>
      </c>
      <c r="S31" s="26">
        <v>0</v>
      </c>
      <c r="T31" s="33">
        <v>-0.26</v>
      </c>
      <c r="U31" s="34">
        <v>-0.41</v>
      </c>
      <c r="V31" s="25">
        <v>10</v>
      </c>
      <c r="W31" s="26">
        <v>1</v>
      </c>
      <c r="X31" s="25">
        <v>8</v>
      </c>
      <c r="Y31" s="26">
        <v>12</v>
      </c>
      <c r="Z31" s="25">
        <v>387</v>
      </c>
      <c r="AA31" s="26">
        <v>477</v>
      </c>
      <c r="AB31" s="25">
        <v>11</v>
      </c>
      <c r="AC31" s="26">
        <v>18</v>
      </c>
      <c r="AD31" s="25">
        <v>11</v>
      </c>
      <c r="AE31" s="26">
        <v>8</v>
      </c>
      <c r="AF31" s="25">
        <v>0</v>
      </c>
      <c r="AG31" s="26">
        <v>2</v>
      </c>
      <c r="AH31" s="25">
        <v>0</v>
      </c>
      <c r="AI31" s="26">
        <v>0</v>
      </c>
      <c r="AJ31" s="25">
        <v>0.7</v>
      </c>
      <c r="AK31" s="43">
        <v>0</v>
      </c>
      <c r="AL31" s="173">
        <v>3</v>
      </c>
      <c r="AM31" s="364">
        <v>0.21428571428571427</v>
      </c>
      <c r="AN31" s="144">
        <v>1</v>
      </c>
      <c r="AO31" s="144">
        <v>3</v>
      </c>
      <c r="AP31" s="144">
        <v>8</v>
      </c>
      <c r="AQ31" s="144">
        <v>11</v>
      </c>
      <c r="AR31" s="365">
        <v>0.7857142857142857</v>
      </c>
      <c r="AS31" s="144">
        <v>3</v>
      </c>
      <c r="AT31" s="5">
        <v>6</v>
      </c>
      <c r="AU31" s="372">
        <v>0.5</v>
      </c>
      <c r="AV31" s="5">
        <v>0</v>
      </c>
      <c r="AW31" s="5">
        <v>4</v>
      </c>
      <c r="AX31" s="5">
        <v>2</v>
      </c>
      <c r="AY31" s="5">
        <v>10</v>
      </c>
      <c r="AZ31" s="372">
        <v>0.83333333333333337</v>
      </c>
      <c r="BA31" s="57">
        <v>2</v>
      </c>
      <c r="BB31" s="393">
        <v>0</v>
      </c>
      <c r="BC31" s="394">
        <v>0</v>
      </c>
      <c r="BD31" s="395">
        <v>1</v>
      </c>
      <c r="BE31" s="396">
        <v>0</v>
      </c>
    </row>
    <row r="32" spans="1:57" x14ac:dyDescent="0.25">
      <c r="A32" s="329">
        <v>45894</v>
      </c>
      <c r="B32" s="5">
        <v>2</v>
      </c>
      <c r="C32" s="5" t="s">
        <v>170</v>
      </c>
      <c r="D32" s="426">
        <v>1</v>
      </c>
      <c r="E32" s="426">
        <v>0</v>
      </c>
      <c r="F32" s="5" t="s">
        <v>70</v>
      </c>
      <c r="H32" s="42">
        <v>41</v>
      </c>
      <c r="I32" s="26">
        <v>59</v>
      </c>
      <c r="J32" s="33">
        <v>1.51</v>
      </c>
      <c r="K32" s="34">
        <v>0.28999999999999998</v>
      </c>
      <c r="L32" s="25">
        <v>2</v>
      </c>
      <c r="M32" s="26">
        <v>1</v>
      </c>
      <c r="N32" s="25">
        <v>11</v>
      </c>
      <c r="O32" s="26">
        <v>6</v>
      </c>
      <c r="P32" s="25">
        <v>1</v>
      </c>
      <c r="Q32" s="26">
        <v>3</v>
      </c>
      <c r="R32" s="25">
        <v>0</v>
      </c>
      <c r="S32" s="26">
        <v>1</v>
      </c>
      <c r="T32" s="33">
        <v>0.17</v>
      </c>
      <c r="U32" s="34">
        <v>0.26</v>
      </c>
      <c r="V32" s="25">
        <v>3</v>
      </c>
      <c r="W32" s="26">
        <v>6</v>
      </c>
      <c r="X32" s="25">
        <v>13</v>
      </c>
      <c r="Y32" s="26">
        <v>13</v>
      </c>
      <c r="Z32" s="25">
        <v>334</v>
      </c>
      <c r="AA32" s="26">
        <v>498</v>
      </c>
      <c r="AB32" s="25">
        <v>14</v>
      </c>
      <c r="AC32" s="26">
        <v>16</v>
      </c>
      <c r="AD32" s="25">
        <v>12</v>
      </c>
      <c r="AE32" s="26">
        <v>13</v>
      </c>
      <c r="AF32" s="25">
        <v>0</v>
      </c>
      <c r="AG32" s="26">
        <v>4</v>
      </c>
      <c r="AH32" s="25">
        <v>0</v>
      </c>
      <c r="AI32" s="26">
        <v>0</v>
      </c>
      <c r="AJ32" s="25">
        <v>0.7</v>
      </c>
      <c r="AK32" s="43">
        <v>0</v>
      </c>
      <c r="AL32" s="173">
        <v>4</v>
      </c>
      <c r="AM32" s="364">
        <v>0.36363636363636365</v>
      </c>
      <c r="AN32" s="144">
        <v>0</v>
      </c>
      <c r="AO32" s="144">
        <v>3</v>
      </c>
      <c r="AP32" s="144">
        <v>4</v>
      </c>
      <c r="AQ32" s="144">
        <v>5</v>
      </c>
      <c r="AR32" s="365">
        <v>0.45454545454545453</v>
      </c>
      <c r="AS32" s="144">
        <v>6</v>
      </c>
      <c r="AT32" s="5">
        <v>1</v>
      </c>
      <c r="AU32" s="372">
        <v>0.16666666666666666</v>
      </c>
      <c r="AV32" s="5">
        <v>0</v>
      </c>
      <c r="AW32" s="5">
        <v>2</v>
      </c>
      <c r="AX32" s="5">
        <v>3</v>
      </c>
      <c r="AY32" s="5">
        <v>2</v>
      </c>
      <c r="AZ32" s="372">
        <v>0.33333333333333331</v>
      </c>
      <c r="BA32" s="57">
        <v>4</v>
      </c>
      <c r="BB32" s="393">
        <v>1</v>
      </c>
      <c r="BC32" s="394">
        <v>0</v>
      </c>
      <c r="BD32" s="395">
        <v>0</v>
      </c>
      <c r="BE32" s="396">
        <v>0</v>
      </c>
    </row>
    <row r="33" spans="1:57" x14ac:dyDescent="0.25">
      <c r="A33" s="329">
        <v>45913</v>
      </c>
      <c r="B33" s="5">
        <v>4</v>
      </c>
      <c r="C33" s="5" t="s">
        <v>170</v>
      </c>
      <c r="D33" s="425">
        <v>0</v>
      </c>
      <c r="E33" s="425">
        <v>1</v>
      </c>
      <c r="F33" s="5" t="s">
        <v>128</v>
      </c>
      <c r="H33" s="42">
        <v>58</v>
      </c>
      <c r="I33" s="26">
        <v>42</v>
      </c>
      <c r="J33" s="33">
        <v>1.08</v>
      </c>
      <c r="K33" s="34">
        <v>0.09</v>
      </c>
      <c r="L33" s="25">
        <v>1</v>
      </c>
      <c r="M33" s="26">
        <v>0</v>
      </c>
      <c r="N33" s="25">
        <v>12</v>
      </c>
      <c r="O33" s="26">
        <v>4</v>
      </c>
      <c r="P33" s="25">
        <v>2</v>
      </c>
      <c r="Q33" s="26">
        <v>3</v>
      </c>
      <c r="R33" s="25">
        <v>0</v>
      </c>
      <c r="S33" s="26">
        <v>1</v>
      </c>
      <c r="T33" s="33">
        <v>-0.65</v>
      </c>
      <c r="U33" s="34">
        <v>0.82</v>
      </c>
      <c r="V33" s="25">
        <v>6</v>
      </c>
      <c r="W33" s="26">
        <v>6</v>
      </c>
      <c r="X33" s="25">
        <v>17</v>
      </c>
      <c r="Y33" s="26">
        <v>21</v>
      </c>
      <c r="Z33" s="25">
        <v>461</v>
      </c>
      <c r="AA33" s="26">
        <v>350</v>
      </c>
      <c r="AB33" s="25">
        <v>20</v>
      </c>
      <c r="AC33" s="26">
        <v>20</v>
      </c>
      <c r="AD33" s="25">
        <v>21</v>
      </c>
      <c r="AE33" s="26">
        <v>17</v>
      </c>
      <c r="AF33" s="25">
        <v>2</v>
      </c>
      <c r="AG33" s="26">
        <v>4</v>
      </c>
      <c r="AH33" s="25">
        <v>0</v>
      </c>
      <c r="AI33" s="26">
        <v>0</v>
      </c>
      <c r="AJ33" s="25">
        <v>0</v>
      </c>
      <c r="AK33" s="43">
        <v>0</v>
      </c>
      <c r="AL33" s="173">
        <v>3</v>
      </c>
      <c r="AM33" s="364">
        <v>0.25</v>
      </c>
      <c r="AN33" s="144">
        <v>0</v>
      </c>
      <c r="AO33" s="144">
        <v>4</v>
      </c>
      <c r="AP33" s="144">
        <v>5</v>
      </c>
      <c r="AQ33" s="144">
        <v>7</v>
      </c>
      <c r="AR33" s="365">
        <v>0.58333333333333337</v>
      </c>
      <c r="AS33" s="144">
        <v>5</v>
      </c>
      <c r="AT33" s="5">
        <v>2</v>
      </c>
      <c r="AU33" s="372">
        <v>0.5</v>
      </c>
      <c r="AV33" s="5">
        <v>0</v>
      </c>
      <c r="AW33" s="5">
        <v>2</v>
      </c>
      <c r="AX33" s="5">
        <v>0</v>
      </c>
      <c r="AY33" s="5">
        <v>0</v>
      </c>
      <c r="AZ33" s="372">
        <v>0</v>
      </c>
      <c r="BA33" s="57">
        <v>4</v>
      </c>
      <c r="BB33" s="393">
        <v>1</v>
      </c>
      <c r="BC33" s="394">
        <v>0</v>
      </c>
      <c r="BD33" s="395">
        <v>1</v>
      </c>
      <c r="BE33" s="396">
        <v>0</v>
      </c>
    </row>
    <row r="34" spans="1:57" x14ac:dyDescent="0.25">
      <c r="A34" s="331">
        <v>45923</v>
      </c>
      <c r="B34" s="5">
        <v>6</v>
      </c>
      <c r="C34" s="5" t="s">
        <v>170</v>
      </c>
      <c r="D34" s="424">
        <v>1</v>
      </c>
      <c r="E34" s="424">
        <v>1</v>
      </c>
      <c r="F34" s="5" t="s">
        <v>69</v>
      </c>
      <c r="H34" s="42">
        <v>67</v>
      </c>
      <c r="I34" s="26">
        <v>33</v>
      </c>
      <c r="J34" s="33">
        <v>1.46</v>
      </c>
      <c r="K34" s="34">
        <v>0.78</v>
      </c>
      <c r="L34" s="25">
        <v>4</v>
      </c>
      <c r="M34" s="26">
        <v>2</v>
      </c>
      <c r="N34" s="25">
        <v>17</v>
      </c>
      <c r="O34" s="26">
        <v>6</v>
      </c>
      <c r="P34" s="25">
        <v>2</v>
      </c>
      <c r="Q34" s="26">
        <v>4</v>
      </c>
      <c r="R34" s="25">
        <v>0</v>
      </c>
      <c r="S34" s="26">
        <v>1</v>
      </c>
      <c r="T34" s="33">
        <v>0.19</v>
      </c>
      <c r="U34" s="34">
        <v>0.44</v>
      </c>
      <c r="V34" s="25">
        <v>8</v>
      </c>
      <c r="W34" s="26">
        <v>1</v>
      </c>
      <c r="X34" s="25">
        <v>19</v>
      </c>
      <c r="Y34" s="26">
        <v>15</v>
      </c>
      <c r="Z34" s="25">
        <v>600</v>
      </c>
      <c r="AA34" s="26">
        <v>305</v>
      </c>
      <c r="AB34" s="25">
        <v>18</v>
      </c>
      <c r="AC34" s="26">
        <v>10</v>
      </c>
      <c r="AD34" s="25">
        <v>15</v>
      </c>
      <c r="AE34" s="26">
        <v>19</v>
      </c>
      <c r="AF34" s="25">
        <v>0</v>
      </c>
      <c r="AG34" s="26">
        <v>2</v>
      </c>
      <c r="AH34" s="25">
        <v>0</v>
      </c>
      <c r="AI34" s="26">
        <v>0</v>
      </c>
      <c r="AJ34" s="25">
        <v>0</v>
      </c>
      <c r="AK34" s="43">
        <v>0</v>
      </c>
      <c r="AL34" s="173">
        <v>5</v>
      </c>
      <c r="AM34" s="364">
        <v>0.29411764705882354</v>
      </c>
      <c r="AN34" s="144">
        <v>0</v>
      </c>
      <c r="AO34" s="144">
        <v>7</v>
      </c>
      <c r="AP34" s="144">
        <v>5</v>
      </c>
      <c r="AQ34" s="144">
        <v>14</v>
      </c>
      <c r="AR34" s="365">
        <v>0.82352941176470584</v>
      </c>
      <c r="AS34" s="144">
        <v>3</v>
      </c>
      <c r="AT34" s="5">
        <v>3</v>
      </c>
      <c r="AU34" s="372">
        <v>0.5</v>
      </c>
      <c r="AV34" s="5">
        <v>0</v>
      </c>
      <c r="AW34" s="5">
        <v>2</v>
      </c>
      <c r="AX34" s="5">
        <v>1</v>
      </c>
      <c r="AY34" s="5">
        <v>4</v>
      </c>
      <c r="AZ34" s="372">
        <v>0.66666666666666663</v>
      </c>
      <c r="BA34" s="57">
        <v>2</v>
      </c>
      <c r="BB34" s="393">
        <v>1</v>
      </c>
      <c r="BC34" s="394">
        <v>0</v>
      </c>
      <c r="BD34" s="395">
        <v>1</v>
      </c>
      <c r="BE34" s="396">
        <v>1</v>
      </c>
    </row>
    <row r="35" spans="1:57" ht="15.75" thickBot="1" x14ac:dyDescent="0.3">
      <c r="A35" s="330">
        <v>45934</v>
      </c>
      <c r="B35" s="9">
        <v>8</v>
      </c>
      <c r="C35" s="9" t="s">
        <v>170</v>
      </c>
      <c r="D35" s="438">
        <v>2</v>
      </c>
      <c r="E35" s="438">
        <v>1</v>
      </c>
      <c r="F35" s="74" t="s">
        <v>112</v>
      </c>
      <c r="G35" s="445" t="s">
        <v>562</v>
      </c>
      <c r="H35" s="384">
        <v>52</v>
      </c>
      <c r="I35" s="74">
        <v>48</v>
      </c>
      <c r="J35" s="385">
        <v>2.0499999999999998</v>
      </c>
      <c r="K35" s="386">
        <v>0.32</v>
      </c>
      <c r="L35" s="387">
        <v>2</v>
      </c>
      <c r="M35" s="74">
        <v>1</v>
      </c>
      <c r="N35" s="387">
        <v>18</v>
      </c>
      <c r="O35" s="74">
        <v>6</v>
      </c>
      <c r="P35" s="387">
        <v>1</v>
      </c>
      <c r="Q35" s="74">
        <v>3</v>
      </c>
      <c r="R35" s="387">
        <v>0</v>
      </c>
      <c r="S35" s="74">
        <v>0</v>
      </c>
      <c r="T35" s="385">
        <v>-0.83</v>
      </c>
      <c r="U35" s="386">
        <v>-0.26</v>
      </c>
      <c r="V35" s="387">
        <v>7</v>
      </c>
      <c r="W35" s="74">
        <v>2</v>
      </c>
      <c r="X35" s="387">
        <v>16</v>
      </c>
      <c r="Y35" s="74">
        <v>13</v>
      </c>
      <c r="Z35" s="387">
        <v>442</v>
      </c>
      <c r="AA35" s="74">
        <v>416</v>
      </c>
      <c r="AB35" s="387">
        <v>8</v>
      </c>
      <c r="AC35" s="74">
        <v>18</v>
      </c>
      <c r="AD35" s="387">
        <v>12</v>
      </c>
      <c r="AE35" s="74">
        <v>16</v>
      </c>
      <c r="AF35" s="387">
        <v>4</v>
      </c>
      <c r="AG35" s="74">
        <v>6</v>
      </c>
      <c r="AH35" s="387">
        <v>0</v>
      </c>
      <c r="AI35" s="74">
        <v>1</v>
      </c>
      <c r="AJ35" s="387">
        <v>0.7</v>
      </c>
      <c r="AK35" s="76">
        <v>0</v>
      </c>
      <c r="AL35" s="177">
        <v>5</v>
      </c>
      <c r="AM35" s="388">
        <v>0.27777777777777779</v>
      </c>
      <c r="AN35" s="152">
        <v>0</v>
      </c>
      <c r="AO35" s="152">
        <v>6</v>
      </c>
      <c r="AP35" s="152">
        <v>7</v>
      </c>
      <c r="AQ35" s="152">
        <v>10</v>
      </c>
      <c r="AR35" s="389">
        <v>0.55555555555555558</v>
      </c>
      <c r="AS35" s="152">
        <v>8</v>
      </c>
      <c r="AT35" s="9">
        <v>2</v>
      </c>
      <c r="AU35" s="390">
        <v>0.33333333333333331</v>
      </c>
      <c r="AV35" s="9">
        <v>0</v>
      </c>
      <c r="AW35" s="9">
        <v>4</v>
      </c>
      <c r="AX35" s="9">
        <v>0</v>
      </c>
      <c r="AY35" s="9">
        <v>2</v>
      </c>
      <c r="AZ35" s="390">
        <v>0.33333333333333331</v>
      </c>
      <c r="BA35" s="58">
        <v>4</v>
      </c>
      <c r="BB35" s="420">
        <v>0</v>
      </c>
      <c r="BC35" s="421">
        <v>0</v>
      </c>
      <c r="BD35" s="422">
        <v>0</v>
      </c>
      <c r="BE35" s="423">
        <v>0</v>
      </c>
    </row>
    <row r="36" spans="1:57" x14ac:dyDescent="0.25">
      <c r="A36" s="331">
        <v>45886</v>
      </c>
      <c r="B36" s="13">
        <v>1</v>
      </c>
      <c r="C36" s="13" t="s">
        <v>456</v>
      </c>
      <c r="D36" s="441">
        <v>0</v>
      </c>
      <c r="E36" s="441">
        <v>2</v>
      </c>
      <c r="F36" s="13" t="s">
        <v>161</v>
      </c>
      <c r="G36" s="47"/>
      <c r="H36" s="376">
        <v>69</v>
      </c>
      <c r="I36" s="79">
        <v>31</v>
      </c>
      <c r="J36" s="377">
        <v>0.73</v>
      </c>
      <c r="K36" s="378">
        <v>1.43</v>
      </c>
      <c r="L36" s="379">
        <v>1</v>
      </c>
      <c r="M36" s="79">
        <v>2</v>
      </c>
      <c r="N36" s="379">
        <v>11</v>
      </c>
      <c r="O36" s="79">
        <v>10</v>
      </c>
      <c r="P36" s="379">
        <v>1</v>
      </c>
      <c r="Q36" s="79">
        <v>4</v>
      </c>
      <c r="R36" s="379">
        <v>0</v>
      </c>
      <c r="S36" s="79">
        <v>2</v>
      </c>
      <c r="T36" s="377">
        <v>-0.28000000000000003</v>
      </c>
      <c r="U36" s="378">
        <v>0.44</v>
      </c>
      <c r="V36" s="379">
        <v>9</v>
      </c>
      <c r="W36" s="79">
        <v>3</v>
      </c>
      <c r="X36" s="379">
        <v>15</v>
      </c>
      <c r="Y36" s="79">
        <v>17</v>
      </c>
      <c r="Z36" s="379">
        <v>571</v>
      </c>
      <c r="AA36" s="79">
        <v>257</v>
      </c>
      <c r="AB36" s="379">
        <v>23</v>
      </c>
      <c r="AC36" s="79">
        <v>21</v>
      </c>
      <c r="AD36" s="379">
        <v>17</v>
      </c>
      <c r="AE36" s="79">
        <v>15</v>
      </c>
      <c r="AF36" s="379">
        <v>3</v>
      </c>
      <c r="AG36" s="79">
        <v>2</v>
      </c>
      <c r="AH36" s="379">
        <v>0</v>
      </c>
      <c r="AI36" s="79">
        <v>0</v>
      </c>
      <c r="AJ36" s="379">
        <v>0</v>
      </c>
      <c r="AK36" s="80">
        <v>0</v>
      </c>
      <c r="AL36" s="169">
        <v>3</v>
      </c>
      <c r="AM36" s="380">
        <v>0.27272727272727271</v>
      </c>
      <c r="AN36" s="160">
        <v>0</v>
      </c>
      <c r="AO36" s="160">
        <v>3</v>
      </c>
      <c r="AP36" s="160">
        <v>5</v>
      </c>
      <c r="AQ36" s="160">
        <v>6</v>
      </c>
      <c r="AR36" s="381">
        <v>0.54545454545454541</v>
      </c>
      <c r="AS36" s="160">
        <v>5</v>
      </c>
      <c r="AT36" s="13">
        <v>3</v>
      </c>
      <c r="AU36" s="382">
        <v>0.3</v>
      </c>
      <c r="AV36" s="13">
        <v>0</v>
      </c>
      <c r="AW36" s="13">
        <v>3</v>
      </c>
      <c r="AX36" s="13">
        <v>4</v>
      </c>
      <c r="AY36" s="13">
        <v>6</v>
      </c>
      <c r="AZ36" s="382">
        <v>0.6</v>
      </c>
      <c r="BA36" s="60">
        <v>4</v>
      </c>
      <c r="BB36" s="416">
        <v>1</v>
      </c>
      <c r="BC36" s="417">
        <v>1</v>
      </c>
      <c r="BD36" s="418">
        <v>1</v>
      </c>
      <c r="BE36" s="419">
        <v>0</v>
      </c>
    </row>
    <row r="37" spans="1:57" x14ac:dyDescent="0.25">
      <c r="A37" s="329">
        <v>45894</v>
      </c>
      <c r="B37" s="5">
        <v>2</v>
      </c>
      <c r="C37" s="5" t="s">
        <v>171</v>
      </c>
      <c r="D37" s="426">
        <v>1</v>
      </c>
      <c r="E37" s="426">
        <v>2</v>
      </c>
      <c r="F37" s="5" t="s">
        <v>161</v>
      </c>
      <c r="H37" s="42">
        <v>71</v>
      </c>
      <c r="I37" s="26">
        <v>29</v>
      </c>
      <c r="J37" s="33">
        <v>0.51</v>
      </c>
      <c r="K37" s="34">
        <v>0.71</v>
      </c>
      <c r="L37" s="25">
        <v>1</v>
      </c>
      <c r="M37" s="26">
        <v>3</v>
      </c>
      <c r="N37" s="25">
        <v>12</v>
      </c>
      <c r="O37" s="26">
        <v>9</v>
      </c>
      <c r="P37" s="25">
        <v>4</v>
      </c>
      <c r="Q37" s="26">
        <v>3</v>
      </c>
      <c r="R37" s="25">
        <v>0</v>
      </c>
      <c r="S37" s="26">
        <v>0</v>
      </c>
      <c r="T37" s="33">
        <v>-1.1000000000000001</v>
      </c>
      <c r="U37" s="34">
        <v>-0.84</v>
      </c>
      <c r="V37" s="25">
        <v>5</v>
      </c>
      <c r="W37" s="26">
        <v>3</v>
      </c>
      <c r="X37" s="25">
        <v>10</v>
      </c>
      <c r="Y37" s="26">
        <v>24</v>
      </c>
      <c r="Z37" s="25">
        <v>533</v>
      </c>
      <c r="AA37" s="26">
        <v>221</v>
      </c>
      <c r="AB37" s="25">
        <v>24</v>
      </c>
      <c r="AC37" s="26">
        <v>16</v>
      </c>
      <c r="AD37" s="25">
        <v>24</v>
      </c>
      <c r="AE37" s="26">
        <v>10</v>
      </c>
      <c r="AF37" s="25">
        <v>2</v>
      </c>
      <c r="AG37" s="26">
        <v>2</v>
      </c>
      <c r="AH37" s="25">
        <v>0</v>
      </c>
      <c r="AI37" s="26">
        <v>0</v>
      </c>
      <c r="AJ37" s="25">
        <v>0</v>
      </c>
      <c r="AK37" s="43">
        <v>0</v>
      </c>
      <c r="AL37" s="173">
        <v>3</v>
      </c>
      <c r="AM37" s="364">
        <v>0.25</v>
      </c>
      <c r="AN37" s="144">
        <v>1</v>
      </c>
      <c r="AO37" s="144">
        <v>8</v>
      </c>
      <c r="AP37" s="144">
        <v>1</v>
      </c>
      <c r="AQ37" s="144">
        <v>8</v>
      </c>
      <c r="AR37" s="365">
        <v>0.66666666666666663</v>
      </c>
      <c r="AS37" s="144">
        <v>4</v>
      </c>
      <c r="AT37" s="5">
        <v>6</v>
      </c>
      <c r="AU37" s="372">
        <v>0.66666666666666663</v>
      </c>
      <c r="AV37" s="5">
        <v>0</v>
      </c>
      <c r="AW37" s="5">
        <v>1</v>
      </c>
      <c r="AX37" s="5">
        <v>2</v>
      </c>
      <c r="AY37" s="5">
        <v>3</v>
      </c>
      <c r="AZ37" s="372">
        <v>0.33333333333333331</v>
      </c>
      <c r="BA37" s="57">
        <v>6</v>
      </c>
      <c r="BB37" s="393">
        <v>1</v>
      </c>
      <c r="BC37" s="394">
        <v>0</v>
      </c>
      <c r="BD37" s="395">
        <v>0</v>
      </c>
      <c r="BE37" s="396">
        <v>0</v>
      </c>
    </row>
    <row r="38" spans="1:57" x14ac:dyDescent="0.25">
      <c r="A38" s="329">
        <v>45898</v>
      </c>
      <c r="B38" s="5">
        <v>3</v>
      </c>
      <c r="C38" s="5" t="s">
        <v>145</v>
      </c>
      <c r="D38" s="425">
        <v>3</v>
      </c>
      <c r="E38" s="425">
        <v>0</v>
      </c>
      <c r="F38" s="5" t="s">
        <v>161</v>
      </c>
      <c r="H38" s="42">
        <v>58</v>
      </c>
      <c r="I38" s="26">
        <v>42</v>
      </c>
      <c r="J38" s="33">
        <v>1.08</v>
      </c>
      <c r="K38" s="34">
        <v>0.74</v>
      </c>
      <c r="L38" s="25">
        <v>3</v>
      </c>
      <c r="M38" s="26">
        <v>1</v>
      </c>
      <c r="N38" s="25">
        <v>7</v>
      </c>
      <c r="O38" s="26">
        <v>11</v>
      </c>
      <c r="P38" s="25">
        <v>1</v>
      </c>
      <c r="Q38" s="26">
        <v>1</v>
      </c>
      <c r="R38" s="25">
        <v>0</v>
      </c>
      <c r="S38" s="26">
        <v>0</v>
      </c>
      <c r="T38" s="33">
        <v>0.35</v>
      </c>
      <c r="U38" s="34">
        <v>-1.6</v>
      </c>
      <c r="V38" s="25">
        <v>8</v>
      </c>
      <c r="W38" s="26">
        <v>6</v>
      </c>
      <c r="X38" s="25">
        <v>18</v>
      </c>
      <c r="Y38" s="26">
        <v>7</v>
      </c>
      <c r="Z38" s="25">
        <v>408</v>
      </c>
      <c r="AA38" s="26">
        <v>296</v>
      </c>
      <c r="AB38" s="25">
        <v>12</v>
      </c>
      <c r="AC38" s="26">
        <v>16</v>
      </c>
      <c r="AD38" s="25">
        <v>7</v>
      </c>
      <c r="AE38" s="26">
        <v>18</v>
      </c>
      <c r="AF38" s="25">
        <v>2</v>
      </c>
      <c r="AG38" s="26">
        <v>0</v>
      </c>
      <c r="AH38" s="25">
        <v>0</v>
      </c>
      <c r="AI38" s="26">
        <v>0</v>
      </c>
      <c r="AJ38" s="25">
        <v>0</v>
      </c>
      <c r="AK38" s="43">
        <v>0</v>
      </c>
      <c r="AL38" s="173">
        <v>4</v>
      </c>
      <c r="AM38" s="364">
        <v>0.5714285714285714</v>
      </c>
      <c r="AN38" s="144">
        <v>0</v>
      </c>
      <c r="AO38" s="144">
        <v>1</v>
      </c>
      <c r="AP38" s="144">
        <v>2</v>
      </c>
      <c r="AQ38" s="144">
        <v>5</v>
      </c>
      <c r="AR38" s="365">
        <v>0.7142857142857143</v>
      </c>
      <c r="AS38" s="144">
        <v>2</v>
      </c>
      <c r="AT38" s="5">
        <v>1</v>
      </c>
      <c r="AU38" s="372">
        <v>9.0909090909090912E-2</v>
      </c>
      <c r="AV38" s="5">
        <v>1</v>
      </c>
      <c r="AW38" s="5">
        <v>6</v>
      </c>
      <c r="AX38" s="5">
        <v>4</v>
      </c>
      <c r="AY38" s="5">
        <v>7</v>
      </c>
      <c r="AZ38" s="372">
        <v>0.63636363636363635</v>
      </c>
      <c r="BA38" s="57">
        <v>4</v>
      </c>
      <c r="BB38" s="393">
        <v>0</v>
      </c>
      <c r="BC38" s="394">
        <v>0</v>
      </c>
      <c r="BD38" s="395">
        <v>0</v>
      </c>
      <c r="BE38" s="396">
        <v>0</v>
      </c>
    </row>
    <row r="39" spans="1:57" x14ac:dyDescent="0.25">
      <c r="A39" s="329">
        <v>45921</v>
      </c>
      <c r="B39" s="5">
        <v>5</v>
      </c>
      <c r="C39" s="5" t="s">
        <v>113</v>
      </c>
      <c r="D39" s="425">
        <v>3</v>
      </c>
      <c r="E39" s="425">
        <v>0</v>
      </c>
      <c r="F39" s="5" t="s">
        <v>161</v>
      </c>
      <c r="H39" s="42">
        <v>71</v>
      </c>
      <c r="I39" s="26">
        <v>29</v>
      </c>
      <c r="J39" s="33">
        <v>1.97</v>
      </c>
      <c r="K39" s="34">
        <v>0.27</v>
      </c>
      <c r="L39" s="25">
        <v>5</v>
      </c>
      <c r="M39" s="26">
        <v>0</v>
      </c>
      <c r="N39" s="25">
        <v>16</v>
      </c>
      <c r="O39" s="26">
        <v>3</v>
      </c>
      <c r="P39" s="25">
        <v>2</v>
      </c>
      <c r="Q39" s="26">
        <v>4</v>
      </c>
      <c r="R39" s="25">
        <v>0</v>
      </c>
      <c r="S39" s="26">
        <v>0</v>
      </c>
      <c r="T39" s="33">
        <v>0.14000000000000001</v>
      </c>
      <c r="U39" s="34">
        <v>0.31</v>
      </c>
      <c r="V39" s="25">
        <v>3</v>
      </c>
      <c r="W39" s="26">
        <v>2</v>
      </c>
      <c r="X39" s="25">
        <v>9</v>
      </c>
      <c r="Y39" s="26">
        <v>16</v>
      </c>
      <c r="Z39" s="25">
        <v>738</v>
      </c>
      <c r="AA39" s="26">
        <v>300</v>
      </c>
      <c r="AB39" s="25">
        <v>12</v>
      </c>
      <c r="AC39" s="26">
        <v>22</v>
      </c>
      <c r="AD39" s="25">
        <v>16</v>
      </c>
      <c r="AE39" s="26">
        <v>9</v>
      </c>
      <c r="AF39" s="25">
        <v>2</v>
      </c>
      <c r="AG39" s="26">
        <v>4</v>
      </c>
      <c r="AH39" s="25">
        <v>0</v>
      </c>
      <c r="AI39" s="26">
        <v>0</v>
      </c>
      <c r="AJ39" s="25">
        <v>0</v>
      </c>
      <c r="AK39" s="43">
        <v>0</v>
      </c>
      <c r="AL39" s="173">
        <v>7</v>
      </c>
      <c r="AM39" s="364">
        <v>0.4375</v>
      </c>
      <c r="AN39" s="144">
        <v>1</v>
      </c>
      <c r="AO39" s="144">
        <v>7</v>
      </c>
      <c r="AP39" s="144">
        <v>2</v>
      </c>
      <c r="AQ39" s="144">
        <v>10</v>
      </c>
      <c r="AR39" s="365">
        <v>0.625</v>
      </c>
      <c r="AS39" s="144">
        <v>6</v>
      </c>
      <c r="AT39" s="5">
        <v>2</v>
      </c>
      <c r="AU39" s="372">
        <v>0.66666666666666663</v>
      </c>
      <c r="AV39" s="5">
        <v>0</v>
      </c>
      <c r="AW39" s="5">
        <v>1</v>
      </c>
      <c r="AX39" s="5">
        <v>0</v>
      </c>
      <c r="AY39" s="5">
        <v>3</v>
      </c>
      <c r="AZ39" s="372">
        <v>1</v>
      </c>
      <c r="BA39" s="57">
        <v>0</v>
      </c>
      <c r="BB39" s="393">
        <v>0</v>
      </c>
      <c r="BC39" s="394">
        <v>0</v>
      </c>
      <c r="BD39" s="395">
        <v>0</v>
      </c>
      <c r="BE39" s="396">
        <v>0</v>
      </c>
    </row>
    <row r="40" spans="1:57" x14ac:dyDescent="0.25">
      <c r="A40" s="329">
        <v>45933</v>
      </c>
      <c r="B40" s="5">
        <v>8</v>
      </c>
      <c r="C40" s="5" t="s">
        <v>227</v>
      </c>
      <c r="D40" s="425">
        <v>2</v>
      </c>
      <c r="E40" s="425">
        <v>1</v>
      </c>
      <c r="F40" s="5" t="s">
        <v>161</v>
      </c>
      <c r="H40" s="42">
        <v>58</v>
      </c>
      <c r="I40" s="26">
        <v>42</v>
      </c>
      <c r="J40" s="33">
        <v>0.43</v>
      </c>
      <c r="K40" s="34">
        <v>0.86</v>
      </c>
      <c r="L40" s="25">
        <v>1</v>
      </c>
      <c r="M40" s="26">
        <v>2</v>
      </c>
      <c r="N40" s="25">
        <v>7</v>
      </c>
      <c r="O40" s="26">
        <v>6</v>
      </c>
      <c r="P40" s="25">
        <v>1</v>
      </c>
      <c r="Q40" s="26">
        <v>2</v>
      </c>
      <c r="R40" s="25">
        <v>0</v>
      </c>
      <c r="S40" s="26">
        <v>1</v>
      </c>
      <c r="T40" s="33">
        <v>-0.56999999999999995</v>
      </c>
      <c r="U40" s="34">
        <v>-0.35</v>
      </c>
      <c r="V40" s="25">
        <v>1</v>
      </c>
      <c r="W40" s="26">
        <v>6</v>
      </c>
      <c r="X40" s="25">
        <v>11</v>
      </c>
      <c r="Y40" s="26">
        <v>14</v>
      </c>
      <c r="Z40" s="25">
        <v>438</v>
      </c>
      <c r="AA40" s="26">
        <v>318</v>
      </c>
      <c r="AB40" s="25">
        <v>9</v>
      </c>
      <c r="AC40" s="26">
        <v>15</v>
      </c>
      <c r="AD40" s="25">
        <v>14</v>
      </c>
      <c r="AE40" s="26">
        <v>11</v>
      </c>
      <c r="AF40" s="25">
        <v>1</v>
      </c>
      <c r="AG40" s="26">
        <v>4</v>
      </c>
      <c r="AH40" s="25">
        <v>0</v>
      </c>
      <c r="AI40" s="26">
        <v>0</v>
      </c>
      <c r="AJ40" s="25">
        <v>0</v>
      </c>
      <c r="AK40" s="43">
        <v>0</v>
      </c>
      <c r="AL40" s="173">
        <v>3</v>
      </c>
      <c r="AM40" s="364">
        <v>0.42857142857142855</v>
      </c>
      <c r="AN40" s="144">
        <v>0</v>
      </c>
      <c r="AO40" s="144">
        <v>4</v>
      </c>
      <c r="AP40" s="144">
        <v>6</v>
      </c>
      <c r="AQ40" s="144">
        <v>6</v>
      </c>
      <c r="AR40" s="365">
        <v>0.8571428571428571</v>
      </c>
      <c r="AS40" s="144">
        <v>1</v>
      </c>
      <c r="AT40" s="5">
        <v>2</v>
      </c>
      <c r="AU40" s="372">
        <v>0.33333333333333331</v>
      </c>
      <c r="AV40" s="5">
        <v>0</v>
      </c>
      <c r="AW40" s="5">
        <v>3</v>
      </c>
      <c r="AX40" s="5">
        <v>1</v>
      </c>
      <c r="AY40" s="5">
        <v>6</v>
      </c>
      <c r="AZ40" s="372">
        <v>1</v>
      </c>
      <c r="BA40" s="57">
        <v>0</v>
      </c>
      <c r="BB40" s="393">
        <v>0</v>
      </c>
      <c r="BC40" s="394">
        <v>0</v>
      </c>
      <c r="BD40" s="395">
        <v>0</v>
      </c>
      <c r="BE40" s="396">
        <v>0</v>
      </c>
    </row>
    <row r="41" spans="1:57" x14ac:dyDescent="0.25">
      <c r="A41" s="400">
        <v>45955</v>
      </c>
      <c r="B41" s="401">
        <v>10</v>
      </c>
      <c r="C41" s="401" t="s">
        <v>170</v>
      </c>
      <c r="D41" s="429">
        <f>AVERAGE(D31:D40)</f>
        <v>1.6</v>
      </c>
      <c r="E41" s="429">
        <f>AVERAGE(E31:E40)</f>
        <v>1</v>
      </c>
      <c r="F41" s="401" t="s">
        <v>161</v>
      </c>
      <c r="G41" s="402"/>
      <c r="H41" s="403">
        <f t="shared" ref="H41:AM41" si="6">AVERAGE(H31:H40)</f>
        <v>59.1</v>
      </c>
      <c r="I41" s="401">
        <f t="shared" si="6"/>
        <v>40.9</v>
      </c>
      <c r="J41" s="411">
        <f t="shared" si="6"/>
        <v>1.371</v>
      </c>
      <c r="K41" s="404">
        <f t="shared" si="6"/>
        <v>0.65000000000000013</v>
      </c>
      <c r="L41" s="412">
        <f t="shared" si="6"/>
        <v>2.2999999999999998</v>
      </c>
      <c r="M41" s="401">
        <f t="shared" si="6"/>
        <v>1.2</v>
      </c>
      <c r="N41" s="401">
        <f t="shared" si="6"/>
        <v>12.5</v>
      </c>
      <c r="O41" s="401">
        <f t="shared" si="6"/>
        <v>7.3</v>
      </c>
      <c r="P41" s="401">
        <f t="shared" si="6"/>
        <v>1.9</v>
      </c>
      <c r="Q41" s="401">
        <f t="shared" si="6"/>
        <v>2.7</v>
      </c>
      <c r="R41" s="401">
        <f t="shared" si="6"/>
        <v>0</v>
      </c>
      <c r="S41" s="401">
        <f t="shared" si="6"/>
        <v>0.6</v>
      </c>
      <c r="T41" s="404">
        <f t="shared" si="6"/>
        <v>-0.28399999999999992</v>
      </c>
      <c r="U41" s="404">
        <f t="shared" si="6"/>
        <v>-0.11900000000000004</v>
      </c>
      <c r="V41" s="401">
        <f t="shared" si="6"/>
        <v>6</v>
      </c>
      <c r="W41" s="401">
        <f t="shared" si="6"/>
        <v>3.6</v>
      </c>
      <c r="X41" s="401">
        <f t="shared" si="6"/>
        <v>13.6</v>
      </c>
      <c r="Y41" s="401">
        <f t="shared" si="6"/>
        <v>15.2</v>
      </c>
      <c r="Z41" s="401">
        <f t="shared" si="6"/>
        <v>491.2</v>
      </c>
      <c r="AA41" s="401">
        <f t="shared" si="6"/>
        <v>343.8</v>
      </c>
      <c r="AB41" s="401">
        <f t="shared" si="6"/>
        <v>15.1</v>
      </c>
      <c r="AC41" s="401">
        <f t="shared" si="6"/>
        <v>17.2</v>
      </c>
      <c r="AD41" s="401">
        <f t="shared" si="6"/>
        <v>14.9</v>
      </c>
      <c r="AE41" s="401">
        <f t="shared" si="6"/>
        <v>13.6</v>
      </c>
      <c r="AF41" s="401">
        <f t="shared" si="6"/>
        <v>1.6</v>
      </c>
      <c r="AG41" s="401">
        <f t="shared" si="6"/>
        <v>3</v>
      </c>
      <c r="AH41" s="401">
        <f t="shared" si="6"/>
        <v>0</v>
      </c>
      <c r="AI41" s="401">
        <f t="shared" si="6"/>
        <v>0.1</v>
      </c>
      <c r="AJ41" s="401">
        <f t="shared" si="6"/>
        <v>0.20999999999999996</v>
      </c>
      <c r="AK41" s="405">
        <f t="shared" si="6"/>
        <v>0</v>
      </c>
      <c r="AL41" s="403">
        <f t="shared" si="6"/>
        <v>4</v>
      </c>
      <c r="AM41" s="414">
        <f t="shared" si="6"/>
        <v>0.33600447754859519</v>
      </c>
      <c r="AN41" s="401">
        <f t="shared" ref="AN41:BS41" si="7">AVERAGE(AN31:AN40)</f>
        <v>0.3</v>
      </c>
      <c r="AO41" s="401">
        <f t="shared" si="7"/>
        <v>4.5999999999999996</v>
      </c>
      <c r="AP41" s="401">
        <f t="shared" si="7"/>
        <v>4.5</v>
      </c>
      <c r="AQ41" s="401">
        <f t="shared" si="7"/>
        <v>8.1999999999999993</v>
      </c>
      <c r="AR41" s="415">
        <f t="shared" si="7"/>
        <v>0.66112278244631173</v>
      </c>
      <c r="AS41" s="401">
        <f t="shared" si="7"/>
        <v>4.3</v>
      </c>
      <c r="AT41" s="412">
        <f t="shared" si="7"/>
        <v>2.8</v>
      </c>
      <c r="AU41" s="415">
        <f t="shared" si="7"/>
        <v>0.40575757575757565</v>
      </c>
      <c r="AV41" s="401">
        <f t="shared" si="7"/>
        <v>0.1</v>
      </c>
      <c r="AW41" s="401">
        <f t="shared" si="7"/>
        <v>2.8</v>
      </c>
      <c r="AX41" s="401">
        <f t="shared" si="7"/>
        <v>1.7</v>
      </c>
      <c r="AY41" s="401">
        <f t="shared" si="7"/>
        <v>4.3</v>
      </c>
      <c r="AZ41" s="407">
        <f t="shared" si="7"/>
        <v>0.57363636363636361</v>
      </c>
      <c r="BA41" s="405">
        <f t="shared" si="7"/>
        <v>3</v>
      </c>
      <c r="BB41" s="397">
        <f t="shared" si="7"/>
        <v>0.5</v>
      </c>
      <c r="BC41" s="398">
        <f t="shared" si="7"/>
        <v>0.1</v>
      </c>
      <c r="BD41" s="398">
        <f t="shared" si="7"/>
        <v>0.4</v>
      </c>
      <c r="BE41" s="399">
        <f t="shared" si="7"/>
        <v>0.1</v>
      </c>
    </row>
    <row r="42" spans="1:57" x14ac:dyDescent="0.25">
      <c r="A42" s="329">
        <v>45885</v>
      </c>
      <c r="B42" s="5">
        <v>1</v>
      </c>
      <c r="C42" s="5" t="s">
        <v>145</v>
      </c>
      <c r="D42" s="424">
        <v>1</v>
      </c>
      <c r="E42" s="424">
        <v>1</v>
      </c>
      <c r="F42" s="5" t="s">
        <v>146</v>
      </c>
      <c r="H42" s="42">
        <v>54</v>
      </c>
      <c r="I42" s="26">
        <v>46</v>
      </c>
      <c r="J42" s="33">
        <v>2.04</v>
      </c>
      <c r="K42" s="34">
        <v>0.81</v>
      </c>
      <c r="L42" s="25">
        <v>2</v>
      </c>
      <c r="M42" s="26">
        <v>1</v>
      </c>
      <c r="N42" s="25">
        <v>18</v>
      </c>
      <c r="O42" s="26">
        <v>13</v>
      </c>
      <c r="P42" s="25">
        <v>2</v>
      </c>
      <c r="Q42" s="26">
        <v>1</v>
      </c>
      <c r="R42" s="25">
        <v>0</v>
      </c>
      <c r="S42" s="26">
        <v>0</v>
      </c>
      <c r="T42" s="33">
        <v>-0.44</v>
      </c>
      <c r="U42" s="34">
        <v>-0.48</v>
      </c>
      <c r="V42" s="25">
        <v>8</v>
      </c>
      <c r="W42" s="26">
        <v>7</v>
      </c>
      <c r="X42" s="25">
        <v>5</v>
      </c>
      <c r="Y42" s="26">
        <v>11</v>
      </c>
      <c r="Z42" s="25">
        <v>395</v>
      </c>
      <c r="AA42" s="26">
        <v>340</v>
      </c>
      <c r="AB42" s="25">
        <v>12</v>
      </c>
      <c r="AC42" s="26">
        <v>19</v>
      </c>
      <c r="AD42" s="25">
        <v>11</v>
      </c>
      <c r="AE42" s="26">
        <v>5</v>
      </c>
      <c r="AF42" s="25">
        <v>1</v>
      </c>
      <c r="AG42" s="26">
        <v>2</v>
      </c>
      <c r="AH42" s="25">
        <v>0</v>
      </c>
      <c r="AI42" s="26">
        <v>0</v>
      </c>
      <c r="AJ42" s="25">
        <v>0</v>
      </c>
      <c r="AK42" s="43">
        <v>0</v>
      </c>
      <c r="AL42" s="173">
        <v>2</v>
      </c>
      <c r="AM42" s="364">
        <v>0.1111111111111111</v>
      </c>
      <c r="AN42" s="144">
        <v>0</v>
      </c>
      <c r="AO42" s="144">
        <v>7</v>
      </c>
      <c r="AP42" s="144">
        <v>9</v>
      </c>
      <c r="AQ42" s="144">
        <v>11</v>
      </c>
      <c r="AR42" s="365">
        <v>0.61111111111111116</v>
      </c>
      <c r="AS42" s="144">
        <v>7</v>
      </c>
      <c r="AT42" s="5">
        <v>3</v>
      </c>
      <c r="AU42" s="372">
        <v>0.23076923076923078</v>
      </c>
      <c r="AV42" s="5">
        <v>0</v>
      </c>
      <c r="AW42" s="5">
        <v>7</v>
      </c>
      <c r="AX42" s="5">
        <v>3</v>
      </c>
      <c r="AY42" s="5">
        <v>6</v>
      </c>
      <c r="AZ42" s="372">
        <v>0.46153846153846156</v>
      </c>
      <c r="BA42" s="57">
        <v>7</v>
      </c>
      <c r="BB42" s="393">
        <v>0</v>
      </c>
      <c r="BC42" s="394">
        <v>0</v>
      </c>
      <c r="BD42" s="395">
        <v>0</v>
      </c>
      <c r="BE42" s="396">
        <v>0</v>
      </c>
    </row>
    <row r="43" spans="1:57" x14ac:dyDescent="0.25">
      <c r="A43" s="329">
        <v>45898</v>
      </c>
      <c r="B43" s="5">
        <v>3</v>
      </c>
      <c r="C43" s="5" t="s">
        <v>145</v>
      </c>
      <c r="D43" s="426">
        <v>3</v>
      </c>
      <c r="E43" s="426">
        <v>0</v>
      </c>
      <c r="F43" s="5" t="s">
        <v>161</v>
      </c>
      <c r="H43" s="42">
        <v>58</v>
      </c>
      <c r="I43" s="26">
        <v>42</v>
      </c>
      <c r="J43" s="33">
        <v>1.08</v>
      </c>
      <c r="K43" s="34">
        <v>0.74</v>
      </c>
      <c r="L43" s="25">
        <v>3</v>
      </c>
      <c r="M43" s="26">
        <v>1</v>
      </c>
      <c r="N43" s="25">
        <v>7</v>
      </c>
      <c r="O43" s="26">
        <v>11</v>
      </c>
      <c r="P43" s="25">
        <v>1</v>
      </c>
      <c r="Q43" s="26">
        <v>1</v>
      </c>
      <c r="R43" s="25">
        <v>0</v>
      </c>
      <c r="S43" s="26">
        <v>0</v>
      </c>
      <c r="T43" s="33">
        <v>0.35</v>
      </c>
      <c r="U43" s="34">
        <v>-1.6</v>
      </c>
      <c r="V43" s="25">
        <v>8</v>
      </c>
      <c r="W43" s="26">
        <v>6</v>
      </c>
      <c r="X43" s="25">
        <v>18</v>
      </c>
      <c r="Y43" s="26">
        <v>7</v>
      </c>
      <c r="Z43" s="25">
        <v>408</v>
      </c>
      <c r="AA43" s="26">
        <v>296</v>
      </c>
      <c r="AB43" s="25">
        <v>12</v>
      </c>
      <c r="AC43" s="26">
        <v>16</v>
      </c>
      <c r="AD43" s="25">
        <v>7</v>
      </c>
      <c r="AE43" s="26">
        <v>18</v>
      </c>
      <c r="AF43" s="25">
        <v>2</v>
      </c>
      <c r="AG43" s="26">
        <v>0</v>
      </c>
      <c r="AH43" s="25">
        <v>0</v>
      </c>
      <c r="AI43" s="26">
        <v>0</v>
      </c>
      <c r="AJ43" s="25">
        <v>0</v>
      </c>
      <c r="AK43" s="43">
        <v>0</v>
      </c>
      <c r="AL43" s="173">
        <v>4</v>
      </c>
      <c r="AM43" s="364">
        <v>0.5714285714285714</v>
      </c>
      <c r="AN43" s="144">
        <v>0</v>
      </c>
      <c r="AO43" s="144">
        <v>1</v>
      </c>
      <c r="AP43" s="144">
        <v>2</v>
      </c>
      <c r="AQ43" s="144">
        <v>5</v>
      </c>
      <c r="AR43" s="365">
        <v>0.7142857142857143</v>
      </c>
      <c r="AS43" s="144">
        <v>2</v>
      </c>
      <c r="AT43" s="5">
        <v>1</v>
      </c>
      <c r="AU43" s="372">
        <v>9.0909090909090912E-2</v>
      </c>
      <c r="AV43" s="5">
        <v>1</v>
      </c>
      <c r="AW43" s="5">
        <v>6</v>
      </c>
      <c r="AX43" s="5">
        <v>4</v>
      </c>
      <c r="AY43" s="5">
        <v>7</v>
      </c>
      <c r="AZ43" s="372">
        <v>0.63636363636363635</v>
      </c>
      <c r="BA43" s="57">
        <v>4</v>
      </c>
      <c r="BB43" s="393">
        <v>0</v>
      </c>
      <c r="BC43" s="394">
        <v>0</v>
      </c>
      <c r="BD43" s="395">
        <v>0</v>
      </c>
      <c r="BE43" s="396">
        <v>0</v>
      </c>
    </row>
    <row r="44" spans="1:57" x14ac:dyDescent="0.25">
      <c r="A44" s="329">
        <v>45920</v>
      </c>
      <c r="B44" s="5">
        <v>5</v>
      </c>
      <c r="C44" s="5" t="s">
        <v>145</v>
      </c>
      <c r="D44" s="426">
        <v>2</v>
      </c>
      <c r="E44" s="426">
        <v>0</v>
      </c>
      <c r="F44" s="26" t="s">
        <v>170</v>
      </c>
      <c r="G44" s="242" t="s">
        <v>455</v>
      </c>
      <c r="H44" s="42">
        <v>44</v>
      </c>
      <c r="I44" s="26">
        <v>56</v>
      </c>
      <c r="J44" s="33">
        <v>1.88</v>
      </c>
      <c r="K44" s="34">
        <v>0.49</v>
      </c>
      <c r="L44" s="25">
        <v>4</v>
      </c>
      <c r="M44" s="26">
        <v>0</v>
      </c>
      <c r="N44" s="25">
        <v>13</v>
      </c>
      <c r="O44" s="26">
        <v>11</v>
      </c>
      <c r="P44" s="25">
        <v>6</v>
      </c>
      <c r="Q44" s="26">
        <v>3</v>
      </c>
      <c r="R44" s="25">
        <v>2</v>
      </c>
      <c r="S44" s="26">
        <v>1</v>
      </c>
      <c r="T44" s="33">
        <v>0.64</v>
      </c>
      <c r="U44" s="34">
        <v>0.47</v>
      </c>
      <c r="V44" s="25">
        <v>5</v>
      </c>
      <c r="W44" s="26">
        <v>6</v>
      </c>
      <c r="X44" s="25">
        <v>13</v>
      </c>
      <c r="Y44" s="26">
        <v>6</v>
      </c>
      <c r="Z44" s="25">
        <v>378</v>
      </c>
      <c r="AA44" s="26">
        <v>486</v>
      </c>
      <c r="AB44" s="25">
        <v>20</v>
      </c>
      <c r="AC44" s="26">
        <v>14</v>
      </c>
      <c r="AD44" s="25">
        <v>6</v>
      </c>
      <c r="AE44" s="26">
        <v>13</v>
      </c>
      <c r="AF44" s="25">
        <v>1</v>
      </c>
      <c r="AG44" s="26">
        <v>1</v>
      </c>
      <c r="AH44" s="25">
        <v>0</v>
      </c>
      <c r="AI44" s="26">
        <v>1</v>
      </c>
      <c r="AJ44" s="25">
        <v>0</v>
      </c>
      <c r="AK44" s="43">
        <v>0</v>
      </c>
      <c r="AL44" s="173">
        <v>5</v>
      </c>
      <c r="AM44" s="364">
        <v>0.38461538461538464</v>
      </c>
      <c r="AN44" s="144">
        <v>0</v>
      </c>
      <c r="AO44" s="144">
        <v>6</v>
      </c>
      <c r="AP44" s="144">
        <v>2</v>
      </c>
      <c r="AQ44" s="144">
        <v>10</v>
      </c>
      <c r="AR44" s="365">
        <v>0.76923076923076927</v>
      </c>
      <c r="AS44" s="144">
        <v>3</v>
      </c>
      <c r="AT44" s="5">
        <v>5</v>
      </c>
      <c r="AU44" s="372">
        <v>0.45454545454545453</v>
      </c>
      <c r="AV44" s="5">
        <v>0</v>
      </c>
      <c r="AW44" s="5">
        <v>2</v>
      </c>
      <c r="AX44" s="5">
        <v>4</v>
      </c>
      <c r="AY44" s="5">
        <v>7</v>
      </c>
      <c r="AZ44" s="372">
        <v>0.63636363636363635</v>
      </c>
      <c r="BA44" s="57">
        <v>4</v>
      </c>
      <c r="BB44" s="393">
        <v>0</v>
      </c>
      <c r="BC44" s="394">
        <v>0</v>
      </c>
      <c r="BD44" s="395">
        <v>0</v>
      </c>
      <c r="BE44" s="396">
        <v>0</v>
      </c>
    </row>
    <row r="45" spans="1:57" ht="15.75" thickBot="1" x14ac:dyDescent="0.3">
      <c r="A45" s="330">
        <v>45929</v>
      </c>
      <c r="B45" s="9">
        <v>7</v>
      </c>
      <c r="C45" s="9" t="s">
        <v>145</v>
      </c>
      <c r="D45" s="427">
        <v>1</v>
      </c>
      <c r="E45" s="427">
        <v>2</v>
      </c>
      <c r="F45" s="74" t="s">
        <v>92</v>
      </c>
      <c r="G45" s="445" t="s">
        <v>543</v>
      </c>
      <c r="H45" s="384">
        <v>57</v>
      </c>
      <c r="I45" s="74">
        <v>43</v>
      </c>
      <c r="J45" s="385">
        <v>1.51</v>
      </c>
      <c r="K45" s="386">
        <v>0.77</v>
      </c>
      <c r="L45" s="387">
        <v>3</v>
      </c>
      <c r="M45" s="74">
        <v>1</v>
      </c>
      <c r="N45" s="387">
        <v>16</v>
      </c>
      <c r="O45" s="74">
        <v>10</v>
      </c>
      <c r="P45" s="387">
        <v>2</v>
      </c>
      <c r="Q45" s="74">
        <v>4</v>
      </c>
      <c r="R45" s="387">
        <v>1</v>
      </c>
      <c r="S45" s="74">
        <v>1</v>
      </c>
      <c r="T45" s="385">
        <v>-0.54</v>
      </c>
      <c r="U45" s="386">
        <v>0.6</v>
      </c>
      <c r="V45" s="387">
        <v>5</v>
      </c>
      <c r="W45" s="74">
        <v>4</v>
      </c>
      <c r="X45" s="387">
        <v>14</v>
      </c>
      <c r="Y45" s="74">
        <v>12</v>
      </c>
      <c r="Z45" s="387">
        <v>541</v>
      </c>
      <c r="AA45" s="74">
        <v>414</v>
      </c>
      <c r="AB45" s="387">
        <v>10</v>
      </c>
      <c r="AC45" s="74">
        <v>17</v>
      </c>
      <c r="AD45" s="387">
        <v>11</v>
      </c>
      <c r="AE45" s="74">
        <v>14</v>
      </c>
      <c r="AF45" s="387">
        <v>1</v>
      </c>
      <c r="AG45" s="74">
        <v>4</v>
      </c>
      <c r="AH45" s="387">
        <v>0</v>
      </c>
      <c r="AI45" s="74">
        <v>1</v>
      </c>
      <c r="AJ45" s="387">
        <v>0.7</v>
      </c>
      <c r="AK45" s="76">
        <v>0</v>
      </c>
      <c r="AL45" s="177">
        <v>5</v>
      </c>
      <c r="AM45" s="388">
        <v>0.3125</v>
      </c>
      <c r="AN45" s="152">
        <v>0</v>
      </c>
      <c r="AO45" s="152">
        <v>8</v>
      </c>
      <c r="AP45" s="152">
        <v>3</v>
      </c>
      <c r="AQ45" s="152">
        <v>12</v>
      </c>
      <c r="AR45" s="389">
        <v>0.75</v>
      </c>
      <c r="AS45" s="152">
        <v>4</v>
      </c>
      <c r="AT45" s="9">
        <v>4</v>
      </c>
      <c r="AU45" s="390">
        <v>0.4</v>
      </c>
      <c r="AV45" s="9">
        <v>0</v>
      </c>
      <c r="AW45" s="9">
        <v>3</v>
      </c>
      <c r="AX45" s="9">
        <v>3</v>
      </c>
      <c r="AY45" s="9">
        <v>5</v>
      </c>
      <c r="AZ45" s="390">
        <v>0.5</v>
      </c>
      <c r="BA45" s="58">
        <v>5</v>
      </c>
      <c r="BB45" s="420">
        <v>0</v>
      </c>
      <c r="BC45" s="421">
        <v>0</v>
      </c>
      <c r="BD45" s="422">
        <v>1</v>
      </c>
      <c r="BE45" s="423">
        <v>0</v>
      </c>
    </row>
    <row r="46" spans="1:57" x14ac:dyDescent="0.25">
      <c r="A46" s="331">
        <v>45900</v>
      </c>
      <c r="B46" s="13">
        <v>3</v>
      </c>
      <c r="C46" s="13" t="s">
        <v>456</v>
      </c>
      <c r="D46" s="440">
        <v>1</v>
      </c>
      <c r="E46" s="440">
        <v>1</v>
      </c>
      <c r="F46" s="13" t="s">
        <v>91</v>
      </c>
      <c r="G46" s="47"/>
      <c r="H46" s="376">
        <v>65</v>
      </c>
      <c r="I46" s="79">
        <v>35</v>
      </c>
      <c r="J46" s="377">
        <v>0.96</v>
      </c>
      <c r="K46" s="378">
        <v>1.04</v>
      </c>
      <c r="L46" s="379">
        <v>2</v>
      </c>
      <c r="M46" s="79">
        <v>1</v>
      </c>
      <c r="N46" s="379">
        <v>10</v>
      </c>
      <c r="O46" s="79">
        <v>8</v>
      </c>
      <c r="P46" s="379">
        <v>2</v>
      </c>
      <c r="Q46" s="79">
        <v>2</v>
      </c>
      <c r="R46" s="379">
        <v>0</v>
      </c>
      <c r="S46" s="79">
        <v>0</v>
      </c>
      <c r="T46" s="377">
        <v>-0.1</v>
      </c>
      <c r="U46" s="378">
        <v>-0.3</v>
      </c>
      <c r="V46" s="379">
        <v>1</v>
      </c>
      <c r="W46" s="79">
        <v>5</v>
      </c>
      <c r="X46" s="379">
        <v>11</v>
      </c>
      <c r="Y46" s="79">
        <v>8</v>
      </c>
      <c r="Z46" s="379">
        <v>742</v>
      </c>
      <c r="AA46" s="79">
        <v>394</v>
      </c>
      <c r="AB46" s="379">
        <v>19</v>
      </c>
      <c r="AC46" s="79">
        <v>28</v>
      </c>
      <c r="AD46" s="379">
        <v>8</v>
      </c>
      <c r="AE46" s="79">
        <v>11</v>
      </c>
      <c r="AF46" s="379">
        <v>1</v>
      </c>
      <c r="AG46" s="79">
        <v>1</v>
      </c>
      <c r="AH46" s="379">
        <v>0</v>
      </c>
      <c r="AI46" s="79">
        <v>0</v>
      </c>
      <c r="AJ46" s="379">
        <v>0</v>
      </c>
      <c r="AK46" s="80">
        <v>0</v>
      </c>
      <c r="AL46" s="169">
        <v>2</v>
      </c>
      <c r="AM46" s="380">
        <v>0.2</v>
      </c>
      <c r="AN46" s="160">
        <v>0</v>
      </c>
      <c r="AO46" s="160">
        <v>4</v>
      </c>
      <c r="AP46" s="160">
        <v>4</v>
      </c>
      <c r="AQ46" s="160">
        <v>6</v>
      </c>
      <c r="AR46" s="381">
        <v>0.6</v>
      </c>
      <c r="AS46" s="160">
        <v>4</v>
      </c>
      <c r="AT46" s="13">
        <v>3</v>
      </c>
      <c r="AU46" s="382">
        <v>0.375</v>
      </c>
      <c r="AV46" s="13">
        <v>0</v>
      </c>
      <c r="AW46" s="13">
        <v>4</v>
      </c>
      <c r="AX46" s="13">
        <v>1</v>
      </c>
      <c r="AY46" s="13">
        <v>5</v>
      </c>
      <c r="AZ46" s="382">
        <v>0.625</v>
      </c>
      <c r="BA46" s="60">
        <v>3</v>
      </c>
      <c r="BB46" s="416">
        <v>0</v>
      </c>
      <c r="BC46" s="417">
        <v>0</v>
      </c>
      <c r="BD46" s="418">
        <v>2</v>
      </c>
      <c r="BE46" s="419">
        <v>0</v>
      </c>
    </row>
    <row r="47" spans="1:57" x14ac:dyDescent="0.25">
      <c r="A47" s="329">
        <v>45913</v>
      </c>
      <c r="B47" s="5">
        <v>4</v>
      </c>
      <c r="C47" s="5" t="s">
        <v>193</v>
      </c>
      <c r="D47" s="425">
        <v>2</v>
      </c>
      <c r="E47" s="425">
        <v>0</v>
      </c>
      <c r="F47" s="5" t="s">
        <v>91</v>
      </c>
      <c r="H47" s="42">
        <v>61</v>
      </c>
      <c r="I47" s="26">
        <v>39</v>
      </c>
      <c r="J47" s="33">
        <v>1.01</v>
      </c>
      <c r="K47" s="34">
        <v>1.03</v>
      </c>
      <c r="L47" s="25">
        <v>3</v>
      </c>
      <c r="M47" s="26">
        <v>1</v>
      </c>
      <c r="N47" s="25">
        <v>8</v>
      </c>
      <c r="O47" s="26">
        <v>8</v>
      </c>
      <c r="P47" s="25">
        <v>1</v>
      </c>
      <c r="Q47" s="26">
        <v>1</v>
      </c>
      <c r="R47" s="25">
        <v>0</v>
      </c>
      <c r="S47" s="26">
        <v>0</v>
      </c>
      <c r="T47" s="33">
        <v>0.12</v>
      </c>
      <c r="U47" s="34">
        <v>-0.57999999999999996</v>
      </c>
      <c r="V47" s="25">
        <v>8</v>
      </c>
      <c r="W47" s="26">
        <v>3</v>
      </c>
      <c r="X47" s="25">
        <v>12</v>
      </c>
      <c r="Y47" s="26">
        <v>15</v>
      </c>
      <c r="Z47" s="25">
        <v>623</v>
      </c>
      <c r="AA47" s="26">
        <v>395</v>
      </c>
      <c r="AB47" s="25">
        <v>11</v>
      </c>
      <c r="AC47" s="26">
        <v>12</v>
      </c>
      <c r="AD47" s="25">
        <v>15</v>
      </c>
      <c r="AE47" s="26">
        <v>12</v>
      </c>
      <c r="AF47" s="25">
        <v>2</v>
      </c>
      <c r="AG47" s="26">
        <v>4</v>
      </c>
      <c r="AH47" s="25">
        <v>0</v>
      </c>
      <c r="AI47" s="26">
        <v>0</v>
      </c>
      <c r="AJ47" s="25">
        <v>0</v>
      </c>
      <c r="AK47" s="43">
        <v>0</v>
      </c>
      <c r="AL47" s="173">
        <v>3</v>
      </c>
      <c r="AM47" s="364">
        <v>0.375</v>
      </c>
      <c r="AN47" s="144">
        <v>0</v>
      </c>
      <c r="AO47" s="144">
        <v>3</v>
      </c>
      <c r="AP47" s="144">
        <v>2</v>
      </c>
      <c r="AQ47" s="144">
        <v>5</v>
      </c>
      <c r="AR47" s="365">
        <v>0.625</v>
      </c>
      <c r="AS47" s="144">
        <v>3</v>
      </c>
      <c r="AT47" s="5">
        <v>1</v>
      </c>
      <c r="AU47" s="372">
        <v>0.125</v>
      </c>
      <c r="AV47" s="5">
        <v>1</v>
      </c>
      <c r="AW47" s="5">
        <v>4</v>
      </c>
      <c r="AX47" s="5">
        <v>3</v>
      </c>
      <c r="AY47" s="5">
        <v>5</v>
      </c>
      <c r="AZ47" s="372">
        <v>0.625</v>
      </c>
      <c r="BA47" s="57">
        <v>3</v>
      </c>
      <c r="BB47" s="393">
        <v>1</v>
      </c>
      <c r="BC47" s="394">
        <v>0</v>
      </c>
      <c r="BD47" s="395">
        <v>0</v>
      </c>
      <c r="BE47" s="396">
        <v>1</v>
      </c>
    </row>
    <row r="48" spans="1:57" x14ac:dyDescent="0.25">
      <c r="A48" s="329">
        <v>45923</v>
      </c>
      <c r="B48" s="5">
        <v>6</v>
      </c>
      <c r="C48" s="5" t="s">
        <v>171</v>
      </c>
      <c r="D48" s="426">
        <v>1</v>
      </c>
      <c r="E48" s="426">
        <v>2</v>
      </c>
      <c r="F48" s="5" t="s">
        <v>91</v>
      </c>
      <c r="H48" s="42">
        <v>65</v>
      </c>
      <c r="I48" s="26">
        <v>35</v>
      </c>
      <c r="J48" s="33">
        <v>0.97</v>
      </c>
      <c r="K48" s="34">
        <v>1.95</v>
      </c>
      <c r="L48" s="25">
        <v>1</v>
      </c>
      <c r="M48" s="26">
        <v>6</v>
      </c>
      <c r="N48" s="25">
        <v>16</v>
      </c>
      <c r="O48" s="26">
        <v>12</v>
      </c>
      <c r="P48" s="25">
        <v>3</v>
      </c>
      <c r="Q48" s="26">
        <v>1</v>
      </c>
      <c r="R48" s="25">
        <v>0</v>
      </c>
      <c r="S48" s="26">
        <v>1</v>
      </c>
      <c r="T48" s="33">
        <v>-0.27</v>
      </c>
      <c r="U48" s="34">
        <v>-0.55000000000000004</v>
      </c>
      <c r="V48" s="25">
        <v>3</v>
      </c>
      <c r="W48" s="26">
        <v>3</v>
      </c>
      <c r="X48" s="25">
        <v>17</v>
      </c>
      <c r="Y48" s="26">
        <v>14</v>
      </c>
      <c r="Z48" s="25">
        <v>599</v>
      </c>
      <c r="AA48" s="26">
        <v>324</v>
      </c>
      <c r="AB48" s="25">
        <v>23</v>
      </c>
      <c r="AC48" s="26">
        <v>18</v>
      </c>
      <c r="AD48" s="25">
        <v>14</v>
      </c>
      <c r="AE48" s="26">
        <v>17</v>
      </c>
      <c r="AF48" s="25">
        <v>2</v>
      </c>
      <c r="AG48" s="26">
        <v>3</v>
      </c>
      <c r="AH48" s="25">
        <v>0</v>
      </c>
      <c r="AI48" s="26">
        <v>0</v>
      </c>
      <c r="AJ48" s="25">
        <v>0</v>
      </c>
      <c r="AK48" s="43">
        <v>0</v>
      </c>
      <c r="AL48" s="173">
        <v>2</v>
      </c>
      <c r="AM48" s="364">
        <v>0.125</v>
      </c>
      <c r="AN48" s="144">
        <v>0</v>
      </c>
      <c r="AO48" s="144">
        <v>6</v>
      </c>
      <c r="AP48" s="144">
        <v>8</v>
      </c>
      <c r="AQ48" s="144">
        <v>10</v>
      </c>
      <c r="AR48" s="365">
        <v>0.625</v>
      </c>
      <c r="AS48" s="144">
        <v>6</v>
      </c>
      <c r="AT48" s="5">
        <v>5</v>
      </c>
      <c r="AU48" s="372">
        <v>0.41666666666666669</v>
      </c>
      <c r="AV48" s="5">
        <v>0</v>
      </c>
      <c r="AW48" s="5">
        <v>4</v>
      </c>
      <c r="AX48" s="5">
        <v>3</v>
      </c>
      <c r="AY48" s="5">
        <v>11</v>
      </c>
      <c r="AZ48" s="372">
        <v>0.91666666666666663</v>
      </c>
      <c r="BA48" s="57">
        <v>1</v>
      </c>
      <c r="BB48" s="393">
        <v>0</v>
      </c>
      <c r="BC48" s="394">
        <v>0</v>
      </c>
      <c r="BD48" s="395">
        <v>0</v>
      </c>
      <c r="BE48" s="396">
        <v>0</v>
      </c>
    </row>
    <row r="49" spans="1:57" x14ac:dyDescent="0.25">
      <c r="A49" s="329">
        <v>45934</v>
      </c>
      <c r="B49" s="5">
        <v>8</v>
      </c>
      <c r="C49" s="5" t="s">
        <v>226</v>
      </c>
      <c r="D49" s="425">
        <v>3</v>
      </c>
      <c r="E49" s="425">
        <v>1</v>
      </c>
      <c r="F49" s="26" t="s">
        <v>91</v>
      </c>
      <c r="G49" s="242" t="s">
        <v>563</v>
      </c>
      <c r="H49" s="42">
        <v>70</v>
      </c>
      <c r="I49" s="26">
        <v>30</v>
      </c>
      <c r="J49" s="33">
        <v>3.52</v>
      </c>
      <c r="K49" s="34">
        <v>1</v>
      </c>
      <c r="L49" s="25">
        <v>7</v>
      </c>
      <c r="M49" s="26">
        <v>2</v>
      </c>
      <c r="N49" s="25">
        <v>26</v>
      </c>
      <c r="O49" s="26">
        <v>9</v>
      </c>
      <c r="P49" s="25">
        <v>1</v>
      </c>
      <c r="Q49" s="26">
        <v>4</v>
      </c>
      <c r="R49" s="25">
        <v>0</v>
      </c>
      <c r="S49" s="26">
        <v>0</v>
      </c>
      <c r="T49" s="33">
        <v>-0.05</v>
      </c>
      <c r="U49" s="34">
        <v>-0.34</v>
      </c>
      <c r="V49" s="25">
        <v>4</v>
      </c>
      <c r="W49" s="26">
        <v>0</v>
      </c>
      <c r="X49" s="25">
        <v>9</v>
      </c>
      <c r="Y49" s="26">
        <v>14</v>
      </c>
      <c r="Z49" s="25">
        <v>711</v>
      </c>
      <c r="AA49" s="26">
        <v>317</v>
      </c>
      <c r="AB49" s="25">
        <v>26</v>
      </c>
      <c r="AC49" s="26">
        <v>29</v>
      </c>
      <c r="AD49" s="25">
        <v>13</v>
      </c>
      <c r="AE49" s="26">
        <v>9</v>
      </c>
      <c r="AF49" s="25">
        <v>2</v>
      </c>
      <c r="AG49" s="26">
        <v>4</v>
      </c>
      <c r="AH49" s="25">
        <v>0</v>
      </c>
      <c r="AI49" s="26">
        <v>1</v>
      </c>
      <c r="AJ49" s="25">
        <v>0.7</v>
      </c>
      <c r="AK49" s="43">
        <v>0</v>
      </c>
      <c r="AL49" s="173">
        <v>7</v>
      </c>
      <c r="AM49" s="364">
        <v>0.26923076923076922</v>
      </c>
      <c r="AN49" s="144">
        <v>0</v>
      </c>
      <c r="AO49" s="144">
        <v>10</v>
      </c>
      <c r="AP49" s="144">
        <v>9</v>
      </c>
      <c r="AQ49" s="144">
        <v>16</v>
      </c>
      <c r="AR49" s="365">
        <v>0.61538461538461542</v>
      </c>
      <c r="AS49" s="144">
        <v>10</v>
      </c>
      <c r="AT49" s="5">
        <v>2</v>
      </c>
      <c r="AU49" s="372">
        <v>0.22222222222222221</v>
      </c>
      <c r="AV49" s="5">
        <v>0</v>
      </c>
      <c r="AW49" s="5">
        <v>3</v>
      </c>
      <c r="AX49" s="5">
        <v>4</v>
      </c>
      <c r="AY49" s="5">
        <v>3</v>
      </c>
      <c r="AZ49" s="372">
        <v>0.33333333333333331</v>
      </c>
      <c r="BA49" s="57">
        <v>6</v>
      </c>
      <c r="BB49" s="393">
        <v>1</v>
      </c>
      <c r="BC49" s="394">
        <v>0</v>
      </c>
      <c r="BD49" s="395">
        <v>1</v>
      </c>
      <c r="BE49" s="396">
        <v>1</v>
      </c>
    </row>
    <row r="50" spans="1:57" x14ac:dyDescent="0.25">
      <c r="A50" s="400">
        <v>45955</v>
      </c>
      <c r="B50" s="401">
        <v>10</v>
      </c>
      <c r="C50" s="401" t="s">
        <v>145</v>
      </c>
      <c r="D50" s="363">
        <f>AVERAGE(D42:D49)</f>
        <v>1.75</v>
      </c>
      <c r="E50" s="363">
        <f>AVERAGE(E42:E49)</f>
        <v>0.875</v>
      </c>
      <c r="F50" s="401" t="s">
        <v>91</v>
      </c>
      <c r="G50" s="402"/>
      <c r="H50" s="403">
        <f t="shared" ref="H50:AM50" si="8">AVERAGE(H42:H49)</f>
        <v>59.25</v>
      </c>
      <c r="I50" s="401">
        <f t="shared" si="8"/>
        <v>40.75</v>
      </c>
      <c r="J50" s="437">
        <f t="shared" si="8"/>
        <v>1.6212500000000001</v>
      </c>
      <c r="K50" s="404">
        <f t="shared" si="8"/>
        <v>0.97875000000000001</v>
      </c>
      <c r="L50" s="433">
        <f t="shared" si="8"/>
        <v>3.125</v>
      </c>
      <c r="M50" s="401">
        <f t="shared" si="8"/>
        <v>1.625</v>
      </c>
      <c r="N50" s="401">
        <f t="shared" si="8"/>
        <v>14.25</v>
      </c>
      <c r="O50" s="401">
        <f t="shared" si="8"/>
        <v>10.25</v>
      </c>
      <c r="P50" s="401">
        <f t="shared" si="8"/>
        <v>2.25</v>
      </c>
      <c r="Q50" s="401">
        <f t="shared" si="8"/>
        <v>2.125</v>
      </c>
      <c r="R50" s="401">
        <f t="shared" si="8"/>
        <v>0.375</v>
      </c>
      <c r="S50" s="401">
        <f t="shared" si="8"/>
        <v>0.375</v>
      </c>
      <c r="T50" s="404">
        <f t="shared" si="8"/>
        <v>-3.6250000000000004E-2</v>
      </c>
      <c r="U50" s="404">
        <f t="shared" si="8"/>
        <v>-0.34750000000000003</v>
      </c>
      <c r="V50" s="401">
        <f t="shared" si="8"/>
        <v>5.25</v>
      </c>
      <c r="W50" s="401">
        <f t="shared" si="8"/>
        <v>4.25</v>
      </c>
      <c r="X50" s="401">
        <f t="shared" si="8"/>
        <v>12.375</v>
      </c>
      <c r="Y50" s="401">
        <f t="shared" si="8"/>
        <v>10.875</v>
      </c>
      <c r="Z50" s="401">
        <f t="shared" si="8"/>
        <v>549.625</v>
      </c>
      <c r="AA50" s="401">
        <f t="shared" si="8"/>
        <v>370.75</v>
      </c>
      <c r="AB50" s="401">
        <f t="shared" si="8"/>
        <v>16.625</v>
      </c>
      <c r="AC50" s="401">
        <f t="shared" si="8"/>
        <v>19.125</v>
      </c>
      <c r="AD50" s="401">
        <f t="shared" si="8"/>
        <v>10.625</v>
      </c>
      <c r="AE50" s="401">
        <f t="shared" si="8"/>
        <v>12.375</v>
      </c>
      <c r="AF50" s="401">
        <f t="shared" si="8"/>
        <v>1.5</v>
      </c>
      <c r="AG50" s="401">
        <f t="shared" si="8"/>
        <v>2.375</v>
      </c>
      <c r="AH50" s="401">
        <f t="shared" si="8"/>
        <v>0</v>
      </c>
      <c r="AI50" s="401">
        <f t="shared" si="8"/>
        <v>0.375</v>
      </c>
      <c r="AJ50" s="401">
        <f t="shared" si="8"/>
        <v>0.17499999999999999</v>
      </c>
      <c r="AK50" s="405">
        <f t="shared" si="8"/>
        <v>0</v>
      </c>
      <c r="AL50" s="403">
        <f t="shared" si="8"/>
        <v>3.75</v>
      </c>
      <c r="AM50" s="436">
        <f t="shared" si="8"/>
        <v>0.29361072954822953</v>
      </c>
      <c r="AN50" s="401">
        <f t="shared" ref="AN50:BS50" si="9">AVERAGE(AN42:AN49)</f>
        <v>0</v>
      </c>
      <c r="AO50" s="401">
        <f t="shared" si="9"/>
        <v>5.625</v>
      </c>
      <c r="AP50" s="401">
        <f t="shared" si="9"/>
        <v>4.875</v>
      </c>
      <c r="AQ50" s="401">
        <f t="shared" si="9"/>
        <v>9.375</v>
      </c>
      <c r="AR50" s="434">
        <f t="shared" si="9"/>
        <v>0.66375152625152634</v>
      </c>
      <c r="AS50" s="401">
        <f t="shared" si="9"/>
        <v>4.875</v>
      </c>
      <c r="AT50" s="433">
        <f t="shared" si="9"/>
        <v>3</v>
      </c>
      <c r="AU50" s="407">
        <f t="shared" si="9"/>
        <v>0.28938908313908313</v>
      </c>
      <c r="AV50" s="401">
        <f t="shared" si="9"/>
        <v>0.25</v>
      </c>
      <c r="AW50" s="401">
        <f t="shared" si="9"/>
        <v>4.125</v>
      </c>
      <c r="AX50" s="401">
        <f t="shared" si="9"/>
        <v>3.125</v>
      </c>
      <c r="AY50" s="401">
        <f t="shared" si="9"/>
        <v>6.125</v>
      </c>
      <c r="AZ50" s="434">
        <f t="shared" si="9"/>
        <v>0.59178321678321677</v>
      </c>
      <c r="BA50" s="405">
        <f t="shared" si="9"/>
        <v>4.125</v>
      </c>
      <c r="BB50" s="430">
        <f t="shared" si="9"/>
        <v>0.25</v>
      </c>
      <c r="BC50" s="409">
        <f t="shared" si="9"/>
        <v>0</v>
      </c>
      <c r="BD50" s="431">
        <f t="shared" si="9"/>
        <v>0.5</v>
      </c>
      <c r="BE50" s="432">
        <f t="shared" si="9"/>
        <v>0.25</v>
      </c>
    </row>
    <row r="51" spans="1:57" x14ac:dyDescent="0.25">
      <c r="A51" s="329">
        <v>45885</v>
      </c>
      <c r="B51" s="5">
        <v>1</v>
      </c>
      <c r="C51" s="26" t="s">
        <v>112</v>
      </c>
      <c r="D51" s="425">
        <v>0</v>
      </c>
      <c r="E51" s="425">
        <v>3</v>
      </c>
      <c r="F51" s="5" t="s">
        <v>113</v>
      </c>
      <c r="G51" s="242" t="s">
        <v>544</v>
      </c>
      <c r="H51" s="42">
        <v>29</v>
      </c>
      <c r="I51" s="26">
        <v>71</v>
      </c>
      <c r="J51" s="33">
        <v>0.21</v>
      </c>
      <c r="K51" s="34">
        <v>2.13</v>
      </c>
      <c r="L51" s="25">
        <v>1</v>
      </c>
      <c r="M51" s="26">
        <v>1</v>
      </c>
      <c r="N51" s="25">
        <v>4</v>
      </c>
      <c r="O51" s="26">
        <v>24</v>
      </c>
      <c r="P51" s="25">
        <v>5</v>
      </c>
      <c r="Q51" s="26">
        <v>1</v>
      </c>
      <c r="R51" s="25">
        <v>2</v>
      </c>
      <c r="S51" s="26">
        <v>0</v>
      </c>
      <c r="T51" s="33">
        <v>-0.59</v>
      </c>
      <c r="U51" s="34">
        <v>0.22</v>
      </c>
      <c r="V51" s="25">
        <v>3</v>
      </c>
      <c r="W51" s="26">
        <v>6</v>
      </c>
      <c r="X51" s="25">
        <v>8</v>
      </c>
      <c r="Y51" s="26">
        <v>17</v>
      </c>
      <c r="Z51" s="25">
        <v>225</v>
      </c>
      <c r="AA51" s="26">
        <v>569</v>
      </c>
      <c r="AB51" s="25">
        <v>12</v>
      </c>
      <c r="AC51" s="26">
        <v>15</v>
      </c>
      <c r="AD51" s="25">
        <v>17</v>
      </c>
      <c r="AE51" s="26">
        <v>8</v>
      </c>
      <c r="AF51" s="25">
        <v>4</v>
      </c>
      <c r="AG51" s="26">
        <v>1</v>
      </c>
      <c r="AH51" s="25">
        <v>2</v>
      </c>
      <c r="AI51" s="26">
        <v>0</v>
      </c>
      <c r="AJ51" s="25">
        <v>0</v>
      </c>
      <c r="AK51" s="43">
        <v>0</v>
      </c>
      <c r="AL51" s="173">
        <v>1</v>
      </c>
      <c r="AM51" s="364">
        <v>0.25</v>
      </c>
      <c r="AN51" s="144">
        <v>0</v>
      </c>
      <c r="AO51" s="144">
        <v>2</v>
      </c>
      <c r="AP51" s="144">
        <v>1</v>
      </c>
      <c r="AQ51" s="144">
        <v>3</v>
      </c>
      <c r="AR51" s="365">
        <v>0.75</v>
      </c>
      <c r="AS51" s="144">
        <v>1</v>
      </c>
      <c r="AT51" s="5">
        <v>8</v>
      </c>
      <c r="AU51" s="372">
        <v>0.33333333333333331</v>
      </c>
      <c r="AV51" s="5">
        <v>2</v>
      </c>
      <c r="AW51" s="5">
        <v>9</v>
      </c>
      <c r="AX51" s="5">
        <v>7</v>
      </c>
      <c r="AY51" s="5">
        <v>11</v>
      </c>
      <c r="AZ51" s="372">
        <v>0.45833333333333331</v>
      </c>
      <c r="BA51" s="57">
        <v>13</v>
      </c>
      <c r="BB51" s="393">
        <v>0</v>
      </c>
      <c r="BC51" s="394">
        <v>0</v>
      </c>
      <c r="BD51" s="395">
        <v>0</v>
      </c>
      <c r="BE51" s="396">
        <v>0</v>
      </c>
    </row>
    <row r="52" spans="1:57" x14ac:dyDescent="0.25">
      <c r="A52" s="329">
        <v>45892</v>
      </c>
      <c r="B52" s="5">
        <v>2</v>
      </c>
      <c r="C52" s="5" t="s">
        <v>112</v>
      </c>
      <c r="D52" s="424">
        <v>1</v>
      </c>
      <c r="E52" s="424">
        <v>1</v>
      </c>
      <c r="F52" s="5" t="s">
        <v>456</v>
      </c>
      <c r="H52" s="42">
        <v>50</v>
      </c>
      <c r="I52" s="26">
        <v>50</v>
      </c>
      <c r="J52" s="33">
        <v>0.68</v>
      </c>
      <c r="K52" s="34">
        <v>0.74</v>
      </c>
      <c r="L52" s="25">
        <v>1</v>
      </c>
      <c r="M52" s="26">
        <v>2</v>
      </c>
      <c r="N52" s="25">
        <v>12</v>
      </c>
      <c r="O52" s="26">
        <v>8</v>
      </c>
      <c r="P52" s="25">
        <v>1</v>
      </c>
      <c r="Q52" s="26">
        <v>3</v>
      </c>
      <c r="R52" s="25">
        <v>1</v>
      </c>
      <c r="S52" s="26">
        <v>1</v>
      </c>
      <c r="T52" s="33">
        <v>-0.65</v>
      </c>
      <c r="U52" s="34">
        <v>0.04</v>
      </c>
      <c r="V52" s="25">
        <v>3</v>
      </c>
      <c r="W52" s="26">
        <v>4</v>
      </c>
      <c r="X52" s="25">
        <v>12</v>
      </c>
      <c r="Y52" s="26">
        <v>12</v>
      </c>
      <c r="Z52" s="25">
        <v>433</v>
      </c>
      <c r="AA52" s="26">
        <v>445</v>
      </c>
      <c r="AB52" s="25">
        <v>9</v>
      </c>
      <c r="AC52" s="26">
        <v>11</v>
      </c>
      <c r="AD52" s="25">
        <v>12</v>
      </c>
      <c r="AE52" s="26">
        <v>12</v>
      </c>
      <c r="AF52" s="25">
        <v>3</v>
      </c>
      <c r="AG52" s="26">
        <v>3</v>
      </c>
      <c r="AH52" s="25">
        <v>0</v>
      </c>
      <c r="AI52" s="26">
        <v>0</v>
      </c>
      <c r="AJ52" s="25">
        <v>0</v>
      </c>
      <c r="AK52" s="43">
        <v>0</v>
      </c>
      <c r="AL52" s="173">
        <v>4</v>
      </c>
      <c r="AM52" s="364">
        <v>0.33333333333333331</v>
      </c>
      <c r="AN52" s="144">
        <v>0</v>
      </c>
      <c r="AO52" s="144">
        <v>7</v>
      </c>
      <c r="AP52" s="144">
        <v>1</v>
      </c>
      <c r="AQ52" s="144">
        <v>8</v>
      </c>
      <c r="AR52" s="365">
        <v>0.66666666666666663</v>
      </c>
      <c r="AS52" s="144">
        <v>4</v>
      </c>
      <c r="AT52" s="5">
        <v>2</v>
      </c>
      <c r="AU52" s="372">
        <v>0.25</v>
      </c>
      <c r="AV52" s="5">
        <v>0</v>
      </c>
      <c r="AW52" s="5">
        <v>4</v>
      </c>
      <c r="AX52" s="5">
        <v>2</v>
      </c>
      <c r="AY52" s="5">
        <v>3</v>
      </c>
      <c r="AZ52" s="372">
        <v>0.375</v>
      </c>
      <c r="BA52" s="57">
        <v>5</v>
      </c>
      <c r="BB52" s="393">
        <v>0</v>
      </c>
      <c r="BC52" s="394">
        <v>0</v>
      </c>
      <c r="BD52" s="395">
        <v>1</v>
      </c>
      <c r="BE52" s="396">
        <v>0</v>
      </c>
    </row>
    <row r="53" spans="1:57" x14ac:dyDescent="0.25">
      <c r="A53" s="329">
        <v>45921</v>
      </c>
      <c r="B53" s="5">
        <v>5</v>
      </c>
      <c r="C53" s="5" t="s">
        <v>112</v>
      </c>
      <c r="D53" s="424">
        <v>1</v>
      </c>
      <c r="E53" s="424">
        <v>1</v>
      </c>
      <c r="F53" s="26" t="s">
        <v>193</v>
      </c>
      <c r="G53" s="242" t="s">
        <v>463</v>
      </c>
      <c r="H53" s="42">
        <v>43</v>
      </c>
      <c r="I53" s="26">
        <v>57</v>
      </c>
      <c r="J53" s="33">
        <v>0.6</v>
      </c>
      <c r="K53" s="34">
        <v>2.2599999999999998</v>
      </c>
      <c r="L53" s="25">
        <v>1</v>
      </c>
      <c r="M53" s="26">
        <v>4</v>
      </c>
      <c r="N53" s="25">
        <v>8</v>
      </c>
      <c r="O53" s="26">
        <v>12</v>
      </c>
      <c r="P53" s="25">
        <v>6</v>
      </c>
      <c r="Q53" s="26">
        <v>2</v>
      </c>
      <c r="R53" s="25">
        <v>3</v>
      </c>
      <c r="S53" s="26">
        <v>0</v>
      </c>
      <c r="T53" s="33">
        <v>2.17</v>
      </c>
      <c r="U53" s="34">
        <v>0.01</v>
      </c>
      <c r="V53" s="25">
        <v>3</v>
      </c>
      <c r="W53" s="26">
        <v>6</v>
      </c>
      <c r="X53" s="25">
        <v>14</v>
      </c>
      <c r="Y53" s="26">
        <v>6</v>
      </c>
      <c r="Z53" s="25">
        <v>396</v>
      </c>
      <c r="AA53" s="26">
        <v>550</v>
      </c>
      <c r="AB53" s="25">
        <v>13</v>
      </c>
      <c r="AC53" s="26">
        <v>10</v>
      </c>
      <c r="AD53" s="25">
        <v>6</v>
      </c>
      <c r="AE53" s="26">
        <v>13</v>
      </c>
      <c r="AF53" s="25">
        <v>0</v>
      </c>
      <c r="AG53" s="26">
        <v>0</v>
      </c>
      <c r="AH53" s="25">
        <v>0</v>
      </c>
      <c r="AI53" s="26">
        <v>1</v>
      </c>
      <c r="AJ53" s="25">
        <v>0</v>
      </c>
      <c r="AK53" s="43">
        <v>0.7</v>
      </c>
      <c r="AL53" s="173">
        <v>3</v>
      </c>
      <c r="AM53" s="364">
        <v>0.375</v>
      </c>
      <c r="AN53" s="144">
        <v>0</v>
      </c>
      <c r="AO53" s="144">
        <v>3</v>
      </c>
      <c r="AP53" s="144">
        <v>2</v>
      </c>
      <c r="AQ53" s="144">
        <v>3</v>
      </c>
      <c r="AR53" s="365">
        <v>0.375</v>
      </c>
      <c r="AS53" s="144">
        <v>5</v>
      </c>
      <c r="AT53" s="5">
        <v>7</v>
      </c>
      <c r="AU53" s="372">
        <v>0.58333333333333337</v>
      </c>
      <c r="AV53" s="5">
        <v>0</v>
      </c>
      <c r="AW53" s="5">
        <v>4</v>
      </c>
      <c r="AX53" s="5">
        <v>1</v>
      </c>
      <c r="AY53" s="5">
        <v>9</v>
      </c>
      <c r="AZ53" s="372">
        <v>0.75</v>
      </c>
      <c r="BA53" s="57">
        <v>3</v>
      </c>
      <c r="BB53" s="393">
        <v>0</v>
      </c>
      <c r="BC53" s="394">
        <v>0</v>
      </c>
      <c r="BD53" s="395">
        <v>0</v>
      </c>
      <c r="BE53" s="396">
        <v>0</v>
      </c>
    </row>
    <row r="54" spans="1:57" ht="15.75" thickBot="1" x14ac:dyDescent="0.3">
      <c r="A54" s="330">
        <v>45927</v>
      </c>
      <c r="B54" s="9">
        <v>7</v>
      </c>
      <c r="C54" s="9" t="s">
        <v>112</v>
      </c>
      <c r="D54" s="438">
        <v>1</v>
      </c>
      <c r="E54" s="438">
        <v>0</v>
      </c>
      <c r="F54" s="9" t="s">
        <v>128</v>
      </c>
      <c r="G54" s="45"/>
      <c r="H54" s="384">
        <v>39</v>
      </c>
      <c r="I54" s="74">
        <v>61</v>
      </c>
      <c r="J54" s="385">
        <v>0.74</v>
      </c>
      <c r="K54" s="386">
        <v>0.78</v>
      </c>
      <c r="L54" s="387">
        <v>1</v>
      </c>
      <c r="M54" s="74">
        <v>0</v>
      </c>
      <c r="N54" s="387">
        <v>12</v>
      </c>
      <c r="O54" s="74">
        <v>12</v>
      </c>
      <c r="P54" s="387">
        <v>3</v>
      </c>
      <c r="Q54" s="74">
        <v>1</v>
      </c>
      <c r="R54" s="387">
        <v>1</v>
      </c>
      <c r="S54" s="74">
        <v>0</v>
      </c>
      <c r="T54" s="385">
        <v>0.38</v>
      </c>
      <c r="U54" s="386">
        <v>-0.23</v>
      </c>
      <c r="V54" s="387">
        <v>4</v>
      </c>
      <c r="W54" s="74">
        <v>8</v>
      </c>
      <c r="X54" s="387">
        <v>14</v>
      </c>
      <c r="Y54" s="74">
        <v>18</v>
      </c>
      <c r="Z54" s="387">
        <v>327</v>
      </c>
      <c r="AA54" s="74">
        <v>518</v>
      </c>
      <c r="AB54" s="387">
        <v>22</v>
      </c>
      <c r="AC54" s="74">
        <v>26</v>
      </c>
      <c r="AD54" s="387">
        <v>18</v>
      </c>
      <c r="AE54" s="74">
        <v>14</v>
      </c>
      <c r="AF54" s="387">
        <v>2</v>
      </c>
      <c r="AG54" s="74">
        <v>3</v>
      </c>
      <c r="AH54" s="387">
        <v>0</v>
      </c>
      <c r="AI54" s="74">
        <v>0</v>
      </c>
      <c r="AJ54" s="387">
        <v>0</v>
      </c>
      <c r="AK54" s="76">
        <v>0</v>
      </c>
      <c r="AL54" s="177">
        <v>3</v>
      </c>
      <c r="AM54" s="388">
        <v>0.25</v>
      </c>
      <c r="AN54" s="152">
        <v>0</v>
      </c>
      <c r="AO54" s="152">
        <v>4</v>
      </c>
      <c r="AP54" s="152">
        <v>5</v>
      </c>
      <c r="AQ54" s="152">
        <v>6</v>
      </c>
      <c r="AR54" s="389">
        <v>0.5</v>
      </c>
      <c r="AS54" s="152">
        <v>6</v>
      </c>
      <c r="AT54" s="9">
        <v>3</v>
      </c>
      <c r="AU54" s="390">
        <v>0.25</v>
      </c>
      <c r="AV54" s="9">
        <v>1</v>
      </c>
      <c r="AW54" s="9">
        <v>6</v>
      </c>
      <c r="AX54" s="9">
        <v>3</v>
      </c>
      <c r="AY54" s="9">
        <v>9</v>
      </c>
      <c r="AZ54" s="390">
        <v>0.75</v>
      </c>
      <c r="BA54" s="58">
        <v>3</v>
      </c>
      <c r="BB54" s="420">
        <v>1</v>
      </c>
      <c r="BC54" s="421">
        <v>0</v>
      </c>
      <c r="BD54" s="422">
        <v>0</v>
      </c>
      <c r="BE54" s="423">
        <v>0</v>
      </c>
    </row>
    <row r="55" spans="1:57" x14ac:dyDescent="0.25">
      <c r="A55" s="331">
        <v>45885</v>
      </c>
      <c r="B55" s="13">
        <v>1</v>
      </c>
      <c r="C55" s="13" t="s">
        <v>128</v>
      </c>
      <c r="D55" s="428">
        <v>2</v>
      </c>
      <c r="E55" s="428">
        <v>1</v>
      </c>
      <c r="F55" s="13" t="s">
        <v>129</v>
      </c>
      <c r="G55" s="47"/>
      <c r="H55" s="376">
        <v>62</v>
      </c>
      <c r="I55" s="79">
        <v>38</v>
      </c>
      <c r="J55" s="377">
        <v>1.29</v>
      </c>
      <c r="K55" s="378">
        <v>0.87</v>
      </c>
      <c r="L55" s="379">
        <v>2</v>
      </c>
      <c r="M55" s="79">
        <v>1</v>
      </c>
      <c r="N55" s="379">
        <v>15</v>
      </c>
      <c r="O55" s="79">
        <v>7</v>
      </c>
      <c r="P55" s="379">
        <v>2</v>
      </c>
      <c r="Q55" s="79">
        <v>2</v>
      </c>
      <c r="R55" s="379">
        <v>0</v>
      </c>
      <c r="S55" s="79">
        <v>1</v>
      </c>
      <c r="T55" s="377">
        <v>0.34</v>
      </c>
      <c r="U55" s="378">
        <v>0.22</v>
      </c>
      <c r="V55" s="379">
        <v>10</v>
      </c>
      <c r="W55" s="79">
        <v>1</v>
      </c>
      <c r="X55" s="379">
        <v>15</v>
      </c>
      <c r="Y55" s="79">
        <v>13</v>
      </c>
      <c r="Z55" s="379">
        <v>471</v>
      </c>
      <c r="AA55" s="79">
        <v>296</v>
      </c>
      <c r="AB55" s="379">
        <v>15</v>
      </c>
      <c r="AC55" s="79">
        <v>16</v>
      </c>
      <c r="AD55" s="379">
        <v>13</v>
      </c>
      <c r="AE55" s="79">
        <v>15</v>
      </c>
      <c r="AF55" s="379">
        <v>0</v>
      </c>
      <c r="AG55" s="79">
        <v>1</v>
      </c>
      <c r="AH55" s="379">
        <v>0</v>
      </c>
      <c r="AI55" s="79">
        <v>0</v>
      </c>
      <c r="AJ55" s="379">
        <v>0</v>
      </c>
      <c r="AK55" s="80">
        <v>0</v>
      </c>
      <c r="AL55" s="169">
        <v>4</v>
      </c>
      <c r="AM55" s="380">
        <v>0.26666666666666666</v>
      </c>
      <c r="AN55" s="160">
        <v>0</v>
      </c>
      <c r="AO55" s="160">
        <v>7</v>
      </c>
      <c r="AP55" s="160">
        <v>4</v>
      </c>
      <c r="AQ55" s="160">
        <v>10</v>
      </c>
      <c r="AR55" s="381">
        <v>0.66666666666666663</v>
      </c>
      <c r="AS55" s="160">
        <v>5</v>
      </c>
      <c r="AT55" s="13">
        <v>3</v>
      </c>
      <c r="AU55" s="382">
        <v>0.42857142857142855</v>
      </c>
      <c r="AV55" s="13">
        <v>0</v>
      </c>
      <c r="AW55" s="13">
        <v>1</v>
      </c>
      <c r="AX55" s="13">
        <v>3</v>
      </c>
      <c r="AY55" s="13">
        <v>4</v>
      </c>
      <c r="AZ55" s="382">
        <v>0.5714285714285714</v>
      </c>
      <c r="BA55" s="60">
        <v>3</v>
      </c>
      <c r="BB55" s="416">
        <v>0</v>
      </c>
      <c r="BC55" s="417">
        <v>0</v>
      </c>
      <c r="BD55" s="418">
        <v>0</v>
      </c>
      <c r="BE55" s="419">
        <v>1</v>
      </c>
    </row>
    <row r="56" spans="1:57" x14ac:dyDescent="0.25">
      <c r="A56" s="329">
        <v>45898</v>
      </c>
      <c r="B56" s="5">
        <v>3</v>
      </c>
      <c r="C56" s="5" t="s">
        <v>208</v>
      </c>
      <c r="D56" s="425">
        <v>2</v>
      </c>
      <c r="E56" s="425">
        <v>0</v>
      </c>
      <c r="F56" s="5" t="s">
        <v>129</v>
      </c>
      <c r="H56" s="42">
        <v>67</v>
      </c>
      <c r="I56" s="26">
        <v>33</v>
      </c>
      <c r="J56" s="33">
        <v>1.1200000000000001</v>
      </c>
      <c r="K56" s="34">
        <v>0.71</v>
      </c>
      <c r="L56" s="25">
        <v>1</v>
      </c>
      <c r="M56" s="26">
        <v>1</v>
      </c>
      <c r="N56" s="25">
        <v>16</v>
      </c>
      <c r="O56" s="26">
        <v>11</v>
      </c>
      <c r="P56" s="25">
        <v>1</v>
      </c>
      <c r="Q56" s="26">
        <v>3</v>
      </c>
      <c r="R56" s="25">
        <v>0</v>
      </c>
      <c r="S56" s="26">
        <v>0</v>
      </c>
      <c r="T56" s="33">
        <v>0.23</v>
      </c>
      <c r="U56" s="34">
        <v>-0.37</v>
      </c>
      <c r="V56" s="25">
        <v>4</v>
      </c>
      <c r="W56" s="26">
        <v>2</v>
      </c>
      <c r="X56" s="25">
        <v>14</v>
      </c>
      <c r="Y56" s="26">
        <v>17</v>
      </c>
      <c r="Z56" s="25">
        <v>569</v>
      </c>
      <c r="AA56" s="26">
        <v>272</v>
      </c>
      <c r="AB56" s="25">
        <v>13</v>
      </c>
      <c r="AC56" s="26">
        <v>13</v>
      </c>
      <c r="AD56" s="25">
        <v>17</v>
      </c>
      <c r="AE56" s="26">
        <v>14</v>
      </c>
      <c r="AF56" s="25">
        <v>1</v>
      </c>
      <c r="AG56" s="26">
        <v>2</v>
      </c>
      <c r="AH56" s="25">
        <v>0</v>
      </c>
      <c r="AI56" s="26">
        <v>0</v>
      </c>
      <c r="AJ56" s="25">
        <v>0</v>
      </c>
      <c r="AK56" s="43">
        <v>0</v>
      </c>
      <c r="AL56" s="173">
        <v>5</v>
      </c>
      <c r="AM56" s="364">
        <v>0.3125</v>
      </c>
      <c r="AN56" s="144">
        <v>0</v>
      </c>
      <c r="AO56" s="144">
        <v>7</v>
      </c>
      <c r="AP56" s="144">
        <v>4</v>
      </c>
      <c r="AQ56" s="144">
        <v>13</v>
      </c>
      <c r="AR56" s="365">
        <v>0.8125</v>
      </c>
      <c r="AS56" s="144">
        <v>3</v>
      </c>
      <c r="AT56" s="5">
        <v>1</v>
      </c>
      <c r="AU56" s="372">
        <v>9.0909090909090912E-2</v>
      </c>
      <c r="AV56" s="5">
        <v>0</v>
      </c>
      <c r="AW56" s="5">
        <v>8</v>
      </c>
      <c r="AX56" s="5">
        <v>2</v>
      </c>
      <c r="AY56" s="5">
        <v>5</v>
      </c>
      <c r="AZ56" s="372">
        <v>0.45454545454545453</v>
      </c>
      <c r="BA56" s="57">
        <v>6</v>
      </c>
      <c r="BB56" s="393">
        <v>1</v>
      </c>
      <c r="BC56" s="394">
        <v>0</v>
      </c>
      <c r="BD56" s="395">
        <v>0</v>
      </c>
      <c r="BE56" s="396">
        <v>0</v>
      </c>
    </row>
    <row r="57" spans="1:57" x14ac:dyDescent="0.25">
      <c r="A57" s="329">
        <v>45920</v>
      </c>
      <c r="B57" s="5">
        <v>5</v>
      </c>
      <c r="C57" s="26" t="s">
        <v>69</v>
      </c>
      <c r="D57" s="426">
        <v>0</v>
      </c>
      <c r="E57" s="426">
        <v>4</v>
      </c>
      <c r="F57" s="5" t="s">
        <v>129</v>
      </c>
      <c r="G57" s="242" t="s">
        <v>539</v>
      </c>
      <c r="H57" s="42">
        <v>35</v>
      </c>
      <c r="I57" s="26">
        <v>65</v>
      </c>
      <c r="J57" s="33">
        <v>0.5</v>
      </c>
      <c r="K57" s="34">
        <v>2.88</v>
      </c>
      <c r="L57" s="25">
        <v>0</v>
      </c>
      <c r="M57" s="26">
        <v>8</v>
      </c>
      <c r="N57" s="25">
        <v>7</v>
      </c>
      <c r="O57" s="26">
        <v>14</v>
      </c>
      <c r="P57" s="25">
        <v>2</v>
      </c>
      <c r="Q57" s="26">
        <v>1</v>
      </c>
      <c r="R57" s="25">
        <v>0</v>
      </c>
      <c r="S57" s="26">
        <v>0</v>
      </c>
      <c r="T57" s="33">
        <v>-0.44</v>
      </c>
      <c r="U57" s="34">
        <v>0.76</v>
      </c>
      <c r="V57" s="25">
        <v>5</v>
      </c>
      <c r="W57" s="26">
        <v>4</v>
      </c>
      <c r="X57" s="25">
        <v>11</v>
      </c>
      <c r="Y57" s="26">
        <v>17</v>
      </c>
      <c r="Z57" s="25">
        <v>295</v>
      </c>
      <c r="AA57" s="26">
        <v>575</v>
      </c>
      <c r="AB57" s="25">
        <v>16</v>
      </c>
      <c r="AC57" s="26">
        <v>15</v>
      </c>
      <c r="AD57" s="25">
        <v>17</v>
      </c>
      <c r="AE57" s="26">
        <v>11</v>
      </c>
      <c r="AF57" s="25">
        <v>4</v>
      </c>
      <c r="AG57" s="26">
        <v>3</v>
      </c>
      <c r="AH57" s="25">
        <v>2</v>
      </c>
      <c r="AI57" s="26">
        <v>0</v>
      </c>
      <c r="AJ57" s="25">
        <v>0</v>
      </c>
      <c r="AK57" s="43">
        <v>0</v>
      </c>
      <c r="AL57" s="173">
        <v>1</v>
      </c>
      <c r="AM57" s="364">
        <v>0.14285714285714285</v>
      </c>
      <c r="AN57" s="144">
        <v>0</v>
      </c>
      <c r="AO57" s="144">
        <v>3</v>
      </c>
      <c r="AP57" s="144">
        <v>3</v>
      </c>
      <c r="AQ57" s="144">
        <v>5</v>
      </c>
      <c r="AR57" s="365">
        <v>0.7142857142857143</v>
      </c>
      <c r="AS57" s="144">
        <v>2</v>
      </c>
      <c r="AT57" s="5">
        <v>7</v>
      </c>
      <c r="AU57" s="372">
        <v>0.5</v>
      </c>
      <c r="AV57" s="5">
        <v>3</v>
      </c>
      <c r="AW57" s="5">
        <v>6</v>
      </c>
      <c r="AX57" s="5">
        <v>1</v>
      </c>
      <c r="AY57" s="5">
        <v>11</v>
      </c>
      <c r="AZ57" s="372">
        <v>0.7857142857142857</v>
      </c>
      <c r="BA57" s="57">
        <v>3</v>
      </c>
      <c r="BB57" s="393">
        <v>0</v>
      </c>
      <c r="BC57" s="394">
        <v>0</v>
      </c>
      <c r="BD57" s="395">
        <v>0</v>
      </c>
      <c r="BE57" s="396">
        <v>0</v>
      </c>
    </row>
    <row r="58" spans="1:57" x14ac:dyDescent="0.25">
      <c r="A58" s="329">
        <v>45927</v>
      </c>
      <c r="B58" s="5">
        <v>7</v>
      </c>
      <c r="C58" s="5" t="s">
        <v>161</v>
      </c>
      <c r="D58" s="424">
        <v>1</v>
      </c>
      <c r="E58" s="424">
        <v>1</v>
      </c>
      <c r="F58" s="5" t="s">
        <v>129</v>
      </c>
      <c r="H58" s="42">
        <v>54</v>
      </c>
      <c r="I58" s="26">
        <v>46</v>
      </c>
      <c r="J58" s="33">
        <v>0.55000000000000004</v>
      </c>
      <c r="K58" s="34">
        <v>1.24</v>
      </c>
      <c r="L58" s="25">
        <v>2</v>
      </c>
      <c r="M58" s="26">
        <v>3</v>
      </c>
      <c r="N58" s="25">
        <v>11</v>
      </c>
      <c r="O58" s="26">
        <v>11</v>
      </c>
      <c r="P58" s="25">
        <v>2</v>
      </c>
      <c r="Q58" s="26">
        <v>3</v>
      </c>
      <c r="R58" s="25">
        <v>0</v>
      </c>
      <c r="S58" s="26">
        <v>1</v>
      </c>
      <c r="T58" s="33">
        <v>-0.48</v>
      </c>
      <c r="U58" s="34">
        <v>0.02</v>
      </c>
      <c r="V58" s="25">
        <v>6</v>
      </c>
      <c r="W58" s="26">
        <v>2</v>
      </c>
      <c r="X58" s="25">
        <v>15</v>
      </c>
      <c r="Y58" s="26">
        <v>16</v>
      </c>
      <c r="Z58" s="25">
        <v>328</v>
      </c>
      <c r="AA58" s="26">
        <v>288</v>
      </c>
      <c r="AB58" s="25">
        <v>19</v>
      </c>
      <c r="AC58" s="26">
        <v>18</v>
      </c>
      <c r="AD58" s="25">
        <v>16</v>
      </c>
      <c r="AE58" s="26">
        <v>15</v>
      </c>
      <c r="AF58" s="25">
        <v>4</v>
      </c>
      <c r="AG58" s="26">
        <v>3</v>
      </c>
      <c r="AH58" s="25">
        <v>0</v>
      </c>
      <c r="AI58" s="26">
        <v>0</v>
      </c>
      <c r="AJ58" s="25">
        <v>0</v>
      </c>
      <c r="AK58" s="43">
        <v>0</v>
      </c>
      <c r="AL58" s="173">
        <v>4</v>
      </c>
      <c r="AM58" s="364">
        <v>0.36363636363636365</v>
      </c>
      <c r="AN58" s="144">
        <v>0</v>
      </c>
      <c r="AO58" s="144">
        <v>6</v>
      </c>
      <c r="AP58" s="144">
        <v>1</v>
      </c>
      <c r="AQ58" s="144">
        <v>3</v>
      </c>
      <c r="AR58" s="365">
        <v>0.27272727272727271</v>
      </c>
      <c r="AS58" s="144">
        <v>8</v>
      </c>
      <c r="AT58" s="5">
        <v>3</v>
      </c>
      <c r="AU58" s="372">
        <v>0.27272727272727271</v>
      </c>
      <c r="AV58" s="5">
        <v>0</v>
      </c>
      <c r="AW58" s="5">
        <v>6</v>
      </c>
      <c r="AX58" s="5">
        <v>2</v>
      </c>
      <c r="AY58" s="5">
        <v>7</v>
      </c>
      <c r="AZ58" s="372">
        <v>0.63636363636363635</v>
      </c>
      <c r="BA58" s="57">
        <v>4</v>
      </c>
      <c r="BB58" s="393">
        <v>1</v>
      </c>
      <c r="BC58" s="394">
        <v>0</v>
      </c>
      <c r="BD58" s="395">
        <v>0</v>
      </c>
      <c r="BE58" s="396">
        <v>0</v>
      </c>
    </row>
    <row r="59" spans="1:57" x14ac:dyDescent="0.25">
      <c r="A59" s="329">
        <v>45934</v>
      </c>
      <c r="B59" s="5">
        <v>8</v>
      </c>
      <c r="C59" s="5" t="s">
        <v>92</v>
      </c>
      <c r="D59" s="426">
        <v>0</v>
      </c>
      <c r="E59" s="426">
        <v>2</v>
      </c>
      <c r="F59" s="5" t="s">
        <v>129</v>
      </c>
      <c r="H59" s="42">
        <v>57</v>
      </c>
      <c r="I59" s="26">
        <v>43</v>
      </c>
      <c r="J59" s="33">
        <v>1.31</v>
      </c>
      <c r="K59" s="34">
        <v>1.94</v>
      </c>
      <c r="L59" s="25">
        <v>3</v>
      </c>
      <c r="M59" s="26">
        <v>1</v>
      </c>
      <c r="N59" s="25">
        <v>13</v>
      </c>
      <c r="O59" s="26">
        <v>14</v>
      </c>
      <c r="P59" s="25">
        <v>3</v>
      </c>
      <c r="Q59" s="26">
        <v>2</v>
      </c>
      <c r="R59" s="25">
        <v>0</v>
      </c>
      <c r="S59" s="26">
        <v>0</v>
      </c>
      <c r="T59" s="33">
        <v>0.2</v>
      </c>
      <c r="U59" s="34">
        <v>0.54</v>
      </c>
      <c r="V59" s="25">
        <v>9</v>
      </c>
      <c r="W59" s="26">
        <v>3</v>
      </c>
      <c r="X59" s="25">
        <v>10</v>
      </c>
      <c r="Y59" s="26">
        <v>10</v>
      </c>
      <c r="Z59" s="25">
        <v>484</v>
      </c>
      <c r="AA59" s="26">
        <v>370</v>
      </c>
      <c r="AB59" s="25">
        <v>15</v>
      </c>
      <c r="AC59" s="26">
        <v>14</v>
      </c>
      <c r="AD59" s="25">
        <v>10</v>
      </c>
      <c r="AE59" s="26">
        <v>10</v>
      </c>
      <c r="AF59" s="25">
        <v>2</v>
      </c>
      <c r="AG59" s="26">
        <v>2</v>
      </c>
      <c r="AH59" s="25">
        <v>0</v>
      </c>
      <c r="AI59" s="26">
        <v>0</v>
      </c>
      <c r="AJ59" s="25">
        <v>0</v>
      </c>
      <c r="AK59" s="43">
        <v>0</v>
      </c>
      <c r="AL59" s="173">
        <v>2</v>
      </c>
      <c r="AM59" s="364">
        <v>0.15384615384615385</v>
      </c>
      <c r="AN59" s="144">
        <v>1</v>
      </c>
      <c r="AO59" s="144">
        <v>6</v>
      </c>
      <c r="AP59" s="144">
        <v>5</v>
      </c>
      <c r="AQ59" s="144">
        <v>9</v>
      </c>
      <c r="AR59" s="365">
        <v>0.69230769230769229</v>
      </c>
      <c r="AS59" s="144">
        <v>4</v>
      </c>
      <c r="AT59" s="5">
        <v>5</v>
      </c>
      <c r="AU59" s="372">
        <v>0.35714285714285715</v>
      </c>
      <c r="AV59" s="5">
        <v>0</v>
      </c>
      <c r="AW59" s="5">
        <v>1</v>
      </c>
      <c r="AX59" s="5">
        <v>8</v>
      </c>
      <c r="AY59" s="5">
        <v>9</v>
      </c>
      <c r="AZ59" s="372">
        <v>0.6428571428571429</v>
      </c>
      <c r="BA59" s="57">
        <v>5</v>
      </c>
      <c r="BB59" s="393">
        <v>1</v>
      </c>
      <c r="BC59" s="394">
        <v>0</v>
      </c>
      <c r="BD59" s="395">
        <v>0</v>
      </c>
      <c r="BE59" s="396">
        <v>0</v>
      </c>
    </row>
    <row r="60" spans="1:57" x14ac:dyDescent="0.25">
      <c r="A60" s="400">
        <v>45956</v>
      </c>
      <c r="B60" s="401">
        <v>10</v>
      </c>
      <c r="C60" s="401" t="s">
        <v>112</v>
      </c>
      <c r="D60" s="363">
        <f>AVERAGE(D51:D59)</f>
        <v>0.88888888888888884</v>
      </c>
      <c r="E60" s="363">
        <f>AVERAGE(E51:E59)</f>
        <v>1.4444444444444444</v>
      </c>
      <c r="F60" s="401" t="s">
        <v>129</v>
      </c>
      <c r="G60" s="402"/>
      <c r="H60" s="403">
        <f t="shared" ref="H60:AM60" si="10">AVERAGE(H51:H59)</f>
        <v>48.444444444444443</v>
      </c>
      <c r="I60" s="401">
        <f t="shared" si="10"/>
        <v>51.555555555555557</v>
      </c>
      <c r="J60" s="404">
        <f t="shared" si="10"/>
        <v>0.77777777777777779</v>
      </c>
      <c r="K60" s="437">
        <f t="shared" si="10"/>
        <v>1.5055555555555555</v>
      </c>
      <c r="L60" s="401">
        <f t="shared" si="10"/>
        <v>1.3333333333333333</v>
      </c>
      <c r="M60" s="433">
        <f t="shared" si="10"/>
        <v>2.3333333333333335</v>
      </c>
      <c r="N60" s="401">
        <f t="shared" si="10"/>
        <v>10.888888888888889</v>
      </c>
      <c r="O60" s="401">
        <f t="shared" si="10"/>
        <v>12.555555555555555</v>
      </c>
      <c r="P60" s="401">
        <f t="shared" si="10"/>
        <v>2.7777777777777777</v>
      </c>
      <c r="Q60" s="401">
        <f t="shared" si="10"/>
        <v>2</v>
      </c>
      <c r="R60" s="401">
        <f t="shared" si="10"/>
        <v>0.77777777777777779</v>
      </c>
      <c r="S60" s="401">
        <f t="shared" si="10"/>
        <v>0.33333333333333331</v>
      </c>
      <c r="T60" s="404">
        <f t="shared" si="10"/>
        <v>0.12888888888888891</v>
      </c>
      <c r="U60" s="404">
        <f t="shared" si="10"/>
        <v>0.13444444444444445</v>
      </c>
      <c r="V60" s="401">
        <f t="shared" si="10"/>
        <v>5.2222222222222223</v>
      </c>
      <c r="W60" s="401">
        <f t="shared" si="10"/>
        <v>4</v>
      </c>
      <c r="X60" s="401">
        <f t="shared" si="10"/>
        <v>12.555555555555555</v>
      </c>
      <c r="Y60" s="401">
        <f t="shared" si="10"/>
        <v>14</v>
      </c>
      <c r="Z60" s="401">
        <f t="shared" si="10"/>
        <v>392</v>
      </c>
      <c r="AA60" s="401">
        <f t="shared" si="10"/>
        <v>431.44444444444446</v>
      </c>
      <c r="AB60" s="401">
        <f t="shared" si="10"/>
        <v>14.888888888888889</v>
      </c>
      <c r="AC60" s="401">
        <f t="shared" si="10"/>
        <v>15.333333333333334</v>
      </c>
      <c r="AD60" s="401">
        <f t="shared" si="10"/>
        <v>14</v>
      </c>
      <c r="AE60" s="401">
        <f t="shared" si="10"/>
        <v>12.444444444444445</v>
      </c>
      <c r="AF60" s="401">
        <f t="shared" si="10"/>
        <v>2.2222222222222223</v>
      </c>
      <c r="AG60" s="401">
        <f t="shared" si="10"/>
        <v>2</v>
      </c>
      <c r="AH60" s="401">
        <f t="shared" si="10"/>
        <v>0.44444444444444442</v>
      </c>
      <c r="AI60" s="401">
        <f t="shared" si="10"/>
        <v>0.1111111111111111</v>
      </c>
      <c r="AJ60" s="401">
        <f t="shared" si="10"/>
        <v>0</v>
      </c>
      <c r="AK60" s="405">
        <f t="shared" si="10"/>
        <v>7.7777777777777779E-2</v>
      </c>
      <c r="AL60" s="403">
        <f t="shared" si="10"/>
        <v>3</v>
      </c>
      <c r="AM60" s="406">
        <f t="shared" si="10"/>
        <v>0.27198218448218442</v>
      </c>
      <c r="AN60" s="401">
        <f t="shared" ref="AN60:BS60" si="11">AVERAGE(AN51:AN59)</f>
        <v>0.1111111111111111</v>
      </c>
      <c r="AO60" s="401">
        <f t="shared" si="11"/>
        <v>5</v>
      </c>
      <c r="AP60" s="401">
        <f t="shared" si="11"/>
        <v>2.8888888888888888</v>
      </c>
      <c r="AQ60" s="401">
        <f t="shared" si="11"/>
        <v>6.666666666666667</v>
      </c>
      <c r="AR60" s="434">
        <f t="shared" si="11"/>
        <v>0.60557266807266807</v>
      </c>
      <c r="AS60" s="401">
        <f t="shared" si="11"/>
        <v>4.2222222222222223</v>
      </c>
      <c r="AT60" s="433">
        <f t="shared" si="11"/>
        <v>4.333333333333333</v>
      </c>
      <c r="AU60" s="434">
        <f t="shared" si="11"/>
        <v>0.34066859066859062</v>
      </c>
      <c r="AV60" s="401">
        <f t="shared" si="11"/>
        <v>0.66666666666666663</v>
      </c>
      <c r="AW60" s="401">
        <f t="shared" si="11"/>
        <v>5</v>
      </c>
      <c r="AX60" s="401">
        <f t="shared" si="11"/>
        <v>3.2222222222222223</v>
      </c>
      <c r="AY60" s="401">
        <f t="shared" si="11"/>
        <v>7.5555555555555554</v>
      </c>
      <c r="AZ60" s="434">
        <f t="shared" si="11"/>
        <v>0.60269360269360273</v>
      </c>
      <c r="BA60" s="405">
        <f t="shared" si="11"/>
        <v>5</v>
      </c>
      <c r="BB60" s="430">
        <f t="shared" si="11"/>
        <v>0.44444444444444442</v>
      </c>
      <c r="BC60" s="409">
        <f t="shared" si="11"/>
        <v>0</v>
      </c>
      <c r="BD60" s="431">
        <f t="shared" si="11"/>
        <v>0.1111111111111111</v>
      </c>
      <c r="BE60" s="432">
        <f t="shared" si="11"/>
        <v>0.1111111111111111</v>
      </c>
    </row>
    <row r="61" spans="1:57" x14ac:dyDescent="0.25">
      <c r="A61" s="329">
        <v>45888</v>
      </c>
      <c r="B61" s="5">
        <v>1</v>
      </c>
      <c r="C61" s="5" t="s">
        <v>226</v>
      </c>
      <c r="D61" s="426">
        <v>1</v>
      </c>
      <c r="E61" s="426">
        <v>0</v>
      </c>
      <c r="F61" s="26" t="s">
        <v>227</v>
      </c>
      <c r="G61" s="242" t="s">
        <v>536</v>
      </c>
      <c r="H61" s="42">
        <v>71</v>
      </c>
      <c r="I61" s="26">
        <v>29</v>
      </c>
      <c r="J61" s="33">
        <v>1.64</v>
      </c>
      <c r="K61" s="34">
        <v>0.36</v>
      </c>
      <c r="L61" s="25">
        <v>1</v>
      </c>
      <c r="M61" s="26">
        <v>0</v>
      </c>
      <c r="N61" s="25">
        <v>18</v>
      </c>
      <c r="O61" s="26">
        <v>2</v>
      </c>
      <c r="P61" s="25">
        <v>0</v>
      </c>
      <c r="Q61" s="26">
        <v>4</v>
      </c>
      <c r="R61" s="25">
        <v>0</v>
      </c>
      <c r="S61" s="26">
        <v>1</v>
      </c>
      <c r="T61" s="33">
        <v>0</v>
      </c>
      <c r="U61" s="34">
        <v>0.31</v>
      </c>
      <c r="V61" s="25">
        <v>7</v>
      </c>
      <c r="W61" s="26">
        <v>0</v>
      </c>
      <c r="X61" s="25">
        <v>10</v>
      </c>
      <c r="Y61" s="26">
        <v>12</v>
      </c>
      <c r="Z61" s="25">
        <v>721</v>
      </c>
      <c r="AA61" s="26">
        <v>299</v>
      </c>
      <c r="AB61" s="25">
        <v>16</v>
      </c>
      <c r="AC61" s="26">
        <v>20</v>
      </c>
      <c r="AD61" s="25">
        <v>11</v>
      </c>
      <c r="AE61" s="26">
        <v>10</v>
      </c>
      <c r="AF61" s="25">
        <v>1</v>
      </c>
      <c r="AG61" s="26">
        <v>0</v>
      </c>
      <c r="AH61" s="25">
        <v>0</v>
      </c>
      <c r="AI61" s="26">
        <v>1</v>
      </c>
      <c r="AJ61" s="25">
        <v>0.7</v>
      </c>
      <c r="AK61" s="43">
        <v>0</v>
      </c>
      <c r="AL61" s="173">
        <v>5</v>
      </c>
      <c r="AM61" s="364">
        <v>0.27777777777777779</v>
      </c>
      <c r="AN61" s="144">
        <v>0</v>
      </c>
      <c r="AO61" s="144">
        <v>7</v>
      </c>
      <c r="AP61" s="144">
        <v>6</v>
      </c>
      <c r="AQ61" s="144">
        <v>11</v>
      </c>
      <c r="AR61" s="365">
        <v>0.61111111111111116</v>
      </c>
      <c r="AS61" s="144">
        <v>7</v>
      </c>
      <c r="AT61" s="5">
        <v>0</v>
      </c>
      <c r="AU61" s="372">
        <v>0</v>
      </c>
      <c r="AV61" s="5">
        <v>0</v>
      </c>
      <c r="AW61" s="5">
        <v>2</v>
      </c>
      <c r="AX61" s="5">
        <v>0</v>
      </c>
      <c r="AY61" s="5">
        <v>2</v>
      </c>
      <c r="AZ61" s="372">
        <v>1</v>
      </c>
      <c r="BA61" s="57">
        <v>0</v>
      </c>
      <c r="BB61" s="393">
        <v>1</v>
      </c>
      <c r="BC61" s="394">
        <v>0</v>
      </c>
      <c r="BD61" s="395">
        <v>0</v>
      </c>
      <c r="BE61" s="396">
        <v>0</v>
      </c>
    </row>
    <row r="62" spans="1:57" x14ac:dyDescent="0.25">
      <c r="A62" s="329">
        <v>45899</v>
      </c>
      <c r="B62" s="5">
        <v>3</v>
      </c>
      <c r="C62" s="5" t="s">
        <v>226</v>
      </c>
      <c r="D62" s="426">
        <v>2</v>
      </c>
      <c r="E62" s="426">
        <v>1</v>
      </c>
      <c r="F62" s="5" t="s">
        <v>112</v>
      </c>
      <c r="H62" s="42">
        <v>58</v>
      </c>
      <c r="I62" s="26">
        <v>42</v>
      </c>
      <c r="J62" s="33">
        <v>1.82</v>
      </c>
      <c r="K62" s="34">
        <v>0.72</v>
      </c>
      <c r="L62" s="25">
        <v>2</v>
      </c>
      <c r="M62" s="26">
        <v>1</v>
      </c>
      <c r="N62" s="25">
        <v>17</v>
      </c>
      <c r="O62" s="26">
        <v>9</v>
      </c>
      <c r="P62" s="25">
        <v>2</v>
      </c>
      <c r="Q62" s="26">
        <v>5</v>
      </c>
      <c r="R62" s="25">
        <v>1</v>
      </c>
      <c r="S62" s="26">
        <v>0</v>
      </c>
      <c r="T62" s="33">
        <v>-0.28999999999999998</v>
      </c>
      <c r="U62" s="34">
        <v>0.25</v>
      </c>
      <c r="V62" s="25">
        <v>4</v>
      </c>
      <c r="W62" s="26">
        <v>5</v>
      </c>
      <c r="X62" s="25">
        <v>12</v>
      </c>
      <c r="Y62" s="26">
        <v>7</v>
      </c>
      <c r="Z62" s="25">
        <v>538</v>
      </c>
      <c r="AA62" s="26">
        <v>382</v>
      </c>
      <c r="AB62" s="25">
        <v>13</v>
      </c>
      <c r="AC62" s="26">
        <v>14</v>
      </c>
      <c r="AD62" s="25">
        <v>7</v>
      </c>
      <c r="AE62" s="26">
        <v>12</v>
      </c>
      <c r="AF62" s="25">
        <v>2</v>
      </c>
      <c r="AG62" s="26">
        <v>0</v>
      </c>
      <c r="AH62" s="25">
        <v>0</v>
      </c>
      <c r="AI62" s="26">
        <v>0</v>
      </c>
      <c r="AJ62" s="25">
        <v>0</v>
      </c>
      <c r="AK62" s="43">
        <v>0</v>
      </c>
      <c r="AL62" s="173">
        <v>7</v>
      </c>
      <c r="AM62" s="364">
        <v>0.41176470588235292</v>
      </c>
      <c r="AN62" s="144">
        <v>0</v>
      </c>
      <c r="AO62" s="144">
        <v>6</v>
      </c>
      <c r="AP62" s="144">
        <v>4</v>
      </c>
      <c r="AQ62" s="144">
        <v>7</v>
      </c>
      <c r="AR62" s="365">
        <v>0.41176470588235292</v>
      </c>
      <c r="AS62" s="144">
        <v>10</v>
      </c>
      <c r="AT62" s="5">
        <v>5</v>
      </c>
      <c r="AU62" s="372">
        <v>0.55555555555555558</v>
      </c>
      <c r="AV62" s="5">
        <v>0</v>
      </c>
      <c r="AW62" s="5">
        <v>2</v>
      </c>
      <c r="AX62" s="5">
        <v>2</v>
      </c>
      <c r="AY62" s="5">
        <v>8</v>
      </c>
      <c r="AZ62" s="372">
        <v>0.88888888888888884</v>
      </c>
      <c r="BA62" s="57">
        <v>1</v>
      </c>
      <c r="BB62" s="393">
        <v>0</v>
      </c>
      <c r="BC62" s="394">
        <v>0</v>
      </c>
      <c r="BD62" s="395">
        <v>0</v>
      </c>
      <c r="BE62" s="396">
        <v>1</v>
      </c>
    </row>
    <row r="63" spans="1:57" x14ac:dyDescent="0.25">
      <c r="A63" s="329">
        <v>45920</v>
      </c>
      <c r="B63" s="5">
        <v>5</v>
      </c>
      <c r="C63" s="5" t="s">
        <v>226</v>
      </c>
      <c r="D63" s="426">
        <v>2</v>
      </c>
      <c r="E63" s="426">
        <v>0</v>
      </c>
      <c r="F63" s="5" t="s">
        <v>192</v>
      </c>
      <c r="H63" s="42">
        <v>72</v>
      </c>
      <c r="I63" s="26">
        <v>28</v>
      </c>
      <c r="J63" s="33">
        <v>1.18</v>
      </c>
      <c r="K63" s="34">
        <v>0.96</v>
      </c>
      <c r="L63" s="25">
        <v>3</v>
      </c>
      <c r="M63" s="26">
        <v>1</v>
      </c>
      <c r="N63" s="25">
        <v>16</v>
      </c>
      <c r="O63" s="26">
        <v>8</v>
      </c>
      <c r="P63" s="25">
        <v>1</v>
      </c>
      <c r="Q63" s="26">
        <v>3</v>
      </c>
      <c r="R63" s="25">
        <v>0</v>
      </c>
      <c r="S63" s="26">
        <v>1</v>
      </c>
      <c r="T63" s="33">
        <v>0.18</v>
      </c>
      <c r="U63" s="34">
        <v>-0.94</v>
      </c>
      <c r="V63" s="25">
        <v>5</v>
      </c>
      <c r="W63" s="26">
        <v>3</v>
      </c>
      <c r="X63" s="25">
        <v>10</v>
      </c>
      <c r="Y63" s="26">
        <v>20</v>
      </c>
      <c r="Z63" s="25">
        <v>753</v>
      </c>
      <c r="AA63" s="26">
        <v>374</v>
      </c>
      <c r="AB63" s="25">
        <v>18</v>
      </c>
      <c r="AC63" s="26">
        <v>21</v>
      </c>
      <c r="AD63" s="25">
        <v>20</v>
      </c>
      <c r="AE63" s="26">
        <v>10</v>
      </c>
      <c r="AF63" s="25">
        <v>2</v>
      </c>
      <c r="AG63" s="26">
        <v>0</v>
      </c>
      <c r="AH63" s="25">
        <v>0</v>
      </c>
      <c r="AI63" s="26">
        <v>0</v>
      </c>
      <c r="AJ63" s="25">
        <v>0</v>
      </c>
      <c r="AK63" s="43">
        <v>0</v>
      </c>
      <c r="AL63" s="173">
        <v>5</v>
      </c>
      <c r="AM63" s="364">
        <v>0.3125</v>
      </c>
      <c r="AN63" s="144">
        <v>1</v>
      </c>
      <c r="AO63" s="144">
        <v>6</v>
      </c>
      <c r="AP63" s="144">
        <v>5</v>
      </c>
      <c r="AQ63" s="144">
        <v>11</v>
      </c>
      <c r="AR63" s="365">
        <v>0.6875</v>
      </c>
      <c r="AS63" s="144">
        <v>5</v>
      </c>
      <c r="AT63" s="5">
        <v>1</v>
      </c>
      <c r="AU63" s="372">
        <v>0.125</v>
      </c>
      <c r="AV63" s="5">
        <v>0</v>
      </c>
      <c r="AW63" s="5">
        <v>2</v>
      </c>
      <c r="AX63" s="5">
        <v>5</v>
      </c>
      <c r="AY63" s="5">
        <v>5</v>
      </c>
      <c r="AZ63" s="372">
        <v>0.625</v>
      </c>
      <c r="BA63" s="57">
        <v>3</v>
      </c>
      <c r="BB63" s="393">
        <v>0</v>
      </c>
      <c r="BC63" s="394">
        <v>0</v>
      </c>
      <c r="BD63" s="395">
        <v>0</v>
      </c>
      <c r="BE63" s="396">
        <v>0</v>
      </c>
    </row>
    <row r="64" spans="1:57" ht="15.75" thickBot="1" x14ac:dyDescent="0.3">
      <c r="A64" s="330">
        <v>45934</v>
      </c>
      <c r="B64" s="9">
        <v>8</v>
      </c>
      <c r="C64" s="9" t="s">
        <v>226</v>
      </c>
      <c r="D64" s="438">
        <v>3</v>
      </c>
      <c r="E64" s="438">
        <v>1</v>
      </c>
      <c r="F64" s="74" t="s">
        <v>91</v>
      </c>
      <c r="G64" s="445" t="s">
        <v>563</v>
      </c>
      <c r="H64" s="384">
        <v>70</v>
      </c>
      <c r="I64" s="74">
        <v>30</v>
      </c>
      <c r="J64" s="385">
        <v>3.52</v>
      </c>
      <c r="K64" s="386">
        <v>1</v>
      </c>
      <c r="L64" s="387">
        <v>7</v>
      </c>
      <c r="M64" s="74">
        <v>2</v>
      </c>
      <c r="N64" s="387">
        <v>26</v>
      </c>
      <c r="O64" s="74">
        <v>9</v>
      </c>
      <c r="P64" s="387">
        <v>1</v>
      </c>
      <c r="Q64" s="74">
        <v>4</v>
      </c>
      <c r="R64" s="387">
        <v>0</v>
      </c>
      <c r="S64" s="74">
        <v>0</v>
      </c>
      <c r="T64" s="385">
        <v>-0.05</v>
      </c>
      <c r="U64" s="386">
        <v>-0.34</v>
      </c>
      <c r="V64" s="387">
        <v>4</v>
      </c>
      <c r="W64" s="74">
        <v>0</v>
      </c>
      <c r="X64" s="387">
        <v>9</v>
      </c>
      <c r="Y64" s="74">
        <v>14</v>
      </c>
      <c r="Z64" s="387">
        <v>711</v>
      </c>
      <c r="AA64" s="74">
        <v>317</v>
      </c>
      <c r="AB64" s="387">
        <v>26</v>
      </c>
      <c r="AC64" s="74">
        <v>29</v>
      </c>
      <c r="AD64" s="387">
        <v>13</v>
      </c>
      <c r="AE64" s="74">
        <v>9</v>
      </c>
      <c r="AF64" s="387">
        <v>2</v>
      </c>
      <c r="AG64" s="74">
        <v>4</v>
      </c>
      <c r="AH64" s="387">
        <v>0</v>
      </c>
      <c r="AI64" s="74">
        <v>1</v>
      </c>
      <c r="AJ64" s="387">
        <v>0.7</v>
      </c>
      <c r="AK64" s="76">
        <v>0</v>
      </c>
      <c r="AL64" s="177">
        <v>7</v>
      </c>
      <c r="AM64" s="388">
        <v>0.26923076923076922</v>
      </c>
      <c r="AN64" s="152">
        <v>0</v>
      </c>
      <c r="AO64" s="152">
        <v>10</v>
      </c>
      <c r="AP64" s="152">
        <v>9</v>
      </c>
      <c r="AQ64" s="152">
        <v>16</v>
      </c>
      <c r="AR64" s="389">
        <v>0.61538461538461542</v>
      </c>
      <c r="AS64" s="152">
        <v>10</v>
      </c>
      <c r="AT64" s="9">
        <v>2</v>
      </c>
      <c r="AU64" s="390">
        <v>0.22222222222222221</v>
      </c>
      <c r="AV64" s="9">
        <v>0</v>
      </c>
      <c r="AW64" s="9">
        <v>3</v>
      </c>
      <c r="AX64" s="9">
        <v>4</v>
      </c>
      <c r="AY64" s="9">
        <v>3</v>
      </c>
      <c r="AZ64" s="390">
        <v>0.33333333333333331</v>
      </c>
      <c r="BA64" s="58">
        <v>6</v>
      </c>
      <c r="BB64" s="420">
        <v>1</v>
      </c>
      <c r="BC64" s="421">
        <v>0</v>
      </c>
      <c r="BD64" s="422">
        <v>1</v>
      </c>
      <c r="BE64" s="423">
        <v>1</v>
      </c>
    </row>
    <row r="65" spans="1:57" x14ac:dyDescent="0.25">
      <c r="A65" s="331">
        <v>45885</v>
      </c>
      <c r="B65" s="13">
        <v>1</v>
      </c>
      <c r="C65" s="79" t="s">
        <v>112</v>
      </c>
      <c r="D65" s="441">
        <v>0</v>
      </c>
      <c r="E65" s="441">
        <v>3</v>
      </c>
      <c r="F65" s="13" t="s">
        <v>113</v>
      </c>
      <c r="G65" s="268" t="s">
        <v>544</v>
      </c>
      <c r="H65" s="376">
        <v>29</v>
      </c>
      <c r="I65" s="79">
        <v>71</v>
      </c>
      <c r="J65" s="377">
        <v>0.21</v>
      </c>
      <c r="K65" s="378">
        <v>2.13</v>
      </c>
      <c r="L65" s="379">
        <v>1</v>
      </c>
      <c r="M65" s="79">
        <v>1</v>
      </c>
      <c r="N65" s="379">
        <v>4</v>
      </c>
      <c r="O65" s="79">
        <v>24</v>
      </c>
      <c r="P65" s="379">
        <v>5</v>
      </c>
      <c r="Q65" s="79">
        <v>1</v>
      </c>
      <c r="R65" s="379">
        <v>2</v>
      </c>
      <c r="S65" s="79">
        <v>0</v>
      </c>
      <c r="T65" s="377">
        <v>-0.59</v>
      </c>
      <c r="U65" s="378">
        <v>0.22</v>
      </c>
      <c r="V65" s="379">
        <v>3</v>
      </c>
      <c r="W65" s="79">
        <v>6</v>
      </c>
      <c r="X65" s="379">
        <v>8</v>
      </c>
      <c r="Y65" s="79">
        <v>17</v>
      </c>
      <c r="Z65" s="379">
        <v>225</v>
      </c>
      <c r="AA65" s="79">
        <v>569</v>
      </c>
      <c r="AB65" s="379">
        <v>12</v>
      </c>
      <c r="AC65" s="79">
        <v>15</v>
      </c>
      <c r="AD65" s="379">
        <v>17</v>
      </c>
      <c r="AE65" s="79">
        <v>8</v>
      </c>
      <c r="AF65" s="379">
        <v>4</v>
      </c>
      <c r="AG65" s="79">
        <v>1</v>
      </c>
      <c r="AH65" s="379">
        <v>2</v>
      </c>
      <c r="AI65" s="79">
        <v>0</v>
      </c>
      <c r="AJ65" s="379">
        <v>0</v>
      </c>
      <c r="AK65" s="80">
        <v>0</v>
      </c>
      <c r="AL65" s="169">
        <v>1</v>
      </c>
      <c r="AM65" s="380">
        <v>0.25</v>
      </c>
      <c r="AN65" s="160">
        <v>0</v>
      </c>
      <c r="AO65" s="160">
        <v>2</v>
      </c>
      <c r="AP65" s="160">
        <v>1</v>
      </c>
      <c r="AQ65" s="160">
        <v>3</v>
      </c>
      <c r="AR65" s="381">
        <v>0.75</v>
      </c>
      <c r="AS65" s="160">
        <v>1</v>
      </c>
      <c r="AT65" s="13">
        <v>8</v>
      </c>
      <c r="AU65" s="382">
        <v>0.33333333333333331</v>
      </c>
      <c r="AV65" s="13">
        <v>2</v>
      </c>
      <c r="AW65" s="13">
        <v>9</v>
      </c>
      <c r="AX65" s="13">
        <v>7</v>
      </c>
      <c r="AY65" s="13">
        <v>11</v>
      </c>
      <c r="AZ65" s="382">
        <v>0.45833333333333331</v>
      </c>
      <c r="BA65" s="60">
        <v>13</v>
      </c>
      <c r="BB65" s="416">
        <v>0</v>
      </c>
      <c r="BC65" s="417">
        <v>0</v>
      </c>
      <c r="BD65" s="418">
        <v>0</v>
      </c>
      <c r="BE65" s="419">
        <v>0</v>
      </c>
    </row>
    <row r="66" spans="1:57" x14ac:dyDescent="0.25">
      <c r="A66" s="329">
        <v>45892</v>
      </c>
      <c r="B66" s="5">
        <v>2</v>
      </c>
      <c r="C66" s="5" t="s">
        <v>129</v>
      </c>
      <c r="D66" s="426">
        <v>2</v>
      </c>
      <c r="E66" s="426">
        <v>3</v>
      </c>
      <c r="F66" s="5" t="s">
        <v>113</v>
      </c>
      <c r="H66" s="42">
        <v>18</v>
      </c>
      <c r="I66" s="26">
        <v>82</v>
      </c>
      <c r="J66" s="33">
        <v>2.14</v>
      </c>
      <c r="K66" s="34">
        <v>1.93</v>
      </c>
      <c r="L66" s="25">
        <v>6</v>
      </c>
      <c r="M66" s="26">
        <v>3</v>
      </c>
      <c r="N66" s="25">
        <v>8</v>
      </c>
      <c r="O66" s="26">
        <v>26</v>
      </c>
      <c r="P66" s="25">
        <v>9</v>
      </c>
      <c r="Q66" s="26">
        <v>3</v>
      </c>
      <c r="R66" s="25">
        <v>1</v>
      </c>
      <c r="S66" s="26">
        <v>0</v>
      </c>
      <c r="T66" s="33">
        <v>-0.47</v>
      </c>
      <c r="U66" s="34">
        <v>0.69</v>
      </c>
      <c r="V66" s="25">
        <v>0</v>
      </c>
      <c r="W66" s="26">
        <v>11</v>
      </c>
      <c r="X66" s="25">
        <v>10</v>
      </c>
      <c r="Y66" s="26">
        <v>8</v>
      </c>
      <c r="Z66" s="25">
        <v>160</v>
      </c>
      <c r="AA66" s="26">
        <v>761</v>
      </c>
      <c r="AB66" s="25">
        <v>31</v>
      </c>
      <c r="AC66" s="26">
        <v>11</v>
      </c>
      <c r="AD66" s="25">
        <v>7</v>
      </c>
      <c r="AE66" s="26">
        <v>10</v>
      </c>
      <c r="AF66" s="25">
        <v>3</v>
      </c>
      <c r="AG66" s="26">
        <v>1</v>
      </c>
      <c r="AH66" s="25">
        <v>0</v>
      </c>
      <c r="AI66" s="26">
        <v>0</v>
      </c>
      <c r="AJ66" s="25">
        <v>0</v>
      </c>
      <c r="AK66" s="43">
        <v>0</v>
      </c>
      <c r="AL66" s="173">
        <v>5</v>
      </c>
      <c r="AM66" s="364">
        <v>0.625</v>
      </c>
      <c r="AN66" s="144">
        <v>0</v>
      </c>
      <c r="AO66" s="144">
        <v>1</v>
      </c>
      <c r="AP66" s="144">
        <v>2</v>
      </c>
      <c r="AQ66" s="144">
        <v>8</v>
      </c>
      <c r="AR66" s="365">
        <v>1</v>
      </c>
      <c r="AS66" s="144">
        <v>0</v>
      </c>
      <c r="AT66" s="5">
        <v>10</v>
      </c>
      <c r="AU66" s="372">
        <v>0.38461538461538464</v>
      </c>
      <c r="AV66" s="5">
        <v>1</v>
      </c>
      <c r="AW66" s="5">
        <v>8</v>
      </c>
      <c r="AX66" s="5">
        <v>8</v>
      </c>
      <c r="AY66" s="5">
        <v>16</v>
      </c>
      <c r="AZ66" s="372">
        <v>0.61538461538461542</v>
      </c>
      <c r="BA66" s="57">
        <v>10</v>
      </c>
      <c r="BB66" s="393">
        <v>0</v>
      </c>
      <c r="BC66" s="394">
        <v>0</v>
      </c>
      <c r="BD66" s="395">
        <v>0</v>
      </c>
      <c r="BE66" s="396">
        <v>0</v>
      </c>
    </row>
    <row r="67" spans="1:57" x14ac:dyDescent="0.25">
      <c r="A67" s="329">
        <v>45900</v>
      </c>
      <c r="B67" s="5">
        <v>3</v>
      </c>
      <c r="C67" s="5" t="s">
        <v>70</v>
      </c>
      <c r="D67" s="424">
        <v>1</v>
      </c>
      <c r="E67" s="424">
        <v>1</v>
      </c>
      <c r="F67" s="5" t="s">
        <v>113</v>
      </c>
      <c r="H67" s="42">
        <v>43</v>
      </c>
      <c r="I67" s="26">
        <v>57</v>
      </c>
      <c r="J67" s="33">
        <v>1.85</v>
      </c>
      <c r="K67" s="34">
        <v>1.83</v>
      </c>
      <c r="L67" s="25">
        <v>5</v>
      </c>
      <c r="M67" s="26">
        <v>4</v>
      </c>
      <c r="N67" s="25">
        <v>12</v>
      </c>
      <c r="O67" s="26">
        <v>12</v>
      </c>
      <c r="P67" s="25">
        <v>2</v>
      </c>
      <c r="Q67" s="26">
        <v>5</v>
      </c>
      <c r="R67" s="25">
        <v>0</v>
      </c>
      <c r="S67" s="26">
        <v>0</v>
      </c>
      <c r="T67" s="33">
        <v>-0.1</v>
      </c>
      <c r="U67" s="34">
        <v>0.77</v>
      </c>
      <c r="V67" s="25">
        <v>9</v>
      </c>
      <c r="W67" s="26">
        <v>4</v>
      </c>
      <c r="X67" s="25">
        <v>16</v>
      </c>
      <c r="Y67" s="26">
        <v>8</v>
      </c>
      <c r="Z67" s="25">
        <v>338</v>
      </c>
      <c r="AA67" s="26">
        <v>444</v>
      </c>
      <c r="AB67" s="25">
        <v>17</v>
      </c>
      <c r="AC67" s="26">
        <v>18</v>
      </c>
      <c r="AD67" s="25">
        <v>8</v>
      </c>
      <c r="AE67" s="26">
        <v>15</v>
      </c>
      <c r="AF67" s="25">
        <v>4</v>
      </c>
      <c r="AG67" s="26">
        <v>1</v>
      </c>
      <c r="AH67" s="25">
        <v>0</v>
      </c>
      <c r="AI67" s="26">
        <v>0</v>
      </c>
      <c r="AJ67" s="25">
        <v>0</v>
      </c>
      <c r="AK67" s="43">
        <v>0.7</v>
      </c>
      <c r="AL67" s="173">
        <v>6</v>
      </c>
      <c r="AM67" s="364">
        <v>0.5</v>
      </c>
      <c r="AN67" s="144">
        <v>0</v>
      </c>
      <c r="AO67" s="144">
        <v>3</v>
      </c>
      <c r="AP67" s="144">
        <v>3</v>
      </c>
      <c r="AQ67" s="144">
        <v>9</v>
      </c>
      <c r="AR67" s="365">
        <v>0.75</v>
      </c>
      <c r="AS67" s="144">
        <v>3</v>
      </c>
      <c r="AT67" s="5">
        <v>3</v>
      </c>
      <c r="AU67" s="372">
        <v>0.25</v>
      </c>
      <c r="AV67" s="5">
        <v>0</v>
      </c>
      <c r="AW67" s="5">
        <v>6</v>
      </c>
      <c r="AX67" s="5">
        <v>3</v>
      </c>
      <c r="AY67" s="5">
        <v>8</v>
      </c>
      <c r="AZ67" s="372">
        <v>0.66666666666666663</v>
      </c>
      <c r="BA67" s="57">
        <v>4</v>
      </c>
      <c r="BB67" s="393">
        <v>1</v>
      </c>
      <c r="BC67" s="394">
        <v>0</v>
      </c>
      <c r="BD67" s="395">
        <v>0</v>
      </c>
      <c r="BE67" s="396">
        <v>0</v>
      </c>
    </row>
    <row r="68" spans="1:57" x14ac:dyDescent="0.25">
      <c r="A68" s="329">
        <v>45925</v>
      </c>
      <c r="B68" s="5">
        <v>6</v>
      </c>
      <c r="C68" s="5" t="s">
        <v>92</v>
      </c>
      <c r="D68" s="426">
        <v>1</v>
      </c>
      <c r="E68" s="426">
        <v>3</v>
      </c>
      <c r="F68" s="5" t="s">
        <v>113</v>
      </c>
      <c r="H68" s="42">
        <v>21</v>
      </c>
      <c r="I68" s="26">
        <v>79</v>
      </c>
      <c r="J68" s="33">
        <v>1.04</v>
      </c>
      <c r="K68" s="34">
        <v>2.0699999999999998</v>
      </c>
      <c r="L68" s="25">
        <v>2</v>
      </c>
      <c r="M68" s="26">
        <v>2</v>
      </c>
      <c r="N68" s="25">
        <v>7</v>
      </c>
      <c r="O68" s="26">
        <v>22</v>
      </c>
      <c r="P68" s="25">
        <v>7</v>
      </c>
      <c r="Q68" s="26">
        <v>2</v>
      </c>
      <c r="R68" s="25">
        <v>2</v>
      </c>
      <c r="S68" s="26">
        <v>0</v>
      </c>
      <c r="T68" s="33">
        <v>-0.51</v>
      </c>
      <c r="U68" s="34">
        <v>0</v>
      </c>
      <c r="V68" s="25">
        <v>6</v>
      </c>
      <c r="W68" s="26">
        <v>9</v>
      </c>
      <c r="X68" s="25">
        <v>10</v>
      </c>
      <c r="Y68" s="26">
        <v>6</v>
      </c>
      <c r="Z68" s="25">
        <v>194</v>
      </c>
      <c r="AA68" s="26">
        <v>787</v>
      </c>
      <c r="AB68" s="25">
        <v>21</v>
      </c>
      <c r="AC68" s="26">
        <v>18</v>
      </c>
      <c r="AD68" s="25">
        <v>6</v>
      </c>
      <c r="AE68" s="26">
        <v>10</v>
      </c>
      <c r="AF68" s="25">
        <v>1</v>
      </c>
      <c r="AG68" s="26">
        <v>0</v>
      </c>
      <c r="AH68" s="25">
        <v>0</v>
      </c>
      <c r="AI68" s="26">
        <v>0</v>
      </c>
      <c r="AJ68" s="25">
        <v>0</v>
      </c>
      <c r="AK68" s="43">
        <v>0</v>
      </c>
      <c r="AL68" s="173">
        <v>3</v>
      </c>
      <c r="AM68" s="364">
        <v>0.42857142857142855</v>
      </c>
      <c r="AN68" s="144">
        <v>0</v>
      </c>
      <c r="AO68" s="144">
        <v>1</v>
      </c>
      <c r="AP68" s="144">
        <v>3</v>
      </c>
      <c r="AQ68" s="144">
        <v>5</v>
      </c>
      <c r="AR68" s="365">
        <v>0.7142857142857143</v>
      </c>
      <c r="AS68" s="144">
        <v>2</v>
      </c>
      <c r="AT68" s="5">
        <v>10</v>
      </c>
      <c r="AU68" s="372">
        <v>0.45454545454545453</v>
      </c>
      <c r="AV68" s="5">
        <v>1</v>
      </c>
      <c r="AW68" s="5">
        <v>4</v>
      </c>
      <c r="AX68" s="5">
        <v>8</v>
      </c>
      <c r="AY68" s="5">
        <v>13</v>
      </c>
      <c r="AZ68" s="372">
        <v>0.59090909090909094</v>
      </c>
      <c r="BA68" s="57">
        <v>9</v>
      </c>
      <c r="BB68" s="393">
        <v>0</v>
      </c>
      <c r="BC68" s="394">
        <v>0</v>
      </c>
      <c r="BD68" s="395">
        <v>0</v>
      </c>
      <c r="BE68" s="396">
        <v>1</v>
      </c>
    </row>
    <row r="69" spans="1:57" x14ac:dyDescent="0.25">
      <c r="A69" s="329">
        <v>45935</v>
      </c>
      <c r="B69" s="5">
        <v>8</v>
      </c>
      <c r="C69" s="5" t="s">
        <v>171</v>
      </c>
      <c r="D69" s="425">
        <v>4</v>
      </c>
      <c r="E69" s="425">
        <v>1</v>
      </c>
      <c r="F69" s="5" t="s">
        <v>113</v>
      </c>
      <c r="H69" s="42">
        <v>39</v>
      </c>
      <c r="I69" s="26">
        <v>61</v>
      </c>
      <c r="J69" s="33">
        <v>2.8</v>
      </c>
      <c r="K69" s="34">
        <v>2.25</v>
      </c>
      <c r="L69" s="25">
        <v>5</v>
      </c>
      <c r="M69" s="26">
        <v>5</v>
      </c>
      <c r="N69" s="25">
        <v>13</v>
      </c>
      <c r="O69" s="26">
        <v>17</v>
      </c>
      <c r="P69" s="25">
        <v>7</v>
      </c>
      <c r="Q69" s="26">
        <v>1</v>
      </c>
      <c r="R69" s="25">
        <v>1</v>
      </c>
      <c r="S69" s="26">
        <v>1</v>
      </c>
      <c r="T69" s="33">
        <v>1.41</v>
      </c>
      <c r="U69" s="34">
        <v>-0.54</v>
      </c>
      <c r="V69" s="25">
        <v>7</v>
      </c>
      <c r="W69" s="26">
        <v>6</v>
      </c>
      <c r="X69" s="25">
        <v>18</v>
      </c>
      <c r="Y69" s="26">
        <v>9</v>
      </c>
      <c r="Z69" s="25">
        <v>266</v>
      </c>
      <c r="AA69" s="26">
        <v>427</v>
      </c>
      <c r="AB69" s="25">
        <v>18</v>
      </c>
      <c r="AC69" s="26">
        <v>19</v>
      </c>
      <c r="AD69" s="25">
        <v>8</v>
      </c>
      <c r="AE69" s="26">
        <v>17</v>
      </c>
      <c r="AF69" s="25">
        <v>7</v>
      </c>
      <c r="AG69" s="26">
        <v>5</v>
      </c>
      <c r="AH69" s="25">
        <v>0</v>
      </c>
      <c r="AI69" s="26">
        <v>0</v>
      </c>
      <c r="AJ69" s="25">
        <v>0.7</v>
      </c>
      <c r="AK69" s="43">
        <v>0.7</v>
      </c>
      <c r="AL69" s="173">
        <v>5</v>
      </c>
      <c r="AM69" s="364">
        <v>0.38461538461538464</v>
      </c>
      <c r="AN69" s="144">
        <v>0</v>
      </c>
      <c r="AO69" s="144">
        <v>6</v>
      </c>
      <c r="AP69" s="144">
        <v>2</v>
      </c>
      <c r="AQ69" s="144">
        <v>12</v>
      </c>
      <c r="AR69" s="365">
        <v>0.92307692307692313</v>
      </c>
      <c r="AS69" s="144">
        <v>1</v>
      </c>
      <c r="AT69" s="5">
        <v>8</v>
      </c>
      <c r="AU69" s="372">
        <v>0.47058823529411764</v>
      </c>
      <c r="AV69" s="5">
        <v>0</v>
      </c>
      <c r="AW69" s="5">
        <v>4</v>
      </c>
      <c r="AX69" s="5">
        <v>5</v>
      </c>
      <c r="AY69" s="5">
        <v>14</v>
      </c>
      <c r="AZ69" s="372">
        <v>0.82352941176470584</v>
      </c>
      <c r="BA69" s="57">
        <v>3</v>
      </c>
      <c r="BB69" s="393">
        <v>0</v>
      </c>
      <c r="BC69" s="394">
        <v>1</v>
      </c>
      <c r="BD69" s="395">
        <v>0</v>
      </c>
      <c r="BE69" s="396">
        <v>0</v>
      </c>
    </row>
    <row r="70" spans="1:57" x14ac:dyDescent="0.25">
      <c r="A70" s="400">
        <v>45956</v>
      </c>
      <c r="B70" s="401">
        <v>10</v>
      </c>
      <c r="C70" s="401" t="s">
        <v>226</v>
      </c>
      <c r="D70" s="363">
        <f>AVERAGE(D61:D69)</f>
        <v>1.7777777777777777</v>
      </c>
      <c r="E70" s="363">
        <f>AVERAGE(E61:E69)</f>
        <v>1.4444444444444444</v>
      </c>
      <c r="F70" s="401" t="s">
        <v>113</v>
      </c>
      <c r="G70" s="402"/>
      <c r="H70" s="403">
        <f t="shared" ref="H70:AM70" si="12">AVERAGE(H61:H69)</f>
        <v>46.777777777777779</v>
      </c>
      <c r="I70" s="401">
        <f t="shared" si="12"/>
        <v>53.222222222222221</v>
      </c>
      <c r="J70" s="437">
        <f t="shared" si="12"/>
        <v>1.8000000000000003</v>
      </c>
      <c r="K70" s="437">
        <f t="shared" si="12"/>
        <v>1.4722222222222223</v>
      </c>
      <c r="L70" s="433">
        <f t="shared" si="12"/>
        <v>3.5555555555555554</v>
      </c>
      <c r="M70" s="433">
        <f t="shared" si="12"/>
        <v>2.1111111111111112</v>
      </c>
      <c r="N70" s="401">
        <f t="shared" si="12"/>
        <v>13.444444444444445</v>
      </c>
      <c r="O70" s="401">
        <f t="shared" si="12"/>
        <v>14.333333333333334</v>
      </c>
      <c r="P70" s="401">
        <f t="shared" si="12"/>
        <v>3.7777777777777777</v>
      </c>
      <c r="Q70" s="401">
        <f t="shared" si="12"/>
        <v>3.1111111111111112</v>
      </c>
      <c r="R70" s="401">
        <f t="shared" si="12"/>
        <v>0.77777777777777779</v>
      </c>
      <c r="S70" s="401">
        <f t="shared" si="12"/>
        <v>0.33333333333333331</v>
      </c>
      <c r="T70" s="404">
        <f t="shared" si="12"/>
        <v>-4.6666666666666683E-2</v>
      </c>
      <c r="U70" s="404">
        <f t="shared" si="12"/>
        <v>4.6666666666666662E-2</v>
      </c>
      <c r="V70" s="401">
        <f t="shared" si="12"/>
        <v>5</v>
      </c>
      <c r="W70" s="401">
        <f t="shared" si="12"/>
        <v>4.8888888888888893</v>
      </c>
      <c r="X70" s="401">
        <f t="shared" si="12"/>
        <v>11.444444444444445</v>
      </c>
      <c r="Y70" s="401">
        <f t="shared" si="12"/>
        <v>11.222222222222221</v>
      </c>
      <c r="Z70" s="401">
        <f t="shared" si="12"/>
        <v>434</v>
      </c>
      <c r="AA70" s="401">
        <f t="shared" si="12"/>
        <v>484.44444444444446</v>
      </c>
      <c r="AB70" s="401">
        <f t="shared" si="12"/>
        <v>19.111111111111111</v>
      </c>
      <c r="AC70" s="401">
        <f t="shared" si="12"/>
        <v>18.333333333333332</v>
      </c>
      <c r="AD70" s="401">
        <f t="shared" si="12"/>
        <v>10.777777777777779</v>
      </c>
      <c r="AE70" s="401">
        <f t="shared" si="12"/>
        <v>11.222222222222221</v>
      </c>
      <c r="AF70" s="401">
        <f t="shared" si="12"/>
        <v>2.8888888888888888</v>
      </c>
      <c r="AG70" s="401">
        <f t="shared" si="12"/>
        <v>1.3333333333333333</v>
      </c>
      <c r="AH70" s="401">
        <f t="shared" si="12"/>
        <v>0.22222222222222221</v>
      </c>
      <c r="AI70" s="401">
        <f t="shared" si="12"/>
        <v>0.22222222222222221</v>
      </c>
      <c r="AJ70" s="401">
        <f t="shared" si="12"/>
        <v>0.23333333333333328</v>
      </c>
      <c r="AK70" s="405">
        <f t="shared" si="12"/>
        <v>0.15555555555555556</v>
      </c>
      <c r="AL70" s="435">
        <f t="shared" si="12"/>
        <v>4.8888888888888893</v>
      </c>
      <c r="AM70" s="436">
        <f t="shared" si="12"/>
        <v>0.38438445178641256</v>
      </c>
      <c r="AN70" s="401">
        <f t="shared" ref="AN70:BS70" si="13">AVERAGE(AN61:AN69)</f>
        <v>0.1111111111111111</v>
      </c>
      <c r="AO70" s="401">
        <f t="shared" si="13"/>
        <v>4.666666666666667</v>
      </c>
      <c r="AP70" s="401">
        <f t="shared" si="13"/>
        <v>3.8888888888888888</v>
      </c>
      <c r="AQ70" s="401">
        <f t="shared" si="13"/>
        <v>9.1111111111111107</v>
      </c>
      <c r="AR70" s="434">
        <f t="shared" si="13"/>
        <v>0.7181247855267463</v>
      </c>
      <c r="AS70" s="401">
        <f t="shared" si="13"/>
        <v>4.333333333333333</v>
      </c>
      <c r="AT70" s="433">
        <f t="shared" si="13"/>
        <v>5.2222222222222223</v>
      </c>
      <c r="AU70" s="434">
        <f t="shared" si="13"/>
        <v>0.3106511317295631</v>
      </c>
      <c r="AV70" s="401">
        <f t="shared" si="13"/>
        <v>0.44444444444444442</v>
      </c>
      <c r="AW70" s="401">
        <f t="shared" si="13"/>
        <v>4.4444444444444446</v>
      </c>
      <c r="AX70" s="401">
        <f t="shared" si="13"/>
        <v>4.666666666666667</v>
      </c>
      <c r="AY70" s="401">
        <f t="shared" si="13"/>
        <v>8.8888888888888893</v>
      </c>
      <c r="AZ70" s="434">
        <f t="shared" si="13"/>
        <v>0.6668939266978483</v>
      </c>
      <c r="BA70" s="405">
        <f t="shared" si="13"/>
        <v>5.4444444444444446</v>
      </c>
      <c r="BB70" s="430">
        <f t="shared" si="13"/>
        <v>0.33333333333333331</v>
      </c>
      <c r="BC70" s="431">
        <f t="shared" si="13"/>
        <v>0.1111111111111111</v>
      </c>
      <c r="BD70" s="431">
        <f t="shared" si="13"/>
        <v>0.1111111111111111</v>
      </c>
      <c r="BE70" s="432">
        <f t="shared" si="13"/>
        <v>0.33333333333333331</v>
      </c>
    </row>
    <row r="71" spans="1:57" x14ac:dyDescent="0.25">
      <c r="A71" s="329">
        <v>45893</v>
      </c>
      <c r="B71" s="5">
        <v>2</v>
      </c>
      <c r="C71" s="5" t="s">
        <v>227</v>
      </c>
      <c r="D71" s="426">
        <v>1</v>
      </c>
      <c r="E71" s="426">
        <v>0</v>
      </c>
      <c r="F71" s="26" t="s">
        <v>145</v>
      </c>
      <c r="G71" s="242" t="s">
        <v>356</v>
      </c>
      <c r="H71" s="42">
        <v>56</v>
      </c>
      <c r="I71" s="26">
        <v>44</v>
      </c>
      <c r="J71" s="33">
        <v>0.83</v>
      </c>
      <c r="K71" s="34">
        <v>0.41</v>
      </c>
      <c r="L71" s="25">
        <v>1</v>
      </c>
      <c r="M71" s="26">
        <v>1</v>
      </c>
      <c r="N71" s="25">
        <v>16</v>
      </c>
      <c r="O71" s="26">
        <v>4</v>
      </c>
      <c r="P71" s="25">
        <v>1</v>
      </c>
      <c r="Q71" s="26">
        <v>3</v>
      </c>
      <c r="R71" s="25">
        <v>1</v>
      </c>
      <c r="S71" s="26">
        <v>1</v>
      </c>
      <c r="T71" s="33">
        <v>0.02</v>
      </c>
      <c r="U71" s="34">
        <v>-0.34</v>
      </c>
      <c r="V71" s="25">
        <v>3</v>
      </c>
      <c r="W71" s="26">
        <v>4</v>
      </c>
      <c r="X71" s="25">
        <v>14</v>
      </c>
      <c r="Y71" s="26">
        <v>13</v>
      </c>
      <c r="Z71" s="25">
        <v>464</v>
      </c>
      <c r="AA71" s="26">
        <v>370</v>
      </c>
      <c r="AB71" s="25">
        <v>13</v>
      </c>
      <c r="AC71" s="26">
        <v>12</v>
      </c>
      <c r="AD71" s="25">
        <v>13</v>
      </c>
      <c r="AE71" s="26">
        <v>14</v>
      </c>
      <c r="AF71" s="25">
        <v>2</v>
      </c>
      <c r="AG71" s="26">
        <v>1</v>
      </c>
      <c r="AH71" s="25">
        <v>0</v>
      </c>
      <c r="AI71" s="26">
        <v>1</v>
      </c>
      <c r="AJ71" s="25">
        <v>0</v>
      </c>
      <c r="AK71" s="43">
        <v>0</v>
      </c>
      <c r="AL71" s="173">
        <v>4</v>
      </c>
      <c r="AM71" s="364">
        <v>0.25</v>
      </c>
      <c r="AN71" s="144">
        <v>0</v>
      </c>
      <c r="AO71" s="144">
        <v>6</v>
      </c>
      <c r="AP71" s="144">
        <v>6</v>
      </c>
      <c r="AQ71" s="144">
        <v>9</v>
      </c>
      <c r="AR71" s="365">
        <v>0.5625</v>
      </c>
      <c r="AS71" s="144">
        <v>7</v>
      </c>
      <c r="AT71" s="5">
        <v>1</v>
      </c>
      <c r="AU71" s="372">
        <v>0.25</v>
      </c>
      <c r="AV71" s="5">
        <v>0</v>
      </c>
      <c r="AW71" s="5">
        <v>2</v>
      </c>
      <c r="AX71" s="5">
        <v>1</v>
      </c>
      <c r="AY71" s="5">
        <v>1</v>
      </c>
      <c r="AZ71" s="372">
        <v>0.25</v>
      </c>
      <c r="BA71" s="57">
        <v>3</v>
      </c>
      <c r="BB71" s="393">
        <v>0</v>
      </c>
      <c r="BC71" s="394">
        <v>0</v>
      </c>
      <c r="BD71" s="395">
        <v>0</v>
      </c>
      <c r="BE71" s="396">
        <v>0</v>
      </c>
    </row>
    <row r="72" spans="1:57" x14ac:dyDescent="0.25">
      <c r="A72" s="329">
        <v>45914</v>
      </c>
      <c r="B72" s="5">
        <v>4</v>
      </c>
      <c r="C72" s="5" t="s">
        <v>227</v>
      </c>
      <c r="D72" s="426">
        <v>2</v>
      </c>
      <c r="E72" s="426">
        <v>0</v>
      </c>
      <c r="F72" s="5" t="s">
        <v>70</v>
      </c>
      <c r="H72" s="42">
        <v>38</v>
      </c>
      <c r="I72" s="26">
        <v>64</v>
      </c>
      <c r="J72" s="33">
        <v>1.59</v>
      </c>
      <c r="K72" s="34">
        <v>1.0900000000000001</v>
      </c>
      <c r="L72" s="25">
        <v>3</v>
      </c>
      <c r="M72" s="26">
        <v>0</v>
      </c>
      <c r="N72" s="25">
        <v>9</v>
      </c>
      <c r="O72" s="26">
        <v>19</v>
      </c>
      <c r="P72" s="25">
        <v>6</v>
      </c>
      <c r="Q72" s="26">
        <v>4</v>
      </c>
      <c r="R72" s="25">
        <v>0</v>
      </c>
      <c r="S72" s="26">
        <v>1</v>
      </c>
      <c r="T72" s="33">
        <v>1.28</v>
      </c>
      <c r="U72" s="34">
        <v>0.03</v>
      </c>
      <c r="V72" s="25">
        <v>3</v>
      </c>
      <c r="W72" s="26">
        <v>6</v>
      </c>
      <c r="X72" s="25">
        <v>13</v>
      </c>
      <c r="Y72" s="26">
        <v>7</v>
      </c>
      <c r="Z72" s="25">
        <v>306</v>
      </c>
      <c r="AA72" s="26">
        <v>539</v>
      </c>
      <c r="AB72" s="25">
        <v>9</v>
      </c>
      <c r="AC72" s="26">
        <v>13</v>
      </c>
      <c r="AD72" s="25">
        <v>7</v>
      </c>
      <c r="AE72" s="26">
        <v>13</v>
      </c>
      <c r="AF72" s="25">
        <v>3</v>
      </c>
      <c r="AG72" s="26">
        <v>2</v>
      </c>
      <c r="AH72" s="25">
        <v>0</v>
      </c>
      <c r="AI72" s="26">
        <v>0</v>
      </c>
      <c r="AJ72" s="25">
        <v>0</v>
      </c>
      <c r="AK72" s="43">
        <v>0</v>
      </c>
      <c r="AL72" s="173">
        <v>7</v>
      </c>
      <c r="AM72" s="364">
        <v>0.77777777777777779</v>
      </c>
      <c r="AN72" s="144">
        <v>0</v>
      </c>
      <c r="AO72" s="144">
        <v>1</v>
      </c>
      <c r="AP72" s="144">
        <v>1</v>
      </c>
      <c r="AQ72" s="144">
        <v>6</v>
      </c>
      <c r="AR72" s="365">
        <v>0.66666666666666663</v>
      </c>
      <c r="AS72" s="144">
        <v>3</v>
      </c>
      <c r="AT72" s="5">
        <v>6</v>
      </c>
      <c r="AU72" s="372">
        <v>0.31578947368421051</v>
      </c>
      <c r="AV72" s="5">
        <v>1</v>
      </c>
      <c r="AW72" s="5">
        <v>7</v>
      </c>
      <c r="AX72" s="5">
        <v>6</v>
      </c>
      <c r="AY72" s="5">
        <v>12</v>
      </c>
      <c r="AZ72" s="372">
        <v>0.63157894736842102</v>
      </c>
      <c r="BA72" s="57">
        <v>7</v>
      </c>
      <c r="BB72" s="393">
        <v>0</v>
      </c>
      <c r="BC72" s="394">
        <v>0</v>
      </c>
      <c r="BD72" s="395">
        <v>1</v>
      </c>
      <c r="BE72" s="396">
        <v>0</v>
      </c>
    </row>
    <row r="73" spans="1:57" x14ac:dyDescent="0.25">
      <c r="A73" s="329">
        <v>45925</v>
      </c>
      <c r="B73" s="5">
        <v>6</v>
      </c>
      <c r="C73" s="5" t="s">
        <v>227</v>
      </c>
      <c r="D73" s="424">
        <v>1</v>
      </c>
      <c r="E73" s="424">
        <v>1</v>
      </c>
      <c r="F73" s="5" t="s">
        <v>208</v>
      </c>
      <c r="H73" s="42">
        <v>40</v>
      </c>
      <c r="I73" s="26">
        <v>60</v>
      </c>
      <c r="J73" s="33">
        <v>0.9</v>
      </c>
      <c r="K73" s="34">
        <v>0.82</v>
      </c>
      <c r="L73" s="25">
        <v>1</v>
      </c>
      <c r="M73" s="26">
        <v>3</v>
      </c>
      <c r="N73" s="25">
        <v>9</v>
      </c>
      <c r="O73" s="26">
        <v>12</v>
      </c>
      <c r="P73" s="25">
        <v>3</v>
      </c>
      <c r="Q73" s="26">
        <v>1</v>
      </c>
      <c r="R73" s="25">
        <v>0</v>
      </c>
      <c r="S73" s="26">
        <v>0</v>
      </c>
      <c r="T73" s="33">
        <v>0.2</v>
      </c>
      <c r="U73" s="34">
        <v>-0.75</v>
      </c>
      <c r="V73" s="25">
        <v>2</v>
      </c>
      <c r="W73" s="26">
        <v>3</v>
      </c>
      <c r="X73" s="25">
        <v>19</v>
      </c>
      <c r="Y73" s="26">
        <v>13</v>
      </c>
      <c r="Z73" s="25">
        <v>375</v>
      </c>
      <c r="AA73" s="26">
        <v>588</v>
      </c>
      <c r="AB73" s="25">
        <v>21</v>
      </c>
      <c r="AC73" s="26">
        <v>15</v>
      </c>
      <c r="AD73" s="25">
        <v>13</v>
      </c>
      <c r="AE73" s="26">
        <v>19</v>
      </c>
      <c r="AF73" s="25">
        <v>2</v>
      </c>
      <c r="AG73" s="26">
        <v>2</v>
      </c>
      <c r="AH73" s="25">
        <v>0</v>
      </c>
      <c r="AI73" s="26">
        <v>0</v>
      </c>
      <c r="AJ73" s="25">
        <v>0</v>
      </c>
      <c r="AK73" s="43">
        <v>0</v>
      </c>
      <c r="AL73" s="173">
        <v>2</v>
      </c>
      <c r="AM73" s="364">
        <v>0.22222222222222221</v>
      </c>
      <c r="AN73" s="144">
        <v>0</v>
      </c>
      <c r="AO73" s="144">
        <v>4</v>
      </c>
      <c r="AP73" s="144">
        <v>3</v>
      </c>
      <c r="AQ73" s="144">
        <v>7</v>
      </c>
      <c r="AR73" s="365">
        <v>0.77777777777777779</v>
      </c>
      <c r="AS73" s="144">
        <v>2</v>
      </c>
      <c r="AT73" s="5">
        <v>4</v>
      </c>
      <c r="AU73" s="372">
        <v>0.33333333333333331</v>
      </c>
      <c r="AV73" s="5">
        <v>1</v>
      </c>
      <c r="AW73" s="5">
        <v>2</v>
      </c>
      <c r="AX73" s="5">
        <v>6</v>
      </c>
      <c r="AY73" s="5">
        <v>7</v>
      </c>
      <c r="AZ73" s="372">
        <v>0.58333333333333337</v>
      </c>
      <c r="BA73" s="57">
        <v>5</v>
      </c>
      <c r="BB73" s="393">
        <v>0</v>
      </c>
      <c r="BC73" s="394">
        <v>1</v>
      </c>
      <c r="BD73" s="395">
        <v>0</v>
      </c>
      <c r="BE73" s="396">
        <v>0</v>
      </c>
    </row>
    <row r="74" spans="1:57" ht="15.75" thickBot="1" x14ac:dyDescent="0.3">
      <c r="A74" s="330">
        <v>45933</v>
      </c>
      <c r="B74" s="9">
        <v>8</v>
      </c>
      <c r="C74" s="9" t="s">
        <v>227</v>
      </c>
      <c r="D74" s="438">
        <v>2</v>
      </c>
      <c r="E74" s="438">
        <v>1</v>
      </c>
      <c r="F74" s="9" t="s">
        <v>161</v>
      </c>
      <c r="G74" s="45"/>
      <c r="H74" s="384">
        <v>58</v>
      </c>
      <c r="I74" s="74">
        <v>42</v>
      </c>
      <c r="J74" s="385">
        <v>0.43</v>
      </c>
      <c r="K74" s="386">
        <v>0.86</v>
      </c>
      <c r="L74" s="387">
        <v>1</v>
      </c>
      <c r="M74" s="74">
        <v>2</v>
      </c>
      <c r="N74" s="387">
        <v>7</v>
      </c>
      <c r="O74" s="74">
        <v>6</v>
      </c>
      <c r="P74" s="387">
        <v>1</v>
      </c>
      <c r="Q74" s="74">
        <v>2</v>
      </c>
      <c r="R74" s="387">
        <v>0</v>
      </c>
      <c r="S74" s="74">
        <v>1</v>
      </c>
      <c r="T74" s="385">
        <v>-0.56999999999999995</v>
      </c>
      <c r="U74" s="386">
        <v>-0.35</v>
      </c>
      <c r="V74" s="387">
        <v>1</v>
      </c>
      <c r="W74" s="74">
        <v>6</v>
      </c>
      <c r="X74" s="387">
        <v>11</v>
      </c>
      <c r="Y74" s="74">
        <v>14</v>
      </c>
      <c r="Z74" s="387">
        <v>438</v>
      </c>
      <c r="AA74" s="74">
        <v>318</v>
      </c>
      <c r="AB74" s="387">
        <v>9</v>
      </c>
      <c r="AC74" s="74">
        <v>15</v>
      </c>
      <c r="AD74" s="387">
        <v>14</v>
      </c>
      <c r="AE74" s="74">
        <v>11</v>
      </c>
      <c r="AF74" s="387">
        <v>1</v>
      </c>
      <c r="AG74" s="74">
        <v>4</v>
      </c>
      <c r="AH74" s="387">
        <v>0</v>
      </c>
      <c r="AI74" s="74">
        <v>0</v>
      </c>
      <c r="AJ74" s="387">
        <v>0</v>
      </c>
      <c r="AK74" s="76">
        <v>0</v>
      </c>
      <c r="AL74" s="177">
        <v>3</v>
      </c>
      <c r="AM74" s="388">
        <v>0.42857142857142855</v>
      </c>
      <c r="AN74" s="152">
        <v>0</v>
      </c>
      <c r="AO74" s="152">
        <v>4</v>
      </c>
      <c r="AP74" s="152">
        <v>6</v>
      </c>
      <c r="AQ74" s="152">
        <v>6</v>
      </c>
      <c r="AR74" s="389">
        <v>0.8571428571428571</v>
      </c>
      <c r="AS74" s="152">
        <v>1</v>
      </c>
      <c r="AT74" s="9">
        <v>2</v>
      </c>
      <c r="AU74" s="390">
        <v>0.33333333333333331</v>
      </c>
      <c r="AV74" s="9">
        <v>0</v>
      </c>
      <c r="AW74" s="9">
        <v>3</v>
      </c>
      <c r="AX74" s="9">
        <v>1</v>
      </c>
      <c r="AY74" s="9">
        <v>6</v>
      </c>
      <c r="AZ74" s="390">
        <v>1</v>
      </c>
      <c r="BA74" s="58">
        <v>0</v>
      </c>
      <c r="BB74" s="420">
        <v>0</v>
      </c>
      <c r="BC74" s="421">
        <v>0</v>
      </c>
      <c r="BD74" s="422">
        <v>0</v>
      </c>
      <c r="BE74" s="423">
        <v>0</v>
      </c>
    </row>
    <row r="75" spans="1:57" x14ac:dyDescent="0.25">
      <c r="A75" s="331">
        <v>45892</v>
      </c>
      <c r="B75" s="13">
        <v>2</v>
      </c>
      <c r="C75" s="13" t="s">
        <v>112</v>
      </c>
      <c r="D75" s="440">
        <v>1</v>
      </c>
      <c r="E75" s="440">
        <v>1</v>
      </c>
      <c r="F75" s="13" t="s">
        <v>456</v>
      </c>
      <c r="G75" s="47"/>
      <c r="H75" s="376">
        <v>50</v>
      </c>
      <c r="I75" s="79">
        <v>50</v>
      </c>
      <c r="J75" s="377">
        <v>0.68</v>
      </c>
      <c r="K75" s="378">
        <v>0.74</v>
      </c>
      <c r="L75" s="379">
        <v>1</v>
      </c>
      <c r="M75" s="79">
        <v>2</v>
      </c>
      <c r="N75" s="379">
        <v>12</v>
      </c>
      <c r="O75" s="79">
        <v>8</v>
      </c>
      <c r="P75" s="379">
        <v>1</v>
      </c>
      <c r="Q75" s="79">
        <v>3</v>
      </c>
      <c r="R75" s="379">
        <v>1</v>
      </c>
      <c r="S75" s="79">
        <v>1</v>
      </c>
      <c r="T75" s="377">
        <v>-0.65</v>
      </c>
      <c r="U75" s="378">
        <v>0.04</v>
      </c>
      <c r="V75" s="379">
        <v>3</v>
      </c>
      <c r="W75" s="79">
        <v>4</v>
      </c>
      <c r="X75" s="379">
        <v>12</v>
      </c>
      <c r="Y75" s="79">
        <v>12</v>
      </c>
      <c r="Z75" s="379">
        <v>433</v>
      </c>
      <c r="AA75" s="79">
        <v>445</v>
      </c>
      <c r="AB75" s="379">
        <v>9</v>
      </c>
      <c r="AC75" s="79">
        <v>11</v>
      </c>
      <c r="AD75" s="379">
        <v>12</v>
      </c>
      <c r="AE75" s="79">
        <v>12</v>
      </c>
      <c r="AF75" s="379">
        <v>3</v>
      </c>
      <c r="AG75" s="79">
        <v>3</v>
      </c>
      <c r="AH75" s="379">
        <v>0</v>
      </c>
      <c r="AI75" s="79">
        <v>0</v>
      </c>
      <c r="AJ75" s="379">
        <v>0</v>
      </c>
      <c r="AK75" s="80">
        <v>0</v>
      </c>
      <c r="AL75" s="169">
        <v>4</v>
      </c>
      <c r="AM75" s="380">
        <v>0.33333333333333331</v>
      </c>
      <c r="AN75" s="160">
        <v>0</v>
      </c>
      <c r="AO75" s="160">
        <v>7</v>
      </c>
      <c r="AP75" s="160">
        <v>1</v>
      </c>
      <c r="AQ75" s="160">
        <v>8</v>
      </c>
      <c r="AR75" s="381">
        <v>0.66666666666666663</v>
      </c>
      <c r="AS75" s="160">
        <v>4</v>
      </c>
      <c r="AT75" s="13">
        <v>2</v>
      </c>
      <c r="AU75" s="382">
        <v>0.25</v>
      </c>
      <c r="AV75" s="13">
        <v>0</v>
      </c>
      <c r="AW75" s="13">
        <v>4</v>
      </c>
      <c r="AX75" s="13">
        <v>2</v>
      </c>
      <c r="AY75" s="13">
        <v>3</v>
      </c>
      <c r="AZ75" s="382">
        <v>0.375</v>
      </c>
      <c r="BA75" s="60">
        <v>5</v>
      </c>
      <c r="BB75" s="416">
        <v>0</v>
      </c>
      <c r="BC75" s="417">
        <v>0</v>
      </c>
      <c r="BD75" s="418">
        <v>1</v>
      </c>
      <c r="BE75" s="419">
        <v>0</v>
      </c>
    </row>
    <row r="76" spans="1:57" x14ac:dyDescent="0.25">
      <c r="A76" s="329">
        <v>45921</v>
      </c>
      <c r="B76" s="5">
        <v>5</v>
      </c>
      <c r="C76" s="5" t="s">
        <v>70</v>
      </c>
      <c r="D76" s="424">
        <v>1</v>
      </c>
      <c r="E76" s="424">
        <v>1</v>
      </c>
      <c r="F76" s="5" t="s">
        <v>456</v>
      </c>
      <c r="H76" s="42">
        <v>59</v>
      </c>
      <c r="I76" s="26">
        <v>41</v>
      </c>
      <c r="J76" s="33">
        <v>1.08</v>
      </c>
      <c r="K76" s="34">
        <v>0.81</v>
      </c>
      <c r="L76" s="25">
        <v>3</v>
      </c>
      <c r="M76" s="26">
        <v>3</v>
      </c>
      <c r="N76" s="25">
        <v>15</v>
      </c>
      <c r="O76" s="26">
        <v>9</v>
      </c>
      <c r="P76" s="25">
        <v>4</v>
      </c>
      <c r="Q76" s="26">
        <v>4</v>
      </c>
      <c r="R76" s="25">
        <v>1</v>
      </c>
      <c r="S76" s="26">
        <v>1</v>
      </c>
      <c r="T76" s="33">
        <v>0.61</v>
      </c>
      <c r="U76" s="34">
        <v>-0.17</v>
      </c>
      <c r="V76" s="25">
        <v>5</v>
      </c>
      <c r="W76" s="26">
        <v>7</v>
      </c>
      <c r="X76" s="25">
        <v>8</v>
      </c>
      <c r="Y76" s="26">
        <v>10</v>
      </c>
      <c r="Z76" s="25">
        <v>533</v>
      </c>
      <c r="AA76" s="26">
        <v>370</v>
      </c>
      <c r="AB76" s="25">
        <v>11</v>
      </c>
      <c r="AC76" s="26">
        <v>13</v>
      </c>
      <c r="AD76" s="25">
        <v>10</v>
      </c>
      <c r="AE76" s="26">
        <v>8</v>
      </c>
      <c r="AF76" s="25">
        <v>1</v>
      </c>
      <c r="AG76" s="26">
        <v>1</v>
      </c>
      <c r="AH76" s="25">
        <v>0</v>
      </c>
      <c r="AI76" s="26">
        <v>0</v>
      </c>
      <c r="AJ76" s="25">
        <v>0</v>
      </c>
      <c r="AK76" s="43">
        <v>0</v>
      </c>
      <c r="AL76" s="173">
        <v>5</v>
      </c>
      <c r="AM76" s="364">
        <v>0.33333333333333331</v>
      </c>
      <c r="AN76" s="144">
        <v>1</v>
      </c>
      <c r="AO76" s="144">
        <v>8</v>
      </c>
      <c r="AP76" s="144">
        <v>2</v>
      </c>
      <c r="AQ76" s="144">
        <v>8</v>
      </c>
      <c r="AR76" s="365">
        <v>0.53333333333333333</v>
      </c>
      <c r="AS76" s="144">
        <v>7</v>
      </c>
      <c r="AT76" s="5">
        <v>5</v>
      </c>
      <c r="AU76" s="372">
        <v>0.55555555555555558</v>
      </c>
      <c r="AV76" s="5">
        <v>0</v>
      </c>
      <c r="AW76" s="5">
        <v>1</v>
      </c>
      <c r="AX76" s="5">
        <v>3</v>
      </c>
      <c r="AY76" s="5">
        <v>6</v>
      </c>
      <c r="AZ76" s="372">
        <v>0.66666666666666663</v>
      </c>
      <c r="BA76" s="57">
        <v>3</v>
      </c>
      <c r="BB76" s="393">
        <v>0</v>
      </c>
      <c r="BC76" s="394">
        <v>0</v>
      </c>
      <c r="BD76" s="395">
        <v>1</v>
      </c>
      <c r="BE76" s="396">
        <v>0</v>
      </c>
    </row>
    <row r="77" spans="1:57" x14ac:dyDescent="0.25">
      <c r="A77" s="329">
        <v>45928</v>
      </c>
      <c r="B77" s="5">
        <v>7</v>
      </c>
      <c r="C77" s="5" t="s">
        <v>208</v>
      </c>
      <c r="D77" s="425">
        <v>2</v>
      </c>
      <c r="E77" s="425">
        <v>1</v>
      </c>
      <c r="F77" s="5" t="s">
        <v>456</v>
      </c>
      <c r="H77" s="42">
        <v>62</v>
      </c>
      <c r="I77" s="26">
        <v>38</v>
      </c>
      <c r="J77" s="33">
        <v>3.58</v>
      </c>
      <c r="K77" s="34">
        <v>1.77</v>
      </c>
      <c r="L77" s="25">
        <v>7</v>
      </c>
      <c r="M77" s="26">
        <v>2</v>
      </c>
      <c r="N77" s="25">
        <v>17</v>
      </c>
      <c r="O77" s="26">
        <v>8</v>
      </c>
      <c r="P77" s="25">
        <v>1</v>
      </c>
      <c r="Q77" s="26">
        <v>6</v>
      </c>
      <c r="R77" s="25">
        <v>0</v>
      </c>
      <c r="S77" s="26">
        <v>1</v>
      </c>
      <c r="T77" s="33">
        <v>-0.73</v>
      </c>
      <c r="U77" s="34">
        <v>0.87</v>
      </c>
      <c r="V77" s="25">
        <v>7</v>
      </c>
      <c r="W77" s="26">
        <v>2</v>
      </c>
      <c r="X77" s="25">
        <v>12</v>
      </c>
      <c r="Y77" s="26">
        <v>20</v>
      </c>
      <c r="Z77" s="25">
        <v>574</v>
      </c>
      <c r="AA77" s="26">
        <v>358</v>
      </c>
      <c r="AB77" s="25">
        <v>16</v>
      </c>
      <c r="AC77" s="26">
        <v>23</v>
      </c>
      <c r="AD77" s="25">
        <v>19</v>
      </c>
      <c r="AE77" s="26">
        <v>12</v>
      </c>
      <c r="AF77" s="25">
        <v>3</v>
      </c>
      <c r="AG77" s="26">
        <v>3</v>
      </c>
      <c r="AH77" s="25">
        <v>0</v>
      </c>
      <c r="AI77" s="26">
        <v>0</v>
      </c>
      <c r="AJ77" s="25">
        <v>0.7</v>
      </c>
      <c r="AK77" s="43">
        <v>0</v>
      </c>
      <c r="AL77" s="173">
        <v>8</v>
      </c>
      <c r="AM77" s="364">
        <v>0.47058823529411764</v>
      </c>
      <c r="AN77" s="144">
        <v>0</v>
      </c>
      <c r="AO77" s="144">
        <v>4</v>
      </c>
      <c r="AP77" s="144">
        <v>5</v>
      </c>
      <c r="AQ77" s="144">
        <v>15</v>
      </c>
      <c r="AR77" s="365">
        <v>0.88235294117647056</v>
      </c>
      <c r="AS77" s="144">
        <v>2</v>
      </c>
      <c r="AT77" s="5">
        <v>2</v>
      </c>
      <c r="AU77" s="372">
        <v>0.25</v>
      </c>
      <c r="AV77" s="5">
        <v>0</v>
      </c>
      <c r="AW77" s="5">
        <v>3</v>
      </c>
      <c r="AX77" s="5">
        <v>3</v>
      </c>
      <c r="AY77" s="5">
        <v>7</v>
      </c>
      <c r="AZ77" s="372">
        <v>0.875</v>
      </c>
      <c r="BA77" s="57">
        <v>1</v>
      </c>
      <c r="BB77" s="393">
        <v>1</v>
      </c>
      <c r="BC77" s="394">
        <v>0</v>
      </c>
      <c r="BD77" s="395">
        <v>0</v>
      </c>
      <c r="BE77" s="396">
        <v>0</v>
      </c>
    </row>
    <row r="78" spans="1:57" x14ac:dyDescent="0.25">
      <c r="A78" s="400">
        <v>45956</v>
      </c>
      <c r="B78" s="401">
        <v>10</v>
      </c>
      <c r="C78" s="401" t="s">
        <v>227</v>
      </c>
      <c r="D78" s="363">
        <f>AVERAGE(D71:D77)</f>
        <v>1.4285714285714286</v>
      </c>
      <c r="E78" s="363">
        <f>AVERAGE(E71:E77)</f>
        <v>0.7142857142857143</v>
      </c>
      <c r="F78" s="401" t="s">
        <v>456</v>
      </c>
      <c r="G78" s="402"/>
      <c r="H78" s="403">
        <f t="shared" ref="H78:AM78" si="14">AVERAGE(H71:H77)</f>
        <v>51.857142857142854</v>
      </c>
      <c r="I78" s="401">
        <f t="shared" si="14"/>
        <v>48.428571428571431</v>
      </c>
      <c r="J78" s="437">
        <f t="shared" si="14"/>
        <v>1.2985714285714285</v>
      </c>
      <c r="K78" s="404">
        <f t="shared" si="14"/>
        <v>0.9285714285714286</v>
      </c>
      <c r="L78" s="433">
        <f t="shared" si="14"/>
        <v>2.4285714285714284</v>
      </c>
      <c r="M78" s="401">
        <f t="shared" si="14"/>
        <v>1.8571428571428572</v>
      </c>
      <c r="N78" s="401">
        <f t="shared" si="14"/>
        <v>12.142857142857142</v>
      </c>
      <c r="O78" s="401">
        <f t="shared" si="14"/>
        <v>9.4285714285714288</v>
      </c>
      <c r="P78" s="401">
        <f t="shared" si="14"/>
        <v>2.4285714285714284</v>
      </c>
      <c r="Q78" s="401">
        <f t="shared" si="14"/>
        <v>3.2857142857142856</v>
      </c>
      <c r="R78" s="401">
        <f t="shared" si="14"/>
        <v>0.42857142857142855</v>
      </c>
      <c r="S78" s="401">
        <f t="shared" si="14"/>
        <v>0.8571428571428571</v>
      </c>
      <c r="T78" s="404">
        <f t="shared" si="14"/>
        <v>2.2857142857142861E-2</v>
      </c>
      <c r="U78" s="404">
        <f t="shared" si="14"/>
        <v>-9.5714285714285724E-2</v>
      </c>
      <c r="V78" s="401">
        <f t="shared" si="14"/>
        <v>3.4285714285714284</v>
      </c>
      <c r="W78" s="401">
        <f t="shared" si="14"/>
        <v>4.5714285714285712</v>
      </c>
      <c r="X78" s="401">
        <f t="shared" si="14"/>
        <v>12.714285714285714</v>
      </c>
      <c r="Y78" s="401">
        <f t="shared" si="14"/>
        <v>12.714285714285714</v>
      </c>
      <c r="Z78" s="401">
        <f t="shared" si="14"/>
        <v>446.14285714285717</v>
      </c>
      <c r="AA78" s="401">
        <f t="shared" si="14"/>
        <v>426.85714285714283</v>
      </c>
      <c r="AB78" s="401">
        <f t="shared" si="14"/>
        <v>12.571428571428571</v>
      </c>
      <c r="AC78" s="401">
        <f t="shared" si="14"/>
        <v>14.571428571428571</v>
      </c>
      <c r="AD78" s="401">
        <f t="shared" si="14"/>
        <v>12.571428571428571</v>
      </c>
      <c r="AE78" s="401">
        <f t="shared" si="14"/>
        <v>12.714285714285714</v>
      </c>
      <c r="AF78" s="401">
        <f t="shared" si="14"/>
        <v>2.1428571428571428</v>
      </c>
      <c r="AG78" s="401">
        <f t="shared" si="14"/>
        <v>2.2857142857142856</v>
      </c>
      <c r="AH78" s="401">
        <f t="shared" si="14"/>
        <v>0</v>
      </c>
      <c r="AI78" s="401">
        <f t="shared" si="14"/>
        <v>0.14285714285714285</v>
      </c>
      <c r="AJ78" s="401">
        <f t="shared" si="14"/>
        <v>9.9999999999999992E-2</v>
      </c>
      <c r="AK78" s="405">
        <f t="shared" si="14"/>
        <v>0</v>
      </c>
      <c r="AL78" s="435">
        <f t="shared" si="14"/>
        <v>4.7142857142857144</v>
      </c>
      <c r="AM78" s="436">
        <f t="shared" si="14"/>
        <v>0.40226090436174472</v>
      </c>
      <c r="AN78" s="401">
        <f t="shared" ref="AN78:BS78" si="15">AVERAGE(AN71:AN77)</f>
        <v>0.14285714285714285</v>
      </c>
      <c r="AO78" s="401">
        <f t="shared" si="15"/>
        <v>4.8571428571428568</v>
      </c>
      <c r="AP78" s="401">
        <f t="shared" si="15"/>
        <v>3.4285714285714284</v>
      </c>
      <c r="AQ78" s="401">
        <f t="shared" si="15"/>
        <v>8.4285714285714288</v>
      </c>
      <c r="AR78" s="434">
        <f t="shared" si="15"/>
        <v>0.70663432039482466</v>
      </c>
      <c r="AS78" s="401">
        <f t="shared" si="15"/>
        <v>3.7142857142857144</v>
      </c>
      <c r="AT78" s="433">
        <f t="shared" si="15"/>
        <v>3.1428571428571428</v>
      </c>
      <c r="AU78" s="434">
        <f t="shared" si="15"/>
        <v>0.32685881370091902</v>
      </c>
      <c r="AV78" s="401">
        <f t="shared" si="15"/>
        <v>0.2857142857142857</v>
      </c>
      <c r="AW78" s="401">
        <f t="shared" si="15"/>
        <v>3.1428571428571428</v>
      </c>
      <c r="AX78" s="401">
        <f t="shared" si="15"/>
        <v>3.1428571428571428</v>
      </c>
      <c r="AY78" s="401">
        <f t="shared" si="15"/>
        <v>6</v>
      </c>
      <c r="AZ78" s="434">
        <f t="shared" si="15"/>
        <v>0.62593984962406013</v>
      </c>
      <c r="BA78" s="405">
        <f t="shared" si="15"/>
        <v>3.4285714285714284</v>
      </c>
      <c r="BB78" s="430">
        <f t="shared" si="15"/>
        <v>0.14285714285714285</v>
      </c>
      <c r="BC78" s="431">
        <f t="shared" si="15"/>
        <v>0.14285714285714285</v>
      </c>
      <c r="BD78" s="431">
        <f t="shared" si="15"/>
        <v>0.42857142857142855</v>
      </c>
      <c r="BE78" s="410">
        <f t="shared" si="15"/>
        <v>0</v>
      </c>
    </row>
    <row r="79" spans="1:57" x14ac:dyDescent="0.25">
      <c r="A79" s="329">
        <v>45900</v>
      </c>
      <c r="B79" s="5">
        <v>3</v>
      </c>
      <c r="C79" s="5" t="s">
        <v>70</v>
      </c>
      <c r="D79" s="424">
        <v>1</v>
      </c>
      <c r="E79" s="424">
        <v>1</v>
      </c>
      <c r="F79" s="5" t="s">
        <v>113</v>
      </c>
      <c r="H79" s="42">
        <v>43</v>
      </c>
      <c r="I79" s="26">
        <v>57</v>
      </c>
      <c r="J79" s="33">
        <v>1.85</v>
      </c>
      <c r="K79" s="34">
        <v>1.83</v>
      </c>
      <c r="L79" s="25">
        <v>5</v>
      </c>
      <c r="M79" s="26">
        <v>4</v>
      </c>
      <c r="N79" s="25">
        <v>12</v>
      </c>
      <c r="O79" s="26">
        <v>12</v>
      </c>
      <c r="P79" s="25">
        <v>2</v>
      </c>
      <c r="Q79" s="26">
        <v>5</v>
      </c>
      <c r="R79" s="25">
        <v>0</v>
      </c>
      <c r="S79" s="26">
        <v>0</v>
      </c>
      <c r="T79" s="33">
        <v>-0.1</v>
      </c>
      <c r="U79" s="34">
        <v>0.77</v>
      </c>
      <c r="V79" s="25">
        <v>9</v>
      </c>
      <c r="W79" s="26">
        <v>4</v>
      </c>
      <c r="X79" s="25">
        <v>16</v>
      </c>
      <c r="Y79" s="26">
        <v>8</v>
      </c>
      <c r="Z79" s="25">
        <v>338</v>
      </c>
      <c r="AA79" s="26">
        <v>444</v>
      </c>
      <c r="AB79" s="25">
        <v>17</v>
      </c>
      <c r="AC79" s="26">
        <v>18</v>
      </c>
      <c r="AD79" s="25">
        <v>8</v>
      </c>
      <c r="AE79" s="26">
        <v>15</v>
      </c>
      <c r="AF79" s="25">
        <v>4</v>
      </c>
      <c r="AG79" s="26">
        <v>1</v>
      </c>
      <c r="AH79" s="25">
        <v>0</v>
      </c>
      <c r="AI79" s="26">
        <v>0</v>
      </c>
      <c r="AJ79" s="25">
        <v>0</v>
      </c>
      <c r="AK79" s="43">
        <v>0.7</v>
      </c>
      <c r="AL79" s="173">
        <v>6</v>
      </c>
      <c r="AM79" s="364">
        <v>0.5</v>
      </c>
      <c r="AN79" s="144">
        <v>0</v>
      </c>
      <c r="AO79" s="144">
        <v>3</v>
      </c>
      <c r="AP79" s="144">
        <v>3</v>
      </c>
      <c r="AQ79" s="144">
        <v>9</v>
      </c>
      <c r="AR79" s="365">
        <v>0.75</v>
      </c>
      <c r="AS79" s="144">
        <v>3</v>
      </c>
      <c r="AT79" s="5">
        <v>3</v>
      </c>
      <c r="AU79" s="372">
        <v>0.25</v>
      </c>
      <c r="AV79" s="5">
        <v>0</v>
      </c>
      <c r="AW79" s="5">
        <v>6</v>
      </c>
      <c r="AX79" s="5">
        <v>3</v>
      </c>
      <c r="AY79" s="5">
        <v>8</v>
      </c>
      <c r="AZ79" s="372">
        <v>0.66666666666666663</v>
      </c>
      <c r="BA79" s="57">
        <v>4</v>
      </c>
      <c r="BB79" s="393">
        <v>1</v>
      </c>
      <c r="BC79" s="394">
        <v>0</v>
      </c>
      <c r="BD79" s="395">
        <v>0</v>
      </c>
      <c r="BE79" s="396">
        <v>0</v>
      </c>
    </row>
    <row r="80" spans="1:57" x14ac:dyDescent="0.25">
      <c r="A80" s="329">
        <v>45921</v>
      </c>
      <c r="B80" s="5">
        <v>5</v>
      </c>
      <c r="C80" s="5" t="s">
        <v>70</v>
      </c>
      <c r="D80" s="424">
        <v>1</v>
      </c>
      <c r="E80" s="424">
        <v>1</v>
      </c>
      <c r="F80" s="5" t="s">
        <v>456</v>
      </c>
      <c r="H80" s="42">
        <v>59</v>
      </c>
      <c r="I80" s="26">
        <v>41</v>
      </c>
      <c r="J80" s="33">
        <v>1.08</v>
      </c>
      <c r="K80" s="34">
        <v>0.81</v>
      </c>
      <c r="L80" s="25">
        <v>3</v>
      </c>
      <c r="M80" s="26">
        <v>3</v>
      </c>
      <c r="N80" s="25">
        <v>15</v>
      </c>
      <c r="O80" s="26">
        <v>9</v>
      </c>
      <c r="P80" s="25">
        <v>4</v>
      </c>
      <c r="Q80" s="26">
        <v>4</v>
      </c>
      <c r="R80" s="25">
        <v>1</v>
      </c>
      <c r="S80" s="26">
        <v>1</v>
      </c>
      <c r="T80" s="33">
        <v>0.61</v>
      </c>
      <c r="U80" s="34">
        <v>-0.17</v>
      </c>
      <c r="V80" s="25">
        <v>5</v>
      </c>
      <c r="W80" s="26">
        <v>7</v>
      </c>
      <c r="X80" s="25">
        <v>8</v>
      </c>
      <c r="Y80" s="26">
        <v>10</v>
      </c>
      <c r="Z80" s="25">
        <v>533</v>
      </c>
      <c r="AA80" s="26">
        <v>370</v>
      </c>
      <c r="AB80" s="25">
        <v>11</v>
      </c>
      <c r="AC80" s="26">
        <v>13</v>
      </c>
      <c r="AD80" s="25">
        <v>10</v>
      </c>
      <c r="AE80" s="26">
        <v>8</v>
      </c>
      <c r="AF80" s="25">
        <v>1</v>
      </c>
      <c r="AG80" s="26">
        <v>1</v>
      </c>
      <c r="AH80" s="25">
        <v>0</v>
      </c>
      <c r="AI80" s="26">
        <v>0</v>
      </c>
      <c r="AJ80" s="25">
        <v>0</v>
      </c>
      <c r="AK80" s="43">
        <v>0</v>
      </c>
      <c r="AL80" s="173">
        <v>5</v>
      </c>
      <c r="AM80" s="364">
        <v>0.33333333333333331</v>
      </c>
      <c r="AN80" s="144">
        <v>1</v>
      </c>
      <c r="AO80" s="144">
        <v>8</v>
      </c>
      <c r="AP80" s="144">
        <v>2</v>
      </c>
      <c r="AQ80" s="144">
        <v>8</v>
      </c>
      <c r="AR80" s="365">
        <v>0.53333333333333333</v>
      </c>
      <c r="AS80" s="144">
        <v>7</v>
      </c>
      <c r="AT80" s="5">
        <v>5</v>
      </c>
      <c r="AU80" s="372">
        <v>0.55555555555555558</v>
      </c>
      <c r="AV80" s="5">
        <v>0</v>
      </c>
      <c r="AW80" s="5">
        <v>1</v>
      </c>
      <c r="AX80" s="5">
        <v>3</v>
      </c>
      <c r="AY80" s="5">
        <v>6</v>
      </c>
      <c r="AZ80" s="372">
        <v>0.66666666666666663</v>
      </c>
      <c r="BA80" s="57">
        <v>3</v>
      </c>
      <c r="BB80" s="393">
        <v>0</v>
      </c>
      <c r="BC80" s="394">
        <v>0</v>
      </c>
      <c r="BD80" s="395">
        <v>1</v>
      </c>
      <c r="BE80" s="396">
        <v>0</v>
      </c>
    </row>
    <row r="81" spans="1:57" ht="15.75" thickBot="1" x14ac:dyDescent="0.3">
      <c r="A81" s="330">
        <v>45928</v>
      </c>
      <c r="B81" s="9">
        <v>7</v>
      </c>
      <c r="C81" s="74" t="s">
        <v>70</v>
      </c>
      <c r="D81" s="427">
        <v>0</v>
      </c>
      <c r="E81" s="427">
        <v>1</v>
      </c>
      <c r="F81" s="9" t="s">
        <v>171</v>
      </c>
      <c r="G81" s="444" t="s">
        <v>526</v>
      </c>
      <c r="H81" s="384">
        <v>64</v>
      </c>
      <c r="I81" s="74">
        <v>36</v>
      </c>
      <c r="J81" s="385">
        <v>1.89</v>
      </c>
      <c r="K81" s="386">
        <v>0.63</v>
      </c>
      <c r="L81" s="387">
        <v>2</v>
      </c>
      <c r="M81" s="74">
        <v>1</v>
      </c>
      <c r="N81" s="387">
        <v>18</v>
      </c>
      <c r="O81" s="74">
        <v>4</v>
      </c>
      <c r="P81" s="387">
        <v>0</v>
      </c>
      <c r="Q81" s="74">
        <v>6</v>
      </c>
      <c r="R81" s="387">
        <v>0</v>
      </c>
      <c r="S81" s="74">
        <v>3</v>
      </c>
      <c r="T81" s="385">
        <v>-0.03</v>
      </c>
      <c r="U81" s="386">
        <v>1.65</v>
      </c>
      <c r="V81" s="387">
        <v>12</v>
      </c>
      <c r="W81" s="74">
        <v>4</v>
      </c>
      <c r="X81" s="387">
        <v>11</v>
      </c>
      <c r="Y81" s="74">
        <v>15</v>
      </c>
      <c r="Z81" s="387">
        <v>486</v>
      </c>
      <c r="AA81" s="74">
        <v>280</v>
      </c>
      <c r="AB81" s="387">
        <v>14</v>
      </c>
      <c r="AC81" s="74">
        <v>15</v>
      </c>
      <c r="AD81" s="387">
        <v>15</v>
      </c>
      <c r="AE81" s="74">
        <v>12</v>
      </c>
      <c r="AF81" s="387">
        <v>3</v>
      </c>
      <c r="AG81" s="74">
        <v>2</v>
      </c>
      <c r="AH81" s="387">
        <v>1</v>
      </c>
      <c r="AI81" s="74">
        <v>0</v>
      </c>
      <c r="AJ81" s="387">
        <v>0</v>
      </c>
      <c r="AK81" s="76">
        <v>0</v>
      </c>
      <c r="AL81" s="177">
        <v>6</v>
      </c>
      <c r="AM81" s="388">
        <v>0.33333333333333331</v>
      </c>
      <c r="AN81" s="152">
        <v>0</v>
      </c>
      <c r="AO81" s="152">
        <v>7</v>
      </c>
      <c r="AP81" s="152">
        <v>5</v>
      </c>
      <c r="AQ81" s="152">
        <v>13</v>
      </c>
      <c r="AR81" s="389">
        <v>0.72222222222222221</v>
      </c>
      <c r="AS81" s="152">
        <v>5</v>
      </c>
      <c r="AT81" s="9">
        <v>1</v>
      </c>
      <c r="AU81" s="390">
        <v>0.25</v>
      </c>
      <c r="AV81" s="9">
        <v>0</v>
      </c>
      <c r="AW81" s="9">
        <v>1</v>
      </c>
      <c r="AX81" s="9">
        <v>2</v>
      </c>
      <c r="AY81" s="9">
        <v>2</v>
      </c>
      <c r="AZ81" s="390">
        <v>0.5</v>
      </c>
      <c r="BA81" s="58">
        <v>2</v>
      </c>
      <c r="BB81" s="420">
        <v>1</v>
      </c>
      <c r="BC81" s="421">
        <v>0</v>
      </c>
      <c r="BD81" s="422">
        <v>1</v>
      </c>
      <c r="BE81" s="423">
        <v>0</v>
      </c>
    </row>
    <row r="82" spans="1:57" x14ac:dyDescent="0.25">
      <c r="A82" s="331">
        <v>45891</v>
      </c>
      <c r="B82" s="13">
        <v>2</v>
      </c>
      <c r="C82" s="13" t="s">
        <v>209</v>
      </c>
      <c r="D82" s="428">
        <v>1</v>
      </c>
      <c r="E82" s="428">
        <v>0</v>
      </c>
      <c r="F82" s="13" t="s">
        <v>128</v>
      </c>
      <c r="G82" s="47"/>
      <c r="H82" s="376">
        <v>49</v>
      </c>
      <c r="I82" s="79">
        <v>51</v>
      </c>
      <c r="J82" s="377">
        <v>1.95</v>
      </c>
      <c r="K82" s="378">
        <v>1.1200000000000001</v>
      </c>
      <c r="L82" s="379">
        <v>3</v>
      </c>
      <c r="M82" s="79">
        <v>3</v>
      </c>
      <c r="N82" s="379">
        <v>16</v>
      </c>
      <c r="O82" s="79">
        <v>11</v>
      </c>
      <c r="P82" s="379">
        <v>5</v>
      </c>
      <c r="Q82" s="79">
        <v>5</v>
      </c>
      <c r="R82" s="379">
        <v>0</v>
      </c>
      <c r="S82" s="79">
        <v>1</v>
      </c>
      <c r="T82" s="377">
        <v>0.33</v>
      </c>
      <c r="U82" s="378">
        <v>0.41</v>
      </c>
      <c r="V82" s="379">
        <v>5</v>
      </c>
      <c r="W82" s="79">
        <v>2</v>
      </c>
      <c r="X82" s="379">
        <v>10</v>
      </c>
      <c r="Y82" s="79">
        <v>17</v>
      </c>
      <c r="Z82" s="379">
        <v>470</v>
      </c>
      <c r="AA82" s="79">
        <v>485</v>
      </c>
      <c r="AB82" s="379">
        <v>11</v>
      </c>
      <c r="AC82" s="79">
        <v>23</v>
      </c>
      <c r="AD82" s="379">
        <v>17</v>
      </c>
      <c r="AE82" s="79">
        <v>10</v>
      </c>
      <c r="AF82" s="379">
        <v>2</v>
      </c>
      <c r="AG82" s="79">
        <v>3</v>
      </c>
      <c r="AH82" s="379">
        <v>0</v>
      </c>
      <c r="AI82" s="79">
        <v>0</v>
      </c>
      <c r="AJ82" s="379">
        <v>0</v>
      </c>
      <c r="AK82" s="80">
        <v>0</v>
      </c>
      <c r="AL82" s="169">
        <v>5</v>
      </c>
      <c r="AM82" s="380">
        <v>0.3125</v>
      </c>
      <c r="AN82" s="160">
        <v>1</v>
      </c>
      <c r="AO82" s="160">
        <v>7</v>
      </c>
      <c r="AP82" s="160">
        <v>4</v>
      </c>
      <c r="AQ82" s="160">
        <v>10</v>
      </c>
      <c r="AR82" s="381">
        <v>0.625</v>
      </c>
      <c r="AS82" s="160">
        <v>6</v>
      </c>
      <c r="AT82" s="13">
        <v>5</v>
      </c>
      <c r="AU82" s="382">
        <v>0.45454545454545453</v>
      </c>
      <c r="AV82" s="13">
        <v>0</v>
      </c>
      <c r="AW82" s="13">
        <v>5</v>
      </c>
      <c r="AX82" s="13">
        <v>1</v>
      </c>
      <c r="AY82" s="13">
        <v>6</v>
      </c>
      <c r="AZ82" s="382">
        <v>0.54545454545454541</v>
      </c>
      <c r="BA82" s="60">
        <v>5</v>
      </c>
      <c r="BB82" s="416">
        <v>1</v>
      </c>
      <c r="BC82" s="417">
        <v>0</v>
      </c>
      <c r="BD82" s="418">
        <v>1</v>
      </c>
      <c r="BE82" s="419">
        <v>0</v>
      </c>
    </row>
    <row r="83" spans="1:57" x14ac:dyDescent="0.25">
      <c r="A83" s="329">
        <v>45913</v>
      </c>
      <c r="B83" s="5">
        <v>4</v>
      </c>
      <c r="C83" s="5" t="s">
        <v>170</v>
      </c>
      <c r="D83" s="426">
        <v>0</v>
      </c>
      <c r="E83" s="426">
        <v>1</v>
      </c>
      <c r="F83" s="5" t="s">
        <v>128</v>
      </c>
      <c r="H83" s="42">
        <v>58</v>
      </c>
      <c r="I83" s="26">
        <v>42</v>
      </c>
      <c r="J83" s="33">
        <v>1.08</v>
      </c>
      <c r="K83" s="34">
        <v>0.09</v>
      </c>
      <c r="L83" s="25">
        <v>1</v>
      </c>
      <c r="M83" s="26">
        <v>0</v>
      </c>
      <c r="N83" s="25">
        <v>12</v>
      </c>
      <c r="O83" s="26">
        <v>4</v>
      </c>
      <c r="P83" s="25">
        <v>2</v>
      </c>
      <c r="Q83" s="26">
        <v>3</v>
      </c>
      <c r="R83" s="25">
        <v>0</v>
      </c>
      <c r="S83" s="26">
        <v>1</v>
      </c>
      <c r="T83" s="33">
        <v>-0.65</v>
      </c>
      <c r="U83" s="34">
        <v>0.82</v>
      </c>
      <c r="V83" s="25">
        <v>6</v>
      </c>
      <c r="W83" s="26">
        <v>6</v>
      </c>
      <c r="X83" s="25">
        <v>17</v>
      </c>
      <c r="Y83" s="26">
        <v>21</v>
      </c>
      <c r="Z83" s="25">
        <v>461</v>
      </c>
      <c r="AA83" s="26">
        <v>350</v>
      </c>
      <c r="AB83" s="25">
        <v>20</v>
      </c>
      <c r="AC83" s="26">
        <v>20</v>
      </c>
      <c r="AD83" s="25">
        <v>21</v>
      </c>
      <c r="AE83" s="26">
        <v>17</v>
      </c>
      <c r="AF83" s="25">
        <v>2</v>
      </c>
      <c r="AG83" s="26">
        <v>4</v>
      </c>
      <c r="AH83" s="25">
        <v>0</v>
      </c>
      <c r="AI83" s="26">
        <v>0</v>
      </c>
      <c r="AJ83" s="25">
        <v>0</v>
      </c>
      <c r="AK83" s="43">
        <v>0</v>
      </c>
      <c r="AL83" s="173">
        <v>3</v>
      </c>
      <c r="AM83" s="364">
        <v>0.25</v>
      </c>
      <c r="AN83" s="144">
        <v>0</v>
      </c>
      <c r="AO83" s="144">
        <v>4</v>
      </c>
      <c r="AP83" s="144">
        <v>5</v>
      </c>
      <c r="AQ83" s="144">
        <v>7</v>
      </c>
      <c r="AR83" s="365">
        <v>0.58333333333333337</v>
      </c>
      <c r="AS83" s="144">
        <v>5</v>
      </c>
      <c r="AT83" s="5">
        <v>2</v>
      </c>
      <c r="AU83" s="372">
        <v>0.5</v>
      </c>
      <c r="AV83" s="5">
        <v>0</v>
      </c>
      <c r="AW83" s="5">
        <v>2</v>
      </c>
      <c r="AX83" s="5">
        <v>0</v>
      </c>
      <c r="AY83" s="5">
        <v>0</v>
      </c>
      <c r="AZ83" s="372">
        <v>0</v>
      </c>
      <c r="BA83" s="57">
        <v>4</v>
      </c>
      <c r="BB83" s="393">
        <v>1</v>
      </c>
      <c r="BC83" s="394">
        <v>0</v>
      </c>
      <c r="BD83" s="395">
        <v>1</v>
      </c>
      <c r="BE83" s="396">
        <v>0</v>
      </c>
    </row>
    <row r="84" spans="1:57" x14ac:dyDescent="0.25">
      <c r="A84" s="329">
        <v>45924</v>
      </c>
      <c r="B84" s="5">
        <v>6</v>
      </c>
      <c r="C84" s="5" t="s">
        <v>161</v>
      </c>
      <c r="D84" s="424">
        <v>1</v>
      </c>
      <c r="E84" s="424">
        <v>1</v>
      </c>
      <c r="F84" s="5" t="s">
        <v>128</v>
      </c>
      <c r="H84" s="42">
        <v>46</v>
      </c>
      <c r="I84" s="26">
        <v>54</v>
      </c>
      <c r="J84" s="33">
        <v>0.24</v>
      </c>
      <c r="K84" s="34">
        <v>0.56999999999999995</v>
      </c>
      <c r="L84" s="25">
        <v>1</v>
      </c>
      <c r="M84" s="26">
        <v>2</v>
      </c>
      <c r="N84" s="25">
        <v>7</v>
      </c>
      <c r="O84" s="26">
        <v>10</v>
      </c>
      <c r="P84" s="25">
        <v>4</v>
      </c>
      <c r="Q84" s="26">
        <v>0</v>
      </c>
      <c r="R84" s="25">
        <v>1</v>
      </c>
      <c r="S84" s="26">
        <v>0</v>
      </c>
      <c r="T84" s="33">
        <v>-0.34</v>
      </c>
      <c r="U84" s="34">
        <v>-0.66</v>
      </c>
      <c r="V84" s="25">
        <v>2</v>
      </c>
      <c r="W84" s="26">
        <v>7</v>
      </c>
      <c r="X84" s="25">
        <v>14</v>
      </c>
      <c r="Y84" s="26">
        <v>20</v>
      </c>
      <c r="Z84" s="25">
        <v>304</v>
      </c>
      <c r="AA84" s="26">
        <v>352</v>
      </c>
      <c r="AB84" s="25">
        <v>25</v>
      </c>
      <c r="AC84" s="26">
        <v>15</v>
      </c>
      <c r="AD84" s="25">
        <v>20</v>
      </c>
      <c r="AE84" s="26">
        <v>14</v>
      </c>
      <c r="AF84" s="25">
        <v>2</v>
      </c>
      <c r="AG84" s="26">
        <v>3</v>
      </c>
      <c r="AH84" s="25">
        <v>0</v>
      </c>
      <c r="AI84" s="26">
        <v>0</v>
      </c>
      <c r="AJ84" s="25">
        <v>0</v>
      </c>
      <c r="AK84" s="43">
        <v>0</v>
      </c>
      <c r="AL84" s="173">
        <v>1</v>
      </c>
      <c r="AM84" s="364">
        <v>0.14285714285714285</v>
      </c>
      <c r="AN84" s="144">
        <v>0</v>
      </c>
      <c r="AO84" s="144">
        <v>1</v>
      </c>
      <c r="AP84" s="144">
        <v>5</v>
      </c>
      <c r="AQ84" s="144">
        <v>3</v>
      </c>
      <c r="AR84" s="365">
        <v>0.42857142857142855</v>
      </c>
      <c r="AS84" s="144">
        <v>4</v>
      </c>
      <c r="AT84" s="5">
        <v>4</v>
      </c>
      <c r="AU84" s="372">
        <v>0.4</v>
      </c>
      <c r="AV84" s="5">
        <v>0</v>
      </c>
      <c r="AW84" s="5">
        <v>3</v>
      </c>
      <c r="AX84" s="5">
        <v>3</v>
      </c>
      <c r="AY84" s="5">
        <v>6</v>
      </c>
      <c r="AZ84" s="372">
        <v>0.6</v>
      </c>
      <c r="BA84" s="57">
        <v>4</v>
      </c>
      <c r="BB84" s="393">
        <v>2</v>
      </c>
      <c r="BC84" s="394">
        <v>0</v>
      </c>
      <c r="BD84" s="395">
        <v>0</v>
      </c>
      <c r="BE84" s="396">
        <v>0</v>
      </c>
    </row>
    <row r="85" spans="1:57" x14ac:dyDescent="0.25">
      <c r="A85" s="329">
        <v>45927</v>
      </c>
      <c r="B85" s="5">
        <v>7</v>
      </c>
      <c r="C85" s="5" t="s">
        <v>112</v>
      </c>
      <c r="D85" s="425">
        <v>1</v>
      </c>
      <c r="E85" s="425">
        <v>0</v>
      </c>
      <c r="F85" s="5" t="s">
        <v>128</v>
      </c>
      <c r="H85" s="42">
        <v>39</v>
      </c>
      <c r="I85" s="26">
        <v>61</v>
      </c>
      <c r="J85" s="33">
        <v>0.74</v>
      </c>
      <c r="K85" s="34">
        <v>0.78</v>
      </c>
      <c r="L85" s="25">
        <v>1</v>
      </c>
      <c r="M85" s="26">
        <v>0</v>
      </c>
      <c r="N85" s="25">
        <v>12</v>
      </c>
      <c r="O85" s="26">
        <v>12</v>
      </c>
      <c r="P85" s="25">
        <v>3</v>
      </c>
      <c r="Q85" s="26">
        <v>1</v>
      </c>
      <c r="R85" s="25">
        <v>1</v>
      </c>
      <c r="S85" s="26">
        <v>0</v>
      </c>
      <c r="T85" s="33">
        <v>0.38</v>
      </c>
      <c r="U85" s="34">
        <v>-0.23</v>
      </c>
      <c r="V85" s="25">
        <v>4</v>
      </c>
      <c r="W85" s="26">
        <v>8</v>
      </c>
      <c r="X85" s="25">
        <v>14</v>
      </c>
      <c r="Y85" s="26">
        <v>18</v>
      </c>
      <c r="Z85" s="25">
        <v>327</v>
      </c>
      <c r="AA85" s="26">
        <v>518</v>
      </c>
      <c r="AB85" s="25">
        <v>22</v>
      </c>
      <c r="AC85" s="26">
        <v>26</v>
      </c>
      <c r="AD85" s="25">
        <v>18</v>
      </c>
      <c r="AE85" s="26">
        <v>14</v>
      </c>
      <c r="AF85" s="25">
        <v>2</v>
      </c>
      <c r="AG85" s="26">
        <v>3</v>
      </c>
      <c r="AH85" s="25">
        <v>0</v>
      </c>
      <c r="AI85" s="26">
        <v>0</v>
      </c>
      <c r="AJ85" s="25">
        <v>0</v>
      </c>
      <c r="AK85" s="43">
        <v>0</v>
      </c>
      <c r="AL85" s="173">
        <v>3</v>
      </c>
      <c r="AM85" s="364">
        <v>0.25</v>
      </c>
      <c r="AN85" s="144">
        <v>0</v>
      </c>
      <c r="AO85" s="144">
        <v>4</v>
      </c>
      <c r="AP85" s="144">
        <v>5</v>
      </c>
      <c r="AQ85" s="144">
        <v>6</v>
      </c>
      <c r="AR85" s="365">
        <v>0.5</v>
      </c>
      <c r="AS85" s="144">
        <v>6</v>
      </c>
      <c r="AT85" s="5">
        <v>3</v>
      </c>
      <c r="AU85" s="372">
        <v>0.25</v>
      </c>
      <c r="AV85" s="5">
        <v>1</v>
      </c>
      <c r="AW85" s="5">
        <v>6</v>
      </c>
      <c r="AX85" s="5">
        <v>3</v>
      </c>
      <c r="AY85" s="5">
        <v>9</v>
      </c>
      <c r="AZ85" s="372">
        <v>0.75</v>
      </c>
      <c r="BA85" s="57">
        <v>3</v>
      </c>
      <c r="BB85" s="393">
        <v>1</v>
      </c>
      <c r="BC85" s="394">
        <v>0</v>
      </c>
      <c r="BD85" s="395">
        <v>0</v>
      </c>
      <c r="BE85" s="396">
        <v>0</v>
      </c>
    </row>
    <row r="86" spans="1:57" x14ac:dyDescent="0.25">
      <c r="A86" s="400">
        <v>45956</v>
      </c>
      <c r="B86" s="401">
        <v>10</v>
      </c>
      <c r="C86" s="401" t="s">
        <v>70</v>
      </c>
      <c r="D86" s="363">
        <f>AVERAGE(D79:D85)</f>
        <v>0.7142857142857143</v>
      </c>
      <c r="E86" s="363">
        <f>AVERAGE(E79:E85)</f>
        <v>0.7142857142857143</v>
      </c>
      <c r="F86" s="401" t="s">
        <v>128</v>
      </c>
      <c r="G86" s="402"/>
      <c r="H86" s="403">
        <f t="shared" ref="H86:AM86" si="16">AVERAGE(H79:H85)</f>
        <v>51.142857142857146</v>
      </c>
      <c r="I86" s="401">
        <f t="shared" si="16"/>
        <v>48.857142857142854</v>
      </c>
      <c r="J86" s="411">
        <f t="shared" si="16"/>
        <v>1.2614285714285713</v>
      </c>
      <c r="K86" s="404">
        <f t="shared" si="16"/>
        <v>0.83285714285714296</v>
      </c>
      <c r="L86" s="412">
        <f t="shared" si="16"/>
        <v>2.2857142857142856</v>
      </c>
      <c r="M86" s="401">
        <f t="shared" si="16"/>
        <v>1.8571428571428572</v>
      </c>
      <c r="N86" s="401">
        <f t="shared" si="16"/>
        <v>13.142857142857142</v>
      </c>
      <c r="O86" s="401">
        <f t="shared" si="16"/>
        <v>8.8571428571428577</v>
      </c>
      <c r="P86" s="401">
        <f t="shared" si="16"/>
        <v>2.8571428571428572</v>
      </c>
      <c r="Q86" s="401">
        <f t="shared" si="16"/>
        <v>3.4285714285714284</v>
      </c>
      <c r="R86" s="401">
        <f t="shared" si="16"/>
        <v>0.42857142857142855</v>
      </c>
      <c r="S86" s="401">
        <f t="shared" si="16"/>
        <v>0.8571428571428571</v>
      </c>
      <c r="T86" s="404">
        <f t="shared" si="16"/>
        <v>2.8571428571428574E-2</v>
      </c>
      <c r="U86" s="404">
        <f t="shared" si="16"/>
        <v>0.37</v>
      </c>
      <c r="V86" s="401">
        <f t="shared" si="16"/>
        <v>6.1428571428571432</v>
      </c>
      <c r="W86" s="401">
        <f t="shared" si="16"/>
        <v>5.4285714285714288</v>
      </c>
      <c r="X86" s="401">
        <f t="shared" si="16"/>
        <v>12.857142857142858</v>
      </c>
      <c r="Y86" s="401">
        <f t="shared" si="16"/>
        <v>15.571428571428571</v>
      </c>
      <c r="Z86" s="401">
        <f t="shared" si="16"/>
        <v>417</v>
      </c>
      <c r="AA86" s="401">
        <f t="shared" si="16"/>
        <v>399.85714285714283</v>
      </c>
      <c r="AB86" s="401">
        <f t="shared" si="16"/>
        <v>17.142857142857142</v>
      </c>
      <c r="AC86" s="401">
        <f t="shared" si="16"/>
        <v>18.571428571428573</v>
      </c>
      <c r="AD86" s="401">
        <f t="shared" si="16"/>
        <v>15.571428571428571</v>
      </c>
      <c r="AE86" s="401">
        <f t="shared" si="16"/>
        <v>12.857142857142858</v>
      </c>
      <c r="AF86" s="401">
        <f t="shared" si="16"/>
        <v>2.2857142857142856</v>
      </c>
      <c r="AG86" s="401">
        <f t="shared" si="16"/>
        <v>2.4285714285714284</v>
      </c>
      <c r="AH86" s="401">
        <f t="shared" si="16"/>
        <v>0.14285714285714285</v>
      </c>
      <c r="AI86" s="401">
        <f t="shared" si="16"/>
        <v>0</v>
      </c>
      <c r="AJ86" s="401">
        <f t="shared" si="16"/>
        <v>0</v>
      </c>
      <c r="AK86" s="405">
        <f t="shared" si="16"/>
        <v>9.9999999999999992E-2</v>
      </c>
      <c r="AL86" s="413">
        <f t="shared" si="16"/>
        <v>4.1428571428571432</v>
      </c>
      <c r="AM86" s="414">
        <f t="shared" si="16"/>
        <v>0.30314625850340132</v>
      </c>
      <c r="AN86" s="401">
        <f t="shared" ref="AN86:BS86" si="17">AVERAGE(AN79:AN85)</f>
        <v>0.2857142857142857</v>
      </c>
      <c r="AO86" s="401">
        <f t="shared" si="17"/>
        <v>4.8571428571428568</v>
      </c>
      <c r="AP86" s="401">
        <f t="shared" si="17"/>
        <v>4.1428571428571432</v>
      </c>
      <c r="AQ86" s="401">
        <f t="shared" si="17"/>
        <v>8</v>
      </c>
      <c r="AR86" s="415">
        <f t="shared" si="17"/>
        <v>0.59178004535147388</v>
      </c>
      <c r="AS86" s="401">
        <f t="shared" si="17"/>
        <v>5.1428571428571432</v>
      </c>
      <c r="AT86" s="412">
        <f t="shared" si="17"/>
        <v>3.2857142857142856</v>
      </c>
      <c r="AU86" s="415">
        <f t="shared" si="17"/>
        <v>0.38001443001443003</v>
      </c>
      <c r="AV86" s="401">
        <f t="shared" si="17"/>
        <v>0.14285714285714285</v>
      </c>
      <c r="AW86" s="401">
        <f t="shared" si="17"/>
        <v>3.4285714285714284</v>
      </c>
      <c r="AX86" s="401">
        <f t="shared" si="17"/>
        <v>2.1428571428571428</v>
      </c>
      <c r="AY86" s="401">
        <f t="shared" si="17"/>
        <v>5.2857142857142856</v>
      </c>
      <c r="AZ86" s="407">
        <f t="shared" si="17"/>
        <v>0.53268398268398276</v>
      </c>
      <c r="BA86" s="405">
        <f t="shared" si="17"/>
        <v>3.5714285714285716</v>
      </c>
      <c r="BB86" s="397">
        <f t="shared" si="17"/>
        <v>1</v>
      </c>
      <c r="BC86" s="409">
        <f t="shared" si="17"/>
        <v>0</v>
      </c>
      <c r="BD86" s="398">
        <f t="shared" si="17"/>
        <v>0.5714285714285714</v>
      </c>
      <c r="BE86" s="410">
        <f t="shared" si="17"/>
        <v>0</v>
      </c>
    </row>
    <row r="87" spans="1:57" x14ac:dyDescent="0.25">
      <c r="A87" s="329">
        <v>45891</v>
      </c>
      <c r="B87" s="5">
        <v>2</v>
      </c>
      <c r="C87" s="5" t="s">
        <v>209</v>
      </c>
      <c r="D87" s="426">
        <v>1</v>
      </c>
      <c r="E87" s="426">
        <v>0</v>
      </c>
      <c r="F87" s="5" t="s">
        <v>128</v>
      </c>
      <c r="H87" s="42">
        <v>49</v>
      </c>
      <c r="I87" s="26">
        <v>51</v>
      </c>
      <c r="J87" s="33">
        <v>1.95</v>
      </c>
      <c r="K87" s="34">
        <v>1.1200000000000001</v>
      </c>
      <c r="L87" s="25">
        <v>3</v>
      </c>
      <c r="M87" s="26">
        <v>3</v>
      </c>
      <c r="N87" s="25">
        <v>16</v>
      </c>
      <c r="O87" s="26">
        <v>11</v>
      </c>
      <c r="P87" s="25">
        <v>5</v>
      </c>
      <c r="Q87" s="26">
        <v>5</v>
      </c>
      <c r="R87" s="25">
        <v>0</v>
      </c>
      <c r="S87" s="26">
        <v>1</v>
      </c>
      <c r="T87" s="33">
        <v>0.33</v>
      </c>
      <c r="U87" s="34">
        <v>0.41</v>
      </c>
      <c r="V87" s="25">
        <v>5</v>
      </c>
      <c r="W87" s="26">
        <v>2</v>
      </c>
      <c r="X87" s="25">
        <v>10</v>
      </c>
      <c r="Y87" s="26">
        <v>17</v>
      </c>
      <c r="Z87" s="25">
        <v>470</v>
      </c>
      <c r="AA87" s="26">
        <v>485</v>
      </c>
      <c r="AB87" s="25">
        <v>11</v>
      </c>
      <c r="AC87" s="26">
        <v>23</v>
      </c>
      <c r="AD87" s="25">
        <v>17</v>
      </c>
      <c r="AE87" s="26">
        <v>10</v>
      </c>
      <c r="AF87" s="25">
        <v>2</v>
      </c>
      <c r="AG87" s="26">
        <v>3</v>
      </c>
      <c r="AH87" s="25">
        <v>0</v>
      </c>
      <c r="AI87" s="26">
        <v>0</v>
      </c>
      <c r="AJ87" s="25">
        <v>0</v>
      </c>
      <c r="AK87" s="43">
        <v>0</v>
      </c>
      <c r="AL87" s="173">
        <v>5</v>
      </c>
      <c r="AM87" s="364">
        <v>0.3125</v>
      </c>
      <c r="AN87" s="144">
        <v>1</v>
      </c>
      <c r="AO87" s="144">
        <v>7</v>
      </c>
      <c r="AP87" s="144">
        <v>4</v>
      </c>
      <c r="AQ87" s="144">
        <v>10</v>
      </c>
      <c r="AR87" s="365">
        <v>0.625</v>
      </c>
      <c r="AS87" s="144">
        <v>6</v>
      </c>
      <c r="AT87" s="5">
        <v>5</v>
      </c>
      <c r="AU87" s="372">
        <v>0.45454545454545453</v>
      </c>
      <c r="AV87" s="5">
        <v>0</v>
      </c>
      <c r="AW87" s="5">
        <v>5</v>
      </c>
      <c r="AX87" s="5">
        <v>1</v>
      </c>
      <c r="AY87" s="5">
        <v>6</v>
      </c>
      <c r="AZ87" s="372">
        <v>0.54545454545454541</v>
      </c>
      <c r="BA87" s="57">
        <v>5</v>
      </c>
      <c r="BB87" s="393">
        <v>1</v>
      </c>
      <c r="BC87" s="394">
        <v>0</v>
      </c>
      <c r="BD87" s="395">
        <v>1</v>
      </c>
      <c r="BE87" s="396">
        <v>0</v>
      </c>
    </row>
    <row r="88" spans="1:57" x14ac:dyDescent="0.25">
      <c r="A88" s="329">
        <v>45900</v>
      </c>
      <c r="B88" s="5">
        <v>3</v>
      </c>
      <c r="C88" s="5" t="s">
        <v>209</v>
      </c>
      <c r="D88" s="425">
        <v>1</v>
      </c>
      <c r="E88" s="425">
        <v>2</v>
      </c>
      <c r="F88" s="5" t="s">
        <v>170</v>
      </c>
      <c r="H88" s="42">
        <v>50</v>
      </c>
      <c r="I88" s="26">
        <v>50</v>
      </c>
      <c r="J88" s="33">
        <v>0.62</v>
      </c>
      <c r="K88" s="34">
        <v>1.1100000000000001</v>
      </c>
      <c r="L88" s="25">
        <v>1</v>
      </c>
      <c r="M88" s="26">
        <v>2</v>
      </c>
      <c r="N88" s="25">
        <v>9</v>
      </c>
      <c r="O88" s="26">
        <v>15</v>
      </c>
      <c r="P88" s="25">
        <v>5</v>
      </c>
      <c r="Q88" s="26">
        <v>1</v>
      </c>
      <c r="R88" s="25">
        <v>0</v>
      </c>
      <c r="S88" s="26">
        <v>0</v>
      </c>
      <c r="T88" s="33">
        <v>-1.1399999999999999</v>
      </c>
      <c r="U88" s="34">
        <v>0.02</v>
      </c>
      <c r="V88" s="25">
        <v>4</v>
      </c>
      <c r="W88" s="26">
        <v>10</v>
      </c>
      <c r="X88" s="25">
        <v>9</v>
      </c>
      <c r="Y88" s="26">
        <v>16</v>
      </c>
      <c r="Z88" s="25">
        <v>454</v>
      </c>
      <c r="AA88" s="26">
        <v>440</v>
      </c>
      <c r="AB88" s="25">
        <v>25</v>
      </c>
      <c r="AC88" s="26">
        <v>15</v>
      </c>
      <c r="AD88" s="25">
        <v>16</v>
      </c>
      <c r="AE88" s="26">
        <v>9</v>
      </c>
      <c r="AF88" s="25">
        <v>1</v>
      </c>
      <c r="AG88" s="26">
        <v>4</v>
      </c>
      <c r="AH88" s="25">
        <v>0</v>
      </c>
      <c r="AI88" s="26">
        <v>1</v>
      </c>
      <c r="AJ88" s="25">
        <v>0</v>
      </c>
      <c r="AK88" s="43">
        <v>0</v>
      </c>
      <c r="AL88" s="173">
        <v>2</v>
      </c>
      <c r="AM88" s="364">
        <v>0.22222222222222221</v>
      </c>
      <c r="AN88" s="144">
        <v>0</v>
      </c>
      <c r="AO88" s="144">
        <v>4</v>
      </c>
      <c r="AP88" s="144">
        <v>3</v>
      </c>
      <c r="AQ88" s="144">
        <v>6</v>
      </c>
      <c r="AR88" s="365">
        <v>0.66666666666666663</v>
      </c>
      <c r="AS88" s="144">
        <v>3</v>
      </c>
      <c r="AT88" s="5">
        <v>6</v>
      </c>
      <c r="AU88" s="372">
        <v>0.4</v>
      </c>
      <c r="AV88" s="5">
        <v>0</v>
      </c>
      <c r="AW88" s="5">
        <v>5</v>
      </c>
      <c r="AX88" s="5">
        <v>4</v>
      </c>
      <c r="AY88" s="5">
        <v>9</v>
      </c>
      <c r="AZ88" s="372">
        <v>0.6</v>
      </c>
      <c r="BA88" s="57">
        <v>6</v>
      </c>
      <c r="BB88" s="393">
        <v>0</v>
      </c>
      <c r="BC88" s="394">
        <v>0</v>
      </c>
      <c r="BD88" s="395">
        <v>1</v>
      </c>
      <c r="BE88" s="396">
        <v>0</v>
      </c>
    </row>
    <row r="89" spans="1:57" x14ac:dyDescent="0.25">
      <c r="A89" s="329">
        <v>45919</v>
      </c>
      <c r="B89" s="5">
        <v>5</v>
      </c>
      <c r="C89" s="5" t="s">
        <v>209</v>
      </c>
      <c r="D89" s="426">
        <v>3</v>
      </c>
      <c r="E89" s="426">
        <v>1</v>
      </c>
      <c r="F89" s="5" t="s">
        <v>146</v>
      </c>
      <c r="H89" s="42">
        <v>50</v>
      </c>
      <c r="I89" s="26">
        <v>50</v>
      </c>
      <c r="J89" s="33">
        <v>2.25</v>
      </c>
      <c r="K89" s="34">
        <v>0.67</v>
      </c>
      <c r="L89" s="25">
        <v>3</v>
      </c>
      <c r="M89" s="26">
        <v>1</v>
      </c>
      <c r="N89" s="25">
        <v>21</v>
      </c>
      <c r="O89" s="26">
        <v>11</v>
      </c>
      <c r="P89" s="25">
        <v>4</v>
      </c>
      <c r="Q89" s="26">
        <v>4</v>
      </c>
      <c r="R89" s="25">
        <v>0</v>
      </c>
      <c r="S89" s="26">
        <v>1</v>
      </c>
      <c r="T89" s="33">
        <v>-0.21</v>
      </c>
      <c r="U89" s="34">
        <v>0.06</v>
      </c>
      <c r="V89" s="25">
        <v>3</v>
      </c>
      <c r="W89" s="26">
        <v>5</v>
      </c>
      <c r="X89" s="25">
        <v>7</v>
      </c>
      <c r="Y89" s="26">
        <v>20</v>
      </c>
      <c r="Z89" s="25">
        <v>491</v>
      </c>
      <c r="AA89" s="26">
        <v>481</v>
      </c>
      <c r="AB89" s="25">
        <v>26</v>
      </c>
      <c r="AC89" s="26">
        <v>25</v>
      </c>
      <c r="AD89" s="25">
        <v>20</v>
      </c>
      <c r="AE89" s="26">
        <v>7</v>
      </c>
      <c r="AF89" s="25">
        <v>3</v>
      </c>
      <c r="AG89" s="26">
        <v>6</v>
      </c>
      <c r="AH89" s="25">
        <v>0</v>
      </c>
      <c r="AI89" s="26">
        <v>0</v>
      </c>
      <c r="AJ89" s="25">
        <v>0</v>
      </c>
      <c r="AK89" s="43">
        <v>0</v>
      </c>
      <c r="AL89" s="173">
        <v>6</v>
      </c>
      <c r="AM89" s="364">
        <v>0.2857142857142857</v>
      </c>
      <c r="AN89" s="144">
        <v>1</v>
      </c>
      <c r="AO89" s="144">
        <v>8</v>
      </c>
      <c r="AP89" s="144">
        <v>7</v>
      </c>
      <c r="AQ89" s="144">
        <v>12</v>
      </c>
      <c r="AR89" s="365">
        <v>0.5714285714285714</v>
      </c>
      <c r="AS89" s="144">
        <v>9</v>
      </c>
      <c r="AT89" s="5">
        <v>5</v>
      </c>
      <c r="AU89" s="372">
        <v>0.45454545454545453</v>
      </c>
      <c r="AV89" s="5">
        <v>0</v>
      </c>
      <c r="AW89" s="5">
        <v>2</v>
      </c>
      <c r="AX89" s="5">
        <v>4</v>
      </c>
      <c r="AY89" s="5">
        <v>8</v>
      </c>
      <c r="AZ89" s="372">
        <v>0.72727272727272729</v>
      </c>
      <c r="BA89" s="57">
        <v>3</v>
      </c>
      <c r="BB89" s="393">
        <v>1</v>
      </c>
      <c r="BC89" s="394">
        <v>1</v>
      </c>
      <c r="BD89" s="395">
        <v>1</v>
      </c>
      <c r="BE89" s="396">
        <v>1</v>
      </c>
    </row>
    <row r="90" spans="1:57" ht="15.75" thickBot="1" x14ac:dyDescent="0.3">
      <c r="A90" s="330">
        <v>45928</v>
      </c>
      <c r="B90" s="9">
        <v>7</v>
      </c>
      <c r="C90" s="9" t="s">
        <v>209</v>
      </c>
      <c r="D90" s="438">
        <v>2</v>
      </c>
      <c r="E90" s="438">
        <v>0</v>
      </c>
      <c r="F90" s="9" t="s">
        <v>227</v>
      </c>
      <c r="G90" s="45"/>
      <c r="H90" s="384">
        <v>51</v>
      </c>
      <c r="I90" s="74">
        <v>49</v>
      </c>
      <c r="J90" s="385">
        <v>0.76</v>
      </c>
      <c r="K90" s="386">
        <v>0.7</v>
      </c>
      <c r="L90" s="387">
        <v>1</v>
      </c>
      <c r="M90" s="74">
        <v>0</v>
      </c>
      <c r="N90" s="387">
        <v>12</v>
      </c>
      <c r="O90" s="74">
        <v>12</v>
      </c>
      <c r="P90" s="387">
        <v>1</v>
      </c>
      <c r="Q90" s="74">
        <v>4</v>
      </c>
      <c r="R90" s="387">
        <v>0</v>
      </c>
      <c r="S90" s="74">
        <v>2</v>
      </c>
      <c r="T90" s="385">
        <v>0.09</v>
      </c>
      <c r="U90" s="386">
        <v>-0.62</v>
      </c>
      <c r="V90" s="387">
        <v>5</v>
      </c>
      <c r="W90" s="74">
        <v>5</v>
      </c>
      <c r="X90" s="387">
        <v>6</v>
      </c>
      <c r="Y90" s="74">
        <v>7</v>
      </c>
      <c r="Z90" s="387">
        <v>519</v>
      </c>
      <c r="AA90" s="74">
        <v>493</v>
      </c>
      <c r="AB90" s="387">
        <v>13</v>
      </c>
      <c r="AC90" s="74">
        <v>12</v>
      </c>
      <c r="AD90" s="387">
        <v>7</v>
      </c>
      <c r="AE90" s="74">
        <v>6</v>
      </c>
      <c r="AF90" s="387">
        <v>0</v>
      </c>
      <c r="AG90" s="74">
        <v>1</v>
      </c>
      <c r="AH90" s="387">
        <v>0</v>
      </c>
      <c r="AI90" s="74">
        <v>0</v>
      </c>
      <c r="AJ90" s="387">
        <v>0</v>
      </c>
      <c r="AK90" s="76">
        <v>0</v>
      </c>
      <c r="AL90" s="177">
        <v>6</v>
      </c>
      <c r="AM90" s="388">
        <v>0.5</v>
      </c>
      <c r="AN90" s="152">
        <v>0</v>
      </c>
      <c r="AO90" s="152">
        <v>3</v>
      </c>
      <c r="AP90" s="152">
        <v>3</v>
      </c>
      <c r="AQ90" s="152">
        <v>6</v>
      </c>
      <c r="AR90" s="389">
        <v>0.5</v>
      </c>
      <c r="AS90" s="152">
        <v>6</v>
      </c>
      <c r="AT90" s="9">
        <v>1</v>
      </c>
      <c r="AU90" s="390">
        <v>8.3333333333333329E-2</v>
      </c>
      <c r="AV90" s="9">
        <v>0</v>
      </c>
      <c r="AW90" s="9">
        <v>8</v>
      </c>
      <c r="AX90" s="9">
        <v>3</v>
      </c>
      <c r="AY90" s="9">
        <v>9</v>
      </c>
      <c r="AZ90" s="390">
        <v>0.75</v>
      </c>
      <c r="BA90" s="58">
        <v>3</v>
      </c>
      <c r="BB90" s="420">
        <v>0</v>
      </c>
      <c r="BC90" s="421">
        <v>0</v>
      </c>
      <c r="BD90" s="422">
        <v>1</v>
      </c>
      <c r="BE90" s="423">
        <v>2</v>
      </c>
    </row>
    <row r="91" spans="1:57" x14ac:dyDescent="0.25">
      <c r="A91" s="331">
        <v>45887</v>
      </c>
      <c r="B91" s="13">
        <v>1</v>
      </c>
      <c r="C91" s="13" t="s">
        <v>192</v>
      </c>
      <c r="D91" s="428">
        <v>2</v>
      </c>
      <c r="E91" s="428">
        <v>1</v>
      </c>
      <c r="F91" s="13" t="s">
        <v>193</v>
      </c>
      <c r="G91" s="47"/>
      <c r="H91" s="376">
        <v>40</v>
      </c>
      <c r="I91" s="79">
        <v>60</v>
      </c>
      <c r="J91" s="377">
        <v>1.26</v>
      </c>
      <c r="K91" s="378">
        <v>1.1000000000000001</v>
      </c>
      <c r="L91" s="379">
        <v>2</v>
      </c>
      <c r="M91" s="79">
        <v>1</v>
      </c>
      <c r="N91" s="379">
        <v>9</v>
      </c>
      <c r="O91" s="79">
        <v>15</v>
      </c>
      <c r="P91" s="379">
        <v>3</v>
      </c>
      <c r="Q91" s="79">
        <v>3</v>
      </c>
      <c r="R91" s="379">
        <v>0</v>
      </c>
      <c r="S91" s="79">
        <v>0</v>
      </c>
      <c r="T91" s="377">
        <v>0.26</v>
      </c>
      <c r="U91" s="378">
        <v>-0.55000000000000004</v>
      </c>
      <c r="V91" s="379">
        <v>1</v>
      </c>
      <c r="W91" s="79">
        <v>3</v>
      </c>
      <c r="X91" s="379">
        <v>14</v>
      </c>
      <c r="Y91" s="79">
        <v>11</v>
      </c>
      <c r="Z91" s="379">
        <v>394</v>
      </c>
      <c r="AA91" s="79">
        <v>618</v>
      </c>
      <c r="AB91" s="379">
        <v>10</v>
      </c>
      <c r="AC91" s="79">
        <v>11</v>
      </c>
      <c r="AD91" s="379">
        <v>11</v>
      </c>
      <c r="AE91" s="79">
        <v>14</v>
      </c>
      <c r="AF91" s="379">
        <v>3</v>
      </c>
      <c r="AG91" s="79">
        <v>3</v>
      </c>
      <c r="AH91" s="379">
        <v>0</v>
      </c>
      <c r="AI91" s="79">
        <v>0</v>
      </c>
      <c r="AJ91" s="379">
        <v>0</v>
      </c>
      <c r="AK91" s="80">
        <v>0</v>
      </c>
      <c r="AL91" s="169">
        <v>5</v>
      </c>
      <c r="AM91" s="380">
        <v>0.55555555555555558</v>
      </c>
      <c r="AN91" s="160">
        <v>0</v>
      </c>
      <c r="AO91" s="160">
        <v>4</v>
      </c>
      <c r="AP91" s="160">
        <v>0</v>
      </c>
      <c r="AQ91" s="160">
        <v>6</v>
      </c>
      <c r="AR91" s="381">
        <v>0.66666666666666663</v>
      </c>
      <c r="AS91" s="160">
        <v>3</v>
      </c>
      <c r="AT91" s="13">
        <v>4</v>
      </c>
      <c r="AU91" s="382">
        <v>0.26666666666666666</v>
      </c>
      <c r="AV91" s="13">
        <v>1</v>
      </c>
      <c r="AW91" s="13">
        <v>7</v>
      </c>
      <c r="AX91" s="13">
        <v>4</v>
      </c>
      <c r="AY91" s="13">
        <v>9</v>
      </c>
      <c r="AZ91" s="382">
        <v>0.6</v>
      </c>
      <c r="BA91" s="60">
        <v>6</v>
      </c>
      <c r="BB91" s="416">
        <v>0</v>
      </c>
      <c r="BC91" s="417">
        <v>0</v>
      </c>
      <c r="BD91" s="418">
        <v>0</v>
      </c>
      <c r="BE91" s="419">
        <v>0</v>
      </c>
    </row>
    <row r="92" spans="1:57" x14ac:dyDescent="0.25">
      <c r="A92" s="329">
        <v>45899</v>
      </c>
      <c r="B92" s="5">
        <v>3</v>
      </c>
      <c r="C92" s="5" t="s">
        <v>128</v>
      </c>
      <c r="D92" s="424">
        <v>1</v>
      </c>
      <c r="E92" s="424">
        <v>1</v>
      </c>
      <c r="F92" s="5" t="s">
        <v>193</v>
      </c>
      <c r="H92" s="42">
        <v>40</v>
      </c>
      <c r="I92" s="26">
        <v>60</v>
      </c>
      <c r="J92" s="33">
        <v>0.91</v>
      </c>
      <c r="K92" s="34">
        <v>1.06</v>
      </c>
      <c r="L92" s="25">
        <v>1</v>
      </c>
      <c r="M92" s="26">
        <v>1</v>
      </c>
      <c r="N92" s="25">
        <v>5</v>
      </c>
      <c r="O92" s="26">
        <v>15</v>
      </c>
      <c r="P92" s="25">
        <v>5</v>
      </c>
      <c r="Q92" s="26">
        <v>1</v>
      </c>
      <c r="R92" s="25">
        <v>0</v>
      </c>
      <c r="S92" s="26">
        <v>0</v>
      </c>
      <c r="T92" s="33">
        <v>1.33</v>
      </c>
      <c r="U92" s="34">
        <v>0.24</v>
      </c>
      <c r="V92" s="25">
        <v>1</v>
      </c>
      <c r="W92" s="26">
        <v>6</v>
      </c>
      <c r="X92" s="25">
        <v>10</v>
      </c>
      <c r="Y92" s="26">
        <v>17</v>
      </c>
      <c r="Z92" s="25">
        <v>377</v>
      </c>
      <c r="AA92" s="26">
        <v>550</v>
      </c>
      <c r="AB92" s="25">
        <v>14</v>
      </c>
      <c r="AC92" s="26">
        <v>19</v>
      </c>
      <c r="AD92" s="25">
        <v>16</v>
      </c>
      <c r="AE92" s="26">
        <v>10</v>
      </c>
      <c r="AF92" s="25">
        <v>2</v>
      </c>
      <c r="AG92" s="26">
        <v>3</v>
      </c>
      <c r="AH92" s="25">
        <v>0</v>
      </c>
      <c r="AI92" s="26">
        <v>0</v>
      </c>
      <c r="AJ92" s="25">
        <v>0.7</v>
      </c>
      <c r="AK92" s="43">
        <v>0</v>
      </c>
      <c r="AL92" s="173">
        <v>2</v>
      </c>
      <c r="AM92" s="364">
        <v>0.4</v>
      </c>
      <c r="AN92" s="144">
        <v>0</v>
      </c>
      <c r="AO92" s="144">
        <v>2</v>
      </c>
      <c r="AP92" s="144">
        <v>1</v>
      </c>
      <c r="AQ92" s="144">
        <v>3</v>
      </c>
      <c r="AR92" s="365">
        <v>0.6</v>
      </c>
      <c r="AS92" s="144">
        <v>2</v>
      </c>
      <c r="AT92" s="5">
        <v>6</v>
      </c>
      <c r="AU92" s="372">
        <v>0.4</v>
      </c>
      <c r="AV92" s="5">
        <v>1</v>
      </c>
      <c r="AW92" s="5">
        <v>6</v>
      </c>
      <c r="AX92" s="5">
        <v>3</v>
      </c>
      <c r="AY92" s="5">
        <v>11</v>
      </c>
      <c r="AZ92" s="372">
        <v>0.73333333333333328</v>
      </c>
      <c r="BA92" s="57">
        <v>4</v>
      </c>
      <c r="BB92" s="393">
        <v>1</v>
      </c>
      <c r="BC92" s="394">
        <v>0</v>
      </c>
      <c r="BD92" s="395">
        <v>1</v>
      </c>
      <c r="BE92" s="396">
        <v>0</v>
      </c>
    </row>
    <row r="93" spans="1:57" x14ac:dyDescent="0.25">
      <c r="A93" s="329">
        <v>45921</v>
      </c>
      <c r="B93" s="5">
        <v>5</v>
      </c>
      <c r="C93" s="5" t="s">
        <v>112</v>
      </c>
      <c r="D93" s="424">
        <v>1</v>
      </c>
      <c r="E93" s="424">
        <v>1</v>
      </c>
      <c r="F93" s="26" t="s">
        <v>193</v>
      </c>
      <c r="G93" s="242" t="s">
        <v>463</v>
      </c>
      <c r="H93" s="42">
        <v>43</v>
      </c>
      <c r="I93" s="26">
        <v>57</v>
      </c>
      <c r="J93" s="33">
        <v>0.6</v>
      </c>
      <c r="K93" s="34">
        <v>2.2599999999999998</v>
      </c>
      <c r="L93" s="25">
        <v>1</v>
      </c>
      <c r="M93" s="26">
        <v>4</v>
      </c>
      <c r="N93" s="25">
        <v>8</v>
      </c>
      <c r="O93" s="26">
        <v>12</v>
      </c>
      <c r="P93" s="25">
        <v>6</v>
      </c>
      <c r="Q93" s="26">
        <v>2</v>
      </c>
      <c r="R93" s="25">
        <v>3</v>
      </c>
      <c r="S93" s="26">
        <v>0</v>
      </c>
      <c r="T93" s="33">
        <v>2.17</v>
      </c>
      <c r="U93" s="34">
        <v>0.01</v>
      </c>
      <c r="V93" s="25">
        <v>3</v>
      </c>
      <c r="W93" s="26">
        <v>6</v>
      </c>
      <c r="X93" s="25">
        <v>14</v>
      </c>
      <c r="Y93" s="26">
        <v>6</v>
      </c>
      <c r="Z93" s="25">
        <v>396</v>
      </c>
      <c r="AA93" s="26">
        <v>550</v>
      </c>
      <c r="AB93" s="25">
        <v>13</v>
      </c>
      <c r="AC93" s="26">
        <v>10</v>
      </c>
      <c r="AD93" s="25">
        <v>6</v>
      </c>
      <c r="AE93" s="26">
        <v>13</v>
      </c>
      <c r="AF93" s="25">
        <v>0</v>
      </c>
      <c r="AG93" s="26">
        <v>0</v>
      </c>
      <c r="AH93" s="25">
        <v>0</v>
      </c>
      <c r="AI93" s="26">
        <v>1</v>
      </c>
      <c r="AJ93" s="25">
        <v>0</v>
      </c>
      <c r="AK93" s="43">
        <v>0.7</v>
      </c>
      <c r="AL93" s="173">
        <v>3</v>
      </c>
      <c r="AM93" s="364">
        <v>0.375</v>
      </c>
      <c r="AN93" s="144">
        <v>0</v>
      </c>
      <c r="AO93" s="144">
        <v>3</v>
      </c>
      <c r="AP93" s="144">
        <v>2</v>
      </c>
      <c r="AQ93" s="144">
        <v>3</v>
      </c>
      <c r="AR93" s="365">
        <v>0.375</v>
      </c>
      <c r="AS93" s="144">
        <v>5</v>
      </c>
      <c r="AT93" s="5">
        <v>7</v>
      </c>
      <c r="AU93" s="372">
        <v>0.58333333333333337</v>
      </c>
      <c r="AV93" s="5">
        <v>0</v>
      </c>
      <c r="AW93" s="5">
        <v>4</v>
      </c>
      <c r="AX93" s="5">
        <v>1</v>
      </c>
      <c r="AY93" s="5">
        <v>9</v>
      </c>
      <c r="AZ93" s="372">
        <v>0.75</v>
      </c>
      <c r="BA93" s="57">
        <v>3</v>
      </c>
      <c r="BB93" s="393">
        <v>0</v>
      </c>
      <c r="BC93" s="394">
        <v>0</v>
      </c>
      <c r="BD93" s="395">
        <v>0</v>
      </c>
      <c r="BE93" s="396">
        <v>0</v>
      </c>
    </row>
    <row r="94" spans="1:57" x14ac:dyDescent="0.25">
      <c r="A94" s="329">
        <v>45935</v>
      </c>
      <c r="B94" s="5">
        <v>8</v>
      </c>
      <c r="C94" s="5" t="s">
        <v>456</v>
      </c>
      <c r="D94" s="424">
        <v>1</v>
      </c>
      <c r="E94" s="424">
        <v>1</v>
      </c>
      <c r="F94" s="26" t="s">
        <v>193</v>
      </c>
      <c r="G94" s="242" t="s">
        <v>582</v>
      </c>
      <c r="H94" s="42">
        <v>59</v>
      </c>
      <c r="I94" s="26">
        <v>41</v>
      </c>
      <c r="J94" s="33">
        <v>1.92</v>
      </c>
      <c r="K94" s="34">
        <v>0.3</v>
      </c>
      <c r="L94" s="25">
        <v>3</v>
      </c>
      <c r="M94" s="26">
        <v>1</v>
      </c>
      <c r="N94" s="25">
        <v>18</v>
      </c>
      <c r="O94" s="26">
        <v>6</v>
      </c>
      <c r="P94" s="25">
        <v>1</v>
      </c>
      <c r="Q94" s="26">
        <v>3</v>
      </c>
      <c r="R94" s="25">
        <v>0</v>
      </c>
      <c r="S94" s="26">
        <v>1</v>
      </c>
      <c r="T94" s="33">
        <v>-0.84</v>
      </c>
      <c r="U94" s="34">
        <v>0.56000000000000005</v>
      </c>
      <c r="V94" s="25">
        <v>6</v>
      </c>
      <c r="W94" s="26">
        <v>3</v>
      </c>
      <c r="X94" s="25">
        <v>7</v>
      </c>
      <c r="Y94" s="26">
        <v>10</v>
      </c>
      <c r="Z94" s="25">
        <v>726</v>
      </c>
      <c r="AA94" s="26">
        <v>501</v>
      </c>
      <c r="AB94" s="25">
        <v>18</v>
      </c>
      <c r="AC94" s="26">
        <v>14</v>
      </c>
      <c r="AD94" s="25">
        <v>10</v>
      </c>
      <c r="AE94" s="26">
        <v>7</v>
      </c>
      <c r="AF94" s="25">
        <v>1</v>
      </c>
      <c r="AG94" s="26">
        <v>3</v>
      </c>
      <c r="AH94" s="25">
        <v>0</v>
      </c>
      <c r="AI94" s="26">
        <v>1</v>
      </c>
      <c r="AJ94" s="25">
        <v>0</v>
      </c>
      <c r="AK94" s="43">
        <v>0</v>
      </c>
      <c r="AL94" s="173">
        <v>4</v>
      </c>
      <c r="AM94" s="364">
        <v>0.22222222222222221</v>
      </c>
      <c r="AN94" s="144">
        <v>0</v>
      </c>
      <c r="AO94" s="144">
        <v>11</v>
      </c>
      <c r="AP94" s="144">
        <v>3</v>
      </c>
      <c r="AQ94" s="144">
        <v>9</v>
      </c>
      <c r="AR94" s="365">
        <v>0.5</v>
      </c>
      <c r="AS94" s="144">
        <v>9</v>
      </c>
      <c r="AT94" s="5">
        <v>1</v>
      </c>
      <c r="AU94" s="372">
        <v>0.16666666666666666</v>
      </c>
      <c r="AV94" s="5">
        <v>0</v>
      </c>
      <c r="AW94" s="5">
        <v>4</v>
      </c>
      <c r="AX94" s="5">
        <v>1</v>
      </c>
      <c r="AY94" s="5">
        <v>4</v>
      </c>
      <c r="AZ94" s="372">
        <v>0.66666666666666663</v>
      </c>
      <c r="BA94" s="57">
        <v>2</v>
      </c>
      <c r="BB94" s="393">
        <v>0</v>
      </c>
      <c r="BC94" s="394">
        <v>0</v>
      </c>
      <c r="BD94" s="395">
        <v>1</v>
      </c>
      <c r="BE94" s="396">
        <v>0</v>
      </c>
    </row>
    <row r="95" spans="1:57" x14ac:dyDescent="0.25">
      <c r="A95" s="400">
        <v>45957</v>
      </c>
      <c r="B95" s="401">
        <v>10</v>
      </c>
      <c r="C95" s="401" t="s">
        <v>209</v>
      </c>
      <c r="D95" s="363">
        <f>AVERAGE(D87:D94)</f>
        <v>1.5</v>
      </c>
      <c r="E95" s="363">
        <f>AVERAGE(E87:E94)</f>
        <v>0.875</v>
      </c>
      <c r="F95" s="401" t="s">
        <v>193</v>
      </c>
      <c r="G95" s="402"/>
      <c r="H95" s="403">
        <f t="shared" ref="H95:AM95" si="18">AVERAGE(H87:H94)</f>
        <v>47.75</v>
      </c>
      <c r="I95" s="401">
        <f t="shared" si="18"/>
        <v>52.25</v>
      </c>
      <c r="J95" s="411">
        <f t="shared" si="18"/>
        <v>1.2837499999999999</v>
      </c>
      <c r="K95" s="404">
        <f t="shared" si="18"/>
        <v>1.0400000000000003</v>
      </c>
      <c r="L95" s="401">
        <f t="shared" si="18"/>
        <v>1.875</v>
      </c>
      <c r="M95" s="401">
        <f t="shared" si="18"/>
        <v>1.625</v>
      </c>
      <c r="N95" s="401">
        <f t="shared" si="18"/>
        <v>12.25</v>
      </c>
      <c r="O95" s="401">
        <f t="shared" si="18"/>
        <v>12.125</v>
      </c>
      <c r="P95" s="401">
        <f t="shared" si="18"/>
        <v>3.75</v>
      </c>
      <c r="Q95" s="401">
        <f t="shared" si="18"/>
        <v>2.875</v>
      </c>
      <c r="R95" s="401">
        <f t="shared" si="18"/>
        <v>0.375</v>
      </c>
      <c r="S95" s="401">
        <f t="shared" si="18"/>
        <v>0.625</v>
      </c>
      <c r="T95" s="404">
        <f t="shared" si="18"/>
        <v>0.24875000000000003</v>
      </c>
      <c r="U95" s="404">
        <f t="shared" si="18"/>
        <v>1.6250000000000001E-2</v>
      </c>
      <c r="V95" s="401">
        <f t="shared" si="18"/>
        <v>3.5</v>
      </c>
      <c r="W95" s="401">
        <f t="shared" si="18"/>
        <v>5</v>
      </c>
      <c r="X95" s="401">
        <f t="shared" si="18"/>
        <v>9.625</v>
      </c>
      <c r="Y95" s="401">
        <f t="shared" si="18"/>
        <v>13</v>
      </c>
      <c r="Z95" s="401">
        <f t="shared" si="18"/>
        <v>478.375</v>
      </c>
      <c r="AA95" s="401">
        <f t="shared" si="18"/>
        <v>514.75</v>
      </c>
      <c r="AB95" s="401">
        <f t="shared" si="18"/>
        <v>16.25</v>
      </c>
      <c r="AC95" s="401">
        <f t="shared" si="18"/>
        <v>16.125</v>
      </c>
      <c r="AD95" s="401">
        <f t="shared" si="18"/>
        <v>12.875</v>
      </c>
      <c r="AE95" s="401">
        <f t="shared" si="18"/>
        <v>9.5</v>
      </c>
      <c r="AF95" s="401">
        <f t="shared" si="18"/>
        <v>1.5</v>
      </c>
      <c r="AG95" s="401">
        <f t="shared" si="18"/>
        <v>2.875</v>
      </c>
      <c r="AH95" s="401">
        <f t="shared" si="18"/>
        <v>0</v>
      </c>
      <c r="AI95" s="401">
        <f t="shared" si="18"/>
        <v>0.375</v>
      </c>
      <c r="AJ95" s="401">
        <f t="shared" si="18"/>
        <v>8.7499999999999994E-2</v>
      </c>
      <c r="AK95" s="405">
        <f t="shared" si="18"/>
        <v>8.7499999999999994E-2</v>
      </c>
      <c r="AL95" s="413">
        <f t="shared" si="18"/>
        <v>4.125</v>
      </c>
      <c r="AM95" s="414">
        <f t="shared" si="18"/>
        <v>0.35915178571428574</v>
      </c>
      <c r="AN95" s="401">
        <f t="shared" ref="AN95:BS95" si="19">AVERAGE(AN87:AN94)</f>
        <v>0.25</v>
      </c>
      <c r="AO95" s="401">
        <f t="shared" si="19"/>
        <v>5.25</v>
      </c>
      <c r="AP95" s="401">
        <f t="shared" si="19"/>
        <v>2.875</v>
      </c>
      <c r="AQ95" s="401">
        <f t="shared" si="19"/>
        <v>6.875</v>
      </c>
      <c r="AR95" s="407">
        <f t="shared" si="19"/>
        <v>0.56309523809523809</v>
      </c>
      <c r="AS95" s="401">
        <f t="shared" si="19"/>
        <v>5.375</v>
      </c>
      <c r="AT95" s="412">
        <f t="shared" si="19"/>
        <v>4.375</v>
      </c>
      <c r="AU95" s="415">
        <f t="shared" si="19"/>
        <v>0.35113636363636364</v>
      </c>
      <c r="AV95" s="401">
        <f t="shared" si="19"/>
        <v>0.25</v>
      </c>
      <c r="AW95" s="401">
        <f t="shared" si="19"/>
        <v>5.125</v>
      </c>
      <c r="AX95" s="401">
        <f t="shared" si="19"/>
        <v>2.625</v>
      </c>
      <c r="AY95" s="401">
        <f t="shared" si="19"/>
        <v>8.125</v>
      </c>
      <c r="AZ95" s="415">
        <f t="shared" si="19"/>
        <v>0.67159090909090924</v>
      </c>
      <c r="BA95" s="405">
        <f t="shared" si="19"/>
        <v>4</v>
      </c>
      <c r="BB95" s="397">
        <f t="shared" si="19"/>
        <v>0.375</v>
      </c>
      <c r="BC95" s="398">
        <f t="shared" si="19"/>
        <v>0.125</v>
      </c>
      <c r="BD95" s="398">
        <f t="shared" si="19"/>
        <v>0.75</v>
      </c>
      <c r="BE95" s="399">
        <f t="shared" si="19"/>
        <v>0.375</v>
      </c>
    </row>
  </sheetData>
  <autoFilter ref="A1:BE1" xr:uid="{A50F5DB3-882B-49A2-B081-EE8A566B0358}"/>
  <conditionalFormatting sqref="J2:K95">
    <cfRule type="cellIs" dxfId="1019" priority="4" operator="greaterThan">
      <formula>1.79</formula>
    </cfRule>
    <cfRule type="cellIs" dxfId="1018" priority="5" operator="greaterThan">
      <formula>1.19</formula>
    </cfRule>
  </conditionalFormatting>
  <conditionalFormatting sqref="L2:M95">
    <cfRule type="cellIs" dxfId="1017" priority="6" operator="greaterThan">
      <formula>4</formula>
    </cfRule>
    <cfRule type="cellIs" dxfId="1016" priority="7" operator="greaterThan">
      <formula>2</formula>
    </cfRule>
  </conditionalFormatting>
  <conditionalFormatting sqref="AL2:AL95">
    <cfRule type="cellIs" dxfId="1015" priority="16" operator="greaterThan">
      <formula>7</formula>
    </cfRule>
    <cfRule type="cellIs" dxfId="1014" priority="17" operator="greaterThan">
      <formula>4</formula>
    </cfRule>
  </conditionalFormatting>
  <conditionalFormatting sqref="AM2:AM95">
    <cfRule type="cellIs" dxfId="1013" priority="18" operator="greaterThan">
      <formula>0.49</formula>
    </cfRule>
    <cfRule type="cellIs" dxfId="1012" priority="19" operator="greaterThan">
      <formula>0.29</formula>
    </cfRule>
  </conditionalFormatting>
  <conditionalFormatting sqref="AR2:AR95">
    <cfRule type="cellIs" dxfId="1011" priority="14" operator="greaterThan">
      <formula>0.79</formula>
    </cfRule>
    <cfRule type="cellIs" dxfId="1010" priority="15" operator="greaterThan">
      <formula>0.59</formula>
    </cfRule>
  </conditionalFormatting>
  <conditionalFormatting sqref="AT2:AT95">
    <cfRule type="cellIs" dxfId="1009" priority="10" operator="greaterThan">
      <formula>5</formula>
    </cfRule>
    <cfRule type="cellIs" dxfId="1008" priority="11" operator="greaterThan">
      <formula>2</formula>
    </cfRule>
  </conditionalFormatting>
  <conditionalFormatting sqref="AU2:AU95">
    <cfRule type="cellIs" dxfId="1007" priority="12" operator="greaterThan">
      <formula>0.49</formula>
    </cfRule>
    <cfRule type="cellIs" dxfId="1006" priority="13" operator="greaterThan">
      <formula>0.29</formula>
    </cfRule>
  </conditionalFormatting>
  <conditionalFormatting sqref="AZ2:AZ95">
    <cfRule type="cellIs" dxfId="1005" priority="8" operator="greaterThan">
      <formula>0.79</formula>
    </cfRule>
    <cfRule type="cellIs" dxfId="1004" priority="9" operator="greaterThan">
      <formula>0.59</formula>
    </cfRule>
  </conditionalFormatting>
  <conditionalFormatting sqref="BB2:BB95 BD2:BD95">
    <cfRule type="cellIs" dxfId="1003" priority="1" operator="greaterThan">
      <formula>1</formula>
    </cfRule>
    <cfRule type="cellIs" dxfId="1002" priority="2" operator="greaterThan">
      <formula>0</formula>
    </cfRule>
  </conditionalFormatting>
  <conditionalFormatting sqref="BC2:BC95 BE2:BE95">
    <cfRule type="cellIs" dxfId="1001" priority="3" operator="greaterThan">
      <formula>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C5B8-6CA1-4D72-AA46-59BCFE3EC16D}">
  <dimension ref="A1:AD1063"/>
  <sheetViews>
    <sheetView workbookViewId="0">
      <pane ySplit="1" topLeftCell="A950" activePane="bottomLeft" state="frozen"/>
      <selection pane="bottomLeft" activeCell="I1" sqref="I1:I1048576"/>
    </sheetView>
  </sheetViews>
  <sheetFormatPr defaultRowHeight="15" x14ac:dyDescent="0.25"/>
  <cols>
    <col min="1" max="1" width="13.28515625" style="329" customWidth="1"/>
    <col min="2" max="2" width="3.7109375" style="5" customWidth="1"/>
    <col min="3" max="3" width="7.7109375" style="121" customWidth="1"/>
    <col min="4" max="4" width="12.7109375" style="5" customWidth="1"/>
    <col min="5" max="6" width="4.7109375" style="6" customWidth="1"/>
    <col min="7" max="9" width="4.7109375" style="7" customWidth="1"/>
    <col min="10" max="10" width="4.7109375" style="8" customWidth="1"/>
    <col min="11" max="11" width="7.7109375" style="121" customWidth="1"/>
    <col min="12" max="12" width="12.7109375" style="5" customWidth="1"/>
    <col min="13" max="13" width="7.7109375" style="44" customWidth="1"/>
    <col min="14" max="14" width="5.7109375" style="56" customWidth="1"/>
    <col min="15" max="15" width="14.7109375" style="5" customWidth="1"/>
    <col min="16" max="17" width="12.7109375" style="5" customWidth="1"/>
    <col min="18" max="18" width="14.7109375" style="5" customWidth="1"/>
    <col min="19" max="19" width="4.7109375" style="7" customWidth="1"/>
    <col min="20" max="20" width="11.7109375" style="5" customWidth="1"/>
    <col min="21" max="21" width="10.7109375" style="5" customWidth="1"/>
    <col min="22" max="22" width="10.7109375" style="57" customWidth="1"/>
    <col min="23" max="23" width="5.7109375" style="51" customWidth="1"/>
    <col min="24" max="24" width="5.7109375" style="6" customWidth="1"/>
    <col min="25" max="25" width="10.7109375" style="6" customWidth="1"/>
    <col min="26" max="26" width="25.7109375" style="5" customWidth="1"/>
    <col min="27" max="27" width="4.7109375" style="112" customWidth="1"/>
    <col min="28" max="28" width="11.7109375" style="108" customWidth="1"/>
    <col min="29" max="29" width="11.7109375" style="57" customWidth="1"/>
    <col min="30" max="30" width="9.140625" style="38"/>
    <col min="31" max="16384" width="9.140625" style="5"/>
  </cols>
  <sheetData>
    <row r="1" spans="1:30" ht="15.75" thickBot="1" x14ac:dyDescent="0.3">
      <c r="A1" s="322" t="s">
        <v>37</v>
      </c>
      <c r="B1" s="24" t="s">
        <v>38</v>
      </c>
      <c r="C1" s="120" t="s">
        <v>682</v>
      </c>
      <c r="D1" s="1" t="s">
        <v>635</v>
      </c>
      <c r="E1" s="2" t="s">
        <v>589</v>
      </c>
      <c r="F1" s="2"/>
      <c r="G1" s="3" t="s">
        <v>636</v>
      </c>
      <c r="H1" s="3" t="s">
        <v>637</v>
      </c>
      <c r="I1" s="3"/>
      <c r="J1" s="4" t="s">
        <v>590</v>
      </c>
      <c r="K1" s="126" t="s">
        <v>683</v>
      </c>
      <c r="L1" s="1" t="s">
        <v>638</v>
      </c>
      <c r="M1" s="1" t="s">
        <v>586</v>
      </c>
      <c r="N1" s="55" t="s">
        <v>0</v>
      </c>
      <c r="O1" s="39" t="s">
        <v>1</v>
      </c>
      <c r="P1" s="39" t="s">
        <v>2</v>
      </c>
      <c r="Q1" s="39" t="s">
        <v>645</v>
      </c>
      <c r="R1" s="39" t="s">
        <v>681</v>
      </c>
      <c r="S1" s="212" t="s">
        <v>711</v>
      </c>
      <c r="T1" s="39" t="s">
        <v>39</v>
      </c>
      <c r="U1" s="39" t="s">
        <v>40</v>
      </c>
      <c r="V1" s="41" t="s">
        <v>3</v>
      </c>
      <c r="W1" s="48" t="s">
        <v>4</v>
      </c>
      <c r="X1" s="49" t="s">
        <v>64</v>
      </c>
      <c r="Y1" s="49" t="s">
        <v>353</v>
      </c>
      <c r="Z1" s="39" t="s">
        <v>5</v>
      </c>
      <c r="AA1" s="50" t="s">
        <v>6</v>
      </c>
      <c r="AB1" s="116" t="s">
        <v>646</v>
      </c>
      <c r="AC1" s="117" t="s">
        <v>647</v>
      </c>
      <c r="AD1" s="5"/>
    </row>
    <row r="2" spans="1:30" x14ac:dyDescent="0.25">
      <c r="A2" s="323">
        <v>45893</v>
      </c>
      <c r="B2" s="136">
        <v>2</v>
      </c>
      <c r="C2" s="137" t="s">
        <v>700</v>
      </c>
      <c r="D2" s="136" t="s">
        <v>92</v>
      </c>
      <c r="E2" s="138">
        <v>0.5</v>
      </c>
      <c r="F2" s="138"/>
      <c r="G2" s="139">
        <v>0</v>
      </c>
      <c r="H2" s="139">
        <v>3</v>
      </c>
      <c r="I2" s="139"/>
      <c r="J2" s="140">
        <v>2.68</v>
      </c>
      <c r="K2" s="137" t="s">
        <v>693</v>
      </c>
      <c r="L2" s="136" t="s">
        <v>226</v>
      </c>
      <c r="M2" s="141"/>
      <c r="N2" s="142">
        <v>3</v>
      </c>
      <c r="O2" s="77" t="s">
        <v>226</v>
      </c>
      <c r="P2" s="77" t="s">
        <v>53</v>
      </c>
      <c r="Q2" s="77" t="s">
        <v>286</v>
      </c>
      <c r="R2" s="77" t="s">
        <v>685</v>
      </c>
      <c r="S2" s="220">
        <v>69</v>
      </c>
      <c r="T2" s="77" t="s">
        <v>41</v>
      </c>
      <c r="U2" s="77" t="s">
        <v>42</v>
      </c>
      <c r="V2" s="78" t="s">
        <v>10</v>
      </c>
      <c r="W2" s="53">
        <v>0.04</v>
      </c>
      <c r="X2" s="18">
        <v>0.27</v>
      </c>
      <c r="Y2" s="138"/>
      <c r="Z2" s="136" t="s">
        <v>48</v>
      </c>
      <c r="AA2" s="168" t="s">
        <v>28</v>
      </c>
      <c r="AB2" s="169"/>
      <c r="AC2" s="170"/>
    </row>
    <row r="3" spans="1:30" x14ac:dyDescent="0.25">
      <c r="A3" s="324">
        <v>45893</v>
      </c>
      <c r="B3" s="144">
        <v>2</v>
      </c>
      <c r="C3" s="145"/>
      <c r="D3" s="144" t="s">
        <v>92</v>
      </c>
      <c r="E3" s="146">
        <v>0.5</v>
      </c>
      <c r="F3" s="146"/>
      <c r="G3" s="147">
        <v>0</v>
      </c>
      <c r="H3" s="147">
        <v>3</v>
      </c>
      <c r="I3" s="147"/>
      <c r="J3" s="148">
        <v>2.68</v>
      </c>
      <c r="K3" s="145"/>
      <c r="L3" s="144" t="s">
        <v>226</v>
      </c>
      <c r="M3" s="149"/>
      <c r="N3" s="150">
        <v>32</v>
      </c>
      <c r="O3" s="26" t="s">
        <v>226</v>
      </c>
      <c r="P3" s="26" t="s">
        <v>56</v>
      </c>
      <c r="Q3" s="26" t="s">
        <v>235</v>
      </c>
      <c r="R3" s="26" t="s">
        <v>699</v>
      </c>
      <c r="S3" s="213">
        <v>73</v>
      </c>
      <c r="T3" s="26" t="s">
        <v>354</v>
      </c>
      <c r="U3" s="26" t="s">
        <v>43</v>
      </c>
      <c r="V3" s="43" t="s">
        <v>10</v>
      </c>
      <c r="W3" s="51">
        <v>0.03</v>
      </c>
      <c r="X3" s="6">
        <v>0.14000000000000001</v>
      </c>
      <c r="Y3" s="146"/>
      <c r="Z3" s="144" t="s">
        <v>48</v>
      </c>
      <c r="AA3" s="172" t="s">
        <v>28</v>
      </c>
      <c r="AB3" s="173"/>
      <c r="AC3" s="174"/>
    </row>
    <row r="4" spans="1:30" x14ac:dyDescent="0.25">
      <c r="A4" s="324">
        <v>45893</v>
      </c>
      <c r="B4" s="144">
        <v>2</v>
      </c>
      <c r="C4" s="145"/>
      <c r="D4" s="144" t="s">
        <v>92</v>
      </c>
      <c r="E4" s="146">
        <v>0.5</v>
      </c>
      <c r="F4" s="146"/>
      <c r="G4" s="147">
        <v>0</v>
      </c>
      <c r="H4" s="147">
        <v>3</v>
      </c>
      <c r="I4" s="147"/>
      <c r="J4" s="148">
        <v>2.68</v>
      </c>
      <c r="K4" s="145"/>
      <c r="L4" s="144" t="s">
        <v>226</v>
      </c>
      <c r="M4" s="149"/>
      <c r="N4" s="150">
        <v>34</v>
      </c>
      <c r="O4" s="26" t="s">
        <v>226</v>
      </c>
      <c r="P4" s="26" t="s">
        <v>236</v>
      </c>
      <c r="Q4" s="26" t="s">
        <v>237</v>
      </c>
      <c r="R4" s="26" t="s">
        <v>686</v>
      </c>
      <c r="S4" s="213">
        <v>63</v>
      </c>
      <c r="T4" s="26" t="s">
        <v>47</v>
      </c>
      <c r="U4" s="26" t="s">
        <v>42</v>
      </c>
      <c r="V4" s="43" t="s">
        <v>20</v>
      </c>
      <c r="W4" s="51">
        <v>0.2</v>
      </c>
      <c r="X4" s="146" t="s">
        <v>53</v>
      </c>
      <c r="Y4" s="146" t="s">
        <v>353</v>
      </c>
      <c r="Z4" s="144" t="s">
        <v>22</v>
      </c>
      <c r="AA4" s="172" t="s">
        <v>28</v>
      </c>
      <c r="AB4" s="173"/>
      <c r="AC4" s="174"/>
    </row>
    <row r="5" spans="1:30" x14ac:dyDescent="0.25">
      <c r="A5" s="324">
        <v>45893</v>
      </c>
      <c r="B5" s="144">
        <v>2</v>
      </c>
      <c r="C5" s="145"/>
      <c r="D5" s="144" t="s">
        <v>92</v>
      </c>
      <c r="E5" s="146">
        <v>0.5</v>
      </c>
      <c r="F5" s="146"/>
      <c r="G5" s="147">
        <v>0</v>
      </c>
      <c r="H5" s="147">
        <v>3</v>
      </c>
      <c r="I5" s="147"/>
      <c r="J5" s="148">
        <v>2.68</v>
      </c>
      <c r="K5" s="145"/>
      <c r="L5" s="144" t="s">
        <v>226</v>
      </c>
      <c r="M5" s="149"/>
      <c r="N5" s="150">
        <v>36</v>
      </c>
      <c r="O5" s="26" t="s">
        <v>226</v>
      </c>
      <c r="P5" s="26" t="s">
        <v>236</v>
      </c>
      <c r="Q5" s="26" t="s">
        <v>237</v>
      </c>
      <c r="R5" s="26" t="s">
        <v>686</v>
      </c>
      <c r="S5" s="213">
        <v>63</v>
      </c>
      <c r="T5" s="26" t="s">
        <v>41</v>
      </c>
      <c r="U5" s="26" t="s">
        <v>43</v>
      </c>
      <c r="V5" s="43" t="s">
        <v>540</v>
      </c>
      <c r="W5" s="51">
        <v>0.12</v>
      </c>
      <c r="X5" s="146" t="s">
        <v>53</v>
      </c>
      <c r="Y5" s="146"/>
      <c r="Z5" s="144" t="s">
        <v>52</v>
      </c>
      <c r="AA5" s="172" t="s">
        <v>28</v>
      </c>
      <c r="AB5" s="173"/>
      <c r="AC5" s="174"/>
    </row>
    <row r="6" spans="1:30" x14ac:dyDescent="0.25">
      <c r="A6" s="324">
        <v>45893</v>
      </c>
      <c r="B6" s="144">
        <v>2</v>
      </c>
      <c r="C6" s="145"/>
      <c r="D6" s="144" t="s">
        <v>92</v>
      </c>
      <c r="E6" s="146">
        <v>0.5</v>
      </c>
      <c r="F6" s="146"/>
      <c r="G6" s="147">
        <v>0</v>
      </c>
      <c r="H6" s="147">
        <v>3</v>
      </c>
      <c r="I6" s="147"/>
      <c r="J6" s="148">
        <v>2.68</v>
      </c>
      <c r="K6" s="145"/>
      <c r="L6" s="144" t="s">
        <v>226</v>
      </c>
      <c r="M6" s="149"/>
      <c r="N6" s="150">
        <v>36</v>
      </c>
      <c r="O6" s="26" t="s">
        <v>226</v>
      </c>
      <c r="P6" s="26" t="s">
        <v>56</v>
      </c>
      <c r="Q6" s="26" t="s">
        <v>235</v>
      </c>
      <c r="R6" s="26" t="s">
        <v>699</v>
      </c>
      <c r="S6" s="213">
        <v>73</v>
      </c>
      <c r="T6" s="26" t="s">
        <v>41</v>
      </c>
      <c r="U6" s="26" t="s">
        <v>43</v>
      </c>
      <c r="V6" s="43" t="s">
        <v>540</v>
      </c>
      <c r="W6" s="51">
        <v>0.14000000000000001</v>
      </c>
      <c r="X6" s="146" t="s">
        <v>53</v>
      </c>
      <c r="Y6" s="146" t="s">
        <v>353</v>
      </c>
      <c r="Z6" s="144" t="s">
        <v>52</v>
      </c>
      <c r="AA6" s="172" t="s">
        <v>28</v>
      </c>
      <c r="AB6" s="173"/>
      <c r="AC6" s="174"/>
    </row>
    <row r="7" spans="1:30" x14ac:dyDescent="0.25">
      <c r="A7" s="324">
        <v>45893</v>
      </c>
      <c r="B7" s="144">
        <v>2</v>
      </c>
      <c r="C7" s="145"/>
      <c r="D7" s="144" t="s">
        <v>92</v>
      </c>
      <c r="E7" s="146">
        <v>0.5</v>
      </c>
      <c r="F7" s="146"/>
      <c r="G7" s="147">
        <v>0</v>
      </c>
      <c r="H7" s="147">
        <v>3</v>
      </c>
      <c r="I7" s="147"/>
      <c r="J7" s="148">
        <v>2.68</v>
      </c>
      <c r="K7" s="145"/>
      <c r="L7" s="144" t="s">
        <v>226</v>
      </c>
      <c r="M7" s="149"/>
      <c r="N7" s="150">
        <v>37</v>
      </c>
      <c r="O7" s="26" t="s">
        <v>226</v>
      </c>
      <c r="P7" s="26" t="s">
        <v>231</v>
      </c>
      <c r="Q7" s="26" t="s">
        <v>232</v>
      </c>
      <c r="R7" s="26" t="s">
        <v>684</v>
      </c>
      <c r="S7" s="213">
        <v>92</v>
      </c>
      <c r="T7" s="26" t="s">
        <v>41</v>
      </c>
      <c r="U7" s="26" t="s">
        <v>42</v>
      </c>
      <c r="V7" s="43" t="s">
        <v>10</v>
      </c>
      <c r="W7" s="51">
        <v>0.37</v>
      </c>
      <c r="X7" s="146">
        <v>0.75</v>
      </c>
      <c r="Y7" s="146"/>
      <c r="Z7" s="144" t="s">
        <v>8</v>
      </c>
      <c r="AA7" s="172" t="s">
        <v>9</v>
      </c>
      <c r="AB7" s="173" t="s">
        <v>56</v>
      </c>
      <c r="AC7" s="174" t="s">
        <v>235</v>
      </c>
    </row>
    <row r="8" spans="1:30" x14ac:dyDescent="0.25">
      <c r="A8" s="324">
        <v>45893</v>
      </c>
      <c r="B8" s="144">
        <v>2</v>
      </c>
      <c r="C8" s="145"/>
      <c r="D8" s="144" t="s">
        <v>92</v>
      </c>
      <c r="E8" s="146">
        <v>0.5</v>
      </c>
      <c r="F8" s="146"/>
      <c r="G8" s="147">
        <v>0</v>
      </c>
      <c r="H8" s="147">
        <v>3</v>
      </c>
      <c r="I8" s="147"/>
      <c r="J8" s="148">
        <v>2.68</v>
      </c>
      <c r="K8" s="145"/>
      <c r="L8" s="144" t="s">
        <v>226</v>
      </c>
      <c r="M8" s="149"/>
      <c r="N8" s="150">
        <v>66</v>
      </c>
      <c r="O8" s="26" t="s">
        <v>226</v>
      </c>
      <c r="P8" s="26" t="s">
        <v>287</v>
      </c>
      <c r="Q8" s="26" t="s">
        <v>288</v>
      </c>
      <c r="R8" s="26" t="s">
        <v>687</v>
      </c>
      <c r="S8" s="213">
        <v>72</v>
      </c>
      <c r="T8" s="26" t="s">
        <v>41</v>
      </c>
      <c r="U8" s="26" t="s">
        <v>43</v>
      </c>
      <c r="V8" s="43" t="s">
        <v>18</v>
      </c>
      <c r="W8" s="51">
        <v>0.56999999999999995</v>
      </c>
      <c r="X8" s="146">
        <v>0.45</v>
      </c>
      <c r="Y8" s="146" t="s">
        <v>353</v>
      </c>
      <c r="Z8" s="144" t="s">
        <v>48</v>
      </c>
      <c r="AA8" s="172" t="s">
        <v>9</v>
      </c>
      <c r="AB8" s="173"/>
      <c r="AC8" s="174"/>
    </row>
    <row r="9" spans="1:30" x14ac:dyDescent="0.25">
      <c r="A9" s="324">
        <v>45893</v>
      </c>
      <c r="B9" s="144">
        <v>2</v>
      </c>
      <c r="C9" s="145"/>
      <c r="D9" s="144" t="s">
        <v>92</v>
      </c>
      <c r="E9" s="146">
        <v>0.5</v>
      </c>
      <c r="F9" s="146"/>
      <c r="G9" s="147">
        <v>0</v>
      </c>
      <c r="H9" s="147">
        <v>3</v>
      </c>
      <c r="I9" s="147"/>
      <c r="J9" s="148">
        <v>2.68</v>
      </c>
      <c r="K9" s="145"/>
      <c r="L9" s="144" t="s">
        <v>226</v>
      </c>
      <c r="M9" s="149"/>
      <c r="N9" s="150">
        <v>82</v>
      </c>
      <c r="O9" s="61" t="s">
        <v>92</v>
      </c>
      <c r="P9" s="61" t="s">
        <v>290</v>
      </c>
      <c r="Q9" s="61" t="s">
        <v>291</v>
      </c>
      <c r="R9" s="61" t="s">
        <v>695</v>
      </c>
      <c r="S9" s="218">
        <v>61</v>
      </c>
      <c r="T9" s="61" t="s">
        <v>44</v>
      </c>
      <c r="U9" s="61" t="s">
        <v>42</v>
      </c>
      <c r="V9" s="63" t="s">
        <v>10</v>
      </c>
      <c r="W9" s="51">
        <v>0.1</v>
      </c>
      <c r="X9" s="146" t="s">
        <v>53</v>
      </c>
      <c r="Y9" s="146"/>
      <c r="Z9" s="144" t="s">
        <v>17</v>
      </c>
      <c r="AA9" s="172" t="s">
        <v>11</v>
      </c>
      <c r="AB9" s="173"/>
      <c r="AC9" s="174"/>
    </row>
    <row r="10" spans="1:30" x14ac:dyDescent="0.25">
      <c r="A10" s="324">
        <v>45893</v>
      </c>
      <c r="B10" s="144">
        <v>2</v>
      </c>
      <c r="C10" s="145"/>
      <c r="D10" s="144" t="s">
        <v>92</v>
      </c>
      <c r="E10" s="146">
        <v>0.5</v>
      </c>
      <c r="F10" s="146"/>
      <c r="G10" s="147">
        <v>0</v>
      </c>
      <c r="H10" s="147">
        <v>3</v>
      </c>
      <c r="I10" s="147"/>
      <c r="J10" s="148">
        <v>2.68</v>
      </c>
      <c r="K10" s="145"/>
      <c r="L10" s="144" t="s">
        <v>226</v>
      </c>
      <c r="M10" s="149"/>
      <c r="N10" s="150">
        <v>83</v>
      </c>
      <c r="O10" s="26" t="s">
        <v>226</v>
      </c>
      <c r="P10" s="26" t="s">
        <v>231</v>
      </c>
      <c r="Q10" s="26" t="s">
        <v>232</v>
      </c>
      <c r="R10" s="26" t="s">
        <v>684</v>
      </c>
      <c r="S10" s="213">
        <v>92</v>
      </c>
      <c r="T10" s="26" t="s">
        <v>41</v>
      </c>
      <c r="U10" s="26" t="s">
        <v>42</v>
      </c>
      <c r="V10" s="43" t="s">
        <v>10</v>
      </c>
      <c r="W10" s="51">
        <v>0.32</v>
      </c>
      <c r="X10" s="146">
        <v>0.34</v>
      </c>
      <c r="Y10" s="146" t="s">
        <v>353</v>
      </c>
      <c r="Z10" s="144" t="s">
        <v>8</v>
      </c>
      <c r="AA10" s="172" t="s">
        <v>11</v>
      </c>
      <c r="AB10" s="173" t="s">
        <v>289</v>
      </c>
      <c r="AC10" s="174" t="s">
        <v>54</v>
      </c>
    </row>
    <row r="11" spans="1:30" x14ac:dyDescent="0.25">
      <c r="A11" s="324">
        <v>45893</v>
      </c>
      <c r="B11" s="144">
        <v>2</v>
      </c>
      <c r="C11" s="145"/>
      <c r="D11" s="144" t="s">
        <v>92</v>
      </c>
      <c r="E11" s="146">
        <v>0.5</v>
      </c>
      <c r="F11" s="146"/>
      <c r="G11" s="147">
        <v>0</v>
      </c>
      <c r="H11" s="147">
        <v>3</v>
      </c>
      <c r="I11" s="147"/>
      <c r="J11" s="148">
        <v>2.68</v>
      </c>
      <c r="K11" s="145"/>
      <c r="L11" s="144" t="s">
        <v>226</v>
      </c>
      <c r="M11" s="149"/>
      <c r="N11" s="150">
        <v>85</v>
      </c>
      <c r="O11" s="26" t="s">
        <v>226</v>
      </c>
      <c r="P11" s="26" t="s">
        <v>231</v>
      </c>
      <c r="Q11" s="26" t="s">
        <v>232</v>
      </c>
      <c r="R11" s="26" t="s">
        <v>684</v>
      </c>
      <c r="S11" s="213">
        <v>92</v>
      </c>
      <c r="T11" s="26" t="s">
        <v>44</v>
      </c>
      <c r="U11" s="26" t="s">
        <v>42</v>
      </c>
      <c r="V11" s="43" t="s">
        <v>540</v>
      </c>
      <c r="W11" s="51">
        <v>0.09</v>
      </c>
      <c r="X11" s="146">
        <v>0.22</v>
      </c>
      <c r="Y11" s="146"/>
      <c r="Z11" s="144" t="s">
        <v>48</v>
      </c>
      <c r="AA11" s="172" t="s">
        <v>11</v>
      </c>
      <c r="AB11" s="173"/>
      <c r="AC11" s="174"/>
    </row>
    <row r="12" spans="1:30" x14ac:dyDescent="0.25">
      <c r="A12" s="324">
        <v>45893</v>
      </c>
      <c r="B12" s="144">
        <v>2</v>
      </c>
      <c r="C12" s="145"/>
      <c r="D12" s="144" t="s">
        <v>92</v>
      </c>
      <c r="E12" s="146">
        <v>0.5</v>
      </c>
      <c r="F12" s="146"/>
      <c r="G12" s="147">
        <v>0</v>
      </c>
      <c r="H12" s="147">
        <v>3</v>
      </c>
      <c r="I12" s="147"/>
      <c r="J12" s="148">
        <v>2.68</v>
      </c>
      <c r="K12" s="145"/>
      <c r="L12" s="144" t="s">
        <v>226</v>
      </c>
      <c r="M12" s="149"/>
      <c r="N12" s="150">
        <v>89</v>
      </c>
      <c r="O12" s="61" t="s">
        <v>92</v>
      </c>
      <c r="P12" s="61" t="s">
        <v>292</v>
      </c>
      <c r="Q12" s="61" t="s">
        <v>293</v>
      </c>
      <c r="R12" s="61" t="s">
        <v>696</v>
      </c>
      <c r="S12" s="218">
        <v>63</v>
      </c>
      <c r="T12" s="61" t="s">
        <v>41</v>
      </c>
      <c r="U12" s="61" t="s">
        <v>43</v>
      </c>
      <c r="V12" s="63" t="s">
        <v>10</v>
      </c>
      <c r="W12" s="51">
        <v>0.08</v>
      </c>
      <c r="X12" s="146">
        <v>0.24</v>
      </c>
      <c r="Y12" s="146"/>
      <c r="Z12" s="144" t="s">
        <v>48</v>
      </c>
      <c r="AA12" s="172" t="s">
        <v>11</v>
      </c>
      <c r="AB12" s="173"/>
      <c r="AC12" s="174"/>
    </row>
    <row r="13" spans="1:30" x14ac:dyDescent="0.25">
      <c r="A13" s="324">
        <v>45893</v>
      </c>
      <c r="B13" s="144">
        <v>2</v>
      </c>
      <c r="C13" s="145"/>
      <c r="D13" s="144" t="s">
        <v>92</v>
      </c>
      <c r="E13" s="146">
        <v>0.5</v>
      </c>
      <c r="F13" s="146"/>
      <c r="G13" s="147">
        <v>0</v>
      </c>
      <c r="H13" s="147">
        <v>3</v>
      </c>
      <c r="I13" s="147"/>
      <c r="J13" s="148">
        <v>2.68</v>
      </c>
      <c r="K13" s="145"/>
      <c r="L13" s="144" t="s">
        <v>226</v>
      </c>
      <c r="M13" s="149"/>
      <c r="N13" s="150">
        <v>89</v>
      </c>
      <c r="O13" s="61" t="s">
        <v>92</v>
      </c>
      <c r="P13" s="61" t="s">
        <v>287</v>
      </c>
      <c r="Q13" s="61" t="s">
        <v>294</v>
      </c>
      <c r="R13" s="61" t="s">
        <v>696</v>
      </c>
      <c r="S13" s="218">
        <v>66</v>
      </c>
      <c r="T13" s="61" t="s">
        <v>41</v>
      </c>
      <c r="U13" s="61" t="s">
        <v>43</v>
      </c>
      <c r="V13" s="63" t="s">
        <v>540</v>
      </c>
      <c r="W13" s="51">
        <v>0.25</v>
      </c>
      <c r="X13" s="146" t="s">
        <v>53</v>
      </c>
      <c r="Y13" s="146"/>
      <c r="Z13" s="144" t="s">
        <v>13</v>
      </c>
      <c r="AA13" s="172" t="s">
        <v>11</v>
      </c>
      <c r="AB13" s="173"/>
      <c r="AC13" s="174"/>
    </row>
    <row r="14" spans="1:30" ht="15.75" thickBot="1" x14ac:dyDescent="0.3">
      <c r="A14" s="325">
        <v>45893</v>
      </c>
      <c r="B14" s="152">
        <v>2</v>
      </c>
      <c r="C14" s="153"/>
      <c r="D14" s="152" t="s">
        <v>92</v>
      </c>
      <c r="E14" s="154">
        <v>0.5</v>
      </c>
      <c r="F14" s="154"/>
      <c r="G14" s="155">
        <v>0</v>
      </c>
      <c r="H14" s="155">
        <v>3</v>
      </c>
      <c r="I14" s="155"/>
      <c r="J14" s="156">
        <v>2.68</v>
      </c>
      <c r="K14" s="153"/>
      <c r="L14" s="152" t="s">
        <v>226</v>
      </c>
      <c r="M14" s="157"/>
      <c r="N14" s="158" t="s">
        <v>31</v>
      </c>
      <c r="O14" s="74" t="s">
        <v>226</v>
      </c>
      <c r="P14" s="74" t="s">
        <v>289</v>
      </c>
      <c r="Q14" s="74" t="s">
        <v>54</v>
      </c>
      <c r="R14" s="74" t="s">
        <v>696</v>
      </c>
      <c r="S14" s="221">
        <v>84</v>
      </c>
      <c r="T14" s="74" t="s">
        <v>41</v>
      </c>
      <c r="U14" s="74" t="s">
        <v>42</v>
      </c>
      <c r="V14" s="76" t="s">
        <v>18</v>
      </c>
      <c r="W14" s="52">
        <v>0.22</v>
      </c>
      <c r="X14" s="10">
        <v>0.57999999999999996</v>
      </c>
      <c r="Y14" s="154"/>
      <c r="Z14" s="152" t="s">
        <v>8</v>
      </c>
      <c r="AA14" s="176" t="s">
        <v>14</v>
      </c>
      <c r="AB14" s="177" t="s">
        <v>657</v>
      </c>
      <c r="AC14" s="178" t="s">
        <v>138</v>
      </c>
    </row>
    <row r="15" spans="1:30" ht="15.75" thickBot="1" x14ac:dyDescent="0.3">
      <c r="A15" s="326">
        <v>45893</v>
      </c>
      <c r="B15" s="207">
        <v>2</v>
      </c>
      <c r="C15" s="208"/>
      <c r="D15" s="207" t="s">
        <v>92</v>
      </c>
      <c r="E15" s="209">
        <v>0.5</v>
      </c>
      <c r="F15" s="209"/>
      <c r="G15" s="210">
        <v>0</v>
      </c>
      <c r="H15" s="210">
        <v>3</v>
      </c>
      <c r="I15" s="210"/>
      <c r="J15" s="211">
        <v>2.68</v>
      </c>
      <c r="K15" s="208"/>
      <c r="L15" s="207" t="s">
        <v>226</v>
      </c>
      <c r="M15" s="197"/>
      <c r="N15" s="198"/>
      <c r="O15" s="199" t="s">
        <v>92</v>
      </c>
      <c r="P15" s="199" t="s">
        <v>432</v>
      </c>
      <c r="Q15" s="199" t="s">
        <v>472</v>
      </c>
      <c r="R15" s="199" t="s">
        <v>707</v>
      </c>
      <c r="S15" s="200">
        <v>76</v>
      </c>
      <c r="T15" s="199"/>
      <c r="U15" s="199"/>
      <c r="V15" s="201"/>
      <c r="W15" s="202"/>
      <c r="X15" s="203"/>
      <c r="Y15" s="203">
        <v>3</v>
      </c>
      <c r="Z15" s="199"/>
      <c r="AA15" s="204"/>
      <c r="AB15" s="205"/>
      <c r="AC15" s="201"/>
    </row>
    <row r="16" spans="1:30" ht="15.75" thickBot="1" x14ac:dyDescent="0.3">
      <c r="A16" s="326">
        <v>45893</v>
      </c>
      <c r="B16" s="207">
        <v>2</v>
      </c>
      <c r="C16" s="208"/>
      <c r="D16" s="207" t="s">
        <v>92</v>
      </c>
      <c r="E16" s="209">
        <v>0.5</v>
      </c>
      <c r="F16" s="209"/>
      <c r="G16" s="210">
        <v>0</v>
      </c>
      <c r="H16" s="210">
        <v>3</v>
      </c>
      <c r="I16" s="210"/>
      <c r="J16" s="211">
        <v>2.68</v>
      </c>
      <c r="K16" s="208"/>
      <c r="L16" s="207" t="s">
        <v>226</v>
      </c>
      <c r="M16" s="197"/>
      <c r="N16" s="198"/>
      <c r="O16" s="199" t="s">
        <v>226</v>
      </c>
      <c r="P16" s="199" t="s">
        <v>726</v>
      </c>
      <c r="Q16" s="199" t="s">
        <v>727</v>
      </c>
      <c r="R16" s="199" t="s">
        <v>707</v>
      </c>
      <c r="S16" s="200">
        <v>75</v>
      </c>
      <c r="T16" s="199"/>
      <c r="U16" s="199"/>
      <c r="V16" s="201"/>
      <c r="W16" s="202"/>
      <c r="X16" s="203"/>
      <c r="Y16" s="203">
        <v>0</v>
      </c>
      <c r="Z16" s="199"/>
      <c r="AA16" s="204"/>
      <c r="AB16" s="205"/>
      <c r="AC16" s="201"/>
    </row>
    <row r="17" spans="1:29" x14ac:dyDescent="0.25">
      <c r="A17" s="323">
        <v>45899</v>
      </c>
      <c r="B17" s="136">
        <v>3</v>
      </c>
      <c r="C17" s="137" t="s">
        <v>693</v>
      </c>
      <c r="D17" s="136" t="s">
        <v>92</v>
      </c>
      <c r="E17" s="138">
        <v>0.5</v>
      </c>
      <c r="F17" s="138"/>
      <c r="G17" s="139">
        <v>1</v>
      </c>
      <c r="H17" s="139">
        <v>0</v>
      </c>
      <c r="I17" s="139"/>
      <c r="J17" s="140">
        <v>1.07</v>
      </c>
      <c r="K17" s="137" t="s">
        <v>694</v>
      </c>
      <c r="L17" s="136" t="s">
        <v>146</v>
      </c>
      <c r="M17" s="141"/>
      <c r="N17" s="142">
        <v>26</v>
      </c>
      <c r="O17" s="77" t="s">
        <v>146</v>
      </c>
      <c r="P17" s="77" t="s">
        <v>135</v>
      </c>
      <c r="Q17" s="77" t="s">
        <v>273</v>
      </c>
      <c r="R17" s="77" t="s">
        <v>689</v>
      </c>
      <c r="S17" s="220">
        <v>63</v>
      </c>
      <c r="T17" s="77" t="s">
        <v>41</v>
      </c>
      <c r="U17" s="77" t="s">
        <v>45</v>
      </c>
      <c r="V17" s="59" t="s">
        <v>20</v>
      </c>
      <c r="W17" s="167">
        <v>0.11</v>
      </c>
      <c r="X17" s="138" t="s">
        <v>53</v>
      </c>
      <c r="Y17" s="138"/>
      <c r="Z17" s="136" t="s">
        <v>52</v>
      </c>
      <c r="AA17" s="168" t="s">
        <v>28</v>
      </c>
      <c r="AB17" s="169"/>
      <c r="AC17" s="170"/>
    </row>
    <row r="18" spans="1:29" x14ac:dyDescent="0.25">
      <c r="A18" s="324">
        <v>45899</v>
      </c>
      <c r="B18" s="144">
        <v>3</v>
      </c>
      <c r="C18" s="145"/>
      <c r="D18" s="144" t="s">
        <v>92</v>
      </c>
      <c r="E18" s="146">
        <v>0.5</v>
      </c>
      <c r="F18" s="146"/>
      <c r="G18" s="147">
        <v>1</v>
      </c>
      <c r="H18" s="147">
        <v>0</v>
      </c>
      <c r="I18" s="147"/>
      <c r="J18" s="148">
        <v>1.07</v>
      </c>
      <c r="K18" s="145"/>
      <c r="L18" s="144" t="s">
        <v>146</v>
      </c>
      <c r="M18" s="149"/>
      <c r="N18" s="150">
        <v>34</v>
      </c>
      <c r="O18" s="26" t="s">
        <v>146</v>
      </c>
      <c r="P18" s="26" t="s">
        <v>159</v>
      </c>
      <c r="Q18" s="26" t="s">
        <v>160</v>
      </c>
      <c r="R18" s="26" t="s">
        <v>717</v>
      </c>
      <c r="S18" s="213">
        <v>68</v>
      </c>
      <c r="T18" s="26" t="s">
        <v>41</v>
      </c>
      <c r="U18" s="26" t="s">
        <v>43</v>
      </c>
      <c r="V18" s="57" t="s">
        <v>10</v>
      </c>
      <c r="W18" s="171">
        <v>0.14000000000000001</v>
      </c>
      <c r="X18" s="146">
        <v>0.73</v>
      </c>
      <c r="Y18" s="146"/>
      <c r="Z18" s="144" t="s">
        <v>48</v>
      </c>
      <c r="AA18" s="172" t="s">
        <v>28</v>
      </c>
      <c r="AB18" s="173"/>
      <c r="AC18" s="174"/>
    </row>
    <row r="19" spans="1:29" x14ac:dyDescent="0.25">
      <c r="A19" s="324">
        <v>45899</v>
      </c>
      <c r="B19" s="144">
        <v>3</v>
      </c>
      <c r="C19" s="145"/>
      <c r="D19" s="144" t="s">
        <v>92</v>
      </c>
      <c r="E19" s="146">
        <v>0.5</v>
      </c>
      <c r="F19" s="146"/>
      <c r="G19" s="147">
        <v>1</v>
      </c>
      <c r="H19" s="147">
        <v>0</v>
      </c>
      <c r="I19" s="147"/>
      <c r="J19" s="148">
        <v>1.07</v>
      </c>
      <c r="K19" s="145"/>
      <c r="L19" s="144" t="s">
        <v>146</v>
      </c>
      <c r="M19" s="149"/>
      <c r="N19" s="150">
        <v>35</v>
      </c>
      <c r="O19" s="26" t="s">
        <v>146</v>
      </c>
      <c r="P19" s="26" t="s">
        <v>159</v>
      </c>
      <c r="Q19" s="26" t="s">
        <v>160</v>
      </c>
      <c r="R19" s="26" t="s">
        <v>717</v>
      </c>
      <c r="S19" s="213">
        <v>68</v>
      </c>
      <c r="T19" s="26" t="s">
        <v>41</v>
      </c>
      <c r="U19" s="26" t="s">
        <v>45</v>
      </c>
      <c r="V19" s="57" t="s">
        <v>29</v>
      </c>
      <c r="W19" s="171">
        <v>0.1</v>
      </c>
      <c r="X19" s="146" t="s">
        <v>53</v>
      </c>
      <c r="Y19" s="146"/>
      <c r="Z19" s="144" t="s">
        <v>13</v>
      </c>
      <c r="AA19" s="172" t="s">
        <v>28</v>
      </c>
      <c r="AB19" s="173"/>
      <c r="AC19" s="174"/>
    </row>
    <row r="20" spans="1:29" x14ac:dyDescent="0.25">
      <c r="A20" s="324">
        <v>45899</v>
      </c>
      <c r="B20" s="144">
        <v>3</v>
      </c>
      <c r="C20" s="145"/>
      <c r="D20" s="144" t="s">
        <v>92</v>
      </c>
      <c r="E20" s="146">
        <v>0.5</v>
      </c>
      <c r="F20" s="146"/>
      <c r="G20" s="147">
        <v>1</v>
      </c>
      <c r="H20" s="147">
        <v>0</v>
      </c>
      <c r="I20" s="147"/>
      <c r="J20" s="148">
        <v>1.07</v>
      </c>
      <c r="K20" s="145"/>
      <c r="L20" s="144" t="s">
        <v>146</v>
      </c>
      <c r="M20" s="149"/>
      <c r="N20" s="150">
        <v>36</v>
      </c>
      <c r="O20" s="26" t="s">
        <v>146</v>
      </c>
      <c r="P20" s="26" t="s">
        <v>155</v>
      </c>
      <c r="Q20" s="26" t="s">
        <v>156</v>
      </c>
      <c r="R20" s="26" t="s">
        <v>686</v>
      </c>
      <c r="S20" s="213">
        <v>66</v>
      </c>
      <c r="T20" s="26" t="s">
        <v>44</v>
      </c>
      <c r="U20" s="26" t="s">
        <v>42</v>
      </c>
      <c r="V20" s="57" t="s">
        <v>540</v>
      </c>
      <c r="W20" s="171">
        <v>7.0000000000000007E-2</v>
      </c>
      <c r="X20" s="146" t="s">
        <v>53</v>
      </c>
      <c r="Y20" s="146"/>
      <c r="Z20" s="144" t="s">
        <v>13</v>
      </c>
      <c r="AA20" s="172" t="s">
        <v>28</v>
      </c>
      <c r="AB20" s="173"/>
      <c r="AC20" s="174"/>
    </row>
    <row r="21" spans="1:29" x14ac:dyDescent="0.25">
      <c r="A21" s="324">
        <v>45899</v>
      </c>
      <c r="B21" s="144">
        <v>3</v>
      </c>
      <c r="C21" s="145"/>
      <c r="D21" s="144" t="s">
        <v>92</v>
      </c>
      <c r="E21" s="146">
        <v>0.5</v>
      </c>
      <c r="F21" s="146"/>
      <c r="G21" s="147">
        <v>1</v>
      </c>
      <c r="H21" s="147">
        <v>0</v>
      </c>
      <c r="I21" s="147"/>
      <c r="J21" s="148">
        <v>1.07</v>
      </c>
      <c r="K21" s="145"/>
      <c r="L21" s="144" t="s">
        <v>146</v>
      </c>
      <c r="M21" s="149"/>
      <c r="N21" s="150">
        <v>40</v>
      </c>
      <c r="O21" s="61" t="s">
        <v>92</v>
      </c>
      <c r="P21" s="61" t="s">
        <v>320</v>
      </c>
      <c r="Q21" s="61" t="s">
        <v>321</v>
      </c>
      <c r="R21" s="61" t="s">
        <v>687</v>
      </c>
      <c r="S21" s="218">
        <v>82</v>
      </c>
      <c r="T21" s="61" t="s">
        <v>41</v>
      </c>
      <c r="U21" s="61" t="s">
        <v>43</v>
      </c>
      <c r="V21" s="63" t="s">
        <v>18</v>
      </c>
      <c r="W21" s="171">
        <v>0.22</v>
      </c>
      <c r="X21" s="146">
        <v>0.8</v>
      </c>
      <c r="Y21" s="146"/>
      <c r="Z21" s="144" t="s">
        <v>8</v>
      </c>
      <c r="AA21" s="172" t="s">
        <v>19</v>
      </c>
      <c r="AB21" s="173" t="s">
        <v>292</v>
      </c>
      <c r="AC21" s="174" t="s">
        <v>293</v>
      </c>
    </row>
    <row r="22" spans="1:29" x14ac:dyDescent="0.25">
      <c r="A22" s="324">
        <v>45899</v>
      </c>
      <c r="B22" s="144">
        <v>3</v>
      </c>
      <c r="C22" s="145"/>
      <c r="D22" s="144" t="s">
        <v>92</v>
      </c>
      <c r="E22" s="146">
        <v>0.5</v>
      </c>
      <c r="F22" s="146"/>
      <c r="G22" s="147">
        <v>1</v>
      </c>
      <c r="H22" s="147">
        <v>0</v>
      </c>
      <c r="I22" s="147"/>
      <c r="J22" s="148">
        <v>1.07</v>
      </c>
      <c r="K22" s="145"/>
      <c r="L22" s="144" t="s">
        <v>146</v>
      </c>
      <c r="M22" s="149"/>
      <c r="N22" s="150">
        <v>55</v>
      </c>
      <c r="O22" s="26" t="s">
        <v>146</v>
      </c>
      <c r="P22" s="26" t="s">
        <v>157</v>
      </c>
      <c r="Q22" s="26" t="s">
        <v>158</v>
      </c>
      <c r="R22" s="26" t="s">
        <v>718</v>
      </c>
      <c r="S22" s="213">
        <v>65</v>
      </c>
      <c r="T22" s="26" t="s">
        <v>41</v>
      </c>
      <c r="U22" s="26" t="s">
        <v>42</v>
      </c>
      <c r="V22" s="57" t="s">
        <v>10</v>
      </c>
      <c r="W22" s="171">
        <v>0.05</v>
      </c>
      <c r="X22" s="146">
        <v>0.34</v>
      </c>
      <c r="Y22" s="146"/>
      <c r="Z22" s="144" t="s">
        <v>48</v>
      </c>
      <c r="AA22" s="172" t="s">
        <v>19</v>
      </c>
      <c r="AB22" s="173"/>
      <c r="AC22" s="174"/>
    </row>
    <row r="23" spans="1:29" x14ac:dyDescent="0.25">
      <c r="A23" s="324">
        <v>45899</v>
      </c>
      <c r="B23" s="144">
        <v>3</v>
      </c>
      <c r="C23" s="145"/>
      <c r="D23" s="144" t="s">
        <v>92</v>
      </c>
      <c r="E23" s="146">
        <v>0.5</v>
      </c>
      <c r="F23" s="146"/>
      <c r="G23" s="147">
        <v>1</v>
      </c>
      <c r="H23" s="147">
        <v>0</v>
      </c>
      <c r="I23" s="147"/>
      <c r="J23" s="148">
        <v>1.07</v>
      </c>
      <c r="K23" s="145"/>
      <c r="L23" s="144" t="s">
        <v>146</v>
      </c>
      <c r="M23" s="149"/>
      <c r="N23" s="150">
        <v>55</v>
      </c>
      <c r="O23" s="26" t="s">
        <v>146</v>
      </c>
      <c r="P23" s="26" t="s">
        <v>159</v>
      </c>
      <c r="Q23" s="26" t="s">
        <v>160</v>
      </c>
      <c r="R23" s="26" t="s">
        <v>718</v>
      </c>
      <c r="S23" s="213">
        <v>65</v>
      </c>
      <c r="T23" s="26" t="s">
        <v>47</v>
      </c>
      <c r="U23" s="26" t="s">
        <v>42</v>
      </c>
      <c r="V23" s="57" t="s">
        <v>20</v>
      </c>
      <c r="W23" s="171">
        <v>0.21</v>
      </c>
      <c r="X23" s="146">
        <v>0.91</v>
      </c>
      <c r="Y23" s="146"/>
      <c r="Z23" s="144" t="s">
        <v>48</v>
      </c>
      <c r="AA23" s="172" t="s">
        <v>19</v>
      </c>
      <c r="AB23" s="173"/>
      <c r="AC23" s="174"/>
    </row>
    <row r="24" spans="1:29" ht="15.75" thickBot="1" x14ac:dyDescent="0.3">
      <c r="A24" s="325">
        <v>45899</v>
      </c>
      <c r="B24" s="152">
        <v>3</v>
      </c>
      <c r="C24" s="153"/>
      <c r="D24" s="152" t="s">
        <v>92</v>
      </c>
      <c r="E24" s="154">
        <v>0.5</v>
      </c>
      <c r="F24" s="154"/>
      <c r="G24" s="155">
        <v>1</v>
      </c>
      <c r="H24" s="155">
        <v>0</v>
      </c>
      <c r="I24" s="155"/>
      <c r="J24" s="156">
        <v>1.07</v>
      </c>
      <c r="K24" s="153"/>
      <c r="L24" s="152" t="s">
        <v>146</v>
      </c>
      <c r="M24" s="157"/>
      <c r="N24" s="158">
        <v>58</v>
      </c>
      <c r="O24" s="66" t="s">
        <v>92</v>
      </c>
      <c r="P24" s="66" t="s">
        <v>292</v>
      </c>
      <c r="Q24" s="66" t="s">
        <v>293</v>
      </c>
      <c r="R24" s="66" t="s">
        <v>696</v>
      </c>
      <c r="S24" s="219">
        <v>82</v>
      </c>
      <c r="T24" s="66" t="s">
        <v>41</v>
      </c>
      <c r="U24" s="66" t="s">
        <v>43</v>
      </c>
      <c r="V24" s="67" t="s">
        <v>10</v>
      </c>
      <c r="W24" s="175">
        <v>0.03</v>
      </c>
      <c r="X24" s="154" t="s">
        <v>53</v>
      </c>
      <c r="Y24" s="154"/>
      <c r="Z24" s="152" t="s">
        <v>17</v>
      </c>
      <c r="AA24" s="176" t="s">
        <v>19</v>
      </c>
      <c r="AB24" s="177"/>
      <c r="AC24" s="178"/>
    </row>
    <row r="25" spans="1:29" ht="15.75" thickBot="1" x14ac:dyDescent="0.3">
      <c r="A25" s="326">
        <v>45899</v>
      </c>
      <c r="B25" s="207">
        <v>3</v>
      </c>
      <c r="C25" s="208"/>
      <c r="D25" s="207" t="s">
        <v>92</v>
      </c>
      <c r="E25" s="209">
        <v>0.5</v>
      </c>
      <c r="F25" s="209"/>
      <c r="G25" s="210">
        <v>1</v>
      </c>
      <c r="H25" s="210">
        <v>0</v>
      </c>
      <c r="I25" s="210"/>
      <c r="J25" s="211">
        <v>1.07</v>
      </c>
      <c r="K25" s="208"/>
      <c r="L25" s="207" t="s">
        <v>146</v>
      </c>
      <c r="M25" s="235"/>
      <c r="N25" s="198"/>
      <c r="O25" s="199" t="s">
        <v>92</v>
      </c>
      <c r="P25" s="199" t="s">
        <v>432</v>
      </c>
      <c r="Q25" s="199" t="s">
        <v>472</v>
      </c>
      <c r="R25" s="199" t="s">
        <v>707</v>
      </c>
      <c r="S25" s="200">
        <v>86</v>
      </c>
      <c r="T25" s="199"/>
      <c r="U25" s="199"/>
      <c r="V25" s="201"/>
      <c r="W25" s="202"/>
      <c r="X25" s="203"/>
      <c r="Y25" s="203">
        <v>0</v>
      </c>
      <c r="Z25" s="199"/>
      <c r="AA25" s="204"/>
      <c r="AB25" s="205"/>
      <c r="AC25" s="201"/>
    </row>
    <row r="26" spans="1:29" ht="15.75" thickBot="1" x14ac:dyDescent="0.3">
      <c r="A26" s="326">
        <v>45899</v>
      </c>
      <c r="B26" s="207">
        <v>3</v>
      </c>
      <c r="C26" s="208"/>
      <c r="D26" s="207" t="s">
        <v>92</v>
      </c>
      <c r="E26" s="209">
        <v>0.5</v>
      </c>
      <c r="F26" s="209"/>
      <c r="G26" s="210">
        <v>1</v>
      </c>
      <c r="H26" s="210">
        <v>0</v>
      </c>
      <c r="I26" s="210"/>
      <c r="J26" s="211">
        <v>1.07</v>
      </c>
      <c r="K26" s="208"/>
      <c r="L26" s="207" t="s">
        <v>146</v>
      </c>
      <c r="M26" s="235"/>
      <c r="N26" s="198"/>
      <c r="O26" s="199" t="s">
        <v>146</v>
      </c>
      <c r="P26" s="199" t="s">
        <v>176</v>
      </c>
      <c r="Q26" s="199" t="s">
        <v>423</v>
      </c>
      <c r="R26" s="199" t="s">
        <v>707</v>
      </c>
      <c r="S26" s="200">
        <v>63</v>
      </c>
      <c r="T26" s="199"/>
      <c r="U26" s="199"/>
      <c r="V26" s="201"/>
      <c r="W26" s="202"/>
      <c r="X26" s="203"/>
      <c r="Y26" s="203">
        <v>1</v>
      </c>
      <c r="Z26" s="199"/>
      <c r="AA26" s="204"/>
      <c r="AB26" s="205"/>
      <c r="AC26" s="201"/>
    </row>
    <row r="27" spans="1:29" x14ac:dyDescent="0.25">
      <c r="A27" s="327">
        <v>45925</v>
      </c>
      <c r="B27" s="160">
        <v>6</v>
      </c>
      <c r="C27" s="161" t="s">
        <v>704</v>
      </c>
      <c r="D27" s="160" t="s">
        <v>92</v>
      </c>
      <c r="E27" s="162">
        <v>1.04</v>
      </c>
      <c r="F27" s="162"/>
      <c r="G27" s="163">
        <v>1</v>
      </c>
      <c r="H27" s="163">
        <v>3</v>
      </c>
      <c r="I27" s="163"/>
      <c r="J27" s="164">
        <v>2.0699999999999998</v>
      </c>
      <c r="K27" s="161" t="s">
        <v>693</v>
      </c>
      <c r="L27" s="160" t="s">
        <v>113</v>
      </c>
      <c r="M27" s="165"/>
      <c r="N27" s="166">
        <v>3</v>
      </c>
      <c r="O27" s="79" t="s">
        <v>113</v>
      </c>
      <c r="P27" s="79" t="s">
        <v>124</v>
      </c>
      <c r="Q27" s="79" t="s">
        <v>125</v>
      </c>
      <c r="R27" s="79" t="s">
        <v>699</v>
      </c>
      <c r="S27" s="224">
        <v>65</v>
      </c>
      <c r="T27" s="79" t="s">
        <v>354</v>
      </c>
      <c r="U27" s="79" t="s">
        <v>42</v>
      </c>
      <c r="V27" s="80" t="s">
        <v>10</v>
      </c>
      <c r="W27" s="179">
        <v>0.01</v>
      </c>
      <c r="X27" s="162" t="s">
        <v>53</v>
      </c>
      <c r="Y27" s="162"/>
      <c r="Z27" s="160" t="s">
        <v>55</v>
      </c>
      <c r="AA27" s="180" t="s">
        <v>28</v>
      </c>
      <c r="AB27" s="169"/>
      <c r="AC27" s="170"/>
    </row>
    <row r="28" spans="1:29" x14ac:dyDescent="0.25">
      <c r="A28" s="324">
        <v>45925</v>
      </c>
      <c r="B28" s="144">
        <v>6</v>
      </c>
      <c r="C28" s="145"/>
      <c r="D28" s="144" t="s">
        <v>92</v>
      </c>
      <c r="E28" s="146">
        <v>1.04</v>
      </c>
      <c r="F28" s="146"/>
      <c r="G28" s="147">
        <v>1</v>
      </c>
      <c r="H28" s="147">
        <v>3</v>
      </c>
      <c r="I28" s="147"/>
      <c r="J28" s="148">
        <v>2.0699999999999998</v>
      </c>
      <c r="K28" s="145"/>
      <c r="L28" s="144" t="s">
        <v>113</v>
      </c>
      <c r="M28" s="149"/>
      <c r="N28" s="150">
        <v>6</v>
      </c>
      <c r="O28" s="61" t="s">
        <v>92</v>
      </c>
      <c r="P28" s="61" t="s">
        <v>316</v>
      </c>
      <c r="Q28" s="61" t="s">
        <v>511</v>
      </c>
      <c r="R28" s="61" t="s">
        <v>712</v>
      </c>
      <c r="S28" s="218">
        <v>67</v>
      </c>
      <c r="T28" s="61" t="s">
        <v>47</v>
      </c>
      <c r="U28" s="61" t="s">
        <v>45</v>
      </c>
      <c r="V28" s="63" t="s">
        <v>20</v>
      </c>
      <c r="W28" s="171">
        <v>0.14000000000000001</v>
      </c>
      <c r="X28" s="146" t="s">
        <v>53</v>
      </c>
      <c r="Y28" s="146"/>
      <c r="Z28" s="144" t="s">
        <v>13</v>
      </c>
      <c r="AA28" s="172" t="s">
        <v>28</v>
      </c>
      <c r="AB28" s="173"/>
      <c r="AC28" s="174"/>
    </row>
    <row r="29" spans="1:29" x14ac:dyDescent="0.25">
      <c r="A29" s="324">
        <v>45925</v>
      </c>
      <c r="B29" s="144">
        <v>6</v>
      </c>
      <c r="C29" s="145"/>
      <c r="D29" s="144" t="s">
        <v>92</v>
      </c>
      <c r="E29" s="146">
        <v>1.04</v>
      </c>
      <c r="F29" s="146"/>
      <c r="G29" s="147">
        <v>1</v>
      </c>
      <c r="H29" s="147">
        <v>3</v>
      </c>
      <c r="I29" s="147"/>
      <c r="J29" s="148">
        <v>2.0699999999999998</v>
      </c>
      <c r="K29" s="145"/>
      <c r="L29" s="144" t="s">
        <v>113</v>
      </c>
      <c r="M29" s="149"/>
      <c r="N29" s="150">
        <v>7</v>
      </c>
      <c r="O29" s="61" t="s">
        <v>92</v>
      </c>
      <c r="P29" s="61" t="s">
        <v>320</v>
      </c>
      <c r="Q29" s="61" t="s">
        <v>321</v>
      </c>
      <c r="R29" s="61" t="s">
        <v>695</v>
      </c>
      <c r="S29" s="218">
        <v>69</v>
      </c>
      <c r="T29" s="61" t="s">
        <v>47</v>
      </c>
      <c r="U29" s="61" t="s">
        <v>45</v>
      </c>
      <c r="V29" s="63" t="s">
        <v>20</v>
      </c>
      <c r="W29" s="171">
        <v>0.16</v>
      </c>
      <c r="X29" s="146" t="s">
        <v>53</v>
      </c>
      <c r="Y29" s="146"/>
      <c r="Z29" s="144" t="s">
        <v>52</v>
      </c>
      <c r="AA29" s="172" t="s">
        <v>28</v>
      </c>
      <c r="AB29" s="173"/>
      <c r="AC29" s="174"/>
    </row>
    <row r="30" spans="1:29" x14ac:dyDescent="0.25">
      <c r="A30" s="324">
        <v>45925</v>
      </c>
      <c r="B30" s="144">
        <v>6</v>
      </c>
      <c r="C30" s="145"/>
      <c r="D30" s="144" t="s">
        <v>92</v>
      </c>
      <c r="E30" s="146">
        <v>1.04</v>
      </c>
      <c r="F30" s="146"/>
      <c r="G30" s="147">
        <v>1</v>
      </c>
      <c r="H30" s="147">
        <v>3</v>
      </c>
      <c r="I30" s="147"/>
      <c r="J30" s="148">
        <v>2.0699999999999998</v>
      </c>
      <c r="K30" s="145"/>
      <c r="L30" s="144" t="s">
        <v>113</v>
      </c>
      <c r="M30" s="149"/>
      <c r="N30" s="150">
        <v>10</v>
      </c>
      <c r="O30" s="26" t="s">
        <v>113</v>
      </c>
      <c r="P30" s="26" t="s">
        <v>468</v>
      </c>
      <c r="Q30" s="26" t="s">
        <v>469</v>
      </c>
      <c r="R30" s="26" t="s">
        <v>685</v>
      </c>
      <c r="S30" s="213">
        <v>63</v>
      </c>
      <c r="T30" s="26" t="s">
        <v>41</v>
      </c>
      <c r="U30" s="26" t="s">
        <v>42</v>
      </c>
      <c r="V30" s="43" t="s">
        <v>10</v>
      </c>
      <c r="W30" s="171">
        <v>0.12</v>
      </c>
      <c r="X30" s="146">
        <v>0.12</v>
      </c>
      <c r="Y30" s="146"/>
      <c r="Z30" s="144" t="s">
        <v>48</v>
      </c>
      <c r="AA30" s="172" t="s">
        <v>28</v>
      </c>
      <c r="AB30" s="173"/>
      <c r="AC30" s="174"/>
    </row>
    <row r="31" spans="1:29" x14ac:dyDescent="0.25">
      <c r="A31" s="324">
        <v>45925</v>
      </c>
      <c r="B31" s="144">
        <v>6</v>
      </c>
      <c r="C31" s="145"/>
      <c r="D31" s="144" t="s">
        <v>92</v>
      </c>
      <c r="E31" s="146">
        <v>1.04</v>
      </c>
      <c r="F31" s="146"/>
      <c r="G31" s="147">
        <v>1</v>
      </c>
      <c r="H31" s="147">
        <v>3</v>
      </c>
      <c r="I31" s="147"/>
      <c r="J31" s="148">
        <v>2.0699999999999998</v>
      </c>
      <c r="K31" s="145"/>
      <c r="L31" s="144" t="s">
        <v>113</v>
      </c>
      <c r="M31" s="149"/>
      <c r="N31" s="150">
        <v>24</v>
      </c>
      <c r="O31" s="61" t="s">
        <v>92</v>
      </c>
      <c r="P31" s="61" t="s">
        <v>108</v>
      </c>
      <c r="Q31" s="61" t="s">
        <v>109</v>
      </c>
      <c r="R31" s="61" t="s">
        <v>684</v>
      </c>
      <c r="S31" s="218">
        <v>62</v>
      </c>
      <c r="T31" s="61" t="s">
        <v>47</v>
      </c>
      <c r="U31" s="61" t="s">
        <v>42</v>
      </c>
      <c r="V31" s="63" t="s">
        <v>29</v>
      </c>
      <c r="W31" s="171">
        <v>0.16</v>
      </c>
      <c r="X31" s="146" t="s">
        <v>53</v>
      </c>
      <c r="Y31" s="146" t="s">
        <v>353</v>
      </c>
      <c r="Z31" s="144" t="s">
        <v>52</v>
      </c>
      <c r="AA31" s="172" t="s">
        <v>28</v>
      </c>
      <c r="AB31" s="173"/>
      <c r="AC31" s="174"/>
    </row>
    <row r="32" spans="1:29" x14ac:dyDescent="0.25">
      <c r="A32" s="324">
        <v>45925</v>
      </c>
      <c r="B32" s="144">
        <v>6</v>
      </c>
      <c r="C32" s="145"/>
      <c r="D32" s="144" t="s">
        <v>92</v>
      </c>
      <c r="E32" s="146">
        <v>1.04</v>
      </c>
      <c r="F32" s="146"/>
      <c r="G32" s="147">
        <v>1</v>
      </c>
      <c r="H32" s="147">
        <v>3</v>
      </c>
      <c r="I32" s="147"/>
      <c r="J32" s="148">
        <v>2.0699999999999998</v>
      </c>
      <c r="K32" s="145"/>
      <c r="L32" s="144" t="s">
        <v>113</v>
      </c>
      <c r="M32" s="149"/>
      <c r="N32" s="150">
        <v>32</v>
      </c>
      <c r="O32" s="26" t="s">
        <v>113</v>
      </c>
      <c r="P32" s="26" t="s">
        <v>53</v>
      </c>
      <c r="Q32" s="26" t="s">
        <v>117</v>
      </c>
      <c r="R32" s="26" t="s">
        <v>686</v>
      </c>
      <c r="S32" s="213">
        <v>69</v>
      </c>
      <c r="T32" s="26" t="s">
        <v>354</v>
      </c>
      <c r="U32" s="26" t="s">
        <v>43</v>
      </c>
      <c r="V32" s="43" t="s">
        <v>20</v>
      </c>
      <c r="W32" s="171">
        <v>0.01</v>
      </c>
      <c r="X32" s="146" t="s">
        <v>53</v>
      </c>
      <c r="Y32" s="146"/>
      <c r="Z32" s="144" t="s">
        <v>17</v>
      </c>
      <c r="AA32" s="172" t="s">
        <v>19</v>
      </c>
      <c r="AB32" s="173"/>
      <c r="AC32" s="174"/>
    </row>
    <row r="33" spans="1:29" x14ac:dyDescent="0.25">
      <c r="A33" s="324">
        <v>45925</v>
      </c>
      <c r="B33" s="144">
        <v>6</v>
      </c>
      <c r="C33" s="145"/>
      <c r="D33" s="144" t="s">
        <v>92</v>
      </c>
      <c r="E33" s="146">
        <v>1.04</v>
      </c>
      <c r="F33" s="146"/>
      <c r="G33" s="147">
        <v>1</v>
      </c>
      <c r="H33" s="147">
        <v>3</v>
      </c>
      <c r="I33" s="147"/>
      <c r="J33" s="148">
        <v>2.0699999999999998</v>
      </c>
      <c r="K33" s="145"/>
      <c r="L33" s="144" t="s">
        <v>113</v>
      </c>
      <c r="M33" s="149"/>
      <c r="N33" s="150">
        <v>33</v>
      </c>
      <c r="O33" s="61" t="s">
        <v>92</v>
      </c>
      <c r="P33" s="61" t="s">
        <v>332</v>
      </c>
      <c r="Q33" s="61" t="s">
        <v>370</v>
      </c>
      <c r="R33" s="61" t="s">
        <v>695</v>
      </c>
      <c r="S33" s="218">
        <v>75</v>
      </c>
      <c r="T33" s="61" t="s">
        <v>354</v>
      </c>
      <c r="U33" s="61" t="s">
        <v>42</v>
      </c>
      <c r="V33" s="63" t="s">
        <v>540</v>
      </c>
      <c r="W33" s="171">
        <v>0.11</v>
      </c>
      <c r="X33" s="146">
        <v>0.87</v>
      </c>
      <c r="Y33" s="146"/>
      <c r="Z33" s="144" t="s">
        <v>8</v>
      </c>
      <c r="AA33" s="172" t="s">
        <v>19</v>
      </c>
      <c r="AB33" s="173"/>
      <c r="AC33" s="174"/>
    </row>
    <row r="34" spans="1:29" x14ac:dyDescent="0.25">
      <c r="A34" s="324">
        <v>45925</v>
      </c>
      <c r="B34" s="144">
        <v>6</v>
      </c>
      <c r="C34" s="145"/>
      <c r="D34" s="144" t="s">
        <v>92</v>
      </c>
      <c r="E34" s="146">
        <v>1.04</v>
      </c>
      <c r="F34" s="146"/>
      <c r="G34" s="147">
        <v>1</v>
      </c>
      <c r="H34" s="147">
        <v>3</v>
      </c>
      <c r="I34" s="147"/>
      <c r="J34" s="148">
        <v>2.0699999999999998</v>
      </c>
      <c r="K34" s="145"/>
      <c r="L34" s="144" t="s">
        <v>113</v>
      </c>
      <c r="M34" s="149"/>
      <c r="N34" s="150">
        <v>55</v>
      </c>
      <c r="O34" s="26" t="s">
        <v>113</v>
      </c>
      <c r="P34" s="26" t="s">
        <v>124</v>
      </c>
      <c r="Q34" s="26" t="s">
        <v>125</v>
      </c>
      <c r="R34" s="26" t="s">
        <v>699</v>
      </c>
      <c r="S34" s="213">
        <v>65</v>
      </c>
      <c r="T34" s="26" t="s">
        <v>41</v>
      </c>
      <c r="U34" s="26" t="s">
        <v>42</v>
      </c>
      <c r="V34" s="43" t="s">
        <v>10</v>
      </c>
      <c r="W34" s="171">
        <v>0.12</v>
      </c>
      <c r="X34" s="146" t="s">
        <v>53</v>
      </c>
      <c r="Y34" s="146"/>
      <c r="Z34" s="144" t="s">
        <v>13</v>
      </c>
      <c r="AA34" s="172" t="s">
        <v>19</v>
      </c>
      <c r="AB34" s="173"/>
      <c r="AC34" s="174"/>
    </row>
    <row r="35" spans="1:29" x14ac:dyDescent="0.25">
      <c r="A35" s="324">
        <v>45925</v>
      </c>
      <c r="B35" s="144">
        <v>6</v>
      </c>
      <c r="C35" s="145"/>
      <c r="D35" s="144" t="s">
        <v>92</v>
      </c>
      <c r="E35" s="146">
        <v>1.04</v>
      </c>
      <c r="F35" s="146"/>
      <c r="G35" s="147">
        <v>1</v>
      </c>
      <c r="H35" s="147">
        <v>3</v>
      </c>
      <c r="I35" s="147"/>
      <c r="J35" s="148">
        <v>2.0699999999999998</v>
      </c>
      <c r="K35" s="145"/>
      <c r="L35" s="144" t="s">
        <v>113</v>
      </c>
      <c r="M35" s="149"/>
      <c r="N35" s="150">
        <v>56</v>
      </c>
      <c r="O35" s="26" t="s">
        <v>113</v>
      </c>
      <c r="P35" s="26" t="s">
        <v>118</v>
      </c>
      <c r="Q35" s="26" t="s">
        <v>119</v>
      </c>
      <c r="R35" s="26" t="s">
        <v>684</v>
      </c>
      <c r="S35" s="213">
        <v>56</v>
      </c>
      <c r="T35" s="26" t="s">
        <v>41</v>
      </c>
      <c r="U35" s="26" t="s">
        <v>42</v>
      </c>
      <c r="V35" s="43" t="s">
        <v>20</v>
      </c>
      <c r="W35" s="171">
        <v>0.16</v>
      </c>
      <c r="X35" s="146">
        <v>0.17</v>
      </c>
      <c r="Y35" s="146"/>
      <c r="Z35" s="144" t="s">
        <v>48</v>
      </c>
      <c r="AA35" s="172" t="s">
        <v>19</v>
      </c>
      <c r="AB35" s="173"/>
      <c r="AC35" s="174"/>
    </row>
    <row r="36" spans="1:29" x14ac:dyDescent="0.25">
      <c r="A36" s="324">
        <v>45925</v>
      </c>
      <c r="B36" s="144">
        <v>6</v>
      </c>
      <c r="C36" s="145"/>
      <c r="D36" s="144" t="s">
        <v>92</v>
      </c>
      <c r="E36" s="146">
        <v>1.04</v>
      </c>
      <c r="F36" s="146"/>
      <c r="G36" s="147">
        <v>1</v>
      </c>
      <c r="H36" s="147">
        <v>3</v>
      </c>
      <c r="I36" s="147"/>
      <c r="J36" s="148">
        <v>2.0699999999999998</v>
      </c>
      <c r="K36" s="145"/>
      <c r="L36" s="144" t="s">
        <v>113</v>
      </c>
      <c r="M36" s="149"/>
      <c r="N36" s="150">
        <v>56</v>
      </c>
      <c r="O36" s="26" t="s">
        <v>113</v>
      </c>
      <c r="P36" s="26" t="s">
        <v>267</v>
      </c>
      <c r="Q36" s="26" t="s">
        <v>75</v>
      </c>
      <c r="R36" s="26" t="s">
        <v>689</v>
      </c>
      <c r="S36" s="213">
        <v>75</v>
      </c>
      <c r="T36" s="26" t="s">
        <v>47</v>
      </c>
      <c r="U36" s="26" t="s">
        <v>43</v>
      </c>
      <c r="V36" s="43" t="s">
        <v>20</v>
      </c>
      <c r="W36" s="171">
        <v>0.79</v>
      </c>
      <c r="X36" s="146">
        <v>0.97</v>
      </c>
      <c r="Y36" s="146" t="s">
        <v>353</v>
      </c>
      <c r="Z36" s="144" t="s">
        <v>8</v>
      </c>
      <c r="AA36" s="172" t="s">
        <v>51</v>
      </c>
      <c r="AB36" s="173"/>
      <c r="AC36" s="174"/>
    </row>
    <row r="37" spans="1:29" x14ac:dyDescent="0.25">
      <c r="A37" s="324">
        <v>45925</v>
      </c>
      <c r="B37" s="144">
        <v>6</v>
      </c>
      <c r="C37" s="145"/>
      <c r="D37" s="144" t="s">
        <v>92</v>
      </c>
      <c r="E37" s="146">
        <v>1.04</v>
      </c>
      <c r="F37" s="146"/>
      <c r="G37" s="147">
        <v>1</v>
      </c>
      <c r="H37" s="147">
        <v>3</v>
      </c>
      <c r="I37" s="147"/>
      <c r="J37" s="148">
        <v>2.0699999999999998</v>
      </c>
      <c r="K37" s="145"/>
      <c r="L37" s="144" t="s">
        <v>113</v>
      </c>
      <c r="M37" s="149"/>
      <c r="N37" s="150">
        <v>57</v>
      </c>
      <c r="O37" s="26" t="s">
        <v>113</v>
      </c>
      <c r="P37" s="26" t="s">
        <v>53</v>
      </c>
      <c r="Q37" s="26" t="s">
        <v>117</v>
      </c>
      <c r="R37" s="26" t="s">
        <v>686</v>
      </c>
      <c r="S37" s="213">
        <v>69</v>
      </c>
      <c r="T37" s="26" t="s">
        <v>41</v>
      </c>
      <c r="U37" s="26" t="s">
        <v>43</v>
      </c>
      <c r="V37" s="43" t="s">
        <v>10</v>
      </c>
      <c r="W37" s="171">
        <v>0.27</v>
      </c>
      <c r="X37" s="146">
        <v>0.22</v>
      </c>
      <c r="Y37" s="146"/>
      <c r="Z37" s="144" t="s">
        <v>48</v>
      </c>
      <c r="AA37" s="172" t="s">
        <v>51</v>
      </c>
      <c r="AB37" s="173"/>
      <c r="AC37" s="174"/>
    </row>
    <row r="38" spans="1:29" x14ac:dyDescent="0.25">
      <c r="A38" s="324">
        <v>45925</v>
      </c>
      <c r="B38" s="144">
        <v>6</v>
      </c>
      <c r="C38" s="145"/>
      <c r="D38" s="144" t="s">
        <v>92</v>
      </c>
      <c r="E38" s="146">
        <v>1.04</v>
      </c>
      <c r="F38" s="146"/>
      <c r="G38" s="147">
        <v>1</v>
      </c>
      <c r="H38" s="147">
        <v>3</v>
      </c>
      <c r="I38" s="147"/>
      <c r="J38" s="148">
        <v>2.0699999999999998</v>
      </c>
      <c r="K38" s="145"/>
      <c r="L38" s="144" t="s">
        <v>113</v>
      </c>
      <c r="M38" s="149"/>
      <c r="N38" s="150">
        <v>58</v>
      </c>
      <c r="O38" s="26" t="s">
        <v>113</v>
      </c>
      <c r="P38" s="26" t="s">
        <v>118</v>
      </c>
      <c r="Q38" s="26" t="s">
        <v>119</v>
      </c>
      <c r="R38" s="26" t="s">
        <v>684</v>
      </c>
      <c r="S38" s="213">
        <v>56</v>
      </c>
      <c r="T38" s="26" t="s">
        <v>41</v>
      </c>
      <c r="U38" s="26" t="s">
        <v>45</v>
      </c>
      <c r="V38" s="43" t="s">
        <v>10</v>
      </c>
      <c r="W38" s="171">
        <v>7.0000000000000007E-2</v>
      </c>
      <c r="X38" s="146">
        <v>0.16</v>
      </c>
      <c r="Y38" s="146"/>
      <c r="Z38" s="144" t="s">
        <v>48</v>
      </c>
      <c r="AA38" s="172" t="s">
        <v>51</v>
      </c>
      <c r="AB38" s="173"/>
      <c r="AC38" s="174"/>
    </row>
    <row r="39" spans="1:29" x14ac:dyDescent="0.25">
      <c r="A39" s="324">
        <v>45925</v>
      </c>
      <c r="B39" s="144">
        <v>6</v>
      </c>
      <c r="C39" s="145"/>
      <c r="D39" s="144" t="s">
        <v>92</v>
      </c>
      <c r="E39" s="146">
        <v>1.04</v>
      </c>
      <c r="F39" s="146"/>
      <c r="G39" s="147">
        <v>1</v>
      </c>
      <c r="H39" s="147">
        <v>3</v>
      </c>
      <c r="I39" s="147"/>
      <c r="J39" s="148">
        <v>2.0699999999999998</v>
      </c>
      <c r="K39" s="145"/>
      <c r="L39" s="144" t="s">
        <v>113</v>
      </c>
      <c r="M39" s="149"/>
      <c r="N39" s="150">
        <v>70</v>
      </c>
      <c r="O39" s="26" t="s">
        <v>113</v>
      </c>
      <c r="P39" s="26" t="s">
        <v>178</v>
      </c>
      <c r="Q39" s="26" t="s">
        <v>407</v>
      </c>
      <c r="R39" s="26" t="s">
        <v>696</v>
      </c>
      <c r="S39" s="213">
        <v>73</v>
      </c>
      <c r="T39" s="26" t="s">
        <v>41</v>
      </c>
      <c r="U39" s="26" t="s">
        <v>45</v>
      </c>
      <c r="V39" s="43" t="s">
        <v>29</v>
      </c>
      <c r="W39" s="171">
        <v>0.04</v>
      </c>
      <c r="X39" s="146">
        <v>0.22</v>
      </c>
      <c r="Y39" s="146"/>
      <c r="Z39" s="144" t="s">
        <v>8</v>
      </c>
      <c r="AA39" s="172" t="s">
        <v>67</v>
      </c>
      <c r="AB39" s="173" t="s">
        <v>670</v>
      </c>
      <c r="AC39" s="174" t="s">
        <v>671</v>
      </c>
    </row>
    <row r="40" spans="1:29" x14ac:dyDescent="0.25">
      <c r="A40" s="324">
        <v>45925</v>
      </c>
      <c r="B40" s="144">
        <v>6</v>
      </c>
      <c r="C40" s="145"/>
      <c r="D40" s="144" t="s">
        <v>92</v>
      </c>
      <c r="E40" s="146">
        <v>1.04</v>
      </c>
      <c r="F40" s="146"/>
      <c r="G40" s="147">
        <v>1</v>
      </c>
      <c r="H40" s="147">
        <v>3</v>
      </c>
      <c r="I40" s="147"/>
      <c r="J40" s="148">
        <v>2.0699999999999998</v>
      </c>
      <c r="K40" s="145"/>
      <c r="L40" s="144" t="s">
        <v>113</v>
      </c>
      <c r="M40" s="149"/>
      <c r="N40" s="150">
        <v>77</v>
      </c>
      <c r="O40" s="61" t="s">
        <v>92</v>
      </c>
      <c r="P40" s="61" t="s">
        <v>108</v>
      </c>
      <c r="Q40" s="61" t="s">
        <v>109</v>
      </c>
      <c r="R40" s="61" t="s">
        <v>684</v>
      </c>
      <c r="S40" s="218">
        <v>62</v>
      </c>
      <c r="T40" s="61" t="s">
        <v>41</v>
      </c>
      <c r="U40" s="61" t="s">
        <v>42</v>
      </c>
      <c r="V40" s="63" t="s">
        <v>540</v>
      </c>
      <c r="W40" s="171">
        <v>0.28000000000000003</v>
      </c>
      <c r="X40" s="146" t="s">
        <v>53</v>
      </c>
      <c r="Y40" s="146"/>
      <c r="Z40" s="144" t="s">
        <v>52</v>
      </c>
      <c r="AA40" s="172" t="s">
        <v>67</v>
      </c>
      <c r="AB40" s="173"/>
      <c r="AC40" s="174"/>
    </row>
    <row r="41" spans="1:29" x14ac:dyDescent="0.25">
      <c r="A41" s="324">
        <v>45925</v>
      </c>
      <c r="B41" s="144">
        <v>6</v>
      </c>
      <c r="C41" s="145"/>
      <c r="D41" s="144" t="s">
        <v>92</v>
      </c>
      <c r="E41" s="146">
        <v>1.04</v>
      </c>
      <c r="F41" s="146"/>
      <c r="G41" s="147">
        <v>1</v>
      </c>
      <c r="H41" s="147">
        <v>3</v>
      </c>
      <c r="I41" s="147"/>
      <c r="J41" s="148">
        <v>2.0699999999999998</v>
      </c>
      <c r="K41" s="145"/>
      <c r="L41" s="144" t="s">
        <v>113</v>
      </c>
      <c r="M41" s="149"/>
      <c r="N41" s="150">
        <v>88</v>
      </c>
      <c r="O41" s="26" t="s">
        <v>113</v>
      </c>
      <c r="P41" s="26" t="s">
        <v>500</v>
      </c>
      <c r="Q41" s="26" t="s">
        <v>501</v>
      </c>
      <c r="R41" s="26" t="s">
        <v>713</v>
      </c>
      <c r="S41" s="213">
        <v>85</v>
      </c>
      <c r="T41" s="26" t="s">
        <v>41</v>
      </c>
      <c r="U41" s="26" t="s">
        <v>45</v>
      </c>
      <c r="V41" s="43" t="s">
        <v>20</v>
      </c>
      <c r="W41" s="171">
        <v>0.1</v>
      </c>
      <c r="X41" s="146">
        <v>0.49</v>
      </c>
      <c r="Y41" s="146" t="s">
        <v>353</v>
      </c>
      <c r="Z41" s="144" t="s">
        <v>8</v>
      </c>
      <c r="AA41" s="172" t="s">
        <v>58</v>
      </c>
      <c r="AB41" s="173" t="s">
        <v>468</v>
      </c>
      <c r="AC41" s="174" t="s">
        <v>469</v>
      </c>
    </row>
    <row r="42" spans="1:29" ht="15.75" thickBot="1" x14ac:dyDescent="0.3">
      <c r="A42" s="325">
        <v>45925</v>
      </c>
      <c r="B42" s="152">
        <v>6</v>
      </c>
      <c r="C42" s="153"/>
      <c r="D42" s="152" t="s">
        <v>92</v>
      </c>
      <c r="E42" s="154">
        <v>1.04</v>
      </c>
      <c r="F42" s="154"/>
      <c r="G42" s="155">
        <v>1</v>
      </c>
      <c r="H42" s="155">
        <v>3</v>
      </c>
      <c r="I42" s="155"/>
      <c r="J42" s="156">
        <v>2.0699999999999998</v>
      </c>
      <c r="K42" s="153"/>
      <c r="L42" s="152" t="s">
        <v>113</v>
      </c>
      <c r="M42" s="157"/>
      <c r="N42" s="158">
        <v>90</v>
      </c>
      <c r="O42" s="66" t="s">
        <v>92</v>
      </c>
      <c r="P42" s="66" t="s">
        <v>504</v>
      </c>
      <c r="Q42" s="66" t="s">
        <v>512</v>
      </c>
      <c r="R42" s="66" t="s">
        <v>689</v>
      </c>
      <c r="S42" s="219">
        <v>66</v>
      </c>
      <c r="T42" s="66" t="s">
        <v>47</v>
      </c>
      <c r="U42" s="66" t="s">
        <v>42</v>
      </c>
      <c r="V42" s="67" t="s">
        <v>18</v>
      </c>
      <c r="W42" s="175">
        <v>0.14000000000000001</v>
      </c>
      <c r="X42" s="154">
        <v>0.12</v>
      </c>
      <c r="Y42" s="154" t="s">
        <v>353</v>
      </c>
      <c r="Z42" s="152" t="s">
        <v>48</v>
      </c>
      <c r="AA42" s="176" t="s">
        <v>58</v>
      </c>
      <c r="AB42" s="177"/>
      <c r="AC42" s="178"/>
    </row>
    <row r="43" spans="1:29" ht="15.75" thickBot="1" x14ac:dyDescent="0.3">
      <c r="A43" s="326">
        <v>45925</v>
      </c>
      <c r="B43" s="207">
        <v>6</v>
      </c>
      <c r="C43" s="208"/>
      <c r="D43" s="207" t="s">
        <v>92</v>
      </c>
      <c r="E43" s="209">
        <v>1.04</v>
      </c>
      <c r="F43" s="209"/>
      <c r="G43" s="210">
        <v>1</v>
      </c>
      <c r="H43" s="210">
        <v>3</v>
      </c>
      <c r="I43" s="210"/>
      <c r="J43" s="211">
        <v>2.0699999999999998</v>
      </c>
      <c r="K43" s="208"/>
      <c r="L43" s="207" t="s">
        <v>113</v>
      </c>
      <c r="M43" s="235"/>
      <c r="N43" s="198"/>
      <c r="O43" s="199" t="s">
        <v>92</v>
      </c>
      <c r="P43" s="199" t="s">
        <v>432</v>
      </c>
      <c r="Q43" s="199" t="s">
        <v>472</v>
      </c>
      <c r="R43" s="199" t="s">
        <v>707</v>
      </c>
      <c r="S43" s="200">
        <v>72</v>
      </c>
      <c r="T43" s="199"/>
      <c r="U43" s="199"/>
      <c r="V43" s="201"/>
      <c r="W43" s="202"/>
      <c r="X43" s="203"/>
      <c r="Y43" s="203">
        <v>3</v>
      </c>
      <c r="Z43" s="199"/>
      <c r="AA43" s="204"/>
      <c r="AB43" s="205"/>
      <c r="AC43" s="201"/>
    </row>
    <row r="44" spans="1:29" ht="15.75" thickBot="1" x14ac:dyDescent="0.3">
      <c r="A44" s="326">
        <v>45925</v>
      </c>
      <c r="B44" s="207">
        <v>6</v>
      </c>
      <c r="C44" s="208"/>
      <c r="D44" s="207" t="s">
        <v>92</v>
      </c>
      <c r="E44" s="209">
        <v>1.04</v>
      </c>
      <c r="F44" s="209"/>
      <c r="G44" s="210">
        <v>1</v>
      </c>
      <c r="H44" s="210">
        <v>3</v>
      </c>
      <c r="I44" s="210"/>
      <c r="J44" s="211">
        <v>2.0699999999999998</v>
      </c>
      <c r="K44" s="208"/>
      <c r="L44" s="207" t="s">
        <v>113</v>
      </c>
      <c r="M44" s="235"/>
      <c r="N44" s="198"/>
      <c r="O44" s="199" t="s">
        <v>113</v>
      </c>
      <c r="P44" s="199" t="s">
        <v>475</v>
      </c>
      <c r="Q44" s="199" t="s">
        <v>75</v>
      </c>
      <c r="R44" s="199" t="s">
        <v>707</v>
      </c>
      <c r="S44" s="200">
        <v>63</v>
      </c>
      <c r="T44" s="199"/>
      <c r="U44" s="199"/>
      <c r="V44" s="201"/>
      <c r="W44" s="202"/>
      <c r="X44" s="203"/>
      <c r="Y44" s="203">
        <v>1</v>
      </c>
      <c r="Z44" s="199"/>
      <c r="AA44" s="204"/>
      <c r="AB44" s="205"/>
      <c r="AC44" s="201"/>
    </row>
    <row r="45" spans="1:29" x14ac:dyDescent="0.25">
      <c r="A45" s="327">
        <v>45934</v>
      </c>
      <c r="B45" s="160">
        <v>8</v>
      </c>
      <c r="C45" s="161" t="s">
        <v>692</v>
      </c>
      <c r="D45" s="160" t="s">
        <v>92</v>
      </c>
      <c r="E45" s="162">
        <v>1.31</v>
      </c>
      <c r="F45" s="162"/>
      <c r="G45" s="163">
        <v>0</v>
      </c>
      <c r="H45" s="163">
        <v>2</v>
      </c>
      <c r="I45" s="163"/>
      <c r="J45" s="164">
        <v>1.94</v>
      </c>
      <c r="K45" s="161" t="s">
        <v>694</v>
      </c>
      <c r="L45" s="160" t="s">
        <v>129</v>
      </c>
      <c r="M45" s="165"/>
      <c r="N45" s="166">
        <v>7</v>
      </c>
      <c r="O45" s="70" t="s">
        <v>92</v>
      </c>
      <c r="P45" s="70" t="s">
        <v>108</v>
      </c>
      <c r="Q45" s="70" t="s">
        <v>109</v>
      </c>
      <c r="R45" s="70" t="s">
        <v>684</v>
      </c>
      <c r="S45" s="227">
        <v>64</v>
      </c>
      <c r="T45" s="70" t="s">
        <v>41</v>
      </c>
      <c r="U45" s="70" t="s">
        <v>45</v>
      </c>
      <c r="V45" s="71" t="s">
        <v>10</v>
      </c>
      <c r="W45" s="179">
        <v>0.03</v>
      </c>
      <c r="X45" s="162" t="s">
        <v>53</v>
      </c>
      <c r="Y45" s="162"/>
      <c r="Z45" s="160" t="s">
        <v>55</v>
      </c>
      <c r="AA45" s="180" t="s">
        <v>28</v>
      </c>
      <c r="AB45" s="169"/>
      <c r="AC45" s="170"/>
    </row>
    <row r="46" spans="1:29" x14ac:dyDescent="0.25">
      <c r="A46" s="324">
        <v>45934</v>
      </c>
      <c r="B46" s="144">
        <v>8</v>
      </c>
      <c r="C46" s="145"/>
      <c r="D46" s="144" t="s">
        <v>92</v>
      </c>
      <c r="E46" s="146">
        <v>1.31</v>
      </c>
      <c r="F46" s="146"/>
      <c r="G46" s="147">
        <v>0</v>
      </c>
      <c r="H46" s="147">
        <v>2</v>
      </c>
      <c r="I46" s="147"/>
      <c r="J46" s="148">
        <v>1.94</v>
      </c>
      <c r="K46" s="145"/>
      <c r="L46" s="144" t="s">
        <v>129</v>
      </c>
      <c r="M46" s="149"/>
      <c r="N46" s="150">
        <v>12</v>
      </c>
      <c r="O46" s="61" t="s">
        <v>92</v>
      </c>
      <c r="P46" s="61" t="s">
        <v>549</v>
      </c>
      <c r="Q46" s="61" t="s">
        <v>550</v>
      </c>
      <c r="R46" s="61" t="s">
        <v>685</v>
      </c>
      <c r="S46" s="218">
        <v>64</v>
      </c>
      <c r="T46" s="61" t="s">
        <v>44</v>
      </c>
      <c r="U46" s="61" t="s">
        <v>42</v>
      </c>
      <c r="V46" s="63" t="s">
        <v>10</v>
      </c>
      <c r="W46" s="171">
        <v>0.04</v>
      </c>
      <c r="X46" s="146" t="s">
        <v>53</v>
      </c>
      <c r="Y46" s="146"/>
      <c r="Z46" s="144" t="s">
        <v>16</v>
      </c>
      <c r="AA46" s="172" t="s">
        <v>28</v>
      </c>
      <c r="AB46" s="173"/>
      <c r="AC46" s="174"/>
    </row>
    <row r="47" spans="1:29" x14ac:dyDescent="0.25">
      <c r="A47" s="324">
        <v>45934</v>
      </c>
      <c r="B47" s="144">
        <v>8</v>
      </c>
      <c r="C47" s="145"/>
      <c r="D47" s="144" t="s">
        <v>92</v>
      </c>
      <c r="E47" s="146">
        <v>1.31</v>
      </c>
      <c r="F47" s="146"/>
      <c r="G47" s="147">
        <v>0</v>
      </c>
      <c r="H47" s="147">
        <v>2</v>
      </c>
      <c r="I47" s="147"/>
      <c r="J47" s="148">
        <v>1.94</v>
      </c>
      <c r="K47" s="145"/>
      <c r="L47" s="144" t="s">
        <v>129</v>
      </c>
      <c r="M47" s="149"/>
      <c r="N47" s="150">
        <v>13</v>
      </c>
      <c r="O47" s="26" t="s">
        <v>129</v>
      </c>
      <c r="P47" s="26" t="s">
        <v>168</v>
      </c>
      <c r="Q47" s="26" t="s">
        <v>263</v>
      </c>
      <c r="R47" s="26" t="s">
        <v>712</v>
      </c>
      <c r="S47" s="213">
        <v>71</v>
      </c>
      <c r="T47" s="26" t="s">
        <v>354</v>
      </c>
      <c r="U47" s="26" t="s">
        <v>42</v>
      </c>
      <c r="V47" s="43" t="s">
        <v>10</v>
      </c>
      <c r="W47" s="171">
        <v>0.02</v>
      </c>
      <c r="X47" s="146">
        <v>0.22</v>
      </c>
      <c r="Y47" s="146"/>
      <c r="Z47" s="144" t="s">
        <v>48</v>
      </c>
      <c r="AA47" s="172" t="s">
        <v>28</v>
      </c>
      <c r="AB47" s="173"/>
      <c r="AC47" s="174"/>
    </row>
    <row r="48" spans="1:29" x14ac:dyDescent="0.25">
      <c r="A48" s="324">
        <v>45934</v>
      </c>
      <c r="B48" s="144">
        <v>8</v>
      </c>
      <c r="C48" s="145"/>
      <c r="D48" s="144" t="s">
        <v>92</v>
      </c>
      <c r="E48" s="146">
        <v>1.31</v>
      </c>
      <c r="F48" s="146"/>
      <c r="G48" s="147">
        <v>0</v>
      </c>
      <c r="H48" s="147">
        <v>2</v>
      </c>
      <c r="I48" s="147"/>
      <c r="J48" s="148">
        <v>1.94</v>
      </c>
      <c r="K48" s="145"/>
      <c r="L48" s="144" t="s">
        <v>129</v>
      </c>
      <c r="M48" s="149"/>
      <c r="N48" s="150">
        <v>30</v>
      </c>
      <c r="O48" s="26" t="s">
        <v>129</v>
      </c>
      <c r="P48" s="26" t="s">
        <v>46</v>
      </c>
      <c r="Q48" s="26" t="s">
        <v>201</v>
      </c>
      <c r="R48" s="26" t="s">
        <v>686</v>
      </c>
      <c r="S48" s="213">
        <v>84</v>
      </c>
      <c r="T48" s="26" t="s">
        <v>41</v>
      </c>
      <c r="U48" s="26" t="s">
        <v>43</v>
      </c>
      <c r="V48" s="43" t="s">
        <v>10</v>
      </c>
      <c r="W48" s="171">
        <v>0.14000000000000001</v>
      </c>
      <c r="X48" s="146">
        <v>0.77</v>
      </c>
      <c r="Y48" s="146"/>
      <c r="Z48" s="144" t="s">
        <v>8</v>
      </c>
      <c r="AA48" s="172" t="s">
        <v>9</v>
      </c>
      <c r="AB48" s="173" t="s">
        <v>675</v>
      </c>
      <c r="AC48" s="174" t="s">
        <v>21</v>
      </c>
    </row>
    <row r="49" spans="1:29" x14ac:dyDescent="0.25">
      <c r="A49" s="324">
        <v>45934</v>
      </c>
      <c r="B49" s="144">
        <v>8</v>
      </c>
      <c r="C49" s="145"/>
      <c r="D49" s="144" t="s">
        <v>92</v>
      </c>
      <c r="E49" s="146">
        <v>1.31</v>
      </c>
      <c r="F49" s="146"/>
      <c r="G49" s="147">
        <v>0</v>
      </c>
      <c r="H49" s="147">
        <v>2</v>
      </c>
      <c r="I49" s="147"/>
      <c r="J49" s="148">
        <v>1.94</v>
      </c>
      <c r="K49" s="145"/>
      <c r="L49" s="144" t="s">
        <v>129</v>
      </c>
      <c r="M49" s="149"/>
      <c r="N49" s="150">
        <v>43</v>
      </c>
      <c r="O49" s="26" t="s">
        <v>129</v>
      </c>
      <c r="P49" s="26" t="s">
        <v>59</v>
      </c>
      <c r="Q49" s="26" t="s">
        <v>191</v>
      </c>
      <c r="R49" s="26" t="s">
        <v>717</v>
      </c>
      <c r="S49" s="213">
        <v>61</v>
      </c>
      <c r="T49" s="26" t="s">
        <v>41</v>
      </c>
      <c r="U49" s="26" t="s">
        <v>43</v>
      </c>
      <c r="V49" s="43" t="s">
        <v>10</v>
      </c>
      <c r="W49" s="171">
        <v>0.18</v>
      </c>
      <c r="X49" s="146" t="s">
        <v>53</v>
      </c>
      <c r="Y49" s="146"/>
      <c r="Z49" s="144" t="s">
        <v>52</v>
      </c>
      <c r="AA49" s="172" t="s">
        <v>9</v>
      </c>
      <c r="AB49" s="173"/>
      <c r="AC49" s="174"/>
    </row>
    <row r="50" spans="1:29" x14ac:dyDescent="0.25">
      <c r="A50" s="324">
        <v>45934</v>
      </c>
      <c r="B50" s="144">
        <v>8</v>
      </c>
      <c r="C50" s="145"/>
      <c r="D50" s="144" t="s">
        <v>92</v>
      </c>
      <c r="E50" s="146">
        <v>1.31</v>
      </c>
      <c r="F50" s="146"/>
      <c r="G50" s="147">
        <v>0</v>
      </c>
      <c r="H50" s="147">
        <v>2</v>
      </c>
      <c r="I50" s="147"/>
      <c r="J50" s="148">
        <v>1.94</v>
      </c>
      <c r="K50" s="145"/>
      <c r="L50" s="144" t="s">
        <v>129</v>
      </c>
      <c r="M50" s="149"/>
      <c r="N50" s="150">
        <v>57</v>
      </c>
      <c r="O50" s="26" t="s">
        <v>129</v>
      </c>
      <c r="P50" s="26" t="s">
        <v>104</v>
      </c>
      <c r="Q50" s="26" t="s">
        <v>105</v>
      </c>
      <c r="R50" s="26" t="s">
        <v>718</v>
      </c>
      <c r="S50" s="213">
        <v>71</v>
      </c>
      <c r="T50" s="26" t="s">
        <v>41</v>
      </c>
      <c r="U50" s="26" t="s">
        <v>43</v>
      </c>
      <c r="V50" s="43" t="s">
        <v>18</v>
      </c>
      <c r="W50" s="171">
        <v>0.19</v>
      </c>
      <c r="X50" s="146" t="s">
        <v>53</v>
      </c>
      <c r="Y50" s="146"/>
      <c r="Z50" s="144" t="s">
        <v>52</v>
      </c>
      <c r="AA50" s="172" t="s">
        <v>9</v>
      </c>
      <c r="AB50" s="173"/>
      <c r="AC50" s="174"/>
    </row>
    <row r="51" spans="1:29" x14ac:dyDescent="0.25">
      <c r="A51" s="324">
        <v>45934</v>
      </c>
      <c r="B51" s="144">
        <v>8</v>
      </c>
      <c r="C51" s="145"/>
      <c r="D51" s="144" t="s">
        <v>92</v>
      </c>
      <c r="E51" s="146">
        <v>1.31</v>
      </c>
      <c r="F51" s="146"/>
      <c r="G51" s="147">
        <v>0</v>
      </c>
      <c r="H51" s="147">
        <v>2</v>
      </c>
      <c r="I51" s="147"/>
      <c r="J51" s="148">
        <v>1.94</v>
      </c>
      <c r="K51" s="145"/>
      <c r="L51" s="144" t="s">
        <v>129</v>
      </c>
      <c r="M51" s="149"/>
      <c r="N51" s="150">
        <v>61</v>
      </c>
      <c r="O51" s="61" t="s">
        <v>92</v>
      </c>
      <c r="P51" s="61" t="s">
        <v>287</v>
      </c>
      <c r="Q51" s="61" t="s">
        <v>294</v>
      </c>
      <c r="R51" s="61" t="s">
        <v>696</v>
      </c>
      <c r="S51" s="218">
        <v>63</v>
      </c>
      <c r="T51" s="61" t="s">
        <v>47</v>
      </c>
      <c r="U51" s="61" t="s">
        <v>45</v>
      </c>
      <c r="V51" s="63" t="s">
        <v>29</v>
      </c>
      <c r="W51" s="171">
        <v>0.18</v>
      </c>
      <c r="X51" s="146" t="s">
        <v>53</v>
      </c>
      <c r="Y51" s="146" t="s">
        <v>353</v>
      </c>
      <c r="Z51" s="144" t="s">
        <v>13</v>
      </c>
      <c r="AA51" s="172" t="s">
        <v>9</v>
      </c>
      <c r="AB51" s="173"/>
      <c r="AC51" s="174"/>
    </row>
    <row r="52" spans="1:29" x14ac:dyDescent="0.25">
      <c r="A52" s="324">
        <v>45934</v>
      </c>
      <c r="B52" s="144">
        <v>8</v>
      </c>
      <c r="C52" s="145"/>
      <c r="D52" s="144" t="s">
        <v>92</v>
      </c>
      <c r="E52" s="146">
        <v>1.31</v>
      </c>
      <c r="F52" s="146"/>
      <c r="G52" s="147">
        <v>0</v>
      </c>
      <c r="H52" s="147">
        <v>2</v>
      </c>
      <c r="I52" s="147"/>
      <c r="J52" s="148">
        <v>1.94</v>
      </c>
      <c r="K52" s="145"/>
      <c r="L52" s="144" t="s">
        <v>129</v>
      </c>
      <c r="M52" s="149"/>
      <c r="N52" s="150">
        <v>65</v>
      </c>
      <c r="O52" s="61" t="s">
        <v>92</v>
      </c>
      <c r="P52" s="61" t="s">
        <v>316</v>
      </c>
      <c r="Q52" s="61" t="s">
        <v>511</v>
      </c>
      <c r="R52" s="61" t="s">
        <v>712</v>
      </c>
      <c r="S52" s="218">
        <v>71</v>
      </c>
      <c r="T52" s="61" t="s">
        <v>47</v>
      </c>
      <c r="U52" s="61" t="s">
        <v>45</v>
      </c>
      <c r="V52" s="63" t="s">
        <v>20</v>
      </c>
      <c r="W52" s="171">
        <v>0.1</v>
      </c>
      <c r="X52" s="146">
        <v>0.21</v>
      </c>
      <c r="Y52" s="146"/>
      <c r="Z52" s="144" t="s">
        <v>48</v>
      </c>
      <c r="AA52" s="172" t="s">
        <v>9</v>
      </c>
      <c r="AB52" s="173"/>
      <c r="AC52" s="174"/>
    </row>
    <row r="53" spans="1:29" x14ac:dyDescent="0.25">
      <c r="A53" s="324">
        <v>45934</v>
      </c>
      <c r="B53" s="144">
        <v>8</v>
      </c>
      <c r="C53" s="145"/>
      <c r="D53" s="144" t="s">
        <v>92</v>
      </c>
      <c r="E53" s="146">
        <v>1.31</v>
      </c>
      <c r="F53" s="146"/>
      <c r="G53" s="147">
        <v>0</v>
      </c>
      <c r="H53" s="147">
        <v>2</v>
      </c>
      <c r="I53" s="147"/>
      <c r="J53" s="148">
        <v>1.94</v>
      </c>
      <c r="K53" s="145"/>
      <c r="L53" s="144" t="s">
        <v>129</v>
      </c>
      <c r="M53" s="149"/>
      <c r="N53" s="150">
        <v>69</v>
      </c>
      <c r="O53" s="26" t="s">
        <v>129</v>
      </c>
      <c r="P53" s="26" t="s">
        <v>241</v>
      </c>
      <c r="Q53" s="26" t="s">
        <v>131</v>
      </c>
      <c r="R53" s="26" t="s">
        <v>696</v>
      </c>
      <c r="S53" s="213">
        <v>71</v>
      </c>
      <c r="T53" s="26" t="s">
        <v>41</v>
      </c>
      <c r="U53" s="26" t="s">
        <v>42</v>
      </c>
      <c r="V53" s="43" t="s">
        <v>10</v>
      </c>
      <c r="W53" s="171">
        <v>0.13</v>
      </c>
      <c r="X53" s="146" t="s">
        <v>53</v>
      </c>
      <c r="Y53" s="146"/>
      <c r="Z53" s="144" t="s">
        <v>52</v>
      </c>
      <c r="AA53" s="172" t="s">
        <v>9</v>
      </c>
      <c r="AB53" s="173"/>
      <c r="AC53" s="174"/>
    </row>
    <row r="54" spans="1:29" x14ac:dyDescent="0.25">
      <c r="A54" s="324">
        <v>45934</v>
      </c>
      <c r="B54" s="144">
        <v>8</v>
      </c>
      <c r="C54" s="145"/>
      <c r="D54" s="144" t="s">
        <v>92</v>
      </c>
      <c r="E54" s="146">
        <v>1.31</v>
      </c>
      <c r="F54" s="146"/>
      <c r="G54" s="147">
        <v>0</v>
      </c>
      <c r="H54" s="147">
        <v>2</v>
      </c>
      <c r="I54" s="147"/>
      <c r="J54" s="148">
        <v>1.94</v>
      </c>
      <c r="K54" s="145"/>
      <c r="L54" s="144" t="s">
        <v>129</v>
      </c>
      <c r="M54" s="149"/>
      <c r="N54" s="150">
        <v>70</v>
      </c>
      <c r="O54" s="61" t="s">
        <v>92</v>
      </c>
      <c r="P54" s="61" t="s">
        <v>110</v>
      </c>
      <c r="Q54" s="61" t="s">
        <v>111</v>
      </c>
      <c r="R54" s="61" t="s">
        <v>696</v>
      </c>
      <c r="S54" s="218">
        <v>66</v>
      </c>
      <c r="T54" s="61" t="s">
        <v>44</v>
      </c>
      <c r="U54" s="61" t="s">
        <v>42</v>
      </c>
      <c r="V54" s="63" t="s">
        <v>540</v>
      </c>
      <c r="W54" s="171">
        <v>0.06</v>
      </c>
      <c r="X54" s="146" t="s">
        <v>53</v>
      </c>
      <c r="Y54" s="146"/>
      <c r="Z54" s="144" t="s">
        <v>17</v>
      </c>
      <c r="AA54" s="172" t="s">
        <v>9</v>
      </c>
      <c r="AB54" s="173"/>
      <c r="AC54" s="174"/>
    </row>
    <row r="55" spans="1:29" x14ac:dyDescent="0.25">
      <c r="A55" s="324">
        <v>45934</v>
      </c>
      <c r="B55" s="144">
        <v>8</v>
      </c>
      <c r="C55" s="145"/>
      <c r="D55" s="144" t="s">
        <v>92</v>
      </c>
      <c r="E55" s="146">
        <v>1.31</v>
      </c>
      <c r="F55" s="146"/>
      <c r="G55" s="147">
        <v>0</v>
      </c>
      <c r="H55" s="147">
        <v>2</v>
      </c>
      <c r="I55" s="147"/>
      <c r="J55" s="148">
        <v>1.94</v>
      </c>
      <c r="K55" s="145"/>
      <c r="L55" s="144" t="s">
        <v>129</v>
      </c>
      <c r="M55" s="149"/>
      <c r="N55" s="150">
        <v>72</v>
      </c>
      <c r="O55" s="26" t="s">
        <v>129</v>
      </c>
      <c r="P55" s="26" t="s">
        <v>551</v>
      </c>
      <c r="Q55" s="26" t="s">
        <v>552</v>
      </c>
      <c r="R55" s="26" t="s">
        <v>696</v>
      </c>
      <c r="S55" s="213">
        <v>69</v>
      </c>
      <c r="T55" s="26" t="s">
        <v>354</v>
      </c>
      <c r="U55" s="26" t="s">
        <v>43</v>
      </c>
      <c r="V55" s="43" t="s">
        <v>20</v>
      </c>
      <c r="W55" s="171">
        <v>0.01</v>
      </c>
      <c r="X55" s="146">
        <v>0.2</v>
      </c>
      <c r="Y55" s="146"/>
      <c r="Z55" s="144" t="s">
        <v>48</v>
      </c>
      <c r="AA55" s="172" t="s">
        <v>9</v>
      </c>
      <c r="AB55" s="173"/>
      <c r="AC55" s="174"/>
    </row>
    <row r="56" spans="1:29" x14ac:dyDescent="0.25">
      <c r="A56" s="324">
        <v>45934</v>
      </c>
      <c r="B56" s="144">
        <v>8</v>
      </c>
      <c r="C56" s="145"/>
      <c r="D56" s="144" t="s">
        <v>92</v>
      </c>
      <c r="E56" s="146">
        <v>1.31</v>
      </c>
      <c r="F56" s="146"/>
      <c r="G56" s="147">
        <v>0</v>
      </c>
      <c r="H56" s="147">
        <v>2</v>
      </c>
      <c r="I56" s="147"/>
      <c r="J56" s="148">
        <v>1.94</v>
      </c>
      <c r="K56" s="145"/>
      <c r="L56" s="144" t="s">
        <v>129</v>
      </c>
      <c r="M56" s="149"/>
      <c r="N56" s="150">
        <v>72</v>
      </c>
      <c r="O56" s="26" t="s">
        <v>129</v>
      </c>
      <c r="P56" s="26" t="s">
        <v>104</v>
      </c>
      <c r="Q56" s="26" t="s">
        <v>105</v>
      </c>
      <c r="R56" s="26" t="s">
        <v>718</v>
      </c>
      <c r="S56" s="213">
        <v>71</v>
      </c>
      <c r="T56" s="26" t="s">
        <v>47</v>
      </c>
      <c r="U56" s="26" t="s">
        <v>42</v>
      </c>
      <c r="V56" s="43" t="s">
        <v>20</v>
      </c>
      <c r="W56" s="171">
        <v>0.98</v>
      </c>
      <c r="X56" s="146">
        <v>0.99</v>
      </c>
      <c r="Y56" s="146" t="s">
        <v>353</v>
      </c>
      <c r="Z56" s="144" t="s">
        <v>8</v>
      </c>
      <c r="AA56" s="172" t="s">
        <v>11</v>
      </c>
      <c r="AB56" s="173"/>
      <c r="AC56" s="174"/>
    </row>
    <row r="57" spans="1:29" x14ac:dyDescent="0.25">
      <c r="A57" s="324">
        <v>45934</v>
      </c>
      <c r="B57" s="144">
        <v>8</v>
      </c>
      <c r="C57" s="145"/>
      <c r="D57" s="144" t="s">
        <v>92</v>
      </c>
      <c r="E57" s="146">
        <v>1.31</v>
      </c>
      <c r="F57" s="146"/>
      <c r="G57" s="147">
        <v>0</v>
      </c>
      <c r="H57" s="147">
        <v>2</v>
      </c>
      <c r="I57" s="147"/>
      <c r="J57" s="148">
        <v>1.94</v>
      </c>
      <c r="K57" s="145"/>
      <c r="L57" s="144" t="s">
        <v>129</v>
      </c>
      <c r="M57" s="149"/>
      <c r="N57" s="150" t="s">
        <v>31</v>
      </c>
      <c r="O57" s="61" t="s">
        <v>92</v>
      </c>
      <c r="P57" s="61" t="s">
        <v>316</v>
      </c>
      <c r="Q57" s="61" t="s">
        <v>511</v>
      </c>
      <c r="R57" s="61" t="s">
        <v>712</v>
      </c>
      <c r="S57" s="218">
        <v>71</v>
      </c>
      <c r="T57" s="61" t="s">
        <v>47</v>
      </c>
      <c r="U57" s="61" t="s">
        <v>45</v>
      </c>
      <c r="V57" s="63" t="s">
        <v>20</v>
      </c>
      <c r="W57" s="171">
        <v>0.1</v>
      </c>
      <c r="X57" s="146" t="s">
        <v>53</v>
      </c>
      <c r="Y57" s="146"/>
      <c r="Z57" s="144" t="s">
        <v>52</v>
      </c>
      <c r="AA57" s="172" t="s">
        <v>11</v>
      </c>
      <c r="AB57" s="173"/>
      <c r="AC57" s="174"/>
    </row>
    <row r="58" spans="1:29" x14ac:dyDescent="0.25">
      <c r="A58" s="324">
        <v>45934</v>
      </c>
      <c r="B58" s="144">
        <v>8</v>
      </c>
      <c r="C58" s="145"/>
      <c r="D58" s="144" t="s">
        <v>92</v>
      </c>
      <c r="E58" s="146">
        <v>1.31</v>
      </c>
      <c r="F58" s="146"/>
      <c r="G58" s="147">
        <v>0</v>
      </c>
      <c r="H58" s="147">
        <v>2</v>
      </c>
      <c r="I58" s="147"/>
      <c r="J58" s="148">
        <v>1.94</v>
      </c>
      <c r="K58" s="145"/>
      <c r="L58" s="144" t="s">
        <v>129</v>
      </c>
      <c r="M58" s="149"/>
      <c r="N58" s="150" t="s">
        <v>31</v>
      </c>
      <c r="O58" s="61" t="s">
        <v>92</v>
      </c>
      <c r="P58" s="61" t="s">
        <v>110</v>
      </c>
      <c r="Q58" s="61" t="s">
        <v>111</v>
      </c>
      <c r="R58" s="61" t="s">
        <v>696</v>
      </c>
      <c r="S58" s="218">
        <v>66</v>
      </c>
      <c r="T58" s="61" t="s">
        <v>47</v>
      </c>
      <c r="U58" s="61" t="s">
        <v>42</v>
      </c>
      <c r="V58" s="63" t="s">
        <v>20</v>
      </c>
      <c r="W58" s="171">
        <v>0.41</v>
      </c>
      <c r="X58" s="146">
        <v>0.26</v>
      </c>
      <c r="Y58" s="146" t="s">
        <v>353</v>
      </c>
      <c r="Z58" s="144" t="s">
        <v>48</v>
      </c>
      <c r="AA58" s="172" t="s">
        <v>11</v>
      </c>
      <c r="AB58" s="173"/>
      <c r="AC58" s="174"/>
    </row>
    <row r="59" spans="1:29" ht="15.75" thickBot="1" x14ac:dyDescent="0.3">
      <c r="A59" s="325">
        <v>45934</v>
      </c>
      <c r="B59" s="152">
        <v>8</v>
      </c>
      <c r="C59" s="153"/>
      <c r="D59" s="152" t="s">
        <v>92</v>
      </c>
      <c r="E59" s="154">
        <v>1.31</v>
      </c>
      <c r="F59" s="154"/>
      <c r="G59" s="155">
        <v>0</v>
      </c>
      <c r="H59" s="155">
        <v>2</v>
      </c>
      <c r="I59" s="155"/>
      <c r="J59" s="156">
        <v>1.94</v>
      </c>
      <c r="K59" s="153"/>
      <c r="L59" s="152" t="s">
        <v>129</v>
      </c>
      <c r="M59" s="157"/>
      <c r="N59" s="158" t="s">
        <v>31</v>
      </c>
      <c r="O59" s="66" t="s">
        <v>92</v>
      </c>
      <c r="P59" s="66" t="s">
        <v>176</v>
      </c>
      <c r="Q59" s="66" t="s">
        <v>368</v>
      </c>
      <c r="R59" s="66" t="s">
        <v>696</v>
      </c>
      <c r="S59" s="219">
        <v>66</v>
      </c>
      <c r="T59" s="66" t="s">
        <v>41</v>
      </c>
      <c r="U59" s="66" t="s">
        <v>42</v>
      </c>
      <c r="V59" s="67" t="s">
        <v>20</v>
      </c>
      <c r="W59" s="175">
        <v>0.11</v>
      </c>
      <c r="X59" s="154" t="s">
        <v>53</v>
      </c>
      <c r="Y59" s="154" t="s">
        <v>353</v>
      </c>
      <c r="Z59" s="152" t="s">
        <v>52</v>
      </c>
      <c r="AA59" s="176" t="s">
        <v>11</v>
      </c>
      <c r="AB59" s="177"/>
      <c r="AC59" s="178"/>
    </row>
    <row r="60" spans="1:29" ht="15.75" thickBot="1" x14ac:dyDescent="0.3">
      <c r="A60" s="326">
        <v>45934</v>
      </c>
      <c r="B60" s="207">
        <v>8</v>
      </c>
      <c r="C60" s="208"/>
      <c r="D60" s="207" t="s">
        <v>92</v>
      </c>
      <c r="E60" s="209">
        <v>1.31</v>
      </c>
      <c r="F60" s="209"/>
      <c r="G60" s="210">
        <v>0</v>
      </c>
      <c r="H60" s="210">
        <v>2</v>
      </c>
      <c r="I60" s="210"/>
      <c r="J60" s="211">
        <v>1.94</v>
      </c>
      <c r="K60" s="208"/>
      <c r="L60" s="207" t="s">
        <v>129</v>
      </c>
      <c r="M60" s="235"/>
      <c r="N60" s="198"/>
      <c r="O60" s="199" t="s">
        <v>92</v>
      </c>
      <c r="P60" s="199" t="s">
        <v>432</v>
      </c>
      <c r="Q60" s="199" t="s">
        <v>472</v>
      </c>
      <c r="R60" s="199" t="s">
        <v>707</v>
      </c>
      <c r="S60" s="200">
        <v>69</v>
      </c>
      <c r="T60" s="199"/>
      <c r="U60" s="199"/>
      <c r="V60" s="201"/>
      <c r="W60" s="202"/>
      <c r="X60" s="203"/>
      <c r="Y60" s="203">
        <v>2</v>
      </c>
      <c r="Z60" s="199"/>
      <c r="AA60" s="204"/>
      <c r="AB60" s="205"/>
      <c r="AC60" s="201"/>
    </row>
    <row r="61" spans="1:29" ht="15.75" thickBot="1" x14ac:dyDescent="0.3">
      <c r="A61" s="326">
        <v>45934</v>
      </c>
      <c r="B61" s="207">
        <v>8</v>
      </c>
      <c r="C61" s="208"/>
      <c r="D61" s="207" t="s">
        <v>92</v>
      </c>
      <c r="E61" s="209">
        <v>1.31</v>
      </c>
      <c r="F61" s="209"/>
      <c r="G61" s="210">
        <v>0</v>
      </c>
      <c r="H61" s="210">
        <v>2</v>
      </c>
      <c r="I61" s="210"/>
      <c r="J61" s="211">
        <v>1.94</v>
      </c>
      <c r="K61" s="208"/>
      <c r="L61" s="207" t="s">
        <v>129</v>
      </c>
      <c r="M61" s="235"/>
      <c r="N61" s="198"/>
      <c r="O61" s="199" t="s">
        <v>129</v>
      </c>
      <c r="P61" s="199" t="s">
        <v>731</v>
      </c>
      <c r="Q61" s="199" t="s">
        <v>732</v>
      </c>
      <c r="R61" s="199" t="s">
        <v>707</v>
      </c>
      <c r="S61" s="200">
        <v>78</v>
      </c>
      <c r="T61" s="199"/>
      <c r="U61" s="199"/>
      <c r="V61" s="201"/>
      <c r="W61" s="202"/>
      <c r="X61" s="203"/>
      <c r="Y61" s="203">
        <v>0</v>
      </c>
      <c r="Z61" s="199"/>
      <c r="AA61" s="204"/>
      <c r="AB61" s="205"/>
      <c r="AC61" s="201"/>
    </row>
    <row r="62" spans="1:29" x14ac:dyDescent="0.25">
      <c r="A62" s="328">
        <v>45893</v>
      </c>
      <c r="B62" s="17">
        <v>2</v>
      </c>
      <c r="C62" s="123" t="s">
        <v>697</v>
      </c>
      <c r="D62" s="17" t="s">
        <v>146</v>
      </c>
      <c r="E62" s="18">
        <v>1.0900000000000001</v>
      </c>
      <c r="F62" s="18"/>
      <c r="G62" s="19">
        <v>2</v>
      </c>
      <c r="H62" s="19">
        <v>2</v>
      </c>
      <c r="I62" s="19"/>
      <c r="J62" s="20">
        <v>1.81</v>
      </c>
      <c r="K62" s="123" t="s">
        <v>693</v>
      </c>
      <c r="L62" s="17" t="s">
        <v>192</v>
      </c>
      <c r="M62" s="46"/>
      <c r="N62" s="96">
        <v>8</v>
      </c>
      <c r="O62" s="64" t="s">
        <v>146</v>
      </c>
      <c r="P62" s="64" t="s">
        <v>155</v>
      </c>
      <c r="Q62" s="64" t="s">
        <v>156</v>
      </c>
      <c r="R62" s="64" t="s">
        <v>686</v>
      </c>
      <c r="S62" s="217">
        <v>70</v>
      </c>
      <c r="T62" s="64" t="s">
        <v>41</v>
      </c>
      <c r="U62" s="64" t="s">
        <v>42</v>
      </c>
      <c r="V62" s="65" t="s">
        <v>10</v>
      </c>
      <c r="W62" s="53">
        <v>0.12</v>
      </c>
      <c r="X62" s="18">
        <v>0.11</v>
      </c>
      <c r="Y62" s="18"/>
      <c r="Z62" s="17" t="s">
        <v>48</v>
      </c>
      <c r="AA62" s="114" t="s">
        <v>28</v>
      </c>
      <c r="AB62" s="110"/>
      <c r="AC62" s="60"/>
    </row>
    <row r="63" spans="1:29" x14ac:dyDescent="0.25">
      <c r="A63" s="329">
        <v>45893</v>
      </c>
      <c r="B63" s="5">
        <v>2</v>
      </c>
      <c r="D63" s="5" t="s">
        <v>146</v>
      </c>
      <c r="E63" s="6">
        <v>1.0900000000000001</v>
      </c>
      <c r="G63" s="7">
        <v>2</v>
      </c>
      <c r="H63" s="7">
        <v>2</v>
      </c>
      <c r="J63" s="8">
        <v>1.81</v>
      </c>
      <c r="L63" s="5" t="s">
        <v>192</v>
      </c>
      <c r="N63" s="56">
        <v>10</v>
      </c>
      <c r="O63" s="26" t="s">
        <v>192</v>
      </c>
      <c r="P63" s="26" t="s">
        <v>198</v>
      </c>
      <c r="Q63" s="26" t="s">
        <v>199</v>
      </c>
      <c r="R63" s="26" t="s">
        <v>699</v>
      </c>
      <c r="S63" s="213">
        <v>79</v>
      </c>
      <c r="T63" s="26" t="s">
        <v>41</v>
      </c>
      <c r="U63" s="26" t="s">
        <v>45</v>
      </c>
      <c r="V63" s="43" t="s">
        <v>18</v>
      </c>
      <c r="W63" s="51">
        <v>0.28000000000000003</v>
      </c>
      <c r="X63" s="6">
        <v>0.74</v>
      </c>
      <c r="Y63" s="6" t="s">
        <v>353</v>
      </c>
      <c r="Z63" s="5" t="s">
        <v>8</v>
      </c>
      <c r="AA63" s="112" t="s">
        <v>9</v>
      </c>
      <c r="AB63" s="108" t="s">
        <v>410</v>
      </c>
      <c r="AC63" s="57" t="s">
        <v>361</v>
      </c>
    </row>
    <row r="64" spans="1:29" x14ac:dyDescent="0.25">
      <c r="A64" s="329">
        <v>45893</v>
      </c>
      <c r="B64" s="5">
        <v>2</v>
      </c>
      <c r="D64" s="5" t="s">
        <v>146</v>
      </c>
      <c r="E64" s="6">
        <v>1.0900000000000001</v>
      </c>
      <c r="G64" s="7">
        <v>2</v>
      </c>
      <c r="H64" s="7">
        <v>2</v>
      </c>
      <c r="J64" s="8">
        <v>1.81</v>
      </c>
      <c r="L64" s="5" t="s">
        <v>192</v>
      </c>
      <c r="N64" s="56">
        <v>29</v>
      </c>
      <c r="O64" s="26" t="s">
        <v>192</v>
      </c>
      <c r="P64" s="26" t="s">
        <v>276</v>
      </c>
      <c r="Q64" s="26" t="s">
        <v>277</v>
      </c>
      <c r="R64" s="26" t="s">
        <v>687</v>
      </c>
      <c r="S64" s="213">
        <v>72</v>
      </c>
      <c r="T64" s="26" t="s">
        <v>354</v>
      </c>
      <c r="U64" s="26" t="s">
        <v>43</v>
      </c>
      <c r="V64" s="43" t="s">
        <v>10</v>
      </c>
      <c r="W64" s="51">
        <v>0.04</v>
      </c>
      <c r="X64" s="6" t="s">
        <v>53</v>
      </c>
      <c r="Z64" s="5" t="s">
        <v>16</v>
      </c>
      <c r="AA64" s="112" t="s">
        <v>9</v>
      </c>
    </row>
    <row r="65" spans="1:29" x14ac:dyDescent="0.25">
      <c r="A65" s="329">
        <v>45893</v>
      </c>
      <c r="B65" s="5">
        <v>2</v>
      </c>
      <c r="D65" s="5" t="s">
        <v>146</v>
      </c>
      <c r="E65" s="6">
        <v>1.0900000000000001</v>
      </c>
      <c r="G65" s="7">
        <v>2</v>
      </c>
      <c r="H65" s="7">
        <v>2</v>
      </c>
      <c r="J65" s="8">
        <v>1.81</v>
      </c>
      <c r="L65" s="5" t="s">
        <v>192</v>
      </c>
      <c r="N65" s="56">
        <v>30</v>
      </c>
      <c r="O65" s="61" t="s">
        <v>146</v>
      </c>
      <c r="P65" s="61" t="s">
        <v>159</v>
      </c>
      <c r="Q65" s="61" t="s">
        <v>160</v>
      </c>
      <c r="R65" s="61" t="s">
        <v>684</v>
      </c>
      <c r="S65" s="218">
        <v>66</v>
      </c>
      <c r="T65" s="61" t="s">
        <v>41</v>
      </c>
      <c r="U65" s="61" t="s">
        <v>45</v>
      </c>
      <c r="V65" s="63" t="s">
        <v>10</v>
      </c>
      <c r="W65" s="51">
        <v>0.06</v>
      </c>
      <c r="X65" s="6" t="s">
        <v>53</v>
      </c>
      <c r="Y65" s="6" t="s">
        <v>353</v>
      </c>
      <c r="Z65" s="5" t="s">
        <v>22</v>
      </c>
      <c r="AA65" s="112" t="s">
        <v>9</v>
      </c>
    </row>
    <row r="66" spans="1:29" x14ac:dyDescent="0.25">
      <c r="A66" s="329">
        <v>45893</v>
      </c>
      <c r="B66" s="5">
        <v>2</v>
      </c>
      <c r="D66" s="5" t="s">
        <v>146</v>
      </c>
      <c r="E66" s="6">
        <v>1.0900000000000001</v>
      </c>
      <c r="G66" s="7">
        <v>2</v>
      </c>
      <c r="H66" s="7">
        <v>2</v>
      </c>
      <c r="J66" s="8">
        <v>1.81</v>
      </c>
      <c r="L66" s="5" t="s">
        <v>192</v>
      </c>
      <c r="N66" s="56">
        <v>39</v>
      </c>
      <c r="O66" s="61" t="s">
        <v>146</v>
      </c>
      <c r="P66" s="61" t="s">
        <v>135</v>
      </c>
      <c r="Q66" s="61" t="s">
        <v>273</v>
      </c>
      <c r="R66" s="61" t="s">
        <v>689</v>
      </c>
      <c r="S66" s="218">
        <v>70</v>
      </c>
      <c r="T66" s="61" t="s">
        <v>41</v>
      </c>
      <c r="U66" s="61" t="s">
        <v>45</v>
      </c>
      <c r="V66" s="63" t="s">
        <v>20</v>
      </c>
      <c r="W66" s="51">
        <v>0.02</v>
      </c>
      <c r="X66" s="6">
        <v>0.19</v>
      </c>
      <c r="Z66" s="5" t="s">
        <v>48</v>
      </c>
      <c r="AA66" s="112" t="s">
        <v>9</v>
      </c>
    </row>
    <row r="67" spans="1:29" x14ac:dyDescent="0.25">
      <c r="A67" s="329">
        <v>45893</v>
      </c>
      <c r="B67" s="5">
        <v>2</v>
      </c>
      <c r="D67" s="5" t="s">
        <v>146</v>
      </c>
      <c r="E67" s="6">
        <v>1.0900000000000001</v>
      </c>
      <c r="G67" s="7">
        <v>2</v>
      </c>
      <c r="H67" s="7">
        <v>2</v>
      </c>
      <c r="J67" s="8">
        <v>1.81</v>
      </c>
      <c r="L67" s="5" t="s">
        <v>192</v>
      </c>
      <c r="N67" s="56" t="s">
        <v>68</v>
      </c>
      <c r="O67" s="26" t="s">
        <v>192</v>
      </c>
      <c r="P67" s="26" t="s">
        <v>278</v>
      </c>
      <c r="Q67" s="26" t="s">
        <v>279</v>
      </c>
      <c r="R67" s="26" t="s">
        <v>685</v>
      </c>
      <c r="S67" s="213">
        <v>70</v>
      </c>
      <c r="T67" s="26" t="s">
        <v>41</v>
      </c>
      <c r="U67" s="26" t="s">
        <v>42</v>
      </c>
      <c r="V67" s="43" t="s">
        <v>7</v>
      </c>
      <c r="W67" s="51">
        <v>0.79</v>
      </c>
      <c r="X67" s="6">
        <v>0.93</v>
      </c>
      <c r="Y67" s="6" t="s">
        <v>353</v>
      </c>
      <c r="Z67" s="5" t="s">
        <v>8</v>
      </c>
      <c r="AA67" s="112" t="s">
        <v>11</v>
      </c>
    </row>
    <row r="68" spans="1:29" x14ac:dyDescent="0.25">
      <c r="A68" s="329">
        <v>45893</v>
      </c>
      <c r="B68" s="5">
        <v>2</v>
      </c>
      <c r="D68" s="5" t="s">
        <v>146</v>
      </c>
      <c r="E68" s="6">
        <v>1.0900000000000001</v>
      </c>
      <c r="G68" s="7">
        <v>2</v>
      </c>
      <c r="H68" s="7">
        <v>2</v>
      </c>
      <c r="J68" s="8">
        <v>1.81</v>
      </c>
      <c r="L68" s="5" t="s">
        <v>192</v>
      </c>
      <c r="N68" s="56">
        <v>60</v>
      </c>
      <c r="O68" s="26" t="s">
        <v>192</v>
      </c>
      <c r="P68" s="26" t="s">
        <v>280</v>
      </c>
      <c r="Q68" s="26" t="s">
        <v>281</v>
      </c>
      <c r="R68" s="26" t="s">
        <v>686</v>
      </c>
      <c r="S68" s="213">
        <v>64</v>
      </c>
      <c r="T68" s="26" t="s">
        <v>354</v>
      </c>
      <c r="U68" s="26" t="s">
        <v>42</v>
      </c>
      <c r="V68" s="43" t="s">
        <v>540</v>
      </c>
      <c r="W68" s="51">
        <v>0.03</v>
      </c>
      <c r="X68" s="6" t="s">
        <v>53</v>
      </c>
      <c r="Z68" s="5" t="s">
        <v>22</v>
      </c>
      <c r="AA68" s="112" t="s">
        <v>11</v>
      </c>
    </row>
    <row r="69" spans="1:29" x14ac:dyDescent="0.25">
      <c r="A69" s="329">
        <v>45893</v>
      </c>
      <c r="B69" s="5">
        <v>2</v>
      </c>
      <c r="D69" s="5" t="s">
        <v>146</v>
      </c>
      <c r="E69" s="6">
        <v>1.0900000000000001</v>
      </c>
      <c r="G69" s="7">
        <v>2</v>
      </c>
      <c r="H69" s="7">
        <v>2</v>
      </c>
      <c r="J69" s="8">
        <v>1.81</v>
      </c>
      <c r="L69" s="5" t="s">
        <v>192</v>
      </c>
      <c r="N69" s="56">
        <v>61</v>
      </c>
      <c r="O69" s="61" t="s">
        <v>146</v>
      </c>
      <c r="P69" s="61" t="s">
        <v>274</v>
      </c>
      <c r="Q69" s="61" t="s">
        <v>275</v>
      </c>
      <c r="R69" s="61" t="s">
        <v>685</v>
      </c>
      <c r="S69" s="218">
        <v>79</v>
      </c>
      <c r="T69" s="61" t="s">
        <v>41</v>
      </c>
      <c r="U69" s="61" t="s">
        <v>42</v>
      </c>
      <c r="V69" s="63" t="s">
        <v>18</v>
      </c>
      <c r="W69" s="51">
        <v>0.04</v>
      </c>
      <c r="X69" s="6">
        <v>0.43</v>
      </c>
      <c r="Z69" s="5" t="s">
        <v>8</v>
      </c>
      <c r="AA69" s="112" t="s">
        <v>67</v>
      </c>
    </row>
    <row r="70" spans="1:29" x14ac:dyDescent="0.25">
      <c r="A70" s="329">
        <v>45893</v>
      </c>
      <c r="B70" s="5">
        <v>2</v>
      </c>
      <c r="D70" s="5" t="s">
        <v>146</v>
      </c>
      <c r="E70" s="6">
        <v>1.0900000000000001</v>
      </c>
      <c r="G70" s="7">
        <v>2</v>
      </c>
      <c r="H70" s="7">
        <v>2</v>
      </c>
      <c r="J70" s="8">
        <v>1.81</v>
      </c>
      <c r="L70" s="5" t="s">
        <v>192</v>
      </c>
      <c r="N70" s="56">
        <v>69</v>
      </c>
      <c r="O70" s="61" t="s">
        <v>146</v>
      </c>
      <c r="P70" s="61" t="s">
        <v>157</v>
      </c>
      <c r="Q70" s="61" t="s">
        <v>158</v>
      </c>
      <c r="R70" s="61" t="s">
        <v>696</v>
      </c>
      <c r="S70" s="218">
        <v>74</v>
      </c>
      <c r="T70" s="61" t="s">
        <v>41</v>
      </c>
      <c r="U70" s="61" t="s">
        <v>42</v>
      </c>
      <c r="V70" s="63" t="s">
        <v>10</v>
      </c>
      <c r="W70" s="51">
        <v>0.21</v>
      </c>
      <c r="X70" s="6">
        <v>0.71</v>
      </c>
      <c r="Y70" s="6" t="s">
        <v>353</v>
      </c>
      <c r="Z70" s="5" t="s">
        <v>8</v>
      </c>
      <c r="AA70" s="112" t="s">
        <v>189</v>
      </c>
      <c r="AB70" s="108" t="s">
        <v>159</v>
      </c>
      <c r="AC70" s="57" t="s">
        <v>160</v>
      </c>
    </row>
    <row r="71" spans="1:29" x14ac:dyDescent="0.25">
      <c r="A71" s="329">
        <v>45893</v>
      </c>
      <c r="B71" s="5">
        <v>2</v>
      </c>
      <c r="D71" s="5" t="s">
        <v>146</v>
      </c>
      <c r="E71" s="6">
        <v>1.0900000000000001</v>
      </c>
      <c r="G71" s="7">
        <v>2</v>
      </c>
      <c r="H71" s="7">
        <v>2</v>
      </c>
      <c r="J71" s="8">
        <v>1.81</v>
      </c>
      <c r="L71" s="5" t="s">
        <v>192</v>
      </c>
      <c r="N71" s="56">
        <v>71</v>
      </c>
      <c r="O71" s="26" t="s">
        <v>192</v>
      </c>
      <c r="P71" s="26" t="s">
        <v>282</v>
      </c>
      <c r="Q71" s="26" t="s">
        <v>283</v>
      </c>
      <c r="R71" s="26" t="s">
        <v>696</v>
      </c>
      <c r="S71" s="213">
        <v>68</v>
      </c>
      <c r="T71" s="26" t="s">
        <v>41</v>
      </c>
      <c r="U71" s="26" t="s">
        <v>42</v>
      </c>
      <c r="V71" s="43" t="s">
        <v>10</v>
      </c>
      <c r="W71" s="51">
        <v>0.25</v>
      </c>
      <c r="X71" s="6" t="s">
        <v>53</v>
      </c>
      <c r="Z71" s="5" t="s">
        <v>13</v>
      </c>
      <c r="AA71" s="112" t="s">
        <v>189</v>
      </c>
    </row>
    <row r="72" spans="1:29" ht="15.75" thickBot="1" x14ac:dyDescent="0.3">
      <c r="A72" s="330">
        <v>45893</v>
      </c>
      <c r="B72" s="9">
        <v>2</v>
      </c>
      <c r="C72" s="122"/>
      <c r="D72" s="9" t="s">
        <v>146</v>
      </c>
      <c r="E72" s="10">
        <v>1.0900000000000001</v>
      </c>
      <c r="F72" s="10"/>
      <c r="G72" s="11">
        <v>2</v>
      </c>
      <c r="H72" s="11">
        <v>2</v>
      </c>
      <c r="I72" s="11"/>
      <c r="J72" s="12">
        <v>1.81</v>
      </c>
      <c r="K72" s="122"/>
      <c r="L72" s="9" t="s">
        <v>192</v>
      </c>
      <c r="M72" s="45"/>
      <c r="N72" s="97">
        <v>73</v>
      </c>
      <c r="O72" s="66" t="s">
        <v>146</v>
      </c>
      <c r="P72" s="66" t="s">
        <v>153</v>
      </c>
      <c r="Q72" s="66" t="s">
        <v>154</v>
      </c>
      <c r="R72" s="66" t="s">
        <v>696</v>
      </c>
      <c r="S72" s="219">
        <v>71</v>
      </c>
      <c r="T72" s="66" t="s">
        <v>41</v>
      </c>
      <c r="U72" s="66" t="s">
        <v>43</v>
      </c>
      <c r="V72" s="67" t="s">
        <v>10</v>
      </c>
      <c r="W72" s="52">
        <v>0.27</v>
      </c>
      <c r="X72" s="10">
        <v>0.56000000000000005</v>
      </c>
      <c r="Y72" s="10" t="s">
        <v>353</v>
      </c>
      <c r="Z72" s="9" t="s">
        <v>48</v>
      </c>
      <c r="AA72" s="113" t="s">
        <v>189</v>
      </c>
      <c r="AB72" s="109"/>
      <c r="AC72" s="58"/>
    </row>
    <row r="73" spans="1:29" ht="15.75" thickBot="1" x14ac:dyDescent="0.3">
      <c r="A73" s="326">
        <v>45893</v>
      </c>
      <c r="B73" s="207">
        <v>2</v>
      </c>
      <c r="C73" s="208"/>
      <c r="D73" s="207" t="s">
        <v>146</v>
      </c>
      <c r="E73" s="209">
        <v>1.0900000000000001</v>
      </c>
      <c r="F73" s="209"/>
      <c r="G73" s="210">
        <v>2</v>
      </c>
      <c r="H73" s="210">
        <v>2</v>
      </c>
      <c r="I73" s="210"/>
      <c r="J73" s="211">
        <v>1.81</v>
      </c>
      <c r="K73" s="208"/>
      <c r="L73" s="207" t="s">
        <v>192</v>
      </c>
      <c r="M73" s="197"/>
      <c r="N73" s="198"/>
      <c r="O73" s="199" t="s">
        <v>146</v>
      </c>
      <c r="P73" s="199" t="s">
        <v>257</v>
      </c>
      <c r="Q73" s="199" t="s">
        <v>423</v>
      </c>
      <c r="R73" s="199" t="s">
        <v>707</v>
      </c>
      <c r="S73" s="200">
        <v>67</v>
      </c>
      <c r="T73" s="199"/>
      <c r="U73" s="199"/>
      <c r="V73" s="201"/>
      <c r="W73" s="202"/>
      <c r="X73" s="203"/>
      <c r="Y73" s="203">
        <v>2</v>
      </c>
      <c r="Z73" s="199"/>
      <c r="AA73" s="204"/>
      <c r="AB73" s="205"/>
      <c r="AC73" s="201"/>
    </row>
    <row r="74" spans="1:29" ht="15.75" thickBot="1" x14ac:dyDescent="0.3">
      <c r="A74" s="326">
        <v>45893</v>
      </c>
      <c r="B74" s="207">
        <v>2</v>
      </c>
      <c r="C74" s="208"/>
      <c r="D74" s="207" t="s">
        <v>146</v>
      </c>
      <c r="E74" s="209">
        <v>1.0900000000000001</v>
      </c>
      <c r="F74" s="209"/>
      <c r="G74" s="210">
        <v>2</v>
      </c>
      <c r="H74" s="210">
        <v>2</v>
      </c>
      <c r="I74" s="210"/>
      <c r="J74" s="211">
        <v>1.81</v>
      </c>
      <c r="K74" s="208"/>
      <c r="L74" s="207" t="s">
        <v>192</v>
      </c>
      <c r="M74" s="197"/>
      <c r="N74" s="198"/>
      <c r="O74" s="199" t="s">
        <v>192</v>
      </c>
      <c r="P74" s="199" t="s">
        <v>723</v>
      </c>
      <c r="Q74" s="199" t="s">
        <v>724</v>
      </c>
      <c r="R74" s="199" t="s">
        <v>707</v>
      </c>
      <c r="S74" s="200">
        <v>77</v>
      </c>
      <c r="T74" s="199"/>
      <c r="U74" s="199"/>
      <c r="V74" s="201"/>
      <c r="W74" s="202"/>
      <c r="X74" s="203"/>
      <c r="Y74" s="203">
        <v>2</v>
      </c>
      <c r="Z74" s="199"/>
      <c r="AA74" s="204"/>
      <c r="AB74" s="205"/>
      <c r="AC74" s="201"/>
    </row>
    <row r="75" spans="1:29" x14ac:dyDescent="0.25">
      <c r="A75" s="331">
        <v>45920</v>
      </c>
      <c r="B75" s="13">
        <v>5</v>
      </c>
      <c r="C75" s="124" t="s">
        <v>694</v>
      </c>
      <c r="D75" s="13" t="s">
        <v>226</v>
      </c>
      <c r="E75" s="14">
        <v>1.18</v>
      </c>
      <c r="F75" s="14"/>
      <c r="G75" s="15">
        <v>2</v>
      </c>
      <c r="H75" s="15">
        <v>0</v>
      </c>
      <c r="I75" s="15"/>
      <c r="J75" s="16">
        <v>0.96</v>
      </c>
      <c r="K75" s="124" t="s">
        <v>693</v>
      </c>
      <c r="L75" s="13" t="s">
        <v>192</v>
      </c>
      <c r="M75" s="47"/>
      <c r="N75" s="98">
        <v>1</v>
      </c>
      <c r="O75" s="79" t="s">
        <v>192</v>
      </c>
      <c r="P75" s="79" t="s">
        <v>276</v>
      </c>
      <c r="Q75" s="79" t="s">
        <v>277</v>
      </c>
      <c r="R75" s="79" t="s">
        <v>699</v>
      </c>
      <c r="S75" s="224">
        <v>67</v>
      </c>
      <c r="T75" s="79" t="s">
        <v>354</v>
      </c>
      <c r="U75" s="79" t="s">
        <v>42</v>
      </c>
      <c r="V75" s="80" t="s">
        <v>10</v>
      </c>
      <c r="W75" s="54">
        <v>0.05</v>
      </c>
      <c r="X75" s="14">
        <v>0.18</v>
      </c>
      <c r="Y75" s="14"/>
      <c r="Z75" s="13" t="s">
        <v>48</v>
      </c>
      <c r="AA75" s="115" t="s">
        <v>28</v>
      </c>
      <c r="AB75" s="110"/>
      <c r="AC75" s="60"/>
    </row>
    <row r="76" spans="1:29" x14ac:dyDescent="0.25">
      <c r="A76" s="329">
        <v>45920</v>
      </c>
      <c r="B76" s="5">
        <v>5</v>
      </c>
      <c r="D76" s="5" t="s">
        <v>226</v>
      </c>
      <c r="E76" s="6">
        <v>1.18</v>
      </c>
      <c r="G76" s="7">
        <v>2</v>
      </c>
      <c r="H76" s="7">
        <v>0</v>
      </c>
      <c r="J76" s="8">
        <v>0.96</v>
      </c>
      <c r="L76" s="5" t="s">
        <v>192</v>
      </c>
      <c r="N76" s="56">
        <v>15</v>
      </c>
      <c r="O76" s="26" t="s">
        <v>192</v>
      </c>
      <c r="P76" s="26" t="s">
        <v>410</v>
      </c>
      <c r="Q76" s="26" t="s">
        <v>361</v>
      </c>
      <c r="R76" s="26" t="s">
        <v>684</v>
      </c>
      <c r="S76" s="213">
        <v>67</v>
      </c>
      <c r="T76" s="26" t="s">
        <v>41</v>
      </c>
      <c r="U76" s="26" t="s">
        <v>42</v>
      </c>
      <c r="V76" s="43" t="s">
        <v>10</v>
      </c>
      <c r="W76" s="51">
        <v>0.12</v>
      </c>
      <c r="X76" s="6" t="s">
        <v>53</v>
      </c>
      <c r="Z76" s="5" t="s">
        <v>52</v>
      </c>
      <c r="AA76" s="112" t="s">
        <v>28</v>
      </c>
    </row>
    <row r="77" spans="1:29" x14ac:dyDescent="0.25">
      <c r="A77" s="329">
        <v>45920</v>
      </c>
      <c r="B77" s="5">
        <v>5</v>
      </c>
      <c r="D77" s="5" t="s">
        <v>226</v>
      </c>
      <c r="E77" s="6">
        <v>1.18</v>
      </c>
      <c r="G77" s="7">
        <v>2</v>
      </c>
      <c r="H77" s="7">
        <v>0</v>
      </c>
      <c r="J77" s="8">
        <v>0.96</v>
      </c>
      <c r="L77" s="5" t="s">
        <v>192</v>
      </c>
      <c r="N77" s="56">
        <v>22</v>
      </c>
      <c r="O77" s="61" t="s">
        <v>226</v>
      </c>
      <c r="P77" s="61" t="s">
        <v>372</v>
      </c>
      <c r="Q77" s="61" t="s">
        <v>373</v>
      </c>
      <c r="R77" s="61" t="s">
        <v>712</v>
      </c>
      <c r="S77" s="218">
        <v>90</v>
      </c>
      <c r="T77" s="61" t="s">
        <v>354</v>
      </c>
      <c r="U77" s="61" t="s">
        <v>42</v>
      </c>
      <c r="V77" s="63" t="s">
        <v>10</v>
      </c>
      <c r="W77" s="51">
        <v>0.03</v>
      </c>
      <c r="X77" s="6">
        <v>0.08</v>
      </c>
      <c r="Z77" s="5" t="s">
        <v>8</v>
      </c>
      <c r="AA77" s="112" t="s">
        <v>19</v>
      </c>
      <c r="AB77" s="108" t="s">
        <v>287</v>
      </c>
      <c r="AC77" s="57" t="s">
        <v>288</v>
      </c>
    </row>
    <row r="78" spans="1:29" x14ac:dyDescent="0.25">
      <c r="A78" s="329">
        <v>45920</v>
      </c>
      <c r="B78" s="5">
        <v>5</v>
      </c>
      <c r="D78" s="5" t="s">
        <v>226</v>
      </c>
      <c r="E78" s="6">
        <v>1.18</v>
      </c>
      <c r="G78" s="7">
        <v>2</v>
      </c>
      <c r="H78" s="7">
        <v>0</v>
      </c>
      <c r="J78" s="8">
        <v>0.96</v>
      </c>
      <c r="L78" s="5" t="s">
        <v>192</v>
      </c>
      <c r="N78" s="56">
        <v>27</v>
      </c>
      <c r="O78" s="61" t="s">
        <v>226</v>
      </c>
      <c r="P78" s="61" t="s">
        <v>374</v>
      </c>
      <c r="Q78" s="61" t="s">
        <v>375</v>
      </c>
      <c r="R78" s="61" t="s">
        <v>689</v>
      </c>
      <c r="S78" s="218">
        <v>76</v>
      </c>
      <c r="T78" s="61" t="s">
        <v>41</v>
      </c>
      <c r="U78" s="61" t="s">
        <v>43</v>
      </c>
      <c r="V78" s="63" t="s">
        <v>10</v>
      </c>
      <c r="W78" s="51">
        <v>0.13</v>
      </c>
      <c r="X78" s="6" t="s">
        <v>53</v>
      </c>
      <c r="Z78" s="5" t="s">
        <v>52</v>
      </c>
      <c r="AA78" s="112" t="s">
        <v>19</v>
      </c>
    </row>
    <row r="79" spans="1:29" x14ac:dyDescent="0.25">
      <c r="A79" s="329">
        <v>45920</v>
      </c>
      <c r="B79" s="5">
        <v>5</v>
      </c>
      <c r="D79" s="5" t="s">
        <v>226</v>
      </c>
      <c r="E79" s="6">
        <v>1.18</v>
      </c>
      <c r="G79" s="7">
        <v>2</v>
      </c>
      <c r="H79" s="7">
        <v>0</v>
      </c>
      <c r="J79" s="8">
        <v>0.96</v>
      </c>
      <c r="L79" s="5" t="s">
        <v>192</v>
      </c>
      <c r="N79" s="56">
        <v>41</v>
      </c>
      <c r="O79" s="61" t="s">
        <v>226</v>
      </c>
      <c r="P79" s="61" t="s">
        <v>231</v>
      </c>
      <c r="Q79" s="61" t="s">
        <v>232</v>
      </c>
      <c r="R79" s="61" t="s">
        <v>717</v>
      </c>
      <c r="S79" s="218">
        <v>80</v>
      </c>
      <c r="T79" s="61" t="s">
        <v>41</v>
      </c>
      <c r="U79" s="61" t="s">
        <v>42</v>
      </c>
      <c r="V79" s="63" t="s">
        <v>10</v>
      </c>
      <c r="W79" s="51">
        <v>0.03</v>
      </c>
      <c r="X79" s="6" t="s">
        <v>53</v>
      </c>
      <c r="Z79" s="5" t="s">
        <v>22</v>
      </c>
      <c r="AA79" s="112" t="s">
        <v>19</v>
      </c>
    </row>
    <row r="80" spans="1:29" x14ac:dyDescent="0.25">
      <c r="A80" s="329">
        <v>45920</v>
      </c>
      <c r="B80" s="5">
        <v>5</v>
      </c>
      <c r="D80" s="5" t="s">
        <v>226</v>
      </c>
      <c r="E80" s="6">
        <v>1.18</v>
      </c>
      <c r="G80" s="7">
        <v>2</v>
      </c>
      <c r="H80" s="7">
        <v>0</v>
      </c>
      <c r="J80" s="8">
        <v>0.96</v>
      </c>
      <c r="L80" s="5" t="s">
        <v>192</v>
      </c>
      <c r="N80" s="56">
        <v>45</v>
      </c>
      <c r="O80" s="26" t="s">
        <v>192</v>
      </c>
      <c r="P80" s="26" t="s">
        <v>282</v>
      </c>
      <c r="Q80" s="26" t="s">
        <v>283</v>
      </c>
      <c r="R80" s="26" t="s">
        <v>713</v>
      </c>
      <c r="S80" s="213">
        <v>63</v>
      </c>
      <c r="T80" s="26" t="s">
        <v>47</v>
      </c>
      <c r="U80" s="26" t="s">
        <v>43</v>
      </c>
      <c r="V80" s="43" t="s">
        <v>33</v>
      </c>
      <c r="W80" s="51">
        <v>0.56000000000000005</v>
      </c>
      <c r="X80" s="6" t="s">
        <v>53</v>
      </c>
      <c r="Y80" s="6" t="s">
        <v>353</v>
      </c>
      <c r="Z80" s="5" t="s">
        <v>13</v>
      </c>
      <c r="AA80" s="112" t="s">
        <v>19</v>
      </c>
    </row>
    <row r="81" spans="1:29" x14ac:dyDescent="0.25">
      <c r="A81" s="329">
        <v>45920</v>
      </c>
      <c r="B81" s="5">
        <v>5</v>
      </c>
      <c r="D81" s="5" t="s">
        <v>226</v>
      </c>
      <c r="E81" s="6">
        <v>1.18</v>
      </c>
      <c r="G81" s="7">
        <v>2</v>
      </c>
      <c r="H81" s="7">
        <v>0</v>
      </c>
      <c r="J81" s="8">
        <v>0.96</v>
      </c>
      <c r="L81" s="5" t="s">
        <v>192</v>
      </c>
      <c r="N81" s="56" t="s">
        <v>122</v>
      </c>
      <c r="O81" s="61" t="s">
        <v>226</v>
      </c>
      <c r="P81" s="61" t="s">
        <v>231</v>
      </c>
      <c r="Q81" s="61" t="s">
        <v>232</v>
      </c>
      <c r="R81" s="61" t="s">
        <v>717</v>
      </c>
      <c r="S81" s="218">
        <v>80</v>
      </c>
      <c r="T81" s="61" t="s">
        <v>41</v>
      </c>
      <c r="U81" s="61" t="s">
        <v>42</v>
      </c>
      <c r="V81" s="63" t="s">
        <v>18</v>
      </c>
      <c r="W81" s="51">
        <v>0.28000000000000003</v>
      </c>
      <c r="X81" s="6" t="s">
        <v>53</v>
      </c>
      <c r="Y81" s="6" t="s">
        <v>353</v>
      </c>
      <c r="Z81" s="5" t="s">
        <v>22</v>
      </c>
      <c r="AA81" s="112" t="s">
        <v>19</v>
      </c>
    </row>
    <row r="82" spans="1:29" x14ac:dyDescent="0.25">
      <c r="A82" s="329">
        <v>45920</v>
      </c>
      <c r="B82" s="5">
        <v>5</v>
      </c>
      <c r="D82" s="5" t="s">
        <v>226</v>
      </c>
      <c r="E82" s="6">
        <v>1.18</v>
      </c>
      <c r="G82" s="7">
        <v>2</v>
      </c>
      <c r="H82" s="7">
        <v>0</v>
      </c>
      <c r="J82" s="8">
        <v>0.96</v>
      </c>
      <c r="L82" s="5" t="s">
        <v>192</v>
      </c>
      <c r="N82" s="56">
        <v>47</v>
      </c>
      <c r="O82" s="61" t="s">
        <v>226</v>
      </c>
      <c r="P82" s="61" t="s">
        <v>231</v>
      </c>
      <c r="Q82" s="61" t="s">
        <v>232</v>
      </c>
      <c r="R82" s="61" t="s">
        <v>717</v>
      </c>
      <c r="S82" s="218">
        <v>80</v>
      </c>
      <c r="T82" s="61" t="s">
        <v>354</v>
      </c>
      <c r="U82" s="61" t="s">
        <v>42</v>
      </c>
      <c r="V82" s="63" t="s">
        <v>10</v>
      </c>
      <c r="W82" s="51">
        <v>0.02</v>
      </c>
      <c r="X82" s="6">
        <v>0.18</v>
      </c>
      <c r="Z82" s="5" t="s">
        <v>8</v>
      </c>
      <c r="AA82" s="112" t="s">
        <v>24</v>
      </c>
      <c r="AB82" s="108" t="s">
        <v>289</v>
      </c>
      <c r="AC82" s="57" t="s">
        <v>54</v>
      </c>
    </row>
    <row r="83" spans="1:29" x14ac:dyDescent="0.25">
      <c r="A83" s="329">
        <v>45920</v>
      </c>
      <c r="B83" s="5">
        <v>5</v>
      </c>
      <c r="D83" s="5" t="s">
        <v>226</v>
      </c>
      <c r="E83" s="6">
        <v>1.18</v>
      </c>
      <c r="G83" s="7">
        <v>2</v>
      </c>
      <c r="H83" s="7">
        <v>0</v>
      </c>
      <c r="J83" s="8">
        <v>0.96</v>
      </c>
      <c r="L83" s="5" t="s">
        <v>192</v>
      </c>
      <c r="N83" s="56">
        <v>52</v>
      </c>
      <c r="O83" s="61" t="s">
        <v>226</v>
      </c>
      <c r="P83" s="61" t="s">
        <v>231</v>
      </c>
      <c r="Q83" s="61" t="s">
        <v>232</v>
      </c>
      <c r="R83" s="61" t="s">
        <v>717</v>
      </c>
      <c r="S83" s="218">
        <v>80</v>
      </c>
      <c r="T83" s="61" t="s">
        <v>47</v>
      </c>
      <c r="U83" s="61" t="s">
        <v>42</v>
      </c>
      <c r="V83" s="63" t="s">
        <v>10</v>
      </c>
      <c r="W83" s="51">
        <v>0.11</v>
      </c>
      <c r="X83" s="6" t="s">
        <v>53</v>
      </c>
      <c r="Z83" s="5" t="s">
        <v>55</v>
      </c>
      <c r="AA83" s="112" t="s">
        <v>24</v>
      </c>
    </row>
    <row r="84" spans="1:29" x14ac:dyDescent="0.25">
      <c r="A84" s="329">
        <v>45920</v>
      </c>
      <c r="B84" s="5">
        <v>5</v>
      </c>
      <c r="D84" s="5" t="s">
        <v>226</v>
      </c>
      <c r="E84" s="6">
        <v>1.18</v>
      </c>
      <c r="G84" s="7">
        <v>2</v>
      </c>
      <c r="H84" s="7">
        <v>0</v>
      </c>
      <c r="J84" s="8">
        <v>0.96</v>
      </c>
      <c r="L84" s="5" t="s">
        <v>192</v>
      </c>
      <c r="N84" s="56">
        <v>66</v>
      </c>
      <c r="O84" s="61" t="s">
        <v>226</v>
      </c>
      <c r="P84" s="61" t="s">
        <v>231</v>
      </c>
      <c r="Q84" s="61" t="s">
        <v>232</v>
      </c>
      <c r="R84" s="61" t="s">
        <v>717</v>
      </c>
      <c r="S84" s="218">
        <v>80</v>
      </c>
      <c r="T84" s="61" t="s">
        <v>47</v>
      </c>
      <c r="U84" s="61" t="s">
        <v>42</v>
      </c>
      <c r="V84" s="63" t="s">
        <v>540</v>
      </c>
      <c r="W84" s="51">
        <v>0.18</v>
      </c>
      <c r="X84" s="6">
        <v>0.5</v>
      </c>
      <c r="Y84" s="6" t="s">
        <v>353</v>
      </c>
      <c r="Z84" s="5" t="s">
        <v>48</v>
      </c>
      <c r="AA84" s="112" t="s">
        <v>24</v>
      </c>
    </row>
    <row r="85" spans="1:29" x14ac:dyDescent="0.25">
      <c r="A85" s="329">
        <v>45920</v>
      </c>
      <c r="B85" s="5">
        <v>5</v>
      </c>
      <c r="D85" s="5" t="s">
        <v>226</v>
      </c>
      <c r="E85" s="6">
        <v>1.18</v>
      </c>
      <c r="G85" s="7">
        <v>2</v>
      </c>
      <c r="H85" s="7">
        <v>0</v>
      </c>
      <c r="J85" s="8">
        <v>0.96</v>
      </c>
      <c r="L85" s="5" t="s">
        <v>192</v>
      </c>
      <c r="N85" s="56">
        <v>66</v>
      </c>
      <c r="O85" s="61" t="s">
        <v>226</v>
      </c>
      <c r="P85" s="61" t="s">
        <v>289</v>
      </c>
      <c r="Q85" s="61" t="s">
        <v>54</v>
      </c>
      <c r="R85" s="61" t="s">
        <v>685</v>
      </c>
      <c r="S85" s="218">
        <v>74</v>
      </c>
      <c r="T85" s="61" t="s">
        <v>47</v>
      </c>
      <c r="U85" s="61" t="s">
        <v>43</v>
      </c>
      <c r="V85" s="63" t="s">
        <v>540</v>
      </c>
      <c r="W85" s="51">
        <v>0.16</v>
      </c>
      <c r="X85" s="6" t="s">
        <v>53</v>
      </c>
      <c r="Y85" s="6" t="s">
        <v>353</v>
      </c>
      <c r="Z85" s="5" t="s">
        <v>17</v>
      </c>
      <c r="AA85" s="112" t="s">
        <v>24</v>
      </c>
    </row>
    <row r="86" spans="1:29" x14ac:dyDescent="0.25">
      <c r="A86" s="329">
        <v>45920</v>
      </c>
      <c r="B86" s="5">
        <v>5</v>
      </c>
      <c r="D86" s="5" t="s">
        <v>226</v>
      </c>
      <c r="E86" s="6">
        <v>1.18</v>
      </c>
      <c r="G86" s="7">
        <v>2</v>
      </c>
      <c r="H86" s="7">
        <v>0</v>
      </c>
      <c r="J86" s="8">
        <v>0.96</v>
      </c>
      <c r="L86" s="5" t="s">
        <v>192</v>
      </c>
      <c r="N86" s="56">
        <v>72</v>
      </c>
      <c r="O86" s="61" t="s">
        <v>226</v>
      </c>
      <c r="P86" s="61" t="s">
        <v>289</v>
      </c>
      <c r="Q86" s="61" t="s">
        <v>54</v>
      </c>
      <c r="R86" s="61" t="s">
        <v>685</v>
      </c>
      <c r="S86" s="218">
        <v>74</v>
      </c>
      <c r="T86" s="61" t="s">
        <v>354</v>
      </c>
      <c r="U86" s="61" t="s">
        <v>42</v>
      </c>
      <c r="V86" s="63" t="s">
        <v>540</v>
      </c>
      <c r="W86" s="51">
        <v>0.03</v>
      </c>
      <c r="X86" s="6">
        <v>0.24</v>
      </c>
      <c r="Z86" s="5" t="s">
        <v>48</v>
      </c>
      <c r="AA86" s="112" t="s">
        <v>24</v>
      </c>
    </row>
    <row r="87" spans="1:29" ht="15.75" thickBot="1" x14ac:dyDescent="0.3">
      <c r="A87" s="330">
        <v>45920</v>
      </c>
      <c r="B87" s="9">
        <v>5</v>
      </c>
      <c r="C87" s="122"/>
      <c r="D87" s="9" t="s">
        <v>226</v>
      </c>
      <c r="E87" s="10">
        <v>1.18</v>
      </c>
      <c r="F87" s="10"/>
      <c r="G87" s="11">
        <v>2</v>
      </c>
      <c r="H87" s="11">
        <v>0</v>
      </c>
      <c r="I87" s="11"/>
      <c r="J87" s="12">
        <v>0.96</v>
      </c>
      <c r="K87" s="122"/>
      <c r="L87" s="9" t="s">
        <v>192</v>
      </c>
      <c r="M87" s="45"/>
      <c r="N87" s="97" t="s">
        <v>415</v>
      </c>
      <c r="O87" s="74" t="s">
        <v>192</v>
      </c>
      <c r="P87" s="74" t="s">
        <v>194</v>
      </c>
      <c r="Q87" s="74" t="s">
        <v>195</v>
      </c>
      <c r="R87" s="74" t="s">
        <v>712</v>
      </c>
      <c r="S87" s="221">
        <v>61</v>
      </c>
      <c r="T87" s="74" t="s">
        <v>41</v>
      </c>
      <c r="U87" s="74" t="s">
        <v>45</v>
      </c>
      <c r="V87" s="76" t="s">
        <v>20</v>
      </c>
      <c r="W87" s="52">
        <v>0.1</v>
      </c>
      <c r="X87" s="10" t="s">
        <v>53</v>
      </c>
      <c r="Y87" s="10"/>
      <c r="Z87" s="9" t="s">
        <v>13</v>
      </c>
      <c r="AA87" s="113" t="s">
        <v>24</v>
      </c>
      <c r="AB87" s="109"/>
      <c r="AC87" s="58"/>
    </row>
    <row r="88" spans="1:29" ht="15.75" thickBot="1" x14ac:dyDescent="0.3">
      <c r="A88" s="326">
        <v>45920</v>
      </c>
      <c r="B88" s="207">
        <v>5</v>
      </c>
      <c r="C88" s="208"/>
      <c r="D88" s="207" t="s">
        <v>226</v>
      </c>
      <c r="E88" s="209">
        <v>1.18</v>
      </c>
      <c r="F88" s="209"/>
      <c r="G88" s="210">
        <v>2</v>
      </c>
      <c r="H88" s="210">
        <v>0</v>
      </c>
      <c r="I88" s="210"/>
      <c r="J88" s="211">
        <v>0.96</v>
      </c>
      <c r="K88" s="208"/>
      <c r="L88" s="207" t="s">
        <v>192</v>
      </c>
      <c r="M88" s="235"/>
      <c r="N88" s="198"/>
      <c r="O88" s="199" t="s">
        <v>226</v>
      </c>
      <c r="P88" s="199" t="s">
        <v>726</v>
      </c>
      <c r="Q88" s="199" t="s">
        <v>727</v>
      </c>
      <c r="R88" s="199" t="s">
        <v>707</v>
      </c>
      <c r="S88" s="200">
        <v>70</v>
      </c>
      <c r="T88" s="199"/>
      <c r="U88" s="199"/>
      <c r="V88" s="201"/>
      <c r="W88" s="202"/>
      <c r="X88" s="203"/>
      <c r="Y88" s="203">
        <v>0</v>
      </c>
      <c r="Z88" s="199"/>
      <c r="AA88" s="204"/>
      <c r="AB88" s="205"/>
      <c r="AC88" s="201"/>
    </row>
    <row r="89" spans="1:29" ht="15.75" thickBot="1" x14ac:dyDescent="0.3">
      <c r="A89" s="326">
        <v>45920</v>
      </c>
      <c r="B89" s="207">
        <v>5</v>
      </c>
      <c r="C89" s="208"/>
      <c r="D89" s="207" t="s">
        <v>226</v>
      </c>
      <c r="E89" s="209">
        <v>1.18</v>
      </c>
      <c r="F89" s="209"/>
      <c r="G89" s="210">
        <v>2</v>
      </c>
      <c r="H89" s="210">
        <v>0</v>
      </c>
      <c r="I89" s="210"/>
      <c r="J89" s="211">
        <v>0.96</v>
      </c>
      <c r="K89" s="208"/>
      <c r="L89" s="207" t="s">
        <v>192</v>
      </c>
      <c r="M89" s="235"/>
      <c r="N89" s="198"/>
      <c r="O89" s="199" t="s">
        <v>192</v>
      </c>
      <c r="P89" s="199" t="s">
        <v>723</v>
      </c>
      <c r="Q89" s="199" t="s">
        <v>724</v>
      </c>
      <c r="R89" s="199" t="s">
        <v>707</v>
      </c>
      <c r="S89" s="200">
        <v>72</v>
      </c>
      <c r="T89" s="199"/>
      <c r="U89" s="199"/>
      <c r="V89" s="201"/>
      <c r="W89" s="202"/>
      <c r="X89" s="203"/>
      <c r="Y89" s="203">
        <v>2</v>
      </c>
      <c r="Z89" s="199"/>
      <c r="AA89" s="204"/>
      <c r="AB89" s="205"/>
      <c r="AC89" s="201"/>
    </row>
    <row r="90" spans="1:29" x14ac:dyDescent="0.25">
      <c r="A90" s="331">
        <v>45926</v>
      </c>
      <c r="B90" s="13">
        <v>7</v>
      </c>
      <c r="C90" s="124" t="s">
        <v>706</v>
      </c>
      <c r="D90" s="13" t="s">
        <v>69</v>
      </c>
      <c r="E90" s="14">
        <v>1.0900000000000001</v>
      </c>
      <c r="F90" s="14"/>
      <c r="G90" s="15">
        <v>0</v>
      </c>
      <c r="H90" s="15">
        <v>0</v>
      </c>
      <c r="I90" s="15"/>
      <c r="J90" s="16">
        <v>1.17</v>
      </c>
      <c r="K90" s="124" t="s">
        <v>694</v>
      </c>
      <c r="L90" s="13" t="s">
        <v>192</v>
      </c>
      <c r="M90" s="47"/>
      <c r="N90" s="98">
        <v>7</v>
      </c>
      <c r="O90" s="79" t="s">
        <v>192</v>
      </c>
      <c r="P90" s="79" t="s">
        <v>198</v>
      </c>
      <c r="Q90" s="79" t="s">
        <v>199</v>
      </c>
      <c r="R90" s="79" t="s">
        <v>685</v>
      </c>
      <c r="S90" s="224">
        <v>69</v>
      </c>
      <c r="T90" s="79" t="s">
        <v>41</v>
      </c>
      <c r="U90" s="79" t="s">
        <v>45</v>
      </c>
      <c r="V90" s="80" t="s">
        <v>10</v>
      </c>
      <c r="W90" s="54">
        <v>0.13</v>
      </c>
      <c r="X90" s="14" t="s">
        <v>53</v>
      </c>
      <c r="Y90" s="14"/>
      <c r="Z90" s="13" t="s">
        <v>13</v>
      </c>
      <c r="AA90" s="115" t="s">
        <v>28</v>
      </c>
      <c r="AB90" s="110"/>
      <c r="AC90" s="60"/>
    </row>
    <row r="91" spans="1:29" x14ac:dyDescent="0.25">
      <c r="A91" s="329">
        <v>45926</v>
      </c>
      <c r="B91" s="5">
        <v>7</v>
      </c>
      <c r="D91" s="5" t="s">
        <v>69</v>
      </c>
      <c r="E91" s="6">
        <v>1.0900000000000001</v>
      </c>
      <c r="G91" s="7">
        <v>0</v>
      </c>
      <c r="H91" s="7">
        <v>0</v>
      </c>
      <c r="J91" s="8">
        <v>1.17</v>
      </c>
      <c r="L91" s="5" t="s">
        <v>192</v>
      </c>
      <c r="N91" s="56">
        <v>12</v>
      </c>
      <c r="O91" s="61" t="s">
        <v>69</v>
      </c>
      <c r="P91" s="61" t="s">
        <v>59</v>
      </c>
      <c r="Q91" s="61" t="s">
        <v>365</v>
      </c>
      <c r="R91" s="61" t="s">
        <v>695</v>
      </c>
      <c r="S91" s="218">
        <v>71</v>
      </c>
      <c r="T91" s="61" t="s">
        <v>354</v>
      </c>
      <c r="U91" s="61" t="s">
        <v>43</v>
      </c>
      <c r="V91" s="63" t="s">
        <v>540</v>
      </c>
      <c r="W91" s="51">
        <v>0.03</v>
      </c>
      <c r="X91" s="6">
        <v>0.11</v>
      </c>
      <c r="Z91" s="5" t="s">
        <v>48</v>
      </c>
      <c r="AA91" s="112" t="s">
        <v>28</v>
      </c>
    </row>
    <row r="92" spans="1:29" x14ac:dyDescent="0.25">
      <c r="A92" s="329">
        <v>45926</v>
      </c>
      <c r="B92" s="5">
        <v>7</v>
      </c>
      <c r="D92" s="5" t="s">
        <v>69</v>
      </c>
      <c r="E92" s="6">
        <v>1.0900000000000001</v>
      </c>
      <c r="G92" s="7">
        <v>0</v>
      </c>
      <c r="H92" s="7">
        <v>0</v>
      </c>
      <c r="J92" s="8">
        <v>1.17</v>
      </c>
      <c r="L92" s="5" t="s">
        <v>192</v>
      </c>
      <c r="N92" s="56">
        <v>13</v>
      </c>
      <c r="O92" s="26" t="s">
        <v>192</v>
      </c>
      <c r="P92" s="26" t="s">
        <v>410</v>
      </c>
      <c r="Q92" s="26" t="s">
        <v>361</v>
      </c>
      <c r="R92" s="26" t="s">
        <v>717</v>
      </c>
      <c r="S92" s="213">
        <v>65</v>
      </c>
      <c r="T92" s="26" t="s">
        <v>41</v>
      </c>
      <c r="U92" s="26" t="s">
        <v>42</v>
      </c>
      <c r="V92" s="43" t="s">
        <v>18</v>
      </c>
      <c r="W92" s="51">
        <v>0.19</v>
      </c>
      <c r="X92" s="6">
        <v>0.85</v>
      </c>
      <c r="Z92" s="5" t="s">
        <v>48</v>
      </c>
      <c r="AA92" s="112" t="s">
        <v>28</v>
      </c>
    </row>
    <row r="93" spans="1:29" x14ac:dyDescent="0.25">
      <c r="A93" s="329">
        <v>45926</v>
      </c>
      <c r="B93" s="5">
        <v>7</v>
      </c>
      <c r="D93" s="5" t="s">
        <v>69</v>
      </c>
      <c r="E93" s="6">
        <v>1.0900000000000001</v>
      </c>
      <c r="G93" s="7">
        <v>0</v>
      </c>
      <c r="H93" s="7">
        <v>0</v>
      </c>
      <c r="J93" s="8">
        <v>1.17</v>
      </c>
      <c r="L93" s="5" t="s">
        <v>192</v>
      </c>
      <c r="N93" s="56">
        <v>28</v>
      </c>
      <c r="O93" s="26" t="s">
        <v>192</v>
      </c>
      <c r="P93" s="26" t="s">
        <v>280</v>
      </c>
      <c r="Q93" s="26" t="s">
        <v>281</v>
      </c>
      <c r="R93" s="26" t="s">
        <v>686</v>
      </c>
      <c r="S93" s="213">
        <v>72</v>
      </c>
      <c r="T93" s="26" t="s">
        <v>41</v>
      </c>
      <c r="U93" s="26" t="s">
        <v>42</v>
      </c>
      <c r="V93" s="43" t="s">
        <v>10</v>
      </c>
      <c r="W93" s="51">
        <v>0.13</v>
      </c>
      <c r="X93" s="6">
        <v>0.48</v>
      </c>
      <c r="Z93" s="5" t="s">
        <v>48</v>
      </c>
      <c r="AA93" s="112" t="s">
        <v>28</v>
      </c>
    </row>
    <row r="94" spans="1:29" x14ac:dyDescent="0.25">
      <c r="A94" s="329">
        <v>45926</v>
      </c>
      <c r="B94" s="5">
        <v>7</v>
      </c>
      <c r="D94" s="5" t="s">
        <v>69</v>
      </c>
      <c r="E94" s="6">
        <v>1.0900000000000001</v>
      </c>
      <c r="G94" s="7">
        <v>0</v>
      </c>
      <c r="H94" s="7">
        <v>0</v>
      </c>
      <c r="J94" s="8">
        <v>1.17</v>
      </c>
      <c r="L94" s="5" t="s">
        <v>192</v>
      </c>
      <c r="N94" s="56">
        <v>33</v>
      </c>
      <c r="O94" s="61" t="s">
        <v>69</v>
      </c>
      <c r="P94" s="61" t="s">
        <v>502</v>
      </c>
      <c r="Q94" s="61" t="s">
        <v>503</v>
      </c>
      <c r="R94" s="61" t="s">
        <v>695</v>
      </c>
      <c r="S94" s="218">
        <v>71</v>
      </c>
      <c r="T94" s="61" t="s">
        <v>41</v>
      </c>
      <c r="U94" s="61" t="s">
        <v>45</v>
      </c>
      <c r="V94" s="63" t="s">
        <v>10</v>
      </c>
      <c r="W94" s="51">
        <v>0.16</v>
      </c>
      <c r="X94" s="6" t="s">
        <v>53</v>
      </c>
      <c r="Z94" s="5" t="s">
        <v>52</v>
      </c>
      <c r="AA94" s="112" t="s">
        <v>28</v>
      </c>
    </row>
    <row r="95" spans="1:29" x14ac:dyDescent="0.25">
      <c r="A95" s="329">
        <v>45926</v>
      </c>
      <c r="B95" s="5">
        <v>7</v>
      </c>
      <c r="D95" s="5" t="s">
        <v>69</v>
      </c>
      <c r="E95" s="6">
        <v>1.0900000000000001</v>
      </c>
      <c r="G95" s="7">
        <v>0</v>
      </c>
      <c r="H95" s="7">
        <v>0</v>
      </c>
      <c r="J95" s="8">
        <v>1.17</v>
      </c>
      <c r="L95" s="5" t="s">
        <v>192</v>
      </c>
      <c r="N95" s="56">
        <v>41</v>
      </c>
      <c r="O95" s="26" t="s">
        <v>192</v>
      </c>
      <c r="P95" s="26" t="s">
        <v>198</v>
      </c>
      <c r="Q95" s="26" t="s">
        <v>199</v>
      </c>
      <c r="R95" s="26" t="s">
        <v>685</v>
      </c>
      <c r="S95" s="213">
        <v>69</v>
      </c>
      <c r="T95" s="26" t="s">
        <v>354</v>
      </c>
      <c r="U95" s="26" t="s">
        <v>43</v>
      </c>
      <c r="V95" s="43" t="s">
        <v>15</v>
      </c>
      <c r="W95" s="51">
        <v>0.05</v>
      </c>
      <c r="X95" s="6" t="s">
        <v>53</v>
      </c>
      <c r="Z95" s="5" t="s">
        <v>16</v>
      </c>
      <c r="AA95" s="112" t="s">
        <v>28</v>
      </c>
    </row>
    <row r="96" spans="1:29" x14ac:dyDescent="0.25">
      <c r="A96" s="329">
        <v>45926</v>
      </c>
      <c r="B96" s="5">
        <v>7</v>
      </c>
      <c r="D96" s="5" t="s">
        <v>69</v>
      </c>
      <c r="E96" s="6">
        <v>1.0900000000000001</v>
      </c>
      <c r="G96" s="7">
        <v>0</v>
      </c>
      <c r="H96" s="7">
        <v>0</v>
      </c>
      <c r="J96" s="8">
        <v>1.17</v>
      </c>
      <c r="L96" s="5" t="s">
        <v>192</v>
      </c>
      <c r="N96" s="56">
        <v>51</v>
      </c>
      <c r="O96" s="61" t="s">
        <v>69</v>
      </c>
      <c r="P96" s="61" t="s">
        <v>480</v>
      </c>
      <c r="Q96" s="61" t="s">
        <v>481</v>
      </c>
      <c r="R96" s="61" t="s">
        <v>695</v>
      </c>
      <c r="S96" s="218">
        <v>72</v>
      </c>
      <c r="T96" s="61" t="s">
        <v>44</v>
      </c>
      <c r="U96" s="61" t="s">
        <v>42</v>
      </c>
      <c r="V96" s="63" t="s">
        <v>10</v>
      </c>
      <c r="W96" s="51">
        <v>0.05</v>
      </c>
      <c r="X96" s="6">
        <v>0.11</v>
      </c>
      <c r="Z96" s="5" t="s">
        <v>48</v>
      </c>
      <c r="AA96" s="112" t="s">
        <v>28</v>
      </c>
    </row>
    <row r="97" spans="1:29" x14ac:dyDescent="0.25">
      <c r="A97" s="329">
        <v>45926</v>
      </c>
      <c r="B97" s="5">
        <v>7</v>
      </c>
      <c r="D97" s="5" t="s">
        <v>69</v>
      </c>
      <c r="E97" s="6">
        <v>1.0900000000000001</v>
      </c>
      <c r="G97" s="7">
        <v>0</v>
      </c>
      <c r="H97" s="7">
        <v>0</v>
      </c>
      <c r="J97" s="8">
        <v>1.17</v>
      </c>
      <c r="L97" s="5" t="s">
        <v>192</v>
      </c>
      <c r="N97" s="56">
        <v>52</v>
      </c>
      <c r="O97" s="61" t="s">
        <v>69</v>
      </c>
      <c r="P97" s="61" t="s">
        <v>389</v>
      </c>
      <c r="Q97" s="61" t="s">
        <v>390</v>
      </c>
      <c r="R97" s="61" t="s">
        <v>717</v>
      </c>
      <c r="S97" s="218">
        <v>68</v>
      </c>
      <c r="T97" s="61" t="s">
        <v>41</v>
      </c>
      <c r="U97" s="61" t="s">
        <v>43</v>
      </c>
      <c r="V97" s="63" t="s">
        <v>18</v>
      </c>
      <c r="W97" s="51">
        <v>0.55000000000000004</v>
      </c>
      <c r="X97" s="6">
        <v>0.68</v>
      </c>
      <c r="Y97" s="6" t="s">
        <v>353</v>
      </c>
      <c r="Z97" s="5" t="s">
        <v>48</v>
      </c>
      <c r="AA97" s="112" t="s">
        <v>28</v>
      </c>
    </row>
    <row r="98" spans="1:29" x14ac:dyDescent="0.25">
      <c r="A98" s="329">
        <v>45926</v>
      </c>
      <c r="B98" s="5">
        <v>7</v>
      </c>
      <c r="D98" s="5" t="s">
        <v>69</v>
      </c>
      <c r="E98" s="6">
        <v>1.0900000000000001</v>
      </c>
      <c r="G98" s="7">
        <v>0</v>
      </c>
      <c r="H98" s="7">
        <v>0</v>
      </c>
      <c r="J98" s="8">
        <v>1.17</v>
      </c>
      <c r="L98" s="5" t="s">
        <v>192</v>
      </c>
      <c r="N98" s="56">
        <v>62</v>
      </c>
      <c r="O98" s="26" t="s">
        <v>192</v>
      </c>
      <c r="P98" s="26" t="s">
        <v>278</v>
      </c>
      <c r="Q98" s="26" t="s">
        <v>279</v>
      </c>
      <c r="R98" s="26" t="s">
        <v>718</v>
      </c>
      <c r="S98" s="213">
        <v>66</v>
      </c>
      <c r="T98" s="26" t="s">
        <v>41</v>
      </c>
      <c r="U98" s="26" t="s">
        <v>43</v>
      </c>
      <c r="V98" s="43" t="s">
        <v>10</v>
      </c>
      <c r="W98" s="51">
        <v>0.06</v>
      </c>
      <c r="X98" s="6">
        <v>0.34</v>
      </c>
      <c r="Z98" s="5" t="s">
        <v>48</v>
      </c>
      <c r="AA98" s="112" t="s">
        <v>28</v>
      </c>
    </row>
    <row r="99" spans="1:29" x14ac:dyDescent="0.25">
      <c r="A99" s="329">
        <v>45926</v>
      </c>
      <c r="B99" s="5">
        <v>7</v>
      </c>
      <c r="D99" s="5" t="s">
        <v>69</v>
      </c>
      <c r="E99" s="6">
        <v>1.0900000000000001</v>
      </c>
      <c r="G99" s="7">
        <v>0</v>
      </c>
      <c r="H99" s="7">
        <v>0</v>
      </c>
      <c r="J99" s="8">
        <v>1.17</v>
      </c>
      <c r="L99" s="5" t="s">
        <v>192</v>
      </c>
      <c r="N99" s="56">
        <v>59</v>
      </c>
      <c r="O99" s="61" t="s">
        <v>69</v>
      </c>
      <c r="P99" s="61" t="s">
        <v>176</v>
      </c>
      <c r="Q99" s="61" t="s">
        <v>99</v>
      </c>
      <c r="R99" s="61" t="s">
        <v>688</v>
      </c>
      <c r="S99" s="218">
        <v>70</v>
      </c>
      <c r="T99" s="61" t="s">
        <v>354</v>
      </c>
      <c r="U99" s="61" t="s">
        <v>43</v>
      </c>
      <c r="V99" s="63" t="s">
        <v>20</v>
      </c>
      <c r="W99" s="51">
        <v>0.01</v>
      </c>
      <c r="X99" s="6" t="s">
        <v>53</v>
      </c>
      <c r="Z99" s="5" t="s">
        <v>16</v>
      </c>
      <c r="AA99" s="112" t="s">
        <v>28</v>
      </c>
    </row>
    <row r="100" spans="1:29" ht="15.75" thickBot="1" x14ac:dyDescent="0.3">
      <c r="A100" s="330">
        <v>45926</v>
      </c>
      <c r="B100" s="9">
        <v>7</v>
      </c>
      <c r="C100" s="122"/>
      <c r="D100" s="9" t="s">
        <v>69</v>
      </c>
      <c r="E100" s="10">
        <v>1.0900000000000001</v>
      </c>
      <c r="F100" s="10"/>
      <c r="G100" s="11">
        <v>0</v>
      </c>
      <c r="H100" s="11">
        <v>0</v>
      </c>
      <c r="I100" s="11"/>
      <c r="J100" s="12">
        <v>1.17</v>
      </c>
      <c r="K100" s="122"/>
      <c r="L100" s="9" t="s">
        <v>192</v>
      </c>
      <c r="M100" s="45"/>
      <c r="N100" s="97">
        <v>73</v>
      </c>
      <c r="O100" s="74" t="s">
        <v>192</v>
      </c>
      <c r="P100" s="74" t="s">
        <v>46</v>
      </c>
      <c r="Q100" s="74" t="s">
        <v>191</v>
      </c>
      <c r="R100" s="74" t="s">
        <v>688</v>
      </c>
      <c r="S100" s="221">
        <v>76</v>
      </c>
      <c r="T100" s="74" t="s">
        <v>44</v>
      </c>
      <c r="U100" s="74" t="s">
        <v>43</v>
      </c>
      <c r="V100" s="76" t="s">
        <v>540</v>
      </c>
      <c r="W100" s="52">
        <v>0.05</v>
      </c>
      <c r="X100" s="10" t="s">
        <v>53</v>
      </c>
      <c r="Y100" s="10"/>
      <c r="Z100" s="9" t="s">
        <v>22</v>
      </c>
      <c r="AA100" s="113" t="s">
        <v>28</v>
      </c>
      <c r="AB100" s="109"/>
      <c r="AC100" s="58"/>
    </row>
    <row r="101" spans="1:29" ht="15.75" thickBot="1" x14ac:dyDescent="0.3">
      <c r="A101" s="326">
        <v>45926</v>
      </c>
      <c r="B101" s="207">
        <v>7</v>
      </c>
      <c r="C101" s="208"/>
      <c r="D101" s="207" t="s">
        <v>69</v>
      </c>
      <c r="E101" s="209">
        <v>1.0900000000000001</v>
      </c>
      <c r="F101" s="209"/>
      <c r="G101" s="210">
        <v>0</v>
      </c>
      <c r="H101" s="210">
        <v>0</v>
      </c>
      <c r="I101" s="210"/>
      <c r="J101" s="211">
        <v>1.17</v>
      </c>
      <c r="K101" s="208"/>
      <c r="L101" s="207" t="s">
        <v>192</v>
      </c>
      <c r="M101" s="235"/>
      <c r="N101" s="198"/>
      <c r="O101" s="199" t="s">
        <v>69</v>
      </c>
      <c r="P101" s="199" t="s">
        <v>478</v>
      </c>
      <c r="Q101" s="199" t="s">
        <v>479</v>
      </c>
      <c r="R101" s="199" t="s">
        <v>707</v>
      </c>
      <c r="S101" s="200">
        <v>80</v>
      </c>
      <c r="T101" s="199"/>
      <c r="U101" s="199"/>
      <c r="V101" s="201"/>
      <c r="W101" s="202"/>
      <c r="X101" s="203"/>
      <c r="Y101" s="203">
        <v>0</v>
      </c>
      <c r="Z101" s="199"/>
      <c r="AA101" s="204"/>
      <c r="AB101" s="205"/>
      <c r="AC101" s="201"/>
    </row>
    <row r="102" spans="1:29" ht="15.75" thickBot="1" x14ac:dyDescent="0.3">
      <c r="A102" s="326">
        <v>45926</v>
      </c>
      <c r="B102" s="207">
        <v>7</v>
      </c>
      <c r="C102" s="208"/>
      <c r="D102" s="207" t="s">
        <v>69</v>
      </c>
      <c r="E102" s="209">
        <v>1.0900000000000001</v>
      </c>
      <c r="F102" s="209"/>
      <c r="G102" s="210">
        <v>0</v>
      </c>
      <c r="H102" s="210">
        <v>0</v>
      </c>
      <c r="I102" s="210"/>
      <c r="J102" s="211">
        <v>1.17</v>
      </c>
      <c r="K102" s="208"/>
      <c r="L102" s="207" t="s">
        <v>192</v>
      </c>
      <c r="M102" s="235"/>
      <c r="N102" s="198"/>
      <c r="O102" s="199" t="s">
        <v>192</v>
      </c>
      <c r="P102" s="199" t="s">
        <v>723</v>
      </c>
      <c r="Q102" s="199" t="s">
        <v>724</v>
      </c>
      <c r="R102" s="199" t="s">
        <v>707</v>
      </c>
      <c r="S102" s="200">
        <v>82</v>
      </c>
      <c r="T102" s="199"/>
      <c r="U102" s="199"/>
      <c r="V102" s="201"/>
      <c r="W102" s="202"/>
      <c r="X102" s="203"/>
      <c r="Y102" s="203">
        <v>0</v>
      </c>
      <c r="Z102" s="199"/>
      <c r="AA102" s="204"/>
      <c r="AB102" s="205"/>
      <c r="AC102" s="201"/>
    </row>
    <row r="103" spans="1:29" x14ac:dyDescent="0.25">
      <c r="A103" s="323">
        <v>45894</v>
      </c>
      <c r="B103" s="136">
        <v>2</v>
      </c>
      <c r="C103" s="137" t="s">
        <v>693</v>
      </c>
      <c r="D103" s="136" t="s">
        <v>171</v>
      </c>
      <c r="E103" s="138">
        <v>0.51</v>
      </c>
      <c r="F103" s="138"/>
      <c r="G103" s="139">
        <v>1</v>
      </c>
      <c r="H103" s="139">
        <v>2</v>
      </c>
      <c r="I103" s="139"/>
      <c r="J103" s="140">
        <v>0.71</v>
      </c>
      <c r="K103" s="137" t="s">
        <v>701</v>
      </c>
      <c r="L103" s="136" t="s">
        <v>161</v>
      </c>
      <c r="M103" s="141"/>
      <c r="N103" s="142">
        <v>10</v>
      </c>
      <c r="O103" s="64" t="s">
        <v>171</v>
      </c>
      <c r="P103" s="64" t="s">
        <v>300</v>
      </c>
      <c r="Q103" s="64" t="s">
        <v>21</v>
      </c>
      <c r="R103" s="64" t="s">
        <v>689</v>
      </c>
      <c r="S103" s="217">
        <v>71</v>
      </c>
      <c r="T103" s="64" t="s">
        <v>41</v>
      </c>
      <c r="U103" s="64" t="s">
        <v>43</v>
      </c>
      <c r="V103" s="65" t="s">
        <v>10</v>
      </c>
      <c r="W103" s="167">
        <v>0.03</v>
      </c>
      <c r="X103" s="138" t="s">
        <v>53</v>
      </c>
      <c r="Y103" s="138"/>
      <c r="Z103" s="136" t="s">
        <v>16</v>
      </c>
      <c r="AA103" s="168" t="s">
        <v>28</v>
      </c>
      <c r="AB103" s="169"/>
      <c r="AC103" s="170"/>
    </row>
    <row r="104" spans="1:29" x14ac:dyDescent="0.25">
      <c r="A104" s="324">
        <v>45894</v>
      </c>
      <c r="B104" s="144">
        <v>2</v>
      </c>
      <c r="C104" s="145"/>
      <c r="D104" s="144" t="s">
        <v>171</v>
      </c>
      <c r="E104" s="146">
        <v>0.51</v>
      </c>
      <c r="F104" s="146"/>
      <c r="G104" s="147">
        <v>1</v>
      </c>
      <c r="H104" s="147">
        <v>2</v>
      </c>
      <c r="I104" s="147"/>
      <c r="J104" s="148">
        <v>0.71</v>
      </c>
      <c r="K104" s="145"/>
      <c r="L104" s="144" t="s">
        <v>161</v>
      </c>
      <c r="M104" s="149"/>
      <c r="N104" s="150">
        <v>15</v>
      </c>
      <c r="O104" s="26" t="s">
        <v>161</v>
      </c>
      <c r="P104" s="26" t="s">
        <v>168</v>
      </c>
      <c r="Q104" s="26" t="s">
        <v>169</v>
      </c>
      <c r="R104" s="26" t="s">
        <v>717</v>
      </c>
      <c r="S104" s="213">
        <v>87</v>
      </c>
      <c r="T104" s="26" t="s">
        <v>354</v>
      </c>
      <c r="U104" s="26" t="s">
        <v>42</v>
      </c>
      <c r="V104" s="43" t="s">
        <v>20</v>
      </c>
      <c r="W104" s="171">
        <v>0.03</v>
      </c>
      <c r="X104" s="146">
        <v>0.13</v>
      </c>
      <c r="Y104" s="146"/>
      <c r="Z104" s="144" t="s">
        <v>8</v>
      </c>
      <c r="AA104" s="172" t="s">
        <v>9</v>
      </c>
      <c r="AB104" s="173" t="s">
        <v>315</v>
      </c>
      <c r="AC104" s="174" t="s">
        <v>199</v>
      </c>
    </row>
    <row r="105" spans="1:29" x14ac:dyDescent="0.25">
      <c r="A105" s="324">
        <v>45894</v>
      </c>
      <c r="B105" s="144">
        <v>2</v>
      </c>
      <c r="C105" s="145"/>
      <c r="D105" s="144" t="s">
        <v>171</v>
      </c>
      <c r="E105" s="146">
        <v>0.51</v>
      </c>
      <c r="F105" s="146"/>
      <c r="G105" s="147">
        <v>1</v>
      </c>
      <c r="H105" s="147">
        <v>2</v>
      </c>
      <c r="I105" s="147"/>
      <c r="J105" s="148">
        <v>0.71</v>
      </c>
      <c r="K105" s="145"/>
      <c r="L105" s="144" t="s">
        <v>161</v>
      </c>
      <c r="M105" s="149"/>
      <c r="N105" s="150">
        <v>30</v>
      </c>
      <c r="O105" s="26" t="s">
        <v>161</v>
      </c>
      <c r="P105" s="26" t="s">
        <v>65</v>
      </c>
      <c r="Q105" s="26" t="s">
        <v>301</v>
      </c>
      <c r="R105" s="26" t="s">
        <v>689</v>
      </c>
      <c r="S105" s="213">
        <v>60</v>
      </c>
      <c r="T105" s="26" t="s">
        <v>41</v>
      </c>
      <c r="U105" s="26" t="s">
        <v>43</v>
      </c>
      <c r="V105" s="43" t="s">
        <v>10</v>
      </c>
      <c r="W105" s="171">
        <v>0.05</v>
      </c>
      <c r="X105" s="146">
        <v>0.22</v>
      </c>
      <c r="Y105" s="146"/>
      <c r="Z105" s="144" t="s">
        <v>48</v>
      </c>
      <c r="AA105" s="172" t="s">
        <v>9</v>
      </c>
      <c r="AB105" s="173"/>
      <c r="AC105" s="174"/>
    </row>
    <row r="106" spans="1:29" x14ac:dyDescent="0.25">
      <c r="A106" s="332"/>
      <c r="B106" s="237"/>
      <c r="C106" s="238"/>
      <c r="D106" s="237"/>
      <c r="E106" s="239"/>
      <c r="F106" s="239"/>
      <c r="G106" s="240"/>
      <c r="H106" s="240"/>
      <c r="I106" s="240"/>
      <c r="J106" s="241"/>
      <c r="K106" s="238"/>
      <c r="L106" s="237"/>
      <c r="M106" s="242"/>
      <c r="N106" s="243"/>
      <c r="O106" s="237"/>
      <c r="P106" s="237"/>
      <c r="Q106" s="237"/>
      <c r="R106" s="237"/>
      <c r="S106" s="240"/>
      <c r="T106" s="237"/>
      <c r="U106" s="237"/>
      <c r="V106" s="244"/>
      <c r="W106" s="245"/>
      <c r="X106" s="239"/>
      <c r="Y106" s="239" t="s">
        <v>741</v>
      </c>
      <c r="Z106" s="237"/>
      <c r="AA106" s="246"/>
      <c r="AB106" s="247"/>
      <c r="AC106" s="244"/>
    </row>
    <row r="107" spans="1:29" x14ac:dyDescent="0.25">
      <c r="A107" s="324">
        <v>45894</v>
      </c>
      <c r="B107" s="144">
        <v>2</v>
      </c>
      <c r="C107" s="145"/>
      <c r="D107" s="144" t="s">
        <v>171</v>
      </c>
      <c r="E107" s="146">
        <v>0.51</v>
      </c>
      <c r="F107" s="146"/>
      <c r="G107" s="147">
        <v>1</v>
      </c>
      <c r="H107" s="147">
        <v>2</v>
      </c>
      <c r="I107" s="147"/>
      <c r="J107" s="148">
        <v>0.71</v>
      </c>
      <c r="K107" s="145"/>
      <c r="L107" s="144" t="s">
        <v>161</v>
      </c>
      <c r="M107" s="149"/>
      <c r="N107" s="150">
        <v>39</v>
      </c>
      <c r="O107" s="61" t="s">
        <v>171</v>
      </c>
      <c r="P107" s="61" t="s">
        <v>181</v>
      </c>
      <c r="Q107" s="61" t="s">
        <v>182</v>
      </c>
      <c r="R107" s="61" t="s">
        <v>684</v>
      </c>
      <c r="S107" s="218">
        <v>62</v>
      </c>
      <c r="T107" s="61" t="s">
        <v>41</v>
      </c>
      <c r="U107" s="61" t="s">
        <v>45</v>
      </c>
      <c r="V107" s="63" t="s">
        <v>10</v>
      </c>
      <c r="W107" s="171">
        <v>0.11</v>
      </c>
      <c r="X107" s="146" t="s">
        <v>53</v>
      </c>
      <c r="Y107" s="146" t="s">
        <v>353</v>
      </c>
      <c r="Z107" s="144" t="s">
        <v>13</v>
      </c>
      <c r="AA107" s="172" t="s">
        <v>9</v>
      </c>
      <c r="AB107" s="173"/>
      <c r="AC107" s="174"/>
    </row>
    <row r="108" spans="1:29" x14ac:dyDescent="0.25">
      <c r="A108" s="324">
        <v>45894</v>
      </c>
      <c r="B108" s="144">
        <v>2</v>
      </c>
      <c r="C108" s="145"/>
      <c r="D108" s="144" t="s">
        <v>171</v>
      </c>
      <c r="E108" s="146">
        <v>0.51</v>
      </c>
      <c r="F108" s="146"/>
      <c r="G108" s="147">
        <v>1</v>
      </c>
      <c r="H108" s="147">
        <v>2</v>
      </c>
      <c r="I108" s="147"/>
      <c r="J108" s="148">
        <v>0.71</v>
      </c>
      <c r="K108" s="145"/>
      <c r="L108" s="144" t="s">
        <v>161</v>
      </c>
      <c r="M108" s="149"/>
      <c r="N108" s="150">
        <v>45</v>
      </c>
      <c r="O108" s="130" t="s">
        <v>161</v>
      </c>
      <c r="P108" s="130" t="s">
        <v>65</v>
      </c>
      <c r="Q108" s="130" t="s">
        <v>301</v>
      </c>
      <c r="R108" s="130" t="s">
        <v>689</v>
      </c>
      <c r="S108" s="226">
        <v>60</v>
      </c>
      <c r="T108" s="130" t="s">
        <v>47</v>
      </c>
      <c r="U108" s="130" t="s">
        <v>541</v>
      </c>
      <c r="V108" s="131" t="s">
        <v>540</v>
      </c>
      <c r="W108" s="171" t="s">
        <v>53</v>
      </c>
      <c r="X108" s="146" t="s">
        <v>53</v>
      </c>
      <c r="Y108" s="146"/>
      <c r="Z108" s="144" t="s">
        <v>23</v>
      </c>
      <c r="AA108" s="172" t="s">
        <v>51</v>
      </c>
      <c r="AB108" s="173"/>
      <c r="AC108" s="174"/>
    </row>
    <row r="109" spans="1:29" x14ac:dyDescent="0.25">
      <c r="A109" s="324">
        <v>45894</v>
      </c>
      <c r="B109" s="144">
        <v>2</v>
      </c>
      <c r="C109" s="145"/>
      <c r="D109" s="144" t="s">
        <v>171</v>
      </c>
      <c r="E109" s="146">
        <v>0.51</v>
      </c>
      <c r="F109" s="146"/>
      <c r="G109" s="147">
        <v>1</v>
      </c>
      <c r="H109" s="147">
        <v>2</v>
      </c>
      <c r="I109" s="147"/>
      <c r="J109" s="148">
        <v>0.71</v>
      </c>
      <c r="K109" s="145"/>
      <c r="L109" s="144" t="s">
        <v>161</v>
      </c>
      <c r="M109" s="149"/>
      <c r="N109" s="150" t="s">
        <v>123</v>
      </c>
      <c r="O109" s="26" t="s">
        <v>161</v>
      </c>
      <c r="P109" s="26" t="s">
        <v>26</v>
      </c>
      <c r="Q109" s="26" t="s">
        <v>302</v>
      </c>
      <c r="R109" s="26" t="s">
        <v>695</v>
      </c>
      <c r="S109" s="213">
        <v>63</v>
      </c>
      <c r="T109" s="26" t="s">
        <v>41</v>
      </c>
      <c r="U109" s="26" t="s">
        <v>42</v>
      </c>
      <c r="V109" s="43" t="s">
        <v>540</v>
      </c>
      <c r="W109" s="171">
        <v>0.17</v>
      </c>
      <c r="X109" s="146">
        <v>0.24</v>
      </c>
      <c r="Y109" s="146" t="s">
        <v>353</v>
      </c>
      <c r="Z109" s="144" t="s">
        <v>48</v>
      </c>
      <c r="AA109" s="172" t="s">
        <v>51</v>
      </c>
      <c r="AB109" s="173"/>
      <c r="AC109" s="174"/>
    </row>
    <row r="110" spans="1:29" x14ac:dyDescent="0.25">
      <c r="A110" s="324">
        <v>45894</v>
      </c>
      <c r="B110" s="144">
        <v>2</v>
      </c>
      <c r="C110" s="145"/>
      <c r="D110" s="144" t="s">
        <v>171</v>
      </c>
      <c r="E110" s="146">
        <v>0.51</v>
      </c>
      <c r="F110" s="146"/>
      <c r="G110" s="147">
        <v>1</v>
      </c>
      <c r="H110" s="147">
        <v>2</v>
      </c>
      <c r="I110" s="147"/>
      <c r="J110" s="148">
        <v>0.71</v>
      </c>
      <c r="K110" s="145"/>
      <c r="L110" s="144" t="s">
        <v>161</v>
      </c>
      <c r="M110" s="149"/>
      <c r="N110" s="150" t="s">
        <v>123</v>
      </c>
      <c r="O110" s="26" t="s">
        <v>161</v>
      </c>
      <c r="P110" s="26" t="s">
        <v>167</v>
      </c>
      <c r="Q110" s="26" t="s">
        <v>166</v>
      </c>
      <c r="R110" s="26" t="s">
        <v>717</v>
      </c>
      <c r="S110" s="213">
        <v>61</v>
      </c>
      <c r="T110" s="26" t="s">
        <v>41</v>
      </c>
      <c r="U110" s="26" t="s">
        <v>42</v>
      </c>
      <c r="V110" s="43" t="s">
        <v>540</v>
      </c>
      <c r="W110" s="171">
        <v>0.23</v>
      </c>
      <c r="X110" s="146" t="s">
        <v>53</v>
      </c>
      <c r="Y110" s="146" t="s">
        <v>353</v>
      </c>
      <c r="Z110" s="144" t="s">
        <v>16</v>
      </c>
      <c r="AA110" s="172" t="s">
        <v>51</v>
      </c>
      <c r="AB110" s="173"/>
      <c r="AC110" s="174"/>
    </row>
    <row r="111" spans="1:29" x14ac:dyDescent="0.25">
      <c r="A111" s="324">
        <v>45894</v>
      </c>
      <c r="B111" s="144">
        <v>2</v>
      </c>
      <c r="C111" s="145"/>
      <c r="D111" s="144" t="s">
        <v>171</v>
      </c>
      <c r="E111" s="146">
        <v>0.51</v>
      </c>
      <c r="F111" s="146"/>
      <c r="G111" s="147">
        <v>1</v>
      </c>
      <c r="H111" s="147">
        <v>2</v>
      </c>
      <c r="I111" s="147"/>
      <c r="J111" s="148">
        <v>0.71</v>
      </c>
      <c r="K111" s="145"/>
      <c r="L111" s="144" t="s">
        <v>161</v>
      </c>
      <c r="M111" s="149"/>
      <c r="N111" s="150">
        <v>51</v>
      </c>
      <c r="O111" s="26" t="s">
        <v>161</v>
      </c>
      <c r="P111" s="26" t="s">
        <v>168</v>
      </c>
      <c r="Q111" s="26" t="s">
        <v>169</v>
      </c>
      <c r="R111" s="26" t="s">
        <v>718</v>
      </c>
      <c r="S111" s="213">
        <v>87</v>
      </c>
      <c r="T111" s="26" t="s">
        <v>44</v>
      </c>
      <c r="U111" s="26" t="s">
        <v>43</v>
      </c>
      <c r="V111" s="43" t="s">
        <v>18</v>
      </c>
      <c r="W111" s="171">
        <v>0.18</v>
      </c>
      <c r="X111" s="146">
        <v>0.28000000000000003</v>
      </c>
      <c r="Y111" s="146" t="s">
        <v>353</v>
      </c>
      <c r="Z111" s="144" t="s">
        <v>8</v>
      </c>
      <c r="AA111" s="172" t="s">
        <v>67</v>
      </c>
      <c r="AB111" s="173" t="s">
        <v>315</v>
      </c>
      <c r="AC111" s="174" t="s">
        <v>199</v>
      </c>
    </row>
    <row r="112" spans="1:29" ht="15.75" thickBot="1" x14ac:dyDescent="0.3">
      <c r="A112" s="325">
        <v>45894</v>
      </c>
      <c r="B112" s="152">
        <v>2</v>
      </c>
      <c r="C112" s="153"/>
      <c r="D112" s="152" t="s">
        <v>171</v>
      </c>
      <c r="E112" s="154">
        <v>0.51</v>
      </c>
      <c r="F112" s="154"/>
      <c r="G112" s="155">
        <v>1</v>
      </c>
      <c r="H112" s="155">
        <v>2</v>
      </c>
      <c r="I112" s="155"/>
      <c r="J112" s="156">
        <v>0.71</v>
      </c>
      <c r="K112" s="153"/>
      <c r="L112" s="152" t="s">
        <v>161</v>
      </c>
      <c r="M112" s="157"/>
      <c r="N112" s="158">
        <v>71</v>
      </c>
      <c r="O112" s="66" t="s">
        <v>171</v>
      </c>
      <c r="P112" s="66" t="s">
        <v>190</v>
      </c>
      <c r="Q112" s="66" t="s">
        <v>191</v>
      </c>
      <c r="R112" s="66" t="s">
        <v>696</v>
      </c>
      <c r="S112" s="219">
        <v>65</v>
      </c>
      <c r="T112" s="66" t="s">
        <v>354</v>
      </c>
      <c r="U112" s="66" t="s">
        <v>42</v>
      </c>
      <c r="V112" s="67" t="s">
        <v>20</v>
      </c>
      <c r="W112" s="175">
        <v>0.04</v>
      </c>
      <c r="X112" s="154" t="s">
        <v>53</v>
      </c>
      <c r="Y112" s="154"/>
      <c r="Z112" s="152" t="s">
        <v>17</v>
      </c>
      <c r="AA112" s="176" t="s">
        <v>19</v>
      </c>
      <c r="AB112" s="177"/>
      <c r="AC112" s="178"/>
    </row>
    <row r="113" spans="1:29" ht="15.75" thickBot="1" x14ac:dyDescent="0.3">
      <c r="A113" s="326">
        <v>45894</v>
      </c>
      <c r="B113" s="207">
        <v>2</v>
      </c>
      <c r="C113" s="208"/>
      <c r="D113" s="207" t="s">
        <v>171</v>
      </c>
      <c r="E113" s="209">
        <v>0.51</v>
      </c>
      <c r="F113" s="209"/>
      <c r="G113" s="210">
        <v>1</v>
      </c>
      <c r="H113" s="210">
        <v>2</v>
      </c>
      <c r="I113" s="210"/>
      <c r="J113" s="211">
        <v>0.71</v>
      </c>
      <c r="K113" s="208"/>
      <c r="L113" s="207" t="s">
        <v>161</v>
      </c>
      <c r="M113" s="197"/>
      <c r="N113" s="198"/>
      <c r="O113" s="199" t="s">
        <v>171</v>
      </c>
      <c r="P113" s="199" t="s">
        <v>473</v>
      </c>
      <c r="Q113" s="199" t="s">
        <v>474</v>
      </c>
      <c r="R113" s="199" t="s">
        <v>707</v>
      </c>
      <c r="S113" s="200">
        <v>59</v>
      </c>
      <c r="T113" s="199"/>
      <c r="U113" s="199"/>
      <c r="V113" s="201"/>
      <c r="W113" s="202"/>
      <c r="X113" s="203"/>
      <c r="Y113" s="203">
        <v>2</v>
      </c>
      <c r="Z113" s="199"/>
      <c r="AA113" s="204"/>
      <c r="AB113" s="205"/>
      <c r="AC113" s="201"/>
    </row>
    <row r="114" spans="1:29" ht="15.75" thickBot="1" x14ac:dyDescent="0.3">
      <c r="A114" s="326">
        <v>45894</v>
      </c>
      <c r="B114" s="207">
        <v>2</v>
      </c>
      <c r="C114" s="208"/>
      <c r="D114" s="207" t="s">
        <v>171</v>
      </c>
      <c r="E114" s="209">
        <v>0.51</v>
      </c>
      <c r="F114" s="209"/>
      <c r="G114" s="210">
        <v>1</v>
      </c>
      <c r="H114" s="210">
        <v>2</v>
      </c>
      <c r="I114" s="210"/>
      <c r="J114" s="211">
        <v>0.71</v>
      </c>
      <c r="K114" s="208"/>
      <c r="L114" s="207" t="s">
        <v>161</v>
      </c>
      <c r="M114" s="197"/>
      <c r="N114" s="198"/>
      <c r="O114" s="199" t="s">
        <v>161</v>
      </c>
      <c r="P114" s="199" t="s">
        <v>316</v>
      </c>
      <c r="Q114" s="199" t="s">
        <v>721</v>
      </c>
      <c r="R114" s="199" t="s">
        <v>707</v>
      </c>
      <c r="S114" s="200">
        <v>62</v>
      </c>
      <c r="T114" s="199"/>
      <c r="U114" s="199"/>
      <c r="V114" s="201"/>
      <c r="W114" s="202"/>
      <c r="X114" s="203"/>
      <c r="Y114" s="203">
        <v>1</v>
      </c>
      <c r="Z114" s="199"/>
      <c r="AA114" s="204"/>
      <c r="AB114" s="205"/>
      <c r="AC114" s="201"/>
    </row>
    <row r="115" spans="1:29" x14ac:dyDescent="0.25">
      <c r="A115" s="327">
        <v>45912</v>
      </c>
      <c r="B115" s="160">
        <v>4</v>
      </c>
      <c r="C115" s="161" t="s">
        <v>702</v>
      </c>
      <c r="D115" s="160" t="s">
        <v>171</v>
      </c>
      <c r="E115" s="162">
        <v>0.4</v>
      </c>
      <c r="F115" s="162"/>
      <c r="G115" s="163">
        <v>2</v>
      </c>
      <c r="H115" s="163">
        <v>2</v>
      </c>
      <c r="I115" s="163"/>
      <c r="J115" s="164">
        <v>0.95</v>
      </c>
      <c r="K115" s="161" t="s">
        <v>706</v>
      </c>
      <c r="L115" s="160" t="s">
        <v>208</v>
      </c>
      <c r="M115" s="165"/>
      <c r="N115" s="166">
        <v>28</v>
      </c>
      <c r="O115" s="70" t="s">
        <v>171</v>
      </c>
      <c r="P115" s="70" t="s">
        <v>190</v>
      </c>
      <c r="Q115" s="70" t="s">
        <v>191</v>
      </c>
      <c r="R115" s="70" t="s">
        <v>684</v>
      </c>
      <c r="S115" s="227">
        <v>65</v>
      </c>
      <c r="T115" s="70" t="s">
        <v>44</v>
      </c>
      <c r="U115" s="70" t="s">
        <v>42</v>
      </c>
      <c r="V115" s="71" t="s">
        <v>10</v>
      </c>
      <c r="W115" s="179">
        <v>0.03</v>
      </c>
      <c r="X115" s="162">
        <v>0.23</v>
      </c>
      <c r="Y115" s="162"/>
      <c r="Z115" s="160" t="s">
        <v>8</v>
      </c>
      <c r="AA115" s="180" t="s">
        <v>19</v>
      </c>
      <c r="AB115" s="169" t="s">
        <v>328</v>
      </c>
      <c r="AC115" s="170" t="s">
        <v>329</v>
      </c>
    </row>
    <row r="116" spans="1:29" x14ac:dyDescent="0.25">
      <c r="A116" s="327">
        <v>45912</v>
      </c>
      <c r="B116" s="160">
        <v>4</v>
      </c>
      <c r="C116" s="161"/>
      <c r="D116" s="160" t="s">
        <v>171</v>
      </c>
      <c r="E116" s="162">
        <v>0.4</v>
      </c>
      <c r="F116" s="162"/>
      <c r="G116" s="163">
        <v>2</v>
      </c>
      <c r="H116" s="163">
        <v>2</v>
      </c>
      <c r="I116" s="163"/>
      <c r="J116" s="164">
        <v>0.95</v>
      </c>
      <c r="K116" s="161"/>
      <c r="L116" s="160" t="s">
        <v>208</v>
      </c>
      <c r="M116" s="165"/>
      <c r="N116" s="166">
        <v>30</v>
      </c>
      <c r="O116" s="79" t="s">
        <v>208</v>
      </c>
      <c r="P116" s="79" t="s">
        <v>25</v>
      </c>
      <c r="Q116" s="79" t="s">
        <v>262</v>
      </c>
      <c r="R116" s="79" t="s">
        <v>713</v>
      </c>
      <c r="S116" s="224">
        <v>66</v>
      </c>
      <c r="T116" s="79" t="s">
        <v>41</v>
      </c>
      <c r="U116" s="79" t="s">
        <v>45</v>
      </c>
      <c r="V116" s="80" t="s">
        <v>33</v>
      </c>
      <c r="W116" s="179">
        <v>0.08</v>
      </c>
      <c r="X116" s="162" t="s">
        <v>53</v>
      </c>
      <c r="Y116" s="162" t="s">
        <v>353</v>
      </c>
      <c r="Z116" s="160" t="s">
        <v>13</v>
      </c>
      <c r="AA116" s="180" t="s">
        <v>19</v>
      </c>
      <c r="AB116" s="173"/>
      <c r="AC116" s="174"/>
    </row>
    <row r="117" spans="1:29" x14ac:dyDescent="0.25">
      <c r="A117" s="327">
        <v>45912</v>
      </c>
      <c r="B117" s="160">
        <v>4</v>
      </c>
      <c r="C117" s="161"/>
      <c r="D117" s="160" t="s">
        <v>171</v>
      </c>
      <c r="E117" s="162">
        <v>0.4</v>
      </c>
      <c r="F117" s="162"/>
      <c r="G117" s="163">
        <v>2</v>
      </c>
      <c r="H117" s="163">
        <v>2</v>
      </c>
      <c r="I117" s="163"/>
      <c r="J117" s="164">
        <v>0.95</v>
      </c>
      <c r="K117" s="161"/>
      <c r="L117" s="160" t="s">
        <v>208</v>
      </c>
      <c r="M117" s="149"/>
      <c r="N117" s="150">
        <v>44</v>
      </c>
      <c r="O117" s="61" t="s">
        <v>171</v>
      </c>
      <c r="P117" s="61" t="s">
        <v>53</v>
      </c>
      <c r="Q117" s="61" t="s">
        <v>359</v>
      </c>
      <c r="R117" s="61" t="s">
        <v>712</v>
      </c>
      <c r="S117" s="218">
        <v>65</v>
      </c>
      <c r="T117" s="61" t="s">
        <v>41</v>
      </c>
      <c r="U117" s="61" t="s">
        <v>45</v>
      </c>
      <c r="V117" s="63" t="s">
        <v>33</v>
      </c>
      <c r="W117" s="171">
        <v>0.02</v>
      </c>
      <c r="X117" s="146" t="s">
        <v>53</v>
      </c>
      <c r="Y117" s="146"/>
      <c r="Z117" s="144" t="s">
        <v>22</v>
      </c>
      <c r="AA117" s="172" t="s">
        <v>19</v>
      </c>
      <c r="AB117" s="173"/>
      <c r="AC117" s="174"/>
    </row>
    <row r="118" spans="1:29" x14ac:dyDescent="0.25">
      <c r="A118" s="327">
        <v>45912</v>
      </c>
      <c r="B118" s="160">
        <v>4</v>
      </c>
      <c r="C118" s="161"/>
      <c r="D118" s="160" t="s">
        <v>171</v>
      </c>
      <c r="E118" s="162">
        <v>0.4</v>
      </c>
      <c r="F118" s="162"/>
      <c r="G118" s="163">
        <v>2</v>
      </c>
      <c r="H118" s="163">
        <v>2</v>
      </c>
      <c r="I118" s="163"/>
      <c r="J118" s="164">
        <v>0.95</v>
      </c>
      <c r="K118" s="161"/>
      <c r="L118" s="160" t="s">
        <v>208</v>
      </c>
      <c r="M118" s="149"/>
      <c r="N118" s="150">
        <v>54</v>
      </c>
      <c r="O118" s="26" t="s">
        <v>208</v>
      </c>
      <c r="P118" s="26" t="s">
        <v>362</v>
      </c>
      <c r="Q118" s="26" t="s">
        <v>363</v>
      </c>
      <c r="R118" s="26" t="s">
        <v>717</v>
      </c>
      <c r="S118" s="213">
        <v>79</v>
      </c>
      <c r="T118" s="26" t="s">
        <v>41</v>
      </c>
      <c r="U118" s="26" t="s">
        <v>43</v>
      </c>
      <c r="V118" s="43" t="s">
        <v>10</v>
      </c>
      <c r="W118" s="171">
        <v>0.79</v>
      </c>
      <c r="X118" s="146">
        <v>0.79</v>
      </c>
      <c r="Y118" s="146" t="s">
        <v>353</v>
      </c>
      <c r="Z118" s="144" t="s">
        <v>8</v>
      </c>
      <c r="AA118" s="172" t="s">
        <v>51</v>
      </c>
      <c r="AB118" s="173" t="s">
        <v>466</v>
      </c>
      <c r="AC118" s="174" t="s">
        <v>467</v>
      </c>
    </row>
    <row r="119" spans="1:29" x14ac:dyDescent="0.25">
      <c r="A119" s="327">
        <v>45912</v>
      </c>
      <c r="B119" s="160">
        <v>4</v>
      </c>
      <c r="C119" s="161"/>
      <c r="D119" s="160" t="s">
        <v>171</v>
      </c>
      <c r="E119" s="162">
        <v>0.4</v>
      </c>
      <c r="F119" s="162"/>
      <c r="G119" s="163">
        <v>2</v>
      </c>
      <c r="H119" s="163">
        <v>2</v>
      </c>
      <c r="I119" s="163"/>
      <c r="J119" s="164">
        <v>0.95</v>
      </c>
      <c r="K119" s="161"/>
      <c r="L119" s="160" t="s">
        <v>208</v>
      </c>
      <c r="M119" s="149"/>
      <c r="N119" s="150">
        <v>55</v>
      </c>
      <c r="O119" s="61" t="s">
        <v>171</v>
      </c>
      <c r="P119" s="61" t="s">
        <v>190</v>
      </c>
      <c r="Q119" s="61" t="s">
        <v>191</v>
      </c>
      <c r="R119" s="61" t="s">
        <v>684</v>
      </c>
      <c r="S119" s="218">
        <v>65</v>
      </c>
      <c r="T119" s="61" t="s">
        <v>41</v>
      </c>
      <c r="U119" s="61" t="s">
        <v>43</v>
      </c>
      <c r="V119" s="63" t="s">
        <v>540</v>
      </c>
      <c r="W119" s="171">
        <v>0.14000000000000001</v>
      </c>
      <c r="X119" s="146" t="s">
        <v>53</v>
      </c>
      <c r="Y119" s="146"/>
      <c r="Z119" s="144" t="s">
        <v>13</v>
      </c>
      <c r="AA119" s="172" t="s">
        <v>51</v>
      </c>
      <c r="AB119" s="173"/>
      <c r="AC119" s="174"/>
    </row>
    <row r="120" spans="1:29" x14ac:dyDescent="0.25">
      <c r="A120" s="327">
        <v>45912</v>
      </c>
      <c r="B120" s="160">
        <v>4</v>
      </c>
      <c r="C120" s="161"/>
      <c r="D120" s="160" t="s">
        <v>171</v>
      </c>
      <c r="E120" s="162">
        <v>0.4</v>
      </c>
      <c r="F120" s="162"/>
      <c r="G120" s="163">
        <v>2</v>
      </c>
      <c r="H120" s="163">
        <v>2</v>
      </c>
      <c r="I120" s="163"/>
      <c r="J120" s="164">
        <v>0.95</v>
      </c>
      <c r="K120" s="161"/>
      <c r="L120" s="160" t="s">
        <v>208</v>
      </c>
      <c r="M120" s="149"/>
      <c r="N120" s="150">
        <v>70</v>
      </c>
      <c r="O120" s="26" t="s">
        <v>208</v>
      </c>
      <c r="P120" s="26" t="s">
        <v>61</v>
      </c>
      <c r="Q120" s="26" t="s">
        <v>261</v>
      </c>
      <c r="R120" s="26" t="s">
        <v>718</v>
      </c>
      <c r="S120" s="213">
        <v>77</v>
      </c>
      <c r="T120" s="26" t="s">
        <v>354</v>
      </c>
      <c r="U120" s="26" t="s">
        <v>42</v>
      </c>
      <c r="V120" s="43" t="s">
        <v>15</v>
      </c>
      <c r="W120" s="171">
        <v>0.05</v>
      </c>
      <c r="X120" s="146">
        <v>7.0000000000000007E-2</v>
      </c>
      <c r="Y120" s="146"/>
      <c r="Z120" s="144" t="s">
        <v>8</v>
      </c>
      <c r="AA120" s="172" t="s">
        <v>67</v>
      </c>
      <c r="AB120" s="173"/>
      <c r="AC120" s="174"/>
    </row>
    <row r="121" spans="1:29" ht="15.75" thickBot="1" x14ac:dyDescent="0.3">
      <c r="A121" s="333">
        <v>45912</v>
      </c>
      <c r="B121" s="182">
        <v>4</v>
      </c>
      <c r="C121" s="183"/>
      <c r="D121" s="182" t="s">
        <v>171</v>
      </c>
      <c r="E121" s="184">
        <v>0.4</v>
      </c>
      <c r="F121" s="184"/>
      <c r="G121" s="185">
        <v>2</v>
      </c>
      <c r="H121" s="185">
        <v>2</v>
      </c>
      <c r="I121" s="185"/>
      <c r="J121" s="186">
        <v>0.95</v>
      </c>
      <c r="K121" s="183"/>
      <c r="L121" s="182" t="s">
        <v>208</v>
      </c>
      <c r="M121" s="157"/>
      <c r="N121" s="158">
        <v>85</v>
      </c>
      <c r="O121" s="66" t="s">
        <v>171</v>
      </c>
      <c r="P121" s="66" t="s">
        <v>360</v>
      </c>
      <c r="Q121" s="66" t="s">
        <v>361</v>
      </c>
      <c r="R121" s="66" t="s">
        <v>696</v>
      </c>
      <c r="S121" s="219">
        <v>75</v>
      </c>
      <c r="T121" s="66" t="s">
        <v>41</v>
      </c>
      <c r="U121" s="66" t="s">
        <v>42</v>
      </c>
      <c r="V121" s="67" t="s">
        <v>10</v>
      </c>
      <c r="W121" s="175">
        <v>0.13</v>
      </c>
      <c r="X121" s="154">
        <v>0.84</v>
      </c>
      <c r="Y121" s="154"/>
      <c r="Z121" s="152" t="s">
        <v>8</v>
      </c>
      <c r="AA121" s="176" t="s">
        <v>189</v>
      </c>
      <c r="AB121" s="177" t="s">
        <v>440</v>
      </c>
      <c r="AC121" s="178" t="s">
        <v>21</v>
      </c>
    </row>
    <row r="122" spans="1:29" ht="15.75" thickBot="1" x14ac:dyDescent="0.3">
      <c r="A122" s="334">
        <v>45912</v>
      </c>
      <c r="B122" s="192">
        <v>4</v>
      </c>
      <c r="C122" s="193"/>
      <c r="D122" s="192" t="s">
        <v>171</v>
      </c>
      <c r="E122" s="194">
        <v>0.4</v>
      </c>
      <c r="F122" s="194"/>
      <c r="G122" s="195">
        <v>2</v>
      </c>
      <c r="H122" s="195">
        <v>2</v>
      </c>
      <c r="I122" s="195"/>
      <c r="J122" s="196">
        <v>0.95</v>
      </c>
      <c r="K122" s="193"/>
      <c r="L122" s="192" t="s">
        <v>208</v>
      </c>
      <c r="M122" s="235"/>
      <c r="N122" s="198"/>
      <c r="O122" s="199" t="s">
        <v>171</v>
      </c>
      <c r="P122" s="199" t="s">
        <v>473</v>
      </c>
      <c r="Q122" s="199" t="s">
        <v>474</v>
      </c>
      <c r="R122" s="199" t="s">
        <v>707</v>
      </c>
      <c r="S122" s="200">
        <v>63</v>
      </c>
      <c r="T122" s="199"/>
      <c r="U122" s="199"/>
      <c r="V122" s="201"/>
      <c r="W122" s="202"/>
      <c r="X122" s="203"/>
      <c r="Y122" s="203">
        <v>2</v>
      </c>
      <c r="Z122" s="199"/>
      <c r="AA122" s="204"/>
      <c r="AB122" s="205"/>
      <c r="AC122" s="201"/>
    </row>
    <row r="123" spans="1:29" ht="15.75" thickBot="1" x14ac:dyDescent="0.3">
      <c r="A123" s="334">
        <v>45912</v>
      </c>
      <c r="B123" s="192">
        <v>4</v>
      </c>
      <c r="C123" s="193"/>
      <c r="D123" s="192" t="s">
        <v>171</v>
      </c>
      <c r="E123" s="194">
        <v>0.4</v>
      </c>
      <c r="F123" s="194"/>
      <c r="G123" s="195">
        <v>2</v>
      </c>
      <c r="H123" s="195">
        <v>2</v>
      </c>
      <c r="I123" s="195"/>
      <c r="J123" s="196">
        <v>0.95</v>
      </c>
      <c r="K123" s="193"/>
      <c r="L123" s="192" t="s">
        <v>208</v>
      </c>
      <c r="M123" s="235"/>
      <c r="N123" s="198"/>
      <c r="O123" s="199" t="s">
        <v>208</v>
      </c>
      <c r="P123" s="199" t="s">
        <v>433</v>
      </c>
      <c r="Q123" s="199" t="s">
        <v>725</v>
      </c>
      <c r="R123" s="199" t="s">
        <v>707</v>
      </c>
      <c r="S123" s="200">
        <v>68</v>
      </c>
      <c r="T123" s="199"/>
      <c r="U123" s="199"/>
      <c r="V123" s="201"/>
      <c r="W123" s="202"/>
      <c r="X123" s="203"/>
      <c r="Y123" s="203">
        <v>2</v>
      </c>
      <c r="Z123" s="199"/>
      <c r="AA123" s="204"/>
      <c r="AB123" s="205"/>
      <c r="AC123" s="201"/>
    </row>
    <row r="124" spans="1:29" x14ac:dyDescent="0.25">
      <c r="A124" s="327">
        <v>45923</v>
      </c>
      <c r="B124" s="160">
        <v>6</v>
      </c>
      <c r="C124" s="161" t="s">
        <v>700</v>
      </c>
      <c r="D124" s="160" t="s">
        <v>171</v>
      </c>
      <c r="E124" s="162">
        <v>0.97</v>
      </c>
      <c r="F124" s="162"/>
      <c r="G124" s="163">
        <v>1</v>
      </c>
      <c r="H124" s="163">
        <v>2</v>
      </c>
      <c r="I124" s="163"/>
      <c r="J124" s="164">
        <v>1.92</v>
      </c>
      <c r="K124" s="161" t="s">
        <v>692</v>
      </c>
      <c r="L124" s="160" t="s">
        <v>91</v>
      </c>
      <c r="M124" s="165"/>
      <c r="N124" s="166">
        <v>11</v>
      </c>
      <c r="O124" s="70" t="s">
        <v>171</v>
      </c>
      <c r="P124" s="70" t="s">
        <v>196</v>
      </c>
      <c r="Q124" s="70" t="s">
        <v>488</v>
      </c>
      <c r="R124" s="70" t="s">
        <v>712</v>
      </c>
      <c r="S124" s="227">
        <v>66</v>
      </c>
      <c r="T124" s="70" t="s">
        <v>41</v>
      </c>
      <c r="U124" s="70" t="s">
        <v>45</v>
      </c>
      <c r="V124" s="71" t="s">
        <v>29</v>
      </c>
      <c r="W124" s="179">
        <v>0.02</v>
      </c>
      <c r="X124" s="162" t="s">
        <v>53</v>
      </c>
      <c r="Y124" s="162"/>
      <c r="Z124" s="160" t="s">
        <v>22</v>
      </c>
      <c r="AA124" s="180" t="s">
        <v>28</v>
      </c>
      <c r="AB124" s="169"/>
      <c r="AC124" s="170"/>
    </row>
    <row r="125" spans="1:29" x14ac:dyDescent="0.25">
      <c r="A125" s="324">
        <v>45923</v>
      </c>
      <c r="B125" s="144">
        <v>6</v>
      </c>
      <c r="C125" s="145"/>
      <c r="D125" s="144" t="s">
        <v>171</v>
      </c>
      <c r="E125" s="146">
        <v>0.97</v>
      </c>
      <c r="F125" s="146"/>
      <c r="G125" s="147">
        <v>1</v>
      </c>
      <c r="H125" s="147">
        <v>2</v>
      </c>
      <c r="I125" s="147"/>
      <c r="J125" s="148">
        <v>1.92</v>
      </c>
      <c r="K125" s="145"/>
      <c r="L125" s="144" t="s">
        <v>91</v>
      </c>
      <c r="M125" s="149"/>
      <c r="N125" s="150">
        <v>12</v>
      </c>
      <c r="O125" s="26" t="s">
        <v>91</v>
      </c>
      <c r="P125" s="26" t="s">
        <v>448</v>
      </c>
      <c r="Q125" s="26" t="s">
        <v>449</v>
      </c>
      <c r="R125" s="26" t="s">
        <v>684</v>
      </c>
      <c r="S125" s="213">
        <v>76</v>
      </c>
      <c r="T125" s="26" t="s">
        <v>41</v>
      </c>
      <c r="U125" s="26" t="s">
        <v>43</v>
      </c>
      <c r="V125" s="43" t="s">
        <v>540</v>
      </c>
      <c r="W125" s="171">
        <v>0.28000000000000003</v>
      </c>
      <c r="X125" s="146">
        <v>0.51</v>
      </c>
      <c r="Y125" s="146" t="s">
        <v>353</v>
      </c>
      <c r="Z125" s="144" t="s">
        <v>48</v>
      </c>
      <c r="AA125" s="172" t="s">
        <v>28</v>
      </c>
      <c r="AB125" s="173"/>
      <c r="AC125" s="174"/>
    </row>
    <row r="126" spans="1:29" x14ac:dyDescent="0.25">
      <c r="A126" s="324">
        <v>45923</v>
      </c>
      <c r="B126" s="144">
        <v>6</v>
      </c>
      <c r="C126" s="145"/>
      <c r="D126" s="144" t="s">
        <v>171</v>
      </c>
      <c r="E126" s="146">
        <v>0.97</v>
      </c>
      <c r="F126" s="146"/>
      <c r="G126" s="147">
        <v>1</v>
      </c>
      <c r="H126" s="147">
        <v>2</v>
      </c>
      <c r="I126" s="147"/>
      <c r="J126" s="148">
        <v>1.92</v>
      </c>
      <c r="K126" s="145"/>
      <c r="L126" s="144" t="s">
        <v>91</v>
      </c>
      <c r="M126" s="149"/>
      <c r="N126" s="150">
        <v>17</v>
      </c>
      <c r="O126" s="26" t="s">
        <v>91</v>
      </c>
      <c r="P126" s="26" t="s">
        <v>448</v>
      </c>
      <c r="Q126" s="26" t="s">
        <v>449</v>
      </c>
      <c r="R126" s="26" t="s">
        <v>684</v>
      </c>
      <c r="S126" s="213">
        <v>76</v>
      </c>
      <c r="T126" s="26" t="s">
        <v>41</v>
      </c>
      <c r="U126" s="26" t="s">
        <v>42</v>
      </c>
      <c r="V126" s="43" t="s">
        <v>10</v>
      </c>
      <c r="W126" s="171">
        <v>0.39</v>
      </c>
      <c r="X126" s="146">
        <v>0.62</v>
      </c>
      <c r="Y126" s="146" t="s">
        <v>353</v>
      </c>
      <c r="Z126" s="144" t="s">
        <v>8</v>
      </c>
      <c r="AA126" s="172" t="s">
        <v>9</v>
      </c>
      <c r="AB126" s="173" t="s">
        <v>100</v>
      </c>
      <c r="AC126" s="174" t="s">
        <v>101</v>
      </c>
    </row>
    <row r="127" spans="1:29" x14ac:dyDescent="0.25">
      <c r="A127" s="324">
        <v>45923</v>
      </c>
      <c r="B127" s="144">
        <v>6</v>
      </c>
      <c r="C127" s="145"/>
      <c r="D127" s="144" t="s">
        <v>171</v>
      </c>
      <c r="E127" s="146">
        <v>0.97</v>
      </c>
      <c r="F127" s="146"/>
      <c r="G127" s="147">
        <v>1</v>
      </c>
      <c r="H127" s="147">
        <v>2</v>
      </c>
      <c r="I127" s="147"/>
      <c r="J127" s="148">
        <v>1.92</v>
      </c>
      <c r="K127" s="145"/>
      <c r="L127" s="144" t="s">
        <v>91</v>
      </c>
      <c r="M127" s="149"/>
      <c r="N127" s="150">
        <v>19</v>
      </c>
      <c r="O127" s="26" t="s">
        <v>91</v>
      </c>
      <c r="P127" s="26" t="s">
        <v>493</v>
      </c>
      <c r="Q127" s="26" t="s">
        <v>494</v>
      </c>
      <c r="R127" s="26" t="s">
        <v>689</v>
      </c>
      <c r="S127" s="213">
        <v>65</v>
      </c>
      <c r="T127" s="26" t="s">
        <v>41</v>
      </c>
      <c r="U127" s="26" t="s">
        <v>42</v>
      </c>
      <c r="V127" s="43" t="s">
        <v>29</v>
      </c>
      <c r="W127" s="171">
        <v>7.0000000000000007E-2</v>
      </c>
      <c r="X127" s="146" t="s">
        <v>53</v>
      </c>
      <c r="Y127" s="146"/>
      <c r="Z127" s="144" t="s">
        <v>22</v>
      </c>
      <c r="AA127" s="172" t="s">
        <v>9</v>
      </c>
      <c r="AB127" s="173"/>
      <c r="AC127" s="174"/>
    </row>
    <row r="128" spans="1:29" x14ac:dyDescent="0.25">
      <c r="A128" s="324">
        <v>45923</v>
      </c>
      <c r="B128" s="144">
        <v>6</v>
      </c>
      <c r="C128" s="145"/>
      <c r="D128" s="144" t="s">
        <v>171</v>
      </c>
      <c r="E128" s="146">
        <v>0.97</v>
      </c>
      <c r="F128" s="146"/>
      <c r="G128" s="147">
        <v>1</v>
      </c>
      <c r="H128" s="147">
        <v>2</v>
      </c>
      <c r="I128" s="147"/>
      <c r="J128" s="148">
        <v>1.92</v>
      </c>
      <c r="K128" s="145"/>
      <c r="L128" s="144" t="s">
        <v>91</v>
      </c>
      <c r="M128" s="149"/>
      <c r="N128" s="150">
        <v>22</v>
      </c>
      <c r="O128" s="61" t="s">
        <v>171</v>
      </c>
      <c r="P128" s="61" t="s">
        <v>300</v>
      </c>
      <c r="Q128" s="61" t="s">
        <v>21</v>
      </c>
      <c r="R128" s="61" t="s">
        <v>689</v>
      </c>
      <c r="S128" s="218">
        <v>69</v>
      </c>
      <c r="T128" s="61" t="s">
        <v>41</v>
      </c>
      <c r="U128" s="61" t="s">
        <v>42</v>
      </c>
      <c r="V128" s="63" t="s">
        <v>10</v>
      </c>
      <c r="W128" s="171">
        <v>0.11</v>
      </c>
      <c r="X128" s="146" t="s">
        <v>53</v>
      </c>
      <c r="Y128" s="146"/>
      <c r="Z128" s="144" t="s">
        <v>52</v>
      </c>
      <c r="AA128" s="172" t="s">
        <v>9</v>
      </c>
      <c r="AB128" s="173"/>
      <c r="AC128" s="174"/>
    </row>
    <row r="129" spans="1:29" x14ac:dyDescent="0.25">
      <c r="A129" s="324">
        <v>45923</v>
      </c>
      <c r="B129" s="144">
        <v>6</v>
      </c>
      <c r="C129" s="145"/>
      <c r="D129" s="144" t="s">
        <v>171</v>
      </c>
      <c r="E129" s="146">
        <v>0.97</v>
      </c>
      <c r="F129" s="146"/>
      <c r="G129" s="147">
        <v>1</v>
      </c>
      <c r="H129" s="147">
        <v>2</v>
      </c>
      <c r="I129" s="147"/>
      <c r="J129" s="148">
        <v>1.92</v>
      </c>
      <c r="K129" s="145"/>
      <c r="L129" s="144" t="s">
        <v>91</v>
      </c>
      <c r="M129" s="149"/>
      <c r="N129" s="150">
        <v>26</v>
      </c>
      <c r="O129" s="26" t="s">
        <v>91</v>
      </c>
      <c r="P129" s="26" t="s">
        <v>332</v>
      </c>
      <c r="Q129" s="26" t="s">
        <v>333</v>
      </c>
      <c r="R129" s="26" t="s">
        <v>685</v>
      </c>
      <c r="S129" s="213">
        <v>65</v>
      </c>
      <c r="T129" s="26" t="s">
        <v>41</v>
      </c>
      <c r="U129" s="26" t="s">
        <v>42</v>
      </c>
      <c r="V129" s="43" t="s">
        <v>10</v>
      </c>
      <c r="W129" s="171">
        <v>0.17</v>
      </c>
      <c r="X129" s="146" t="s">
        <v>53</v>
      </c>
      <c r="Y129" s="146"/>
      <c r="Z129" s="144" t="s">
        <v>55</v>
      </c>
      <c r="AA129" s="172" t="s">
        <v>9</v>
      </c>
      <c r="AB129" s="173"/>
      <c r="AC129" s="174"/>
    </row>
    <row r="130" spans="1:29" x14ac:dyDescent="0.25">
      <c r="A130" s="324">
        <v>45923</v>
      </c>
      <c r="B130" s="144">
        <v>6</v>
      </c>
      <c r="C130" s="145"/>
      <c r="D130" s="144" t="s">
        <v>171</v>
      </c>
      <c r="E130" s="146">
        <v>0.97</v>
      </c>
      <c r="F130" s="146"/>
      <c r="G130" s="147">
        <v>1</v>
      </c>
      <c r="H130" s="147">
        <v>2</v>
      </c>
      <c r="I130" s="147"/>
      <c r="J130" s="148">
        <v>1.92</v>
      </c>
      <c r="K130" s="145"/>
      <c r="L130" s="144" t="s">
        <v>91</v>
      </c>
      <c r="M130" s="149"/>
      <c r="N130" s="150">
        <v>27</v>
      </c>
      <c r="O130" s="26" t="s">
        <v>91</v>
      </c>
      <c r="P130" s="26" t="s">
        <v>448</v>
      </c>
      <c r="Q130" s="26" t="s">
        <v>449</v>
      </c>
      <c r="R130" s="26" t="s">
        <v>684</v>
      </c>
      <c r="S130" s="213">
        <v>76</v>
      </c>
      <c r="T130" s="26" t="s">
        <v>41</v>
      </c>
      <c r="U130" s="26" t="s">
        <v>43</v>
      </c>
      <c r="V130" s="43" t="s">
        <v>18</v>
      </c>
      <c r="W130" s="171">
        <v>0.12</v>
      </c>
      <c r="X130" s="146" t="s">
        <v>53</v>
      </c>
      <c r="Y130" s="146" t="s">
        <v>353</v>
      </c>
      <c r="Z130" s="144" t="s">
        <v>55</v>
      </c>
      <c r="AA130" s="172" t="s">
        <v>9</v>
      </c>
      <c r="AB130" s="173"/>
      <c r="AC130" s="174"/>
    </row>
    <row r="131" spans="1:29" x14ac:dyDescent="0.25">
      <c r="A131" s="324">
        <v>45923</v>
      </c>
      <c r="B131" s="144">
        <v>6</v>
      </c>
      <c r="C131" s="145"/>
      <c r="D131" s="144" t="s">
        <v>171</v>
      </c>
      <c r="E131" s="146">
        <v>0.97</v>
      </c>
      <c r="F131" s="146"/>
      <c r="G131" s="147">
        <v>1</v>
      </c>
      <c r="H131" s="147">
        <v>2</v>
      </c>
      <c r="I131" s="147"/>
      <c r="J131" s="148">
        <v>1.92</v>
      </c>
      <c r="K131" s="145"/>
      <c r="L131" s="144" t="s">
        <v>91</v>
      </c>
      <c r="M131" s="149"/>
      <c r="N131" s="150">
        <v>30</v>
      </c>
      <c r="O131" s="61" t="s">
        <v>171</v>
      </c>
      <c r="P131" s="61" t="s">
        <v>181</v>
      </c>
      <c r="Q131" s="61" t="s">
        <v>182</v>
      </c>
      <c r="R131" s="61" t="s">
        <v>684</v>
      </c>
      <c r="S131" s="218">
        <v>63</v>
      </c>
      <c r="T131" s="61" t="s">
        <v>41</v>
      </c>
      <c r="U131" s="61" t="s">
        <v>45</v>
      </c>
      <c r="V131" s="63" t="s">
        <v>10</v>
      </c>
      <c r="W131" s="171">
        <v>0.16</v>
      </c>
      <c r="X131" s="146" t="s">
        <v>53</v>
      </c>
      <c r="Y131" s="146" t="s">
        <v>353</v>
      </c>
      <c r="Z131" s="144" t="s">
        <v>13</v>
      </c>
      <c r="AA131" s="172" t="s">
        <v>9</v>
      </c>
      <c r="AB131" s="173"/>
      <c r="AC131" s="174"/>
    </row>
    <row r="132" spans="1:29" x14ac:dyDescent="0.25">
      <c r="A132" s="324">
        <v>45923</v>
      </c>
      <c r="B132" s="144">
        <v>6</v>
      </c>
      <c r="C132" s="145"/>
      <c r="D132" s="144" t="s">
        <v>171</v>
      </c>
      <c r="E132" s="146">
        <v>0.97</v>
      </c>
      <c r="F132" s="146"/>
      <c r="G132" s="147">
        <v>1</v>
      </c>
      <c r="H132" s="147">
        <v>2</v>
      </c>
      <c r="I132" s="147"/>
      <c r="J132" s="148">
        <v>1.92</v>
      </c>
      <c r="K132" s="145"/>
      <c r="L132" s="144" t="s">
        <v>91</v>
      </c>
      <c r="M132" s="149"/>
      <c r="N132" s="150">
        <v>51</v>
      </c>
      <c r="O132" s="61" t="s">
        <v>171</v>
      </c>
      <c r="P132" s="61" t="s">
        <v>489</v>
      </c>
      <c r="Q132" s="61" t="s">
        <v>490</v>
      </c>
      <c r="R132" s="61" t="s">
        <v>695</v>
      </c>
      <c r="S132" s="218">
        <v>83</v>
      </c>
      <c r="T132" s="61" t="s">
        <v>41</v>
      </c>
      <c r="U132" s="61" t="s">
        <v>43</v>
      </c>
      <c r="V132" s="63" t="s">
        <v>540</v>
      </c>
      <c r="W132" s="171">
        <v>7.0000000000000007E-2</v>
      </c>
      <c r="X132" s="146">
        <v>0.34</v>
      </c>
      <c r="Y132" s="146"/>
      <c r="Z132" s="144" t="s">
        <v>8</v>
      </c>
      <c r="AA132" s="172" t="s">
        <v>51</v>
      </c>
      <c r="AB132" s="173"/>
      <c r="AC132" s="174"/>
    </row>
    <row r="133" spans="1:29" x14ac:dyDescent="0.25">
      <c r="A133" s="324">
        <v>45923</v>
      </c>
      <c r="B133" s="144">
        <v>6</v>
      </c>
      <c r="C133" s="145"/>
      <c r="D133" s="144" t="s">
        <v>171</v>
      </c>
      <c r="E133" s="146">
        <v>0.97</v>
      </c>
      <c r="F133" s="146"/>
      <c r="G133" s="147">
        <v>1</v>
      </c>
      <c r="H133" s="147">
        <v>2</v>
      </c>
      <c r="I133" s="147"/>
      <c r="J133" s="148">
        <v>1.92</v>
      </c>
      <c r="K133" s="145"/>
      <c r="L133" s="144" t="s">
        <v>91</v>
      </c>
      <c r="M133" s="149"/>
      <c r="N133" s="150">
        <v>63</v>
      </c>
      <c r="O133" s="61" t="s">
        <v>171</v>
      </c>
      <c r="P133" s="61" t="s">
        <v>181</v>
      </c>
      <c r="Q133" s="61" t="s">
        <v>182</v>
      </c>
      <c r="R133" s="61" t="s">
        <v>684</v>
      </c>
      <c r="S133" s="218">
        <v>63</v>
      </c>
      <c r="T133" s="61" t="s">
        <v>41</v>
      </c>
      <c r="U133" s="61" t="s">
        <v>42</v>
      </c>
      <c r="V133" s="63" t="s">
        <v>10</v>
      </c>
      <c r="W133" s="171">
        <v>0.13</v>
      </c>
      <c r="X133" s="146" t="s">
        <v>53</v>
      </c>
      <c r="Y133" s="146"/>
      <c r="Z133" s="144" t="s">
        <v>52</v>
      </c>
      <c r="AA133" s="172" t="s">
        <v>51</v>
      </c>
      <c r="AB133" s="173"/>
      <c r="AC133" s="174"/>
    </row>
    <row r="134" spans="1:29" x14ac:dyDescent="0.25">
      <c r="A134" s="324">
        <v>45923</v>
      </c>
      <c r="B134" s="144">
        <v>6</v>
      </c>
      <c r="C134" s="145"/>
      <c r="D134" s="144" t="s">
        <v>171</v>
      </c>
      <c r="E134" s="146">
        <v>0.97</v>
      </c>
      <c r="F134" s="146"/>
      <c r="G134" s="147">
        <v>1</v>
      </c>
      <c r="H134" s="147">
        <v>2</v>
      </c>
      <c r="I134" s="147"/>
      <c r="J134" s="148">
        <v>1.92</v>
      </c>
      <c r="K134" s="145"/>
      <c r="L134" s="144" t="s">
        <v>91</v>
      </c>
      <c r="M134" s="149"/>
      <c r="N134" s="150">
        <v>75</v>
      </c>
      <c r="O134" s="26" t="s">
        <v>91</v>
      </c>
      <c r="P134" s="26" t="s">
        <v>96</v>
      </c>
      <c r="Q134" s="26" t="s">
        <v>97</v>
      </c>
      <c r="R134" s="26" t="s">
        <v>696</v>
      </c>
      <c r="S134" s="213">
        <v>68</v>
      </c>
      <c r="T134" s="26" t="s">
        <v>41</v>
      </c>
      <c r="U134" s="26" t="s">
        <v>43</v>
      </c>
      <c r="V134" s="43" t="s">
        <v>18</v>
      </c>
      <c r="W134" s="171">
        <v>0.36</v>
      </c>
      <c r="X134" s="146">
        <v>0.33</v>
      </c>
      <c r="Y134" s="146" t="s">
        <v>353</v>
      </c>
      <c r="Z134" s="144" t="s">
        <v>48</v>
      </c>
      <c r="AA134" s="172" t="s">
        <v>51</v>
      </c>
      <c r="AB134" s="173"/>
      <c r="AC134" s="174"/>
    </row>
    <row r="135" spans="1:29" x14ac:dyDescent="0.25">
      <c r="A135" s="324">
        <v>45923</v>
      </c>
      <c r="B135" s="144">
        <v>6</v>
      </c>
      <c r="C135" s="145"/>
      <c r="D135" s="144" t="s">
        <v>171</v>
      </c>
      <c r="E135" s="146">
        <v>0.97</v>
      </c>
      <c r="F135" s="146"/>
      <c r="G135" s="147">
        <v>1</v>
      </c>
      <c r="H135" s="147">
        <v>2</v>
      </c>
      <c r="I135" s="147"/>
      <c r="J135" s="148">
        <v>1.92</v>
      </c>
      <c r="K135" s="145"/>
      <c r="L135" s="144" t="s">
        <v>91</v>
      </c>
      <c r="M135" s="149"/>
      <c r="N135" s="150">
        <v>86</v>
      </c>
      <c r="O135" s="26" t="s">
        <v>91</v>
      </c>
      <c r="P135" s="26" t="s">
        <v>495</v>
      </c>
      <c r="Q135" s="26" t="s">
        <v>496</v>
      </c>
      <c r="R135" s="26" t="s">
        <v>696</v>
      </c>
      <c r="S135" s="213">
        <v>74</v>
      </c>
      <c r="T135" s="26" t="s">
        <v>41</v>
      </c>
      <c r="U135" s="26" t="s">
        <v>43</v>
      </c>
      <c r="V135" s="43" t="s">
        <v>18</v>
      </c>
      <c r="W135" s="171">
        <v>0.39</v>
      </c>
      <c r="X135" s="146">
        <v>0.24</v>
      </c>
      <c r="Y135" s="146" t="s">
        <v>353</v>
      </c>
      <c r="Z135" s="144" t="s">
        <v>8</v>
      </c>
      <c r="AA135" s="172" t="s">
        <v>67</v>
      </c>
      <c r="AB135" s="173" t="s">
        <v>443</v>
      </c>
      <c r="AC135" s="174" t="s">
        <v>444</v>
      </c>
    </row>
    <row r="136" spans="1:29" ht="15.75" thickBot="1" x14ac:dyDescent="0.3">
      <c r="A136" s="325">
        <v>45923</v>
      </c>
      <c r="B136" s="152">
        <v>6</v>
      </c>
      <c r="C136" s="153"/>
      <c r="D136" s="152" t="s">
        <v>171</v>
      </c>
      <c r="E136" s="154">
        <v>0.97</v>
      </c>
      <c r="F136" s="154"/>
      <c r="G136" s="155">
        <v>1</v>
      </c>
      <c r="H136" s="155">
        <v>2</v>
      </c>
      <c r="I136" s="155"/>
      <c r="J136" s="156">
        <v>1.92</v>
      </c>
      <c r="K136" s="153"/>
      <c r="L136" s="152" t="s">
        <v>91</v>
      </c>
      <c r="M136" s="157"/>
      <c r="N136" s="158" t="s">
        <v>31</v>
      </c>
      <c r="O136" s="66" t="s">
        <v>171</v>
      </c>
      <c r="P136" s="66" t="s">
        <v>491</v>
      </c>
      <c r="Q136" s="66" t="s">
        <v>492</v>
      </c>
      <c r="R136" s="66" t="s">
        <v>696</v>
      </c>
      <c r="S136" s="219">
        <v>66</v>
      </c>
      <c r="T136" s="66" t="s">
        <v>44</v>
      </c>
      <c r="U136" s="66" t="s">
        <v>43</v>
      </c>
      <c r="V136" s="67" t="s">
        <v>10</v>
      </c>
      <c r="W136" s="175">
        <v>0.05</v>
      </c>
      <c r="X136" s="154">
        <v>0.11</v>
      </c>
      <c r="Y136" s="154"/>
      <c r="Z136" s="152" t="s">
        <v>48</v>
      </c>
      <c r="AA136" s="176" t="s">
        <v>67</v>
      </c>
      <c r="AB136" s="177"/>
      <c r="AC136" s="178"/>
    </row>
    <row r="137" spans="1:29" ht="15.75" thickBot="1" x14ac:dyDescent="0.3">
      <c r="A137" s="326">
        <v>45923</v>
      </c>
      <c r="B137" s="207">
        <v>6</v>
      </c>
      <c r="C137" s="208"/>
      <c r="D137" s="207" t="s">
        <v>171</v>
      </c>
      <c r="E137" s="209">
        <v>0.97</v>
      </c>
      <c r="F137" s="209"/>
      <c r="G137" s="210">
        <v>1</v>
      </c>
      <c r="H137" s="210">
        <v>2</v>
      </c>
      <c r="I137" s="210"/>
      <c r="J137" s="211">
        <v>1.92</v>
      </c>
      <c r="K137" s="208"/>
      <c r="L137" s="207" t="s">
        <v>91</v>
      </c>
      <c r="M137" s="235"/>
      <c r="N137" s="198"/>
      <c r="O137" s="199" t="s">
        <v>171</v>
      </c>
      <c r="P137" s="199" t="s">
        <v>524</v>
      </c>
      <c r="Q137" s="199" t="s">
        <v>525</v>
      </c>
      <c r="R137" s="199" t="s">
        <v>707</v>
      </c>
      <c r="S137" s="200">
        <v>67</v>
      </c>
      <c r="T137" s="199"/>
      <c r="U137" s="199"/>
      <c r="V137" s="201"/>
      <c r="W137" s="202"/>
      <c r="X137" s="203"/>
      <c r="Y137" s="203">
        <v>2</v>
      </c>
      <c r="Z137" s="199"/>
      <c r="AA137" s="204"/>
      <c r="AB137" s="205"/>
      <c r="AC137" s="201"/>
    </row>
    <row r="138" spans="1:29" ht="15.75" thickBot="1" x14ac:dyDescent="0.3">
      <c r="A138" s="326">
        <v>45923</v>
      </c>
      <c r="B138" s="207">
        <v>6</v>
      </c>
      <c r="C138" s="208"/>
      <c r="D138" s="207" t="s">
        <v>171</v>
      </c>
      <c r="E138" s="209">
        <v>0.97</v>
      </c>
      <c r="F138" s="209"/>
      <c r="G138" s="210">
        <v>1</v>
      </c>
      <c r="H138" s="210">
        <v>2</v>
      </c>
      <c r="I138" s="210"/>
      <c r="J138" s="211">
        <v>1.92</v>
      </c>
      <c r="K138" s="208"/>
      <c r="L138" s="207" t="s">
        <v>91</v>
      </c>
      <c r="M138" s="235"/>
      <c r="N138" s="198"/>
      <c r="O138" s="199" t="s">
        <v>91</v>
      </c>
      <c r="P138" s="199" t="s">
        <v>271</v>
      </c>
      <c r="Q138" s="199" t="s">
        <v>737</v>
      </c>
      <c r="R138" s="199" t="s">
        <v>707</v>
      </c>
      <c r="S138" s="200">
        <v>64</v>
      </c>
      <c r="T138" s="199"/>
      <c r="U138" s="199"/>
      <c r="V138" s="201"/>
      <c r="W138" s="202"/>
      <c r="X138" s="203"/>
      <c r="Y138" s="203">
        <v>1</v>
      </c>
      <c r="Z138" s="199"/>
      <c r="AA138" s="204"/>
      <c r="AB138" s="205"/>
      <c r="AC138" s="201"/>
    </row>
    <row r="139" spans="1:29" x14ac:dyDescent="0.25">
      <c r="A139" s="327">
        <v>45935</v>
      </c>
      <c r="B139" s="160">
        <v>8</v>
      </c>
      <c r="C139" s="161" t="s">
        <v>693</v>
      </c>
      <c r="D139" s="160" t="s">
        <v>171</v>
      </c>
      <c r="E139" s="162">
        <v>2.8</v>
      </c>
      <c r="F139" s="162"/>
      <c r="G139" s="163">
        <v>4</v>
      </c>
      <c r="H139" s="163">
        <v>1</v>
      </c>
      <c r="I139" s="163"/>
      <c r="J139" s="164">
        <v>2.25</v>
      </c>
      <c r="K139" s="161" t="s">
        <v>693</v>
      </c>
      <c r="L139" s="160" t="s">
        <v>113</v>
      </c>
      <c r="M139" s="165"/>
      <c r="N139" s="166">
        <v>13</v>
      </c>
      <c r="O139" s="70" t="s">
        <v>171</v>
      </c>
      <c r="P139" s="70" t="s">
        <v>440</v>
      </c>
      <c r="Q139" s="70" t="s">
        <v>21</v>
      </c>
      <c r="R139" s="70" t="s">
        <v>686</v>
      </c>
      <c r="S139" s="227">
        <v>71</v>
      </c>
      <c r="T139" s="70" t="s">
        <v>41</v>
      </c>
      <c r="U139" s="70" t="s">
        <v>42</v>
      </c>
      <c r="V139" s="71" t="s">
        <v>7</v>
      </c>
      <c r="W139" s="179">
        <v>0.79</v>
      </c>
      <c r="X139" s="162">
        <v>0.92</v>
      </c>
      <c r="Y139" s="162" t="s">
        <v>353</v>
      </c>
      <c r="Z139" s="160" t="s">
        <v>8</v>
      </c>
      <c r="AA139" s="180" t="s">
        <v>19</v>
      </c>
      <c r="AB139" s="169"/>
      <c r="AC139" s="170"/>
    </row>
    <row r="140" spans="1:29" x14ac:dyDescent="0.25">
      <c r="A140" s="324">
        <v>45935</v>
      </c>
      <c r="B140" s="144">
        <v>8</v>
      </c>
      <c r="C140" s="145"/>
      <c r="D140" s="144" t="s">
        <v>171</v>
      </c>
      <c r="E140" s="146">
        <v>2.8</v>
      </c>
      <c r="F140" s="146"/>
      <c r="G140" s="147">
        <v>4</v>
      </c>
      <c r="H140" s="147">
        <v>1</v>
      </c>
      <c r="I140" s="147"/>
      <c r="J140" s="148">
        <v>2.25</v>
      </c>
      <c r="K140" s="145"/>
      <c r="L140" s="144" t="s">
        <v>113</v>
      </c>
      <c r="M140" s="149"/>
      <c r="N140" s="150">
        <v>22</v>
      </c>
      <c r="O140" s="61" t="s">
        <v>171</v>
      </c>
      <c r="P140" s="61" t="s">
        <v>441</v>
      </c>
      <c r="Q140" s="61" t="s">
        <v>442</v>
      </c>
      <c r="R140" s="61" t="s">
        <v>689</v>
      </c>
      <c r="S140" s="218">
        <v>82</v>
      </c>
      <c r="T140" s="61" t="s">
        <v>44</v>
      </c>
      <c r="U140" s="61" t="s">
        <v>43</v>
      </c>
      <c r="V140" s="63" t="s">
        <v>10</v>
      </c>
      <c r="W140" s="171">
        <v>0.1</v>
      </c>
      <c r="X140" s="146" t="s">
        <v>53</v>
      </c>
      <c r="Y140" s="146"/>
      <c r="Z140" s="144" t="s">
        <v>22</v>
      </c>
      <c r="AA140" s="172" t="s">
        <v>19</v>
      </c>
      <c r="AB140" s="173"/>
      <c r="AC140" s="174"/>
    </row>
    <row r="141" spans="1:29" x14ac:dyDescent="0.25">
      <c r="A141" s="324">
        <v>45935</v>
      </c>
      <c r="B141" s="144">
        <v>8</v>
      </c>
      <c r="C141" s="145"/>
      <c r="D141" s="144" t="s">
        <v>171</v>
      </c>
      <c r="E141" s="146">
        <v>2.8</v>
      </c>
      <c r="F141" s="146"/>
      <c r="G141" s="147">
        <v>4</v>
      </c>
      <c r="H141" s="147">
        <v>1</v>
      </c>
      <c r="I141" s="147"/>
      <c r="J141" s="148">
        <v>2.25</v>
      </c>
      <c r="K141" s="145"/>
      <c r="L141" s="144" t="s">
        <v>113</v>
      </c>
      <c r="M141" s="149"/>
      <c r="N141" s="150">
        <v>25</v>
      </c>
      <c r="O141" s="61" t="s">
        <v>171</v>
      </c>
      <c r="P141" s="61" t="s">
        <v>190</v>
      </c>
      <c r="Q141" s="61" t="s">
        <v>191</v>
      </c>
      <c r="R141" s="61" t="s">
        <v>684</v>
      </c>
      <c r="S141" s="218">
        <v>73</v>
      </c>
      <c r="T141" s="61" t="s">
        <v>41</v>
      </c>
      <c r="U141" s="61" t="s">
        <v>43</v>
      </c>
      <c r="V141" s="63" t="s">
        <v>10</v>
      </c>
      <c r="W141" s="171">
        <v>0.1</v>
      </c>
      <c r="X141" s="146" t="s">
        <v>53</v>
      </c>
      <c r="Y141" s="146"/>
      <c r="Z141" s="144" t="s">
        <v>16</v>
      </c>
      <c r="AA141" s="172" t="s">
        <v>19</v>
      </c>
      <c r="AB141" s="173"/>
      <c r="AC141" s="174"/>
    </row>
    <row r="142" spans="1:29" x14ac:dyDescent="0.25">
      <c r="A142" s="324">
        <v>45935</v>
      </c>
      <c r="B142" s="144">
        <v>8</v>
      </c>
      <c r="C142" s="145"/>
      <c r="D142" s="144" t="s">
        <v>171</v>
      </c>
      <c r="E142" s="146">
        <v>2.8</v>
      </c>
      <c r="F142" s="146"/>
      <c r="G142" s="147">
        <v>4</v>
      </c>
      <c r="H142" s="147">
        <v>1</v>
      </c>
      <c r="I142" s="147"/>
      <c r="J142" s="148">
        <v>2.25</v>
      </c>
      <c r="K142" s="145"/>
      <c r="L142" s="144" t="s">
        <v>113</v>
      </c>
      <c r="M142" s="149"/>
      <c r="N142" s="150">
        <v>27</v>
      </c>
      <c r="O142" s="61" t="s">
        <v>171</v>
      </c>
      <c r="P142" s="61" t="s">
        <v>190</v>
      </c>
      <c r="Q142" s="61" t="s">
        <v>191</v>
      </c>
      <c r="R142" s="61" t="s">
        <v>684</v>
      </c>
      <c r="S142" s="218">
        <v>73</v>
      </c>
      <c r="T142" s="61" t="s">
        <v>41</v>
      </c>
      <c r="U142" s="61" t="s">
        <v>43</v>
      </c>
      <c r="V142" s="63" t="s">
        <v>10</v>
      </c>
      <c r="W142" s="171">
        <v>0.19</v>
      </c>
      <c r="X142" s="146">
        <v>0.39</v>
      </c>
      <c r="Y142" s="146" t="s">
        <v>353</v>
      </c>
      <c r="Z142" s="144" t="s">
        <v>48</v>
      </c>
      <c r="AA142" s="172" t="s">
        <v>19</v>
      </c>
      <c r="AB142" s="173"/>
      <c r="AC142" s="174"/>
    </row>
    <row r="143" spans="1:29" x14ac:dyDescent="0.25">
      <c r="A143" s="324">
        <v>45935</v>
      </c>
      <c r="B143" s="144">
        <v>8</v>
      </c>
      <c r="C143" s="145"/>
      <c r="D143" s="144" t="s">
        <v>171</v>
      </c>
      <c r="E143" s="146">
        <v>2.8</v>
      </c>
      <c r="F143" s="146"/>
      <c r="G143" s="147">
        <v>4</v>
      </c>
      <c r="H143" s="147">
        <v>1</v>
      </c>
      <c r="I143" s="147"/>
      <c r="J143" s="148">
        <v>2.25</v>
      </c>
      <c r="K143" s="145"/>
      <c r="L143" s="144" t="s">
        <v>113</v>
      </c>
      <c r="M143" s="149"/>
      <c r="N143" s="150">
        <v>32</v>
      </c>
      <c r="O143" s="26" t="s">
        <v>113</v>
      </c>
      <c r="P143" s="26" t="s">
        <v>531</v>
      </c>
      <c r="Q143" s="26" t="s">
        <v>532</v>
      </c>
      <c r="R143" s="26" t="s">
        <v>689</v>
      </c>
      <c r="S143" s="213">
        <v>58</v>
      </c>
      <c r="T143" s="26" t="s">
        <v>41</v>
      </c>
      <c r="U143" s="26" t="s">
        <v>45</v>
      </c>
      <c r="V143" s="43" t="s">
        <v>20</v>
      </c>
      <c r="W143" s="171">
        <v>0.06</v>
      </c>
      <c r="X143" s="146">
        <v>0.63</v>
      </c>
      <c r="Y143" s="146"/>
      <c r="Z143" s="144" t="s">
        <v>48</v>
      </c>
      <c r="AA143" s="172" t="s">
        <v>19</v>
      </c>
      <c r="AB143" s="173"/>
      <c r="AC143" s="174"/>
    </row>
    <row r="144" spans="1:29" x14ac:dyDescent="0.25">
      <c r="A144" s="324">
        <v>45935</v>
      </c>
      <c r="B144" s="144">
        <v>8</v>
      </c>
      <c r="C144" s="145"/>
      <c r="D144" s="144" t="s">
        <v>171</v>
      </c>
      <c r="E144" s="146">
        <v>2.8</v>
      </c>
      <c r="F144" s="146"/>
      <c r="G144" s="147">
        <v>4</v>
      </c>
      <c r="H144" s="147">
        <v>1</v>
      </c>
      <c r="I144" s="147"/>
      <c r="J144" s="148">
        <v>2.25</v>
      </c>
      <c r="K144" s="145"/>
      <c r="L144" s="144" t="s">
        <v>113</v>
      </c>
      <c r="M144" s="149"/>
      <c r="N144" s="150">
        <v>35</v>
      </c>
      <c r="O144" s="61" t="s">
        <v>171</v>
      </c>
      <c r="P144" s="61" t="s">
        <v>190</v>
      </c>
      <c r="Q144" s="61" t="s">
        <v>191</v>
      </c>
      <c r="R144" s="61" t="s">
        <v>684</v>
      </c>
      <c r="S144" s="218">
        <v>73</v>
      </c>
      <c r="T144" s="61" t="s">
        <v>41</v>
      </c>
      <c r="U144" s="61" t="s">
        <v>43</v>
      </c>
      <c r="V144" s="63" t="s">
        <v>10</v>
      </c>
      <c r="W144" s="171">
        <v>0.25</v>
      </c>
      <c r="X144" s="146" t="s">
        <v>53</v>
      </c>
      <c r="Y144" s="146" t="s">
        <v>353</v>
      </c>
      <c r="Z144" s="144" t="s">
        <v>13</v>
      </c>
      <c r="AA144" s="172" t="s">
        <v>19</v>
      </c>
      <c r="AB144" s="173"/>
      <c r="AC144" s="174"/>
    </row>
    <row r="145" spans="1:29" x14ac:dyDescent="0.25">
      <c r="A145" s="324">
        <v>45935</v>
      </c>
      <c r="B145" s="144">
        <v>8</v>
      </c>
      <c r="C145" s="145"/>
      <c r="D145" s="144" t="s">
        <v>171</v>
      </c>
      <c r="E145" s="146">
        <v>2.8</v>
      </c>
      <c r="F145" s="146"/>
      <c r="G145" s="147">
        <v>4</v>
      </c>
      <c r="H145" s="147">
        <v>1</v>
      </c>
      <c r="I145" s="147"/>
      <c r="J145" s="148">
        <v>2.25</v>
      </c>
      <c r="K145" s="145"/>
      <c r="L145" s="144" t="s">
        <v>113</v>
      </c>
      <c r="M145" s="149"/>
      <c r="N145" s="150">
        <v>37</v>
      </c>
      <c r="O145" s="61" t="s">
        <v>171</v>
      </c>
      <c r="P145" s="61" t="s">
        <v>190</v>
      </c>
      <c r="Q145" s="61" t="s">
        <v>191</v>
      </c>
      <c r="R145" s="61" t="s">
        <v>684</v>
      </c>
      <c r="S145" s="218">
        <v>73</v>
      </c>
      <c r="T145" s="61" t="s">
        <v>41</v>
      </c>
      <c r="U145" s="61" t="s">
        <v>42</v>
      </c>
      <c r="V145" s="63" t="s">
        <v>18</v>
      </c>
      <c r="W145" s="171">
        <v>0.52</v>
      </c>
      <c r="X145" s="146">
        <v>0.88</v>
      </c>
      <c r="Y145" s="146" t="s">
        <v>353</v>
      </c>
      <c r="Z145" s="144" t="s">
        <v>8</v>
      </c>
      <c r="AA145" s="172" t="s">
        <v>24</v>
      </c>
      <c r="AB145" s="173" t="s">
        <v>328</v>
      </c>
      <c r="AC145" s="174" t="s">
        <v>329</v>
      </c>
    </row>
    <row r="146" spans="1:29" x14ac:dyDescent="0.25">
      <c r="A146" s="324">
        <v>45935</v>
      </c>
      <c r="B146" s="144">
        <v>8</v>
      </c>
      <c r="C146" s="145"/>
      <c r="D146" s="144" t="s">
        <v>171</v>
      </c>
      <c r="E146" s="146">
        <v>2.8</v>
      </c>
      <c r="F146" s="146"/>
      <c r="G146" s="147">
        <v>4</v>
      </c>
      <c r="H146" s="147">
        <v>1</v>
      </c>
      <c r="I146" s="147"/>
      <c r="J146" s="148">
        <v>2.25</v>
      </c>
      <c r="K146" s="145"/>
      <c r="L146" s="144" t="s">
        <v>113</v>
      </c>
      <c r="M146" s="149"/>
      <c r="N146" s="150">
        <v>43</v>
      </c>
      <c r="O146" s="26" t="s">
        <v>113</v>
      </c>
      <c r="P146" s="26" t="s">
        <v>468</v>
      </c>
      <c r="Q146" s="26" t="s">
        <v>469</v>
      </c>
      <c r="R146" s="26" t="s">
        <v>686</v>
      </c>
      <c r="S146" s="213">
        <v>70</v>
      </c>
      <c r="T146" s="26" t="s">
        <v>41</v>
      </c>
      <c r="U146" s="26" t="s">
        <v>43</v>
      </c>
      <c r="V146" s="43" t="s">
        <v>10</v>
      </c>
      <c r="W146" s="171">
        <v>0.34</v>
      </c>
      <c r="X146" s="146">
        <v>0.46</v>
      </c>
      <c r="Y146" s="146" t="s">
        <v>353</v>
      </c>
      <c r="Z146" s="144" t="s">
        <v>48</v>
      </c>
      <c r="AA146" s="172" t="s">
        <v>24</v>
      </c>
      <c r="AB146" s="173"/>
      <c r="AC146" s="174"/>
    </row>
    <row r="147" spans="1:29" x14ac:dyDescent="0.25">
      <c r="A147" s="324">
        <v>45935</v>
      </c>
      <c r="B147" s="144">
        <v>8</v>
      </c>
      <c r="C147" s="145"/>
      <c r="D147" s="144" t="s">
        <v>171</v>
      </c>
      <c r="E147" s="146">
        <v>2.8</v>
      </c>
      <c r="F147" s="146"/>
      <c r="G147" s="147">
        <v>4</v>
      </c>
      <c r="H147" s="147">
        <v>1</v>
      </c>
      <c r="I147" s="147"/>
      <c r="J147" s="148">
        <v>2.25</v>
      </c>
      <c r="K147" s="145"/>
      <c r="L147" s="144" t="s">
        <v>113</v>
      </c>
      <c r="M147" s="149"/>
      <c r="N147" s="150" t="s">
        <v>266</v>
      </c>
      <c r="O147" s="26" t="s">
        <v>113</v>
      </c>
      <c r="P147" s="26" t="s">
        <v>468</v>
      </c>
      <c r="Q147" s="26" t="s">
        <v>469</v>
      </c>
      <c r="R147" s="26" t="s">
        <v>686</v>
      </c>
      <c r="S147" s="213">
        <v>70</v>
      </c>
      <c r="T147" s="26" t="s">
        <v>41</v>
      </c>
      <c r="U147" s="26" t="s">
        <v>43</v>
      </c>
      <c r="V147" s="43" t="s">
        <v>10</v>
      </c>
      <c r="W147" s="171">
        <v>0.21</v>
      </c>
      <c r="X147" s="146">
        <v>0.47</v>
      </c>
      <c r="Y147" s="146" t="s">
        <v>353</v>
      </c>
      <c r="Z147" s="144" t="s">
        <v>8</v>
      </c>
      <c r="AA147" s="172" t="s">
        <v>34</v>
      </c>
      <c r="AB147" s="173" t="s">
        <v>53</v>
      </c>
      <c r="AC147" s="174" t="s">
        <v>126</v>
      </c>
    </row>
    <row r="148" spans="1:29" x14ac:dyDescent="0.25">
      <c r="A148" s="324">
        <v>45935</v>
      </c>
      <c r="B148" s="144">
        <v>8</v>
      </c>
      <c r="C148" s="145"/>
      <c r="D148" s="144" t="s">
        <v>171</v>
      </c>
      <c r="E148" s="146">
        <v>2.8</v>
      </c>
      <c r="F148" s="146"/>
      <c r="G148" s="147">
        <v>4</v>
      </c>
      <c r="H148" s="147">
        <v>1</v>
      </c>
      <c r="I148" s="147"/>
      <c r="J148" s="148">
        <v>2.25</v>
      </c>
      <c r="K148" s="145"/>
      <c r="L148" s="144" t="s">
        <v>113</v>
      </c>
      <c r="M148" s="149"/>
      <c r="N148" s="150">
        <v>64</v>
      </c>
      <c r="O148" s="26" t="s">
        <v>113</v>
      </c>
      <c r="P148" s="26" t="s">
        <v>267</v>
      </c>
      <c r="Q148" s="26" t="s">
        <v>75</v>
      </c>
      <c r="R148" s="26" t="s">
        <v>696</v>
      </c>
      <c r="S148" s="213">
        <v>65</v>
      </c>
      <c r="T148" s="26" t="s">
        <v>41</v>
      </c>
      <c r="U148" s="26" t="s">
        <v>45</v>
      </c>
      <c r="V148" s="43" t="s">
        <v>20</v>
      </c>
      <c r="W148" s="171">
        <v>0.05</v>
      </c>
      <c r="X148" s="146">
        <v>0.19</v>
      </c>
      <c r="Y148" s="146"/>
      <c r="Z148" s="144" t="s">
        <v>48</v>
      </c>
      <c r="AA148" s="172" t="s">
        <v>34</v>
      </c>
      <c r="AB148" s="173"/>
      <c r="AC148" s="174"/>
    </row>
    <row r="149" spans="1:29" x14ac:dyDescent="0.25">
      <c r="A149" s="324">
        <v>45935</v>
      </c>
      <c r="B149" s="144">
        <v>8</v>
      </c>
      <c r="C149" s="145"/>
      <c r="D149" s="144" t="s">
        <v>171</v>
      </c>
      <c r="E149" s="146">
        <v>2.8</v>
      </c>
      <c r="F149" s="146"/>
      <c r="G149" s="147">
        <v>4</v>
      </c>
      <c r="H149" s="147">
        <v>1</v>
      </c>
      <c r="I149" s="147"/>
      <c r="J149" s="148">
        <v>2.25</v>
      </c>
      <c r="K149" s="145"/>
      <c r="L149" s="144" t="s">
        <v>113</v>
      </c>
      <c r="M149" s="149"/>
      <c r="N149" s="150">
        <v>76</v>
      </c>
      <c r="O149" s="26" t="s">
        <v>113</v>
      </c>
      <c r="P149" s="26" t="s">
        <v>178</v>
      </c>
      <c r="Q149" s="26" t="s">
        <v>407</v>
      </c>
      <c r="R149" s="26" t="s">
        <v>684</v>
      </c>
      <c r="S149" s="213">
        <v>52</v>
      </c>
      <c r="T149" s="26" t="s">
        <v>41</v>
      </c>
      <c r="U149" s="26" t="s">
        <v>42</v>
      </c>
      <c r="V149" s="43" t="s">
        <v>7</v>
      </c>
      <c r="W149" s="171">
        <v>0.79</v>
      </c>
      <c r="X149" s="146" t="s">
        <v>53</v>
      </c>
      <c r="Y149" s="146" t="s">
        <v>353</v>
      </c>
      <c r="Z149" s="144" t="s">
        <v>16</v>
      </c>
      <c r="AA149" s="172" t="s">
        <v>34</v>
      </c>
      <c r="AB149" s="173"/>
      <c r="AC149" s="174"/>
    </row>
    <row r="150" spans="1:29" x14ac:dyDescent="0.25">
      <c r="A150" s="324">
        <v>45935</v>
      </c>
      <c r="B150" s="144">
        <v>8</v>
      </c>
      <c r="C150" s="145"/>
      <c r="D150" s="144" t="s">
        <v>171</v>
      </c>
      <c r="E150" s="146">
        <v>2.8</v>
      </c>
      <c r="F150" s="146"/>
      <c r="G150" s="147">
        <v>4</v>
      </c>
      <c r="H150" s="147">
        <v>1</v>
      </c>
      <c r="I150" s="147"/>
      <c r="J150" s="148">
        <v>2.25</v>
      </c>
      <c r="K150" s="145"/>
      <c r="L150" s="144" t="s">
        <v>113</v>
      </c>
      <c r="M150" s="149"/>
      <c r="N150" s="150">
        <v>81</v>
      </c>
      <c r="O150" s="26" t="s">
        <v>113</v>
      </c>
      <c r="P150" s="26" t="s">
        <v>529</v>
      </c>
      <c r="Q150" s="26" t="s">
        <v>530</v>
      </c>
      <c r="R150" s="26" t="s">
        <v>696</v>
      </c>
      <c r="S150" s="213">
        <v>68</v>
      </c>
      <c r="T150" s="26" t="s">
        <v>41</v>
      </c>
      <c r="U150" s="26" t="s">
        <v>43</v>
      </c>
      <c r="V150" s="43" t="s">
        <v>540</v>
      </c>
      <c r="W150" s="171">
        <v>0.25</v>
      </c>
      <c r="X150" s="146">
        <v>0.43</v>
      </c>
      <c r="Y150" s="146" t="s">
        <v>353</v>
      </c>
      <c r="Z150" s="144" t="s">
        <v>48</v>
      </c>
      <c r="AA150" s="172" t="s">
        <v>34</v>
      </c>
      <c r="AB150" s="173"/>
      <c r="AC150" s="174"/>
    </row>
    <row r="151" spans="1:29" x14ac:dyDescent="0.25">
      <c r="A151" s="324">
        <v>45935</v>
      </c>
      <c r="B151" s="144">
        <v>8</v>
      </c>
      <c r="C151" s="145"/>
      <c r="D151" s="144" t="s">
        <v>171</v>
      </c>
      <c r="E151" s="146">
        <v>2.8</v>
      </c>
      <c r="F151" s="146"/>
      <c r="G151" s="147">
        <v>4</v>
      </c>
      <c r="H151" s="147">
        <v>1</v>
      </c>
      <c r="I151" s="147"/>
      <c r="J151" s="148">
        <v>2.25</v>
      </c>
      <c r="K151" s="145"/>
      <c r="L151" s="144" t="s">
        <v>113</v>
      </c>
      <c r="M151" s="149"/>
      <c r="N151" s="150">
        <v>90</v>
      </c>
      <c r="O151" s="26" t="s">
        <v>113</v>
      </c>
      <c r="P151" s="26" t="s">
        <v>529</v>
      </c>
      <c r="Q151" s="26" t="s">
        <v>530</v>
      </c>
      <c r="R151" s="26" t="s">
        <v>696</v>
      </c>
      <c r="S151" s="213">
        <v>68</v>
      </c>
      <c r="T151" s="26" t="s">
        <v>41</v>
      </c>
      <c r="U151" s="26" t="s">
        <v>42</v>
      </c>
      <c r="V151" s="43" t="s">
        <v>10</v>
      </c>
      <c r="W151" s="171">
        <v>0.14000000000000001</v>
      </c>
      <c r="X151" s="146">
        <v>0.12</v>
      </c>
      <c r="Y151" s="146" t="s">
        <v>353</v>
      </c>
      <c r="Z151" s="144" t="s">
        <v>48</v>
      </c>
      <c r="AA151" s="172" t="s">
        <v>34</v>
      </c>
      <c r="AB151" s="173"/>
      <c r="AC151" s="174"/>
    </row>
    <row r="152" spans="1:29" x14ac:dyDescent="0.25">
      <c r="A152" s="324">
        <v>45935</v>
      </c>
      <c r="B152" s="144">
        <v>8</v>
      </c>
      <c r="C152" s="145"/>
      <c r="D152" s="144" t="s">
        <v>171</v>
      </c>
      <c r="E152" s="146">
        <v>2.8</v>
      </c>
      <c r="F152" s="146"/>
      <c r="G152" s="147">
        <v>4</v>
      </c>
      <c r="H152" s="147">
        <v>1</v>
      </c>
      <c r="I152" s="147"/>
      <c r="J152" s="148">
        <v>2.25</v>
      </c>
      <c r="K152" s="145"/>
      <c r="L152" s="144" t="s">
        <v>113</v>
      </c>
      <c r="M152" s="149"/>
      <c r="N152" s="150">
        <v>90</v>
      </c>
      <c r="O152" s="61" t="s">
        <v>171</v>
      </c>
      <c r="P152" s="61" t="s">
        <v>441</v>
      </c>
      <c r="Q152" s="61" t="s">
        <v>442</v>
      </c>
      <c r="R152" s="61" t="s">
        <v>689</v>
      </c>
      <c r="S152" s="218">
        <v>82</v>
      </c>
      <c r="T152" s="61" t="s">
        <v>41</v>
      </c>
      <c r="U152" s="61" t="s">
        <v>42</v>
      </c>
      <c r="V152" s="63" t="s">
        <v>18</v>
      </c>
      <c r="W152" s="171">
        <v>0.05</v>
      </c>
      <c r="X152" s="146">
        <v>0.12</v>
      </c>
      <c r="Y152" s="146"/>
      <c r="Z152" s="144" t="s">
        <v>8</v>
      </c>
      <c r="AA152" s="172" t="s">
        <v>427</v>
      </c>
      <c r="AB152" s="173" t="s">
        <v>187</v>
      </c>
      <c r="AC152" s="174" t="s">
        <v>188</v>
      </c>
    </row>
    <row r="153" spans="1:29" ht="15.75" thickBot="1" x14ac:dyDescent="0.3">
      <c r="A153" s="325">
        <v>45935</v>
      </c>
      <c r="B153" s="152">
        <v>8</v>
      </c>
      <c r="C153" s="153"/>
      <c r="D153" s="152" t="s">
        <v>171</v>
      </c>
      <c r="E153" s="154">
        <v>2.8</v>
      </c>
      <c r="F153" s="154"/>
      <c r="G153" s="155">
        <v>4</v>
      </c>
      <c r="H153" s="155">
        <v>1</v>
      </c>
      <c r="I153" s="155"/>
      <c r="J153" s="156">
        <v>2.25</v>
      </c>
      <c r="K153" s="153"/>
      <c r="L153" s="152" t="s">
        <v>113</v>
      </c>
      <c r="M153" s="157"/>
      <c r="N153" s="158" t="s">
        <v>57</v>
      </c>
      <c r="O153" s="66" t="s">
        <v>171</v>
      </c>
      <c r="P153" s="66" t="s">
        <v>181</v>
      </c>
      <c r="Q153" s="66" t="s">
        <v>182</v>
      </c>
      <c r="R153" s="66" t="s">
        <v>696</v>
      </c>
      <c r="S153" s="219">
        <v>74</v>
      </c>
      <c r="T153" s="66" t="s">
        <v>41</v>
      </c>
      <c r="U153" s="66" t="s">
        <v>42</v>
      </c>
      <c r="V153" s="67" t="s">
        <v>18</v>
      </c>
      <c r="W153" s="175">
        <v>0.61</v>
      </c>
      <c r="X153" s="154">
        <v>0.85</v>
      </c>
      <c r="Y153" s="154" t="s">
        <v>353</v>
      </c>
      <c r="Z153" s="152" t="s">
        <v>8</v>
      </c>
      <c r="AA153" s="176" t="s">
        <v>571</v>
      </c>
      <c r="AB153" s="177" t="s">
        <v>676</v>
      </c>
      <c r="AC153" s="178" t="s">
        <v>677</v>
      </c>
    </row>
    <row r="154" spans="1:29" ht="15.75" thickBot="1" x14ac:dyDescent="0.3">
      <c r="A154" s="326">
        <v>45935</v>
      </c>
      <c r="B154" s="207">
        <v>8</v>
      </c>
      <c r="C154" s="208"/>
      <c r="D154" s="207" t="s">
        <v>171</v>
      </c>
      <c r="E154" s="209">
        <v>2.8</v>
      </c>
      <c r="F154" s="209"/>
      <c r="G154" s="210">
        <v>4</v>
      </c>
      <c r="H154" s="210">
        <v>1</v>
      </c>
      <c r="I154" s="210"/>
      <c r="J154" s="211">
        <v>2.25</v>
      </c>
      <c r="K154" s="208"/>
      <c r="L154" s="207" t="s">
        <v>113</v>
      </c>
      <c r="M154" s="235"/>
      <c r="N154" s="198"/>
      <c r="O154" s="199" t="s">
        <v>171</v>
      </c>
      <c r="P154" s="199" t="s">
        <v>524</v>
      </c>
      <c r="Q154" s="199" t="s">
        <v>525</v>
      </c>
      <c r="R154" s="199" t="s">
        <v>707</v>
      </c>
      <c r="S154" s="200">
        <v>74</v>
      </c>
      <c r="T154" s="199"/>
      <c r="U154" s="199"/>
      <c r="V154" s="201"/>
      <c r="W154" s="202"/>
      <c r="X154" s="203"/>
      <c r="Y154" s="203">
        <v>1</v>
      </c>
      <c r="Z154" s="199"/>
      <c r="AA154" s="204"/>
      <c r="AB154" s="205"/>
      <c r="AC154" s="201"/>
    </row>
    <row r="155" spans="1:29" ht="15.75" thickBot="1" x14ac:dyDescent="0.3">
      <c r="A155" s="326">
        <v>45935</v>
      </c>
      <c r="B155" s="207">
        <v>8</v>
      </c>
      <c r="C155" s="208"/>
      <c r="D155" s="207" t="s">
        <v>171</v>
      </c>
      <c r="E155" s="209">
        <v>2.8</v>
      </c>
      <c r="F155" s="209"/>
      <c r="G155" s="210">
        <v>4</v>
      </c>
      <c r="H155" s="210">
        <v>1</v>
      </c>
      <c r="I155" s="210"/>
      <c r="J155" s="211">
        <v>2.25</v>
      </c>
      <c r="K155" s="208"/>
      <c r="L155" s="207" t="s">
        <v>113</v>
      </c>
      <c r="M155" s="235"/>
      <c r="N155" s="198"/>
      <c r="O155" s="199" t="s">
        <v>113</v>
      </c>
      <c r="P155" s="199" t="s">
        <v>738</v>
      </c>
      <c r="Q155" s="199" t="s">
        <v>740</v>
      </c>
      <c r="R155" s="199" t="s">
        <v>707</v>
      </c>
      <c r="S155" s="200">
        <v>65</v>
      </c>
      <c r="T155" s="199"/>
      <c r="U155" s="199"/>
      <c r="V155" s="201"/>
      <c r="W155" s="202"/>
      <c r="X155" s="203"/>
      <c r="Y155" s="203">
        <v>4</v>
      </c>
      <c r="Z155" s="199"/>
      <c r="AA155" s="204"/>
      <c r="AB155" s="205"/>
      <c r="AC155" s="201"/>
    </row>
    <row r="156" spans="1:29" x14ac:dyDescent="0.25">
      <c r="A156" s="328">
        <v>45899</v>
      </c>
      <c r="B156" s="17">
        <v>3</v>
      </c>
      <c r="C156" s="123" t="s">
        <v>693</v>
      </c>
      <c r="D156" s="17" t="s">
        <v>226</v>
      </c>
      <c r="E156" s="18">
        <v>1.82</v>
      </c>
      <c r="F156" s="18"/>
      <c r="G156" s="19">
        <v>2</v>
      </c>
      <c r="H156" s="19">
        <v>1</v>
      </c>
      <c r="I156" s="19"/>
      <c r="J156" s="20">
        <v>0.72</v>
      </c>
      <c r="K156" s="123" t="s">
        <v>701</v>
      </c>
      <c r="L156" s="17" t="s">
        <v>112</v>
      </c>
      <c r="M156" s="46"/>
      <c r="N156" s="96">
        <v>18</v>
      </c>
      <c r="O156" s="77" t="s">
        <v>112</v>
      </c>
      <c r="P156" s="77" t="s">
        <v>114</v>
      </c>
      <c r="Q156" s="77" t="s">
        <v>115</v>
      </c>
      <c r="R156" s="77" t="s">
        <v>717</v>
      </c>
      <c r="S156" s="220">
        <v>75</v>
      </c>
      <c r="T156" s="77" t="s">
        <v>41</v>
      </c>
      <c r="U156" s="77" t="s">
        <v>45</v>
      </c>
      <c r="V156" s="78" t="s">
        <v>20</v>
      </c>
      <c r="W156" s="53">
        <v>7.0000000000000007E-2</v>
      </c>
      <c r="X156" s="18">
        <v>0.62</v>
      </c>
      <c r="Y156" s="18"/>
      <c r="Z156" s="17" t="s">
        <v>8</v>
      </c>
      <c r="AA156" s="114" t="s">
        <v>9</v>
      </c>
      <c r="AB156" s="110" t="s">
        <v>241</v>
      </c>
      <c r="AC156" s="60" t="s">
        <v>245</v>
      </c>
    </row>
    <row r="157" spans="1:29" x14ac:dyDescent="0.25">
      <c r="A157" s="329">
        <v>45899</v>
      </c>
      <c r="B157" s="5">
        <v>3</v>
      </c>
      <c r="D157" s="5" t="s">
        <v>226</v>
      </c>
      <c r="E157" s="6">
        <v>1.82</v>
      </c>
      <c r="G157" s="7">
        <v>2</v>
      </c>
      <c r="H157" s="7">
        <v>1</v>
      </c>
      <c r="J157" s="8">
        <v>0.72</v>
      </c>
      <c r="L157" s="5" t="s">
        <v>112</v>
      </c>
      <c r="N157" s="56">
        <v>23</v>
      </c>
      <c r="O157" s="61" t="s">
        <v>226</v>
      </c>
      <c r="P157" s="61" t="s">
        <v>289</v>
      </c>
      <c r="Q157" s="61" t="s">
        <v>54</v>
      </c>
      <c r="R157" s="61" t="s">
        <v>685</v>
      </c>
      <c r="S157" s="218">
        <v>82</v>
      </c>
      <c r="T157" s="61" t="s">
        <v>354</v>
      </c>
      <c r="U157" s="61" t="s">
        <v>42</v>
      </c>
      <c r="V157" s="63" t="s">
        <v>10</v>
      </c>
      <c r="W157" s="51">
        <v>0.02</v>
      </c>
      <c r="X157" s="6">
        <v>0.12</v>
      </c>
      <c r="Z157" s="5" t="s">
        <v>48</v>
      </c>
      <c r="AA157" s="112" t="s">
        <v>9</v>
      </c>
    </row>
    <row r="158" spans="1:29" x14ac:dyDescent="0.25">
      <c r="A158" s="329">
        <v>45899</v>
      </c>
      <c r="B158" s="5">
        <v>3</v>
      </c>
      <c r="D158" s="5" t="s">
        <v>226</v>
      </c>
      <c r="E158" s="6">
        <v>1.82</v>
      </c>
      <c r="G158" s="7">
        <v>2</v>
      </c>
      <c r="H158" s="7">
        <v>1</v>
      </c>
      <c r="J158" s="8">
        <v>0.72</v>
      </c>
      <c r="L158" s="5" t="s">
        <v>112</v>
      </c>
      <c r="N158" s="56">
        <v>25</v>
      </c>
      <c r="O158" s="61" t="s">
        <v>226</v>
      </c>
      <c r="P158" s="61" t="s">
        <v>236</v>
      </c>
      <c r="Q158" s="61" t="s">
        <v>237</v>
      </c>
      <c r="R158" s="61" t="s">
        <v>686</v>
      </c>
      <c r="S158" s="218">
        <v>64</v>
      </c>
      <c r="T158" s="61" t="s">
        <v>354</v>
      </c>
      <c r="U158" s="61" t="s">
        <v>43</v>
      </c>
      <c r="V158" s="63" t="s">
        <v>10</v>
      </c>
      <c r="W158" s="51">
        <v>0.03</v>
      </c>
      <c r="X158" s="6" t="s">
        <v>53</v>
      </c>
      <c r="Z158" s="5" t="s">
        <v>22</v>
      </c>
      <c r="AA158" s="112" t="s">
        <v>9</v>
      </c>
    </row>
    <row r="159" spans="1:29" x14ac:dyDescent="0.25">
      <c r="A159" s="329">
        <v>45899</v>
      </c>
      <c r="B159" s="5">
        <v>3</v>
      </c>
      <c r="D159" s="5" t="s">
        <v>226</v>
      </c>
      <c r="E159" s="6">
        <v>1.82</v>
      </c>
      <c r="G159" s="7">
        <v>2</v>
      </c>
      <c r="H159" s="7">
        <v>1</v>
      </c>
      <c r="J159" s="8">
        <v>0.72</v>
      </c>
      <c r="L159" s="5" t="s">
        <v>112</v>
      </c>
      <c r="N159" s="56">
        <v>37</v>
      </c>
      <c r="O159" s="61" t="s">
        <v>226</v>
      </c>
      <c r="P159" s="61" t="s">
        <v>56</v>
      </c>
      <c r="Q159" s="61" t="s">
        <v>235</v>
      </c>
      <c r="R159" s="61" t="s">
        <v>699</v>
      </c>
      <c r="S159" s="218">
        <v>74</v>
      </c>
      <c r="T159" s="61" t="s">
        <v>47</v>
      </c>
      <c r="U159" s="61" t="s">
        <v>45</v>
      </c>
      <c r="V159" s="63" t="s">
        <v>20</v>
      </c>
      <c r="W159" s="51">
        <v>0.75</v>
      </c>
      <c r="X159" s="6">
        <v>0.99</v>
      </c>
      <c r="Y159" s="6" t="s">
        <v>353</v>
      </c>
      <c r="Z159" s="5" t="s">
        <v>8</v>
      </c>
      <c r="AA159" s="112" t="s">
        <v>51</v>
      </c>
      <c r="AB159" s="108" t="s">
        <v>229</v>
      </c>
      <c r="AC159" s="57" t="s">
        <v>230</v>
      </c>
    </row>
    <row r="160" spans="1:29" x14ac:dyDescent="0.25">
      <c r="A160" s="329">
        <v>45899</v>
      </c>
      <c r="B160" s="5">
        <v>3</v>
      </c>
      <c r="D160" s="5" t="s">
        <v>226</v>
      </c>
      <c r="E160" s="6">
        <v>1.82</v>
      </c>
      <c r="G160" s="7">
        <v>2</v>
      </c>
      <c r="H160" s="7">
        <v>1</v>
      </c>
      <c r="J160" s="8">
        <v>0.72</v>
      </c>
      <c r="L160" s="5" t="s">
        <v>112</v>
      </c>
      <c r="N160" s="56">
        <v>38</v>
      </c>
      <c r="O160" s="61" t="s">
        <v>226</v>
      </c>
      <c r="P160" s="61" t="s">
        <v>289</v>
      </c>
      <c r="Q160" s="61" t="s">
        <v>54</v>
      </c>
      <c r="R160" s="61" t="s">
        <v>685</v>
      </c>
      <c r="S160" s="218">
        <v>82</v>
      </c>
      <c r="T160" s="61" t="s">
        <v>41</v>
      </c>
      <c r="U160" s="61" t="s">
        <v>43</v>
      </c>
      <c r="V160" s="63" t="s">
        <v>18</v>
      </c>
      <c r="W160" s="51">
        <v>0.1</v>
      </c>
      <c r="X160" s="6">
        <v>0.61</v>
      </c>
      <c r="Z160" s="5" t="s">
        <v>8</v>
      </c>
      <c r="AA160" s="112" t="s">
        <v>34</v>
      </c>
      <c r="AB160" s="108" t="s">
        <v>287</v>
      </c>
      <c r="AC160" s="57" t="s">
        <v>288</v>
      </c>
    </row>
    <row r="161" spans="1:29" x14ac:dyDescent="0.25">
      <c r="A161" s="329">
        <v>45899</v>
      </c>
      <c r="B161" s="5">
        <v>3</v>
      </c>
      <c r="D161" s="5" t="s">
        <v>226</v>
      </c>
      <c r="E161" s="6">
        <v>1.82</v>
      </c>
      <c r="G161" s="7">
        <v>2</v>
      </c>
      <c r="H161" s="7">
        <v>1</v>
      </c>
      <c r="J161" s="8">
        <v>0.72</v>
      </c>
      <c r="L161" s="5" t="s">
        <v>112</v>
      </c>
      <c r="N161" s="56">
        <v>42</v>
      </c>
      <c r="O161" s="61" t="s">
        <v>226</v>
      </c>
      <c r="P161" s="61" t="s">
        <v>330</v>
      </c>
      <c r="Q161" s="61" t="s">
        <v>331</v>
      </c>
      <c r="R161" s="61" t="s">
        <v>689</v>
      </c>
      <c r="S161" s="218">
        <v>76</v>
      </c>
      <c r="T161" s="61" t="s">
        <v>354</v>
      </c>
      <c r="U161" s="61" t="s">
        <v>42</v>
      </c>
      <c r="V161" s="63" t="s">
        <v>10</v>
      </c>
      <c r="W161" s="51">
        <v>0.02</v>
      </c>
      <c r="X161" s="6" t="s">
        <v>53</v>
      </c>
      <c r="Z161" s="5" t="s">
        <v>16</v>
      </c>
      <c r="AA161" s="112" t="s">
        <v>34</v>
      </c>
    </row>
    <row r="162" spans="1:29" x14ac:dyDescent="0.25">
      <c r="A162" s="329">
        <v>45899</v>
      </c>
      <c r="B162" s="5">
        <v>3</v>
      </c>
      <c r="D162" s="5" t="s">
        <v>226</v>
      </c>
      <c r="E162" s="6">
        <v>1.82</v>
      </c>
      <c r="G162" s="7">
        <v>2</v>
      </c>
      <c r="H162" s="7">
        <v>1</v>
      </c>
      <c r="J162" s="8">
        <v>0.72</v>
      </c>
      <c r="L162" s="5" t="s">
        <v>112</v>
      </c>
      <c r="N162" s="56">
        <v>43</v>
      </c>
      <c r="O162" s="61" t="s">
        <v>226</v>
      </c>
      <c r="P162" s="61" t="s">
        <v>231</v>
      </c>
      <c r="Q162" s="61" t="s">
        <v>232</v>
      </c>
      <c r="R162" s="61" t="s">
        <v>684</v>
      </c>
      <c r="S162" s="218">
        <v>67</v>
      </c>
      <c r="T162" s="61" t="s">
        <v>41</v>
      </c>
      <c r="U162" s="61" t="s">
        <v>43</v>
      </c>
      <c r="V162" s="63" t="s">
        <v>540</v>
      </c>
      <c r="W162" s="51">
        <v>0.36</v>
      </c>
      <c r="X162" s="6" t="s">
        <v>53</v>
      </c>
      <c r="Y162" s="6" t="s">
        <v>353</v>
      </c>
      <c r="Z162" s="5" t="s">
        <v>16</v>
      </c>
      <c r="AA162" s="112" t="s">
        <v>34</v>
      </c>
    </row>
    <row r="163" spans="1:29" x14ac:dyDescent="0.25">
      <c r="A163" s="329">
        <v>45899</v>
      </c>
      <c r="B163" s="5">
        <v>3</v>
      </c>
      <c r="D163" s="5" t="s">
        <v>226</v>
      </c>
      <c r="E163" s="6">
        <v>1.82</v>
      </c>
      <c r="G163" s="7">
        <v>2</v>
      </c>
      <c r="H163" s="7">
        <v>1</v>
      </c>
      <c r="J163" s="8">
        <v>0.72</v>
      </c>
      <c r="L163" s="5" t="s">
        <v>112</v>
      </c>
      <c r="N163" s="56">
        <v>55</v>
      </c>
      <c r="O163" s="61" t="s">
        <v>226</v>
      </c>
      <c r="P163" s="61" t="s">
        <v>236</v>
      </c>
      <c r="Q163" s="61" t="s">
        <v>237</v>
      </c>
      <c r="R163" s="61" t="s">
        <v>686</v>
      </c>
      <c r="S163" s="218">
        <v>64</v>
      </c>
      <c r="T163" s="61" t="s">
        <v>41</v>
      </c>
      <c r="U163" s="61" t="s">
        <v>42</v>
      </c>
      <c r="V163" s="63" t="s">
        <v>540</v>
      </c>
      <c r="W163" s="51">
        <v>0.14000000000000001</v>
      </c>
      <c r="X163" s="6">
        <v>0.41</v>
      </c>
      <c r="Z163" s="5" t="s">
        <v>48</v>
      </c>
      <c r="AA163" s="112" t="s">
        <v>34</v>
      </c>
    </row>
    <row r="164" spans="1:29" ht="15.75" thickBot="1" x14ac:dyDescent="0.3">
      <c r="A164" s="330">
        <v>45899</v>
      </c>
      <c r="B164" s="9">
        <v>3</v>
      </c>
      <c r="C164" s="122"/>
      <c r="D164" s="9" t="s">
        <v>226</v>
      </c>
      <c r="E164" s="10">
        <v>1.82</v>
      </c>
      <c r="F164" s="10"/>
      <c r="G164" s="11">
        <v>2</v>
      </c>
      <c r="H164" s="11">
        <v>1</v>
      </c>
      <c r="I164" s="11"/>
      <c r="J164" s="12">
        <v>0.72</v>
      </c>
      <c r="K164" s="122"/>
      <c r="L164" s="9" t="s">
        <v>112</v>
      </c>
      <c r="M164" s="45"/>
      <c r="N164" s="97">
        <v>61</v>
      </c>
      <c r="O164" s="74" t="s">
        <v>112</v>
      </c>
      <c r="P164" s="74" t="s">
        <v>243</v>
      </c>
      <c r="Q164" s="74" t="s">
        <v>244</v>
      </c>
      <c r="R164" s="74" t="s">
        <v>718</v>
      </c>
      <c r="S164" s="221">
        <v>55</v>
      </c>
      <c r="T164" s="74" t="s">
        <v>47</v>
      </c>
      <c r="U164" s="74" t="s">
        <v>42</v>
      </c>
      <c r="V164" s="76" t="s">
        <v>10</v>
      </c>
      <c r="W164" s="52">
        <v>0.43</v>
      </c>
      <c r="X164" s="10" t="s">
        <v>53</v>
      </c>
      <c r="Y164" s="10" t="s">
        <v>353</v>
      </c>
      <c r="Z164" s="9" t="s">
        <v>48</v>
      </c>
      <c r="AA164" s="113" t="s">
        <v>34</v>
      </c>
      <c r="AB164" s="109"/>
      <c r="AC164" s="58"/>
    </row>
    <row r="165" spans="1:29" ht="15.75" thickBot="1" x14ac:dyDescent="0.3">
      <c r="A165" s="326">
        <v>45899</v>
      </c>
      <c r="B165" s="207">
        <v>3</v>
      </c>
      <c r="C165" s="208"/>
      <c r="D165" s="207" t="s">
        <v>226</v>
      </c>
      <c r="E165" s="209">
        <v>1.82</v>
      </c>
      <c r="F165" s="209"/>
      <c r="G165" s="210">
        <v>2</v>
      </c>
      <c r="H165" s="210">
        <v>1</v>
      </c>
      <c r="I165" s="210"/>
      <c r="J165" s="211">
        <v>0.72</v>
      </c>
      <c r="K165" s="208"/>
      <c r="L165" s="207" t="s">
        <v>112</v>
      </c>
      <c r="M165" s="235"/>
      <c r="N165" s="198"/>
      <c r="O165" s="199" t="s">
        <v>226</v>
      </c>
      <c r="P165" s="199" t="s">
        <v>726</v>
      </c>
      <c r="Q165" s="199" t="s">
        <v>727</v>
      </c>
      <c r="R165" s="199" t="s">
        <v>707</v>
      </c>
      <c r="S165" s="200">
        <v>67</v>
      </c>
      <c r="T165" s="199"/>
      <c r="U165" s="199"/>
      <c r="V165" s="201"/>
      <c r="W165" s="202"/>
      <c r="X165" s="203"/>
      <c r="Y165" s="203">
        <v>1</v>
      </c>
      <c r="Z165" s="199"/>
      <c r="AA165" s="204"/>
      <c r="AB165" s="205"/>
      <c r="AC165" s="201"/>
    </row>
    <row r="166" spans="1:29" ht="15.75" thickBot="1" x14ac:dyDescent="0.3">
      <c r="A166" s="326">
        <v>45899</v>
      </c>
      <c r="B166" s="207">
        <v>3</v>
      </c>
      <c r="C166" s="208"/>
      <c r="D166" s="207" t="s">
        <v>226</v>
      </c>
      <c r="E166" s="209">
        <v>1.82</v>
      </c>
      <c r="F166" s="209"/>
      <c r="G166" s="210">
        <v>2</v>
      </c>
      <c r="H166" s="210">
        <v>1</v>
      </c>
      <c r="I166" s="210"/>
      <c r="J166" s="211">
        <v>0.72</v>
      </c>
      <c r="K166" s="208"/>
      <c r="L166" s="207" t="s">
        <v>112</v>
      </c>
      <c r="M166" s="235"/>
      <c r="N166" s="198"/>
      <c r="O166" s="199" t="s">
        <v>112</v>
      </c>
      <c r="P166" s="199" t="s">
        <v>60</v>
      </c>
      <c r="Q166" s="199" t="s">
        <v>464</v>
      </c>
      <c r="R166" s="199" t="s">
        <v>707</v>
      </c>
      <c r="S166" s="200">
        <v>68</v>
      </c>
      <c r="T166" s="199"/>
      <c r="U166" s="199"/>
      <c r="V166" s="201"/>
      <c r="W166" s="202"/>
      <c r="X166" s="203"/>
      <c r="Y166" s="203">
        <v>2</v>
      </c>
      <c r="Z166" s="199"/>
      <c r="AA166" s="204"/>
      <c r="AB166" s="205"/>
      <c r="AC166" s="201"/>
    </row>
    <row r="167" spans="1:29" x14ac:dyDescent="0.25">
      <c r="A167" s="331">
        <v>45915</v>
      </c>
      <c r="B167" s="13">
        <v>4</v>
      </c>
      <c r="C167" s="124" t="s">
        <v>704</v>
      </c>
      <c r="D167" s="13" t="s">
        <v>192</v>
      </c>
      <c r="E167" s="14">
        <v>2.46</v>
      </c>
      <c r="F167" s="14"/>
      <c r="G167" s="15">
        <v>3</v>
      </c>
      <c r="H167" s="15">
        <v>2</v>
      </c>
      <c r="I167" s="15"/>
      <c r="J167" s="16">
        <v>2.23</v>
      </c>
      <c r="K167" s="124" t="s">
        <v>701</v>
      </c>
      <c r="L167" s="13" t="s">
        <v>112</v>
      </c>
      <c r="M167" s="47" t="s">
        <v>734</v>
      </c>
      <c r="N167" s="98">
        <v>21</v>
      </c>
      <c r="O167" s="70" t="s">
        <v>192</v>
      </c>
      <c r="P167" s="70" t="s">
        <v>198</v>
      </c>
      <c r="Q167" s="70" t="s">
        <v>199</v>
      </c>
      <c r="R167" s="70" t="s">
        <v>699</v>
      </c>
      <c r="S167" s="227">
        <v>66</v>
      </c>
      <c r="T167" s="70" t="s">
        <v>47</v>
      </c>
      <c r="U167" s="70" t="s">
        <v>43</v>
      </c>
      <c r="V167" s="71" t="s">
        <v>10</v>
      </c>
      <c r="W167" s="54">
        <v>0.27</v>
      </c>
      <c r="X167" s="14">
        <v>0.56999999999999995</v>
      </c>
      <c r="Y167" s="14" t="s">
        <v>353</v>
      </c>
      <c r="Z167" s="13" t="s">
        <v>8</v>
      </c>
      <c r="AA167" s="115" t="s">
        <v>19</v>
      </c>
      <c r="AB167" s="110" t="s">
        <v>46</v>
      </c>
      <c r="AC167" s="60" t="s">
        <v>191</v>
      </c>
    </row>
    <row r="168" spans="1:29" x14ac:dyDescent="0.25">
      <c r="A168" s="329">
        <v>45915</v>
      </c>
      <c r="B168" s="5">
        <v>4</v>
      </c>
      <c r="D168" s="5" t="s">
        <v>192</v>
      </c>
      <c r="E168" s="6">
        <v>2.46</v>
      </c>
      <c r="G168" s="7">
        <v>3</v>
      </c>
      <c r="H168" s="7">
        <v>2</v>
      </c>
      <c r="J168" s="8">
        <v>2.23</v>
      </c>
      <c r="L168" s="5" t="s">
        <v>112</v>
      </c>
      <c r="M168" s="47" t="s">
        <v>734</v>
      </c>
      <c r="N168" s="56">
        <v>29</v>
      </c>
      <c r="O168" s="61" t="s">
        <v>192</v>
      </c>
      <c r="P168" s="61" t="s">
        <v>198</v>
      </c>
      <c r="Q168" s="61" t="s">
        <v>199</v>
      </c>
      <c r="R168" s="61" t="s">
        <v>699</v>
      </c>
      <c r="S168" s="218">
        <v>66</v>
      </c>
      <c r="T168" s="61" t="s">
        <v>354</v>
      </c>
      <c r="U168" s="61" t="s">
        <v>43</v>
      </c>
      <c r="V168" s="63" t="s">
        <v>10</v>
      </c>
      <c r="W168" s="51">
        <v>0.02</v>
      </c>
      <c r="X168" s="6" t="s">
        <v>53</v>
      </c>
      <c r="Z168" s="5" t="s">
        <v>22</v>
      </c>
      <c r="AA168" s="112" t="s">
        <v>19</v>
      </c>
    </row>
    <row r="169" spans="1:29" x14ac:dyDescent="0.25">
      <c r="A169" s="329">
        <v>45915</v>
      </c>
      <c r="B169" s="5">
        <v>4</v>
      </c>
      <c r="D169" s="5" t="s">
        <v>192</v>
      </c>
      <c r="E169" s="6">
        <v>2.46</v>
      </c>
      <c r="G169" s="7">
        <v>3</v>
      </c>
      <c r="H169" s="7">
        <v>2</v>
      </c>
      <c r="J169" s="8">
        <v>2.23</v>
      </c>
      <c r="L169" s="5" t="s">
        <v>112</v>
      </c>
      <c r="M169" s="47" t="s">
        <v>734</v>
      </c>
      <c r="N169" s="56">
        <v>34</v>
      </c>
      <c r="O169" s="61" t="s">
        <v>192</v>
      </c>
      <c r="P169" s="61" t="s">
        <v>410</v>
      </c>
      <c r="Q169" s="61" t="s">
        <v>361</v>
      </c>
      <c r="R169" s="61" t="s">
        <v>684</v>
      </c>
      <c r="S169" s="218">
        <v>71</v>
      </c>
      <c r="T169" s="61" t="s">
        <v>47</v>
      </c>
      <c r="U169" s="61" t="s">
        <v>42</v>
      </c>
      <c r="V169" s="63" t="s">
        <v>10</v>
      </c>
      <c r="W169" s="51">
        <v>0.71</v>
      </c>
      <c r="X169" s="6">
        <v>0.99</v>
      </c>
      <c r="Y169" s="6" t="s">
        <v>353</v>
      </c>
      <c r="Z169" s="5" t="s">
        <v>8</v>
      </c>
      <c r="AA169" s="112" t="s">
        <v>24</v>
      </c>
      <c r="AB169" s="108" t="s">
        <v>280</v>
      </c>
      <c r="AC169" s="57" t="s">
        <v>281</v>
      </c>
    </row>
    <row r="170" spans="1:29" x14ac:dyDescent="0.25">
      <c r="A170" s="329">
        <v>45915</v>
      </c>
      <c r="B170" s="5">
        <v>4</v>
      </c>
      <c r="D170" s="5" t="s">
        <v>192</v>
      </c>
      <c r="E170" s="6">
        <v>2.46</v>
      </c>
      <c r="G170" s="7">
        <v>3</v>
      </c>
      <c r="H170" s="7">
        <v>2</v>
      </c>
      <c r="J170" s="8">
        <v>2.23</v>
      </c>
      <c r="L170" s="5" t="s">
        <v>112</v>
      </c>
      <c r="M170" s="47" t="s">
        <v>734</v>
      </c>
      <c r="N170" s="56">
        <v>45</v>
      </c>
      <c r="O170" s="26" t="s">
        <v>112</v>
      </c>
      <c r="P170" s="26" t="s">
        <v>114</v>
      </c>
      <c r="Q170" s="26" t="s">
        <v>115</v>
      </c>
      <c r="R170" s="26" t="s">
        <v>718</v>
      </c>
      <c r="S170" s="213">
        <v>85</v>
      </c>
      <c r="T170" s="26" t="s">
        <v>41</v>
      </c>
      <c r="U170" s="26" t="s">
        <v>43</v>
      </c>
      <c r="V170" s="43" t="s">
        <v>7</v>
      </c>
      <c r="W170" s="51">
        <v>0.79</v>
      </c>
      <c r="X170" s="6">
        <v>0.81</v>
      </c>
      <c r="Y170" s="6" t="s">
        <v>353</v>
      </c>
      <c r="Z170" s="5" t="s">
        <v>8</v>
      </c>
      <c r="AA170" s="112" t="s">
        <v>34</v>
      </c>
    </row>
    <row r="171" spans="1:29" x14ac:dyDescent="0.25">
      <c r="A171" s="329">
        <v>45915</v>
      </c>
      <c r="B171" s="5">
        <v>4</v>
      </c>
      <c r="D171" s="5" t="s">
        <v>192</v>
      </c>
      <c r="E171" s="6">
        <v>2.46</v>
      </c>
      <c r="G171" s="7">
        <v>3</v>
      </c>
      <c r="H171" s="7">
        <v>2</v>
      </c>
      <c r="J171" s="8">
        <v>2.23</v>
      </c>
      <c r="L171" s="5" t="s">
        <v>112</v>
      </c>
      <c r="M171" s="47" t="s">
        <v>734</v>
      </c>
      <c r="N171" s="56">
        <v>51</v>
      </c>
      <c r="O171" s="26" t="s">
        <v>112</v>
      </c>
      <c r="P171" s="26" t="s">
        <v>243</v>
      </c>
      <c r="Q171" s="26" t="s">
        <v>244</v>
      </c>
      <c r="R171" s="26" t="s">
        <v>717</v>
      </c>
      <c r="S171" s="213">
        <v>78</v>
      </c>
      <c r="T171" s="26" t="s">
        <v>354</v>
      </c>
      <c r="U171" s="26" t="s">
        <v>42</v>
      </c>
      <c r="V171" s="43" t="s">
        <v>10</v>
      </c>
      <c r="W171" s="51">
        <v>0.03</v>
      </c>
      <c r="X171" s="6">
        <v>0.12</v>
      </c>
      <c r="Z171" s="5" t="s">
        <v>48</v>
      </c>
      <c r="AA171" s="112" t="s">
        <v>34</v>
      </c>
    </row>
    <row r="172" spans="1:29" x14ac:dyDescent="0.25">
      <c r="A172" s="329">
        <v>45915</v>
      </c>
      <c r="B172" s="5">
        <v>4</v>
      </c>
      <c r="D172" s="5" t="s">
        <v>192</v>
      </c>
      <c r="E172" s="6">
        <v>2.46</v>
      </c>
      <c r="G172" s="7">
        <v>3</v>
      </c>
      <c r="H172" s="7">
        <v>2</v>
      </c>
      <c r="J172" s="8">
        <v>2.23</v>
      </c>
      <c r="L172" s="5" t="s">
        <v>112</v>
      </c>
      <c r="M172" s="47" t="s">
        <v>734</v>
      </c>
      <c r="N172" s="56">
        <v>57</v>
      </c>
      <c r="O172" s="26" t="s">
        <v>112</v>
      </c>
      <c r="P172" s="26" t="s">
        <v>413</v>
      </c>
      <c r="Q172" s="26" t="s">
        <v>414</v>
      </c>
      <c r="R172" s="26" t="s">
        <v>688</v>
      </c>
      <c r="S172" s="213">
        <v>68</v>
      </c>
      <c r="T172" s="26" t="s">
        <v>354</v>
      </c>
      <c r="U172" s="26" t="s">
        <v>42</v>
      </c>
      <c r="V172" s="43" t="s">
        <v>20</v>
      </c>
      <c r="W172" s="51">
        <v>0.03</v>
      </c>
      <c r="X172" s="6">
        <v>0.19</v>
      </c>
      <c r="Z172" s="5" t="s">
        <v>48</v>
      </c>
      <c r="AA172" s="112" t="s">
        <v>34</v>
      </c>
    </row>
    <row r="173" spans="1:29" x14ac:dyDescent="0.25">
      <c r="A173" s="329">
        <v>45915</v>
      </c>
      <c r="B173" s="5">
        <v>4</v>
      </c>
      <c r="D173" s="5" t="s">
        <v>192</v>
      </c>
      <c r="E173" s="6">
        <v>2.46</v>
      </c>
      <c r="G173" s="7">
        <v>3</v>
      </c>
      <c r="H173" s="7">
        <v>2</v>
      </c>
      <c r="J173" s="8">
        <v>2.23</v>
      </c>
      <c r="L173" s="5" t="s">
        <v>112</v>
      </c>
      <c r="M173" s="47" t="s">
        <v>734</v>
      </c>
      <c r="N173" s="56">
        <v>60</v>
      </c>
      <c r="O173" s="61" t="s">
        <v>192</v>
      </c>
      <c r="P173" s="61" t="s">
        <v>411</v>
      </c>
      <c r="Q173" s="61" t="s">
        <v>412</v>
      </c>
      <c r="R173" s="61" t="s">
        <v>696</v>
      </c>
      <c r="S173" s="218">
        <v>65</v>
      </c>
      <c r="T173" s="61" t="s">
        <v>354</v>
      </c>
      <c r="U173" s="61" t="s">
        <v>42</v>
      </c>
      <c r="V173" s="63" t="s">
        <v>10</v>
      </c>
      <c r="W173" s="51">
        <v>0.03</v>
      </c>
      <c r="X173" s="6" t="s">
        <v>53</v>
      </c>
      <c r="Z173" s="5" t="s">
        <v>55</v>
      </c>
      <c r="AA173" s="112" t="s">
        <v>34</v>
      </c>
    </row>
    <row r="174" spans="1:29" x14ac:dyDescent="0.25">
      <c r="A174" s="329">
        <v>45915</v>
      </c>
      <c r="B174" s="5">
        <v>4</v>
      </c>
      <c r="D174" s="5" t="s">
        <v>192</v>
      </c>
      <c r="E174" s="6">
        <v>2.46</v>
      </c>
      <c r="G174" s="7">
        <v>3</v>
      </c>
      <c r="H174" s="7">
        <v>2</v>
      </c>
      <c r="J174" s="8">
        <v>2.23</v>
      </c>
      <c r="L174" s="5" t="s">
        <v>112</v>
      </c>
      <c r="M174" s="47" t="s">
        <v>734</v>
      </c>
      <c r="N174" s="56">
        <v>65</v>
      </c>
      <c r="O174" s="26" t="s">
        <v>112</v>
      </c>
      <c r="P174" s="26" t="s">
        <v>114</v>
      </c>
      <c r="Q174" s="26" t="s">
        <v>115</v>
      </c>
      <c r="R174" s="26" t="s">
        <v>718</v>
      </c>
      <c r="S174" s="213">
        <v>85</v>
      </c>
      <c r="T174" s="26" t="s">
        <v>47</v>
      </c>
      <c r="U174" s="26" t="s">
        <v>45</v>
      </c>
      <c r="V174" s="43" t="s">
        <v>20</v>
      </c>
      <c r="W174" s="51">
        <v>0.13</v>
      </c>
      <c r="X174" s="6" t="s">
        <v>53</v>
      </c>
      <c r="Z174" s="5" t="s">
        <v>52</v>
      </c>
      <c r="AA174" s="112" t="s">
        <v>34</v>
      </c>
    </row>
    <row r="175" spans="1:29" x14ac:dyDescent="0.25">
      <c r="A175" s="329">
        <v>45915</v>
      </c>
      <c r="B175" s="5">
        <v>4</v>
      </c>
      <c r="D175" s="5" t="s">
        <v>192</v>
      </c>
      <c r="E175" s="6">
        <v>2.46</v>
      </c>
      <c r="G175" s="7">
        <v>3</v>
      </c>
      <c r="H175" s="7">
        <v>2</v>
      </c>
      <c r="J175" s="8">
        <v>2.23</v>
      </c>
      <c r="L175" s="5" t="s">
        <v>112</v>
      </c>
      <c r="M175" s="47" t="s">
        <v>734</v>
      </c>
      <c r="N175" s="56">
        <v>65</v>
      </c>
      <c r="O175" s="26" t="s">
        <v>112</v>
      </c>
      <c r="P175" s="26" t="s">
        <v>114</v>
      </c>
      <c r="Q175" s="26" t="s">
        <v>115</v>
      </c>
      <c r="R175" s="26" t="s">
        <v>718</v>
      </c>
      <c r="S175" s="213">
        <v>85</v>
      </c>
      <c r="T175" s="26" t="s">
        <v>47</v>
      </c>
      <c r="U175" s="26" t="s">
        <v>45</v>
      </c>
      <c r="V175" s="43" t="s">
        <v>10</v>
      </c>
      <c r="W175" s="51">
        <v>0.14000000000000001</v>
      </c>
      <c r="X175" s="6">
        <v>0.62</v>
      </c>
      <c r="Y175" s="6" t="s">
        <v>353</v>
      </c>
      <c r="Z175" s="5" t="s">
        <v>8</v>
      </c>
      <c r="AA175" s="112" t="s">
        <v>189</v>
      </c>
      <c r="AB175" s="108" t="s">
        <v>100</v>
      </c>
      <c r="AC175" s="57" t="s">
        <v>664</v>
      </c>
    </row>
    <row r="176" spans="1:29" x14ac:dyDescent="0.25">
      <c r="A176" s="329">
        <v>45915</v>
      </c>
      <c r="B176" s="5">
        <v>4</v>
      </c>
      <c r="D176" s="5" t="s">
        <v>192</v>
      </c>
      <c r="E176" s="6">
        <v>2.46</v>
      </c>
      <c r="G176" s="7">
        <v>3</v>
      </c>
      <c r="H176" s="7">
        <v>2</v>
      </c>
      <c r="J176" s="8">
        <v>2.23</v>
      </c>
      <c r="L176" s="5" t="s">
        <v>112</v>
      </c>
      <c r="M176" s="47" t="s">
        <v>734</v>
      </c>
      <c r="N176" s="56">
        <v>69</v>
      </c>
      <c r="O176" s="61" t="s">
        <v>192</v>
      </c>
      <c r="P176" s="61" t="s">
        <v>194</v>
      </c>
      <c r="Q176" s="61" t="s">
        <v>195</v>
      </c>
      <c r="R176" s="61" t="s">
        <v>712</v>
      </c>
      <c r="S176" s="218">
        <v>69</v>
      </c>
      <c r="T176" s="61" t="s">
        <v>47</v>
      </c>
      <c r="U176" s="61" t="s">
        <v>45</v>
      </c>
      <c r="V176" s="63" t="s">
        <v>33</v>
      </c>
      <c r="W176" s="51">
        <v>0.45</v>
      </c>
      <c r="X176" s="6" t="s">
        <v>53</v>
      </c>
      <c r="Y176" s="6" t="s">
        <v>353</v>
      </c>
      <c r="Z176" s="5" t="s">
        <v>17</v>
      </c>
      <c r="AA176" s="112" t="s">
        <v>189</v>
      </c>
    </row>
    <row r="177" spans="1:29" x14ac:dyDescent="0.25">
      <c r="A177" s="329">
        <v>45915</v>
      </c>
      <c r="B177" s="5">
        <v>4</v>
      </c>
      <c r="D177" s="5" t="s">
        <v>192</v>
      </c>
      <c r="E177" s="6">
        <v>2.46</v>
      </c>
      <c r="G177" s="7">
        <v>3</v>
      </c>
      <c r="H177" s="7">
        <v>2</v>
      </c>
      <c r="J177" s="8">
        <v>2.23</v>
      </c>
      <c r="L177" s="5" t="s">
        <v>112</v>
      </c>
      <c r="M177" s="47" t="s">
        <v>734</v>
      </c>
      <c r="N177" s="56">
        <v>81</v>
      </c>
      <c r="O177" s="61" t="s">
        <v>192</v>
      </c>
      <c r="P177" s="61" t="s">
        <v>196</v>
      </c>
      <c r="Q177" s="61" t="s">
        <v>75</v>
      </c>
      <c r="R177" s="61" t="s">
        <v>696</v>
      </c>
      <c r="S177" s="218">
        <v>72</v>
      </c>
      <c r="T177" s="61" t="s">
        <v>41</v>
      </c>
      <c r="U177" s="61" t="s">
        <v>42</v>
      </c>
      <c r="V177" s="63" t="s">
        <v>7</v>
      </c>
      <c r="W177" s="51">
        <v>0.79</v>
      </c>
      <c r="X177" s="6">
        <v>0.63</v>
      </c>
      <c r="Y177" s="6" t="s">
        <v>353</v>
      </c>
      <c r="Z177" s="5" t="s">
        <v>8</v>
      </c>
      <c r="AA177" s="112" t="s">
        <v>180</v>
      </c>
    </row>
    <row r="178" spans="1:29" x14ac:dyDescent="0.25">
      <c r="A178" s="329">
        <v>45915</v>
      </c>
      <c r="B178" s="5">
        <v>4</v>
      </c>
      <c r="D178" s="5" t="s">
        <v>192</v>
      </c>
      <c r="E178" s="6">
        <v>2.46</v>
      </c>
      <c r="G178" s="7">
        <v>3</v>
      </c>
      <c r="H178" s="7">
        <v>2</v>
      </c>
      <c r="J178" s="8">
        <v>2.23</v>
      </c>
      <c r="L178" s="5" t="s">
        <v>112</v>
      </c>
      <c r="M178" s="47" t="s">
        <v>734</v>
      </c>
      <c r="N178" s="56">
        <v>84</v>
      </c>
      <c r="O178" s="26" t="s">
        <v>112</v>
      </c>
      <c r="P178" s="26" t="s">
        <v>114</v>
      </c>
      <c r="Q178" s="26" t="s">
        <v>115</v>
      </c>
      <c r="R178" s="26" t="s">
        <v>718</v>
      </c>
      <c r="S178" s="213">
        <v>85</v>
      </c>
      <c r="T178" s="26" t="s">
        <v>41</v>
      </c>
      <c r="U178" s="26" t="s">
        <v>43</v>
      </c>
      <c r="V178" s="43" t="s">
        <v>20</v>
      </c>
      <c r="W178" s="51">
        <v>0.06</v>
      </c>
      <c r="X178" s="6" t="s">
        <v>53</v>
      </c>
      <c r="Z178" s="5" t="s">
        <v>22</v>
      </c>
      <c r="AA178" s="112" t="s">
        <v>180</v>
      </c>
    </row>
    <row r="179" spans="1:29" x14ac:dyDescent="0.25">
      <c r="A179" s="329">
        <v>45915</v>
      </c>
      <c r="B179" s="5">
        <v>4</v>
      </c>
      <c r="D179" s="5" t="s">
        <v>192</v>
      </c>
      <c r="E179" s="6">
        <v>2.46</v>
      </c>
      <c r="G179" s="7">
        <v>3</v>
      </c>
      <c r="H179" s="7">
        <v>2</v>
      </c>
      <c r="J179" s="8">
        <v>2.23</v>
      </c>
      <c r="L179" s="5" t="s">
        <v>112</v>
      </c>
      <c r="M179" s="47" t="s">
        <v>734</v>
      </c>
      <c r="N179" s="56" t="s">
        <v>415</v>
      </c>
      <c r="O179" s="26" t="s">
        <v>112</v>
      </c>
      <c r="P179" s="26" t="s">
        <v>416</v>
      </c>
      <c r="Q179" s="26" t="s">
        <v>417</v>
      </c>
      <c r="R179" s="26" t="s">
        <v>696</v>
      </c>
      <c r="S179" s="213">
        <v>64</v>
      </c>
      <c r="T179" s="26" t="s">
        <v>47</v>
      </c>
      <c r="U179" s="26" t="s">
        <v>43</v>
      </c>
      <c r="V179" s="43" t="s">
        <v>10</v>
      </c>
      <c r="W179" s="51">
        <v>0.1</v>
      </c>
      <c r="X179" s="6" t="s">
        <v>53</v>
      </c>
      <c r="Z179" s="5" t="s">
        <v>52</v>
      </c>
      <c r="AA179" s="112" t="s">
        <v>180</v>
      </c>
    </row>
    <row r="180" spans="1:29" ht="15.75" thickBot="1" x14ac:dyDescent="0.3">
      <c r="A180" s="330">
        <v>45915</v>
      </c>
      <c r="B180" s="9">
        <v>4</v>
      </c>
      <c r="C180" s="122"/>
      <c r="D180" s="9" t="s">
        <v>192</v>
      </c>
      <c r="E180" s="10">
        <v>2.46</v>
      </c>
      <c r="F180" s="10"/>
      <c r="G180" s="11">
        <v>3</v>
      </c>
      <c r="H180" s="11">
        <v>2</v>
      </c>
      <c r="I180" s="11"/>
      <c r="J180" s="12">
        <v>2.23</v>
      </c>
      <c r="K180" s="122"/>
      <c r="L180" s="9" t="s">
        <v>112</v>
      </c>
      <c r="M180" s="47" t="s">
        <v>734</v>
      </c>
      <c r="N180" s="97" t="s">
        <v>415</v>
      </c>
      <c r="O180" s="74" t="s">
        <v>112</v>
      </c>
      <c r="P180" s="74" t="s">
        <v>365</v>
      </c>
      <c r="Q180" s="74" t="s">
        <v>418</v>
      </c>
      <c r="R180" s="74" t="s">
        <v>713</v>
      </c>
      <c r="S180" s="221">
        <v>65</v>
      </c>
      <c r="T180" s="74" t="s">
        <v>41</v>
      </c>
      <c r="U180" s="74" t="s">
        <v>42</v>
      </c>
      <c r="V180" s="76" t="s">
        <v>10</v>
      </c>
      <c r="W180" s="52">
        <v>0.1</v>
      </c>
      <c r="X180" s="10" t="s">
        <v>53</v>
      </c>
      <c r="Y180" s="10"/>
      <c r="Z180" s="9" t="s">
        <v>52</v>
      </c>
      <c r="AA180" s="113" t="s">
        <v>180</v>
      </c>
      <c r="AB180" s="109"/>
      <c r="AC180" s="58"/>
    </row>
    <row r="181" spans="1:29" ht="15.75" thickBot="1" x14ac:dyDescent="0.3">
      <c r="A181" s="326">
        <v>45915</v>
      </c>
      <c r="B181" s="207">
        <v>4</v>
      </c>
      <c r="C181" s="208"/>
      <c r="D181" s="207" t="s">
        <v>192</v>
      </c>
      <c r="E181" s="209">
        <v>2.46</v>
      </c>
      <c r="F181" s="209"/>
      <c r="G181" s="210">
        <v>3</v>
      </c>
      <c r="H181" s="210">
        <v>2</v>
      </c>
      <c r="I181" s="210"/>
      <c r="J181" s="211">
        <v>2.23</v>
      </c>
      <c r="K181" s="208"/>
      <c r="L181" s="207" t="s">
        <v>112</v>
      </c>
      <c r="M181" s="235"/>
      <c r="N181" s="198"/>
      <c r="O181" s="199" t="s">
        <v>192</v>
      </c>
      <c r="P181" s="199" t="s">
        <v>723</v>
      </c>
      <c r="Q181" s="199" t="s">
        <v>724</v>
      </c>
      <c r="R181" s="199" t="s">
        <v>707</v>
      </c>
      <c r="S181" s="200">
        <v>77</v>
      </c>
      <c r="T181" s="199"/>
      <c r="U181" s="199"/>
      <c r="V181" s="201"/>
      <c r="W181" s="202"/>
      <c r="X181" s="203"/>
      <c r="Y181" s="203">
        <v>2</v>
      </c>
      <c r="Z181" s="199"/>
      <c r="AA181" s="204"/>
      <c r="AB181" s="205"/>
      <c r="AC181" s="201"/>
    </row>
    <row r="182" spans="1:29" ht="15.75" thickBot="1" x14ac:dyDescent="0.3">
      <c r="A182" s="326">
        <v>45915</v>
      </c>
      <c r="B182" s="207">
        <v>4</v>
      </c>
      <c r="C182" s="208"/>
      <c r="D182" s="207" t="s">
        <v>192</v>
      </c>
      <c r="E182" s="209">
        <v>2.46</v>
      </c>
      <c r="F182" s="209"/>
      <c r="G182" s="210">
        <v>3</v>
      </c>
      <c r="H182" s="210">
        <v>2</v>
      </c>
      <c r="I182" s="210"/>
      <c r="J182" s="211">
        <v>2.23</v>
      </c>
      <c r="K182" s="208"/>
      <c r="L182" s="207" t="s">
        <v>112</v>
      </c>
      <c r="M182" s="235"/>
      <c r="N182" s="198"/>
      <c r="O182" s="199" t="s">
        <v>112</v>
      </c>
      <c r="P182" s="199" t="s">
        <v>60</v>
      </c>
      <c r="Q182" s="199" t="s">
        <v>464</v>
      </c>
      <c r="R182" s="199" t="s">
        <v>707</v>
      </c>
      <c r="S182" s="200">
        <v>57</v>
      </c>
      <c r="T182" s="199"/>
      <c r="U182" s="199"/>
      <c r="V182" s="201"/>
      <c r="W182" s="202"/>
      <c r="X182" s="203"/>
      <c r="Y182" s="203">
        <v>3</v>
      </c>
      <c r="Z182" s="199"/>
      <c r="AA182" s="204"/>
      <c r="AB182" s="205"/>
      <c r="AC182" s="201"/>
    </row>
    <row r="183" spans="1:29" x14ac:dyDescent="0.25">
      <c r="A183" s="331">
        <v>45924</v>
      </c>
      <c r="B183" s="13">
        <v>6</v>
      </c>
      <c r="C183" s="124" t="s">
        <v>692</v>
      </c>
      <c r="D183" s="13" t="s">
        <v>146</v>
      </c>
      <c r="E183" s="14">
        <v>2.76</v>
      </c>
      <c r="F183" s="14"/>
      <c r="G183" s="15">
        <v>1</v>
      </c>
      <c r="H183" s="15">
        <v>0</v>
      </c>
      <c r="I183" s="15"/>
      <c r="J183" s="16">
        <v>0.76</v>
      </c>
      <c r="K183" s="124" t="s">
        <v>701</v>
      </c>
      <c r="L183" s="13" t="s">
        <v>112</v>
      </c>
      <c r="M183" s="47"/>
      <c r="N183" s="98">
        <v>3</v>
      </c>
      <c r="O183" s="70" t="s">
        <v>146</v>
      </c>
      <c r="P183" s="70" t="s">
        <v>159</v>
      </c>
      <c r="Q183" s="70" t="s">
        <v>160</v>
      </c>
      <c r="R183" s="70" t="s">
        <v>684</v>
      </c>
      <c r="S183" s="227">
        <v>71</v>
      </c>
      <c r="T183" s="70" t="s">
        <v>41</v>
      </c>
      <c r="U183" s="70" t="s">
        <v>42</v>
      </c>
      <c r="V183" s="71" t="s">
        <v>10</v>
      </c>
      <c r="W183" s="54">
        <v>0.1</v>
      </c>
      <c r="X183" s="14" t="s">
        <v>53</v>
      </c>
      <c r="Y183" s="14"/>
      <c r="Z183" s="13" t="s">
        <v>52</v>
      </c>
      <c r="AA183" s="115" t="s">
        <v>28</v>
      </c>
      <c r="AB183" s="110"/>
      <c r="AC183" s="60"/>
    </row>
    <row r="184" spans="1:29" x14ac:dyDescent="0.25">
      <c r="A184" s="329">
        <v>45924</v>
      </c>
      <c r="B184" s="5">
        <v>6</v>
      </c>
      <c r="D184" s="5" t="s">
        <v>146</v>
      </c>
      <c r="E184" s="6">
        <v>2.76</v>
      </c>
      <c r="G184" s="7">
        <v>1</v>
      </c>
      <c r="H184" s="7">
        <v>0</v>
      </c>
      <c r="J184" s="8">
        <v>0.76</v>
      </c>
      <c r="L184" s="5" t="s">
        <v>112</v>
      </c>
      <c r="N184" s="56">
        <v>18</v>
      </c>
      <c r="O184" s="61" t="s">
        <v>146</v>
      </c>
      <c r="P184" s="61" t="s">
        <v>274</v>
      </c>
      <c r="Q184" s="61" t="s">
        <v>275</v>
      </c>
      <c r="R184" s="61" t="s">
        <v>685</v>
      </c>
      <c r="S184" s="218">
        <v>83</v>
      </c>
      <c r="T184" s="61" t="s">
        <v>41</v>
      </c>
      <c r="U184" s="61" t="s">
        <v>43</v>
      </c>
      <c r="V184" s="63" t="s">
        <v>10</v>
      </c>
      <c r="W184" s="51">
        <v>0.18</v>
      </c>
      <c r="X184" s="6">
        <v>0.68</v>
      </c>
      <c r="Z184" s="5" t="s">
        <v>48</v>
      </c>
      <c r="AA184" s="112" t="s">
        <v>28</v>
      </c>
    </row>
    <row r="185" spans="1:29" x14ac:dyDescent="0.25">
      <c r="A185" s="329">
        <v>45924</v>
      </c>
      <c r="B185" s="5">
        <v>6</v>
      </c>
      <c r="D185" s="5" t="s">
        <v>146</v>
      </c>
      <c r="E185" s="6">
        <v>2.76</v>
      </c>
      <c r="G185" s="7">
        <v>1</v>
      </c>
      <c r="H185" s="7">
        <v>0</v>
      </c>
      <c r="J185" s="8">
        <v>0.76</v>
      </c>
      <c r="L185" s="5" t="s">
        <v>112</v>
      </c>
      <c r="N185" s="56">
        <v>19</v>
      </c>
      <c r="O185" s="61" t="s">
        <v>146</v>
      </c>
      <c r="P185" s="61" t="s">
        <v>135</v>
      </c>
      <c r="Q185" s="61" t="s">
        <v>273</v>
      </c>
      <c r="R185" s="61" t="s">
        <v>689</v>
      </c>
      <c r="S185" s="218">
        <v>73</v>
      </c>
      <c r="T185" s="61" t="s">
        <v>47</v>
      </c>
      <c r="U185" s="61" t="s">
        <v>45</v>
      </c>
      <c r="V185" s="63" t="s">
        <v>20</v>
      </c>
      <c r="W185" s="51">
        <v>0.53</v>
      </c>
      <c r="X185" s="6" t="s">
        <v>53</v>
      </c>
      <c r="Y185" s="6" t="s">
        <v>353</v>
      </c>
      <c r="Z185" s="5" t="s">
        <v>13</v>
      </c>
      <c r="AA185" s="112" t="s">
        <v>28</v>
      </c>
    </row>
    <row r="186" spans="1:29" x14ac:dyDescent="0.25">
      <c r="A186" s="329">
        <v>45924</v>
      </c>
      <c r="B186" s="5">
        <v>6</v>
      </c>
      <c r="D186" s="5" t="s">
        <v>146</v>
      </c>
      <c r="E186" s="6">
        <v>2.76</v>
      </c>
      <c r="G186" s="7">
        <v>1</v>
      </c>
      <c r="H186" s="7">
        <v>0</v>
      </c>
      <c r="J186" s="8">
        <v>0.76</v>
      </c>
      <c r="L186" s="5" t="s">
        <v>112</v>
      </c>
      <c r="N186" s="56">
        <v>22</v>
      </c>
      <c r="O186" s="61" t="s">
        <v>146</v>
      </c>
      <c r="P186" s="61" t="s">
        <v>274</v>
      </c>
      <c r="Q186" s="61" t="s">
        <v>275</v>
      </c>
      <c r="R186" s="61" t="s">
        <v>685</v>
      </c>
      <c r="S186" s="218">
        <v>83</v>
      </c>
      <c r="T186" s="61" t="s">
        <v>41</v>
      </c>
      <c r="U186" s="61" t="s">
        <v>43</v>
      </c>
      <c r="V186" s="63" t="s">
        <v>10</v>
      </c>
      <c r="W186" s="51">
        <v>0.21</v>
      </c>
      <c r="X186" s="6" t="s">
        <v>53</v>
      </c>
      <c r="Z186" s="5" t="s">
        <v>13</v>
      </c>
      <c r="AA186" s="112" t="s">
        <v>28</v>
      </c>
    </row>
    <row r="187" spans="1:29" x14ac:dyDescent="0.25">
      <c r="A187" s="329">
        <v>45924</v>
      </c>
      <c r="B187" s="5">
        <v>6</v>
      </c>
      <c r="D187" s="5" t="s">
        <v>146</v>
      </c>
      <c r="E187" s="6">
        <v>2.76</v>
      </c>
      <c r="G187" s="7">
        <v>1</v>
      </c>
      <c r="H187" s="7">
        <v>0</v>
      </c>
      <c r="J187" s="8">
        <v>0.76</v>
      </c>
      <c r="L187" s="5" t="s">
        <v>112</v>
      </c>
      <c r="N187" s="56">
        <v>25</v>
      </c>
      <c r="O187" s="26" t="s">
        <v>112</v>
      </c>
      <c r="P187" s="26" t="s">
        <v>243</v>
      </c>
      <c r="Q187" s="26" t="s">
        <v>244</v>
      </c>
      <c r="R187" s="26" t="s">
        <v>717</v>
      </c>
      <c r="S187" s="213">
        <v>64</v>
      </c>
      <c r="T187" s="26" t="s">
        <v>41</v>
      </c>
      <c r="U187" s="26" t="s">
        <v>43</v>
      </c>
      <c r="V187" s="43" t="s">
        <v>10</v>
      </c>
      <c r="W187" s="51">
        <v>0.04</v>
      </c>
      <c r="X187" s="6">
        <v>0.12</v>
      </c>
      <c r="Z187" s="5" t="s">
        <v>48</v>
      </c>
      <c r="AA187" s="112" t="s">
        <v>28</v>
      </c>
    </row>
    <row r="188" spans="1:29" x14ac:dyDescent="0.25">
      <c r="A188" s="329">
        <v>45924</v>
      </c>
      <c r="B188" s="5">
        <v>6</v>
      </c>
      <c r="D188" s="5" t="s">
        <v>146</v>
      </c>
      <c r="E188" s="6">
        <v>2.76</v>
      </c>
      <c r="G188" s="7">
        <v>1</v>
      </c>
      <c r="H188" s="7">
        <v>0</v>
      </c>
      <c r="J188" s="8">
        <v>0.76</v>
      </c>
      <c r="L188" s="5" t="s">
        <v>112</v>
      </c>
      <c r="N188" s="56">
        <v>41</v>
      </c>
      <c r="O188" s="61" t="s">
        <v>146</v>
      </c>
      <c r="P188" s="61" t="s">
        <v>274</v>
      </c>
      <c r="Q188" s="61" t="s">
        <v>275</v>
      </c>
      <c r="R188" s="61" t="s">
        <v>685</v>
      </c>
      <c r="S188" s="218">
        <v>83</v>
      </c>
      <c r="T188" s="61" t="s">
        <v>41</v>
      </c>
      <c r="U188" s="61" t="s">
        <v>42</v>
      </c>
      <c r="V188" s="63" t="s">
        <v>10</v>
      </c>
      <c r="W188" s="51">
        <v>0.24</v>
      </c>
      <c r="X188" s="6" t="s">
        <v>53</v>
      </c>
      <c r="Y188" s="6" t="s">
        <v>353</v>
      </c>
      <c r="Z188" s="5" t="s">
        <v>13</v>
      </c>
      <c r="AA188" s="112" t="s">
        <v>28</v>
      </c>
    </row>
    <row r="189" spans="1:29" x14ac:dyDescent="0.25">
      <c r="A189" s="329">
        <v>45924</v>
      </c>
      <c r="B189" s="5">
        <v>6</v>
      </c>
      <c r="D189" s="5" t="s">
        <v>146</v>
      </c>
      <c r="E189" s="6">
        <v>2.76</v>
      </c>
      <c r="G189" s="7">
        <v>1</v>
      </c>
      <c r="H189" s="7">
        <v>0</v>
      </c>
      <c r="J189" s="8">
        <v>0.76</v>
      </c>
      <c r="L189" s="5" t="s">
        <v>112</v>
      </c>
      <c r="N189" s="56">
        <v>49</v>
      </c>
      <c r="O189" s="61" t="s">
        <v>146</v>
      </c>
      <c r="P189" s="61" t="s">
        <v>159</v>
      </c>
      <c r="Q189" s="61" t="s">
        <v>160</v>
      </c>
      <c r="R189" s="61" t="s">
        <v>684</v>
      </c>
      <c r="S189" s="218">
        <v>71</v>
      </c>
      <c r="T189" s="61" t="s">
        <v>47</v>
      </c>
      <c r="U189" s="61" t="s">
        <v>42</v>
      </c>
      <c r="V189" s="63" t="s">
        <v>10</v>
      </c>
      <c r="W189" s="51">
        <v>0.9</v>
      </c>
      <c r="X189" s="6">
        <v>0.99</v>
      </c>
      <c r="Y189" s="6" t="s">
        <v>353</v>
      </c>
      <c r="Z189" s="5" t="s">
        <v>8</v>
      </c>
      <c r="AA189" s="112" t="s">
        <v>19</v>
      </c>
      <c r="AB189" s="108" t="s">
        <v>274</v>
      </c>
      <c r="AC189" s="57" t="s">
        <v>275</v>
      </c>
    </row>
    <row r="190" spans="1:29" x14ac:dyDescent="0.25">
      <c r="A190" s="329">
        <v>45924</v>
      </c>
      <c r="B190" s="5">
        <v>6</v>
      </c>
      <c r="D190" s="5" t="s">
        <v>146</v>
      </c>
      <c r="E190" s="6">
        <v>2.76</v>
      </c>
      <c r="G190" s="7">
        <v>1</v>
      </c>
      <c r="H190" s="7">
        <v>0</v>
      </c>
      <c r="J190" s="8">
        <v>0.76</v>
      </c>
      <c r="L190" s="5" t="s">
        <v>112</v>
      </c>
      <c r="N190" s="56">
        <v>60</v>
      </c>
      <c r="O190" s="61" t="s">
        <v>146</v>
      </c>
      <c r="P190" s="61" t="s">
        <v>46</v>
      </c>
      <c r="Q190" s="61" t="s">
        <v>376</v>
      </c>
      <c r="R190" s="61" t="s">
        <v>691</v>
      </c>
      <c r="S190" s="218">
        <v>68</v>
      </c>
      <c r="T190" s="61" t="s">
        <v>44</v>
      </c>
      <c r="U190" s="61" t="s">
        <v>42</v>
      </c>
      <c r="V190" s="63" t="s">
        <v>540</v>
      </c>
      <c r="W190" s="51">
        <v>0.04</v>
      </c>
      <c r="X190" s="6">
        <v>0.18</v>
      </c>
      <c r="Z190" s="5" t="s">
        <v>48</v>
      </c>
      <c r="AA190" s="112" t="s">
        <v>19</v>
      </c>
    </row>
    <row r="191" spans="1:29" x14ac:dyDescent="0.25">
      <c r="A191" s="329">
        <v>45924</v>
      </c>
      <c r="B191" s="5">
        <v>6</v>
      </c>
      <c r="D191" s="5" t="s">
        <v>146</v>
      </c>
      <c r="E191" s="6">
        <v>2.76</v>
      </c>
      <c r="G191" s="7">
        <v>1</v>
      </c>
      <c r="H191" s="7">
        <v>0</v>
      </c>
      <c r="J191" s="8">
        <v>0.76</v>
      </c>
      <c r="L191" s="5" t="s">
        <v>112</v>
      </c>
      <c r="N191" s="56">
        <v>67</v>
      </c>
      <c r="O191" s="61" t="s">
        <v>146</v>
      </c>
      <c r="P191" s="61" t="s">
        <v>377</v>
      </c>
      <c r="Q191" s="61" t="s">
        <v>378</v>
      </c>
      <c r="R191" s="61" t="s">
        <v>712</v>
      </c>
      <c r="S191" s="218">
        <v>72</v>
      </c>
      <c r="T191" s="61" t="s">
        <v>41</v>
      </c>
      <c r="U191" s="61" t="s">
        <v>45</v>
      </c>
      <c r="V191" s="63" t="s">
        <v>20</v>
      </c>
      <c r="W191" s="51">
        <v>0.16</v>
      </c>
      <c r="X191" s="6" t="s">
        <v>53</v>
      </c>
      <c r="Z191" s="5" t="s">
        <v>13</v>
      </c>
      <c r="AA191" s="112" t="s">
        <v>19</v>
      </c>
    </row>
    <row r="192" spans="1:29" x14ac:dyDescent="0.25">
      <c r="A192" s="329">
        <v>45924</v>
      </c>
      <c r="B192" s="5">
        <v>6</v>
      </c>
      <c r="D192" s="5" t="s">
        <v>146</v>
      </c>
      <c r="E192" s="6">
        <v>2.76</v>
      </c>
      <c r="G192" s="7">
        <v>1</v>
      </c>
      <c r="H192" s="7">
        <v>0</v>
      </c>
      <c r="J192" s="8">
        <v>0.76</v>
      </c>
      <c r="L192" s="5" t="s">
        <v>112</v>
      </c>
      <c r="N192" s="56">
        <v>69</v>
      </c>
      <c r="O192" s="61" t="s">
        <v>146</v>
      </c>
      <c r="P192" s="61" t="s">
        <v>155</v>
      </c>
      <c r="Q192" s="61" t="s">
        <v>156</v>
      </c>
      <c r="R192" s="61" t="s">
        <v>686</v>
      </c>
      <c r="S192" s="218">
        <v>74</v>
      </c>
      <c r="T192" s="61" t="s">
        <v>41</v>
      </c>
      <c r="U192" s="61" t="s">
        <v>43</v>
      </c>
      <c r="V192" s="63" t="s">
        <v>10</v>
      </c>
      <c r="W192" s="51">
        <v>0.15</v>
      </c>
      <c r="X192" s="6" t="s">
        <v>53</v>
      </c>
      <c r="Y192" s="6" t="s">
        <v>353</v>
      </c>
      <c r="Z192" s="5" t="s">
        <v>52</v>
      </c>
      <c r="AA192" s="112" t="s">
        <v>19</v>
      </c>
    </row>
    <row r="193" spans="1:29" ht="15.75" thickBot="1" x14ac:dyDescent="0.3">
      <c r="A193" s="330">
        <v>45924</v>
      </c>
      <c r="B193" s="9">
        <v>6</v>
      </c>
      <c r="C193" s="122"/>
      <c r="D193" s="9" t="s">
        <v>146</v>
      </c>
      <c r="E193" s="10">
        <v>2.76</v>
      </c>
      <c r="F193" s="10"/>
      <c r="G193" s="11">
        <v>1</v>
      </c>
      <c r="H193" s="11">
        <v>0</v>
      </c>
      <c r="I193" s="11"/>
      <c r="J193" s="12">
        <v>0.76</v>
      </c>
      <c r="K193" s="122"/>
      <c r="L193" s="9" t="s">
        <v>112</v>
      </c>
      <c r="M193" s="45"/>
      <c r="N193" s="97">
        <v>69</v>
      </c>
      <c r="O193" s="74" t="s">
        <v>112</v>
      </c>
      <c r="P193" s="74" t="s">
        <v>243</v>
      </c>
      <c r="Q193" s="74" t="s">
        <v>244</v>
      </c>
      <c r="R193" s="74" t="s">
        <v>717</v>
      </c>
      <c r="S193" s="221">
        <v>64</v>
      </c>
      <c r="T193" s="74" t="s">
        <v>41</v>
      </c>
      <c r="U193" s="74" t="s">
        <v>43</v>
      </c>
      <c r="V193" s="76" t="s">
        <v>18</v>
      </c>
      <c r="W193" s="52">
        <v>0.47</v>
      </c>
      <c r="X193" s="10" t="s">
        <v>53</v>
      </c>
      <c r="Y193" s="10" t="s">
        <v>353</v>
      </c>
      <c r="Z193" s="9" t="s">
        <v>13</v>
      </c>
      <c r="AA193" s="113" t="s">
        <v>19</v>
      </c>
      <c r="AB193" s="109"/>
      <c r="AC193" s="58"/>
    </row>
    <row r="194" spans="1:29" ht="15.75" thickBot="1" x14ac:dyDescent="0.3">
      <c r="A194" s="326">
        <v>45924</v>
      </c>
      <c r="B194" s="207">
        <v>6</v>
      </c>
      <c r="C194" s="208"/>
      <c r="D194" s="207" t="s">
        <v>146</v>
      </c>
      <c r="E194" s="209">
        <v>2.76</v>
      </c>
      <c r="F194" s="209"/>
      <c r="G194" s="210">
        <v>1</v>
      </c>
      <c r="H194" s="210">
        <v>0</v>
      </c>
      <c r="I194" s="210"/>
      <c r="J194" s="211">
        <v>0.76</v>
      </c>
      <c r="K194" s="208"/>
      <c r="L194" s="207" t="s">
        <v>112</v>
      </c>
      <c r="M194" s="235"/>
      <c r="N194" s="198"/>
      <c r="O194" s="199" t="s">
        <v>146</v>
      </c>
      <c r="P194" s="199" t="s">
        <v>176</v>
      </c>
      <c r="Q194" s="199" t="s">
        <v>423</v>
      </c>
      <c r="R194" s="199" t="s">
        <v>707</v>
      </c>
      <c r="S194" s="200">
        <v>75</v>
      </c>
      <c r="T194" s="199"/>
      <c r="U194" s="199"/>
      <c r="V194" s="201"/>
      <c r="W194" s="202"/>
      <c r="X194" s="203"/>
      <c r="Y194" s="203">
        <v>0</v>
      </c>
      <c r="Z194" s="199"/>
      <c r="AA194" s="204"/>
      <c r="AB194" s="205"/>
      <c r="AC194" s="201"/>
    </row>
    <row r="195" spans="1:29" ht="15.75" thickBot="1" x14ac:dyDescent="0.3">
      <c r="A195" s="326">
        <v>45924</v>
      </c>
      <c r="B195" s="207">
        <v>6</v>
      </c>
      <c r="C195" s="208"/>
      <c r="D195" s="207" t="s">
        <v>146</v>
      </c>
      <c r="E195" s="209">
        <v>2.76</v>
      </c>
      <c r="F195" s="209"/>
      <c r="G195" s="210">
        <v>1</v>
      </c>
      <c r="H195" s="210">
        <v>0</v>
      </c>
      <c r="I195" s="210"/>
      <c r="J195" s="211">
        <v>0.76</v>
      </c>
      <c r="K195" s="208"/>
      <c r="L195" s="207" t="s">
        <v>112</v>
      </c>
      <c r="M195" s="235"/>
      <c r="N195" s="198"/>
      <c r="O195" s="199" t="s">
        <v>112</v>
      </c>
      <c r="P195" s="199" t="s">
        <v>60</v>
      </c>
      <c r="Q195" s="199" t="s">
        <v>464</v>
      </c>
      <c r="R195" s="199" t="s">
        <v>707</v>
      </c>
      <c r="S195" s="200">
        <v>71</v>
      </c>
      <c r="T195" s="199"/>
      <c r="U195" s="199"/>
      <c r="V195" s="201"/>
      <c r="W195" s="202"/>
      <c r="X195" s="203"/>
      <c r="Y195" s="203">
        <v>1</v>
      </c>
      <c r="Z195" s="199"/>
      <c r="AA195" s="204"/>
      <c r="AB195" s="205"/>
      <c r="AC195" s="201"/>
    </row>
    <row r="196" spans="1:29" x14ac:dyDescent="0.25">
      <c r="A196" s="331">
        <v>45934</v>
      </c>
      <c r="B196" s="13">
        <v>8</v>
      </c>
      <c r="C196" s="124" t="s">
        <v>693</v>
      </c>
      <c r="D196" s="13" t="s">
        <v>170</v>
      </c>
      <c r="E196" s="14">
        <v>2.0499999999999998</v>
      </c>
      <c r="F196" s="14"/>
      <c r="G196" s="15">
        <v>2</v>
      </c>
      <c r="H196" s="15">
        <v>1</v>
      </c>
      <c r="I196" s="15"/>
      <c r="J196" s="16">
        <v>0.32</v>
      </c>
      <c r="K196" s="124" t="s">
        <v>693</v>
      </c>
      <c r="L196" s="13" t="s">
        <v>112</v>
      </c>
      <c r="M196" s="47" t="s">
        <v>562</v>
      </c>
      <c r="N196" s="98">
        <v>2</v>
      </c>
      <c r="O196" s="70" t="s">
        <v>170</v>
      </c>
      <c r="P196" s="70" t="s">
        <v>374</v>
      </c>
      <c r="Q196" s="70" t="s">
        <v>521</v>
      </c>
      <c r="R196" s="70" t="s">
        <v>713</v>
      </c>
      <c r="S196" s="227">
        <v>68</v>
      </c>
      <c r="T196" s="70" t="s">
        <v>41</v>
      </c>
      <c r="U196" s="70" t="s">
        <v>43</v>
      </c>
      <c r="V196" s="71" t="s">
        <v>33</v>
      </c>
      <c r="W196" s="54">
        <v>0.2</v>
      </c>
      <c r="X196" s="14">
        <v>0.13</v>
      </c>
      <c r="Y196" s="14"/>
      <c r="Z196" s="13" t="s">
        <v>48</v>
      </c>
      <c r="AA196" s="115" t="s">
        <v>28</v>
      </c>
      <c r="AB196" s="110"/>
      <c r="AC196" s="60"/>
    </row>
    <row r="197" spans="1:29" x14ac:dyDescent="0.25">
      <c r="A197" s="329">
        <v>45934</v>
      </c>
      <c r="B197" s="5">
        <v>8</v>
      </c>
      <c r="D197" s="5" t="s">
        <v>170</v>
      </c>
      <c r="E197" s="6">
        <v>2.0499999999999998</v>
      </c>
      <c r="G197" s="7">
        <v>2</v>
      </c>
      <c r="H197" s="7">
        <v>1</v>
      </c>
      <c r="J197" s="8">
        <v>0.32</v>
      </c>
      <c r="L197" s="5" t="s">
        <v>112</v>
      </c>
      <c r="M197" s="44" t="s">
        <v>562</v>
      </c>
      <c r="N197" s="56">
        <v>3</v>
      </c>
      <c r="O197" s="61" t="s">
        <v>170</v>
      </c>
      <c r="P197" s="61" t="s">
        <v>379</v>
      </c>
      <c r="Q197" s="61" t="s">
        <v>380</v>
      </c>
      <c r="R197" s="61" t="s">
        <v>699</v>
      </c>
      <c r="S197" s="218">
        <v>65</v>
      </c>
      <c r="T197" s="61" t="s">
        <v>41</v>
      </c>
      <c r="U197" s="61" t="s">
        <v>42</v>
      </c>
      <c r="V197" s="63" t="s">
        <v>10</v>
      </c>
      <c r="W197" s="51">
        <v>0.11</v>
      </c>
      <c r="X197" s="6" t="s">
        <v>53</v>
      </c>
      <c r="Z197" s="5" t="s">
        <v>52</v>
      </c>
      <c r="AA197" s="112" t="s">
        <v>28</v>
      </c>
    </row>
    <row r="198" spans="1:29" x14ac:dyDescent="0.25">
      <c r="A198" s="329">
        <v>45934</v>
      </c>
      <c r="B198" s="5">
        <v>8</v>
      </c>
      <c r="D198" s="5" t="s">
        <v>170</v>
      </c>
      <c r="E198" s="6">
        <v>2.0499999999999998</v>
      </c>
      <c r="G198" s="7">
        <v>2</v>
      </c>
      <c r="H198" s="7">
        <v>1</v>
      </c>
      <c r="J198" s="8">
        <v>0.32</v>
      </c>
      <c r="L198" s="5" t="s">
        <v>112</v>
      </c>
      <c r="M198" s="44" t="s">
        <v>562</v>
      </c>
      <c r="N198" s="56">
        <v>5</v>
      </c>
      <c r="O198" s="61" t="s">
        <v>170</v>
      </c>
      <c r="P198" s="61" t="s">
        <v>178</v>
      </c>
      <c r="Q198" s="61" t="s">
        <v>179</v>
      </c>
      <c r="R198" s="61" t="s">
        <v>685</v>
      </c>
      <c r="S198" s="218">
        <v>69</v>
      </c>
      <c r="T198" s="61" t="s">
        <v>41</v>
      </c>
      <c r="U198" s="61" t="s">
        <v>42</v>
      </c>
      <c r="V198" s="63" t="s">
        <v>540</v>
      </c>
      <c r="W198" s="51">
        <v>0.2</v>
      </c>
      <c r="X198" s="6" t="s">
        <v>53</v>
      </c>
      <c r="Z198" s="5" t="s">
        <v>13</v>
      </c>
      <c r="AA198" s="112" t="s">
        <v>28</v>
      </c>
    </row>
    <row r="199" spans="1:29" x14ac:dyDescent="0.25">
      <c r="A199" s="329">
        <v>45934</v>
      </c>
      <c r="B199" s="5">
        <v>8</v>
      </c>
      <c r="D199" s="5" t="s">
        <v>170</v>
      </c>
      <c r="E199" s="6">
        <v>2.0499999999999998</v>
      </c>
      <c r="G199" s="7">
        <v>2</v>
      </c>
      <c r="H199" s="7">
        <v>1</v>
      </c>
      <c r="J199" s="8">
        <v>0.32</v>
      </c>
      <c r="L199" s="5" t="s">
        <v>112</v>
      </c>
      <c r="M199" s="44" t="s">
        <v>562</v>
      </c>
      <c r="N199" s="56">
        <v>9</v>
      </c>
      <c r="O199" s="61" t="s">
        <v>170</v>
      </c>
      <c r="P199" s="61" t="s">
        <v>295</v>
      </c>
      <c r="Q199" s="61" t="s">
        <v>175</v>
      </c>
      <c r="R199" s="61" t="s">
        <v>684</v>
      </c>
      <c r="S199" s="218">
        <v>78</v>
      </c>
      <c r="T199" s="61" t="s">
        <v>41</v>
      </c>
      <c r="U199" s="61" t="s">
        <v>42</v>
      </c>
      <c r="V199" s="63" t="s">
        <v>7</v>
      </c>
      <c r="W199" s="51">
        <v>0.79</v>
      </c>
      <c r="X199" s="6">
        <v>0.79</v>
      </c>
      <c r="Y199" s="6" t="s">
        <v>353</v>
      </c>
      <c r="Z199" s="5" t="s">
        <v>8</v>
      </c>
      <c r="AA199" s="112" t="s">
        <v>19</v>
      </c>
    </row>
    <row r="200" spans="1:29" x14ac:dyDescent="0.25">
      <c r="A200" s="329">
        <v>45934</v>
      </c>
      <c r="B200" s="5">
        <v>8</v>
      </c>
      <c r="D200" s="5" t="s">
        <v>170</v>
      </c>
      <c r="E200" s="6">
        <v>2.0499999999999998</v>
      </c>
      <c r="G200" s="7">
        <v>2</v>
      </c>
      <c r="H200" s="7">
        <v>1</v>
      </c>
      <c r="J200" s="8">
        <v>0.32</v>
      </c>
      <c r="L200" s="5" t="s">
        <v>112</v>
      </c>
      <c r="M200" s="44" t="s">
        <v>562</v>
      </c>
      <c r="N200" s="56">
        <v>16</v>
      </c>
      <c r="O200" s="61" t="s">
        <v>170</v>
      </c>
      <c r="P200" s="61" t="s">
        <v>174</v>
      </c>
      <c r="Q200" s="61" t="s">
        <v>560</v>
      </c>
      <c r="R200" s="61" t="s">
        <v>686</v>
      </c>
      <c r="S200" s="218">
        <v>67</v>
      </c>
      <c r="T200" s="61" t="s">
        <v>41</v>
      </c>
      <c r="U200" s="61" t="s">
        <v>43</v>
      </c>
      <c r="V200" s="63" t="s">
        <v>10</v>
      </c>
      <c r="W200" s="51">
        <v>0.13</v>
      </c>
      <c r="X200" s="6" t="s">
        <v>53</v>
      </c>
      <c r="Z200" s="5" t="s">
        <v>52</v>
      </c>
      <c r="AA200" s="112" t="s">
        <v>19</v>
      </c>
    </row>
    <row r="201" spans="1:29" x14ac:dyDescent="0.25">
      <c r="A201" s="329">
        <v>45934</v>
      </c>
      <c r="B201" s="5">
        <v>8</v>
      </c>
      <c r="D201" s="5" t="s">
        <v>170</v>
      </c>
      <c r="E201" s="6">
        <v>2.0499999999999998</v>
      </c>
      <c r="G201" s="7">
        <v>2</v>
      </c>
      <c r="H201" s="7">
        <v>1</v>
      </c>
      <c r="J201" s="8">
        <v>0.32</v>
      </c>
      <c r="L201" s="5" t="s">
        <v>112</v>
      </c>
      <c r="M201" s="44" t="s">
        <v>562</v>
      </c>
      <c r="N201" s="56">
        <v>21</v>
      </c>
      <c r="O201" s="61" t="s">
        <v>170</v>
      </c>
      <c r="P201" s="61" t="s">
        <v>174</v>
      </c>
      <c r="Q201" s="61" t="s">
        <v>560</v>
      </c>
      <c r="R201" s="61" t="s">
        <v>686</v>
      </c>
      <c r="S201" s="218">
        <v>67</v>
      </c>
      <c r="T201" s="61" t="s">
        <v>41</v>
      </c>
      <c r="U201" s="61" t="s">
        <v>43</v>
      </c>
      <c r="V201" s="63" t="s">
        <v>540</v>
      </c>
      <c r="W201" s="51">
        <v>0.11</v>
      </c>
      <c r="X201" s="6" t="s">
        <v>53</v>
      </c>
      <c r="Z201" s="5" t="s">
        <v>52</v>
      </c>
      <c r="AA201" s="112" t="s">
        <v>19</v>
      </c>
    </row>
    <row r="202" spans="1:29" x14ac:dyDescent="0.25">
      <c r="A202" s="329">
        <v>45934</v>
      </c>
      <c r="B202" s="5">
        <v>8</v>
      </c>
      <c r="D202" s="5" t="s">
        <v>170</v>
      </c>
      <c r="E202" s="6">
        <v>2.0499999999999998</v>
      </c>
      <c r="G202" s="7">
        <v>2</v>
      </c>
      <c r="H202" s="7">
        <v>1</v>
      </c>
      <c r="J202" s="8">
        <v>0.32</v>
      </c>
      <c r="L202" s="5" t="s">
        <v>112</v>
      </c>
      <c r="M202" s="44" t="s">
        <v>562</v>
      </c>
      <c r="N202" s="56">
        <v>72</v>
      </c>
      <c r="O202" s="26" t="s">
        <v>112</v>
      </c>
      <c r="P202" s="26" t="s">
        <v>114</v>
      </c>
      <c r="Q202" s="26" t="s">
        <v>115</v>
      </c>
      <c r="R202" s="26" t="s">
        <v>684</v>
      </c>
      <c r="S202" s="213">
        <v>65</v>
      </c>
      <c r="T202" s="26" t="s">
        <v>41</v>
      </c>
      <c r="U202" s="26" t="s">
        <v>45</v>
      </c>
      <c r="V202" s="43" t="s">
        <v>10</v>
      </c>
      <c r="W202" s="51">
        <v>0.25</v>
      </c>
      <c r="X202" s="6" t="s">
        <v>53</v>
      </c>
      <c r="Y202" s="6" t="s">
        <v>353</v>
      </c>
      <c r="Z202" s="5" t="s">
        <v>13</v>
      </c>
      <c r="AA202" s="112" t="s">
        <v>19</v>
      </c>
    </row>
    <row r="203" spans="1:29" x14ac:dyDescent="0.25">
      <c r="A203" s="329">
        <v>45934</v>
      </c>
      <c r="B203" s="5">
        <v>8</v>
      </c>
      <c r="D203" s="5" t="s">
        <v>170</v>
      </c>
      <c r="E203" s="6">
        <v>2.0499999999999998</v>
      </c>
      <c r="G203" s="7">
        <v>2</v>
      </c>
      <c r="H203" s="7">
        <v>1</v>
      </c>
      <c r="J203" s="8">
        <v>0.32</v>
      </c>
      <c r="L203" s="5" t="s">
        <v>112</v>
      </c>
      <c r="M203" s="44" t="s">
        <v>562</v>
      </c>
      <c r="N203" s="56">
        <v>77</v>
      </c>
      <c r="O203" s="26" t="s">
        <v>112</v>
      </c>
      <c r="P203" s="26" t="s">
        <v>558</v>
      </c>
      <c r="Q203" s="26" t="s">
        <v>559</v>
      </c>
      <c r="R203" s="26" t="s">
        <v>687</v>
      </c>
      <c r="S203" s="213">
        <v>83</v>
      </c>
      <c r="T203" s="26" t="s">
        <v>44</v>
      </c>
      <c r="U203" s="26" t="s">
        <v>43</v>
      </c>
      <c r="V203" s="43" t="s">
        <v>10</v>
      </c>
      <c r="W203" s="51">
        <v>0.01</v>
      </c>
      <c r="X203" s="6">
        <v>0.04</v>
      </c>
      <c r="Z203" s="5" t="s">
        <v>8</v>
      </c>
      <c r="AA203" s="112" t="s">
        <v>51</v>
      </c>
      <c r="AB203" s="108" t="s">
        <v>243</v>
      </c>
      <c r="AC203" s="57" t="s">
        <v>244</v>
      </c>
    </row>
    <row r="204" spans="1:29" x14ac:dyDescent="0.25">
      <c r="A204" s="329">
        <v>45934</v>
      </c>
      <c r="B204" s="5">
        <v>8</v>
      </c>
      <c r="D204" s="5" t="s">
        <v>170</v>
      </c>
      <c r="E204" s="6">
        <v>2.0499999999999998</v>
      </c>
      <c r="G204" s="7">
        <v>2</v>
      </c>
      <c r="H204" s="7">
        <v>1</v>
      </c>
      <c r="J204" s="8">
        <v>0.32</v>
      </c>
      <c r="L204" s="5" t="s">
        <v>112</v>
      </c>
      <c r="M204" s="44" t="s">
        <v>562</v>
      </c>
      <c r="N204" s="56">
        <v>79</v>
      </c>
      <c r="O204" s="26" t="s">
        <v>112</v>
      </c>
      <c r="P204" s="26" t="s">
        <v>365</v>
      </c>
      <c r="Q204" s="26" t="s">
        <v>418</v>
      </c>
      <c r="R204" s="26" t="s">
        <v>713</v>
      </c>
      <c r="S204" s="213">
        <v>57</v>
      </c>
      <c r="T204" s="26" t="s">
        <v>354</v>
      </c>
      <c r="U204" s="26" t="s">
        <v>42</v>
      </c>
      <c r="V204" s="43" t="s">
        <v>10</v>
      </c>
      <c r="W204" s="51">
        <v>0.02</v>
      </c>
      <c r="X204" s="6">
        <v>0.15</v>
      </c>
      <c r="Z204" s="5" t="s">
        <v>48</v>
      </c>
      <c r="AA204" s="112" t="s">
        <v>51</v>
      </c>
    </row>
    <row r="205" spans="1:29" ht="15.75" thickBot="1" x14ac:dyDescent="0.3">
      <c r="A205" s="330">
        <v>45934</v>
      </c>
      <c r="B205" s="9">
        <v>8</v>
      </c>
      <c r="C205" s="122"/>
      <c r="D205" s="9" t="s">
        <v>170</v>
      </c>
      <c r="E205" s="10">
        <v>2.0499999999999998</v>
      </c>
      <c r="F205" s="10"/>
      <c r="G205" s="11">
        <v>2</v>
      </c>
      <c r="H205" s="11">
        <v>1</v>
      </c>
      <c r="I205" s="11"/>
      <c r="J205" s="12">
        <v>0.32</v>
      </c>
      <c r="K205" s="122"/>
      <c r="L205" s="9" t="s">
        <v>112</v>
      </c>
      <c r="M205" s="45" t="s">
        <v>562</v>
      </c>
      <c r="N205" s="97">
        <v>82</v>
      </c>
      <c r="O205" s="66" t="s">
        <v>170</v>
      </c>
      <c r="P205" s="66" t="s">
        <v>347</v>
      </c>
      <c r="Q205" s="66" t="s">
        <v>561</v>
      </c>
      <c r="R205" s="66" t="s">
        <v>696</v>
      </c>
      <c r="S205" s="219">
        <v>75</v>
      </c>
      <c r="T205" s="66" t="s">
        <v>41</v>
      </c>
      <c r="U205" s="66" t="s">
        <v>42</v>
      </c>
      <c r="V205" s="67" t="s">
        <v>20</v>
      </c>
      <c r="W205" s="52">
        <v>0.13</v>
      </c>
      <c r="X205" s="10">
        <v>0.66</v>
      </c>
      <c r="Y205" s="10" t="s">
        <v>353</v>
      </c>
      <c r="Z205" s="9" t="s">
        <v>8</v>
      </c>
      <c r="AA205" s="113" t="s">
        <v>34</v>
      </c>
      <c r="AB205" s="109" t="s">
        <v>306</v>
      </c>
      <c r="AC205" s="58" t="s">
        <v>471</v>
      </c>
    </row>
    <row r="206" spans="1:29" ht="15.75" thickBot="1" x14ac:dyDescent="0.3">
      <c r="A206" s="326">
        <v>45934</v>
      </c>
      <c r="B206" s="207">
        <v>8</v>
      </c>
      <c r="C206" s="208"/>
      <c r="D206" s="207" t="s">
        <v>170</v>
      </c>
      <c r="E206" s="209">
        <v>2.0499999999999998</v>
      </c>
      <c r="F206" s="209"/>
      <c r="G206" s="210">
        <v>2</v>
      </c>
      <c r="H206" s="210">
        <v>1</v>
      </c>
      <c r="I206" s="210"/>
      <c r="J206" s="211">
        <v>0.32</v>
      </c>
      <c r="K206" s="208"/>
      <c r="L206" s="207" t="s">
        <v>112</v>
      </c>
      <c r="M206" s="235"/>
      <c r="N206" s="198"/>
      <c r="O206" s="199" t="s">
        <v>170</v>
      </c>
      <c r="P206" s="199" t="s">
        <v>269</v>
      </c>
      <c r="Q206" s="199" t="s">
        <v>722</v>
      </c>
      <c r="R206" s="199" t="s">
        <v>707</v>
      </c>
      <c r="S206" s="200">
        <v>67</v>
      </c>
      <c r="T206" s="199"/>
      <c r="U206" s="199"/>
      <c r="V206" s="201"/>
      <c r="W206" s="202"/>
      <c r="X206" s="203"/>
      <c r="Y206" s="203">
        <v>1</v>
      </c>
      <c r="Z206" s="199"/>
      <c r="AA206" s="204"/>
      <c r="AB206" s="205"/>
      <c r="AC206" s="201"/>
    </row>
    <row r="207" spans="1:29" ht="15.75" thickBot="1" x14ac:dyDescent="0.3">
      <c r="A207" s="326">
        <v>45934</v>
      </c>
      <c r="B207" s="207">
        <v>8</v>
      </c>
      <c r="C207" s="208"/>
      <c r="D207" s="207" t="s">
        <v>170</v>
      </c>
      <c r="E207" s="209">
        <v>2.0499999999999998</v>
      </c>
      <c r="F207" s="209"/>
      <c r="G207" s="210">
        <v>2</v>
      </c>
      <c r="H207" s="210">
        <v>1</v>
      </c>
      <c r="I207" s="210"/>
      <c r="J207" s="211">
        <v>0.32</v>
      </c>
      <c r="K207" s="208"/>
      <c r="L207" s="207" t="s">
        <v>112</v>
      </c>
      <c r="M207" s="235"/>
      <c r="N207" s="198"/>
      <c r="O207" s="199" t="s">
        <v>112</v>
      </c>
      <c r="P207" s="199" t="s">
        <v>60</v>
      </c>
      <c r="Q207" s="199" t="s">
        <v>464</v>
      </c>
      <c r="R207" s="199" t="s">
        <v>707</v>
      </c>
      <c r="S207" s="200">
        <v>74</v>
      </c>
      <c r="T207" s="199"/>
      <c r="U207" s="199"/>
      <c r="V207" s="201"/>
      <c r="W207" s="202"/>
      <c r="X207" s="203"/>
      <c r="Y207" s="203">
        <v>2</v>
      </c>
      <c r="Z207" s="199"/>
      <c r="AA207" s="204"/>
      <c r="AB207" s="205"/>
      <c r="AC207" s="201"/>
    </row>
    <row r="208" spans="1:29" x14ac:dyDescent="0.25">
      <c r="A208" s="323">
        <v>45914</v>
      </c>
      <c r="B208" s="136">
        <v>4</v>
      </c>
      <c r="C208" s="137" t="s">
        <v>693</v>
      </c>
      <c r="D208" s="136" t="s">
        <v>113</v>
      </c>
      <c r="E208" s="138">
        <v>4.0199999999999996</v>
      </c>
      <c r="F208" s="138"/>
      <c r="G208" s="139">
        <v>6</v>
      </c>
      <c r="H208" s="139">
        <v>0</v>
      </c>
      <c r="I208" s="139"/>
      <c r="J208" s="140">
        <v>0.18</v>
      </c>
      <c r="K208" s="137" t="s">
        <v>701</v>
      </c>
      <c r="L208" s="136" t="s">
        <v>145</v>
      </c>
      <c r="M208" s="141"/>
      <c r="N208" s="142">
        <v>5</v>
      </c>
      <c r="O208" s="64" t="s">
        <v>113</v>
      </c>
      <c r="P208" s="64" t="s">
        <v>267</v>
      </c>
      <c r="Q208" s="64" t="s">
        <v>75</v>
      </c>
      <c r="R208" s="64" t="s">
        <v>713</v>
      </c>
      <c r="S208" s="217">
        <v>75</v>
      </c>
      <c r="T208" s="64" t="s">
        <v>47</v>
      </c>
      <c r="U208" s="64" t="s">
        <v>45</v>
      </c>
      <c r="V208" s="65" t="s">
        <v>20</v>
      </c>
      <c r="W208" s="167">
        <v>0.1</v>
      </c>
      <c r="X208" s="138" t="s">
        <v>53</v>
      </c>
      <c r="Y208" s="138"/>
      <c r="Z208" s="136" t="s">
        <v>13</v>
      </c>
      <c r="AA208" s="168" t="s">
        <v>28</v>
      </c>
      <c r="AB208" s="169"/>
      <c r="AC208" s="170"/>
    </row>
    <row r="209" spans="1:29" x14ac:dyDescent="0.25">
      <c r="A209" s="335"/>
      <c r="B209" s="263"/>
      <c r="C209" s="264"/>
      <c r="D209" s="263"/>
      <c r="E209" s="265"/>
      <c r="F209" s="265"/>
      <c r="G209" s="266"/>
      <c r="H209" s="266"/>
      <c r="I209" s="266"/>
      <c r="J209" s="267"/>
      <c r="K209" s="264"/>
      <c r="L209" s="263"/>
      <c r="M209" s="268"/>
      <c r="N209" s="269"/>
      <c r="O209" s="263"/>
      <c r="P209" s="263"/>
      <c r="Q209" s="263"/>
      <c r="R209" s="263"/>
      <c r="S209" s="266"/>
      <c r="T209" s="263"/>
      <c r="U209" s="263"/>
      <c r="V209" s="270"/>
      <c r="W209" s="271"/>
      <c r="X209" s="265"/>
      <c r="Y209" s="265" t="s">
        <v>741</v>
      </c>
      <c r="Z209" s="263"/>
      <c r="AA209" s="272"/>
      <c r="AB209" s="273"/>
      <c r="AC209" s="270"/>
    </row>
    <row r="210" spans="1:29" x14ac:dyDescent="0.25">
      <c r="A210" s="324">
        <v>45914</v>
      </c>
      <c r="B210" s="144">
        <v>4</v>
      </c>
      <c r="C210" s="145"/>
      <c r="D210" s="144" t="s">
        <v>113</v>
      </c>
      <c r="E210" s="146">
        <v>4.0199999999999996</v>
      </c>
      <c r="F210" s="146"/>
      <c r="G210" s="147">
        <v>6</v>
      </c>
      <c r="H210" s="147">
        <v>0</v>
      </c>
      <c r="I210" s="147"/>
      <c r="J210" s="148">
        <v>0.18</v>
      </c>
      <c r="K210" s="145"/>
      <c r="L210" s="144" t="s">
        <v>145</v>
      </c>
      <c r="M210" s="149"/>
      <c r="N210" s="150">
        <v>10</v>
      </c>
      <c r="O210" s="61" t="s">
        <v>113</v>
      </c>
      <c r="P210" s="61" t="s">
        <v>118</v>
      </c>
      <c r="Q210" s="61" t="s">
        <v>119</v>
      </c>
      <c r="R210" s="61" t="s">
        <v>684</v>
      </c>
      <c r="S210" s="218">
        <v>63</v>
      </c>
      <c r="T210" s="61" t="s">
        <v>41</v>
      </c>
      <c r="U210" s="61" t="s">
        <v>42</v>
      </c>
      <c r="V210" s="63" t="s">
        <v>10</v>
      </c>
      <c r="W210" s="171">
        <v>0.68</v>
      </c>
      <c r="X210" s="146" t="s">
        <v>53</v>
      </c>
      <c r="Y210" s="146" t="s">
        <v>353</v>
      </c>
      <c r="Z210" s="144" t="s">
        <v>55</v>
      </c>
      <c r="AA210" s="172" t="s">
        <v>28</v>
      </c>
      <c r="AB210" s="173"/>
      <c r="AC210" s="174"/>
    </row>
    <row r="211" spans="1:29" x14ac:dyDescent="0.25">
      <c r="A211" s="324">
        <v>45914</v>
      </c>
      <c r="B211" s="144">
        <v>4</v>
      </c>
      <c r="C211" s="145"/>
      <c r="D211" s="144" t="s">
        <v>113</v>
      </c>
      <c r="E211" s="146">
        <v>4.0199999999999996</v>
      </c>
      <c r="F211" s="146"/>
      <c r="G211" s="147">
        <v>6</v>
      </c>
      <c r="H211" s="147">
        <v>0</v>
      </c>
      <c r="I211" s="147"/>
      <c r="J211" s="148">
        <v>0.18</v>
      </c>
      <c r="K211" s="145"/>
      <c r="L211" s="144" t="s">
        <v>145</v>
      </c>
      <c r="M211" s="149"/>
      <c r="N211" s="150">
        <v>19</v>
      </c>
      <c r="O211" s="61" t="s">
        <v>113</v>
      </c>
      <c r="P211" s="61" t="s">
        <v>118</v>
      </c>
      <c r="Q211" s="61" t="s">
        <v>119</v>
      </c>
      <c r="R211" s="61" t="s">
        <v>684</v>
      </c>
      <c r="S211" s="218">
        <v>63</v>
      </c>
      <c r="T211" s="61" t="s">
        <v>41</v>
      </c>
      <c r="U211" s="61" t="s">
        <v>42</v>
      </c>
      <c r="V211" s="63" t="s">
        <v>10</v>
      </c>
      <c r="W211" s="171">
        <v>0.12</v>
      </c>
      <c r="X211" s="146" t="s">
        <v>53</v>
      </c>
      <c r="Y211" s="146"/>
      <c r="Z211" s="144" t="s">
        <v>52</v>
      </c>
      <c r="AA211" s="172" t="s">
        <v>28</v>
      </c>
      <c r="AB211" s="173"/>
      <c r="AC211" s="174"/>
    </row>
    <row r="212" spans="1:29" x14ac:dyDescent="0.25">
      <c r="A212" s="324">
        <v>45914</v>
      </c>
      <c r="B212" s="144">
        <v>4</v>
      </c>
      <c r="C212" s="145"/>
      <c r="D212" s="144" t="s">
        <v>113</v>
      </c>
      <c r="E212" s="146">
        <v>4.0199999999999996</v>
      </c>
      <c r="F212" s="146"/>
      <c r="G212" s="147">
        <v>6</v>
      </c>
      <c r="H212" s="147">
        <v>0</v>
      </c>
      <c r="I212" s="147"/>
      <c r="J212" s="148">
        <v>0.18</v>
      </c>
      <c r="K212" s="145"/>
      <c r="L212" s="144" t="s">
        <v>145</v>
      </c>
      <c r="M212" s="149"/>
      <c r="N212" s="150">
        <v>29</v>
      </c>
      <c r="O212" s="61" t="s">
        <v>113</v>
      </c>
      <c r="P212" s="61" t="s">
        <v>406</v>
      </c>
      <c r="Q212" s="61" t="s">
        <v>150</v>
      </c>
      <c r="R212" s="61" t="s">
        <v>699</v>
      </c>
      <c r="S212" s="218">
        <v>95</v>
      </c>
      <c r="T212" s="61" t="s">
        <v>41</v>
      </c>
      <c r="U212" s="61" t="s">
        <v>42</v>
      </c>
      <c r="V212" s="63" t="s">
        <v>10</v>
      </c>
      <c r="W212" s="171">
        <v>0.13</v>
      </c>
      <c r="X212" s="146">
        <v>0.13</v>
      </c>
      <c r="Y212" s="146"/>
      <c r="Z212" s="144" t="s">
        <v>8</v>
      </c>
      <c r="AA212" s="172" t="s">
        <v>19</v>
      </c>
      <c r="AB212" s="173" t="s">
        <v>118</v>
      </c>
      <c r="AC212" s="174" t="s">
        <v>119</v>
      </c>
    </row>
    <row r="213" spans="1:29" x14ac:dyDescent="0.25">
      <c r="A213" s="324">
        <v>45914</v>
      </c>
      <c r="B213" s="144">
        <v>4</v>
      </c>
      <c r="C213" s="145"/>
      <c r="D213" s="144" t="s">
        <v>113</v>
      </c>
      <c r="E213" s="146">
        <v>4.0199999999999996</v>
      </c>
      <c r="F213" s="146"/>
      <c r="G213" s="147">
        <v>6</v>
      </c>
      <c r="H213" s="147">
        <v>0</v>
      </c>
      <c r="I213" s="147"/>
      <c r="J213" s="148">
        <v>0.18</v>
      </c>
      <c r="K213" s="145"/>
      <c r="L213" s="144" t="s">
        <v>145</v>
      </c>
      <c r="M213" s="149"/>
      <c r="N213" s="150">
        <v>48</v>
      </c>
      <c r="O213" s="61" t="s">
        <v>113</v>
      </c>
      <c r="P213" s="61" t="s">
        <v>118</v>
      </c>
      <c r="Q213" s="61" t="s">
        <v>119</v>
      </c>
      <c r="R213" s="61" t="s">
        <v>684</v>
      </c>
      <c r="S213" s="218">
        <v>63</v>
      </c>
      <c r="T213" s="61" t="s">
        <v>41</v>
      </c>
      <c r="U213" s="61" t="s">
        <v>42</v>
      </c>
      <c r="V213" s="63" t="s">
        <v>10</v>
      </c>
      <c r="W213" s="171">
        <v>0.41</v>
      </c>
      <c r="X213" s="146" t="s">
        <v>53</v>
      </c>
      <c r="Y213" s="146" t="s">
        <v>353</v>
      </c>
      <c r="Z213" s="144" t="s">
        <v>17</v>
      </c>
      <c r="AA213" s="172" t="s">
        <v>19</v>
      </c>
      <c r="AB213" s="173"/>
      <c r="AC213" s="174"/>
    </row>
    <row r="214" spans="1:29" x14ac:dyDescent="0.25">
      <c r="A214" s="324">
        <v>45914</v>
      </c>
      <c r="B214" s="144">
        <v>4</v>
      </c>
      <c r="C214" s="145"/>
      <c r="D214" s="144" t="s">
        <v>113</v>
      </c>
      <c r="E214" s="146">
        <v>4.0199999999999996</v>
      </c>
      <c r="F214" s="146"/>
      <c r="G214" s="147">
        <v>6</v>
      </c>
      <c r="H214" s="147">
        <v>0</v>
      </c>
      <c r="I214" s="147"/>
      <c r="J214" s="148">
        <v>0.18</v>
      </c>
      <c r="K214" s="145"/>
      <c r="L214" s="144" t="s">
        <v>145</v>
      </c>
      <c r="M214" s="149"/>
      <c r="N214" s="150">
        <v>53</v>
      </c>
      <c r="O214" s="61" t="s">
        <v>113</v>
      </c>
      <c r="P214" s="61" t="s">
        <v>118</v>
      </c>
      <c r="Q214" s="61" t="s">
        <v>119</v>
      </c>
      <c r="R214" s="61" t="s">
        <v>684</v>
      </c>
      <c r="S214" s="218">
        <v>63</v>
      </c>
      <c r="T214" s="61" t="s">
        <v>41</v>
      </c>
      <c r="U214" s="61" t="s">
        <v>43</v>
      </c>
      <c r="V214" s="63" t="s">
        <v>10</v>
      </c>
      <c r="W214" s="171">
        <v>0.23</v>
      </c>
      <c r="X214" s="146">
        <v>0.24</v>
      </c>
      <c r="Y214" s="146" t="s">
        <v>353</v>
      </c>
      <c r="Z214" s="144" t="s">
        <v>48</v>
      </c>
      <c r="AA214" s="172" t="s">
        <v>19</v>
      </c>
      <c r="AB214" s="173"/>
      <c r="AC214" s="174"/>
    </row>
    <row r="215" spans="1:29" x14ac:dyDescent="0.25">
      <c r="A215" s="324">
        <v>45914</v>
      </c>
      <c r="B215" s="144">
        <v>4</v>
      </c>
      <c r="C215" s="145"/>
      <c r="D215" s="144" t="s">
        <v>113</v>
      </c>
      <c r="E215" s="146">
        <v>4.0199999999999996</v>
      </c>
      <c r="F215" s="146"/>
      <c r="G215" s="147">
        <v>6</v>
      </c>
      <c r="H215" s="147">
        <v>0</v>
      </c>
      <c r="I215" s="147"/>
      <c r="J215" s="148">
        <v>0.18</v>
      </c>
      <c r="K215" s="145"/>
      <c r="L215" s="144" t="s">
        <v>145</v>
      </c>
      <c r="M215" s="149"/>
      <c r="N215" s="150">
        <v>53</v>
      </c>
      <c r="O215" s="61" t="s">
        <v>113</v>
      </c>
      <c r="P215" s="61" t="s">
        <v>53</v>
      </c>
      <c r="Q215" s="61" t="s">
        <v>117</v>
      </c>
      <c r="R215" s="61" t="s">
        <v>696</v>
      </c>
      <c r="S215" s="218">
        <v>88</v>
      </c>
      <c r="T215" s="61" t="s">
        <v>47</v>
      </c>
      <c r="U215" s="61" t="s">
        <v>42</v>
      </c>
      <c r="V215" s="63" t="s">
        <v>10</v>
      </c>
      <c r="W215" s="171">
        <v>0.56000000000000005</v>
      </c>
      <c r="X215" s="146">
        <v>0.78</v>
      </c>
      <c r="Y215" s="146" t="s">
        <v>353</v>
      </c>
      <c r="Z215" s="144" t="s">
        <v>8</v>
      </c>
      <c r="AA215" s="172" t="s">
        <v>24</v>
      </c>
      <c r="AB215" s="173" t="s">
        <v>468</v>
      </c>
      <c r="AC215" s="174" t="s">
        <v>469</v>
      </c>
    </row>
    <row r="216" spans="1:29" x14ac:dyDescent="0.25">
      <c r="A216" s="324">
        <v>45914</v>
      </c>
      <c r="B216" s="144">
        <v>4</v>
      </c>
      <c r="C216" s="145"/>
      <c r="D216" s="144" t="s">
        <v>113</v>
      </c>
      <c r="E216" s="146">
        <v>4.0199999999999996</v>
      </c>
      <c r="F216" s="146"/>
      <c r="G216" s="147">
        <v>6</v>
      </c>
      <c r="H216" s="147">
        <v>0</v>
      </c>
      <c r="I216" s="147"/>
      <c r="J216" s="148">
        <v>0.18</v>
      </c>
      <c r="K216" s="145"/>
      <c r="L216" s="144" t="s">
        <v>145</v>
      </c>
      <c r="M216" s="149"/>
      <c r="N216" s="150">
        <v>56</v>
      </c>
      <c r="O216" s="61" t="s">
        <v>113</v>
      </c>
      <c r="P216" s="61" t="s">
        <v>406</v>
      </c>
      <c r="Q216" s="61" t="s">
        <v>150</v>
      </c>
      <c r="R216" s="61" t="s">
        <v>699</v>
      </c>
      <c r="S216" s="218">
        <v>95</v>
      </c>
      <c r="T216" s="61" t="s">
        <v>354</v>
      </c>
      <c r="U216" s="61" t="s">
        <v>43</v>
      </c>
      <c r="V216" s="63" t="s">
        <v>10</v>
      </c>
      <c r="W216" s="171">
        <v>0.02</v>
      </c>
      <c r="X216" s="146">
        <v>0.04</v>
      </c>
      <c r="Y216" s="146"/>
      <c r="Z216" s="144" t="s">
        <v>8</v>
      </c>
      <c r="AA216" s="172" t="s">
        <v>27</v>
      </c>
      <c r="AB216" s="173" t="s">
        <v>337</v>
      </c>
      <c r="AC216" s="174" t="s">
        <v>662</v>
      </c>
    </row>
    <row r="217" spans="1:29" x14ac:dyDescent="0.25">
      <c r="A217" s="324">
        <v>45914</v>
      </c>
      <c r="B217" s="144">
        <v>4</v>
      </c>
      <c r="C217" s="145"/>
      <c r="D217" s="144" t="s">
        <v>113</v>
      </c>
      <c r="E217" s="146">
        <v>4.0199999999999996</v>
      </c>
      <c r="F217" s="146"/>
      <c r="G217" s="147">
        <v>6</v>
      </c>
      <c r="H217" s="147">
        <v>0</v>
      </c>
      <c r="I217" s="147"/>
      <c r="J217" s="148">
        <v>0.18</v>
      </c>
      <c r="K217" s="145"/>
      <c r="L217" s="144" t="s">
        <v>145</v>
      </c>
      <c r="M217" s="149"/>
      <c r="N217" s="150">
        <v>66</v>
      </c>
      <c r="O217" s="61" t="s">
        <v>113</v>
      </c>
      <c r="P217" s="61" t="s">
        <v>53</v>
      </c>
      <c r="Q217" s="61" t="s">
        <v>117</v>
      </c>
      <c r="R217" s="61" t="s">
        <v>696</v>
      </c>
      <c r="S217" s="218">
        <v>88</v>
      </c>
      <c r="T217" s="61" t="s">
        <v>41</v>
      </c>
      <c r="U217" s="61" t="s">
        <v>43</v>
      </c>
      <c r="V217" s="63" t="s">
        <v>540</v>
      </c>
      <c r="W217" s="171">
        <v>0.05</v>
      </c>
      <c r="X217" s="146">
        <v>7.0000000000000007E-2</v>
      </c>
      <c r="Y217" s="146"/>
      <c r="Z217" s="144" t="s">
        <v>8</v>
      </c>
      <c r="AA217" s="172" t="s">
        <v>32</v>
      </c>
      <c r="AB217" s="173"/>
      <c r="AC217" s="174"/>
    </row>
    <row r="218" spans="1:29" x14ac:dyDescent="0.25">
      <c r="A218" s="324">
        <v>45914</v>
      </c>
      <c r="B218" s="144">
        <v>4</v>
      </c>
      <c r="C218" s="145"/>
      <c r="D218" s="144" t="s">
        <v>113</v>
      </c>
      <c r="E218" s="146">
        <v>4.0199999999999996</v>
      </c>
      <c r="F218" s="146"/>
      <c r="G218" s="147">
        <v>6</v>
      </c>
      <c r="H218" s="147">
        <v>0</v>
      </c>
      <c r="I218" s="147"/>
      <c r="J218" s="148">
        <v>0.18</v>
      </c>
      <c r="K218" s="145"/>
      <c r="L218" s="144" t="s">
        <v>145</v>
      </c>
      <c r="M218" s="149"/>
      <c r="N218" s="150">
        <v>70</v>
      </c>
      <c r="O218" s="61" t="s">
        <v>113</v>
      </c>
      <c r="P218" s="61" t="s">
        <v>53</v>
      </c>
      <c r="Q218" s="61" t="s">
        <v>117</v>
      </c>
      <c r="R218" s="61" t="s">
        <v>696</v>
      </c>
      <c r="S218" s="218">
        <v>88</v>
      </c>
      <c r="T218" s="61" t="s">
        <v>41</v>
      </c>
      <c r="U218" s="61" t="s">
        <v>43</v>
      </c>
      <c r="V218" s="63" t="s">
        <v>10</v>
      </c>
      <c r="W218" s="171">
        <v>0.11</v>
      </c>
      <c r="X218" s="146" t="s">
        <v>53</v>
      </c>
      <c r="Y218" s="146"/>
      <c r="Z218" s="144" t="s">
        <v>13</v>
      </c>
      <c r="AA218" s="172" t="s">
        <v>32</v>
      </c>
      <c r="AB218" s="173"/>
      <c r="AC218" s="174"/>
    </row>
    <row r="219" spans="1:29" x14ac:dyDescent="0.25">
      <c r="A219" s="324">
        <v>45914</v>
      </c>
      <c r="B219" s="144">
        <v>4</v>
      </c>
      <c r="C219" s="145"/>
      <c r="D219" s="144" t="s">
        <v>113</v>
      </c>
      <c r="E219" s="146">
        <v>4.0199999999999996</v>
      </c>
      <c r="F219" s="146"/>
      <c r="G219" s="147">
        <v>6</v>
      </c>
      <c r="H219" s="147">
        <v>0</v>
      </c>
      <c r="I219" s="147"/>
      <c r="J219" s="148">
        <v>0.18</v>
      </c>
      <c r="K219" s="145"/>
      <c r="L219" s="144" t="s">
        <v>145</v>
      </c>
      <c r="M219" s="149"/>
      <c r="N219" s="150">
        <v>71</v>
      </c>
      <c r="O219" s="26" t="s">
        <v>145</v>
      </c>
      <c r="P219" s="26" t="s">
        <v>315</v>
      </c>
      <c r="Q219" s="26" t="s">
        <v>409</v>
      </c>
      <c r="R219" s="26" t="s">
        <v>696</v>
      </c>
      <c r="S219" s="213">
        <v>64</v>
      </c>
      <c r="T219" s="26" t="s">
        <v>41</v>
      </c>
      <c r="U219" s="26" t="s">
        <v>43</v>
      </c>
      <c r="V219" s="43" t="s">
        <v>10</v>
      </c>
      <c r="W219" s="171">
        <v>0.11</v>
      </c>
      <c r="X219" s="146">
        <v>0.28999999999999998</v>
      </c>
      <c r="Y219" s="146"/>
      <c r="Z219" s="144" t="s">
        <v>48</v>
      </c>
      <c r="AA219" s="172" t="s">
        <v>32</v>
      </c>
      <c r="AB219" s="173"/>
      <c r="AC219" s="174"/>
    </row>
    <row r="220" spans="1:29" x14ac:dyDescent="0.25">
      <c r="A220" s="324">
        <v>45914</v>
      </c>
      <c r="B220" s="144">
        <v>4</v>
      </c>
      <c r="C220" s="145"/>
      <c r="D220" s="144" t="s">
        <v>113</v>
      </c>
      <c r="E220" s="146">
        <v>4.0199999999999996</v>
      </c>
      <c r="F220" s="146"/>
      <c r="G220" s="147">
        <v>6</v>
      </c>
      <c r="H220" s="147">
        <v>0</v>
      </c>
      <c r="I220" s="147"/>
      <c r="J220" s="148">
        <v>0.18</v>
      </c>
      <c r="K220" s="145"/>
      <c r="L220" s="144" t="s">
        <v>145</v>
      </c>
      <c r="M220" s="149"/>
      <c r="N220" s="150">
        <v>76</v>
      </c>
      <c r="O220" s="61" t="s">
        <v>113</v>
      </c>
      <c r="P220" s="61" t="s">
        <v>178</v>
      </c>
      <c r="Q220" s="61" t="s">
        <v>407</v>
      </c>
      <c r="R220" s="61" t="s">
        <v>696</v>
      </c>
      <c r="S220" s="218">
        <v>88</v>
      </c>
      <c r="T220" s="61" t="s">
        <v>41</v>
      </c>
      <c r="U220" s="61" t="s">
        <v>42</v>
      </c>
      <c r="V220" s="63" t="s">
        <v>10</v>
      </c>
      <c r="W220" s="171">
        <v>0.62</v>
      </c>
      <c r="X220" s="146">
        <v>0.86</v>
      </c>
      <c r="Y220" s="146" t="s">
        <v>353</v>
      </c>
      <c r="Z220" s="144" t="s">
        <v>8</v>
      </c>
      <c r="AA220" s="172" t="s">
        <v>285</v>
      </c>
      <c r="AB220" s="173" t="s">
        <v>124</v>
      </c>
      <c r="AC220" s="174" t="s">
        <v>125</v>
      </c>
    </row>
    <row r="221" spans="1:29" ht="15.75" thickBot="1" x14ac:dyDescent="0.3">
      <c r="A221" s="325">
        <v>45914</v>
      </c>
      <c r="B221" s="152">
        <v>4</v>
      </c>
      <c r="C221" s="153"/>
      <c r="D221" s="152" t="s">
        <v>113</v>
      </c>
      <c r="E221" s="154">
        <v>4.0199999999999996</v>
      </c>
      <c r="F221" s="154"/>
      <c r="G221" s="155">
        <v>6</v>
      </c>
      <c r="H221" s="155">
        <v>0</v>
      </c>
      <c r="I221" s="155"/>
      <c r="J221" s="156">
        <v>0.18</v>
      </c>
      <c r="K221" s="153"/>
      <c r="L221" s="152" t="s">
        <v>145</v>
      </c>
      <c r="M221" s="157"/>
      <c r="N221" s="158">
        <v>86</v>
      </c>
      <c r="O221" s="66" t="s">
        <v>113</v>
      </c>
      <c r="P221" s="66" t="s">
        <v>178</v>
      </c>
      <c r="Q221" s="66" t="s">
        <v>407</v>
      </c>
      <c r="R221" s="66" t="s">
        <v>696</v>
      </c>
      <c r="S221" s="219">
        <v>88</v>
      </c>
      <c r="T221" s="66" t="s">
        <v>41</v>
      </c>
      <c r="U221" s="66" t="s">
        <v>42</v>
      </c>
      <c r="V221" s="67" t="s">
        <v>10</v>
      </c>
      <c r="W221" s="175">
        <v>0.57999999999999996</v>
      </c>
      <c r="X221" s="154">
        <v>0.37</v>
      </c>
      <c r="Y221" s="154" t="s">
        <v>353</v>
      </c>
      <c r="Z221" s="152" t="s">
        <v>8</v>
      </c>
      <c r="AA221" s="176" t="s">
        <v>408</v>
      </c>
      <c r="AB221" s="177" t="s">
        <v>337</v>
      </c>
      <c r="AC221" s="178" t="s">
        <v>663</v>
      </c>
    </row>
    <row r="222" spans="1:29" ht="15.75" thickBot="1" x14ac:dyDescent="0.3">
      <c r="A222" s="326">
        <v>45914</v>
      </c>
      <c r="B222" s="207">
        <v>4</v>
      </c>
      <c r="C222" s="208"/>
      <c r="D222" s="207" t="s">
        <v>113</v>
      </c>
      <c r="E222" s="209">
        <v>4.0199999999999996</v>
      </c>
      <c r="F222" s="209"/>
      <c r="G222" s="210">
        <v>6</v>
      </c>
      <c r="H222" s="210">
        <v>0</v>
      </c>
      <c r="I222" s="210"/>
      <c r="J222" s="211">
        <v>0.18</v>
      </c>
      <c r="K222" s="208"/>
      <c r="L222" s="207" t="s">
        <v>145</v>
      </c>
      <c r="M222" s="235"/>
      <c r="N222" s="198"/>
      <c r="O222" s="199" t="s">
        <v>113</v>
      </c>
      <c r="P222" s="199" t="s">
        <v>475</v>
      </c>
      <c r="Q222" s="199" t="s">
        <v>75</v>
      </c>
      <c r="R222" s="199" t="s">
        <v>707</v>
      </c>
      <c r="S222" s="200">
        <v>74</v>
      </c>
      <c r="T222" s="199"/>
      <c r="U222" s="199"/>
      <c r="V222" s="201"/>
      <c r="W222" s="202"/>
      <c r="X222" s="203"/>
      <c r="Y222" s="203">
        <v>0</v>
      </c>
      <c r="Z222" s="199"/>
      <c r="AA222" s="204"/>
      <c r="AB222" s="205"/>
      <c r="AC222" s="201"/>
    </row>
    <row r="223" spans="1:29" ht="15.75" thickBot="1" x14ac:dyDescent="0.3">
      <c r="A223" s="326">
        <v>45914</v>
      </c>
      <c r="B223" s="207">
        <v>4</v>
      </c>
      <c r="C223" s="208"/>
      <c r="D223" s="207" t="s">
        <v>113</v>
      </c>
      <c r="E223" s="209">
        <v>4.0199999999999996</v>
      </c>
      <c r="F223" s="209"/>
      <c r="G223" s="210">
        <v>6</v>
      </c>
      <c r="H223" s="210">
        <v>0</v>
      </c>
      <c r="I223" s="210"/>
      <c r="J223" s="211">
        <v>0.18</v>
      </c>
      <c r="K223" s="208"/>
      <c r="L223" s="207" t="s">
        <v>145</v>
      </c>
      <c r="M223" s="235"/>
      <c r="N223" s="198"/>
      <c r="O223" s="199" t="s">
        <v>145</v>
      </c>
      <c r="P223" s="199" t="s">
        <v>482</v>
      </c>
      <c r="Q223" s="199" t="s">
        <v>483</v>
      </c>
      <c r="R223" s="199" t="s">
        <v>707</v>
      </c>
      <c r="S223" s="200">
        <v>45</v>
      </c>
      <c r="T223" s="199"/>
      <c r="U223" s="199"/>
      <c r="V223" s="201"/>
      <c r="W223" s="202"/>
      <c r="X223" s="203"/>
      <c r="Y223" s="203">
        <v>6</v>
      </c>
      <c r="Z223" s="199"/>
      <c r="AA223" s="204"/>
      <c r="AB223" s="205"/>
      <c r="AC223" s="201"/>
    </row>
    <row r="224" spans="1:29" x14ac:dyDescent="0.25">
      <c r="A224" s="323">
        <v>45921</v>
      </c>
      <c r="B224" s="136">
        <v>5</v>
      </c>
      <c r="C224" s="137" t="s">
        <v>692</v>
      </c>
      <c r="D224" s="136" t="s">
        <v>113</v>
      </c>
      <c r="E224" s="138">
        <v>1.97</v>
      </c>
      <c r="F224" s="138"/>
      <c r="G224" s="139">
        <v>3</v>
      </c>
      <c r="H224" s="139">
        <v>0</v>
      </c>
      <c r="I224" s="139"/>
      <c r="J224" s="140">
        <v>0.27</v>
      </c>
      <c r="K224" s="137" t="s">
        <v>701</v>
      </c>
      <c r="L224" s="136" t="s">
        <v>161</v>
      </c>
      <c r="M224" s="141"/>
      <c r="N224" s="142">
        <v>15</v>
      </c>
      <c r="O224" s="64" t="s">
        <v>113</v>
      </c>
      <c r="P224" s="64" t="s">
        <v>118</v>
      </c>
      <c r="Q224" s="64" t="s">
        <v>119</v>
      </c>
      <c r="R224" s="64" t="s">
        <v>685</v>
      </c>
      <c r="S224" s="217">
        <v>84</v>
      </c>
      <c r="T224" s="64" t="s">
        <v>41</v>
      </c>
      <c r="U224" s="64" t="s">
        <v>42</v>
      </c>
      <c r="V224" s="65" t="s">
        <v>10</v>
      </c>
      <c r="W224" s="167">
        <v>0.34</v>
      </c>
      <c r="X224" s="138">
        <v>0.8</v>
      </c>
      <c r="Y224" s="138" t="s">
        <v>353</v>
      </c>
      <c r="Z224" s="136" t="s">
        <v>8</v>
      </c>
      <c r="AA224" s="168" t="s">
        <v>19</v>
      </c>
      <c r="AB224" s="169" t="s">
        <v>124</v>
      </c>
      <c r="AC224" s="170" t="s">
        <v>125</v>
      </c>
    </row>
    <row r="225" spans="1:29" x14ac:dyDescent="0.25">
      <c r="A225" s="324">
        <v>45921</v>
      </c>
      <c r="B225" s="144">
        <v>5</v>
      </c>
      <c r="C225" s="145"/>
      <c r="D225" s="144" t="s">
        <v>113</v>
      </c>
      <c r="E225" s="146">
        <v>1.97</v>
      </c>
      <c r="F225" s="146"/>
      <c r="G225" s="147">
        <v>3</v>
      </c>
      <c r="H225" s="147">
        <v>0</v>
      </c>
      <c r="I225" s="147"/>
      <c r="J225" s="148">
        <v>0.27</v>
      </c>
      <c r="K225" s="145"/>
      <c r="L225" s="144" t="s">
        <v>161</v>
      </c>
      <c r="M225" s="149"/>
      <c r="N225" s="150">
        <v>28</v>
      </c>
      <c r="O225" s="61" t="s">
        <v>113</v>
      </c>
      <c r="P225" s="61" t="s">
        <v>178</v>
      </c>
      <c r="Q225" s="61" t="s">
        <v>407</v>
      </c>
      <c r="R225" s="61" t="s">
        <v>684</v>
      </c>
      <c r="S225" s="218">
        <v>60</v>
      </c>
      <c r="T225" s="61" t="s">
        <v>47</v>
      </c>
      <c r="U225" s="61" t="s">
        <v>42</v>
      </c>
      <c r="V225" s="63" t="s">
        <v>10</v>
      </c>
      <c r="W225" s="171">
        <v>0.4</v>
      </c>
      <c r="X225" s="146" t="s">
        <v>53</v>
      </c>
      <c r="Y225" s="146" t="s">
        <v>353</v>
      </c>
      <c r="Z225" s="144" t="s">
        <v>13</v>
      </c>
      <c r="AA225" s="172" t="s">
        <v>19</v>
      </c>
      <c r="AB225" s="173"/>
      <c r="AC225" s="174"/>
    </row>
    <row r="226" spans="1:29" x14ac:dyDescent="0.25">
      <c r="A226" s="324">
        <v>45921</v>
      </c>
      <c r="B226" s="144">
        <v>5</v>
      </c>
      <c r="C226" s="145"/>
      <c r="D226" s="144" t="s">
        <v>113</v>
      </c>
      <c r="E226" s="146">
        <v>1.97</v>
      </c>
      <c r="F226" s="146"/>
      <c r="G226" s="147">
        <v>3</v>
      </c>
      <c r="H226" s="147">
        <v>0</v>
      </c>
      <c r="I226" s="147"/>
      <c r="J226" s="148">
        <v>0.27</v>
      </c>
      <c r="K226" s="145"/>
      <c r="L226" s="144" t="s">
        <v>161</v>
      </c>
      <c r="M226" s="149"/>
      <c r="N226" s="150">
        <v>34</v>
      </c>
      <c r="O226" s="61" t="s">
        <v>113</v>
      </c>
      <c r="P226" s="61" t="s">
        <v>118</v>
      </c>
      <c r="Q226" s="61" t="s">
        <v>119</v>
      </c>
      <c r="R226" s="61" t="s">
        <v>685</v>
      </c>
      <c r="S226" s="218">
        <v>84</v>
      </c>
      <c r="T226" s="61" t="s">
        <v>44</v>
      </c>
      <c r="U226" s="61" t="s">
        <v>42</v>
      </c>
      <c r="V226" s="63" t="s">
        <v>18</v>
      </c>
      <c r="W226" s="171">
        <v>0.32</v>
      </c>
      <c r="X226" s="146">
        <v>0.79</v>
      </c>
      <c r="Y226" s="146" t="s">
        <v>353</v>
      </c>
      <c r="Z226" s="144" t="s">
        <v>8</v>
      </c>
      <c r="AA226" s="172" t="s">
        <v>24</v>
      </c>
      <c r="AB226" s="173" t="s">
        <v>53</v>
      </c>
      <c r="AC226" s="174" t="s">
        <v>117</v>
      </c>
    </row>
    <row r="227" spans="1:29" x14ac:dyDescent="0.25">
      <c r="A227" s="324">
        <v>45921</v>
      </c>
      <c r="B227" s="144">
        <v>5</v>
      </c>
      <c r="C227" s="145"/>
      <c r="D227" s="144" t="s">
        <v>113</v>
      </c>
      <c r="E227" s="146">
        <v>1.97</v>
      </c>
      <c r="F227" s="146"/>
      <c r="G227" s="147">
        <v>3</v>
      </c>
      <c r="H227" s="147">
        <v>0</v>
      </c>
      <c r="I227" s="147"/>
      <c r="J227" s="148">
        <v>0.27</v>
      </c>
      <c r="K227" s="145"/>
      <c r="L227" s="144" t="s">
        <v>161</v>
      </c>
      <c r="M227" s="149"/>
      <c r="N227" s="150">
        <v>41</v>
      </c>
      <c r="O227" s="61" t="s">
        <v>113</v>
      </c>
      <c r="P227" s="61" t="s">
        <v>178</v>
      </c>
      <c r="Q227" s="61" t="s">
        <v>407</v>
      </c>
      <c r="R227" s="61" t="s">
        <v>684</v>
      </c>
      <c r="S227" s="218">
        <v>60</v>
      </c>
      <c r="T227" s="61" t="s">
        <v>44</v>
      </c>
      <c r="U227" s="61" t="s">
        <v>42</v>
      </c>
      <c r="V227" s="63" t="s">
        <v>10</v>
      </c>
      <c r="W227" s="171">
        <v>0.05</v>
      </c>
      <c r="X227" s="146">
        <v>0.13</v>
      </c>
      <c r="Y227" s="146"/>
      <c r="Z227" s="144" t="s">
        <v>48</v>
      </c>
      <c r="AA227" s="172" t="s">
        <v>24</v>
      </c>
      <c r="AB227" s="173"/>
      <c r="AC227" s="174"/>
    </row>
    <row r="228" spans="1:29" x14ac:dyDescent="0.25">
      <c r="A228" s="324">
        <v>45921</v>
      </c>
      <c r="B228" s="144">
        <v>5</v>
      </c>
      <c r="C228" s="145"/>
      <c r="D228" s="144" t="s">
        <v>113</v>
      </c>
      <c r="E228" s="146">
        <v>1.97</v>
      </c>
      <c r="F228" s="146"/>
      <c r="G228" s="147">
        <v>3</v>
      </c>
      <c r="H228" s="147">
        <v>0</v>
      </c>
      <c r="I228" s="147"/>
      <c r="J228" s="148">
        <v>0.27</v>
      </c>
      <c r="K228" s="145"/>
      <c r="L228" s="144" t="s">
        <v>161</v>
      </c>
      <c r="M228" s="149"/>
      <c r="N228" s="150">
        <v>43</v>
      </c>
      <c r="O228" s="61" t="s">
        <v>113</v>
      </c>
      <c r="P228" s="61" t="s">
        <v>118</v>
      </c>
      <c r="Q228" s="61" t="s">
        <v>119</v>
      </c>
      <c r="R228" s="61" t="s">
        <v>685</v>
      </c>
      <c r="S228" s="218">
        <v>84</v>
      </c>
      <c r="T228" s="61" t="s">
        <v>41</v>
      </c>
      <c r="U228" s="61" t="s">
        <v>42</v>
      </c>
      <c r="V228" s="63" t="s">
        <v>10</v>
      </c>
      <c r="W228" s="171">
        <v>0.26</v>
      </c>
      <c r="X228" s="146" t="s">
        <v>53</v>
      </c>
      <c r="Y228" s="146" t="s">
        <v>353</v>
      </c>
      <c r="Z228" s="144" t="s">
        <v>17</v>
      </c>
      <c r="AA228" s="172" t="s">
        <v>24</v>
      </c>
      <c r="AB228" s="173"/>
      <c r="AC228" s="174"/>
    </row>
    <row r="229" spans="1:29" x14ac:dyDescent="0.25">
      <c r="A229" s="324">
        <v>45921</v>
      </c>
      <c r="B229" s="144">
        <v>5</v>
      </c>
      <c r="C229" s="145"/>
      <c r="D229" s="144" t="s">
        <v>113</v>
      </c>
      <c r="E229" s="146">
        <v>1.97</v>
      </c>
      <c r="F229" s="146"/>
      <c r="G229" s="147">
        <v>3</v>
      </c>
      <c r="H229" s="147">
        <v>0</v>
      </c>
      <c r="I229" s="147"/>
      <c r="J229" s="148">
        <v>0.27</v>
      </c>
      <c r="K229" s="145"/>
      <c r="L229" s="144" t="s">
        <v>161</v>
      </c>
      <c r="M229" s="149"/>
      <c r="N229" s="150">
        <v>48</v>
      </c>
      <c r="O229" s="26" t="s">
        <v>161</v>
      </c>
      <c r="P229" s="26" t="s">
        <v>251</v>
      </c>
      <c r="Q229" s="26" t="s">
        <v>397</v>
      </c>
      <c r="R229" s="26" t="s">
        <v>696</v>
      </c>
      <c r="S229" s="213">
        <v>62</v>
      </c>
      <c r="T229" s="26" t="s">
        <v>44</v>
      </c>
      <c r="U229" s="26" t="s">
        <v>42</v>
      </c>
      <c r="V229" s="43" t="s">
        <v>540</v>
      </c>
      <c r="W229" s="171">
        <v>0.05</v>
      </c>
      <c r="X229" s="146" t="s">
        <v>53</v>
      </c>
      <c r="Y229" s="146"/>
      <c r="Z229" s="144" t="s">
        <v>16</v>
      </c>
      <c r="AA229" s="172" t="s">
        <v>24</v>
      </c>
      <c r="AB229" s="173"/>
      <c r="AC229" s="174"/>
    </row>
    <row r="230" spans="1:29" x14ac:dyDescent="0.25">
      <c r="A230" s="324">
        <v>45921</v>
      </c>
      <c r="B230" s="144">
        <v>5</v>
      </c>
      <c r="C230" s="145"/>
      <c r="D230" s="144" t="s">
        <v>113</v>
      </c>
      <c r="E230" s="146">
        <v>1.97</v>
      </c>
      <c r="F230" s="146"/>
      <c r="G230" s="147">
        <v>3</v>
      </c>
      <c r="H230" s="147">
        <v>0</v>
      </c>
      <c r="I230" s="147"/>
      <c r="J230" s="148">
        <v>0.27</v>
      </c>
      <c r="K230" s="145"/>
      <c r="L230" s="144" t="s">
        <v>161</v>
      </c>
      <c r="M230" s="149"/>
      <c r="N230" s="150">
        <v>60</v>
      </c>
      <c r="O230" s="61" t="s">
        <v>113</v>
      </c>
      <c r="P230" s="61" t="s">
        <v>124</v>
      </c>
      <c r="Q230" s="61" t="s">
        <v>125</v>
      </c>
      <c r="R230" s="61" t="s">
        <v>691</v>
      </c>
      <c r="S230" s="218">
        <v>82</v>
      </c>
      <c r="T230" s="61" t="s">
        <v>354</v>
      </c>
      <c r="U230" s="61" t="s">
        <v>42</v>
      </c>
      <c r="V230" s="63" t="s">
        <v>15</v>
      </c>
      <c r="W230" s="171">
        <v>0.04</v>
      </c>
      <c r="X230" s="146" t="s">
        <v>53</v>
      </c>
      <c r="Y230" s="146"/>
      <c r="Z230" s="144" t="s">
        <v>55</v>
      </c>
      <c r="AA230" s="172" t="s">
        <v>24</v>
      </c>
      <c r="AB230" s="173"/>
      <c r="AC230" s="174"/>
    </row>
    <row r="231" spans="1:29" x14ac:dyDescent="0.25">
      <c r="A231" s="324">
        <v>45921</v>
      </c>
      <c r="B231" s="144">
        <v>5</v>
      </c>
      <c r="C231" s="145"/>
      <c r="D231" s="144" t="s">
        <v>113</v>
      </c>
      <c r="E231" s="146">
        <v>1.97</v>
      </c>
      <c r="F231" s="146"/>
      <c r="G231" s="147">
        <v>3</v>
      </c>
      <c r="H231" s="147">
        <v>0</v>
      </c>
      <c r="I231" s="147"/>
      <c r="J231" s="148">
        <v>0.27</v>
      </c>
      <c r="K231" s="145"/>
      <c r="L231" s="144" t="s">
        <v>161</v>
      </c>
      <c r="M231" s="149"/>
      <c r="N231" s="150">
        <v>62</v>
      </c>
      <c r="O231" s="61" t="s">
        <v>113</v>
      </c>
      <c r="P231" s="61" t="s">
        <v>124</v>
      </c>
      <c r="Q231" s="61" t="s">
        <v>125</v>
      </c>
      <c r="R231" s="61" t="s">
        <v>709</v>
      </c>
      <c r="S231" s="218">
        <v>82</v>
      </c>
      <c r="T231" s="61" t="s">
        <v>41</v>
      </c>
      <c r="U231" s="61" t="s">
        <v>42</v>
      </c>
      <c r="V231" s="63" t="s">
        <v>540</v>
      </c>
      <c r="W231" s="171">
        <v>0.14000000000000001</v>
      </c>
      <c r="X231" s="146">
        <v>0.93</v>
      </c>
      <c r="Y231" s="146" t="s">
        <v>353</v>
      </c>
      <c r="Z231" s="144" t="s">
        <v>8</v>
      </c>
      <c r="AA231" s="172" t="s">
        <v>27</v>
      </c>
      <c r="AB231" s="173"/>
      <c r="AC231" s="174"/>
    </row>
    <row r="232" spans="1:29" x14ac:dyDescent="0.25">
      <c r="A232" s="324">
        <v>45921</v>
      </c>
      <c r="B232" s="144">
        <v>5</v>
      </c>
      <c r="C232" s="145"/>
      <c r="D232" s="144" t="s">
        <v>113</v>
      </c>
      <c r="E232" s="146">
        <v>1.97</v>
      </c>
      <c r="F232" s="146"/>
      <c r="G232" s="147">
        <v>3</v>
      </c>
      <c r="H232" s="147">
        <v>0</v>
      </c>
      <c r="I232" s="147"/>
      <c r="J232" s="148">
        <v>0.27</v>
      </c>
      <c r="K232" s="145"/>
      <c r="L232" s="144" t="s">
        <v>161</v>
      </c>
      <c r="M232" s="149"/>
      <c r="N232" s="150">
        <v>68</v>
      </c>
      <c r="O232" s="61" t="s">
        <v>113</v>
      </c>
      <c r="P232" s="61" t="s">
        <v>468</v>
      </c>
      <c r="Q232" s="61" t="s">
        <v>469</v>
      </c>
      <c r="R232" s="61" t="s">
        <v>696</v>
      </c>
      <c r="S232" s="218">
        <v>65</v>
      </c>
      <c r="T232" s="61" t="s">
        <v>41</v>
      </c>
      <c r="U232" s="61" t="s">
        <v>43</v>
      </c>
      <c r="V232" s="63" t="s">
        <v>10</v>
      </c>
      <c r="W232" s="171">
        <v>0.02</v>
      </c>
      <c r="X232" s="146">
        <v>0.2</v>
      </c>
      <c r="Y232" s="146"/>
      <c r="Z232" s="144" t="s">
        <v>48</v>
      </c>
      <c r="AA232" s="172" t="s">
        <v>27</v>
      </c>
      <c r="AB232" s="173"/>
      <c r="AC232" s="174"/>
    </row>
    <row r="233" spans="1:29" x14ac:dyDescent="0.25">
      <c r="A233" s="324">
        <v>45921</v>
      </c>
      <c r="B233" s="144">
        <v>5</v>
      </c>
      <c r="C233" s="145"/>
      <c r="D233" s="144" t="s">
        <v>113</v>
      </c>
      <c r="E233" s="146">
        <v>1.97</v>
      </c>
      <c r="F233" s="146"/>
      <c r="G233" s="147">
        <v>3</v>
      </c>
      <c r="H233" s="147">
        <v>0</v>
      </c>
      <c r="I233" s="147"/>
      <c r="J233" s="148">
        <v>0.27</v>
      </c>
      <c r="K233" s="145"/>
      <c r="L233" s="144" t="s">
        <v>161</v>
      </c>
      <c r="M233" s="149"/>
      <c r="N233" s="150">
        <v>88</v>
      </c>
      <c r="O233" s="26" t="s">
        <v>161</v>
      </c>
      <c r="P233" s="26" t="s">
        <v>53</v>
      </c>
      <c r="Q233" s="26" t="s">
        <v>470</v>
      </c>
      <c r="R233" s="26" t="s">
        <v>696</v>
      </c>
      <c r="S233" s="213">
        <v>63</v>
      </c>
      <c r="T233" s="26" t="s">
        <v>41</v>
      </c>
      <c r="U233" s="26" t="s">
        <v>43</v>
      </c>
      <c r="V233" s="43" t="s">
        <v>540</v>
      </c>
      <c r="W233" s="171">
        <v>0.12</v>
      </c>
      <c r="X233" s="146">
        <v>0.08</v>
      </c>
      <c r="Y233" s="146"/>
      <c r="Z233" s="144" t="s">
        <v>48</v>
      </c>
      <c r="AA233" s="172" t="s">
        <v>27</v>
      </c>
      <c r="AB233" s="173"/>
      <c r="AC233" s="174"/>
    </row>
    <row r="234" spans="1:29" ht="15.75" thickBot="1" x14ac:dyDescent="0.3">
      <c r="A234" s="325">
        <v>45921</v>
      </c>
      <c r="B234" s="152">
        <v>5</v>
      </c>
      <c r="C234" s="153"/>
      <c r="D234" s="152" t="s">
        <v>113</v>
      </c>
      <c r="E234" s="154">
        <v>1.97</v>
      </c>
      <c r="F234" s="154"/>
      <c r="G234" s="155">
        <v>3</v>
      </c>
      <c r="H234" s="155">
        <v>0</v>
      </c>
      <c r="I234" s="155"/>
      <c r="J234" s="156">
        <v>0.27</v>
      </c>
      <c r="K234" s="153"/>
      <c r="L234" s="152" t="s">
        <v>161</v>
      </c>
      <c r="M234" s="157"/>
      <c r="N234" s="158" t="s">
        <v>35</v>
      </c>
      <c r="O234" s="66" t="s">
        <v>113</v>
      </c>
      <c r="P234" s="66" t="s">
        <v>468</v>
      </c>
      <c r="Q234" s="66" t="s">
        <v>469</v>
      </c>
      <c r="R234" s="66" t="s">
        <v>696</v>
      </c>
      <c r="S234" s="219">
        <v>65</v>
      </c>
      <c r="T234" s="66" t="s">
        <v>41</v>
      </c>
      <c r="U234" s="66" t="s">
        <v>42</v>
      </c>
      <c r="V234" s="67" t="s">
        <v>10</v>
      </c>
      <c r="W234" s="175">
        <v>0.15</v>
      </c>
      <c r="X234" s="154">
        <v>0.41</v>
      </c>
      <c r="Y234" s="154"/>
      <c r="Z234" s="152" t="s">
        <v>48</v>
      </c>
      <c r="AA234" s="176" t="s">
        <v>27</v>
      </c>
      <c r="AB234" s="177"/>
      <c r="AC234" s="178"/>
    </row>
    <row r="235" spans="1:29" ht="15.75" thickBot="1" x14ac:dyDescent="0.3">
      <c r="A235" s="326">
        <v>45921</v>
      </c>
      <c r="B235" s="207">
        <v>5</v>
      </c>
      <c r="C235" s="208"/>
      <c r="D235" s="207" t="s">
        <v>113</v>
      </c>
      <c r="E235" s="209">
        <v>1.97</v>
      </c>
      <c r="F235" s="209"/>
      <c r="G235" s="210">
        <v>3</v>
      </c>
      <c r="H235" s="210">
        <v>0</v>
      </c>
      <c r="I235" s="210"/>
      <c r="J235" s="211">
        <v>0.27</v>
      </c>
      <c r="K235" s="208"/>
      <c r="L235" s="207" t="s">
        <v>161</v>
      </c>
      <c r="M235" s="235"/>
      <c r="N235" s="198"/>
      <c r="O235" s="199" t="s">
        <v>736</v>
      </c>
      <c r="P235" s="199" t="s">
        <v>475</v>
      </c>
      <c r="Q235" s="199" t="s">
        <v>75</v>
      </c>
      <c r="R235" s="199" t="s">
        <v>707</v>
      </c>
      <c r="S235" s="200">
        <v>78</v>
      </c>
      <c r="T235" s="199"/>
      <c r="U235" s="199"/>
      <c r="V235" s="201"/>
      <c r="W235" s="202"/>
      <c r="X235" s="203"/>
      <c r="Y235" s="203">
        <v>0</v>
      </c>
      <c r="Z235" s="199"/>
      <c r="AA235" s="204"/>
      <c r="AB235" s="205"/>
      <c r="AC235" s="201"/>
    </row>
    <row r="236" spans="1:29" ht="15.75" thickBot="1" x14ac:dyDescent="0.3">
      <c r="A236" s="326">
        <v>45921</v>
      </c>
      <c r="B236" s="207">
        <v>5</v>
      </c>
      <c r="C236" s="208"/>
      <c r="D236" s="207" t="s">
        <v>113</v>
      </c>
      <c r="E236" s="209">
        <v>1.97</v>
      </c>
      <c r="F236" s="209"/>
      <c r="G236" s="210">
        <v>3</v>
      </c>
      <c r="H236" s="210">
        <v>0</v>
      </c>
      <c r="I236" s="210"/>
      <c r="J236" s="211">
        <v>0.27</v>
      </c>
      <c r="K236" s="208"/>
      <c r="L236" s="207" t="s">
        <v>161</v>
      </c>
      <c r="M236" s="235"/>
      <c r="N236" s="198"/>
      <c r="O236" s="199" t="s">
        <v>161</v>
      </c>
      <c r="P236" s="199" t="s">
        <v>316</v>
      </c>
      <c r="Q236" s="199" t="s">
        <v>721</v>
      </c>
      <c r="R236" s="199" t="s">
        <v>707</v>
      </c>
      <c r="S236" s="200">
        <v>65</v>
      </c>
      <c r="T236" s="199"/>
      <c r="U236" s="199"/>
      <c r="V236" s="201"/>
      <c r="W236" s="202"/>
      <c r="X236" s="203"/>
      <c r="Y236" s="203">
        <v>3</v>
      </c>
      <c r="Z236" s="199"/>
      <c r="AA236" s="204"/>
      <c r="AB236" s="205"/>
      <c r="AC236" s="201"/>
    </row>
    <row r="237" spans="1:29" x14ac:dyDescent="0.25">
      <c r="A237" s="323">
        <v>45928</v>
      </c>
      <c r="B237" s="136">
        <v>7</v>
      </c>
      <c r="C237" s="137" t="s">
        <v>693</v>
      </c>
      <c r="D237" s="136" t="s">
        <v>113</v>
      </c>
      <c r="E237" s="138">
        <v>2.21</v>
      </c>
      <c r="F237" s="138"/>
      <c r="G237" s="139">
        <v>2</v>
      </c>
      <c r="H237" s="139">
        <v>1</v>
      </c>
      <c r="I237" s="139"/>
      <c r="J237" s="140">
        <v>0.97</v>
      </c>
      <c r="K237" s="137" t="s">
        <v>697</v>
      </c>
      <c r="L237" s="136" t="s">
        <v>146</v>
      </c>
      <c r="M237" s="141"/>
      <c r="N237" s="142">
        <v>31</v>
      </c>
      <c r="O237" s="77" t="s">
        <v>146</v>
      </c>
      <c r="P237" s="77" t="s">
        <v>74</v>
      </c>
      <c r="Q237" s="77" t="s">
        <v>533</v>
      </c>
      <c r="R237" s="77" t="s">
        <v>689</v>
      </c>
      <c r="S237" s="220">
        <v>80</v>
      </c>
      <c r="T237" s="77" t="s">
        <v>41</v>
      </c>
      <c r="U237" s="77" t="s">
        <v>42</v>
      </c>
      <c r="V237" s="78" t="s">
        <v>10</v>
      </c>
      <c r="W237" s="167">
        <v>0.56000000000000005</v>
      </c>
      <c r="X237" s="138">
        <v>0.83</v>
      </c>
      <c r="Y237" s="138" t="s">
        <v>353</v>
      </c>
      <c r="Z237" s="136" t="s">
        <v>8</v>
      </c>
      <c r="AA237" s="168" t="s">
        <v>9</v>
      </c>
      <c r="AB237" s="169" t="s">
        <v>274</v>
      </c>
      <c r="AC237" s="170" t="s">
        <v>275</v>
      </c>
    </row>
    <row r="238" spans="1:29" x14ac:dyDescent="0.25">
      <c r="A238" s="324">
        <v>45928</v>
      </c>
      <c r="B238" s="144">
        <v>7</v>
      </c>
      <c r="C238" s="145"/>
      <c r="D238" s="144" t="s">
        <v>113</v>
      </c>
      <c r="E238" s="146">
        <v>2.21</v>
      </c>
      <c r="F238" s="146"/>
      <c r="G238" s="147">
        <v>2</v>
      </c>
      <c r="H238" s="147">
        <v>1</v>
      </c>
      <c r="I238" s="147"/>
      <c r="J238" s="148">
        <v>0.97</v>
      </c>
      <c r="K238" s="145"/>
      <c r="L238" s="144" t="s">
        <v>146</v>
      </c>
      <c r="M238" s="149"/>
      <c r="N238" s="150">
        <v>39</v>
      </c>
      <c r="O238" s="61" t="s">
        <v>113</v>
      </c>
      <c r="P238" s="61" t="s">
        <v>53</v>
      </c>
      <c r="Q238" s="61" t="s">
        <v>126</v>
      </c>
      <c r="R238" s="61" t="s">
        <v>687</v>
      </c>
      <c r="S238" s="218">
        <v>81</v>
      </c>
      <c r="T238" s="61" t="s">
        <v>47</v>
      </c>
      <c r="U238" s="61" t="s">
        <v>42</v>
      </c>
      <c r="V238" s="63" t="s">
        <v>540</v>
      </c>
      <c r="W238" s="171">
        <v>0.32</v>
      </c>
      <c r="X238" s="146" t="s">
        <v>53</v>
      </c>
      <c r="Y238" s="146" t="s">
        <v>353</v>
      </c>
      <c r="Z238" s="144" t="s">
        <v>52</v>
      </c>
      <c r="AA238" s="172" t="s">
        <v>9</v>
      </c>
      <c r="AB238" s="173"/>
      <c r="AC238" s="174"/>
    </row>
    <row r="239" spans="1:29" x14ac:dyDescent="0.25">
      <c r="A239" s="324">
        <v>45928</v>
      </c>
      <c r="B239" s="144">
        <v>7</v>
      </c>
      <c r="C239" s="145"/>
      <c r="D239" s="144" t="s">
        <v>113</v>
      </c>
      <c r="E239" s="146">
        <v>2.21</v>
      </c>
      <c r="F239" s="146"/>
      <c r="G239" s="147">
        <v>2</v>
      </c>
      <c r="H239" s="147">
        <v>1</v>
      </c>
      <c r="I239" s="147"/>
      <c r="J239" s="148">
        <v>0.97</v>
      </c>
      <c r="K239" s="145"/>
      <c r="L239" s="144" t="s">
        <v>146</v>
      </c>
      <c r="M239" s="149"/>
      <c r="N239" s="150">
        <v>42</v>
      </c>
      <c r="O239" s="61" t="s">
        <v>113</v>
      </c>
      <c r="P239" s="61" t="s">
        <v>529</v>
      </c>
      <c r="Q239" s="61" t="s">
        <v>530</v>
      </c>
      <c r="R239" s="61" t="s">
        <v>686</v>
      </c>
      <c r="S239" s="218">
        <v>68</v>
      </c>
      <c r="T239" s="61" t="s">
        <v>41</v>
      </c>
      <c r="U239" s="61" t="s">
        <v>43</v>
      </c>
      <c r="V239" s="63" t="s">
        <v>10</v>
      </c>
      <c r="W239" s="171">
        <v>0.05</v>
      </c>
      <c r="X239" s="146">
        <v>0.22</v>
      </c>
      <c r="Y239" s="146"/>
      <c r="Z239" s="144" t="s">
        <v>48</v>
      </c>
      <c r="AA239" s="172" t="s">
        <v>9</v>
      </c>
      <c r="AB239" s="173"/>
      <c r="AC239" s="174"/>
    </row>
    <row r="240" spans="1:29" x14ac:dyDescent="0.25">
      <c r="A240" s="324">
        <v>45928</v>
      </c>
      <c r="B240" s="144">
        <v>7</v>
      </c>
      <c r="C240" s="145"/>
      <c r="D240" s="144" t="s">
        <v>113</v>
      </c>
      <c r="E240" s="146">
        <v>2.21</v>
      </c>
      <c r="F240" s="146"/>
      <c r="G240" s="147">
        <v>2</v>
      </c>
      <c r="H240" s="147">
        <v>1</v>
      </c>
      <c r="I240" s="147"/>
      <c r="J240" s="148">
        <v>0.97</v>
      </c>
      <c r="K240" s="145"/>
      <c r="L240" s="144" t="s">
        <v>146</v>
      </c>
      <c r="M240" s="149"/>
      <c r="N240" s="150">
        <v>43</v>
      </c>
      <c r="O240" s="61" t="s">
        <v>113</v>
      </c>
      <c r="P240" s="61" t="s">
        <v>531</v>
      </c>
      <c r="Q240" s="61" t="s">
        <v>532</v>
      </c>
      <c r="R240" s="61" t="s">
        <v>689</v>
      </c>
      <c r="S240" s="218">
        <v>70</v>
      </c>
      <c r="T240" s="61" t="s">
        <v>47</v>
      </c>
      <c r="U240" s="61" t="s">
        <v>45</v>
      </c>
      <c r="V240" s="63" t="s">
        <v>20</v>
      </c>
      <c r="W240" s="171">
        <v>0.17</v>
      </c>
      <c r="X240" s="146">
        <v>0.57999999999999996</v>
      </c>
      <c r="Y240" s="146"/>
      <c r="Z240" s="144" t="s">
        <v>8</v>
      </c>
      <c r="AA240" s="172" t="s">
        <v>51</v>
      </c>
      <c r="AB240" s="173" t="s">
        <v>468</v>
      </c>
      <c r="AC240" s="174" t="s">
        <v>469</v>
      </c>
    </row>
    <row r="241" spans="1:29" x14ac:dyDescent="0.25">
      <c r="A241" s="324">
        <v>45928</v>
      </c>
      <c r="B241" s="144">
        <v>7</v>
      </c>
      <c r="C241" s="145"/>
      <c r="D241" s="144" t="s">
        <v>113</v>
      </c>
      <c r="E241" s="146">
        <v>2.21</v>
      </c>
      <c r="F241" s="146"/>
      <c r="G241" s="147">
        <v>2</v>
      </c>
      <c r="H241" s="147">
        <v>1</v>
      </c>
      <c r="I241" s="147"/>
      <c r="J241" s="148">
        <v>0.97</v>
      </c>
      <c r="K241" s="145"/>
      <c r="L241" s="144" t="s">
        <v>146</v>
      </c>
      <c r="M241" s="149"/>
      <c r="N241" s="150">
        <v>47</v>
      </c>
      <c r="O241" s="61" t="s">
        <v>113</v>
      </c>
      <c r="P241" s="61" t="s">
        <v>98</v>
      </c>
      <c r="Q241" s="61" t="s">
        <v>365</v>
      </c>
      <c r="R241" s="61" t="s">
        <v>688</v>
      </c>
      <c r="S241" s="218">
        <v>68</v>
      </c>
      <c r="T241" s="61" t="s">
        <v>354</v>
      </c>
      <c r="U241" s="61" t="s">
        <v>43</v>
      </c>
      <c r="V241" s="63" t="s">
        <v>540</v>
      </c>
      <c r="W241" s="171">
        <v>0.01</v>
      </c>
      <c r="X241" s="146" t="s">
        <v>53</v>
      </c>
      <c r="Y241" s="146"/>
      <c r="Z241" s="144" t="s">
        <v>16</v>
      </c>
      <c r="AA241" s="172" t="s">
        <v>51</v>
      </c>
      <c r="AB241" s="173"/>
      <c r="AC241" s="174"/>
    </row>
    <row r="242" spans="1:29" x14ac:dyDescent="0.25">
      <c r="A242" s="324">
        <v>45928</v>
      </c>
      <c r="B242" s="144">
        <v>7</v>
      </c>
      <c r="C242" s="145"/>
      <c r="D242" s="144" t="s">
        <v>113</v>
      </c>
      <c r="E242" s="146">
        <v>2.21</v>
      </c>
      <c r="F242" s="146"/>
      <c r="G242" s="147">
        <v>2</v>
      </c>
      <c r="H242" s="147">
        <v>1</v>
      </c>
      <c r="I242" s="147"/>
      <c r="J242" s="148">
        <v>0.97</v>
      </c>
      <c r="K242" s="145"/>
      <c r="L242" s="144" t="s">
        <v>146</v>
      </c>
      <c r="M242" s="149"/>
      <c r="N242" s="150">
        <v>59</v>
      </c>
      <c r="O242" s="61" t="s">
        <v>113</v>
      </c>
      <c r="P242" s="61" t="s">
        <v>178</v>
      </c>
      <c r="Q242" s="61" t="s">
        <v>407</v>
      </c>
      <c r="R242" s="61" t="s">
        <v>684</v>
      </c>
      <c r="S242" s="218">
        <v>71</v>
      </c>
      <c r="T242" s="61" t="s">
        <v>47</v>
      </c>
      <c r="U242" s="61" t="s">
        <v>45</v>
      </c>
      <c r="V242" s="63" t="s">
        <v>10</v>
      </c>
      <c r="W242" s="171">
        <v>0.3</v>
      </c>
      <c r="X242" s="146">
        <v>0.46</v>
      </c>
      <c r="Y242" s="146" t="s">
        <v>353</v>
      </c>
      <c r="Z242" s="144" t="s">
        <v>8</v>
      </c>
      <c r="AA242" s="172" t="s">
        <v>34</v>
      </c>
      <c r="AB242" s="173" t="s">
        <v>120</v>
      </c>
      <c r="AC242" s="174" t="s">
        <v>121</v>
      </c>
    </row>
    <row r="243" spans="1:29" x14ac:dyDescent="0.25">
      <c r="A243" s="324">
        <v>45928</v>
      </c>
      <c r="B243" s="144">
        <v>7</v>
      </c>
      <c r="C243" s="145"/>
      <c r="D243" s="144" t="s">
        <v>113</v>
      </c>
      <c r="E243" s="146">
        <v>2.21</v>
      </c>
      <c r="F243" s="146"/>
      <c r="G243" s="147">
        <v>2</v>
      </c>
      <c r="H243" s="147">
        <v>1</v>
      </c>
      <c r="I243" s="147"/>
      <c r="J243" s="148">
        <v>0.97</v>
      </c>
      <c r="K243" s="145"/>
      <c r="L243" s="144" t="s">
        <v>146</v>
      </c>
      <c r="M243" s="149"/>
      <c r="N243" s="150">
        <v>62</v>
      </c>
      <c r="O243" s="26" t="s">
        <v>146</v>
      </c>
      <c r="P243" s="26" t="s">
        <v>159</v>
      </c>
      <c r="Q243" s="26" t="s">
        <v>160</v>
      </c>
      <c r="R243" s="26" t="s">
        <v>684</v>
      </c>
      <c r="S243" s="213">
        <v>66</v>
      </c>
      <c r="T243" s="26" t="s">
        <v>41</v>
      </c>
      <c r="U243" s="26" t="s">
        <v>43</v>
      </c>
      <c r="V243" s="43" t="s">
        <v>10</v>
      </c>
      <c r="W243" s="171">
        <v>0.13</v>
      </c>
      <c r="X243" s="146">
        <v>7.0000000000000007E-2</v>
      </c>
      <c r="Y243" s="146"/>
      <c r="Z243" s="144" t="s">
        <v>48</v>
      </c>
      <c r="AA243" s="172" t="s">
        <v>34</v>
      </c>
      <c r="AB243" s="173"/>
      <c r="AC243" s="174"/>
    </row>
    <row r="244" spans="1:29" x14ac:dyDescent="0.25">
      <c r="A244" s="324">
        <v>45928</v>
      </c>
      <c r="B244" s="144">
        <v>7</v>
      </c>
      <c r="C244" s="145"/>
      <c r="D244" s="144" t="s">
        <v>113</v>
      </c>
      <c r="E244" s="146">
        <v>2.21</v>
      </c>
      <c r="F244" s="146"/>
      <c r="G244" s="147">
        <v>2</v>
      </c>
      <c r="H244" s="147">
        <v>1</v>
      </c>
      <c r="I244" s="147"/>
      <c r="J244" s="148">
        <v>0.97</v>
      </c>
      <c r="K244" s="145"/>
      <c r="L244" s="144" t="s">
        <v>146</v>
      </c>
      <c r="M244" s="149"/>
      <c r="N244" s="150">
        <v>68</v>
      </c>
      <c r="O244" s="61" t="s">
        <v>113</v>
      </c>
      <c r="P244" s="61" t="s">
        <v>178</v>
      </c>
      <c r="Q244" s="61" t="s">
        <v>407</v>
      </c>
      <c r="R244" s="61" t="s">
        <v>684</v>
      </c>
      <c r="S244" s="218">
        <v>71</v>
      </c>
      <c r="T244" s="61" t="s">
        <v>47</v>
      </c>
      <c r="U244" s="61" t="s">
        <v>43</v>
      </c>
      <c r="V244" s="63" t="s">
        <v>10</v>
      </c>
      <c r="W244" s="171">
        <v>0.1</v>
      </c>
      <c r="X244" s="146" t="s">
        <v>53</v>
      </c>
      <c r="Y244" s="146"/>
      <c r="Z244" s="144" t="s">
        <v>52</v>
      </c>
      <c r="AA244" s="172" t="s">
        <v>34</v>
      </c>
      <c r="AB244" s="173"/>
      <c r="AC244" s="174"/>
    </row>
    <row r="245" spans="1:29" x14ac:dyDescent="0.25">
      <c r="A245" s="324">
        <v>45928</v>
      </c>
      <c r="B245" s="144">
        <v>7</v>
      </c>
      <c r="C245" s="145"/>
      <c r="D245" s="144" t="s">
        <v>113</v>
      </c>
      <c r="E245" s="146">
        <v>2.21</v>
      </c>
      <c r="F245" s="146"/>
      <c r="G245" s="147">
        <v>2</v>
      </c>
      <c r="H245" s="147">
        <v>1</v>
      </c>
      <c r="I245" s="147"/>
      <c r="J245" s="148">
        <v>0.97</v>
      </c>
      <c r="K245" s="145"/>
      <c r="L245" s="144" t="s">
        <v>146</v>
      </c>
      <c r="M245" s="149"/>
      <c r="N245" s="150">
        <v>84</v>
      </c>
      <c r="O245" s="26" t="s">
        <v>146</v>
      </c>
      <c r="P245" s="26" t="s">
        <v>155</v>
      </c>
      <c r="Q245" s="26" t="s">
        <v>156</v>
      </c>
      <c r="R245" s="26" t="s">
        <v>696</v>
      </c>
      <c r="S245" s="213">
        <v>64</v>
      </c>
      <c r="T245" s="26" t="s">
        <v>44</v>
      </c>
      <c r="U245" s="26" t="s">
        <v>43</v>
      </c>
      <c r="V245" s="43" t="s">
        <v>18</v>
      </c>
      <c r="W245" s="171">
        <v>0.14000000000000001</v>
      </c>
      <c r="X245" s="146" t="s">
        <v>53</v>
      </c>
      <c r="Y245" s="146"/>
      <c r="Z245" s="144" t="s">
        <v>17</v>
      </c>
      <c r="AA245" s="172" t="s">
        <v>34</v>
      </c>
      <c r="AB245" s="173"/>
      <c r="AC245" s="174"/>
    </row>
    <row r="246" spans="1:29" x14ac:dyDescent="0.25">
      <c r="A246" s="324">
        <v>45928</v>
      </c>
      <c r="B246" s="144">
        <v>7</v>
      </c>
      <c r="C246" s="145"/>
      <c r="D246" s="144" t="s">
        <v>113</v>
      </c>
      <c r="E246" s="146">
        <v>2.21</v>
      </c>
      <c r="F246" s="146"/>
      <c r="G246" s="147">
        <v>2</v>
      </c>
      <c r="H246" s="147">
        <v>1</v>
      </c>
      <c r="I246" s="147"/>
      <c r="J246" s="148">
        <v>0.97</v>
      </c>
      <c r="K246" s="145"/>
      <c r="L246" s="144" t="s">
        <v>146</v>
      </c>
      <c r="M246" s="149"/>
      <c r="N246" s="150">
        <v>84</v>
      </c>
      <c r="O246" s="61" t="s">
        <v>113</v>
      </c>
      <c r="P246" s="61" t="s">
        <v>178</v>
      </c>
      <c r="Q246" s="61" t="s">
        <v>407</v>
      </c>
      <c r="R246" s="61" t="s">
        <v>684</v>
      </c>
      <c r="S246" s="218">
        <v>71</v>
      </c>
      <c r="T246" s="61" t="s">
        <v>41</v>
      </c>
      <c r="U246" s="61" t="s">
        <v>42</v>
      </c>
      <c r="V246" s="63" t="s">
        <v>18</v>
      </c>
      <c r="W246" s="171">
        <v>0.3</v>
      </c>
      <c r="X246" s="146" t="s">
        <v>53</v>
      </c>
      <c r="Y246" s="146" t="s">
        <v>353</v>
      </c>
      <c r="Z246" s="144" t="s">
        <v>17</v>
      </c>
      <c r="AA246" s="172" t="s">
        <v>34</v>
      </c>
      <c r="AB246" s="173"/>
      <c r="AC246" s="174"/>
    </row>
    <row r="247" spans="1:29" ht="15.75" thickBot="1" x14ac:dyDescent="0.3">
      <c r="A247" s="325">
        <v>45928</v>
      </c>
      <c r="B247" s="152">
        <v>7</v>
      </c>
      <c r="C247" s="153"/>
      <c r="D247" s="152" t="s">
        <v>113</v>
      </c>
      <c r="E247" s="154">
        <v>2.21</v>
      </c>
      <c r="F247" s="154"/>
      <c r="G247" s="155">
        <v>2</v>
      </c>
      <c r="H247" s="155">
        <v>1</v>
      </c>
      <c r="I247" s="155"/>
      <c r="J247" s="156">
        <v>0.97</v>
      </c>
      <c r="K247" s="153"/>
      <c r="L247" s="152" t="s">
        <v>146</v>
      </c>
      <c r="M247" s="157"/>
      <c r="N247" s="158">
        <v>85</v>
      </c>
      <c r="O247" s="66" t="s">
        <v>113</v>
      </c>
      <c r="P247" s="66" t="s">
        <v>178</v>
      </c>
      <c r="Q247" s="66" t="s">
        <v>407</v>
      </c>
      <c r="R247" s="66" t="s">
        <v>684</v>
      </c>
      <c r="S247" s="219">
        <v>71</v>
      </c>
      <c r="T247" s="66" t="s">
        <v>47</v>
      </c>
      <c r="U247" s="66" t="s">
        <v>42</v>
      </c>
      <c r="V247" s="67" t="s">
        <v>18</v>
      </c>
      <c r="W247" s="175">
        <v>0.61</v>
      </c>
      <c r="X247" s="154" t="s">
        <v>53</v>
      </c>
      <c r="Y247" s="154" t="s">
        <v>353</v>
      </c>
      <c r="Z247" s="152" t="s">
        <v>52</v>
      </c>
      <c r="AA247" s="176" t="s">
        <v>34</v>
      </c>
      <c r="AB247" s="177"/>
      <c r="AC247" s="178"/>
    </row>
    <row r="248" spans="1:29" ht="15.75" thickBot="1" x14ac:dyDescent="0.3">
      <c r="A248" s="326">
        <v>45928</v>
      </c>
      <c r="B248" s="207">
        <v>7</v>
      </c>
      <c r="C248" s="208"/>
      <c r="D248" s="207" t="s">
        <v>113</v>
      </c>
      <c r="E248" s="209">
        <v>2.21</v>
      </c>
      <c r="F248" s="209"/>
      <c r="G248" s="210">
        <v>2</v>
      </c>
      <c r="H248" s="210">
        <v>1</v>
      </c>
      <c r="I248" s="210"/>
      <c r="J248" s="211">
        <v>0.97</v>
      </c>
      <c r="K248" s="208"/>
      <c r="L248" s="207" t="s">
        <v>146</v>
      </c>
      <c r="M248" s="235"/>
      <c r="N248" s="198"/>
      <c r="O248" s="199" t="s">
        <v>113</v>
      </c>
      <c r="P248" s="199" t="s">
        <v>738</v>
      </c>
      <c r="Q248" s="199" t="s">
        <v>739</v>
      </c>
      <c r="R248" s="199" t="s">
        <v>707</v>
      </c>
      <c r="S248" s="200">
        <v>68</v>
      </c>
      <c r="T248" s="199"/>
      <c r="U248" s="199"/>
      <c r="V248" s="201"/>
      <c r="W248" s="202"/>
      <c r="X248" s="203"/>
      <c r="Y248" s="203">
        <v>1</v>
      </c>
      <c r="Z248" s="199"/>
      <c r="AA248" s="204"/>
      <c r="AB248" s="205"/>
      <c r="AC248" s="201"/>
    </row>
    <row r="249" spans="1:29" ht="15.75" thickBot="1" x14ac:dyDescent="0.3">
      <c r="A249" s="326">
        <v>45928</v>
      </c>
      <c r="B249" s="207">
        <v>7</v>
      </c>
      <c r="C249" s="208"/>
      <c r="D249" s="207" t="s">
        <v>113</v>
      </c>
      <c r="E249" s="209">
        <v>2.21</v>
      </c>
      <c r="F249" s="209"/>
      <c r="G249" s="210">
        <v>2</v>
      </c>
      <c r="H249" s="210">
        <v>1</v>
      </c>
      <c r="I249" s="210"/>
      <c r="J249" s="211">
        <v>0.97</v>
      </c>
      <c r="K249" s="208"/>
      <c r="L249" s="207" t="s">
        <v>146</v>
      </c>
      <c r="M249" s="235"/>
      <c r="N249" s="198"/>
      <c r="O249" s="199" t="s">
        <v>146</v>
      </c>
      <c r="P249" s="199" t="s">
        <v>176</v>
      </c>
      <c r="Q249" s="199" t="s">
        <v>423</v>
      </c>
      <c r="R249" s="199" t="s">
        <v>707</v>
      </c>
      <c r="S249" s="200">
        <v>75</v>
      </c>
      <c r="T249" s="199"/>
      <c r="U249" s="199"/>
      <c r="V249" s="201"/>
      <c r="W249" s="202"/>
      <c r="X249" s="203"/>
      <c r="Y249" s="203">
        <v>2</v>
      </c>
      <c r="Z249" s="199"/>
      <c r="AA249" s="204"/>
      <c r="AB249" s="205"/>
      <c r="AC249" s="201"/>
    </row>
    <row r="250" spans="1:29" x14ac:dyDescent="0.25">
      <c r="A250" s="328">
        <v>45893</v>
      </c>
      <c r="B250" s="17">
        <v>2</v>
      </c>
      <c r="C250" s="123" t="s">
        <v>694</v>
      </c>
      <c r="D250" s="17" t="s">
        <v>91</v>
      </c>
      <c r="E250" s="18">
        <v>2.2999999999999998</v>
      </c>
      <c r="F250" s="18"/>
      <c r="G250" s="19">
        <v>5</v>
      </c>
      <c r="H250" s="19">
        <v>0</v>
      </c>
      <c r="I250" s="19"/>
      <c r="J250" s="20">
        <v>0.14000000000000001</v>
      </c>
      <c r="K250" s="123" t="s">
        <v>704</v>
      </c>
      <c r="L250" s="17" t="s">
        <v>69</v>
      </c>
      <c r="M250" s="46"/>
      <c r="N250" s="96">
        <v>7</v>
      </c>
      <c r="O250" s="64" t="s">
        <v>91</v>
      </c>
      <c r="P250" s="64" t="s">
        <v>96</v>
      </c>
      <c r="Q250" s="64" t="s">
        <v>97</v>
      </c>
      <c r="R250" s="64" t="s">
        <v>718</v>
      </c>
      <c r="S250" s="217">
        <v>90</v>
      </c>
      <c r="T250" s="64" t="s">
        <v>41</v>
      </c>
      <c r="U250" s="64" t="s">
        <v>43</v>
      </c>
      <c r="V250" s="65" t="s">
        <v>540</v>
      </c>
      <c r="W250" s="53">
        <v>0.45</v>
      </c>
      <c r="X250" s="18">
        <v>0.52</v>
      </c>
      <c r="Y250" s="18" t="s">
        <v>353</v>
      </c>
      <c r="Z250" s="17" t="s">
        <v>8</v>
      </c>
      <c r="AA250" s="114" t="s">
        <v>19</v>
      </c>
      <c r="AB250" s="110"/>
      <c r="AC250" s="60"/>
    </row>
    <row r="251" spans="1:29" x14ac:dyDescent="0.25">
      <c r="A251" s="329">
        <v>45893</v>
      </c>
      <c r="B251" s="5">
        <v>2</v>
      </c>
      <c r="D251" s="5" t="s">
        <v>91</v>
      </c>
      <c r="E251" s="6">
        <v>2.2999999999999998</v>
      </c>
      <c r="G251" s="7">
        <v>5</v>
      </c>
      <c r="H251" s="7">
        <v>0</v>
      </c>
      <c r="J251" s="8">
        <v>0.14000000000000001</v>
      </c>
      <c r="L251" s="5" t="s">
        <v>69</v>
      </c>
      <c r="N251" s="56">
        <v>16</v>
      </c>
      <c r="O251" s="61" t="s">
        <v>91</v>
      </c>
      <c r="P251" s="61" t="s">
        <v>106</v>
      </c>
      <c r="Q251" s="61" t="s">
        <v>107</v>
      </c>
      <c r="R251" s="61" t="s">
        <v>686</v>
      </c>
      <c r="S251" s="218">
        <v>100</v>
      </c>
      <c r="T251" s="61" t="s">
        <v>41</v>
      </c>
      <c r="U251" s="61" t="s">
        <v>42</v>
      </c>
      <c r="V251" s="63" t="s">
        <v>10</v>
      </c>
      <c r="W251" s="51">
        <v>0.03</v>
      </c>
      <c r="X251" s="6">
        <v>0.18</v>
      </c>
      <c r="Z251" s="5" t="s">
        <v>8</v>
      </c>
      <c r="AA251" s="112" t="s">
        <v>24</v>
      </c>
      <c r="AB251" s="108" t="s">
        <v>493</v>
      </c>
      <c r="AC251" s="57" t="s">
        <v>494</v>
      </c>
    </row>
    <row r="252" spans="1:29" x14ac:dyDescent="0.25">
      <c r="A252" s="329">
        <v>45893</v>
      </c>
      <c r="B252" s="5">
        <v>2</v>
      </c>
      <c r="D252" s="5" t="s">
        <v>91</v>
      </c>
      <c r="E252" s="6">
        <v>2.2999999999999998</v>
      </c>
      <c r="G252" s="7">
        <v>5</v>
      </c>
      <c r="H252" s="7">
        <v>0</v>
      </c>
      <c r="J252" s="8">
        <v>0.14000000000000001</v>
      </c>
      <c r="L252" s="5" t="s">
        <v>69</v>
      </c>
      <c r="N252" s="56">
        <v>22</v>
      </c>
      <c r="O252" s="61" t="s">
        <v>91</v>
      </c>
      <c r="P252" s="61" t="s">
        <v>96</v>
      </c>
      <c r="Q252" s="61" t="s">
        <v>97</v>
      </c>
      <c r="R252" s="61" t="s">
        <v>718</v>
      </c>
      <c r="S252" s="218">
        <v>90</v>
      </c>
      <c r="T252" s="61" t="s">
        <v>41</v>
      </c>
      <c r="U252" s="61" t="s">
        <v>43</v>
      </c>
      <c r="V252" s="63" t="s">
        <v>18</v>
      </c>
      <c r="W252" s="51">
        <v>0.11</v>
      </c>
      <c r="X252" s="6" t="s">
        <v>53</v>
      </c>
      <c r="Z252" s="5" t="s">
        <v>52</v>
      </c>
      <c r="AA252" s="112" t="s">
        <v>24</v>
      </c>
    </row>
    <row r="253" spans="1:29" x14ac:dyDescent="0.25">
      <c r="A253" s="329">
        <v>45893</v>
      </c>
      <c r="B253" s="5">
        <v>2</v>
      </c>
      <c r="D253" s="5" t="s">
        <v>91</v>
      </c>
      <c r="E253" s="6">
        <v>2.2999999999999998</v>
      </c>
      <c r="G253" s="7">
        <v>5</v>
      </c>
      <c r="H253" s="7">
        <v>0</v>
      </c>
      <c r="J253" s="8">
        <v>0.14000000000000001</v>
      </c>
      <c r="L253" s="5" t="s">
        <v>69</v>
      </c>
      <c r="N253" s="56">
        <v>24</v>
      </c>
      <c r="O253" s="61" t="s">
        <v>91</v>
      </c>
      <c r="P253" s="61" t="s">
        <v>96</v>
      </c>
      <c r="Q253" s="61" t="s">
        <v>97</v>
      </c>
      <c r="R253" s="61" t="s">
        <v>718</v>
      </c>
      <c r="S253" s="218">
        <v>90</v>
      </c>
      <c r="T253" s="61" t="s">
        <v>41</v>
      </c>
      <c r="U253" s="61" t="s">
        <v>45</v>
      </c>
      <c r="V253" s="63" t="s">
        <v>10</v>
      </c>
      <c r="W253" s="51">
        <v>0.12</v>
      </c>
      <c r="X253" s="6" t="s">
        <v>53</v>
      </c>
      <c r="Z253" s="5" t="s">
        <v>52</v>
      </c>
      <c r="AA253" s="112" t="s">
        <v>24</v>
      </c>
    </row>
    <row r="254" spans="1:29" x14ac:dyDescent="0.25">
      <c r="A254" s="329">
        <v>45893</v>
      </c>
      <c r="B254" s="5">
        <v>2</v>
      </c>
      <c r="D254" s="5" t="s">
        <v>91</v>
      </c>
      <c r="E254" s="6">
        <v>2.2999999999999998</v>
      </c>
      <c r="G254" s="7">
        <v>5</v>
      </c>
      <c r="H254" s="7">
        <v>0</v>
      </c>
      <c r="J254" s="8">
        <v>0.14000000000000001</v>
      </c>
      <c r="L254" s="5" t="s">
        <v>69</v>
      </c>
      <c r="N254" s="56">
        <v>25</v>
      </c>
      <c r="O254" s="61" t="s">
        <v>91</v>
      </c>
      <c r="P254" s="61" t="s">
        <v>61</v>
      </c>
      <c r="Q254" s="61" t="s">
        <v>284</v>
      </c>
      <c r="R254" s="61" t="s">
        <v>712</v>
      </c>
      <c r="S254" s="218">
        <v>84</v>
      </c>
      <c r="T254" s="61" t="s">
        <v>47</v>
      </c>
      <c r="U254" s="61" t="s">
        <v>45</v>
      </c>
      <c r="V254" s="63" t="s">
        <v>20</v>
      </c>
      <c r="W254" s="51">
        <v>0.19</v>
      </c>
      <c r="X254" s="6">
        <v>0.55000000000000004</v>
      </c>
      <c r="Y254" s="6" t="s">
        <v>353</v>
      </c>
      <c r="Z254" s="5" t="s">
        <v>8</v>
      </c>
      <c r="AA254" s="112" t="s">
        <v>27</v>
      </c>
      <c r="AB254" s="108" t="s">
        <v>102</v>
      </c>
      <c r="AC254" s="57" t="s">
        <v>103</v>
      </c>
    </row>
    <row r="255" spans="1:29" x14ac:dyDescent="0.25">
      <c r="A255" s="329">
        <v>45893</v>
      </c>
      <c r="B255" s="5">
        <v>2</v>
      </c>
      <c r="D255" s="5" t="s">
        <v>91</v>
      </c>
      <c r="E255" s="6">
        <v>2.2999999999999998</v>
      </c>
      <c r="G255" s="7">
        <v>5</v>
      </c>
      <c r="H255" s="7">
        <v>0</v>
      </c>
      <c r="J255" s="8">
        <v>0.14000000000000001</v>
      </c>
      <c r="L255" s="5" t="s">
        <v>69</v>
      </c>
      <c r="N255" s="56">
        <v>28</v>
      </c>
      <c r="O255" s="61" t="s">
        <v>91</v>
      </c>
      <c r="P255" s="61" t="s">
        <v>106</v>
      </c>
      <c r="Q255" s="61" t="s">
        <v>107</v>
      </c>
      <c r="R255" s="61" t="s">
        <v>686</v>
      </c>
      <c r="S255" s="218">
        <v>100</v>
      </c>
      <c r="T255" s="61" t="s">
        <v>47</v>
      </c>
      <c r="U255" s="61" t="s">
        <v>42</v>
      </c>
      <c r="V255" s="63" t="s">
        <v>10</v>
      </c>
      <c r="W255" s="51">
        <v>0.33</v>
      </c>
      <c r="X255" s="6">
        <v>0.31</v>
      </c>
      <c r="Y255" s="6" t="s">
        <v>353</v>
      </c>
      <c r="Z255" s="5" t="s">
        <v>8</v>
      </c>
      <c r="AA255" s="112" t="s">
        <v>32</v>
      </c>
      <c r="AB255" s="108" t="s">
        <v>100</v>
      </c>
      <c r="AC255" s="57" t="s">
        <v>101</v>
      </c>
    </row>
    <row r="256" spans="1:29" x14ac:dyDescent="0.25">
      <c r="A256" s="329">
        <v>45893</v>
      </c>
      <c r="B256" s="5">
        <v>2</v>
      </c>
      <c r="D256" s="5" t="s">
        <v>91</v>
      </c>
      <c r="E256" s="6">
        <v>2.2999999999999998</v>
      </c>
      <c r="G256" s="7">
        <v>5</v>
      </c>
      <c r="H256" s="7">
        <v>0</v>
      </c>
      <c r="J256" s="8">
        <v>0.14000000000000001</v>
      </c>
      <c r="L256" s="5" t="s">
        <v>69</v>
      </c>
      <c r="N256" s="56">
        <v>33</v>
      </c>
      <c r="O256" s="61" t="s">
        <v>91</v>
      </c>
      <c r="P256" s="61" t="s">
        <v>104</v>
      </c>
      <c r="Q256" s="61" t="s">
        <v>105</v>
      </c>
      <c r="R256" s="61" t="s">
        <v>717</v>
      </c>
      <c r="S256" s="218">
        <v>68</v>
      </c>
      <c r="T256" s="61" t="s">
        <v>47</v>
      </c>
      <c r="U256" s="61" t="s">
        <v>43</v>
      </c>
      <c r="V256" s="63" t="s">
        <v>10</v>
      </c>
      <c r="W256" s="51">
        <v>0.31</v>
      </c>
      <c r="X256" s="6">
        <v>0.1</v>
      </c>
      <c r="Y256" s="6" t="s">
        <v>353</v>
      </c>
      <c r="Z256" s="5" t="s">
        <v>48</v>
      </c>
      <c r="AA256" s="112" t="s">
        <v>32</v>
      </c>
    </row>
    <row r="257" spans="1:29" x14ac:dyDescent="0.25">
      <c r="A257" s="329">
        <v>45893</v>
      </c>
      <c r="B257" s="5">
        <v>2</v>
      </c>
      <c r="D257" s="5" t="s">
        <v>91</v>
      </c>
      <c r="E257" s="6">
        <v>2.2999999999999998</v>
      </c>
      <c r="G257" s="7">
        <v>5</v>
      </c>
      <c r="H257" s="7">
        <v>0</v>
      </c>
      <c r="J257" s="8">
        <v>0.14000000000000001</v>
      </c>
      <c r="L257" s="5" t="s">
        <v>69</v>
      </c>
      <c r="N257" s="56" t="s">
        <v>63</v>
      </c>
      <c r="O257" s="61" t="s">
        <v>91</v>
      </c>
      <c r="P257" s="61" t="s">
        <v>104</v>
      </c>
      <c r="Q257" s="61" t="s">
        <v>105</v>
      </c>
      <c r="R257" s="61" t="s">
        <v>717</v>
      </c>
      <c r="S257" s="218">
        <v>68</v>
      </c>
      <c r="T257" s="61" t="s">
        <v>354</v>
      </c>
      <c r="U257" s="61" t="s">
        <v>42</v>
      </c>
      <c r="V257" s="63" t="s">
        <v>18</v>
      </c>
      <c r="W257" s="51">
        <v>0.03</v>
      </c>
      <c r="X257" s="6" t="s">
        <v>53</v>
      </c>
      <c r="Z257" s="5" t="s">
        <v>16</v>
      </c>
      <c r="AA257" s="112" t="s">
        <v>32</v>
      </c>
    </row>
    <row r="258" spans="1:29" ht="15.75" thickBot="1" x14ac:dyDescent="0.3">
      <c r="A258" s="330">
        <v>45893</v>
      </c>
      <c r="B258" s="9">
        <v>2</v>
      </c>
      <c r="C258" s="122"/>
      <c r="D258" s="9" t="s">
        <v>91</v>
      </c>
      <c r="E258" s="10">
        <v>2.2999999999999998</v>
      </c>
      <c r="F258" s="10"/>
      <c r="G258" s="11">
        <v>5</v>
      </c>
      <c r="H258" s="11">
        <v>0</v>
      </c>
      <c r="I258" s="11"/>
      <c r="J258" s="12">
        <v>0.14000000000000001</v>
      </c>
      <c r="K258" s="122"/>
      <c r="L258" s="9" t="s">
        <v>69</v>
      </c>
      <c r="M258" s="45"/>
      <c r="N258" s="97">
        <v>64</v>
      </c>
      <c r="O258" s="66" t="s">
        <v>91</v>
      </c>
      <c r="P258" s="66" t="s">
        <v>106</v>
      </c>
      <c r="Q258" s="66" t="s">
        <v>107</v>
      </c>
      <c r="R258" s="66" t="s">
        <v>686</v>
      </c>
      <c r="S258" s="219">
        <v>100</v>
      </c>
      <c r="T258" s="66" t="s">
        <v>44</v>
      </c>
      <c r="U258" s="66" t="s">
        <v>42</v>
      </c>
      <c r="V258" s="67" t="s">
        <v>18</v>
      </c>
      <c r="W258" s="52">
        <v>7.0000000000000007E-2</v>
      </c>
      <c r="X258" s="10">
        <v>0.22</v>
      </c>
      <c r="Y258" s="10"/>
      <c r="Z258" s="9" t="s">
        <v>8</v>
      </c>
      <c r="AA258" s="113" t="s">
        <v>285</v>
      </c>
      <c r="AB258" s="109" t="s">
        <v>104</v>
      </c>
      <c r="AC258" s="58" t="s">
        <v>105</v>
      </c>
    </row>
    <row r="259" spans="1:29" ht="15.75" thickBot="1" x14ac:dyDescent="0.3">
      <c r="A259" s="326">
        <v>45893</v>
      </c>
      <c r="B259" s="207">
        <v>2</v>
      </c>
      <c r="C259" s="208"/>
      <c r="D259" s="207" t="s">
        <v>91</v>
      </c>
      <c r="E259" s="209">
        <v>2.2999999999999998</v>
      </c>
      <c r="F259" s="209"/>
      <c r="G259" s="210">
        <v>5</v>
      </c>
      <c r="H259" s="210">
        <v>0</v>
      </c>
      <c r="I259" s="210"/>
      <c r="J259" s="211">
        <v>0.14000000000000001</v>
      </c>
      <c r="K259" s="208"/>
      <c r="L259" s="207" t="s">
        <v>69</v>
      </c>
      <c r="M259" s="197"/>
      <c r="N259" s="198"/>
      <c r="O259" s="199" t="s">
        <v>91</v>
      </c>
      <c r="P259" s="199" t="s">
        <v>315</v>
      </c>
      <c r="Q259" s="199" t="s">
        <v>54</v>
      </c>
      <c r="R259" s="199" t="s">
        <v>707</v>
      </c>
      <c r="S259" s="200">
        <v>70</v>
      </c>
      <c r="T259" s="199"/>
      <c r="U259" s="199"/>
      <c r="V259" s="201"/>
      <c r="W259" s="202"/>
      <c r="X259" s="203"/>
      <c r="Y259" s="203">
        <v>0</v>
      </c>
      <c r="Z259" s="199"/>
      <c r="AA259" s="204"/>
      <c r="AB259" s="205"/>
      <c r="AC259" s="201"/>
    </row>
    <row r="260" spans="1:29" ht="15.75" thickBot="1" x14ac:dyDescent="0.3">
      <c r="A260" s="326">
        <v>45893</v>
      </c>
      <c r="B260" s="207">
        <v>2</v>
      </c>
      <c r="C260" s="208"/>
      <c r="D260" s="207" t="s">
        <v>91</v>
      </c>
      <c r="E260" s="209">
        <v>2.2999999999999998</v>
      </c>
      <c r="F260" s="209"/>
      <c r="G260" s="210">
        <v>5</v>
      </c>
      <c r="H260" s="210">
        <v>0</v>
      </c>
      <c r="I260" s="210"/>
      <c r="J260" s="211">
        <v>0.14000000000000001</v>
      </c>
      <c r="K260" s="208"/>
      <c r="L260" s="207" t="s">
        <v>69</v>
      </c>
      <c r="M260" s="197"/>
      <c r="N260" s="198"/>
      <c r="O260" s="199" t="s">
        <v>69</v>
      </c>
      <c r="P260" s="199" t="s">
        <v>389</v>
      </c>
      <c r="Q260" s="199" t="s">
        <v>729</v>
      </c>
      <c r="R260" s="199" t="s">
        <v>707</v>
      </c>
      <c r="S260" s="200">
        <v>68</v>
      </c>
      <c r="T260" s="199"/>
      <c r="U260" s="199"/>
      <c r="V260" s="201"/>
      <c r="W260" s="202"/>
      <c r="X260" s="203"/>
      <c r="Y260" s="203">
        <v>5</v>
      </c>
      <c r="Z260" s="199"/>
      <c r="AA260" s="204"/>
      <c r="AB260" s="205"/>
      <c r="AC260" s="201"/>
    </row>
    <row r="261" spans="1:29" x14ac:dyDescent="0.25">
      <c r="A261" s="328">
        <v>45914</v>
      </c>
      <c r="B261" s="17">
        <v>4</v>
      </c>
      <c r="C261" s="123" t="s">
        <v>700</v>
      </c>
      <c r="D261" s="17" t="s">
        <v>456</v>
      </c>
      <c r="E261" s="18">
        <v>2.5</v>
      </c>
      <c r="F261" s="18"/>
      <c r="G261" s="19">
        <v>1</v>
      </c>
      <c r="H261" s="19">
        <v>1</v>
      </c>
      <c r="I261" s="19"/>
      <c r="J261" s="20">
        <v>0.64</v>
      </c>
      <c r="K261" s="123" t="s">
        <v>692</v>
      </c>
      <c r="L261" s="17" t="s">
        <v>69</v>
      </c>
      <c r="M261" s="46"/>
      <c r="N261" s="96">
        <v>2</v>
      </c>
      <c r="O261" s="64" t="s">
        <v>456</v>
      </c>
      <c r="P261" s="64" t="s">
        <v>162</v>
      </c>
      <c r="Q261" s="64" t="s">
        <v>163</v>
      </c>
      <c r="R261" s="64" t="s">
        <v>686</v>
      </c>
      <c r="S261" s="217">
        <v>73</v>
      </c>
      <c r="T261" s="64" t="s">
        <v>41</v>
      </c>
      <c r="U261" s="64" t="s">
        <v>43</v>
      </c>
      <c r="V261" s="65" t="s">
        <v>540</v>
      </c>
      <c r="W261" s="53">
        <v>0.15</v>
      </c>
      <c r="X261" s="18" t="s">
        <v>53</v>
      </c>
      <c r="Y261" s="18"/>
      <c r="Z261" s="17" t="s">
        <v>52</v>
      </c>
      <c r="AA261" s="114" t="s">
        <v>28</v>
      </c>
      <c r="AB261" s="110"/>
      <c r="AC261" s="60"/>
    </row>
    <row r="262" spans="1:29" x14ac:dyDescent="0.25">
      <c r="A262" s="329">
        <v>45914</v>
      </c>
      <c r="B262" s="5">
        <v>4</v>
      </c>
      <c r="D262" s="5" t="s">
        <v>456</v>
      </c>
      <c r="E262" s="6">
        <v>2.5</v>
      </c>
      <c r="G262" s="7">
        <v>1</v>
      </c>
      <c r="H262" s="7">
        <v>1</v>
      </c>
      <c r="J262" s="8">
        <v>0.64</v>
      </c>
      <c r="L262" s="5" t="s">
        <v>69</v>
      </c>
      <c r="N262" s="56">
        <v>12</v>
      </c>
      <c r="O262" s="26" t="s">
        <v>69</v>
      </c>
      <c r="P262" s="26" t="s">
        <v>389</v>
      </c>
      <c r="Q262" s="26" t="s">
        <v>390</v>
      </c>
      <c r="R262" s="26" t="s">
        <v>684</v>
      </c>
      <c r="S262" s="213">
        <v>76</v>
      </c>
      <c r="T262" s="26" t="s">
        <v>41</v>
      </c>
      <c r="U262" s="26" t="s">
        <v>42</v>
      </c>
      <c r="V262" s="43" t="s">
        <v>10</v>
      </c>
      <c r="W262" s="51">
        <v>7.0000000000000007E-2</v>
      </c>
      <c r="X262" s="6">
        <v>0.19</v>
      </c>
      <c r="Z262" s="5" t="s">
        <v>8</v>
      </c>
      <c r="AA262" s="112" t="s">
        <v>9</v>
      </c>
      <c r="AB262" s="108" t="s">
        <v>59</v>
      </c>
      <c r="AC262" s="57" t="s">
        <v>365</v>
      </c>
    </row>
    <row r="263" spans="1:29" x14ac:dyDescent="0.25">
      <c r="A263" s="329">
        <v>45914</v>
      </c>
      <c r="B263" s="5">
        <v>4</v>
      </c>
      <c r="D263" s="5" t="s">
        <v>456</v>
      </c>
      <c r="E263" s="6">
        <v>2.5</v>
      </c>
      <c r="G263" s="7">
        <v>1</v>
      </c>
      <c r="H263" s="7">
        <v>1</v>
      </c>
      <c r="J263" s="8">
        <v>0.64</v>
      </c>
      <c r="L263" s="5" t="s">
        <v>69</v>
      </c>
      <c r="N263" s="56">
        <v>39</v>
      </c>
      <c r="O263" s="26" t="s">
        <v>69</v>
      </c>
      <c r="P263" s="26" t="s">
        <v>59</v>
      </c>
      <c r="Q263" s="26" t="s">
        <v>365</v>
      </c>
      <c r="R263" s="26" t="s">
        <v>690</v>
      </c>
      <c r="S263" s="213">
        <v>71</v>
      </c>
      <c r="T263" s="26" t="s">
        <v>41</v>
      </c>
      <c r="U263" s="26" t="s">
        <v>45</v>
      </c>
      <c r="V263" s="43" t="s">
        <v>10</v>
      </c>
      <c r="W263" s="51">
        <v>0.05</v>
      </c>
      <c r="X263" s="6">
        <v>0.04</v>
      </c>
      <c r="Y263" s="6" t="s">
        <v>353</v>
      </c>
      <c r="Z263" s="5" t="s">
        <v>48</v>
      </c>
      <c r="AA263" s="112" t="s">
        <v>9</v>
      </c>
    </row>
    <row r="264" spans="1:29" x14ac:dyDescent="0.25">
      <c r="A264" s="329">
        <v>45914</v>
      </c>
      <c r="B264" s="5">
        <v>4</v>
      </c>
      <c r="D264" s="5" t="s">
        <v>456</v>
      </c>
      <c r="E264" s="6">
        <v>2.5</v>
      </c>
      <c r="G264" s="7">
        <v>1</v>
      </c>
      <c r="H264" s="7">
        <v>1</v>
      </c>
      <c r="J264" s="8">
        <v>0.64</v>
      </c>
      <c r="L264" s="5" t="s">
        <v>69</v>
      </c>
      <c r="N264" s="56">
        <v>40</v>
      </c>
      <c r="O264" s="61" t="s">
        <v>456</v>
      </c>
      <c r="P264" s="61" t="s">
        <v>118</v>
      </c>
      <c r="Q264" s="61" t="s">
        <v>357</v>
      </c>
      <c r="R264" s="61" t="s">
        <v>684</v>
      </c>
      <c r="S264" s="218">
        <v>62</v>
      </c>
      <c r="T264" s="61" t="s">
        <v>41</v>
      </c>
      <c r="U264" s="61" t="s">
        <v>45</v>
      </c>
      <c r="V264" s="63" t="s">
        <v>10</v>
      </c>
      <c r="W264" s="51">
        <v>0.13</v>
      </c>
      <c r="X264" s="6" t="s">
        <v>53</v>
      </c>
      <c r="Z264" s="5" t="s">
        <v>13</v>
      </c>
      <c r="AA264" s="112" t="s">
        <v>9</v>
      </c>
    </row>
    <row r="265" spans="1:29" x14ac:dyDescent="0.25">
      <c r="A265" s="329">
        <v>45914</v>
      </c>
      <c r="B265" s="5">
        <v>4</v>
      </c>
      <c r="D265" s="5" t="s">
        <v>456</v>
      </c>
      <c r="E265" s="6">
        <v>2.5</v>
      </c>
      <c r="G265" s="7">
        <v>1</v>
      </c>
      <c r="H265" s="7">
        <v>1</v>
      </c>
      <c r="J265" s="8">
        <v>0.64</v>
      </c>
      <c r="L265" s="5" t="s">
        <v>69</v>
      </c>
      <c r="N265" s="56">
        <v>42</v>
      </c>
      <c r="O265" s="61" t="s">
        <v>456</v>
      </c>
      <c r="P265" s="61" t="s">
        <v>118</v>
      </c>
      <c r="Q265" s="61" t="s">
        <v>357</v>
      </c>
      <c r="R265" s="61" t="s">
        <v>684</v>
      </c>
      <c r="S265" s="218">
        <v>62</v>
      </c>
      <c r="T265" s="61" t="s">
        <v>41</v>
      </c>
      <c r="U265" s="61" t="s">
        <v>42</v>
      </c>
      <c r="V265" s="63" t="s">
        <v>10</v>
      </c>
      <c r="W265" s="51">
        <v>0.06</v>
      </c>
      <c r="X265" s="6">
        <v>0.13</v>
      </c>
      <c r="Z265" s="5" t="s">
        <v>48</v>
      </c>
      <c r="AA265" s="112" t="s">
        <v>9</v>
      </c>
    </row>
    <row r="266" spans="1:29" x14ac:dyDescent="0.25">
      <c r="A266" s="329">
        <v>45914</v>
      </c>
      <c r="B266" s="5">
        <v>4</v>
      </c>
      <c r="D266" s="5" t="s">
        <v>456</v>
      </c>
      <c r="E266" s="6">
        <v>2.5</v>
      </c>
      <c r="G266" s="7">
        <v>1</v>
      </c>
      <c r="H266" s="7">
        <v>1</v>
      </c>
      <c r="J266" s="8">
        <v>0.64</v>
      </c>
      <c r="L266" s="5" t="s">
        <v>69</v>
      </c>
      <c r="N266" s="56">
        <v>42</v>
      </c>
      <c r="O266" s="61" t="s">
        <v>456</v>
      </c>
      <c r="P266" s="61" t="s">
        <v>118</v>
      </c>
      <c r="Q266" s="61" t="s">
        <v>357</v>
      </c>
      <c r="R266" s="61" t="s">
        <v>684</v>
      </c>
      <c r="S266" s="218">
        <v>62</v>
      </c>
      <c r="T266" s="61" t="s">
        <v>41</v>
      </c>
      <c r="U266" s="61" t="s">
        <v>42</v>
      </c>
      <c r="V266" s="63" t="s">
        <v>20</v>
      </c>
      <c r="W266" s="51">
        <v>7.0000000000000007E-2</v>
      </c>
      <c r="X266" s="6">
        <v>0.38</v>
      </c>
      <c r="Z266" s="5" t="s">
        <v>48</v>
      </c>
      <c r="AA266" s="112" t="s">
        <v>9</v>
      </c>
    </row>
    <row r="267" spans="1:29" x14ac:dyDescent="0.25">
      <c r="A267" s="329">
        <v>45914</v>
      </c>
      <c r="B267" s="5">
        <v>4</v>
      </c>
      <c r="D267" s="5" t="s">
        <v>456</v>
      </c>
      <c r="E267" s="6">
        <v>2.5</v>
      </c>
      <c r="G267" s="7">
        <v>1</v>
      </c>
      <c r="H267" s="7">
        <v>1</v>
      </c>
      <c r="J267" s="8">
        <v>0.64</v>
      </c>
      <c r="L267" s="5" t="s">
        <v>69</v>
      </c>
      <c r="N267" s="56">
        <v>48</v>
      </c>
      <c r="O267" s="61" t="s">
        <v>456</v>
      </c>
      <c r="P267" s="61" t="s">
        <v>118</v>
      </c>
      <c r="Q267" s="61" t="s">
        <v>357</v>
      </c>
      <c r="R267" s="61" t="s">
        <v>684</v>
      </c>
      <c r="S267" s="218">
        <v>62</v>
      </c>
      <c r="T267" s="61" t="s">
        <v>41</v>
      </c>
      <c r="U267" s="61" t="s">
        <v>42</v>
      </c>
      <c r="V267" s="63" t="s">
        <v>10</v>
      </c>
      <c r="W267" s="51">
        <v>0.26</v>
      </c>
      <c r="X267" s="6">
        <v>0.47</v>
      </c>
      <c r="Z267" s="5" t="s">
        <v>48</v>
      </c>
      <c r="AA267" s="112" t="s">
        <v>9</v>
      </c>
    </row>
    <row r="268" spans="1:29" x14ac:dyDescent="0.25">
      <c r="A268" s="329">
        <v>45914</v>
      </c>
      <c r="B268" s="5">
        <v>4</v>
      </c>
      <c r="D268" s="5" t="s">
        <v>456</v>
      </c>
      <c r="E268" s="6">
        <v>2.5</v>
      </c>
      <c r="G268" s="7">
        <v>1</v>
      </c>
      <c r="H268" s="7">
        <v>1</v>
      </c>
      <c r="J268" s="8">
        <v>0.64</v>
      </c>
      <c r="L268" s="5" t="s">
        <v>69</v>
      </c>
      <c r="N268" s="56">
        <v>58</v>
      </c>
      <c r="O268" s="26" t="s">
        <v>69</v>
      </c>
      <c r="P268" s="26" t="s">
        <v>389</v>
      </c>
      <c r="Q268" s="26" t="s">
        <v>390</v>
      </c>
      <c r="R268" s="26" t="s">
        <v>684</v>
      </c>
      <c r="S268" s="213">
        <v>76</v>
      </c>
      <c r="T268" s="26" t="s">
        <v>41</v>
      </c>
      <c r="U268" s="26" t="s">
        <v>43</v>
      </c>
      <c r="V268" s="43" t="s">
        <v>10</v>
      </c>
      <c r="W268" s="51">
        <v>0.06</v>
      </c>
      <c r="X268" s="6">
        <v>0.36</v>
      </c>
      <c r="Z268" s="5" t="s">
        <v>48</v>
      </c>
      <c r="AA268" s="112" t="s">
        <v>9</v>
      </c>
    </row>
    <row r="269" spans="1:29" x14ac:dyDescent="0.25">
      <c r="A269" s="329">
        <v>45914</v>
      </c>
      <c r="B269" s="5">
        <v>4</v>
      </c>
      <c r="D269" s="5" t="s">
        <v>456</v>
      </c>
      <c r="E269" s="6">
        <v>2.5</v>
      </c>
      <c r="G269" s="7">
        <v>1</v>
      </c>
      <c r="H269" s="7">
        <v>1</v>
      </c>
      <c r="J269" s="8">
        <v>0.64</v>
      </c>
      <c r="L269" s="5" t="s">
        <v>69</v>
      </c>
      <c r="N269" s="56">
        <v>60</v>
      </c>
      <c r="O269" s="61" t="s">
        <v>456</v>
      </c>
      <c r="P269" s="61" t="s">
        <v>384</v>
      </c>
      <c r="Q269" s="61" t="s">
        <v>385</v>
      </c>
      <c r="R269" s="61" t="s">
        <v>688</v>
      </c>
      <c r="S269" s="218">
        <v>65</v>
      </c>
      <c r="T269" s="61" t="s">
        <v>47</v>
      </c>
      <c r="U269" s="61" t="s">
        <v>43</v>
      </c>
      <c r="V269" s="63" t="s">
        <v>10</v>
      </c>
      <c r="W269" s="51">
        <v>0.27</v>
      </c>
      <c r="X269" s="6" t="s">
        <v>53</v>
      </c>
      <c r="Z269" s="5" t="s">
        <v>13</v>
      </c>
      <c r="AA269" s="112" t="s">
        <v>9</v>
      </c>
    </row>
    <row r="270" spans="1:29" x14ac:dyDescent="0.25">
      <c r="A270" s="329">
        <v>45914</v>
      </c>
      <c r="B270" s="5">
        <v>4</v>
      </c>
      <c r="D270" s="5" t="s">
        <v>456</v>
      </c>
      <c r="E270" s="6">
        <v>2.5</v>
      </c>
      <c r="G270" s="7">
        <v>1</v>
      </c>
      <c r="H270" s="7">
        <v>1</v>
      </c>
      <c r="J270" s="8">
        <v>0.64</v>
      </c>
      <c r="L270" s="5" t="s">
        <v>69</v>
      </c>
      <c r="N270" s="56">
        <v>62</v>
      </c>
      <c r="O270" s="61" t="s">
        <v>456</v>
      </c>
      <c r="P270" s="61" t="s">
        <v>147</v>
      </c>
      <c r="Q270" s="61" t="s">
        <v>386</v>
      </c>
      <c r="R270" s="61" t="s">
        <v>695</v>
      </c>
      <c r="S270" s="218">
        <v>73</v>
      </c>
      <c r="T270" s="61" t="s">
        <v>354</v>
      </c>
      <c r="U270" s="61" t="s">
        <v>43</v>
      </c>
      <c r="V270" s="63" t="s">
        <v>20</v>
      </c>
      <c r="W270" s="51">
        <v>0.05</v>
      </c>
      <c r="X270" s="6">
        <v>0.19</v>
      </c>
      <c r="Z270" s="5" t="s">
        <v>48</v>
      </c>
      <c r="AA270" s="112" t="s">
        <v>9</v>
      </c>
    </row>
    <row r="271" spans="1:29" x14ac:dyDescent="0.25">
      <c r="A271" s="329">
        <v>45914</v>
      </c>
      <c r="B271" s="5">
        <v>4</v>
      </c>
      <c r="D271" s="5" t="s">
        <v>456</v>
      </c>
      <c r="E271" s="6">
        <v>2.5</v>
      </c>
      <c r="G271" s="7">
        <v>1</v>
      </c>
      <c r="H271" s="7">
        <v>1</v>
      </c>
      <c r="J271" s="8">
        <v>0.64</v>
      </c>
      <c r="L271" s="5" t="s">
        <v>69</v>
      </c>
      <c r="N271" s="56">
        <v>69</v>
      </c>
      <c r="O271" s="61" t="s">
        <v>456</v>
      </c>
      <c r="P271" s="61" t="s">
        <v>384</v>
      </c>
      <c r="Q271" s="61" t="s">
        <v>385</v>
      </c>
      <c r="R271" s="61" t="s">
        <v>688</v>
      </c>
      <c r="S271" s="218">
        <v>65</v>
      </c>
      <c r="T271" s="61" t="s">
        <v>41</v>
      </c>
      <c r="U271" s="61" t="s">
        <v>42</v>
      </c>
      <c r="V271" s="63" t="s">
        <v>540</v>
      </c>
      <c r="W271" s="51">
        <v>0.13</v>
      </c>
      <c r="X271" s="6">
        <v>0.2</v>
      </c>
      <c r="Z271" s="5" t="s">
        <v>48</v>
      </c>
      <c r="AA271" s="112" t="s">
        <v>9</v>
      </c>
    </row>
    <row r="272" spans="1:29" x14ac:dyDescent="0.25">
      <c r="A272" s="329">
        <v>45914</v>
      </c>
      <c r="B272" s="5">
        <v>4</v>
      </c>
      <c r="D272" s="5" t="s">
        <v>456</v>
      </c>
      <c r="E272" s="6">
        <v>2.5</v>
      </c>
      <c r="G272" s="7">
        <v>1</v>
      </c>
      <c r="H272" s="7">
        <v>1</v>
      </c>
      <c r="J272" s="8">
        <v>0.64</v>
      </c>
      <c r="L272" s="5" t="s">
        <v>69</v>
      </c>
      <c r="N272" s="56">
        <v>75</v>
      </c>
      <c r="O272" s="61" t="s">
        <v>456</v>
      </c>
      <c r="P272" s="61" t="s">
        <v>387</v>
      </c>
      <c r="Q272" s="61" t="s">
        <v>388</v>
      </c>
      <c r="R272" s="61" t="s">
        <v>696</v>
      </c>
      <c r="S272" s="218">
        <v>68</v>
      </c>
      <c r="T272" s="61" t="s">
        <v>47</v>
      </c>
      <c r="U272" s="61" t="s">
        <v>45</v>
      </c>
      <c r="V272" s="63" t="s">
        <v>20</v>
      </c>
      <c r="W272" s="51">
        <v>0.11</v>
      </c>
      <c r="X272" s="6" t="s">
        <v>53</v>
      </c>
      <c r="Y272" s="6" t="s">
        <v>353</v>
      </c>
      <c r="Z272" s="5" t="s">
        <v>22</v>
      </c>
      <c r="AA272" s="112" t="s">
        <v>9</v>
      </c>
    </row>
    <row r="273" spans="1:29" x14ac:dyDescent="0.25">
      <c r="A273" s="329">
        <v>45914</v>
      </c>
      <c r="B273" s="5">
        <v>4</v>
      </c>
      <c r="D273" s="5" t="s">
        <v>456</v>
      </c>
      <c r="E273" s="6">
        <v>2.5</v>
      </c>
      <c r="G273" s="7">
        <v>1</v>
      </c>
      <c r="H273" s="7">
        <v>1</v>
      </c>
      <c r="J273" s="8">
        <v>0.64</v>
      </c>
      <c r="L273" s="5" t="s">
        <v>69</v>
      </c>
      <c r="N273" s="56">
        <v>83</v>
      </c>
      <c r="O273" s="26" t="s">
        <v>69</v>
      </c>
      <c r="P273" s="26" t="s">
        <v>53</v>
      </c>
      <c r="Q273" s="26" t="s">
        <v>324</v>
      </c>
      <c r="R273" s="26" t="s">
        <v>696</v>
      </c>
      <c r="S273" s="213">
        <v>64</v>
      </c>
      <c r="T273" s="26" t="s">
        <v>41</v>
      </c>
      <c r="U273" s="26" t="s">
        <v>42</v>
      </c>
      <c r="V273" s="43" t="s">
        <v>540</v>
      </c>
      <c r="W273" s="51">
        <v>0.11</v>
      </c>
      <c r="X273" s="6">
        <v>0.21</v>
      </c>
      <c r="Y273" s="6" t="s">
        <v>353</v>
      </c>
      <c r="Z273" s="5" t="s">
        <v>48</v>
      </c>
      <c r="AA273" s="112" t="s">
        <v>9</v>
      </c>
    </row>
    <row r="274" spans="1:29" x14ac:dyDescent="0.25">
      <c r="A274" s="329">
        <v>45914</v>
      </c>
      <c r="B274" s="5">
        <v>4</v>
      </c>
      <c r="D274" s="5" t="s">
        <v>456</v>
      </c>
      <c r="E274" s="6">
        <v>2.5</v>
      </c>
      <c r="G274" s="7">
        <v>1</v>
      </c>
      <c r="H274" s="7">
        <v>1</v>
      </c>
      <c r="J274" s="8">
        <v>0.64</v>
      </c>
      <c r="L274" s="5" t="s">
        <v>69</v>
      </c>
      <c r="N274" s="56">
        <v>86</v>
      </c>
      <c r="O274" s="61" t="s">
        <v>456</v>
      </c>
      <c r="P274" s="61" t="s">
        <v>387</v>
      </c>
      <c r="Q274" s="61" t="s">
        <v>388</v>
      </c>
      <c r="R274" s="61" t="s">
        <v>696</v>
      </c>
      <c r="S274" s="218">
        <v>68</v>
      </c>
      <c r="T274" s="61" t="s">
        <v>41</v>
      </c>
      <c r="U274" s="61" t="s">
        <v>45</v>
      </c>
      <c r="V274" s="63" t="s">
        <v>20</v>
      </c>
      <c r="W274" s="51">
        <v>0.06</v>
      </c>
      <c r="X274" s="6">
        <v>0.49</v>
      </c>
      <c r="Z274" s="5" t="s">
        <v>48</v>
      </c>
      <c r="AA274" s="112" t="s">
        <v>9</v>
      </c>
    </row>
    <row r="275" spans="1:29" x14ac:dyDescent="0.25">
      <c r="A275" s="329">
        <v>45914</v>
      </c>
      <c r="B275" s="5">
        <v>4</v>
      </c>
      <c r="D275" s="5" t="s">
        <v>456</v>
      </c>
      <c r="E275" s="6">
        <v>2.5</v>
      </c>
      <c r="G275" s="7">
        <v>1</v>
      </c>
      <c r="H275" s="7">
        <v>1</v>
      </c>
      <c r="J275" s="8">
        <v>0.64</v>
      </c>
      <c r="L275" s="5" t="s">
        <v>69</v>
      </c>
      <c r="N275" s="56">
        <v>87</v>
      </c>
      <c r="O275" s="26" t="s">
        <v>69</v>
      </c>
      <c r="P275" s="26" t="s">
        <v>391</v>
      </c>
      <c r="Q275" s="26" t="s">
        <v>392</v>
      </c>
      <c r="R275" s="26" t="s">
        <v>696</v>
      </c>
      <c r="S275" s="213">
        <v>66</v>
      </c>
      <c r="T275" s="26" t="s">
        <v>41</v>
      </c>
      <c r="U275" s="26" t="s">
        <v>42</v>
      </c>
      <c r="V275" s="43" t="s">
        <v>10</v>
      </c>
      <c r="W275" s="51">
        <v>0.04</v>
      </c>
      <c r="X275" s="6">
        <v>0.26</v>
      </c>
      <c r="Z275" s="5" t="s">
        <v>48</v>
      </c>
      <c r="AA275" s="112" t="s">
        <v>9</v>
      </c>
    </row>
    <row r="276" spans="1:29" ht="15.75" thickBot="1" x14ac:dyDescent="0.3">
      <c r="A276" s="330">
        <v>45914</v>
      </c>
      <c r="B276" s="9">
        <v>4</v>
      </c>
      <c r="C276" s="122"/>
      <c r="D276" s="9" t="s">
        <v>456</v>
      </c>
      <c r="E276" s="10">
        <v>2.5</v>
      </c>
      <c r="F276" s="10"/>
      <c r="G276" s="11">
        <v>1</v>
      </c>
      <c r="H276" s="11">
        <v>1</v>
      </c>
      <c r="I276" s="11"/>
      <c r="J276" s="12">
        <v>0.64</v>
      </c>
      <c r="K276" s="122"/>
      <c r="L276" s="9" t="s">
        <v>69</v>
      </c>
      <c r="M276" s="45"/>
      <c r="N276" s="97" t="s">
        <v>35</v>
      </c>
      <c r="O276" s="66" t="s">
        <v>456</v>
      </c>
      <c r="P276" s="66" t="s">
        <v>313</v>
      </c>
      <c r="Q276" s="66" t="s">
        <v>301</v>
      </c>
      <c r="R276" s="66" t="s">
        <v>696</v>
      </c>
      <c r="S276" s="219">
        <v>71</v>
      </c>
      <c r="T276" s="66" t="s">
        <v>41</v>
      </c>
      <c r="U276" s="66" t="s">
        <v>42</v>
      </c>
      <c r="V276" s="67" t="s">
        <v>7</v>
      </c>
      <c r="W276" s="52">
        <v>0.79</v>
      </c>
      <c r="X276" s="10">
        <v>0.9</v>
      </c>
      <c r="Y276" s="10" t="s">
        <v>353</v>
      </c>
      <c r="Z276" s="9" t="s">
        <v>8</v>
      </c>
      <c r="AA276" s="113" t="s">
        <v>51</v>
      </c>
      <c r="AB276" s="109"/>
      <c r="AC276" s="58"/>
    </row>
    <row r="277" spans="1:29" ht="15.75" thickBot="1" x14ac:dyDescent="0.3">
      <c r="A277" s="326">
        <v>45914</v>
      </c>
      <c r="B277" s="207">
        <v>4</v>
      </c>
      <c r="C277" s="208"/>
      <c r="D277" s="207" t="s">
        <v>456</v>
      </c>
      <c r="E277" s="209">
        <v>2.5</v>
      </c>
      <c r="F277" s="209"/>
      <c r="G277" s="210">
        <v>1</v>
      </c>
      <c r="H277" s="210">
        <v>1</v>
      </c>
      <c r="I277" s="210"/>
      <c r="J277" s="211">
        <v>0.64</v>
      </c>
      <c r="K277" s="208"/>
      <c r="L277" s="207" t="s">
        <v>69</v>
      </c>
      <c r="M277" s="235"/>
      <c r="N277" s="198"/>
      <c r="O277" s="199" t="s">
        <v>456</v>
      </c>
      <c r="P277" s="199" t="s">
        <v>719</v>
      </c>
      <c r="Q277" s="199" t="s">
        <v>720</v>
      </c>
      <c r="R277" s="199" t="s">
        <v>707</v>
      </c>
      <c r="S277" s="200">
        <v>76</v>
      </c>
      <c r="T277" s="199"/>
      <c r="U277" s="199"/>
      <c r="V277" s="201"/>
      <c r="W277" s="202"/>
      <c r="X277" s="203"/>
      <c r="Y277" s="203">
        <v>1</v>
      </c>
      <c r="Z277" s="199"/>
      <c r="AA277" s="204"/>
      <c r="AB277" s="205"/>
      <c r="AC277" s="201"/>
    </row>
    <row r="278" spans="1:29" ht="15.75" thickBot="1" x14ac:dyDescent="0.3">
      <c r="A278" s="326">
        <v>45914</v>
      </c>
      <c r="B278" s="207">
        <v>4</v>
      </c>
      <c r="C278" s="208"/>
      <c r="D278" s="207" t="s">
        <v>456</v>
      </c>
      <c r="E278" s="209">
        <v>2.5</v>
      </c>
      <c r="F278" s="209"/>
      <c r="G278" s="210">
        <v>1</v>
      </c>
      <c r="H278" s="210">
        <v>1</v>
      </c>
      <c r="I278" s="210"/>
      <c r="J278" s="211">
        <v>0.64</v>
      </c>
      <c r="K278" s="208"/>
      <c r="L278" s="207" t="s">
        <v>69</v>
      </c>
      <c r="M278" s="235"/>
      <c r="N278" s="198"/>
      <c r="O278" s="199" t="s">
        <v>69</v>
      </c>
      <c r="P278" s="199" t="s">
        <v>478</v>
      </c>
      <c r="Q278" s="199" t="s">
        <v>479</v>
      </c>
      <c r="R278" s="199" t="s">
        <v>707</v>
      </c>
      <c r="S278" s="200">
        <v>79</v>
      </c>
      <c r="T278" s="199"/>
      <c r="U278" s="199"/>
      <c r="V278" s="201"/>
      <c r="W278" s="202"/>
      <c r="X278" s="203"/>
      <c r="Y278" s="203">
        <v>1</v>
      </c>
      <c r="Z278" s="199"/>
      <c r="AA278" s="204"/>
      <c r="AB278" s="205"/>
      <c r="AC278" s="201"/>
    </row>
    <row r="279" spans="1:29" x14ac:dyDescent="0.25">
      <c r="A279" s="328">
        <v>45923</v>
      </c>
      <c r="B279" s="17">
        <v>6</v>
      </c>
      <c r="C279" s="123" t="s">
        <v>693</v>
      </c>
      <c r="D279" s="17" t="s">
        <v>170</v>
      </c>
      <c r="E279" s="18">
        <v>1.46</v>
      </c>
      <c r="F279" s="18"/>
      <c r="G279" s="19">
        <v>1</v>
      </c>
      <c r="H279" s="19">
        <v>1</v>
      </c>
      <c r="I279" s="19"/>
      <c r="J279" s="20">
        <v>0.76</v>
      </c>
      <c r="K279" s="123" t="s">
        <v>693</v>
      </c>
      <c r="L279" s="17" t="s">
        <v>69</v>
      </c>
      <c r="M279" s="46"/>
      <c r="N279" s="96">
        <v>8</v>
      </c>
      <c r="O279" s="77" t="s">
        <v>69</v>
      </c>
      <c r="P279" s="77" t="s">
        <v>389</v>
      </c>
      <c r="Q279" s="77" t="s">
        <v>390</v>
      </c>
      <c r="R279" s="77" t="s">
        <v>684</v>
      </c>
      <c r="S279" s="220">
        <v>62</v>
      </c>
      <c r="T279" s="77" t="s">
        <v>41</v>
      </c>
      <c r="U279" s="77" t="s">
        <v>43</v>
      </c>
      <c r="V279" s="78" t="s">
        <v>10</v>
      </c>
      <c r="W279" s="53">
        <v>0.5</v>
      </c>
      <c r="X279" s="18" t="s">
        <v>53</v>
      </c>
      <c r="Y279" s="18" t="s">
        <v>353</v>
      </c>
      <c r="Z279" s="17" t="s">
        <v>22</v>
      </c>
      <c r="AA279" s="114" t="s">
        <v>28</v>
      </c>
      <c r="AB279" s="110"/>
      <c r="AC279" s="60"/>
    </row>
    <row r="280" spans="1:29" x14ac:dyDescent="0.25">
      <c r="A280" s="331">
        <v>45923</v>
      </c>
      <c r="B280" s="5">
        <v>6</v>
      </c>
      <c r="D280" s="5" t="s">
        <v>170</v>
      </c>
      <c r="E280" s="6">
        <v>1.46</v>
      </c>
      <c r="G280" s="7">
        <v>1</v>
      </c>
      <c r="H280" s="7">
        <v>1</v>
      </c>
      <c r="J280" s="8">
        <v>0.76</v>
      </c>
      <c r="L280" s="5" t="s">
        <v>69</v>
      </c>
      <c r="N280" s="56">
        <v>9</v>
      </c>
      <c r="O280" s="26" t="s">
        <v>69</v>
      </c>
      <c r="P280" s="26" t="s">
        <v>480</v>
      </c>
      <c r="Q280" s="26" t="s">
        <v>481</v>
      </c>
      <c r="R280" s="26" t="s">
        <v>685</v>
      </c>
      <c r="S280" s="213">
        <v>84</v>
      </c>
      <c r="T280" s="26" t="s">
        <v>41</v>
      </c>
      <c r="U280" s="26" t="s">
        <v>42</v>
      </c>
      <c r="V280" s="43" t="s">
        <v>10</v>
      </c>
      <c r="W280" s="51">
        <v>0.05</v>
      </c>
      <c r="X280" s="6">
        <v>0.51</v>
      </c>
      <c r="Y280" s="6" t="s">
        <v>353</v>
      </c>
      <c r="Z280" s="5" t="s">
        <v>8</v>
      </c>
      <c r="AA280" s="112" t="s">
        <v>9</v>
      </c>
      <c r="AB280" s="108" t="s">
        <v>164</v>
      </c>
      <c r="AC280" s="57" t="s">
        <v>669</v>
      </c>
    </row>
    <row r="281" spans="1:29" x14ac:dyDescent="0.25">
      <c r="A281" s="331">
        <v>45923</v>
      </c>
      <c r="B281" s="5">
        <v>6</v>
      </c>
      <c r="D281" s="5" t="s">
        <v>170</v>
      </c>
      <c r="E281" s="6">
        <v>1.46</v>
      </c>
      <c r="G281" s="7">
        <v>1</v>
      </c>
      <c r="H281" s="7">
        <v>1</v>
      </c>
      <c r="J281" s="8">
        <v>0.76</v>
      </c>
      <c r="L281" s="5" t="s">
        <v>69</v>
      </c>
      <c r="N281" s="56">
        <v>26</v>
      </c>
      <c r="O281" s="61" t="s">
        <v>170</v>
      </c>
      <c r="P281" s="61" t="s">
        <v>379</v>
      </c>
      <c r="Q281" s="61" t="s">
        <v>380</v>
      </c>
      <c r="R281" s="61" t="s">
        <v>684</v>
      </c>
      <c r="S281" s="218">
        <v>61</v>
      </c>
      <c r="T281" s="61" t="s">
        <v>41</v>
      </c>
      <c r="U281" s="61" t="s">
        <v>42</v>
      </c>
      <c r="V281" s="63" t="s">
        <v>540</v>
      </c>
      <c r="W281" s="51">
        <v>7.0000000000000007E-2</v>
      </c>
      <c r="X281" s="6">
        <v>0.08</v>
      </c>
      <c r="Y281" s="6" t="s">
        <v>353</v>
      </c>
      <c r="Z281" s="5" t="s">
        <v>48</v>
      </c>
      <c r="AA281" s="112" t="s">
        <v>9</v>
      </c>
    </row>
    <row r="282" spans="1:29" x14ac:dyDescent="0.25">
      <c r="A282" s="331">
        <v>45923</v>
      </c>
      <c r="B282" s="5">
        <v>6</v>
      </c>
      <c r="D282" s="5" t="s">
        <v>170</v>
      </c>
      <c r="E282" s="6">
        <v>1.46</v>
      </c>
      <c r="G282" s="7">
        <v>1</v>
      </c>
      <c r="H282" s="7">
        <v>1</v>
      </c>
      <c r="J282" s="8">
        <v>0.76</v>
      </c>
      <c r="L282" s="5" t="s">
        <v>69</v>
      </c>
      <c r="N282" s="56">
        <v>45</v>
      </c>
      <c r="O282" s="26" t="s">
        <v>69</v>
      </c>
      <c r="P282" s="26" t="s">
        <v>53</v>
      </c>
      <c r="Q282" s="26" t="s">
        <v>324</v>
      </c>
      <c r="R282" s="26" t="s">
        <v>696</v>
      </c>
      <c r="S282" s="213">
        <v>64</v>
      </c>
      <c r="T282" s="26" t="s">
        <v>41</v>
      </c>
      <c r="U282" s="26" t="s">
        <v>42</v>
      </c>
      <c r="V282" s="43" t="s">
        <v>10</v>
      </c>
      <c r="W282" s="51">
        <v>0.1</v>
      </c>
      <c r="X282" s="6">
        <v>0.64</v>
      </c>
      <c r="Z282" s="5" t="s">
        <v>48</v>
      </c>
      <c r="AA282" s="112" t="s">
        <v>9</v>
      </c>
    </row>
    <row r="283" spans="1:29" x14ac:dyDescent="0.25">
      <c r="A283" s="331">
        <v>45923</v>
      </c>
      <c r="B283" s="5">
        <v>6</v>
      </c>
      <c r="D283" s="5" t="s">
        <v>170</v>
      </c>
      <c r="E283" s="6">
        <v>1.46</v>
      </c>
      <c r="G283" s="7">
        <v>1</v>
      </c>
      <c r="H283" s="7">
        <v>1</v>
      </c>
      <c r="J283" s="8">
        <v>0.76</v>
      </c>
      <c r="L283" s="5" t="s">
        <v>69</v>
      </c>
      <c r="N283" s="56">
        <v>48</v>
      </c>
      <c r="O283" s="61" t="s">
        <v>170</v>
      </c>
      <c r="P283" s="61" t="s">
        <v>159</v>
      </c>
      <c r="Q283" s="61" t="s">
        <v>381</v>
      </c>
      <c r="R283" s="61" t="s">
        <v>687</v>
      </c>
      <c r="S283" s="218">
        <v>86</v>
      </c>
      <c r="T283" s="61" t="s">
        <v>44</v>
      </c>
      <c r="U283" s="61" t="s">
        <v>42</v>
      </c>
      <c r="V283" s="63" t="s">
        <v>540</v>
      </c>
      <c r="W283" s="51">
        <v>0.1</v>
      </c>
      <c r="X283" s="6">
        <v>0.52</v>
      </c>
      <c r="Z283" s="5" t="s">
        <v>8</v>
      </c>
      <c r="AA283" s="112" t="s">
        <v>51</v>
      </c>
    </row>
    <row r="284" spans="1:29" x14ac:dyDescent="0.25">
      <c r="A284" s="331">
        <v>45923</v>
      </c>
      <c r="B284" s="5">
        <v>6</v>
      </c>
      <c r="D284" s="5" t="s">
        <v>170</v>
      </c>
      <c r="E284" s="6">
        <v>1.46</v>
      </c>
      <c r="G284" s="7">
        <v>1</v>
      </c>
      <c r="H284" s="7">
        <v>1</v>
      </c>
      <c r="J284" s="8">
        <v>0.76</v>
      </c>
      <c r="L284" s="5" t="s">
        <v>69</v>
      </c>
      <c r="N284" s="56">
        <v>51</v>
      </c>
      <c r="O284" s="61" t="s">
        <v>170</v>
      </c>
      <c r="P284" s="61" t="s">
        <v>306</v>
      </c>
      <c r="Q284" s="61" t="s">
        <v>471</v>
      </c>
      <c r="R284" s="61" t="s">
        <v>696</v>
      </c>
      <c r="S284" s="218">
        <v>68</v>
      </c>
      <c r="T284" s="61" t="s">
        <v>44</v>
      </c>
      <c r="U284" s="61" t="s">
        <v>42</v>
      </c>
      <c r="V284" s="63" t="s">
        <v>10</v>
      </c>
      <c r="W284" s="51">
        <v>0.03</v>
      </c>
      <c r="X284" s="6" t="s">
        <v>53</v>
      </c>
      <c r="Z284" s="5" t="s">
        <v>16</v>
      </c>
      <c r="AA284" s="112" t="s">
        <v>51</v>
      </c>
    </row>
    <row r="285" spans="1:29" x14ac:dyDescent="0.25">
      <c r="A285" s="331">
        <v>45923</v>
      </c>
      <c r="B285" s="5">
        <v>6</v>
      </c>
      <c r="D285" s="5" t="s">
        <v>170</v>
      </c>
      <c r="E285" s="6">
        <v>1.46</v>
      </c>
      <c r="G285" s="7">
        <v>1</v>
      </c>
      <c r="H285" s="7">
        <v>1</v>
      </c>
      <c r="J285" s="8">
        <v>0.76</v>
      </c>
      <c r="L285" s="5" t="s">
        <v>69</v>
      </c>
      <c r="N285" s="56">
        <v>69</v>
      </c>
      <c r="O285" s="61" t="s">
        <v>170</v>
      </c>
      <c r="P285" s="61" t="s">
        <v>379</v>
      </c>
      <c r="Q285" s="61" t="s">
        <v>380</v>
      </c>
      <c r="R285" s="61" t="s">
        <v>684</v>
      </c>
      <c r="S285" s="218">
        <v>61</v>
      </c>
      <c r="T285" s="61" t="s">
        <v>41</v>
      </c>
      <c r="U285" s="61" t="s">
        <v>42</v>
      </c>
      <c r="V285" s="63" t="s">
        <v>10</v>
      </c>
      <c r="W285" s="51">
        <v>0.27</v>
      </c>
      <c r="X285" s="6" t="s">
        <v>53</v>
      </c>
      <c r="Y285" s="6" t="s">
        <v>353</v>
      </c>
      <c r="Z285" s="5" t="s">
        <v>13</v>
      </c>
      <c r="AA285" s="112" t="s">
        <v>51</v>
      </c>
    </row>
    <row r="286" spans="1:29" x14ac:dyDescent="0.25">
      <c r="A286" s="331">
        <v>45923</v>
      </c>
      <c r="B286" s="5">
        <v>6</v>
      </c>
      <c r="D286" s="5" t="s">
        <v>170</v>
      </c>
      <c r="E286" s="6">
        <v>1.46</v>
      </c>
      <c r="G286" s="7">
        <v>1</v>
      </c>
      <c r="H286" s="7">
        <v>1</v>
      </c>
      <c r="J286" s="8">
        <v>0.76</v>
      </c>
      <c r="L286" s="5" t="s">
        <v>69</v>
      </c>
      <c r="N286" s="56">
        <v>70</v>
      </c>
      <c r="O286" s="61" t="s">
        <v>170</v>
      </c>
      <c r="P286" s="61" t="s">
        <v>214</v>
      </c>
      <c r="Q286" s="61" t="s">
        <v>339</v>
      </c>
      <c r="R286" s="61" t="s">
        <v>713</v>
      </c>
      <c r="S286" s="218">
        <v>74</v>
      </c>
      <c r="T286" s="61" t="s">
        <v>41</v>
      </c>
      <c r="U286" s="61" t="s">
        <v>45</v>
      </c>
      <c r="V286" s="63" t="s">
        <v>20</v>
      </c>
      <c r="W286" s="51">
        <v>0.1</v>
      </c>
      <c r="X286" s="6">
        <v>0.54</v>
      </c>
      <c r="Y286" s="6" t="s">
        <v>353</v>
      </c>
      <c r="Z286" s="5" t="s">
        <v>48</v>
      </c>
      <c r="AA286" s="112" t="s">
        <v>51</v>
      </c>
    </row>
    <row r="287" spans="1:29" x14ac:dyDescent="0.25">
      <c r="A287" s="331">
        <v>45923</v>
      </c>
      <c r="B287" s="5">
        <v>6</v>
      </c>
      <c r="D287" s="5" t="s">
        <v>170</v>
      </c>
      <c r="E287" s="6">
        <v>1.46</v>
      </c>
      <c r="G287" s="7">
        <v>1</v>
      </c>
      <c r="H287" s="7">
        <v>1</v>
      </c>
      <c r="J287" s="8">
        <v>0.76</v>
      </c>
      <c r="L287" s="5" t="s">
        <v>69</v>
      </c>
      <c r="N287" s="56">
        <v>74</v>
      </c>
      <c r="O287" s="61" t="s">
        <v>170</v>
      </c>
      <c r="P287" s="61" t="s">
        <v>176</v>
      </c>
      <c r="Q287" s="61" t="s">
        <v>177</v>
      </c>
      <c r="R287" s="61" t="s">
        <v>696</v>
      </c>
      <c r="S287" s="218">
        <v>74</v>
      </c>
      <c r="T287" s="61" t="s">
        <v>41</v>
      </c>
      <c r="U287" s="61" t="s">
        <v>43</v>
      </c>
      <c r="V287" s="63" t="s">
        <v>540</v>
      </c>
      <c r="W287" s="51">
        <v>0.35</v>
      </c>
      <c r="X287" s="6">
        <v>0.27</v>
      </c>
      <c r="Y287" s="6" t="s">
        <v>353</v>
      </c>
      <c r="Z287" s="5" t="s">
        <v>48</v>
      </c>
      <c r="AA287" s="112" t="s">
        <v>51</v>
      </c>
    </row>
    <row r="288" spans="1:29" ht="15.75" thickBot="1" x14ac:dyDescent="0.3">
      <c r="A288" s="336">
        <v>45923</v>
      </c>
      <c r="B288" s="9">
        <v>6</v>
      </c>
      <c r="C288" s="122"/>
      <c r="D288" s="9" t="s">
        <v>170</v>
      </c>
      <c r="E288" s="10">
        <v>1.46</v>
      </c>
      <c r="F288" s="10"/>
      <c r="G288" s="11">
        <v>1</v>
      </c>
      <c r="H288" s="11">
        <v>1</v>
      </c>
      <c r="I288" s="11"/>
      <c r="J288" s="12">
        <v>0.76</v>
      </c>
      <c r="K288" s="122"/>
      <c r="L288" s="9" t="s">
        <v>69</v>
      </c>
      <c r="M288" s="45"/>
      <c r="N288" s="97">
        <v>83</v>
      </c>
      <c r="O288" s="66" t="s">
        <v>170</v>
      </c>
      <c r="P288" s="66" t="s">
        <v>178</v>
      </c>
      <c r="Q288" s="66" t="s">
        <v>179</v>
      </c>
      <c r="R288" s="66" t="s">
        <v>696</v>
      </c>
      <c r="S288" s="219">
        <v>64</v>
      </c>
      <c r="T288" s="66" t="s">
        <v>41</v>
      </c>
      <c r="U288" s="66" t="s">
        <v>42</v>
      </c>
      <c r="V288" s="67" t="s">
        <v>10</v>
      </c>
      <c r="W288" s="52">
        <v>0.19</v>
      </c>
      <c r="X288" s="10" t="s">
        <v>53</v>
      </c>
      <c r="Y288" s="10"/>
      <c r="Z288" s="9" t="s">
        <v>13</v>
      </c>
      <c r="AA288" s="113" t="s">
        <v>51</v>
      </c>
      <c r="AB288" s="109"/>
      <c r="AC288" s="58"/>
    </row>
    <row r="289" spans="1:29" ht="15.75" thickBot="1" x14ac:dyDescent="0.3">
      <c r="A289" s="334">
        <v>45923</v>
      </c>
      <c r="B289" s="207">
        <v>6</v>
      </c>
      <c r="C289" s="208"/>
      <c r="D289" s="207" t="s">
        <v>170</v>
      </c>
      <c r="E289" s="209">
        <v>1.46</v>
      </c>
      <c r="F289" s="209"/>
      <c r="G289" s="210">
        <v>1</v>
      </c>
      <c r="H289" s="210">
        <v>1</v>
      </c>
      <c r="I289" s="210"/>
      <c r="J289" s="211">
        <v>0.76</v>
      </c>
      <c r="K289" s="208"/>
      <c r="L289" s="207" t="s">
        <v>69</v>
      </c>
      <c r="M289" s="235"/>
      <c r="N289" s="198"/>
      <c r="O289" s="199" t="s">
        <v>170</v>
      </c>
      <c r="P289" s="199" t="s">
        <v>269</v>
      </c>
      <c r="Q289" s="199" t="s">
        <v>722</v>
      </c>
      <c r="R289" s="199" t="s">
        <v>707</v>
      </c>
      <c r="S289" s="200">
        <v>67</v>
      </c>
      <c r="T289" s="199"/>
      <c r="U289" s="199"/>
      <c r="V289" s="201"/>
      <c r="W289" s="202"/>
      <c r="X289" s="203"/>
      <c r="Y289" s="203">
        <v>1</v>
      </c>
      <c r="Z289" s="199"/>
      <c r="AA289" s="204"/>
      <c r="AB289" s="205"/>
      <c r="AC289" s="201"/>
    </row>
    <row r="290" spans="1:29" ht="15.75" thickBot="1" x14ac:dyDescent="0.3">
      <c r="A290" s="334">
        <v>45923</v>
      </c>
      <c r="B290" s="207">
        <v>6</v>
      </c>
      <c r="C290" s="208"/>
      <c r="D290" s="207" t="s">
        <v>170</v>
      </c>
      <c r="E290" s="209">
        <v>1.46</v>
      </c>
      <c r="F290" s="209"/>
      <c r="G290" s="210">
        <v>1</v>
      </c>
      <c r="H290" s="210">
        <v>1</v>
      </c>
      <c r="I290" s="210"/>
      <c r="J290" s="211">
        <v>0.76</v>
      </c>
      <c r="K290" s="208"/>
      <c r="L290" s="207" t="s">
        <v>69</v>
      </c>
      <c r="M290" s="235"/>
      <c r="N290" s="198"/>
      <c r="O290" s="199" t="s">
        <v>69</v>
      </c>
      <c r="P290" s="199" t="s">
        <v>478</v>
      </c>
      <c r="Q290" s="199" t="s">
        <v>479</v>
      </c>
      <c r="R290" s="199" t="s">
        <v>707</v>
      </c>
      <c r="S290" s="200">
        <v>75</v>
      </c>
      <c r="T290" s="199"/>
      <c r="U290" s="199"/>
      <c r="V290" s="201"/>
      <c r="W290" s="202"/>
      <c r="X290" s="203"/>
      <c r="Y290" s="203">
        <v>1</v>
      </c>
      <c r="Z290" s="199"/>
      <c r="AA290" s="204"/>
      <c r="AB290" s="205"/>
      <c r="AC290" s="201"/>
    </row>
    <row r="291" spans="1:29" ht="15.75" thickBot="1" x14ac:dyDescent="0.3">
      <c r="A291" s="337"/>
      <c r="B291" s="274"/>
      <c r="C291" s="275"/>
      <c r="D291" s="274"/>
      <c r="E291" s="276"/>
      <c r="F291" s="276"/>
      <c r="G291" s="277"/>
      <c r="H291" s="277"/>
      <c r="I291" s="277"/>
      <c r="J291" s="278"/>
      <c r="K291" s="275"/>
      <c r="L291" s="274"/>
      <c r="M291" s="279"/>
      <c r="N291" s="280"/>
      <c r="O291" s="281"/>
      <c r="P291" s="281"/>
      <c r="Q291" s="281"/>
      <c r="R291" s="281"/>
      <c r="S291" s="282"/>
      <c r="T291" s="281"/>
      <c r="U291" s="281"/>
      <c r="V291" s="283"/>
      <c r="W291" s="284"/>
      <c r="X291" s="285"/>
      <c r="Y291" s="288" t="s">
        <v>741</v>
      </c>
      <c r="Z291" s="281"/>
      <c r="AA291" s="286"/>
      <c r="AB291" s="287"/>
      <c r="AC291" s="283"/>
    </row>
    <row r="292" spans="1:29" x14ac:dyDescent="0.25">
      <c r="A292" s="323">
        <v>45884</v>
      </c>
      <c r="B292" s="136">
        <v>1</v>
      </c>
      <c r="C292" s="137" t="s">
        <v>694</v>
      </c>
      <c r="D292" s="136" t="s">
        <v>91</v>
      </c>
      <c r="E292" s="138">
        <v>2.44</v>
      </c>
      <c r="F292" s="138"/>
      <c r="G292" s="139">
        <v>2</v>
      </c>
      <c r="H292" s="139">
        <v>0</v>
      </c>
      <c r="I292" s="139"/>
      <c r="J292" s="140">
        <v>0.93</v>
      </c>
      <c r="K292" s="137" t="s">
        <v>693</v>
      </c>
      <c r="L292" s="136" t="s">
        <v>92</v>
      </c>
      <c r="M292" s="141" t="s">
        <v>93</v>
      </c>
      <c r="N292" s="142">
        <v>3</v>
      </c>
      <c r="O292" s="64" t="s">
        <v>91</v>
      </c>
      <c r="P292" s="64" t="s">
        <v>94</v>
      </c>
      <c r="Q292" s="64" t="s">
        <v>95</v>
      </c>
      <c r="R292" s="64" t="s">
        <v>695</v>
      </c>
      <c r="S292" s="217">
        <v>69</v>
      </c>
      <c r="T292" s="64" t="s">
        <v>41</v>
      </c>
      <c r="U292" s="64" t="s">
        <v>42</v>
      </c>
      <c r="V292" s="65" t="s">
        <v>10</v>
      </c>
      <c r="W292" s="167">
        <v>0.35</v>
      </c>
      <c r="X292" s="138" t="s">
        <v>53</v>
      </c>
      <c r="Y292" s="138" t="s">
        <v>353</v>
      </c>
      <c r="Z292" s="136" t="s">
        <v>13</v>
      </c>
      <c r="AA292" s="168" t="s">
        <v>28</v>
      </c>
      <c r="AB292" s="169"/>
      <c r="AC292" s="170"/>
    </row>
    <row r="293" spans="1:29" x14ac:dyDescent="0.25">
      <c r="A293" s="324">
        <v>45884</v>
      </c>
      <c r="B293" s="144">
        <v>1</v>
      </c>
      <c r="C293" s="145"/>
      <c r="D293" s="144" t="s">
        <v>91</v>
      </c>
      <c r="E293" s="146">
        <v>2.44</v>
      </c>
      <c r="F293" s="146"/>
      <c r="G293" s="147">
        <v>2</v>
      </c>
      <c r="H293" s="147">
        <v>0</v>
      </c>
      <c r="I293" s="147"/>
      <c r="J293" s="148">
        <v>0.93</v>
      </c>
      <c r="K293" s="145"/>
      <c r="L293" s="144" t="s">
        <v>92</v>
      </c>
      <c r="M293" s="149" t="s">
        <v>93</v>
      </c>
      <c r="N293" s="150">
        <v>10</v>
      </c>
      <c r="O293" s="61" t="s">
        <v>91</v>
      </c>
      <c r="P293" s="61" t="s">
        <v>96</v>
      </c>
      <c r="Q293" s="61" t="s">
        <v>97</v>
      </c>
      <c r="R293" s="61" t="s">
        <v>686</v>
      </c>
      <c r="S293" s="218">
        <v>85</v>
      </c>
      <c r="T293" s="61" t="s">
        <v>41</v>
      </c>
      <c r="U293" s="61" t="s">
        <v>43</v>
      </c>
      <c r="V293" s="63" t="s">
        <v>29</v>
      </c>
      <c r="W293" s="171">
        <v>0.02</v>
      </c>
      <c r="X293" s="146">
        <v>0.12</v>
      </c>
      <c r="Y293" s="146"/>
      <c r="Z293" s="144" t="s">
        <v>48</v>
      </c>
      <c r="AA293" s="172" t="s">
        <v>28</v>
      </c>
      <c r="AB293" s="173"/>
      <c r="AC293" s="174"/>
    </row>
    <row r="294" spans="1:29" x14ac:dyDescent="0.25">
      <c r="A294" s="324">
        <v>45884</v>
      </c>
      <c r="B294" s="144">
        <v>1</v>
      </c>
      <c r="C294" s="145"/>
      <c r="D294" s="144" t="s">
        <v>91</v>
      </c>
      <c r="E294" s="146">
        <v>2.44</v>
      </c>
      <c r="F294" s="146"/>
      <c r="G294" s="147">
        <v>2</v>
      </c>
      <c r="H294" s="147">
        <v>0</v>
      </c>
      <c r="I294" s="147"/>
      <c r="J294" s="148">
        <v>0.93</v>
      </c>
      <c r="K294" s="145"/>
      <c r="L294" s="144" t="s">
        <v>92</v>
      </c>
      <c r="M294" s="149" t="s">
        <v>93</v>
      </c>
      <c r="N294" s="150">
        <v>11</v>
      </c>
      <c r="O294" s="61" t="s">
        <v>91</v>
      </c>
      <c r="P294" s="61" t="s">
        <v>98</v>
      </c>
      <c r="Q294" s="61" t="s">
        <v>99</v>
      </c>
      <c r="R294" s="61" t="s">
        <v>684</v>
      </c>
      <c r="S294" s="218">
        <v>73</v>
      </c>
      <c r="T294" s="61" t="s">
        <v>44</v>
      </c>
      <c r="U294" s="61" t="s">
        <v>42</v>
      </c>
      <c r="V294" s="63" t="s">
        <v>10</v>
      </c>
      <c r="W294" s="171">
        <v>0.08</v>
      </c>
      <c r="X294" s="146">
        <v>0.26</v>
      </c>
      <c r="Y294" s="146"/>
      <c r="Z294" s="144" t="s">
        <v>48</v>
      </c>
      <c r="AA294" s="172" t="s">
        <v>28</v>
      </c>
      <c r="AB294" s="173"/>
      <c r="AC294" s="174"/>
    </row>
    <row r="295" spans="1:29" x14ac:dyDescent="0.25">
      <c r="A295" s="324">
        <v>45884</v>
      </c>
      <c r="B295" s="144">
        <v>1</v>
      </c>
      <c r="C295" s="145"/>
      <c r="D295" s="144" t="s">
        <v>91</v>
      </c>
      <c r="E295" s="146">
        <v>2.44</v>
      </c>
      <c r="F295" s="146"/>
      <c r="G295" s="147">
        <v>2</v>
      </c>
      <c r="H295" s="147">
        <v>0</v>
      </c>
      <c r="I295" s="147"/>
      <c r="J295" s="148">
        <v>0.93</v>
      </c>
      <c r="K295" s="145"/>
      <c r="L295" s="144" t="s">
        <v>92</v>
      </c>
      <c r="M295" s="149" t="s">
        <v>93</v>
      </c>
      <c r="N295" s="150">
        <v>14</v>
      </c>
      <c r="O295" s="26" t="s">
        <v>92</v>
      </c>
      <c r="P295" s="26" t="s">
        <v>108</v>
      </c>
      <c r="Q295" s="26" t="s">
        <v>109</v>
      </c>
      <c r="R295" s="26" t="s">
        <v>684</v>
      </c>
      <c r="S295" s="213">
        <v>60</v>
      </c>
      <c r="T295" s="26" t="s">
        <v>41</v>
      </c>
      <c r="U295" s="26" t="s">
        <v>42</v>
      </c>
      <c r="V295" s="43" t="s">
        <v>7</v>
      </c>
      <c r="W295" s="171">
        <v>0.79</v>
      </c>
      <c r="X295" s="146">
        <v>0.79</v>
      </c>
      <c r="Y295" s="146" t="s">
        <v>353</v>
      </c>
      <c r="Z295" s="144" t="s">
        <v>48</v>
      </c>
      <c r="AA295" s="172" t="s">
        <v>28</v>
      </c>
      <c r="AB295" s="173"/>
      <c r="AC295" s="174"/>
    </row>
    <row r="296" spans="1:29" x14ac:dyDescent="0.25">
      <c r="A296" s="324">
        <v>45884</v>
      </c>
      <c r="B296" s="144">
        <v>1</v>
      </c>
      <c r="C296" s="145"/>
      <c r="D296" s="144" t="s">
        <v>91</v>
      </c>
      <c r="E296" s="146">
        <v>2.44</v>
      </c>
      <c r="F296" s="146"/>
      <c r="G296" s="147">
        <v>2</v>
      </c>
      <c r="H296" s="147">
        <v>0</v>
      </c>
      <c r="I296" s="147"/>
      <c r="J296" s="148">
        <v>0.93</v>
      </c>
      <c r="K296" s="145"/>
      <c r="L296" s="144" t="s">
        <v>92</v>
      </c>
      <c r="M296" s="149" t="s">
        <v>93</v>
      </c>
      <c r="N296" s="150">
        <v>19</v>
      </c>
      <c r="O296" s="26" t="s">
        <v>92</v>
      </c>
      <c r="P296" s="26" t="s">
        <v>108</v>
      </c>
      <c r="Q296" s="26" t="s">
        <v>109</v>
      </c>
      <c r="R296" s="26" t="s">
        <v>684</v>
      </c>
      <c r="S296" s="213">
        <v>60</v>
      </c>
      <c r="T296" s="26" t="s">
        <v>47</v>
      </c>
      <c r="U296" s="26" t="s">
        <v>45</v>
      </c>
      <c r="V296" s="43" t="s">
        <v>20</v>
      </c>
      <c r="W296" s="171">
        <v>0.06</v>
      </c>
      <c r="X296" s="146" t="s">
        <v>53</v>
      </c>
      <c r="Y296" s="146"/>
      <c r="Z296" s="144" t="s">
        <v>55</v>
      </c>
      <c r="AA296" s="172" t="s">
        <v>28</v>
      </c>
      <c r="AB296" s="173"/>
      <c r="AC296" s="174"/>
    </row>
    <row r="297" spans="1:29" x14ac:dyDescent="0.25">
      <c r="A297" s="324">
        <v>45884</v>
      </c>
      <c r="B297" s="144">
        <v>1</v>
      </c>
      <c r="C297" s="145"/>
      <c r="D297" s="144" t="s">
        <v>91</v>
      </c>
      <c r="E297" s="146">
        <v>2.44</v>
      </c>
      <c r="F297" s="146"/>
      <c r="G297" s="147">
        <v>2</v>
      </c>
      <c r="H297" s="147">
        <v>0</v>
      </c>
      <c r="I297" s="147"/>
      <c r="J297" s="148">
        <v>0.93</v>
      </c>
      <c r="K297" s="145"/>
      <c r="L297" s="144" t="s">
        <v>92</v>
      </c>
      <c r="M297" s="149" t="s">
        <v>93</v>
      </c>
      <c r="N297" s="150">
        <v>20</v>
      </c>
      <c r="O297" s="61" t="s">
        <v>91</v>
      </c>
      <c r="P297" s="61" t="s">
        <v>100</v>
      </c>
      <c r="Q297" s="61" t="s">
        <v>101</v>
      </c>
      <c r="R297" s="61" t="s">
        <v>688</v>
      </c>
      <c r="S297" s="218">
        <v>75</v>
      </c>
      <c r="T297" s="61" t="s">
        <v>41</v>
      </c>
      <c r="U297" s="61" t="s">
        <v>43</v>
      </c>
      <c r="V297" s="63" t="s">
        <v>10</v>
      </c>
      <c r="W297" s="171">
        <v>0.02</v>
      </c>
      <c r="X297" s="146" t="s">
        <v>53</v>
      </c>
      <c r="Y297" s="146"/>
      <c r="Z297" s="144" t="s">
        <v>22</v>
      </c>
      <c r="AA297" s="172" t="s">
        <v>28</v>
      </c>
      <c r="AB297" s="173"/>
      <c r="AC297" s="174"/>
    </row>
    <row r="298" spans="1:29" x14ac:dyDescent="0.25">
      <c r="A298" s="324">
        <v>45884</v>
      </c>
      <c r="B298" s="144">
        <v>1</v>
      </c>
      <c r="C298" s="145"/>
      <c r="D298" s="144" t="s">
        <v>91</v>
      </c>
      <c r="E298" s="146">
        <v>2.44</v>
      </c>
      <c r="F298" s="146"/>
      <c r="G298" s="147">
        <v>2</v>
      </c>
      <c r="H298" s="147">
        <v>0</v>
      </c>
      <c r="I298" s="147"/>
      <c r="J298" s="148">
        <v>0.93</v>
      </c>
      <c r="K298" s="145"/>
      <c r="L298" s="144" t="s">
        <v>92</v>
      </c>
      <c r="M298" s="149" t="s">
        <v>93</v>
      </c>
      <c r="N298" s="150">
        <v>22</v>
      </c>
      <c r="O298" s="61" t="s">
        <v>91</v>
      </c>
      <c r="P298" s="61" t="s">
        <v>96</v>
      </c>
      <c r="Q298" s="61" t="s">
        <v>97</v>
      </c>
      <c r="R298" s="61" t="s">
        <v>686</v>
      </c>
      <c r="S298" s="218">
        <v>85</v>
      </c>
      <c r="T298" s="61" t="s">
        <v>41</v>
      </c>
      <c r="U298" s="61" t="s">
        <v>43</v>
      </c>
      <c r="V298" s="63" t="s">
        <v>18</v>
      </c>
      <c r="W298" s="171">
        <v>0.45</v>
      </c>
      <c r="X298" s="146">
        <v>0.31</v>
      </c>
      <c r="Y298" s="146" t="s">
        <v>353</v>
      </c>
      <c r="Z298" s="144" t="s">
        <v>48</v>
      </c>
      <c r="AA298" s="172" t="s">
        <v>28</v>
      </c>
      <c r="AB298" s="173"/>
      <c r="AC298" s="174"/>
    </row>
    <row r="299" spans="1:29" x14ac:dyDescent="0.25">
      <c r="A299" s="324">
        <v>45884</v>
      </c>
      <c r="B299" s="144">
        <v>1</v>
      </c>
      <c r="C299" s="145"/>
      <c r="D299" s="144" t="s">
        <v>91</v>
      </c>
      <c r="E299" s="146">
        <v>2.44</v>
      </c>
      <c r="F299" s="146"/>
      <c r="G299" s="147">
        <v>2</v>
      </c>
      <c r="H299" s="147">
        <v>0</v>
      </c>
      <c r="I299" s="147"/>
      <c r="J299" s="148">
        <v>0.93</v>
      </c>
      <c r="K299" s="145"/>
      <c r="L299" s="144" t="s">
        <v>92</v>
      </c>
      <c r="M299" s="149" t="s">
        <v>93</v>
      </c>
      <c r="N299" s="150">
        <v>25</v>
      </c>
      <c r="O299" s="26" t="s">
        <v>92</v>
      </c>
      <c r="P299" s="26" t="s">
        <v>110</v>
      </c>
      <c r="Q299" s="26" t="s">
        <v>111</v>
      </c>
      <c r="R299" s="26" t="s">
        <v>685</v>
      </c>
      <c r="S299" s="213">
        <v>72</v>
      </c>
      <c r="T299" s="26" t="s">
        <v>354</v>
      </c>
      <c r="U299" s="26" t="s">
        <v>43</v>
      </c>
      <c r="V299" s="43" t="s">
        <v>10</v>
      </c>
      <c r="W299" s="171">
        <v>0.01</v>
      </c>
      <c r="X299" s="146">
        <v>0.12</v>
      </c>
      <c r="Y299" s="146"/>
      <c r="Z299" s="144" t="s">
        <v>48</v>
      </c>
      <c r="AA299" s="172" t="s">
        <v>28</v>
      </c>
      <c r="AB299" s="173"/>
      <c r="AC299" s="174"/>
    </row>
    <row r="300" spans="1:29" x14ac:dyDescent="0.25">
      <c r="A300" s="324">
        <v>45884</v>
      </c>
      <c r="B300" s="144">
        <v>1</v>
      </c>
      <c r="C300" s="145"/>
      <c r="D300" s="144" t="s">
        <v>91</v>
      </c>
      <c r="E300" s="146">
        <v>2.44</v>
      </c>
      <c r="F300" s="146"/>
      <c r="G300" s="147">
        <v>2</v>
      </c>
      <c r="H300" s="147">
        <v>0</v>
      </c>
      <c r="I300" s="147"/>
      <c r="J300" s="148">
        <v>0.93</v>
      </c>
      <c r="K300" s="145"/>
      <c r="L300" s="144" t="s">
        <v>92</v>
      </c>
      <c r="M300" s="149" t="s">
        <v>93</v>
      </c>
      <c r="N300" s="150">
        <v>28</v>
      </c>
      <c r="O300" s="61" t="s">
        <v>91</v>
      </c>
      <c r="P300" s="61" t="s">
        <v>102</v>
      </c>
      <c r="Q300" s="61" t="s">
        <v>103</v>
      </c>
      <c r="R300" s="61" t="s">
        <v>685</v>
      </c>
      <c r="S300" s="218">
        <v>71</v>
      </c>
      <c r="T300" s="61" t="s">
        <v>41</v>
      </c>
      <c r="U300" s="61" t="s">
        <v>42</v>
      </c>
      <c r="V300" s="63" t="s">
        <v>33</v>
      </c>
      <c r="W300" s="171">
        <v>0.11</v>
      </c>
      <c r="X300" s="146" t="s">
        <v>53</v>
      </c>
      <c r="Y300" s="146"/>
      <c r="Z300" s="144" t="s">
        <v>13</v>
      </c>
      <c r="AA300" s="172" t="s">
        <v>28</v>
      </c>
      <c r="AB300" s="173"/>
      <c r="AC300" s="174"/>
    </row>
    <row r="301" spans="1:29" x14ac:dyDescent="0.25">
      <c r="A301" s="324">
        <v>45884</v>
      </c>
      <c r="B301" s="144">
        <v>1</v>
      </c>
      <c r="C301" s="145"/>
      <c r="D301" s="144" t="s">
        <v>91</v>
      </c>
      <c r="E301" s="146">
        <v>2.44</v>
      </c>
      <c r="F301" s="146"/>
      <c r="G301" s="147">
        <v>2</v>
      </c>
      <c r="H301" s="147">
        <v>0</v>
      </c>
      <c r="I301" s="147"/>
      <c r="J301" s="148">
        <v>0.93</v>
      </c>
      <c r="K301" s="145"/>
      <c r="L301" s="144" t="s">
        <v>92</v>
      </c>
      <c r="M301" s="149" t="s">
        <v>93</v>
      </c>
      <c r="N301" s="150">
        <v>28</v>
      </c>
      <c r="O301" s="61" t="s">
        <v>91</v>
      </c>
      <c r="P301" s="61" t="s">
        <v>49</v>
      </c>
      <c r="Q301" s="61" t="s">
        <v>50</v>
      </c>
      <c r="R301" s="61" t="s">
        <v>695</v>
      </c>
      <c r="S301" s="218">
        <v>91</v>
      </c>
      <c r="T301" s="61" t="s">
        <v>47</v>
      </c>
      <c r="U301" s="61" t="s">
        <v>43</v>
      </c>
      <c r="V301" s="63" t="s">
        <v>33</v>
      </c>
      <c r="W301" s="171">
        <v>0.17</v>
      </c>
      <c r="X301" s="146">
        <v>0.21</v>
      </c>
      <c r="Y301" s="146"/>
      <c r="Z301" s="144" t="s">
        <v>48</v>
      </c>
      <c r="AA301" s="172" t="s">
        <v>28</v>
      </c>
      <c r="AB301" s="173"/>
      <c r="AC301" s="174"/>
    </row>
    <row r="302" spans="1:29" x14ac:dyDescent="0.25">
      <c r="A302" s="324">
        <v>45884</v>
      </c>
      <c r="B302" s="144">
        <v>1</v>
      </c>
      <c r="C302" s="145"/>
      <c r="D302" s="144" t="s">
        <v>91</v>
      </c>
      <c r="E302" s="146">
        <v>2.44</v>
      </c>
      <c r="F302" s="146"/>
      <c r="G302" s="147">
        <v>2</v>
      </c>
      <c r="H302" s="147">
        <v>0</v>
      </c>
      <c r="I302" s="147"/>
      <c r="J302" s="148">
        <v>0.93</v>
      </c>
      <c r="K302" s="145"/>
      <c r="L302" s="144" t="s">
        <v>92</v>
      </c>
      <c r="M302" s="149" t="s">
        <v>93</v>
      </c>
      <c r="N302" s="150">
        <v>29</v>
      </c>
      <c r="O302" s="61" t="s">
        <v>91</v>
      </c>
      <c r="P302" s="61" t="s">
        <v>104</v>
      </c>
      <c r="Q302" s="61" t="s">
        <v>105</v>
      </c>
      <c r="R302" s="61" t="s">
        <v>684</v>
      </c>
      <c r="S302" s="218">
        <v>65</v>
      </c>
      <c r="T302" s="61" t="s">
        <v>41</v>
      </c>
      <c r="U302" s="61" t="s">
        <v>45</v>
      </c>
      <c r="V302" s="63" t="s">
        <v>20</v>
      </c>
      <c r="W302" s="171">
        <v>0.12</v>
      </c>
      <c r="X302" s="146">
        <v>0.81</v>
      </c>
      <c r="Y302" s="146"/>
      <c r="Z302" s="144" t="s">
        <v>8</v>
      </c>
      <c r="AA302" s="172" t="s">
        <v>19</v>
      </c>
      <c r="AB302" s="173"/>
      <c r="AC302" s="174"/>
    </row>
    <row r="303" spans="1:29" x14ac:dyDescent="0.25">
      <c r="A303" s="324">
        <v>45884</v>
      </c>
      <c r="B303" s="144">
        <v>1</v>
      </c>
      <c r="C303" s="145"/>
      <c r="D303" s="144" t="s">
        <v>91</v>
      </c>
      <c r="E303" s="146">
        <v>2.44</v>
      </c>
      <c r="F303" s="146"/>
      <c r="G303" s="147">
        <v>2</v>
      </c>
      <c r="H303" s="147">
        <v>0</v>
      </c>
      <c r="I303" s="147"/>
      <c r="J303" s="148">
        <v>0.93</v>
      </c>
      <c r="K303" s="145"/>
      <c r="L303" s="144" t="s">
        <v>92</v>
      </c>
      <c r="M303" s="149" t="s">
        <v>93</v>
      </c>
      <c r="N303" s="150">
        <v>35</v>
      </c>
      <c r="O303" s="61" t="s">
        <v>91</v>
      </c>
      <c r="P303" s="61" t="s">
        <v>104</v>
      </c>
      <c r="Q303" s="61" t="s">
        <v>105</v>
      </c>
      <c r="R303" s="61" t="s">
        <v>684</v>
      </c>
      <c r="S303" s="218">
        <v>65</v>
      </c>
      <c r="T303" s="61" t="s">
        <v>47</v>
      </c>
      <c r="U303" s="61" t="s">
        <v>42</v>
      </c>
      <c r="V303" s="63" t="s">
        <v>20</v>
      </c>
      <c r="W303" s="171">
        <v>0.25</v>
      </c>
      <c r="X303" s="146" t="s">
        <v>53</v>
      </c>
      <c r="Y303" s="146" t="s">
        <v>353</v>
      </c>
      <c r="Z303" s="144" t="s">
        <v>13</v>
      </c>
      <c r="AA303" s="172" t="s">
        <v>19</v>
      </c>
      <c r="AB303" s="173"/>
      <c r="AC303" s="174"/>
    </row>
    <row r="304" spans="1:29" x14ac:dyDescent="0.25">
      <c r="A304" s="324">
        <v>45884</v>
      </c>
      <c r="B304" s="144">
        <v>1</v>
      </c>
      <c r="C304" s="145"/>
      <c r="D304" s="144" t="s">
        <v>91</v>
      </c>
      <c r="E304" s="146">
        <v>2.44</v>
      </c>
      <c r="F304" s="146"/>
      <c r="G304" s="147">
        <v>2</v>
      </c>
      <c r="H304" s="147">
        <v>0</v>
      </c>
      <c r="I304" s="147"/>
      <c r="J304" s="148">
        <v>0.93</v>
      </c>
      <c r="K304" s="145"/>
      <c r="L304" s="144" t="s">
        <v>92</v>
      </c>
      <c r="M304" s="149" t="s">
        <v>93</v>
      </c>
      <c r="N304" s="150">
        <v>36</v>
      </c>
      <c r="O304" s="61" t="s">
        <v>91</v>
      </c>
      <c r="P304" s="61" t="s">
        <v>49</v>
      </c>
      <c r="Q304" s="61" t="s">
        <v>50</v>
      </c>
      <c r="R304" s="61" t="s">
        <v>695</v>
      </c>
      <c r="S304" s="218">
        <v>91</v>
      </c>
      <c r="T304" s="61" t="s">
        <v>354</v>
      </c>
      <c r="U304" s="61" t="s">
        <v>43</v>
      </c>
      <c r="V304" s="63" t="s">
        <v>10</v>
      </c>
      <c r="W304" s="171">
        <v>0.05</v>
      </c>
      <c r="X304" s="146">
        <v>0.08</v>
      </c>
      <c r="Y304" s="146"/>
      <c r="Z304" s="144" t="s">
        <v>8</v>
      </c>
      <c r="AA304" s="172" t="s">
        <v>24</v>
      </c>
      <c r="AB304" s="173" t="s">
        <v>96</v>
      </c>
      <c r="AC304" s="174" t="s">
        <v>97</v>
      </c>
    </row>
    <row r="305" spans="1:29" x14ac:dyDescent="0.25">
      <c r="A305" s="324">
        <v>45884</v>
      </c>
      <c r="B305" s="144">
        <v>1</v>
      </c>
      <c r="C305" s="145"/>
      <c r="D305" s="144" t="s">
        <v>91</v>
      </c>
      <c r="E305" s="146">
        <v>2.44</v>
      </c>
      <c r="F305" s="146"/>
      <c r="G305" s="147">
        <v>2</v>
      </c>
      <c r="H305" s="147">
        <v>0</v>
      </c>
      <c r="I305" s="147"/>
      <c r="J305" s="148">
        <v>0.93</v>
      </c>
      <c r="K305" s="145"/>
      <c r="L305" s="144" t="s">
        <v>92</v>
      </c>
      <c r="M305" s="149" t="s">
        <v>93</v>
      </c>
      <c r="N305" s="150">
        <v>41</v>
      </c>
      <c r="O305" s="61" t="s">
        <v>91</v>
      </c>
      <c r="P305" s="61" t="s">
        <v>96</v>
      </c>
      <c r="Q305" s="61" t="s">
        <v>97</v>
      </c>
      <c r="R305" s="61" t="s">
        <v>686</v>
      </c>
      <c r="S305" s="218">
        <v>85</v>
      </c>
      <c r="T305" s="61" t="s">
        <v>41</v>
      </c>
      <c r="U305" s="61" t="s">
        <v>43</v>
      </c>
      <c r="V305" s="63" t="s">
        <v>10</v>
      </c>
      <c r="W305" s="171">
        <v>0.02</v>
      </c>
      <c r="X305" s="146">
        <v>0.23</v>
      </c>
      <c r="Y305" s="146"/>
      <c r="Z305" s="144" t="s">
        <v>48</v>
      </c>
      <c r="AA305" s="172" t="s">
        <v>24</v>
      </c>
      <c r="AB305" s="173"/>
      <c r="AC305" s="174"/>
    </row>
    <row r="306" spans="1:29" x14ac:dyDescent="0.25">
      <c r="A306" s="324">
        <v>45884</v>
      </c>
      <c r="B306" s="144">
        <v>1</v>
      </c>
      <c r="C306" s="145"/>
      <c r="D306" s="144" t="s">
        <v>91</v>
      </c>
      <c r="E306" s="146">
        <v>2.44</v>
      </c>
      <c r="F306" s="146"/>
      <c r="G306" s="147">
        <v>2</v>
      </c>
      <c r="H306" s="147">
        <v>0</v>
      </c>
      <c r="I306" s="147"/>
      <c r="J306" s="148">
        <v>0.93</v>
      </c>
      <c r="K306" s="145"/>
      <c r="L306" s="144" t="s">
        <v>92</v>
      </c>
      <c r="M306" s="149" t="s">
        <v>93</v>
      </c>
      <c r="N306" s="150">
        <v>45</v>
      </c>
      <c r="O306" s="61" t="s">
        <v>91</v>
      </c>
      <c r="P306" s="61" t="s">
        <v>98</v>
      </c>
      <c r="Q306" s="61" t="s">
        <v>99</v>
      </c>
      <c r="R306" s="61" t="s">
        <v>684</v>
      </c>
      <c r="S306" s="218">
        <v>73</v>
      </c>
      <c r="T306" s="61" t="s">
        <v>41</v>
      </c>
      <c r="U306" s="61" t="s">
        <v>43</v>
      </c>
      <c r="V306" s="63" t="s">
        <v>10</v>
      </c>
      <c r="W306" s="171">
        <v>0.13</v>
      </c>
      <c r="X306" s="146">
        <v>0.09</v>
      </c>
      <c r="Y306" s="146"/>
      <c r="Z306" s="144" t="s">
        <v>48</v>
      </c>
      <c r="AA306" s="172" t="s">
        <v>24</v>
      </c>
      <c r="AB306" s="173"/>
      <c r="AC306" s="174"/>
    </row>
    <row r="307" spans="1:29" x14ac:dyDescent="0.25">
      <c r="A307" s="324">
        <v>45884</v>
      </c>
      <c r="B307" s="144">
        <v>1</v>
      </c>
      <c r="C307" s="145"/>
      <c r="D307" s="144" t="s">
        <v>91</v>
      </c>
      <c r="E307" s="146">
        <v>2.44</v>
      </c>
      <c r="F307" s="146"/>
      <c r="G307" s="147">
        <v>2</v>
      </c>
      <c r="H307" s="147">
        <v>0</v>
      </c>
      <c r="I307" s="147"/>
      <c r="J307" s="148">
        <v>0.93</v>
      </c>
      <c r="K307" s="145"/>
      <c r="L307" s="144" t="s">
        <v>92</v>
      </c>
      <c r="M307" s="149" t="s">
        <v>93</v>
      </c>
      <c r="N307" s="150">
        <v>54</v>
      </c>
      <c r="O307" s="26" t="s">
        <v>92</v>
      </c>
      <c r="P307" s="26" t="s">
        <v>110</v>
      </c>
      <c r="Q307" s="26" t="s">
        <v>111</v>
      </c>
      <c r="R307" s="26" t="s">
        <v>685</v>
      </c>
      <c r="S307" s="213">
        <v>72</v>
      </c>
      <c r="T307" s="26" t="s">
        <v>354</v>
      </c>
      <c r="U307" s="26" t="s">
        <v>42</v>
      </c>
      <c r="V307" s="43" t="s">
        <v>540</v>
      </c>
      <c r="W307" s="171">
        <v>0.03</v>
      </c>
      <c r="X307" s="146">
        <v>0.14000000000000001</v>
      </c>
      <c r="Y307" s="146"/>
      <c r="Z307" s="144" t="s">
        <v>48</v>
      </c>
      <c r="AA307" s="172" t="s">
        <v>24</v>
      </c>
      <c r="AB307" s="173"/>
      <c r="AC307" s="174"/>
    </row>
    <row r="308" spans="1:29" ht="15.75" thickBot="1" x14ac:dyDescent="0.3">
      <c r="A308" s="325">
        <v>45884</v>
      </c>
      <c r="B308" s="152">
        <v>1</v>
      </c>
      <c r="C308" s="153"/>
      <c r="D308" s="152" t="s">
        <v>91</v>
      </c>
      <c r="E308" s="154">
        <v>2.44</v>
      </c>
      <c r="F308" s="154"/>
      <c r="G308" s="155">
        <v>2</v>
      </c>
      <c r="H308" s="155">
        <v>0</v>
      </c>
      <c r="I308" s="155"/>
      <c r="J308" s="156">
        <v>0.93</v>
      </c>
      <c r="K308" s="153"/>
      <c r="L308" s="152" t="s">
        <v>92</v>
      </c>
      <c r="M308" s="157" t="s">
        <v>93</v>
      </c>
      <c r="N308" s="158">
        <v>59</v>
      </c>
      <c r="O308" s="66" t="s">
        <v>91</v>
      </c>
      <c r="P308" s="66" t="s">
        <v>106</v>
      </c>
      <c r="Q308" s="66" t="s">
        <v>107</v>
      </c>
      <c r="R308" s="66" t="s">
        <v>696</v>
      </c>
      <c r="S308" s="219">
        <v>63</v>
      </c>
      <c r="T308" s="66" t="s">
        <v>41</v>
      </c>
      <c r="U308" s="66" t="s">
        <v>42</v>
      </c>
      <c r="V308" s="67" t="s">
        <v>10</v>
      </c>
      <c r="W308" s="175">
        <v>0.2</v>
      </c>
      <c r="X308" s="154" t="s">
        <v>53</v>
      </c>
      <c r="Y308" s="154"/>
      <c r="Z308" s="152" t="s">
        <v>55</v>
      </c>
      <c r="AA308" s="176" t="s">
        <v>24</v>
      </c>
      <c r="AB308" s="177"/>
      <c r="AC308" s="178"/>
    </row>
    <row r="309" spans="1:29" ht="15.75" thickBot="1" x14ac:dyDescent="0.3">
      <c r="A309" s="326">
        <v>45884</v>
      </c>
      <c r="B309" s="207">
        <v>1</v>
      </c>
      <c r="C309" s="208"/>
      <c r="D309" s="207" t="s">
        <v>91</v>
      </c>
      <c r="E309" s="209">
        <v>2.44</v>
      </c>
      <c r="F309" s="209"/>
      <c r="G309" s="210">
        <v>2</v>
      </c>
      <c r="H309" s="210">
        <v>0</v>
      </c>
      <c r="I309" s="210"/>
      <c r="J309" s="211">
        <v>0.93</v>
      </c>
      <c r="K309" s="208"/>
      <c r="L309" s="207" t="s">
        <v>92</v>
      </c>
      <c r="M309" s="197"/>
      <c r="N309" s="198"/>
      <c r="O309" s="199" t="s">
        <v>91</v>
      </c>
      <c r="P309" s="199" t="s">
        <v>351</v>
      </c>
      <c r="Q309" s="199" t="s">
        <v>54</v>
      </c>
      <c r="R309" s="199" t="s">
        <v>707</v>
      </c>
      <c r="S309" s="200">
        <v>73</v>
      </c>
      <c r="T309" s="199"/>
      <c r="U309" s="199"/>
      <c r="V309" s="201"/>
      <c r="W309" s="202"/>
      <c r="X309" s="203"/>
      <c r="Y309" s="203">
        <v>0</v>
      </c>
      <c r="Z309" s="199"/>
      <c r="AA309" s="204"/>
      <c r="AB309" s="205"/>
      <c r="AC309" s="201"/>
    </row>
    <row r="310" spans="1:29" ht="15.75" thickBot="1" x14ac:dyDescent="0.3">
      <c r="A310" s="326">
        <v>45884</v>
      </c>
      <c r="B310" s="207">
        <v>1</v>
      </c>
      <c r="C310" s="208"/>
      <c r="D310" s="207" t="s">
        <v>91</v>
      </c>
      <c r="E310" s="209">
        <v>2.44</v>
      </c>
      <c r="F310" s="209"/>
      <c r="G310" s="210">
        <v>2</v>
      </c>
      <c r="H310" s="210">
        <v>0</v>
      </c>
      <c r="I310" s="210"/>
      <c r="J310" s="211">
        <v>0.93</v>
      </c>
      <c r="K310" s="208"/>
      <c r="L310" s="207" t="s">
        <v>92</v>
      </c>
      <c r="M310" s="197"/>
      <c r="N310" s="198"/>
      <c r="O310" s="199" t="s">
        <v>92</v>
      </c>
      <c r="P310" s="199" t="s">
        <v>432</v>
      </c>
      <c r="Q310" s="199" t="s">
        <v>472</v>
      </c>
      <c r="R310" s="199" t="s">
        <v>707</v>
      </c>
      <c r="S310" s="200">
        <v>86</v>
      </c>
      <c r="T310" s="199"/>
      <c r="U310" s="199"/>
      <c r="V310" s="201"/>
      <c r="W310" s="202"/>
      <c r="X310" s="203"/>
      <c r="Y310" s="203">
        <v>2</v>
      </c>
      <c r="Z310" s="199"/>
      <c r="AA310" s="204"/>
      <c r="AB310" s="205"/>
      <c r="AC310" s="201"/>
    </row>
    <row r="311" spans="1:29" x14ac:dyDescent="0.25">
      <c r="A311" s="323">
        <v>45893</v>
      </c>
      <c r="B311" s="136">
        <v>2</v>
      </c>
      <c r="C311" s="137" t="s">
        <v>694</v>
      </c>
      <c r="D311" s="136" t="s">
        <v>91</v>
      </c>
      <c r="E311" s="138">
        <v>2.2999999999999998</v>
      </c>
      <c r="F311" s="138"/>
      <c r="G311" s="139">
        <v>5</v>
      </c>
      <c r="H311" s="139">
        <v>0</v>
      </c>
      <c r="I311" s="139"/>
      <c r="J311" s="140">
        <v>0.14000000000000001</v>
      </c>
      <c r="K311" s="137" t="s">
        <v>704</v>
      </c>
      <c r="L311" s="136" t="s">
        <v>69</v>
      </c>
      <c r="M311" s="141"/>
      <c r="N311" s="142">
        <v>7</v>
      </c>
      <c r="O311" s="64" t="s">
        <v>91</v>
      </c>
      <c r="P311" s="64" t="s">
        <v>96</v>
      </c>
      <c r="Q311" s="64" t="s">
        <v>97</v>
      </c>
      <c r="R311" s="64" t="s">
        <v>718</v>
      </c>
      <c r="S311" s="217">
        <v>90</v>
      </c>
      <c r="T311" s="64" t="s">
        <v>41</v>
      </c>
      <c r="U311" s="64" t="s">
        <v>43</v>
      </c>
      <c r="V311" s="65" t="s">
        <v>540</v>
      </c>
      <c r="W311" s="167">
        <v>0.45</v>
      </c>
      <c r="X311" s="138">
        <v>0.52</v>
      </c>
      <c r="Y311" s="138" t="s">
        <v>353</v>
      </c>
      <c r="Z311" s="136" t="s">
        <v>8</v>
      </c>
      <c r="AA311" s="168" t="s">
        <v>19</v>
      </c>
      <c r="AB311" s="169"/>
      <c r="AC311" s="170"/>
    </row>
    <row r="312" spans="1:29" x14ac:dyDescent="0.25">
      <c r="A312" s="324">
        <v>45893</v>
      </c>
      <c r="B312" s="144">
        <v>2</v>
      </c>
      <c r="C312" s="145"/>
      <c r="D312" s="144" t="s">
        <v>91</v>
      </c>
      <c r="E312" s="146">
        <v>2.2999999999999998</v>
      </c>
      <c r="F312" s="146"/>
      <c r="G312" s="147">
        <v>5</v>
      </c>
      <c r="H312" s="147">
        <v>0</v>
      </c>
      <c r="I312" s="147"/>
      <c r="J312" s="148">
        <v>0.14000000000000001</v>
      </c>
      <c r="K312" s="145"/>
      <c r="L312" s="144" t="s">
        <v>69</v>
      </c>
      <c r="M312" s="149"/>
      <c r="N312" s="150">
        <v>16</v>
      </c>
      <c r="O312" s="61" t="s">
        <v>91</v>
      </c>
      <c r="P312" s="61" t="s">
        <v>106</v>
      </c>
      <c r="Q312" s="61" t="s">
        <v>107</v>
      </c>
      <c r="R312" s="61" t="s">
        <v>686</v>
      </c>
      <c r="S312" s="218">
        <v>100</v>
      </c>
      <c r="T312" s="61" t="s">
        <v>41</v>
      </c>
      <c r="U312" s="61" t="s">
        <v>42</v>
      </c>
      <c r="V312" s="63" t="s">
        <v>10</v>
      </c>
      <c r="W312" s="171">
        <v>0.03</v>
      </c>
      <c r="X312" s="146">
        <v>0.18</v>
      </c>
      <c r="Y312" s="146"/>
      <c r="Z312" s="144" t="s">
        <v>8</v>
      </c>
      <c r="AA312" s="172" t="s">
        <v>24</v>
      </c>
      <c r="AB312" s="173" t="s">
        <v>493</v>
      </c>
      <c r="AC312" s="174" t="s">
        <v>494</v>
      </c>
    </row>
    <row r="313" spans="1:29" x14ac:dyDescent="0.25">
      <c r="A313" s="324">
        <v>45893</v>
      </c>
      <c r="B313" s="144">
        <v>2</v>
      </c>
      <c r="C313" s="145"/>
      <c r="D313" s="144" t="s">
        <v>91</v>
      </c>
      <c r="E313" s="146">
        <v>2.2999999999999998</v>
      </c>
      <c r="F313" s="146"/>
      <c r="G313" s="147">
        <v>5</v>
      </c>
      <c r="H313" s="147">
        <v>0</v>
      </c>
      <c r="I313" s="147"/>
      <c r="J313" s="148">
        <v>0.14000000000000001</v>
      </c>
      <c r="K313" s="145"/>
      <c r="L313" s="144" t="s">
        <v>69</v>
      </c>
      <c r="M313" s="149"/>
      <c r="N313" s="150">
        <v>22</v>
      </c>
      <c r="O313" s="61" t="s">
        <v>91</v>
      </c>
      <c r="P313" s="61" t="s">
        <v>96</v>
      </c>
      <c r="Q313" s="61" t="s">
        <v>97</v>
      </c>
      <c r="R313" s="61" t="s">
        <v>718</v>
      </c>
      <c r="S313" s="218">
        <v>90</v>
      </c>
      <c r="T313" s="61" t="s">
        <v>41</v>
      </c>
      <c r="U313" s="61" t="s">
        <v>43</v>
      </c>
      <c r="V313" s="63" t="s">
        <v>18</v>
      </c>
      <c r="W313" s="171">
        <v>0.11</v>
      </c>
      <c r="X313" s="146" t="s">
        <v>53</v>
      </c>
      <c r="Y313" s="146"/>
      <c r="Z313" s="144" t="s">
        <v>52</v>
      </c>
      <c r="AA313" s="172" t="s">
        <v>24</v>
      </c>
      <c r="AB313" s="173"/>
      <c r="AC313" s="174"/>
    </row>
    <row r="314" spans="1:29" x14ac:dyDescent="0.25">
      <c r="A314" s="324">
        <v>45893</v>
      </c>
      <c r="B314" s="144">
        <v>2</v>
      </c>
      <c r="C314" s="145"/>
      <c r="D314" s="144" t="s">
        <v>91</v>
      </c>
      <c r="E314" s="146">
        <v>2.2999999999999998</v>
      </c>
      <c r="F314" s="146"/>
      <c r="G314" s="147">
        <v>5</v>
      </c>
      <c r="H314" s="147">
        <v>0</v>
      </c>
      <c r="I314" s="147"/>
      <c r="J314" s="148">
        <v>0.14000000000000001</v>
      </c>
      <c r="K314" s="145"/>
      <c r="L314" s="144" t="s">
        <v>69</v>
      </c>
      <c r="M314" s="149"/>
      <c r="N314" s="150">
        <v>24</v>
      </c>
      <c r="O314" s="61" t="s">
        <v>91</v>
      </c>
      <c r="P314" s="61" t="s">
        <v>96</v>
      </c>
      <c r="Q314" s="61" t="s">
        <v>97</v>
      </c>
      <c r="R314" s="61" t="s">
        <v>718</v>
      </c>
      <c r="S314" s="218">
        <v>90</v>
      </c>
      <c r="T314" s="61" t="s">
        <v>41</v>
      </c>
      <c r="U314" s="61" t="s">
        <v>45</v>
      </c>
      <c r="V314" s="63" t="s">
        <v>10</v>
      </c>
      <c r="W314" s="171">
        <v>0.12</v>
      </c>
      <c r="X314" s="146" t="s">
        <v>53</v>
      </c>
      <c r="Y314" s="146"/>
      <c r="Z314" s="144" t="s">
        <v>52</v>
      </c>
      <c r="AA314" s="172" t="s">
        <v>24</v>
      </c>
      <c r="AB314" s="173"/>
      <c r="AC314" s="174"/>
    </row>
    <row r="315" spans="1:29" x14ac:dyDescent="0.25">
      <c r="A315" s="324">
        <v>45893</v>
      </c>
      <c r="B315" s="144">
        <v>2</v>
      </c>
      <c r="C315" s="145"/>
      <c r="D315" s="144" t="s">
        <v>91</v>
      </c>
      <c r="E315" s="146">
        <v>2.2999999999999998</v>
      </c>
      <c r="F315" s="146"/>
      <c r="G315" s="147">
        <v>5</v>
      </c>
      <c r="H315" s="147">
        <v>0</v>
      </c>
      <c r="I315" s="147"/>
      <c r="J315" s="148">
        <v>0.14000000000000001</v>
      </c>
      <c r="K315" s="145"/>
      <c r="L315" s="144" t="s">
        <v>69</v>
      </c>
      <c r="M315" s="149"/>
      <c r="N315" s="150">
        <v>25</v>
      </c>
      <c r="O315" s="61" t="s">
        <v>91</v>
      </c>
      <c r="P315" s="61" t="s">
        <v>61</v>
      </c>
      <c r="Q315" s="61" t="s">
        <v>284</v>
      </c>
      <c r="R315" s="61" t="s">
        <v>712</v>
      </c>
      <c r="S315" s="218">
        <v>84</v>
      </c>
      <c r="T315" s="61" t="s">
        <v>47</v>
      </c>
      <c r="U315" s="61" t="s">
        <v>45</v>
      </c>
      <c r="V315" s="63" t="s">
        <v>20</v>
      </c>
      <c r="W315" s="171">
        <v>0.19</v>
      </c>
      <c r="X315" s="146">
        <v>0.55000000000000004</v>
      </c>
      <c r="Y315" s="146" t="s">
        <v>353</v>
      </c>
      <c r="Z315" s="144" t="s">
        <v>8</v>
      </c>
      <c r="AA315" s="172" t="s">
        <v>27</v>
      </c>
      <c r="AB315" s="173" t="s">
        <v>102</v>
      </c>
      <c r="AC315" s="174" t="s">
        <v>103</v>
      </c>
    </row>
    <row r="316" spans="1:29" x14ac:dyDescent="0.25">
      <c r="A316" s="324">
        <v>45893</v>
      </c>
      <c r="B316" s="144">
        <v>2</v>
      </c>
      <c r="C316" s="145"/>
      <c r="D316" s="144" t="s">
        <v>91</v>
      </c>
      <c r="E316" s="146">
        <v>2.2999999999999998</v>
      </c>
      <c r="F316" s="146"/>
      <c r="G316" s="147">
        <v>5</v>
      </c>
      <c r="H316" s="147">
        <v>0</v>
      </c>
      <c r="I316" s="147"/>
      <c r="J316" s="148">
        <v>0.14000000000000001</v>
      </c>
      <c r="K316" s="145"/>
      <c r="L316" s="144" t="s">
        <v>69</v>
      </c>
      <c r="M316" s="149"/>
      <c r="N316" s="150">
        <v>28</v>
      </c>
      <c r="O316" s="61" t="s">
        <v>91</v>
      </c>
      <c r="P316" s="61" t="s">
        <v>106</v>
      </c>
      <c r="Q316" s="61" t="s">
        <v>107</v>
      </c>
      <c r="R316" s="61" t="s">
        <v>686</v>
      </c>
      <c r="S316" s="218">
        <v>100</v>
      </c>
      <c r="T316" s="61" t="s">
        <v>47</v>
      </c>
      <c r="U316" s="61" t="s">
        <v>42</v>
      </c>
      <c r="V316" s="63" t="s">
        <v>10</v>
      </c>
      <c r="W316" s="171">
        <v>0.33</v>
      </c>
      <c r="X316" s="146">
        <v>0.31</v>
      </c>
      <c r="Y316" s="146" t="s">
        <v>353</v>
      </c>
      <c r="Z316" s="144" t="s">
        <v>8</v>
      </c>
      <c r="AA316" s="172" t="s">
        <v>32</v>
      </c>
      <c r="AB316" s="173" t="s">
        <v>100</v>
      </c>
      <c r="AC316" s="174" t="s">
        <v>101</v>
      </c>
    </row>
    <row r="317" spans="1:29" x14ac:dyDescent="0.25">
      <c r="A317" s="324">
        <v>45893</v>
      </c>
      <c r="B317" s="144">
        <v>2</v>
      </c>
      <c r="C317" s="145"/>
      <c r="D317" s="144" t="s">
        <v>91</v>
      </c>
      <c r="E317" s="146">
        <v>2.2999999999999998</v>
      </c>
      <c r="F317" s="146"/>
      <c r="G317" s="147">
        <v>5</v>
      </c>
      <c r="H317" s="147">
        <v>0</v>
      </c>
      <c r="I317" s="147"/>
      <c r="J317" s="148">
        <v>0.14000000000000001</v>
      </c>
      <c r="K317" s="145"/>
      <c r="L317" s="144" t="s">
        <v>69</v>
      </c>
      <c r="M317" s="149"/>
      <c r="N317" s="150">
        <v>33</v>
      </c>
      <c r="O317" s="61" t="s">
        <v>91</v>
      </c>
      <c r="P317" s="61" t="s">
        <v>104</v>
      </c>
      <c r="Q317" s="61" t="s">
        <v>105</v>
      </c>
      <c r="R317" s="61" t="s">
        <v>717</v>
      </c>
      <c r="S317" s="218">
        <v>68</v>
      </c>
      <c r="T317" s="61" t="s">
        <v>47</v>
      </c>
      <c r="U317" s="61" t="s">
        <v>43</v>
      </c>
      <c r="V317" s="63" t="s">
        <v>10</v>
      </c>
      <c r="W317" s="171">
        <v>0.31</v>
      </c>
      <c r="X317" s="146">
        <v>0.1</v>
      </c>
      <c r="Y317" s="146" t="s">
        <v>353</v>
      </c>
      <c r="Z317" s="144" t="s">
        <v>48</v>
      </c>
      <c r="AA317" s="172" t="s">
        <v>32</v>
      </c>
      <c r="AB317" s="173"/>
      <c r="AC317" s="174"/>
    </row>
    <row r="318" spans="1:29" x14ac:dyDescent="0.25">
      <c r="A318" s="324">
        <v>45893</v>
      </c>
      <c r="B318" s="144">
        <v>2</v>
      </c>
      <c r="C318" s="145"/>
      <c r="D318" s="144" t="s">
        <v>91</v>
      </c>
      <c r="E318" s="146">
        <v>2.2999999999999998</v>
      </c>
      <c r="F318" s="146"/>
      <c r="G318" s="147">
        <v>5</v>
      </c>
      <c r="H318" s="147">
        <v>0</v>
      </c>
      <c r="I318" s="147"/>
      <c r="J318" s="148">
        <v>0.14000000000000001</v>
      </c>
      <c r="K318" s="145"/>
      <c r="L318" s="144" t="s">
        <v>69</v>
      </c>
      <c r="M318" s="149"/>
      <c r="N318" s="150" t="s">
        <v>63</v>
      </c>
      <c r="O318" s="61" t="s">
        <v>91</v>
      </c>
      <c r="P318" s="61" t="s">
        <v>104</v>
      </c>
      <c r="Q318" s="61" t="s">
        <v>105</v>
      </c>
      <c r="R318" s="61" t="s">
        <v>717</v>
      </c>
      <c r="S318" s="218">
        <v>68</v>
      </c>
      <c r="T318" s="61" t="s">
        <v>354</v>
      </c>
      <c r="U318" s="61" t="s">
        <v>42</v>
      </c>
      <c r="V318" s="63" t="s">
        <v>18</v>
      </c>
      <c r="W318" s="171">
        <v>0.03</v>
      </c>
      <c r="X318" s="146" t="s">
        <v>53</v>
      </c>
      <c r="Y318" s="146"/>
      <c r="Z318" s="144" t="s">
        <v>16</v>
      </c>
      <c r="AA318" s="172" t="s">
        <v>32</v>
      </c>
      <c r="AB318" s="173"/>
      <c r="AC318" s="174"/>
    </row>
    <row r="319" spans="1:29" ht="15.75" thickBot="1" x14ac:dyDescent="0.3">
      <c r="A319" s="325">
        <v>45893</v>
      </c>
      <c r="B319" s="152">
        <v>2</v>
      </c>
      <c r="C319" s="153"/>
      <c r="D319" s="152" t="s">
        <v>91</v>
      </c>
      <c r="E319" s="154">
        <v>2.2999999999999998</v>
      </c>
      <c r="F319" s="154"/>
      <c r="G319" s="155">
        <v>5</v>
      </c>
      <c r="H319" s="155">
        <v>0</v>
      </c>
      <c r="I319" s="155"/>
      <c r="J319" s="156">
        <v>0.14000000000000001</v>
      </c>
      <c r="K319" s="153"/>
      <c r="L319" s="152" t="s">
        <v>69</v>
      </c>
      <c r="M319" s="157"/>
      <c r="N319" s="158">
        <v>64</v>
      </c>
      <c r="O319" s="66" t="s">
        <v>91</v>
      </c>
      <c r="P319" s="66" t="s">
        <v>106</v>
      </c>
      <c r="Q319" s="66" t="s">
        <v>107</v>
      </c>
      <c r="R319" s="66" t="s">
        <v>686</v>
      </c>
      <c r="S319" s="219">
        <v>100</v>
      </c>
      <c r="T319" s="66" t="s">
        <v>44</v>
      </c>
      <c r="U319" s="66" t="s">
        <v>42</v>
      </c>
      <c r="V319" s="67" t="s">
        <v>18</v>
      </c>
      <c r="W319" s="175">
        <v>7.0000000000000007E-2</v>
      </c>
      <c r="X319" s="154">
        <v>0.22</v>
      </c>
      <c r="Y319" s="154"/>
      <c r="Z319" s="152" t="s">
        <v>8</v>
      </c>
      <c r="AA319" s="176" t="s">
        <v>285</v>
      </c>
      <c r="AB319" s="177" t="s">
        <v>104</v>
      </c>
      <c r="AC319" s="178" t="s">
        <v>105</v>
      </c>
    </row>
    <row r="320" spans="1:29" ht="15.75" thickBot="1" x14ac:dyDescent="0.3">
      <c r="A320" s="326">
        <v>45893</v>
      </c>
      <c r="B320" s="207">
        <v>2</v>
      </c>
      <c r="C320" s="208"/>
      <c r="D320" s="207" t="s">
        <v>91</v>
      </c>
      <c r="E320" s="209">
        <v>2.2999999999999998</v>
      </c>
      <c r="F320" s="209"/>
      <c r="G320" s="210">
        <v>5</v>
      </c>
      <c r="H320" s="210">
        <v>0</v>
      </c>
      <c r="I320" s="210"/>
      <c r="J320" s="211">
        <v>0.14000000000000001</v>
      </c>
      <c r="K320" s="208"/>
      <c r="L320" s="207" t="s">
        <v>69</v>
      </c>
      <c r="M320" s="197"/>
      <c r="N320" s="198"/>
      <c r="O320" s="199" t="s">
        <v>91</v>
      </c>
      <c r="P320" s="199" t="s">
        <v>315</v>
      </c>
      <c r="Q320" s="199" t="s">
        <v>54</v>
      </c>
      <c r="R320" s="199" t="s">
        <v>707</v>
      </c>
      <c r="S320" s="200">
        <v>70</v>
      </c>
      <c r="T320" s="199"/>
      <c r="U320" s="199"/>
      <c r="V320" s="201"/>
      <c r="W320" s="202"/>
      <c r="X320" s="203"/>
      <c r="Y320" s="203">
        <v>0</v>
      </c>
      <c r="Z320" s="199"/>
      <c r="AA320" s="204"/>
      <c r="AB320" s="205"/>
      <c r="AC320" s="201"/>
    </row>
    <row r="321" spans="1:29" ht="15.75" thickBot="1" x14ac:dyDescent="0.3">
      <c r="A321" s="326">
        <v>45893</v>
      </c>
      <c r="B321" s="207">
        <v>2</v>
      </c>
      <c r="C321" s="208"/>
      <c r="D321" s="207" t="s">
        <v>91</v>
      </c>
      <c r="E321" s="209">
        <v>2.2999999999999998</v>
      </c>
      <c r="F321" s="209"/>
      <c r="G321" s="210">
        <v>5</v>
      </c>
      <c r="H321" s="210">
        <v>0</v>
      </c>
      <c r="I321" s="210"/>
      <c r="J321" s="211">
        <v>0.14000000000000001</v>
      </c>
      <c r="K321" s="208"/>
      <c r="L321" s="207" t="s">
        <v>69</v>
      </c>
      <c r="M321" s="197"/>
      <c r="N321" s="198"/>
      <c r="O321" s="199" t="s">
        <v>69</v>
      </c>
      <c r="P321" s="199" t="s">
        <v>389</v>
      </c>
      <c r="Q321" s="199" t="s">
        <v>729</v>
      </c>
      <c r="R321" s="199" t="s">
        <v>707</v>
      </c>
      <c r="S321" s="200">
        <v>68</v>
      </c>
      <c r="T321" s="199"/>
      <c r="U321" s="199"/>
      <c r="V321" s="201"/>
      <c r="W321" s="202"/>
      <c r="X321" s="203"/>
      <c r="Y321" s="203">
        <v>5</v>
      </c>
      <c r="Z321" s="199"/>
      <c r="AA321" s="204"/>
      <c r="AB321" s="205"/>
      <c r="AC321" s="201"/>
    </row>
    <row r="322" spans="1:29" x14ac:dyDescent="0.25">
      <c r="A322" s="327">
        <v>45920</v>
      </c>
      <c r="B322" s="160">
        <v>5</v>
      </c>
      <c r="C322" s="161" t="s">
        <v>694</v>
      </c>
      <c r="D322" s="160" t="s">
        <v>91</v>
      </c>
      <c r="E322" s="162">
        <v>2.5499999999999998</v>
      </c>
      <c r="F322" s="162"/>
      <c r="G322" s="163">
        <v>2</v>
      </c>
      <c r="H322" s="163">
        <v>1</v>
      </c>
      <c r="I322" s="163"/>
      <c r="J322" s="164">
        <v>1.8</v>
      </c>
      <c r="K322" s="161" t="s">
        <v>700</v>
      </c>
      <c r="L322" s="160" t="s">
        <v>227</v>
      </c>
      <c r="M322" s="165" t="s">
        <v>451</v>
      </c>
      <c r="N322" s="166">
        <v>3</v>
      </c>
      <c r="O322" s="79" t="s">
        <v>227</v>
      </c>
      <c r="P322" s="79" t="s">
        <v>65</v>
      </c>
      <c r="Q322" s="79" t="s">
        <v>450</v>
      </c>
      <c r="R322" s="79" t="s">
        <v>712</v>
      </c>
      <c r="S322" s="224">
        <v>69</v>
      </c>
      <c r="T322" s="79" t="s">
        <v>41</v>
      </c>
      <c r="U322" s="79" t="s">
        <v>43</v>
      </c>
      <c r="V322" s="80" t="s">
        <v>33</v>
      </c>
      <c r="W322" s="179">
        <v>0.39</v>
      </c>
      <c r="X322" s="162" t="s">
        <v>53</v>
      </c>
      <c r="Y322" s="162" t="s">
        <v>353</v>
      </c>
      <c r="Z322" s="160" t="s">
        <v>13</v>
      </c>
      <c r="AA322" s="180" t="s">
        <v>28</v>
      </c>
      <c r="AB322" s="169"/>
      <c r="AC322" s="170"/>
    </row>
    <row r="323" spans="1:29" x14ac:dyDescent="0.25">
      <c r="A323" s="324">
        <v>45920</v>
      </c>
      <c r="B323" s="144">
        <v>5</v>
      </c>
      <c r="C323" s="145"/>
      <c r="D323" s="144" t="s">
        <v>91</v>
      </c>
      <c r="E323" s="146">
        <v>2.5499999999999998</v>
      </c>
      <c r="F323" s="146"/>
      <c r="G323" s="147">
        <v>2</v>
      </c>
      <c r="H323" s="147">
        <v>1</v>
      </c>
      <c r="I323" s="147"/>
      <c r="J323" s="148">
        <v>1.8</v>
      </c>
      <c r="K323" s="145"/>
      <c r="L323" s="144" t="s">
        <v>227</v>
      </c>
      <c r="M323" s="149" t="s">
        <v>451</v>
      </c>
      <c r="N323" s="150">
        <v>7</v>
      </c>
      <c r="O323" s="61" t="s">
        <v>91</v>
      </c>
      <c r="P323" s="61" t="s">
        <v>96</v>
      </c>
      <c r="Q323" s="61" t="s">
        <v>97</v>
      </c>
      <c r="R323" s="61" t="s">
        <v>718</v>
      </c>
      <c r="S323" s="218">
        <v>76</v>
      </c>
      <c r="T323" s="61" t="s">
        <v>41</v>
      </c>
      <c r="U323" s="61" t="s">
        <v>43</v>
      </c>
      <c r="V323" s="63" t="s">
        <v>540</v>
      </c>
      <c r="W323" s="171">
        <v>0.12</v>
      </c>
      <c r="X323" s="146" t="s">
        <v>53</v>
      </c>
      <c r="Y323" s="146"/>
      <c r="Z323" s="144" t="s">
        <v>13</v>
      </c>
      <c r="AA323" s="172" t="s">
        <v>28</v>
      </c>
      <c r="AB323" s="173"/>
      <c r="AC323" s="174"/>
    </row>
    <row r="324" spans="1:29" x14ac:dyDescent="0.25">
      <c r="A324" s="324">
        <v>45920</v>
      </c>
      <c r="B324" s="144">
        <v>5</v>
      </c>
      <c r="C324" s="145"/>
      <c r="D324" s="144" t="s">
        <v>91</v>
      </c>
      <c r="E324" s="146">
        <v>2.5499999999999998</v>
      </c>
      <c r="F324" s="146"/>
      <c r="G324" s="147">
        <v>2</v>
      </c>
      <c r="H324" s="147">
        <v>1</v>
      </c>
      <c r="I324" s="147"/>
      <c r="J324" s="148">
        <v>1.8</v>
      </c>
      <c r="K324" s="145"/>
      <c r="L324" s="144" t="s">
        <v>227</v>
      </c>
      <c r="M324" s="149" t="s">
        <v>451</v>
      </c>
      <c r="N324" s="150">
        <v>19</v>
      </c>
      <c r="O324" s="26" t="s">
        <v>227</v>
      </c>
      <c r="P324" s="26" t="s">
        <v>25</v>
      </c>
      <c r="Q324" s="26" t="s">
        <v>397</v>
      </c>
      <c r="R324" s="26" t="s">
        <v>685</v>
      </c>
      <c r="S324" s="213">
        <v>64</v>
      </c>
      <c r="T324" s="26" t="s">
        <v>41</v>
      </c>
      <c r="U324" s="26" t="s">
        <v>42</v>
      </c>
      <c r="V324" s="43" t="s">
        <v>10</v>
      </c>
      <c r="W324" s="171">
        <v>0.11</v>
      </c>
      <c r="X324" s="146" t="s">
        <v>53</v>
      </c>
      <c r="Y324" s="146"/>
      <c r="Z324" s="144" t="s">
        <v>13</v>
      </c>
      <c r="AA324" s="172" t="s">
        <v>28</v>
      </c>
      <c r="AB324" s="173"/>
      <c r="AC324" s="174"/>
    </row>
    <row r="325" spans="1:29" x14ac:dyDescent="0.25">
      <c r="A325" s="324">
        <v>45920</v>
      </c>
      <c r="B325" s="144">
        <v>5</v>
      </c>
      <c r="C325" s="145"/>
      <c r="D325" s="144" t="s">
        <v>91</v>
      </c>
      <c r="E325" s="146">
        <v>2.5499999999999998</v>
      </c>
      <c r="F325" s="146"/>
      <c r="G325" s="147">
        <v>2</v>
      </c>
      <c r="H325" s="147">
        <v>1</v>
      </c>
      <c r="I325" s="147"/>
      <c r="J325" s="148">
        <v>1.8</v>
      </c>
      <c r="K325" s="145"/>
      <c r="L325" s="144" t="s">
        <v>227</v>
      </c>
      <c r="M325" s="149" t="s">
        <v>451</v>
      </c>
      <c r="N325" s="150">
        <v>26</v>
      </c>
      <c r="O325" s="61" t="s">
        <v>91</v>
      </c>
      <c r="P325" s="61" t="s">
        <v>443</v>
      </c>
      <c r="Q325" s="61" t="s">
        <v>444</v>
      </c>
      <c r="R325" s="61" t="s">
        <v>717</v>
      </c>
      <c r="S325" s="218">
        <v>73</v>
      </c>
      <c r="T325" s="61" t="s">
        <v>44</v>
      </c>
      <c r="U325" s="61" t="s">
        <v>42</v>
      </c>
      <c r="V325" s="63" t="s">
        <v>10</v>
      </c>
      <c r="W325" s="171">
        <v>0.06</v>
      </c>
      <c r="X325" s="146" t="s">
        <v>53</v>
      </c>
      <c r="Y325" s="146"/>
      <c r="Z325" s="144" t="s">
        <v>16</v>
      </c>
      <c r="AA325" s="172" t="s">
        <v>28</v>
      </c>
      <c r="AB325" s="173"/>
      <c r="AC325" s="174"/>
    </row>
    <row r="326" spans="1:29" x14ac:dyDescent="0.25">
      <c r="A326" s="324">
        <v>45920</v>
      </c>
      <c r="B326" s="144">
        <v>5</v>
      </c>
      <c r="C326" s="145"/>
      <c r="D326" s="144" t="s">
        <v>91</v>
      </c>
      <c r="E326" s="146">
        <v>2.5499999999999998</v>
      </c>
      <c r="F326" s="146"/>
      <c r="G326" s="147">
        <v>2</v>
      </c>
      <c r="H326" s="147">
        <v>1</v>
      </c>
      <c r="I326" s="147"/>
      <c r="J326" s="148">
        <v>1.8</v>
      </c>
      <c r="K326" s="145"/>
      <c r="L326" s="144" t="s">
        <v>227</v>
      </c>
      <c r="M326" s="149" t="s">
        <v>451</v>
      </c>
      <c r="N326" s="150">
        <v>33</v>
      </c>
      <c r="O326" s="61" t="s">
        <v>91</v>
      </c>
      <c r="P326" s="61" t="s">
        <v>445</v>
      </c>
      <c r="Q326" s="61" t="s">
        <v>446</v>
      </c>
      <c r="R326" s="61" t="s">
        <v>686</v>
      </c>
      <c r="S326" s="218">
        <v>68</v>
      </c>
      <c r="T326" s="61" t="s">
        <v>41</v>
      </c>
      <c r="U326" s="61" t="s">
        <v>42</v>
      </c>
      <c r="V326" s="63" t="s">
        <v>10</v>
      </c>
      <c r="W326" s="171">
        <v>0.33</v>
      </c>
      <c r="X326" s="146">
        <v>0.49</v>
      </c>
      <c r="Y326" s="146" t="s">
        <v>353</v>
      </c>
      <c r="Z326" s="144" t="s">
        <v>48</v>
      </c>
      <c r="AA326" s="172" t="s">
        <v>28</v>
      </c>
      <c r="AB326" s="173"/>
      <c r="AC326" s="174"/>
    </row>
    <row r="327" spans="1:29" x14ac:dyDescent="0.25">
      <c r="A327" s="324">
        <v>45920</v>
      </c>
      <c r="B327" s="144">
        <v>5</v>
      </c>
      <c r="C327" s="145"/>
      <c r="D327" s="144" t="s">
        <v>91</v>
      </c>
      <c r="E327" s="146">
        <v>2.5499999999999998</v>
      </c>
      <c r="F327" s="146"/>
      <c r="G327" s="147">
        <v>2</v>
      </c>
      <c r="H327" s="147">
        <v>1</v>
      </c>
      <c r="I327" s="147"/>
      <c r="J327" s="148">
        <v>1.8</v>
      </c>
      <c r="K327" s="145"/>
      <c r="L327" s="144" t="s">
        <v>227</v>
      </c>
      <c r="M327" s="149" t="s">
        <v>451</v>
      </c>
      <c r="N327" s="150">
        <v>35</v>
      </c>
      <c r="O327" s="61" t="s">
        <v>91</v>
      </c>
      <c r="P327" s="61" t="s">
        <v>443</v>
      </c>
      <c r="Q327" s="61" t="s">
        <v>444</v>
      </c>
      <c r="R327" s="61" t="s">
        <v>717</v>
      </c>
      <c r="S327" s="218">
        <v>73</v>
      </c>
      <c r="T327" s="61" t="s">
        <v>41</v>
      </c>
      <c r="U327" s="61" t="s">
        <v>43</v>
      </c>
      <c r="V327" s="63" t="s">
        <v>33</v>
      </c>
      <c r="W327" s="171">
        <v>0.23</v>
      </c>
      <c r="X327" s="146">
        <v>0.83</v>
      </c>
      <c r="Y327" s="146" t="s">
        <v>353</v>
      </c>
      <c r="Z327" s="144" t="s">
        <v>48</v>
      </c>
      <c r="AA327" s="172" t="s">
        <v>28</v>
      </c>
      <c r="AB327" s="173"/>
      <c r="AC327" s="174"/>
    </row>
    <row r="328" spans="1:29" x14ac:dyDescent="0.25">
      <c r="A328" s="324">
        <v>45920</v>
      </c>
      <c r="B328" s="144">
        <v>5</v>
      </c>
      <c r="C328" s="145"/>
      <c r="D328" s="144" t="s">
        <v>91</v>
      </c>
      <c r="E328" s="146">
        <v>2.5499999999999998</v>
      </c>
      <c r="F328" s="146"/>
      <c r="G328" s="147">
        <v>2</v>
      </c>
      <c r="H328" s="147">
        <v>1</v>
      </c>
      <c r="I328" s="147"/>
      <c r="J328" s="148">
        <v>1.8</v>
      </c>
      <c r="K328" s="145"/>
      <c r="L328" s="144" t="s">
        <v>227</v>
      </c>
      <c r="M328" s="149" t="s">
        <v>451</v>
      </c>
      <c r="N328" s="150" t="s">
        <v>123</v>
      </c>
      <c r="O328" s="26" t="s">
        <v>227</v>
      </c>
      <c r="P328" s="26" t="s">
        <v>238</v>
      </c>
      <c r="Q328" s="26" t="s">
        <v>239</v>
      </c>
      <c r="R328" s="26" t="s">
        <v>684</v>
      </c>
      <c r="S328" s="213">
        <v>71</v>
      </c>
      <c r="T328" s="26" t="s">
        <v>41</v>
      </c>
      <c r="U328" s="26" t="s">
        <v>43</v>
      </c>
      <c r="V328" s="43" t="s">
        <v>7</v>
      </c>
      <c r="W328" s="171">
        <v>0.79</v>
      </c>
      <c r="X328" s="146">
        <v>0.81</v>
      </c>
      <c r="Y328" s="146" t="s">
        <v>353</v>
      </c>
      <c r="Z328" s="144" t="s">
        <v>8</v>
      </c>
      <c r="AA328" s="172" t="s">
        <v>9</v>
      </c>
      <c r="AB328" s="173"/>
      <c r="AC328" s="174"/>
    </row>
    <row r="329" spans="1:29" x14ac:dyDescent="0.25">
      <c r="A329" s="324">
        <v>45920</v>
      </c>
      <c r="B329" s="144">
        <v>5</v>
      </c>
      <c r="C329" s="145"/>
      <c r="D329" s="144" t="s">
        <v>91</v>
      </c>
      <c r="E329" s="146">
        <v>2.5499999999999998</v>
      </c>
      <c r="F329" s="146"/>
      <c r="G329" s="147">
        <v>2</v>
      </c>
      <c r="H329" s="147">
        <v>1</v>
      </c>
      <c r="I329" s="147"/>
      <c r="J329" s="148">
        <v>1.8</v>
      </c>
      <c r="K329" s="145"/>
      <c r="L329" s="144" t="s">
        <v>227</v>
      </c>
      <c r="M329" s="149" t="s">
        <v>451</v>
      </c>
      <c r="N329" s="150">
        <v>51</v>
      </c>
      <c r="O329" s="61" t="s">
        <v>91</v>
      </c>
      <c r="P329" s="61" t="s">
        <v>447</v>
      </c>
      <c r="Q329" s="61" t="s">
        <v>179</v>
      </c>
      <c r="R329" s="61" t="s">
        <v>689</v>
      </c>
      <c r="S329" s="218">
        <v>67</v>
      </c>
      <c r="T329" s="61" t="s">
        <v>354</v>
      </c>
      <c r="U329" s="61" t="s">
        <v>42</v>
      </c>
      <c r="V329" s="63" t="s">
        <v>540</v>
      </c>
      <c r="W329" s="171">
        <v>0.02</v>
      </c>
      <c r="X329" s="146">
        <v>0.31</v>
      </c>
      <c r="Y329" s="146"/>
      <c r="Z329" s="144" t="s">
        <v>48</v>
      </c>
      <c r="AA329" s="172" t="s">
        <v>9</v>
      </c>
      <c r="AB329" s="173"/>
      <c r="AC329" s="174"/>
    </row>
    <row r="330" spans="1:29" x14ac:dyDescent="0.25">
      <c r="A330" s="324">
        <v>45920</v>
      </c>
      <c r="B330" s="144">
        <v>5</v>
      </c>
      <c r="C330" s="145"/>
      <c r="D330" s="144" t="s">
        <v>91</v>
      </c>
      <c r="E330" s="146">
        <v>2.5499999999999998</v>
      </c>
      <c r="F330" s="146"/>
      <c r="G330" s="147">
        <v>2</v>
      </c>
      <c r="H330" s="147">
        <v>1</v>
      </c>
      <c r="I330" s="147"/>
      <c r="J330" s="148">
        <v>1.8</v>
      </c>
      <c r="K330" s="145"/>
      <c r="L330" s="144" t="s">
        <v>227</v>
      </c>
      <c r="M330" s="149" t="s">
        <v>451</v>
      </c>
      <c r="N330" s="150">
        <v>55</v>
      </c>
      <c r="O330" s="61" t="s">
        <v>91</v>
      </c>
      <c r="P330" s="61" t="s">
        <v>96</v>
      </c>
      <c r="Q330" s="61" t="s">
        <v>97</v>
      </c>
      <c r="R330" s="61" t="s">
        <v>718</v>
      </c>
      <c r="S330" s="218">
        <v>76</v>
      </c>
      <c r="T330" s="61" t="s">
        <v>41</v>
      </c>
      <c r="U330" s="61" t="s">
        <v>45</v>
      </c>
      <c r="V330" s="63" t="s">
        <v>10</v>
      </c>
      <c r="W330" s="171">
        <v>0.04</v>
      </c>
      <c r="X330" s="146" t="s">
        <v>53</v>
      </c>
      <c r="Y330" s="146"/>
      <c r="Z330" s="144" t="s">
        <v>22</v>
      </c>
      <c r="AA330" s="172" t="s">
        <v>9</v>
      </c>
      <c r="AB330" s="173"/>
      <c r="AC330" s="174"/>
    </row>
    <row r="331" spans="1:29" x14ac:dyDescent="0.25">
      <c r="A331" s="324">
        <v>45920</v>
      </c>
      <c r="B331" s="144">
        <v>5</v>
      </c>
      <c r="C331" s="145"/>
      <c r="D331" s="144" t="s">
        <v>91</v>
      </c>
      <c r="E331" s="146">
        <v>2.5499999999999998</v>
      </c>
      <c r="F331" s="146"/>
      <c r="G331" s="147">
        <v>2</v>
      </c>
      <c r="H331" s="147">
        <v>1</v>
      </c>
      <c r="I331" s="147"/>
      <c r="J331" s="148">
        <v>1.8</v>
      </c>
      <c r="K331" s="145"/>
      <c r="L331" s="144" t="s">
        <v>227</v>
      </c>
      <c r="M331" s="149" t="s">
        <v>451</v>
      </c>
      <c r="N331" s="150">
        <v>61</v>
      </c>
      <c r="O331" s="61" t="s">
        <v>91</v>
      </c>
      <c r="P331" s="61" t="s">
        <v>443</v>
      </c>
      <c r="Q331" s="61" t="s">
        <v>444</v>
      </c>
      <c r="R331" s="61" t="s">
        <v>717</v>
      </c>
      <c r="S331" s="218">
        <v>73</v>
      </c>
      <c r="T331" s="61" t="s">
        <v>41</v>
      </c>
      <c r="U331" s="61" t="s">
        <v>43</v>
      </c>
      <c r="V331" s="63" t="s">
        <v>10</v>
      </c>
      <c r="W331" s="171">
        <v>0.14000000000000001</v>
      </c>
      <c r="X331" s="146" t="s">
        <v>53</v>
      </c>
      <c r="Y331" s="146"/>
      <c r="Z331" s="144" t="s">
        <v>52</v>
      </c>
      <c r="AA331" s="172" t="s">
        <v>9</v>
      </c>
      <c r="AB331" s="173"/>
      <c r="AC331" s="174"/>
    </row>
    <row r="332" spans="1:29" x14ac:dyDescent="0.25">
      <c r="A332" s="324">
        <v>45920</v>
      </c>
      <c r="B332" s="144">
        <v>5</v>
      </c>
      <c r="C332" s="145"/>
      <c r="D332" s="144" t="s">
        <v>91</v>
      </c>
      <c r="E332" s="146">
        <v>2.5499999999999998</v>
      </c>
      <c r="F332" s="146"/>
      <c r="G332" s="147">
        <v>2</v>
      </c>
      <c r="H332" s="147">
        <v>1</v>
      </c>
      <c r="I332" s="147"/>
      <c r="J332" s="148">
        <v>1.8</v>
      </c>
      <c r="K332" s="145"/>
      <c r="L332" s="144" t="s">
        <v>227</v>
      </c>
      <c r="M332" s="149" t="s">
        <v>451</v>
      </c>
      <c r="N332" s="150">
        <v>62</v>
      </c>
      <c r="O332" s="61" t="s">
        <v>91</v>
      </c>
      <c r="P332" s="61" t="s">
        <v>49</v>
      </c>
      <c r="Q332" s="61" t="s">
        <v>50</v>
      </c>
      <c r="R332" s="61" t="s">
        <v>695</v>
      </c>
      <c r="S332" s="218">
        <v>77</v>
      </c>
      <c r="T332" s="61" t="s">
        <v>41</v>
      </c>
      <c r="U332" s="61" t="s">
        <v>45</v>
      </c>
      <c r="V332" s="63" t="s">
        <v>10</v>
      </c>
      <c r="W332" s="171">
        <v>0.12</v>
      </c>
      <c r="X332" s="146" t="s">
        <v>53</v>
      </c>
      <c r="Y332" s="146" t="s">
        <v>353</v>
      </c>
      <c r="Z332" s="144" t="s">
        <v>55</v>
      </c>
      <c r="AA332" s="172" t="s">
        <v>9</v>
      </c>
      <c r="AB332" s="173"/>
      <c r="AC332" s="174"/>
    </row>
    <row r="333" spans="1:29" x14ac:dyDescent="0.25">
      <c r="A333" s="324">
        <v>45920</v>
      </c>
      <c r="B333" s="144">
        <v>5</v>
      </c>
      <c r="C333" s="145"/>
      <c r="D333" s="144" t="s">
        <v>91</v>
      </c>
      <c r="E333" s="146">
        <v>2.5499999999999998</v>
      </c>
      <c r="F333" s="146"/>
      <c r="G333" s="147">
        <v>2</v>
      </c>
      <c r="H333" s="147">
        <v>1</v>
      </c>
      <c r="I333" s="147"/>
      <c r="J333" s="148">
        <v>1.8</v>
      </c>
      <c r="K333" s="145"/>
      <c r="L333" s="144" t="s">
        <v>227</v>
      </c>
      <c r="M333" s="149" t="s">
        <v>451</v>
      </c>
      <c r="N333" s="150">
        <v>69</v>
      </c>
      <c r="O333" s="61" t="s">
        <v>91</v>
      </c>
      <c r="P333" s="61" t="s">
        <v>443</v>
      </c>
      <c r="Q333" s="61" t="s">
        <v>444</v>
      </c>
      <c r="R333" s="61" t="s">
        <v>717</v>
      </c>
      <c r="S333" s="218">
        <v>73</v>
      </c>
      <c r="T333" s="61" t="s">
        <v>41</v>
      </c>
      <c r="U333" s="61" t="s">
        <v>45</v>
      </c>
      <c r="V333" s="63" t="s">
        <v>10</v>
      </c>
      <c r="W333" s="171">
        <v>0.19</v>
      </c>
      <c r="X333" s="146">
        <v>0.68</v>
      </c>
      <c r="Y333" s="146" t="s">
        <v>353</v>
      </c>
      <c r="Z333" s="144" t="s">
        <v>8</v>
      </c>
      <c r="AA333" s="172" t="s">
        <v>51</v>
      </c>
      <c r="AB333" s="173" t="s">
        <v>495</v>
      </c>
      <c r="AC333" s="174" t="s">
        <v>496</v>
      </c>
    </row>
    <row r="334" spans="1:29" x14ac:dyDescent="0.25">
      <c r="A334" s="324">
        <v>45920</v>
      </c>
      <c r="B334" s="144">
        <v>5</v>
      </c>
      <c r="C334" s="145"/>
      <c r="D334" s="144" t="s">
        <v>91</v>
      </c>
      <c r="E334" s="146">
        <v>2.5499999999999998</v>
      </c>
      <c r="F334" s="146"/>
      <c r="G334" s="147">
        <v>2</v>
      </c>
      <c r="H334" s="147">
        <v>1</v>
      </c>
      <c r="I334" s="147"/>
      <c r="J334" s="148">
        <v>1.8</v>
      </c>
      <c r="K334" s="145"/>
      <c r="L334" s="144" t="s">
        <v>227</v>
      </c>
      <c r="M334" s="149" t="s">
        <v>451</v>
      </c>
      <c r="N334" s="150">
        <v>79</v>
      </c>
      <c r="O334" s="61" t="s">
        <v>91</v>
      </c>
      <c r="P334" s="61" t="s">
        <v>443</v>
      </c>
      <c r="Q334" s="61" t="s">
        <v>444</v>
      </c>
      <c r="R334" s="61" t="s">
        <v>717</v>
      </c>
      <c r="S334" s="218">
        <v>73</v>
      </c>
      <c r="T334" s="61" t="s">
        <v>47</v>
      </c>
      <c r="U334" s="61" t="s">
        <v>42</v>
      </c>
      <c r="V334" s="63" t="s">
        <v>10</v>
      </c>
      <c r="W334" s="171">
        <v>0.46</v>
      </c>
      <c r="X334" s="146" t="s">
        <v>53</v>
      </c>
      <c r="Y334" s="146" t="s">
        <v>353</v>
      </c>
      <c r="Z334" s="144" t="s">
        <v>55</v>
      </c>
      <c r="AA334" s="172" t="s">
        <v>51</v>
      </c>
      <c r="AB334" s="173"/>
      <c r="AC334" s="174"/>
    </row>
    <row r="335" spans="1:29" x14ac:dyDescent="0.25">
      <c r="A335" s="324">
        <v>45920</v>
      </c>
      <c r="B335" s="144">
        <v>5</v>
      </c>
      <c r="C335" s="145"/>
      <c r="D335" s="144" t="s">
        <v>91</v>
      </c>
      <c r="E335" s="146">
        <v>2.5499999999999998</v>
      </c>
      <c r="F335" s="146"/>
      <c r="G335" s="147">
        <v>2</v>
      </c>
      <c r="H335" s="147">
        <v>1</v>
      </c>
      <c r="I335" s="147"/>
      <c r="J335" s="148">
        <v>1.8</v>
      </c>
      <c r="K335" s="145"/>
      <c r="L335" s="144" t="s">
        <v>227</v>
      </c>
      <c r="M335" s="149" t="s">
        <v>451</v>
      </c>
      <c r="N335" s="150">
        <v>85</v>
      </c>
      <c r="O335" s="61" t="s">
        <v>91</v>
      </c>
      <c r="P335" s="61" t="s">
        <v>49</v>
      </c>
      <c r="Q335" s="61" t="s">
        <v>50</v>
      </c>
      <c r="R335" s="61" t="s">
        <v>695</v>
      </c>
      <c r="S335" s="218">
        <v>77</v>
      </c>
      <c r="T335" s="61" t="s">
        <v>44</v>
      </c>
      <c r="U335" s="61" t="s">
        <v>541</v>
      </c>
      <c r="V335" s="63" t="s">
        <v>10</v>
      </c>
      <c r="W335" s="171">
        <v>0.02</v>
      </c>
      <c r="X335" s="146">
        <v>0.17</v>
      </c>
      <c r="Y335" s="146"/>
      <c r="Z335" s="144" t="s">
        <v>8</v>
      </c>
      <c r="AA335" s="172" t="s">
        <v>34</v>
      </c>
      <c r="AB335" s="173" t="s">
        <v>448</v>
      </c>
      <c r="AC335" s="174" t="s">
        <v>449</v>
      </c>
    </row>
    <row r="336" spans="1:29" x14ac:dyDescent="0.25">
      <c r="A336" s="324">
        <v>45920</v>
      </c>
      <c r="B336" s="144">
        <v>5</v>
      </c>
      <c r="C336" s="145"/>
      <c r="D336" s="144" t="s">
        <v>91</v>
      </c>
      <c r="E336" s="146">
        <v>2.5499999999999998</v>
      </c>
      <c r="F336" s="146"/>
      <c r="G336" s="147">
        <v>2</v>
      </c>
      <c r="H336" s="147">
        <v>1</v>
      </c>
      <c r="I336" s="147"/>
      <c r="J336" s="148">
        <v>1.8</v>
      </c>
      <c r="K336" s="145"/>
      <c r="L336" s="144" t="s">
        <v>227</v>
      </c>
      <c r="M336" s="149" t="s">
        <v>451</v>
      </c>
      <c r="N336" s="150">
        <v>88</v>
      </c>
      <c r="O336" s="26" t="s">
        <v>227</v>
      </c>
      <c r="P336" s="26" t="s">
        <v>398</v>
      </c>
      <c r="Q336" s="26" t="s">
        <v>399</v>
      </c>
      <c r="R336" s="26" t="s">
        <v>696</v>
      </c>
      <c r="S336" s="213">
        <v>68</v>
      </c>
      <c r="T336" s="26" t="s">
        <v>47</v>
      </c>
      <c r="U336" s="26" t="s">
        <v>42</v>
      </c>
      <c r="V336" s="43" t="s">
        <v>33</v>
      </c>
      <c r="W336" s="171">
        <v>0.32</v>
      </c>
      <c r="X336" s="146">
        <v>0.74</v>
      </c>
      <c r="Y336" s="146" t="s">
        <v>353</v>
      </c>
      <c r="Z336" s="144" t="s">
        <v>48</v>
      </c>
      <c r="AA336" s="172" t="s">
        <v>34</v>
      </c>
      <c r="AB336" s="173"/>
      <c r="AC336" s="174"/>
    </row>
    <row r="337" spans="1:29" x14ac:dyDescent="0.25">
      <c r="A337" s="324">
        <v>45920</v>
      </c>
      <c r="B337" s="144">
        <v>5</v>
      </c>
      <c r="C337" s="145"/>
      <c r="D337" s="144" t="s">
        <v>91</v>
      </c>
      <c r="E337" s="146">
        <v>2.5499999999999998</v>
      </c>
      <c r="F337" s="146"/>
      <c r="G337" s="147">
        <v>2</v>
      </c>
      <c r="H337" s="147">
        <v>1</v>
      </c>
      <c r="I337" s="147"/>
      <c r="J337" s="148">
        <v>1.8</v>
      </c>
      <c r="K337" s="145"/>
      <c r="L337" s="144" t="s">
        <v>227</v>
      </c>
      <c r="M337" s="149" t="s">
        <v>451</v>
      </c>
      <c r="N337" s="150" t="s">
        <v>31</v>
      </c>
      <c r="O337" s="61" t="s">
        <v>91</v>
      </c>
      <c r="P337" s="61" t="s">
        <v>448</v>
      </c>
      <c r="Q337" s="61" t="s">
        <v>449</v>
      </c>
      <c r="R337" s="61" t="s">
        <v>696</v>
      </c>
      <c r="S337" s="218">
        <v>66</v>
      </c>
      <c r="T337" s="61" t="s">
        <v>41</v>
      </c>
      <c r="U337" s="61" t="s">
        <v>43</v>
      </c>
      <c r="V337" s="63" t="s">
        <v>10</v>
      </c>
      <c r="W337" s="171">
        <v>0.37</v>
      </c>
      <c r="X337" s="146">
        <v>0.83</v>
      </c>
      <c r="Y337" s="146" t="s">
        <v>353</v>
      </c>
      <c r="Z337" s="144" t="s">
        <v>48</v>
      </c>
      <c r="AA337" s="172" t="s">
        <v>34</v>
      </c>
      <c r="AB337" s="173"/>
      <c r="AC337" s="174"/>
    </row>
    <row r="338" spans="1:29" x14ac:dyDescent="0.25">
      <c r="A338" s="324">
        <v>45920</v>
      </c>
      <c r="B338" s="144">
        <v>5</v>
      </c>
      <c r="C338" s="145"/>
      <c r="D338" s="144" t="s">
        <v>91</v>
      </c>
      <c r="E338" s="146">
        <v>2.5499999999999998</v>
      </c>
      <c r="F338" s="146"/>
      <c r="G338" s="147">
        <v>2</v>
      </c>
      <c r="H338" s="147">
        <v>1</v>
      </c>
      <c r="I338" s="147"/>
      <c r="J338" s="148">
        <v>1.8</v>
      </c>
      <c r="K338" s="145"/>
      <c r="L338" s="144" t="s">
        <v>227</v>
      </c>
      <c r="M338" s="149" t="s">
        <v>451</v>
      </c>
      <c r="N338" s="150" t="s">
        <v>31</v>
      </c>
      <c r="O338" s="61" t="s">
        <v>91</v>
      </c>
      <c r="P338" s="61" t="s">
        <v>49</v>
      </c>
      <c r="Q338" s="61" t="s">
        <v>50</v>
      </c>
      <c r="R338" s="61" t="s">
        <v>695</v>
      </c>
      <c r="S338" s="218">
        <v>77</v>
      </c>
      <c r="T338" s="61" t="s">
        <v>41</v>
      </c>
      <c r="U338" s="61" t="s">
        <v>42</v>
      </c>
      <c r="V338" s="63" t="s">
        <v>10</v>
      </c>
      <c r="W338" s="171">
        <v>0.04</v>
      </c>
      <c r="X338" s="146" t="s">
        <v>53</v>
      </c>
      <c r="Y338" s="146"/>
      <c r="Z338" s="144" t="s">
        <v>22</v>
      </c>
      <c r="AA338" s="172" t="s">
        <v>34</v>
      </c>
      <c r="AB338" s="173"/>
      <c r="AC338" s="174"/>
    </row>
    <row r="339" spans="1:29" ht="15.75" thickBot="1" x14ac:dyDescent="0.3">
      <c r="A339" s="325">
        <v>45920</v>
      </c>
      <c r="B339" s="152">
        <v>5</v>
      </c>
      <c r="C339" s="153"/>
      <c r="D339" s="152" t="s">
        <v>91</v>
      </c>
      <c r="E339" s="154">
        <v>2.5499999999999998</v>
      </c>
      <c r="F339" s="154"/>
      <c r="G339" s="155">
        <v>2</v>
      </c>
      <c r="H339" s="155">
        <v>1</v>
      </c>
      <c r="I339" s="155"/>
      <c r="J339" s="156">
        <v>1.8</v>
      </c>
      <c r="K339" s="153"/>
      <c r="L339" s="152" t="s">
        <v>227</v>
      </c>
      <c r="M339" s="157" t="s">
        <v>451</v>
      </c>
      <c r="N339" s="158" t="s">
        <v>36</v>
      </c>
      <c r="O339" s="74" t="s">
        <v>227</v>
      </c>
      <c r="P339" s="74" t="s">
        <v>398</v>
      </c>
      <c r="Q339" s="74" t="s">
        <v>399</v>
      </c>
      <c r="R339" s="74" t="s">
        <v>696</v>
      </c>
      <c r="S339" s="221">
        <v>68</v>
      </c>
      <c r="T339" s="74" t="s">
        <v>41</v>
      </c>
      <c r="U339" s="74" t="s">
        <v>42</v>
      </c>
      <c r="V339" s="76" t="s">
        <v>29</v>
      </c>
      <c r="W339" s="175">
        <v>0.14000000000000001</v>
      </c>
      <c r="X339" s="154">
        <v>0.31</v>
      </c>
      <c r="Y339" s="154"/>
      <c r="Z339" s="152" t="s">
        <v>48</v>
      </c>
      <c r="AA339" s="176" t="s">
        <v>34</v>
      </c>
      <c r="AB339" s="177"/>
      <c r="AC339" s="178"/>
    </row>
    <row r="340" spans="1:29" ht="15.75" thickBot="1" x14ac:dyDescent="0.3">
      <c r="A340" s="326">
        <v>45920</v>
      </c>
      <c r="B340" s="207">
        <v>5</v>
      </c>
      <c r="C340" s="208"/>
      <c r="D340" s="207" t="s">
        <v>91</v>
      </c>
      <c r="E340" s="209">
        <v>2.5499999999999998</v>
      </c>
      <c r="F340" s="209"/>
      <c r="G340" s="210">
        <v>2</v>
      </c>
      <c r="H340" s="210">
        <v>1</v>
      </c>
      <c r="I340" s="210"/>
      <c r="J340" s="211">
        <v>1.8</v>
      </c>
      <c r="K340" s="208"/>
      <c r="L340" s="207" t="s">
        <v>227</v>
      </c>
      <c r="M340" s="235"/>
      <c r="N340" s="198"/>
      <c r="O340" s="199" t="s">
        <v>91</v>
      </c>
      <c r="P340" s="199" t="s">
        <v>351</v>
      </c>
      <c r="Q340" s="199" t="s">
        <v>54</v>
      </c>
      <c r="R340" s="199" t="s">
        <v>707</v>
      </c>
      <c r="S340" s="200">
        <v>76</v>
      </c>
      <c r="T340" s="199"/>
      <c r="U340" s="199"/>
      <c r="V340" s="201"/>
      <c r="W340" s="202"/>
      <c r="X340" s="203"/>
      <c r="Y340" s="203">
        <v>1</v>
      </c>
      <c r="Z340" s="199"/>
      <c r="AA340" s="204"/>
      <c r="AB340" s="205"/>
      <c r="AC340" s="201"/>
    </row>
    <row r="341" spans="1:29" ht="15.75" thickBot="1" x14ac:dyDescent="0.3">
      <c r="A341" s="326">
        <v>45920</v>
      </c>
      <c r="B341" s="207">
        <v>5</v>
      </c>
      <c r="C341" s="208"/>
      <c r="D341" s="207" t="s">
        <v>91</v>
      </c>
      <c r="E341" s="209">
        <v>2.5499999999999998</v>
      </c>
      <c r="F341" s="209"/>
      <c r="G341" s="210">
        <v>2</v>
      </c>
      <c r="H341" s="210">
        <v>1</v>
      </c>
      <c r="I341" s="210"/>
      <c r="J341" s="211">
        <v>1.8</v>
      </c>
      <c r="K341" s="208"/>
      <c r="L341" s="207" t="s">
        <v>227</v>
      </c>
      <c r="M341" s="235"/>
      <c r="N341" s="198"/>
      <c r="O341" s="199" t="s">
        <v>227</v>
      </c>
      <c r="P341" s="199" t="s">
        <v>298</v>
      </c>
      <c r="Q341" s="199" t="s">
        <v>86</v>
      </c>
      <c r="R341" s="199" t="s">
        <v>707</v>
      </c>
      <c r="S341" s="200">
        <v>87</v>
      </c>
      <c r="T341" s="199"/>
      <c r="U341" s="199"/>
      <c r="V341" s="201"/>
      <c r="W341" s="202"/>
      <c r="X341" s="203"/>
      <c r="Y341" s="203">
        <v>2</v>
      </c>
      <c r="Z341" s="199"/>
      <c r="AA341" s="204"/>
      <c r="AB341" s="205"/>
      <c r="AC341" s="201"/>
    </row>
    <row r="342" spans="1:29" x14ac:dyDescent="0.25">
      <c r="A342" s="323">
        <v>45927</v>
      </c>
      <c r="B342" s="136">
        <v>7</v>
      </c>
      <c r="C342" s="137" t="s">
        <v>694</v>
      </c>
      <c r="D342" s="136" t="s">
        <v>91</v>
      </c>
      <c r="E342" s="138">
        <v>1.22</v>
      </c>
      <c r="F342" s="138"/>
      <c r="G342" s="139">
        <v>1</v>
      </c>
      <c r="H342" s="139">
        <v>0</v>
      </c>
      <c r="I342" s="139"/>
      <c r="J342" s="140">
        <v>1.44</v>
      </c>
      <c r="K342" s="137" t="s">
        <v>693</v>
      </c>
      <c r="L342" s="136" t="s">
        <v>170</v>
      </c>
      <c r="M342" s="141"/>
      <c r="N342" s="142">
        <v>3</v>
      </c>
      <c r="O342" s="64" t="s">
        <v>91</v>
      </c>
      <c r="P342" s="64" t="s">
        <v>493</v>
      </c>
      <c r="Q342" s="64" t="s">
        <v>494</v>
      </c>
      <c r="R342" s="64" t="s">
        <v>689</v>
      </c>
      <c r="S342" s="217">
        <v>77</v>
      </c>
      <c r="T342" s="64" t="s">
        <v>354</v>
      </c>
      <c r="U342" s="64" t="s">
        <v>42</v>
      </c>
      <c r="V342" s="65" t="s">
        <v>540</v>
      </c>
      <c r="W342" s="167">
        <v>0.01</v>
      </c>
      <c r="X342" s="138" t="s">
        <v>53</v>
      </c>
      <c r="Y342" s="138"/>
      <c r="Z342" s="136" t="s">
        <v>22</v>
      </c>
      <c r="AA342" s="168" t="s">
        <v>28</v>
      </c>
      <c r="AB342" s="169"/>
      <c r="AC342" s="170"/>
    </row>
    <row r="343" spans="1:29" x14ac:dyDescent="0.25">
      <c r="A343" s="324">
        <v>45927</v>
      </c>
      <c r="B343" s="144">
        <v>7</v>
      </c>
      <c r="C343" s="145"/>
      <c r="D343" s="144" t="s">
        <v>91</v>
      </c>
      <c r="E343" s="146">
        <v>1.22</v>
      </c>
      <c r="F343" s="146"/>
      <c r="G343" s="147">
        <v>1</v>
      </c>
      <c r="H343" s="147">
        <v>0</v>
      </c>
      <c r="I343" s="147"/>
      <c r="J343" s="148">
        <v>1.44</v>
      </c>
      <c r="K343" s="145"/>
      <c r="L343" s="144" t="s">
        <v>170</v>
      </c>
      <c r="M343" s="149"/>
      <c r="N343" s="150">
        <v>5</v>
      </c>
      <c r="O343" s="61" t="s">
        <v>91</v>
      </c>
      <c r="P343" s="61" t="s">
        <v>96</v>
      </c>
      <c r="Q343" s="61" t="s">
        <v>97</v>
      </c>
      <c r="R343" s="61" t="s">
        <v>718</v>
      </c>
      <c r="S343" s="218">
        <v>77</v>
      </c>
      <c r="T343" s="61" t="s">
        <v>41</v>
      </c>
      <c r="U343" s="61" t="s">
        <v>43</v>
      </c>
      <c r="V343" s="63" t="s">
        <v>20</v>
      </c>
      <c r="W343" s="171">
        <v>0.05</v>
      </c>
      <c r="X343" s="146" t="s">
        <v>53</v>
      </c>
      <c r="Y343" s="146"/>
      <c r="Z343" s="144" t="s">
        <v>17</v>
      </c>
      <c r="AA343" s="172" t="s">
        <v>28</v>
      </c>
      <c r="AB343" s="173"/>
      <c r="AC343" s="174"/>
    </row>
    <row r="344" spans="1:29" x14ac:dyDescent="0.25">
      <c r="A344" s="324">
        <v>45927</v>
      </c>
      <c r="B344" s="144">
        <v>7</v>
      </c>
      <c r="C344" s="145"/>
      <c r="D344" s="144" t="s">
        <v>91</v>
      </c>
      <c r="E344" s="146">
        <v>1.22</v>
      </c>
      <c r="F344" s="146"/>
      <c r="G344" s="147">
        <v>1</v>
      </c>
      <c r="H344" s="147">
        <v>0</v>
      </c>
      <c r="I344" s="147"/>
      <c r="J344" s="148">
        <v>1.44</v>
      </c>
      <c r="K344" s="145"/>
      <c r="L344" s="144" t="s">
        <v>170</v>
      </c>
      <c r="M344" s="149"/>
      <c r="N344" s="150">
        <v>17</v>
      </c>
      <c r="O344" s="26" t="s">
        <v>170</v>
      </c>
      <c r="P344" s="26" t="s">
        <v>296</v>
      </c>
      <c r="Q344" s="26" t="s">
        <v>297</v>
      </c>
      <c r="R344" s="26" t="s">
        <v>699</v>
      </c>
      <c r="S344" s="213">
        <v>62</v>
      </c>
      <c r="T344" s="26" t="s">
        <v>41</v>
      </c>
      <c r="U344" s="26" t="s">
        <v>42</v>
      </c>
      <c r="V344" s="43" t="s">
        <v>33</v>
      </c>
      <c r="W344" s="171">
        <v>0.45</v>
      </c>
      <c r="X344" s="146">
        <v>0.37</v>
      </c>
      <c r="Y344" s="146" t="s">
        <v>353</v>
      </c>
      <c r="Z344" s="144" t="s">
        <v>48</v>
      </c>
      <c r="AA344" s="172" t="s">
        <v>28</v>
      </c>
      <c r="AB344" s="173"/>
      <c r="AC344" s="174"/>
    </row>
    <row r="345" spans="1:29" x14ac:dyDescent="0.25">
      <c r="A345" s="324">
        <v>45927</v>
      </c>
      <c r="B345" s="144">
        <v>7</v>
      </c>
      <c r="C345" s="145"/>
      <c r="D345" s="144" t="s">
        <v>91</v>
      </c>
      <c r="E345" s="146">
        <v>1.22</v>
      </c>
      <c r="F345" s="146"/>
      <c r="G345" s="147">
        <v>1</v>
      </c>
      <c r="H345" s="147">
        <v>0</v>
      </c>
      <c r="I345" s="147"/>
      <c r="J345" s="148">
        <v>1.44</v>
      </c>
      <c r="K345" s="145"/>
      <c r="L345" s="144" t="s">
        <v>170</v>
      </c>
      <c r="M345" s="149"/>
      <c r="N345" s="150">
        <v>17</v>
      </c>
      <c r="O345" s="26" t="s">
        <v>170</v>
      </c>
      <c r="P345" s="26" t="s">
        <v>296</v>
      </c>
      <c r="Q345" s="26" t="s">
        <v>297</v>
      </c>
      <c r="R345" s="26" t="s">
        <v>699</v>
      </c>
      <c r="S345" s="213">
        <v>62</v>
      </c>
      <c r="T345" s="26" t="s">
        <v>41</v>
      </c>
      <c r="U345" s="26" t="s">
        <v>42</v>
      </c>
      <c r="V345" s="43" t="s">
        <v>33</v>
      </c>
      <c r="W345" s="171">
        <v>0.12</v>
      </c>
      <c r="X345" s="146" t="s">
        <v>53</v>
      </c>
      <c r="Y345" s="146"/>
      <c r="Z345" s="144" t="s">
        <v>52</v>
      </c>
      <c r="AA345" s="172" t="s">
        <v>28</v>
      </c>
      <c r="AB345" s="173"/>
      <c r="AC345" s="174"/>
    </row>
    <row r="346" spans="1:29" x14ac:dyDescent="0.25">
      <c r="A346" s="324">
        <v>45927</v>
      </c>
      <c r="B346" s="144">
        <v>7</v>
      </c>
      <c r="C346" s="145"/>
      <c r="D346" s="144" t="s">
        <v>91</v>
      </c>
      <c r="E346" s="146">
        <v>1.22</v>
      </c>
      <c r="F346" s="146"/>
      <c r="G346" s="147">
        <v>1</v>
      </c>
      <c r="H346" s="147">
        <v>0</v>
      </c>
      <c r="I346" s="147"/>
      <c r="J346" s="148">
        <v>1.44</v>
      </c>
      <c r="K346" s="145"/>
      <c r="L346" s="144" t="s">
        <v>170</v>
      </c>
      <c r="M346" s="149"/>
      <c r="N346" s="150">
        <v>17</v>
      </c>
      <c r="O346" s="26" t="s">
        <v>170</v>
      </c>
      <c r="P346" s="26" t="s">
        <v>374</v>
      </c>
      <c r="Q346" s="26" t="s">
        <v>521</v>
      </c>
      <c r="R346" s="26" t="s">
        <v>713</v>
      </c>
      <c r="S346" s="213">
        <v>69</v>
      </c>
      <c r="T346" s="26" t="s">
        <v>41</v>
      </c>
      <c r="U346" s="26" t="s">
        <v>42</v>
      </c>
      <c r="V346" s="43" t="s">
        <v>33</v>
      </c>
      <c r="W346" s="171">
        <v>0.14000000000000001</v>
      </c>
      <c r="X346" s="146" t="s">
        <v>53</v>
      </c>
      <c r="Y346" s="146"/>
      <c r="Z346" s="144" t="s">
        <v>13</v>
      </c>
      <c r="AA346" s="172" t="s">
        <v>28</v>
      </c>
      <c r="AB346" s="173"/>
      <c r="AC346" s="174"/>
    </row>
    <row r="347" spans="1:29" x14ac:dyDescent="0.25">
      <c r="A347" s="324">
        <v>45927</v>
      </c>
      <c r="B347" s="144">
        <v>7</v>
      </c>
      <c r="C347" s="145"/>
      <c r="D347" s="144" t="s">
        <v>91</v>
      </c>
      <c r="E347" s="146">
        <v>1.22</v>
      </c>
      <c r="F347" s="146"/>
      <c r="G347" s="147">
        <v>1</v>
      </c>
      <c r="H347" s="147">
        <v>0</v>
      </c>
      <c r="I347" s="147"/>
      <c r="J347" s="148">
        <v>1.44</v>
      </c>
      <c r="K347" s="145"/>
      <c r="L347" s="144" t="s">
        <v>170</v>
      </c>
      <c r="M347" s="149"/>
      <c r="N347" s="150">
        <v>17</v>
      </c>
      <c r="O347" s="26" t="s">
        <v>170</v>
      </c>
      <c r="P347" s="26" t="s">
        <v>379</v>
      </c>
      <c r="Q347" s="26" t="s">
        <v>380</v>
      </c>
      <c r="R347" s="26" t="s">
        <v>684</v>
      </c>
      <c r="S347" s="213">
        <v>64</v>
      </c>
      <c r="T347" s="26" t="s">
        <v>41</v>
      </c>
      <c r="U347" s="26" t="s">
        <v>43</v>
      </c>
      <c r="V347" s="43" t="s">
        <v>33</v>
      </c>
      <c r="W347" s="171">
        <v>0.09</v>
      </c>
      <c r="X347" s="146">
        <v>0.22</v>
      </c>
      <c r="Y347" s="146"/>
      <c r="Z347" s="144" t="s">
        <v>48</v>
      </c>
      <c r="AA347" s="172" t="s">
        <v>28</v>
      </c>
      <c r="AB347" s="173"/>
      <c r="AC347" s="174"/>
    </row>
    <row r="348" spans="1:29" x14ac:dyDescent="0.25">
      <c r="A348" s="324">
        <v>45927</v>
      </c>
      <c r="B348" s="144">
        <v>7</v>
      </c>
      <c r="C348" s="145"/>
      <c r="D348" s="144" t="s">
        <v>91</v>
      </c>
      <c r="E348" s="146">
        <v>1.22</v>
      </c>
      <c r="F348" s="146"/>
      <c r="G348" s="147">
        <v>1</v>
      </c>
      <c r="H348" s="147">
        <v>0</v>
      </c>
      <c r="I348" s="147"/>
      <c r="J348" s="148">
        <v>1.44</v>
      </c>
      <c r="K348" s="145"/>
      <c r="L348" s="144" t="s">
        <v>170</v>
      </c>
      <c r="M348" s="149"/>
      <c r="N348" s="150">
        <v>18</v>
      </c>
      <c r="O348" s="61" t="s">
        <v>91</v>
      </c>
      <c r="P348" s="61" t="s">
        <v>96</v>
      </c>
      <c r="Q348" s="61" t="s">
        <v>97</v>
      </c>
      <c r="R348" s="61" t="s">
        <v>718</v>
      </c>
      <c r="S348" s="218">
        <v>77</v>
      </c>
      <c r="T348" s="61" t="s">
        <v>47</v>
      </c>
      <c r="U348" s="61" t="s">
        <v>43</v>
      </c>
      <c r="V348" s="63" t="s">
        <v>10</v>
      </c>
      <c r="W348" s="171">
        <v>0.36</v>
      </c>
      <c r="X348" s="146">
        <v>0.27</v>
      </c>
      <c r="Y348" s="146" t="s">
        <v>353</v>
      </c>
      <c r="Z348" s="144" t="s">
        <v>48</v>
      </c>
      <c r="AA348" s="172" t="s">
        <v>28</v>
      </c>
      <c r="AB348" s="173"/>
      <c r="AC348" s="174"/>
    </row>
    <row r="349" spans="1:29" x14ac:dyDescent="0.25">
      <c r="A349" s="324">
        <v>45927</v>
      </c>
      <c r="B349" s="144">
        <v>7</v>
      </c>
      <c r="C349" s="145"/>
      <c r="D349" s="144" t="s">
        <v>91</v>
      </c>
      <c r="E349" s="146">
        <v>1.22</v>
      </c>
      <c r="F349" s="146"/>
      <c r="G349" s="147">
        <v>1</v>
      </c>
      <c r="H349" s="147">
        <v>0</v>
      </c>
      <c r="I349" s="147"/>
      <c r="J349" s="148">
        <v>1.44</v>
      </c>
      <c r="K349" s="145"/>
      <c r="L349" s="144" t="s">
        <v>170</v>
      </c>
      <c r="M349" s="149"/>
      <c r="N349" s="150">
        <v>27</v>
      </c>
      <c r="O349" s="26" t="s">
        <v>170</v>
      </c>
      <c r="P349" s="26" t="s">
        <v>379</v>
      </c>
      <c r="Q349" s="26" t="s">
        <v>380</v>
      </c>
      <c r="R349" s="26" t="s">
        <v>684</v>
      </c>
      <c r="S349" s="213">
        <v>64</v>
      </c>
      <c r="T349" s="26" t="s">
        <v>41</v>
      </c>
      <c r="U349" s="26" t="s">
        <v>42</v>
      </c>
      <c r="V349" s="43" t="s">
        <v>10</v>
      </c>
      <c r="W349" s="171">
        <v>0.15</v>
      </c>
      <c r="X349" s="146">
        <v>0.12</v>
      </c>
      <c r="Y349" s="146"/>
      <c r="Z349" s="144" t="s">
        <v>48</v>
      </c>
      <c r="AA349" s="172" t="s">
        <v>28</v>
      </c>
      <c r="AB349" s="173"/>
      <c r="AC349" s="174"/>
    </row>
    <row r="350" spans="1:29" x14ac:dyDescent="0.25">
      <c r="A350" s="324">
        <v>45927</v>
      </c>
      <c r="B350" s="144">
        <v>7</v>
      </c>
      <c r="C350" s="145"/>
      <c r="D350" s="144" t="s">
        <v>91</v>
      </c>
      <c r="E350" s="146">
        <v>1.22</v>
      </c>
      <c r="F350" s="146"/>
      <c r="G350" s="147">
        <v>1</v>
      </c>
      <c r="H350" s="147">
        <v>0</v>
      </c>
      <c r="I350" s="147"/>
      <c r="J350" s="148">
        <v>1.44</v>
      </c>
      <c r="K350" s="145"/>
      <c r="L350" s="144" t="s">
        <v>170</v>
      </c>
      <c r="M350" s="149"/>
      <c r="N350" s="150">
        <v>28</v>
      </c>
      <c r="O350" s="61" t="s">
        <v>91</v>
      </c>
      <c r="P350" s="61" t="s">
        <v>443</v>
      </c>
      <c r="Q350" s="61" t="s">
        <v>444</v>
      </c>
      <c r="R350" s="61" t="s">
        <v>717</v>
      </c>
      <c r="S350" s="218">
        <v>62</v>
      </c>
      <c r="T350" s="61" t="s">
        <v>47</v>
      </c>
      <c r="U350" s="61" t="s">
        <v>42</v>
      </c>
      <c r="V350" s="63" t="s">
        <v>10</v>
      </c>
      <c r="W350" s="171">
        <v>0.18</v>
      </c>
      <c r="X350" s="146">
        <v>0.56000000000000005</v>
      </c>
      <c r="Y350" s="146" t="s">
        <v>353</v>
      </c>
      <c r="Z350" s="144" t="s">
        <v>48</v>
      </c>
      <c r="AA350" s="172" t="s">
        <v>28</v>
      </c>
      <c r="AB350" s="173"/>
      <c r="AC350" s="174"/>
    </row>
    <row r="351" spans="1:29" x14ac:dyDescent="0.25">
      <c r="A351" s="324">
        <v>45927</v>
      </c>
      <c r="B351" s="144">
        <v>7</v>
      </c>
      <c r="C351" s="145"/>
      <c r="D351" s="144" t="s">
        <v>91</v>
      </c>
      <c r="E351" s="146">
        <v>1.22</v>
      </c>
      <c r="F351" s="146"/>
      <c r="G351" s="147">
        <v>1</v>
      </c>
      <c r="H351" s="147">
        <v>0</v>
      </c>
      <c r="I351" s="147"/>
      <c r="J351" s="148">
        <v>1.44</v>
      </c>
      <c r="K351" s="145"/>
      <c r="L351" s="144" t="s">
        <v>170</v>
      </c>
      <c r="M351" s="149"/>
      <c r="N351" s="150">
        <v>56</v>
      </c>
      <c r="O351" s="61" t="s">
        <v>91</v>
      </c>
      <c r="P351" s="61" t="s">
        <v>96</v>
      </c>
      <c r="Q351" s="61" t="s">
        <v>97</v>
      </c>
      <c r="R351" s="61" t="s">
        <v>718</v>
      </c>
      <c r="S351" s="218">
        <v>77</v>
      </c>
      <c r="T351" s="61" t="s">
        <v>41</v>
      </c>
      <c r="U351" s="61" t="s">
        <v>43</v>
      </c>
      <c r="V351" s="63" t="s">
        <v>10</v>
      </c>
      <c r="W351" s="171">
        <v>0.11</v>
      </c>
      <c r="X351" s="146" t="s">
        <v>53</v>
      </c>
      <c r="Y351" s="146" t="s">
        <v>353</v>
      </c>
      <c r="Z351" s="144" t="s">
        <v>13</v>
      </c>
      <c r="AA351" s="172" t="s">
        <v>28</v>
      </c>
      <c r="AB351" s="173"/>
      <c r="AC351" s="174"/>
    </row>
    <row r="352" spans="1:29" x14ac:dyDescent="0.25">
      <c r="A352" s="324">
        <v>45927</v>
      </c>
      <c r="B352" s="144">
        <v>7</v>
      </c>
      <c r="C352" s="145"/>
      <c r="D352" s="144" t="s">
        <v>91</v>
      </c>
      <c r="E352" s="146">
        <v>1.22</v>
      </c>
      <c r="F352" s="146"/>
      <c r="G352" s="147">
        <v>1</v>
      </c>
      <c r="H352" s="147">
        <v>0</v>
      </c>
      <c r="I352" s="147"/>
      <c r="J352" s="148">
        <v>1.44</v>
      </c>
      <c r="K352" s="145"/>
      <c r="L352" s="144" t="s">
        <v>170</v>
      </c>
      <c r="M352" s="149"/>
      <c r="N352" s="150">
        <v>58</v>
      </c>
      <c r="O352" s="61" t="s">
        <v>91</v>
      </c>
      <c r="P352" s="61" t="s">
        <v>61</v>
      </c>
      <c r="Q352" s="61" t="s">
        <v>284</v>
      </c>
      <c r="R352" s="61" t="s">
        <v>713</v>
      </c>
      <c r="S352" s="218">
        <v>80</v>
      </c>
      <c r="T352" s="61" t="s">
        <v>41</v>
      </c>
      <c r="U352" s="61" t="s">
        <v>42</v>
      </c>
      <c r="V352" s="63" t="s">
        <v>33</v>
      </c>
      <c r="W352" s="171">
        <v>0.04</v>
      </c>
      <c r="X352" s="146" t="s">
        <v>53</v>
      </c>
      <c r="Y352" s="146"/>
      <c r="Z352" s="144" t="s">
        <v>22</v>
      </c>
      <c r="AA352" s="172" t="s">
        <v>28</v>
      </c>
      <c r="AB352" s="173"/>
      <c r="AC352" s="174"/>
    </row>
    <row r="353" spans="1:29" x14ac:dyDescent="0.25">
      <c r="A353" s="324">
        <v>45927</v>
      </c>
      <c r="B353" s="144">
        <v>7</v>
      </c>
      <c r="C353" s="145"/>
      <c r="D353" s="144" t="s">
        <v>91</v>
      </c>
      <c r="E353" s="146">
        <v>1.22</v>
      </c>
      <c r="F353" s="146"/>
      <c r="G353" s="147">
        <v>1</v>
      </c>
      <c r="H353" s="147">
        <v>0</v>
      </c>
      <c r="I353" s="147"/>
      <c r="J353" s="148">
        <v>1.44</v>
      </c>
      <c r="K353" s="145"/>
      <c r="L353" s="144" t="s">
        <v>170</v>
      </c>
      <c r="M353" s="149"/>
      <c r="N353" s="150">
        <v>60</v>
      </c>
      <c r="O353" s="26" t="s">
        <v>170</v>
      </c>
      <c r="P353" s="26" t="s">
        <v>296</v>
      </c>
      <c r="Q353" s="26" t="s">
        <v>297</v>
      </c>
      <c r="R353" s="26" t="s">
        <v>699</v>
      </c>
      <c r="S353" s="213">
        <v>62</v>
      </c>
      <c r="T353" s="26" t="s">
        <v>47</v>
      </c>
      <c r="U353" s="26" t="s">
        <v>42</v>
      </c>
      <c r="V353" s="43" t="s">
        <v>10</v>
      </c>
      <c r="W353" s="171">
        <v>0.2</v>
      </c>
      <c r="X353" s="146" t="s">
        <v>53</v>
      </c>
      <c r="Y353" s="146" t="s">
        <v>353</v>
      </c>
      <c r="Z353" s="144" t="s">
        <v>13</v>
      </c>
      <c r="AA353" s="172" t="s">
        <v>28</v>
      </c>
      <c r="AB353" s="173"/>
      <c r="AC353" s="174"/>
    </row>
    <row r="354" spans="1:29" x14ac:dyDescent="0.25">
      <c r="A354" s="324">
        <v>45927</v>
      </c>
      <c r="B354" s="144">
        <v>7</v>
      </c>
      <c r="C354" s="145"/>
      <c r="D354" s="144" t="s">
        <v>91</v>
      </c>
      <c r="E354" s="146">
        <v>1.22</v>
      </c>
      <c r="F354" s="146"/>
      <c r="G354" s="147">
        <v>1</v>
      </c>
      <c r="H354" s="147">
        <v>0</v>
      </c>
      <c r="I354" s="147"/>
      <c r="J354" s="148">
        <v>1.44</v>
      </c>
      <c r="K354" s="145"/>
      <c r="L354" s="144" t="s">
        <v>170</v>
      </c>
      <c r="M354" s="149"/>
      <c r="N354" s="150">
        <v>77</v>
      </c>
      <c r="O354" s="61" t="s">
        <v>91</v>
      </c>
      <c r="P354" s="61" t="s">
        <v>332</v>
      </c>
      <c r="Q354" s="61" t="s">
        <v>333</v>
      </c>
      <c r="R354" s="61" t="s">
        <v>696</v>
      </c>
      <c r="S354" s="218">
        <v>80</v>
      </c>
      <c r="T354" s="61" t="s">
        <v>41</v>
      </c>
      <c r="U354" s="61" t="s">
        <v>42</v>
      </c>
      <c r="V354" s="63" t="s">
        <v>540</v>
      </c>
      <c r="W354" s="171">
        <v>0.14000000000000001</v>
      </c>
      <c r="X354" s="146">
        <v>0.67</v>
      </c>
      <c r="Y354" s="146"/>
      <c r="Z354" s="144" t="s">
        <v>8</v>
      </c>
      <c r="AA354" s="172" t="s">
        <v>19</v>
      </c>
      <c r="AB354" s="173"/>
      <c r="AC354" s="174"/>
    </row>
    <row r="355" spans="1:29" x14ac:dyDescent="0.25">
      <c r="A355" s="324">
        <v>45927</v>
      </c>
      <c r="B355" s="144">
        <v>7</v>
      </c>
      <c r="C355" s="145"/>
      <c r="D355" s="144" t="s">
        <v>91</v>
      </c>
      <c r="E355" s="146">
        <v>1.22</v>
      </c>
      <c r="F355" s="146"/>
      <c r="G355" s="147">
        <v>1</v>
      </c>
      <c r="H355" s="147">
        <v>0</v>
      </c>
      <c r="I355" s="147"/>
      <c r="J355" s="148">
        <v>1.44</v>
      </c>
      <c r="K355" s="145"/>
      <c r="L355" s="144" t="s">
        <v>170</v>
      </c>
      <c r="M355" s="149"/>
      <c r="N355" s="150">
        <v>83</v>
      </c>
      <c r="O355" s="26" t="s">
        <v>170</v>
      </c>
      <c r="P355" s="26" t="s">
        <v>522</v>
      </c>
      <c r="Q355" s="26" t="s">
        <v>523</v>
      </c>
      <c r="R355" s="26" t="s">
        <v>696</v>
      </c>
      <c r="S355" s="213">
        <v>65</v>
      </c>
      <c r="T355" s="26" t="s">
        <v>354</v>
      </c>
      <c r="U355" s="26" t="s">
        <v>42</v>
      </c>
      <c r="V355" s="43" t="s">
        <v>540</v>
      </c>
      <c r="W355" s="171">
        <v>0.02</v>
      </c>
      <c r="X355" s="146" t="s">
        <v>53</v>
      </c>
      <c r="Y355" s="146"/>
      <c r="Z355" s="144" t="s">
        <v>17</v>
      </c>
      <c r="AA355" s="172" t="s">
        <v>19</v>
      </c>
      <c r="AB355" s="173"/>
      <c r="AC355" s="174"/>
    </row>
    <row r="356" spans="1:29" ht="15.75" thickBot="1" x14ac:dyDescent="0.3">
      <c r="A356" s="325">
        <v>45927</v>
      </c>
      <c r="B356" s="152">
        <v>7</v>
      </c>
      <c r="C356" s="153"/>
      <c r="D356" s="152" t="s">
        <v>91</v>
      </c>
      <c r="E356" s="154">
        <v>1.22</v>
      </c>
      <c r="F356" s="154"/>
      <c r="G356" s="155">
        <v>1</v>
      </c>
      <c r="H356" s="155">
        <v>0</v>
      </c>
      <c r="I356" s="155"/>
      <c r="J356" s="156">
        <v>1.44</v>
      </c>
      <c r="K356" s="153"/>
      <c r="L356" s="152" t="s">
        <v>170</v>
      </c>
      <c r="M356" s="157"/>
      <c r="N356" s="158">
        <v>88</v>
      </c>
      <c r="O356" s="66" t="s">
        <v>91</v>
      </c>
      <c r="P356" s="66" t="s">
        <v>96</v>
      </c>
      <c r="Q356" s="66" t="s">
        <v>97</v>
      </c>
      <c r="R356" s="66" t="s">
        <v>718</v>
      </c>
      <c r="S356" s="219">
        <v>77</v>
      </c>
      <c r="T356" s="66" t="s">
        <v>41</v>
      </c>
      <c r="U356" s="66" t="s">
        <v>43</v>
      </c>
      <c r="V356" s="67" t="s">
        <v>18</v>
      </c>
      <c r="W356" s="175">
        <v>0.14000000000000001</v>
      </c>
      <c r="X356" s="154" t="s">
        <v>53</v>
      </c>
      <c r="Y356" s="154"/>
      <c r="Z356" s="152" t="s">
        <v>52</v>
      </c>
      <c r="AA356" s="176" t="s">
        <v>19</v>
      </c>
      <c r="AB356" s="177"/>
      <c r="AC356" s="178"/>
    </row>
    <row r="357" spans="1:29" ht="15.75" thickBot="1" x14ac:dyDescent="0.3">
      <c r="A357" s="326">
        <v>45927</v>
      </c>
      <c r="B357" s="207">
        <v>7</v>
      </c>
      <c r="C357" s="208"/>
      <c r="D357" s="207" t="s">
        <v>91</v>
      </c>
      <c r="E357" s="209">
        <v>1.22</v>
      </c>
      <c r="F357" s="209"/>
      <c r="G357" s="210">
        <v>1</v>
      </c>
      <c r="H357" s="210">
        <v>0</v>
      </c>
      <c r="I357" s="210"/>
      <c r="J357" s="211">
        <v>1.44</v>
      </c>
      <c r="K357" s="208"/>
      <c r="L357" s="207" t="s">
        <v>170</v>
      </c>
      <c r="M357" s="235"/>
      <c r="N357" s="198"/>
      <c r="O357" s="199" t="s">
        <v>91</v>
      </c>
      <c r="P357" s="199" t="s">
        <v>351</v>
      </c>
      <c r="Q357" s="199" t="s">
        <v>54</v>
      </c>
      <c r="R357" s="199" t="s">
        <v>707</v>
      </c>
      <c r="S357" s="200">
        <v>76</v>
      </c>
      <c r="T357" s="199"/>
      <c r="U357" s="199"/>
      <c r="V357" s="201"/>
      <c r="W357" s="202"/>
      <c r="X357" s="203"/>
      <c r="Y357" s="203">
        <v>0</v>
      </c>
      <c r="Z357" s="199"/>
      <c r="AA357" s="204"/>
      <c r="AB357" s="205"/>
      <c r="AC357" s="201"/>
    </row>
    <row r="358" spans="1:29" ht="15.75" thickBot="1" x14ac:dyDescent="0.3">
      <c r="A358" s="326">
        <v>45927</v>
      </c>
      <c r="B358" s="207">
        <v>7</v>
      </c>
      <c r="C358" s="208"/>
      <c r="D358" s="207" t="s">
        <v>91</v>
      </c>
      <c r="E358" s="209">
        <v>1.22</v>
      </c>
      <c r="F358" s="209"/>
      <c r="G358" s="210">
        <v>1</v>
      </c>
      <c r="H358" s="210">
        <v>0</v>
      </c>
      <c r="I358" s="210"/>
      <c r="J358" s="211">
        <v>1.44</v>
      </c>
      <c r="K358" s="208"/>
      <c r="L358" s="207" t="s">
        <v>170</v>
      </c>
      <c r="M358" s="235"/>
      <c r="N358" s="198"/>
      <c r="O358" s="199" t="s">
        <v>170</v>
      </c>
      <c r="P358" s="199" t="s">
        <v>269</v>
      </c>
      <c r="Q358" s="199" t="s">
        <v>722</v>
      </c>
      <c r="R358" s="199" t="s">
        <v>707</v>
      </c>
      <c r="S358" s="200">
        <v>71</v>
      </c>
      <c r="T358" s="199"/>
      <c r="U358" s="199"/>
      <c r="V358" s="201"/>
      <c r="W358" s="202"/>
      <c r="X358" s="203"/>
      <c r="Y358" s="203">
        <v>1</v>
      </c>
      <c r="Z358" s="199"/>
      <c r="AA358" s="204"/>
      <c r="AB358" s="205"/>
      <c r="AC358" s="201"/>
    </row>
    <row r="359" spans="1:29" x14ac:dyDescent="0.25">
      <c r="A359" s="328">
        <v>45887</v>
      </c>
      <c r="B359" s="17">
        <v>1</v>
      </c>
      <c r="C359" s="123" t="s">
        <v>692</v>
      </c>
      <c r="D359" s="17" t="s">
        <v>208</v>
      </c>
      <c r="E359" s="18">
        <v>0.64</v>
      </c>
      <c r="F359" s="18"/>
      <c r="G359" s="19">
        <v>1</v>
      </c>
      <c r="H359" s="19">
        <v>1</v>
      </c>
      <c r="I359" s="19"/>
      <c r="J359" s="20">
        <v>1.86</v>
      </c>
      <c r="K359" s="123" t="s">
        <v>693</v>
      </c>
      <c r="L359" s="17" t="s">
        <v>209</v>
      </c>
      <c r="M359" s="46"/>
      <c r="N359" s="96">
        <v>21</v>
      </c>
      <c r="O359" s="77" t="s">
        <v>209</v>
      </c>
      <c r="P359" s="77" t="s">
        <v>214</v>
      </c>
      <c r="Q359" s="77" t="s">
        <v>215</v>
      </c>
      <c r="R359" s="77" t="s">
        <v>686</v>
      </c>
      <c r="S359" s="220">
        <v>78</v>
      </c>
      <c r="T359" s="77" t="s">
        <v>41</v>
      </c>
      <c r="U359" s="77" t="s">
        <v>43</v>
      </c>
      <c r="V359" s="78" t="s">
        <v>10</v>
      </c>
      <c r="W359" s="53">
        <v>0.94</v>
      </c>
      <c r="X359" s="18">
        <v>0.99</v>
      </c>
      <c r="Y359" s="18" t="s">
        <v>353</v>
      </c>
      <c r="Z359" s="17" t="s">
        <v>8</v>
      </c>
      <c r="AA359" s="114" t="s">
        <v>9</v>
      </c>
      <c r="AB359" s="110" t="s">
        <v>218</v>
      </c>
      <c r="AC359" s="60" t="s">
        <v>219</v>
      </c>
    </row>
    <row r="360" spans="1:29" x14ac:dyDescent="0.25">
      <c r="A360" s="329">
        <v>45887</v>
      </c>
      <c r="B360" s="5">
        <v>1</v>
      </c>
      <c r="D360" s="5" t="s">
        <v>208</v>
      </c>
      <c r="E360" s="6">
        <v>0.64</v>
      </c>
      <c r="G360" s="7">
        <v>1</v>
      </c>
      <c r="H360" s="7">
        <v>1</v>
      </c>
      <c r="J360" s="8">
        <v>1.86</v>
      </c>
      <c r="L360" s="5" t="s">
        <v>209</v>
      </c>
      <c r="N360" s="56">
        <v>38</v>
      </c>
      <c r="O360" s="61" t="s">
        <v>208</v>
      </c>
      <c r="P360" s="61" t="s">
        <v>60</v>
      </c>
      <c r="Q360" s="61" t="s">
        <v>210</v>
      </c>
      <c r="R360" s="61" t="s">
        <v>688</v>
      </c>
      <c r="S360" s="218">
        <v>62</v>
      </c>
      <c r="T360" s="61" t="s">
        <v>41</v>
      </c>
      <c r="U360" s="61" t="s">
        <v>43</v>
      </c>
      <c r="V360" s="63" t="s">
        <v>10</v>
      </c>
      <c r="W360" s="51">
        <v>0.1</v>
      </c>
      <c r="X360" s="6" t="s">
        <v>53</v>
      </c>
      <c r="Z360" s="5" t="s">
        <v>13</v>
      </c>
      <c r="AA360" s="112" t="s">
        <v>9</v>
      </c>
    </row>
    <row r="361" spans="1:29" x14ac:dyDescent="0.25">
      <c r="A361" s="329">
        <v>45887</v>
      </c>
      <c r="B361" s="5">
        <v>1</v>
      </c>
      <c r="D361" s="5" t="s">
        <v>208</v>
      </c>
      <c r="E361" s="6">
        <v>0.64</v>
      </c>
      <c r="G361" s="7">
        <v>1</v>
      </c>
      <c r="H361" s="7">
        <v>1</v>
      </c>
      <c r="J361" s="8">
        <v>1.86</v>
      </c>
      <c r="L361" s="5" t="s">
        <v>209</v>
      </c>
      <c r="N361" s="56">
        <v>55</v>
      </c>
      <c r="O361" s="26" t="s">
        <v>209</v>
      </c>
      <c r="P361" s="26" t="s">
        <v>216</v>
      </c>
      <c r="Q361" s="26" t="s">
        <v>217</v>
      </c>
      <c r="R361" s="26" t="s">
        <v>689</v>
      </c>
      <c r="S361" s="213">
        <v>69</v>
      </c>
      <c r="T361" s="26" t="s">
        <v>41</v>
      </c>
      <c r="U361" s="26" t="s">
        <v>42</v>
      </c>
      <c r="V361" s="43" t="s">
        <v>540</v>
      </c>
      <c r="W361" s="51">
        <v>0.01</v>
      </c>
      <c r="X361" s="6">
        <v>0.13</v>
      </c>
      <c r="Z361" s="5" t="s">
        <v>48</v>
      </c>
      <c r="AA361" s="112" t="s">
        <v>9</v>
      </c>
    </row>
    <row r="362" spans="1:29" x14ac:dyDescent="0.25">
      <c r="A362" s="329">
        <v>45887</v>
      </c>
      <c r="B362" s="5">
        <v>1</v>
      </c>
      <c r="D362" s="5" t="s">
        <v>208</v>
      </c>
      <c r="E362" s="6">
        <v>0.64</v>
      </c>
      <c r="G362" s="7">
        <v>1</v>
      </c>
      <c r="H362" s="7">
        <v>1</v>
      </c>
      <c r="J362" s="8">
        <v>1.86</v>
      </c>
      <c r="L362" s="5" t="s">
        <v>209</v>
      </c>
      <c r="N362" s="56">
        <v>57</v>
      </c>
      <c r="O362" s="26" t="s">
        <v>209</v>
      </c>
      <c r="P362" s="26" t="s">
        <v>218</v>
      </c>
      <c r="Q362" s="26" t="s">
        <v>219</v>
      </c>
      <c r="R362" s="26" t="s">
        <v>685</v>
      </c>
      <c r="S362" s="213">
        <v>70</v>
      </c>
      <c r="T362" s="26" t="s">
        <v>44</v>
      </c>
      <c r="U362" s="26" t="s">
        <v>42</v>
      </c>
      <c r="V362" s="43" t="s">
        <v>18</v>
      </c>
      <c r="W362" s="51">
        <v>0.1</v>
      </c>
      <c r="X362" s="6" t="s">
        <v>53</v>
      </c>
      <c r="Z362" s="5" t="s">
        <v>52</v>
      </c>
      <c r="AA362" s="112" t="s">
        <v>9</v>
      </c>
    </row>
    <row r="363" spans="1:29" x14ac:dyDescent="0.25">
      <c r="A363" s="329">
        <v>45887</v>
      </c>
      <c r="B363" s="5">
        <v>1</v>
      </c>
      <c r="D363" s="5" t="s">
        <v>208</v>
      </c>
      <c r="E363" s="6">
        <v>0.64</v>
      </c>
      <c r="G363" s="7">
        <v>1</v>
      </c>
      <c r="H363" s="7">
        <v>1</v>
      </c>
      <c r="J363" s="8">
        <v>1.86</v>
      </c>
      <c r="L363" s="5" t="s">
        <v>209</v>
      </c>
      <c r="N363" s="56">
        <v>60</v>
      </c>
      <c r="O363" s="26" t="s">
        <v>209</v>
      </c>
      <c r="P363" s="26" t="s">
        <v>214</v>
      </c>
      <c r="Q363" s="26" t="s">
        <v>215</v>
      </c>
      <c r="R363" s="26" t="s">
        <v>686</v>
      </c>
      <c r="S363" s="213">
        <v>78</v>
      </c>
      <c r="T363" s="26" t="s">
        <v>354</v>
      </c>
      <c r="U363" s="26" t="s">
        <v>42</v>
      </c>
      <c r="V363" s="43" t="s">
        <v>540</v>
      </c>
      <c r="W363" s="51">
        <v>0.03</v>
      </c>
      <c r="X363" s="6" t="s">
        <v>53</v>
      </c>
      <c r="Z363" s="5" t="s">
        <v>55</v>
      </c>
      <c r="AA363" s="112" t="s">
        <v>9</v>
      </c>
    </row>
    <row r="364" spans="1:29" x14ac:dyDescent="0.25">
      <c r="A364" s="329">
        <v>45887</v>
      </c>
      <c r="B364" s="5">
        <v>1</v>
      </c>
      <c r="D364" s="5" t="s">
        <v>208</v>
      </c>
      <c r="E364" s="6">
        <v>0.64</v>
      </c>
      <c r="G364" s="7">
        <v>1</v>
      </c>
      <c r="H364" s="7">
        <v>1</v>
      </c>
      <c r="J364" s="8">
        <v>1.86</v>
      </c>
      <c r="L364" s="5" t="s">
        <v>209</v>
      </c>
      <c r="N364" s="56">
        <v>63</v>
      </c>
      <c r="O364" s="61" t="s">
        <v>208</v>
      </c>
      <c r="P364" s="61" t="s">
        <v>74</v>
      </c>
      <c r="Q364" s="61" t="s">
        <v>211</v>
      </c>
      <c r="R364" s="61" t="s">
        <v>684</v>
      </c>
      <c r="S364" s="218">
        <v>64</v>
      </c>
      <c r="T364" s="61" t="s">
        <v>47</v>
      </c>
      <c r="U364" s="61" t="s">
        <v>43</v>
      </c>
      <c r="V364" s="63" t="s">
        <v>10</v>
      </c>
      <c r="W364" s="51">
        <v>0.25</v>
      </c>
      <c r="X364" s="6" t="s">
        <v>53</v>
      </c>
      <c r="Y364" s="6" t="s">
        <v>353</v>
      </c>
      <c r="Z364" s="5" t="s">
        <v>55</v>
      </c>
      <c r="AA364" s="112" t="s">
        <v>9</v>
      </c>
    </row>
    <row r="365" spans="1:29" x14ac:dyDescent="0.25">
      <c r="A365" s="329">
        <v>45887</v>
      </c>
      <c r="B365" s="5">
        <v>1</v>
      </c>
      <c r="D365" s="5" t="s">
        <v>208</v>
      </c>
      <c r="E365" s="6">
        <v>0.64</v>
      </c>
      <c r="G365" s="7">
        <v>1</v>
      </c>
      <c r="H365" s="7">
        <v>1</v>
      </c>
      <c r="J365" s="8">
        <v>1.86</v>
      </c>
      <c r="L365" s="5" t="s">
        <v>209</v>
      </c>
      <c r="N365" s="56">
        <v>65</v>
      </c>
      <c r="O365" s="26" t="s">
        <v>209</v>
      </c>
      <c r="P365" s="26" t="s">
        <v>220</v>
      </c>
      <c r="Q365" s="26" t="s">
        <v>221</v>
      </c>
      <c r="R365" s="26" t="s">
        <v>684</v>
      </c>
      <c r="S365" s="213">
        <v>61</v>
      </c>
      <c r="T365" s="26" t="s">
        <v>41</v>
      </c>
      <c r="U365" s="26" t="s">
        <v>42</v>
      </c>
      <c r="V365" s="43" t="s">
        <v>10</v>
      </c>
      <c r="W365" s="51">
        <v>0.25</v>
      </c>
      <c r="X365" s="6" t="s">
        <v>53</v>
      </c>
      <c r="Y365" s="6" t="s">
        <v>353</v>
      </c>
      <c r="Z365" s="5" t="s">
        <v>22</v>
      </c>
      <c r="AA365" s="112" t="s">
        <v>9</v>
      </c>
    </row>
    <row r="366" spans="1:29" x14ac:dyDescent="0.25">
      <c r="A366" s="329">
        <v>45887</v>
      </c>
      <c r="B366" s="5">
        <v>1</v>
      </c>
      <c r="D366" s="5" t="s">
        <v>208</v>
      </c>
      <c r="E366" s="6">
        <v>0.64</v>
      </c>
      <c r="G366" s="7">
        <v>1</v>
      </c>
      <c r="H366" s="7">
        <v>1</v>
      </c>
      <c r="J366" s="8">
        <v>1.86</v>
      </c>
      <c r="L366" s="5" t="s">
        <v>209</v>
      </c>
      <c r="N366" s="56">
        <v>72</v>
      </c>
      <c r="O366" s="26" t="s">
        <v>209</v>
      </c>
      <c r="P366" s="26" t="s">
        <v>222</v>
      </c>
      <c r="Q366" s="26" t="s">
        <v>223</v>
      </c>
      <c r="R366" s="26" t="s">
        <v>699</v>
      </c>
      <c r="S366" s="213">
        <v>76</v>
      </c>
      <c r="T366" s="26" t="s">
        <v>354</v>
      </c>
      <c r="U366" s="26" t="s">
        <v>43</v>
      </c>
      <c r="V366" s="43" t="s">
        <v>10</v>
      </c>
      <c r="W366" s="51">
        <v>0.03</v>
      </c>
      <c r="X366" s="6">
        <v>0.34</v>
      </c>
      <c r="Z366" s="5" t="s">
        <v>48</v>
      </c>
      <c r="AA366" s="112" t="s">
        <v>9</v>
      </c>
    </row>
    <row r="367" spans="1:29" x14ac:dyDescent="0.25">
      <c r="A367" s="329">
        <v>45887</v>
      </c>
      <c r="B367" s="5">
        <v>1</v>
      </c>
      <c r="D367" s="5" t="s">
        <v>208</v>
      </c>
      <c r="E367" s="6">
        <v>0.64</v>
      </c>
      <c r="G367" s="7">
        <v>1</v>
      </c>
      <c r="H367" s="7">
        <v>1</v>
      </c>
      <c r="J367" s="8">
        <v>1.86</v>
      </c>
      <c r="L367" s="5" t="s">
        <v>209</v>
      </c>
      <c r="N367" s="56">
        <v>75</v>
      </c>
      <c r="O367" s="26" t="s">
        <v>209</v>
      </c>
      <c r="P367" s="26" t="s">
        <v>224</v>
      </c>
      <c r="Q367" s="26" t="s">
        <v>225</v>
      </c>
      <c r="R367" s="26" t="s">
        <v>696</v>
      </c>
      <c r="S367" s="213">
        <v>66</v>
      </c>
      <c r="T367" s="26" t="s">
        <v>41</v>
      </c>
      <c r="U367" s="26" t="s">
        <v>42</v>
      </c>
      <c r="V367" s="43" t="s">
        <v>18</v>
      </c>
      <c r="W367" s="51">
        <v>0.27</v>
      </c>
      <c r="X367" s="6" t="s">
        <v>53</v>
      </c>
      <c r="Z367" s="5" t="s">
        <v>52</v>
      </c>
      <c r="AA367" s="112" t="s">
        <v>9</v>
      </c>
    </row>
    <row r="368" spans="1:29" ht="15.75" thickBot="1" x14ac:dyDescent="0.3">
      <c r="A368" s="330">
        <v>45887</v>
      </c>
      <c r="B368" s="9">
        <v>1</v>
      </c>
      <c r="C368" s="122"/>
      <c r="D368" s="9" t="s">
        <v>208</v>
      </c>
      <c r="E368" s="10">
        <v>0.64</v>
      </c>
      <c r="F368" s="10"/>
      <c r="G368" s="11">
        <v>1</v>
      </c>
      <c r="H368" s="11">
        <v>1</v>
      </c>
      <c r="I368" s="11"/>
      <c r="J368" s="12">
        <v>1.86</v>
      </c>
      <c r="K368" s="122"/>
      <c r="L368" s="9" t="s">
        <v>209</v>
      </c>
      <c r="M368" s="45"/>
      <c r="N368" s="97">
        <v>81</v>
      </c>
      <c r="O368" s="66" t="s">
        <v>208</v>
      </c>
      <c r="P368" s="66" t="s">
        <v>212</v>
      </c>
      <c r="Q368" s="66" t="s">
        <v>213</v>
      </c>
      <c r="R368" s="66" t="s">
        <v>686</v>
      </c>
      <c r="S368" s="219">
        <v>77</v>
      </c>
      <c r="T368" s="66" t="s">
        <v>41</v>
      </c>
      <c r="U368" s="66" t="s">
        <v>42</v>
      </c>
      <c r="V368" s="67" t="s">
        <v>10</v>
      </c>
      <c r="W368" s="52">
        <v>0.2</v>
      </c>
      <c r="X368" s="10">
        <v>0.71</v>
      </c>
      <c r="Y368" s="10" t="s">
        <v>353</v>
      </c>
      <c r="Z368" s="9" t="s">
        <v>8</v>
      </c>
      <c r="AA368" s="113" t="s">
        <v>51</v>
      </c>
      <c r="AB368" s="109" t="s">
        <v>466</v>
      </c>
      <c r="AC368" s="58" t="s">
        <v>467</v>
      </c>
    </row>
    <row r="369" spans="1:29" ht="15.75" thickBot="1" x14ac:dyDescent="0.3">
      <c r="A369" s="326">
        <v>45887</v>
      </c>
      <c r="B369" s="207">
        <v>1</v>
      </c>
      <c r="C369" s="208"/>
      <c r="D369" s="207" t="s">
        <v>208</v>
      </c>
      <c r="E369" s="209">
        <v>0.64</v>
      </c>
      <c r="F369" s="209"/>
      <c r="G369" s="210">
        <v>1</v>
      </c>
      <c r="H369" s="210">
        <v>1</v>
      </c>
      <c r="I369" s="210"/>
      <c r="J369" s="211">
        <v>1.86</v>
      </c>
      <c r="K369" s="208"/>
      <c r="L369" s="207" t="s">
        <v>209</v>
      </c>
      <c r="M369" s="197"/>
      <c r="N369" s="198"/>
      <c r="O369" s="199" t="s">
        <v>208</v>
      </c>
      <c r="P369" s="199" t="s">
        <v>433</v>
      </c>
      <c r="Q369" s="199" t="s">
        <v>725</v>
      </c>
      <c r="R369" s="199" t="s">
        <v>707</v>
      </c>
      <c r="S369" s="200">
        <v>78</v>
      </c>
      <c r="T369" s="199"/>
      <c r="U369" s="199"/>
      <c r="V369" s="201"/>
      <c r="W369" s="202"/>
      <c r="X369" s="203"/>
      <c r="Y369" s="203">
        <v>1</v>
      </c>
      <c r="Z369" s="199"/>
      <c r="AA369" s="204"/>
      <c r="AB369" s="205"/>
      <c r="AC369" s="201"/>
    </row>
    <row r="370" spans="1:29" ht="15.75" thickBot="1" x14ac:dyDescent="0.3">
      <c r="A370" s="326">
        <v>45887</v>
      </c>
      <c r="B370" s="207">
        <v>1</v>
      </c>
      <c r="C370" s="208"/>
      <c r="D370" s="207" t="s">
        <v>208</v>
      </c>
      <c r="E370" s="209">
        <v>0.64</v>
      </c>
      <c r="F370" s="209"/>
      <c r="G370" s="210">
        <v>1</v>
      </c>
      <c r="H370" s="210">
        <v>1</v>
      </c>
      <c r="I370" s="210"/>
      <c r="J370" s="211">
        <v>1.86</v>
      </c>
      <c r="K370" s="208"/>
      <c r="L370" s="207" t="s">
        <v>209</v>
      </c>
      <c r="M370" s="197"/>
      <c r="N370" s="198"/>
      <c r="O370" s="199" t="s">
        <v>209</v>
      </c>
      <c r="P370" s="199" t="s">
        <v>447</v>
      </c>
      <c r="Q370" s="199" t="s">
        <v>150</v>
      </c>
      <c r="R370" s="199" t="s">
        <v>707</v>
      </c>
      <c r="S370" s="200">
        <v>62</v>
      </c>
      <c r="T370" s="199"/>
      <c r="U370" s="199"/>
      <c r="V370" s="201"/>
      <c r="W370" s="202"/>
      <c r="X370" s="203"/>
      <c r="Y370" s="203">
        <v>1</v>
      </c>
      <c r="Z370" s="199"/>
      <c r="AA370" s="204"/>
      <c r="AB370" s="205"/>
      <c r="AC370" s="201"/>
    </row>
    <row r="371" spans="1:29" x14ac:dyDescent="0.25">
      <c r="A371" s="331">
        <v>45896</v>
      </c>
      <c r="B371" s="13">
        <v>6</v>
      </c>
      <c r="C371" s="124" t="s">
        <v>702</v>
      </c>
      <c r="D371" s="13" t="s">
        <v>456</v>
      </c>
      <c r="E371" s="14">
        <v>0.83</v>
      </c>
      <c r="F371" s="14"/>
      <c r="G371" s="15">
        <v>1</v>
      </c>
      <c r="H371" s="15">
        <v>1</v>
      </c>
      <c r="I371" s="15"/>
      <c r="J371" s="16">
        <v>0.33</v>
      </c>
      <c r="K371" s="124" t="s">
        <v>693</v>
      </c>
      <c r="L371" s="13" t="s">
        <v>209</v>
      </c>
      <c r="M371" s="47"/>
      <c r="N371" s="98">
        <v>16</v>
      </c>
      <c r="O371" s="79" t="s">
        <v>209</v>
      </c>
      <c r="P371" s="79" t="s">
        <v>220</v>
      </c>
      <c r="Q371" s="79" t="s">
        <v>221</v>
      </c>
      <c r="R371" s="79" t="s">
        <v>684</v>
      </c>
      <c r="S371" s="224">
        <v>63</v>
      </c>
      <c r="T371" s="79" t="s">
        <v>354</v>
      </c>
      <c r="U371" s="79" t="s">
        <v>42</v>
      </c>
      <c r="V371" s="80" t="s">
        <v>10</v>
      </c>
      <c r="W371" s="54">
        <v>0.04</v>
      </c>
      <c r="X371" s="14" t="s">
        <v>53</v>
      </c>
      <c r="Y371" s="14"/>
      <c r="Z371" s="13" t="s">
        <v>22</v>
      </c>
      <c r="AA371" s="115" t="s">
        <v>28</v>
      </c>
      <c r="AB371" s="110"/>
      <c r="AC371" s="60"/>
    </row>
    <row r="372" spans="1:29" x14ac:dyDescent="0.25">
      <c r="A372" s="329">
        <v>45896</v>
      </c>
      <c r="B372" s="5">
        <v>6</v>
      </c>
      <c r="D372" s="5" t="s">
        <v>456</v>
      </c>
      <c r="E372" s="6">
        <v>0.83</v>
      </c>
      <c r="G372" s="7">
        <v>1</v>
      </c>
      <c r="H372" s="7">
        <v>1</v>
      </c>
      <c r="J372" s="8">
        <v>0.33</v>
      </c>
      <c r="L372" s="5" t="s">
        <v>209</v>
      </c>
      <c r="N372" s="56">
        <v>17</v>
      </c>
      <c r="O372" s="61" t="s">
        <v>456</v>
      </c>
      <c r="P372" s="61" t="s">
        <v>278</v>
      </c>
      <c r="Q372" s="61" t="s">
        <v>211</v>
      </c>
      <c r="R372" s="61" t="s">
        <v>713</v>
      </c>
      <c r="S372" s="218">
        <v>61</v>
      </c>
      <c r="T372" s="61" t="s">
        <v>41</v>
      </c>
      <c r="U372" s="61" t="s">
        <v>45</v>
      </c>
      <c r="V372" s="63" t="s">
        <v>20</v>
      </c>
      <c r="W372" s="51" t="s">
        <v>358</v>
      </c>
      <c r="X372" s="6" t="s">
        <v>53</v>
      </c>
      <c r="Y372" s="6" t="s">
        <v>353</v>
      </c>
      <c r="Z372" s="5" t="s">
        <v>13</v>
      </c>
      <c r="AA372" s="112" t="s">
        <v>28</v>
      </c>
    </row>
    <row r="373" spans="1:29" x14ac:dyDescent="0.25">
      <c r="A373" s="329">
        <v>45896</v>
      </c>
      <c r="B373" s="5">
        <v>6</v>
      </c>
      <c r="D373" s="5" t="s">
        <v>456</v>
      </c>
      <c r="E373" s="6">
        <v>0.83</v>
      </c>
      <c r="G373" s="7">
        <v>1</v>
      </c>
      <c r="H373" s="7">
        <v>1</v>
      </c>
      <c r="J373" s="8">
        <v>0.33</v>
      </c>
      <c r="L373" s="5" t="s">
        <v>209</v>
      </c>
      <c r="N373" s="56">
        <v>37</v>
      </c>
      <c r="O373" s="26" t="s">
        <v>209</v>
      </c>
      <c r="P373" s="26" t="s">
        <v>218</v>
      </c>
      <c r="Q373" s="26" t="s">
        <v>219</v>
      </c>
      <c r="R373" s="26" t="s">
        <v>685</v>
      </c>
      <c r="S373" s="213">
        <v>66</v>
      </c>
      <c r="T373" s="26" t="s">
        <v>41</v>
      </c>
      <c r="U373" s="26" t="s">
        <v>42</v>
      </c>
      <c r="V373" s="43" t="s">
        <v>10</v>
      </c>
      <c r="W373" s="51">
        <v>0.14000000000000001</v>
      </c>
      <c r="X373" s="6" t="s">
        <v>53</v>
      </c>
      <c r="Y373" s="6" t="s">
        <v>353</v>
      </c>
      <c r="Z373" s="5" t="s">
        <v>48</v>
      </c>
      <c r="AA373" s="112" t="s">
        <v>28</v>
      </c>
    </row>
    <row r="374" spans="1:29" x14ac:dyDescent="0.25">
      <c r="A374" s="329">
        <v>45896</v>
      </c>
      <c r="B374" s="5">
        <v>6</v>
      </c>
      <c r="D374" s="5" t="s">
        <v>456</v>
      </c>
      <c r="E374" s="6">
        <v>0.83</v>
      </c>
      <c r="G374" s="7">
        <v>1</v>
      </c>
      <c r="H374" s="7">
        <v>1</v>
      </c>
      <c r="J374" s="8">
        <v>0.33</v>
      </c>
      <c r="L374" s="5" t="s">
        <v>209</v>
      </c>
      <c r="N374" s="56">
        <v>45</v>
      </c>
      <c r="O374" s="26" t="s">
        <v>209</v>
      </c>
      <c r="P374" s="26" t="s">
        <v>337</v>
      </c>
      <c r="Q374" s="26" t="s">
        <v>338</v>
      </c>
      <c r="R374" s="26" t="s">
        <v>713</v>
      </c>
      <c r="S374" s="213">
        <v>85</v>
      </c>
      <c r="T374" s="26" t="s">
        <v>41</v>
      </c>
      <c r="U374" s="26" t="s">
        <v>45</v>
      </c>
      <c r="V374" s="43" t="s">
        <v>20</v>
      </c>
      <c r="W374" s="51">
        <v>7.0000000000000007E-2</v>
      </c>
      <c r="X374" s="6">
        <v>0.44</v>
      </c>
      <c r="Y374" s="6" t="s">
        <v>353</v>
      </c>
      <c r="Z374" s="5" t="s">
        <v>8</v>
      </c>
      <c r="AA374" s="112" t="s">
        <v>9</v>
      </c>
      <c r="AB374" s="108" t="s">
        <v>222</v>
      </c>
      <c r="AC374" s="57" t="s">
        <v>223</v>
      </c>
    </row>
    <row r="375" spans="1:29" x14ac:dyDescent="0.25">
      <c r="A375" s="329">
        <v>45896</v>
      </c>
      <c r="B375" s="5">
        <v>6</v>
      </c>
      <c r="D375" s="5" t="s">
        <v>456</v>
      </c>
      <c r="E375" s="6">
        <v>0.83</v>
      </c>
      <c r="G375" s="7">
        <v>1</v>
      </c>
      <c r="H375" s="7">
        <v>1</v>
      </c>
      <c r="J375" s="8">
        <v>0.33</v>
      </c>
      <c r="L375" s="5" t="s">
        <v>209</v>
      </c>
      <c r="N375" s="56">
        <v>47</v>
      </c>
      <c r="O375" s="61" t="s">
        <v>456</v>
      </c>
      <c r="P375" s="61" t="s">
        <v>147</v>
      </c>
      <c r="Q375" s="61" t="s">
        <v>201</v>
      </c>
      <c r="R375" s="61" t="s">
        <v>688</v>
      </c>
      <c r="S375" s="218">
        <v>79</v>
      </c>
      <c r="T375" s="61" t="s">
        <v>44</v>
      </c>
      <c r="U375" s="61" t="s">
        <v>43</v>
      </c>
      <c r="V375" s="63" t="s">
        <v>20</v>
      </c>
      <c r="W375" s="51">
        <v>0.05</v>
      </c>
      <c r="X375" s="6">
        <v>0.02</v>
      </c>
      <c r="Z375" s="5" t="s">
        <v>8</v>
      </c>
      <c r="AA375" s="112" t="s">
        <v>51</v>
      </c>
    </row>
    <row r="376" spans="1:29" x14ac:dyDescent="0.25">
      <c r="A376" s="329">
        <v>45896</v>
      </c>
      <c r="B376" s="5">
        <v>6</v>
      </c>
      <c r="D376" s="5" t="s">
        <v>456</v>
      </c>
      <c r="E376" s="6">
        <v>0.83</v>
      </c>
      <c r="G376" s="7">
        <v>1</v>
      </c>
      <c r="H376" s="7">
        <v>1</v>
      </c>
      <c r="J376" s="8">
        <v>0.33</v>
      </c>
      <c r="L376" s="5" t="s">
        <v>209</v>
      </c>
      <c r="N376" s="56">
        <v>84</v>
      </c>
      <c r="O376" s="61" t="s">
        <v>456</v>
      </c>
      <c r="P376" s="61" t="s">
        <v>118</v>
      </c>
      <c r="Q376" s="61" t="s">
        <v>357</v>
      </c>
      <c r="R376" s="61" t="s">
        <v>696</v>
      </c>
      <c r="S376" s="218">
        <v>62</v>
      </c>
      <c r="T376" s="61" t="s">
        <v>41</v>
      </c>
      <c r="U376" s="61" t="s">
        <v>45</v>
      </c>
      <c r="V376" s="63" t="s">
        <v>10</v>
      </c>
      <c r="W376" s="51">
        <v>0.14000000000000001</v>
      </c>
      <c r="X376" s="6">
        <v>0.35</v>
      </c>
      <c r="Y376" s="6" t="s">
        <v>353</v>
      </c>
      <c r="Z376" s="5" t="s">
        <v>48</v>
      </c>
      <c r="AA376" s="112" t="s">
        <v>51</v>
      </c>
    </row>
    <row r="377" spans="1:29" ht="15.75" thickBot="1" x14ac:dyDescent="0.3">
      <c r="A377" s="329">
        <v>45896</v>
      </c>
      <c r="B377" s="5">
        <v>6</v>
      </c>
      <c r="D377" s="5" t="s">
        <v>456</v>
      </c>
      <c r="E377" s="6">
        <v>0.83</v>
      </c>
      <c r="G377" s="7">
        <v>1</v>
      </c>
      <c r="H377" s="7">
        <v>1</v>
      </c>
      <c r="J377" s="8">
        <v>0.33</v>
      </c>
      <c r="L377" s="5" t="s">
        <v>209</v>
      </c>
      <c r="N377" s="56">
        <v>89</v>
      </c>
      <c r="O377" s="61" t="s">
        <v>456</v>
      </c>
      <c r="P377" s="61" t="s">
        <v>162</v>
      </c>
      <c r="Q377" s="61" t="s">
        <v>163</v>
      </c>
      <c r="R377" s="61" t="s">
        <v>696</v>
      </c>
      <c r="S377" s="218">
        <v>66</v>
      </c>
      <c r="T377" s="61" t="s">
        <v>44</v>
      </c>
      <c r="U377" s="61" t="s">
        <v>43</v>
      </c>
      <c r="V377" s="63" t="s">
        <v>29</v>
      </c>
      <c r="W377" s="51">
        <v>0.15</v>
      </c>
      <c r="X377" s="6" t="s">
        <v>53</v>
      </c>
      <c r="Z377" s="5" t="s">
        <v>13</v>
      </c>
      <c r="AA377" s="112" t="s">
        <v>51</v>
      </c>
      <c r="AB377" s="109"/>
      <c r="AC377" s="58"/>
    </row>
    <row r="378" spans="1:29" ht="15.75" thickBot="1" x14ac:dyDescent="0.3">
      <c r="A378" s="338">
        <v>45896</v>
      </c>
      <c r="B378" s="230">
        <v>6</v>
      </c>
      <c r="C378" s="231"/>
      <c r="D378" s="230" t="s">
        <v>456</v>
      </c>
      <c r="E378" s="232">
        <v>0.83</v>
      </c>
      <c r="F378" s="232"/>
      <c r="G378" s="233">
        <v>1</v>
      </c>
      <c r="H378" s="233">
        <v>1</v>
      </c>
      <c r="I378" s="233"/>
      <c r="J378" s="234">
        <v>0.33</v>
      </c>
      <c r="K378" s="231"/>
      <c r="L378" s="230" t="s">
        <v>209</v>
      </c>
      <c r="M378" s="197"/>
      <c r="N378" s="198"/>
      <c r="O378" s="199" t="s">
        <v>456</v>
      </c>
      <c r="P378" s="199" t="s">
        <v>719</v>
      </c>
      <c r="Q378" s="199" t="s">
        <v>720</v>
      </c>
      <c r="R378" s="199" t="s">
        <v>707</v>
      </c>
      <c r="S378" s="200">
        <v>66</v>
      </c>
      <c r="T378" s="199"/>
      <c r="U378" s="199"/>
      <c r="V378" s="201"/>
      <c r="W378" s="202"/>
      <c r="X378" s="203"/>
      <c r="Y378" s="203">
        <v>1</v>
      </c>
      <c r="Z378" s="199"/>
      <c r="AA378" s="204"/>
      <c r="AB378" s="205"/>
      <c r="AC378" s="201"/>
    </row>
    <row r="379" spans="1:29" ht="15.75" thickBot="1" x14ac:dyDescent="0.3">
      <c r="A379" s="338">
        <v>45896</v>
      </c>
      <c r="B379" s="230">
        <v>6</v>
      </c>
      <c r="C379" s="231"/>
      <c r="D379" s="230" t="s">
        <v>456</v>
      </c>
      <c r="E379" s="232">
        <v>0.83</v>
      </c>
      <c r="F379" s="232"/>
      <c r="G379" s="233">
        <v>1</v>
      </c>
      <c r="H379" s="233">
        <v>1</v>
      </c>
      <c r="I379" s="233"/>
      <c r="J379" s="234">
        <v>0.33</v>
      </c>
      <c r="K379" s="231"/>
      <c r="L379" s="230" t="s">
        <v>209</v>
      </c>
      <c r="M379" s="197"/>
      <c r="N379" s="198"/>
      <c r="O379" s="199" t="s">
        <v>209</v>
      </c>
      <c r="P379" s="199" t="s">
        <v>74</v>
      </c>
      <c r="Q379" s="199" t="s">
        <v>730</v>
      </c>
      <c r="R379" s="199" t="s">
        <v>707</v>
      </c>
      <c r="S379" s="200">
        <v>64</v>
      </c>
      <c r="T379" s="199"/>
      <c r="U379" s="199"/>
      <c r="V379" s="201"/>
      <c r="W379" s="202"/>
      <c r="X379" s="203"/>
      <c r="Y379" s="203">
        <v>1</v>
      </c>
      <c r="Z379" s="199"/>
      <c r="AA379" s="204"/>
      <c r="AB379" s="205"/>
      <c r="AC379" s="201"/>
    </row>
    <row r="380" spans="1:29" x14ac:dyDescent="0.25">
      <c r="A380" s="328">
        <v>45914</v>
      </c>
      <c r="B380" s="17">
        <v>4</v>
      </c>
      <c r="C380" s="123" t="s">
        <v>694</v>
      </c>
      <c r="D380" s="17" t="s">
        <v>129</v>
      </c>
      <c r="E380" s="18">
        <v>0.73</v>
      </c>
      <c r="F380" s="18"/>
      <c r="G380" s="19">
        <v>2</v>
      </c>
      <c r="H380" s="19">
        <v>2</v>
      </c>
      <c r="I380" s="19"/>
      <c r="J380" s="20">
        <v>2.12</v>
      </c>
      <c r="K380" s="123" t="s">
        <v>693</v>
      </c>
      <c r="L380" s="17" t="s">
        <v>209</v>
      </c>
      <c r="M380" s="46"/>
      <c r="N380" s="96">
        <v>2</v>
      </c>
      <c r="O380" s="64" t="s">
        <v>129</v>
      </c>
      <c r="P380" s="64" t="s">
        <v>59</v>
      </c>
      <c r="Q380" s="64" t="s">
        <v>191</v>
      </c>
      <c r="R380" s="64" t="s">
        <v>718</v>
      </c>
      <c r="S380" s="217">
        <v>76</v>
      </c>
      <c r="T380" s="64" t="s">
        <v>41</v>
      </c>
      <c r="U380" s="64" t="s">
        <v>42</v>
      </c>
      <c r="V380" s="65" t="s">
        <v>10</v>
      </c>
      <c r="W380" s="53">
        <v>0.33</v>
      </c>
      <c r="X380" s="18">
        <v>0.34</v>
      </c>
      <c r="Y380" s="18" t="s">
        <v>353</v>
      </c>
      <c r="Z380" s="17" t="s">
        <v>8</v>
      </c>
      <c r="AA380" s="114" t="s">
        <v>19</v>
      </c>
      <c r="AB380" s="110" t="s">
        <v>46</v>
      </c>
      <c r="AC380" s="60" t="s">
        <v>201</v>
      </c>
    </row>
    <row r="381" spans="1:29" x14ac:dyDescent="0.25">
      <c r="A381" s="329">
        <v>45914</v>
      </c>
      <c r="B381" s="5">
        <v>4</v>
      </c>
      <c r="D381" s="5" t="s">
        <v>129</v>
      </c>
      <c r="E381" s="6">
        <v>0.73</v>
      </c>
      <c r="G381" s="7">
        <v>2</v>
      </c>
      <c r="H381" s="7">
        <v>2</v>
      </c>
      <c r="J381" s="8">
        <v>2.12</v>
      </c>
      <c r="L381" s="5" t="s">
        <v>209</v>
      </c>
      <c r="N381" s="56">
        <v>7</v>
      </c>
      <c r="O381" s="26" t="s">
        <v>209</v>
      </c>
      <c r="P381" s="26" t="s">
        <v>218</v>
      </c>
      <c r="Q381" s="26" t="s">
        <v>219</v>
      </c>
      <c r="R381" s="26" t="s">
        <v>685</v>
      </c>
      <c r="S381" s="213">
        <v>62</v>
      </c>
      <c r="T381" s="26" t="s">
        <v>41</v>
      </c>
      <c r="U381" s="26" t="s">
        <v>42</v>
      </c>
      <c r="V381" s="43" t="s">
        <v>20</v>
      </c>
      <c r="W381" s="51">
        <v>0.04</v>
      </c>
      <c r="X381" s="6" t="s">
        <v>53</v>
      </c>
      <c r="Z381" s="5" t="s">
        <v>17</v>
      </c>
      <c r="AA381" s="112" t="s">
        <v>19</v>
      </c>
    </row>
    <row r="382" spans="1:29" x14ac:dyDescent="0.25">
      <c r="A382" s="329">
        <v>45914</v>
      </c>
      <c r="B382" s="5">
        <v>4</v>
      </c>
      <c r="D382" s="5" t="s">
        <v>129</v>
      </c>
      <c r="E382" s="6">
        <v>0.73</v>
      </c>
      <c r="G382" s="7">
        <v>2</v>
      </c>
      <c r="H382" s="7">
        <v>2</v>
      </c>
      <c r="J382" s="8">
        <v>2.12</v>
      </c>
      <c r="L382" s="5" t="s">
        <v>209</v>
      </c>
      <c r="N382" s="56">
        <v>10</v>
      </c>
      <c r="O382" s="61" t="s">
        <v>129</v>
      </c>
      <c r="P382" s="61" t="s">
        <v>104</v>
      </c>
      <c r="Q382" s="61" t="s">
        <v>105</v>
      </c>
      <c r="R382" s="61" t="s">
        <v>717</v>
      </c>
      <c r="S382" s="218">
        <v>74</v>
      </c>
      <c r="T382" s="61" t="s">
        <v>41</v>
      </c>
      <c r="U382" s="61" t="s">
        <v>42</v>
      </c>
      <c r="V382" s="63" t="s">
        <v>10</v>
      </c>
      <c r="W382" s="51">
        <v>0.31</v>
      </c>
      <c r="X382" s="6">
        <v>0.94</v>
      </c>
      <c r="Y382" s="6" t="s">
        <v>353</v>
      </c>
      <c r="Z382" s="5" t="s">
        <v>8</v>
      </c>
      <c r="AA382" s="112" t="s">
        <v>24</v>
      </c>
      <c r="AB382" s="108" t="s">
        <v>241</v>
      </c>
      <c r="AC382" s="57" t="s">
        <v>131</v>
      </c>
    </row>
    <row r="383" spans="1:29" x14ac:dyDescent="0.25">
      <c r="A383" s="329">
        <v>45914</v>
      </c>
      <c r="B383" s="5">
        <v>4</v>
      </c>
      <c r="D383" s="5" t="s">
        <v>129</v>
      </c>
      <c r="E383" s="6">
        <v>0.73</v>
      </c>
      <c r="G383" s="7">
        <v>2</v>
      </c>
      <c r="H383" s="7">
        <v>2</v>
      </c>
      <c r="J383" s="8">
        <v>2.12</v>
      </c>
      <c r="L383" s="5" t="s">
        <v>209</v>
      </c>
      <c r="N383" s="56">
        <v>12</v>
      </c>
      <c r="O383" s="26" t="s">
        <v>209</v>
      </c>
      <c r="P383" s="26" t="s">
        <v>220</v>
      </c>
      <c r="Q383" s="26" t="s">
        <v>221</v>
      </c>
      <c r="R383" s="26" t="s">
        <v>684</v>
      </c>
      <c r="S383" s="213">
        <v>68</v>
      </c>
      <c r="T383" s="26" t="s">
        <v>41</v>
      </c>
      <c r="U383" s="26" t="s">
        <v>42</v>
      </c>
      <c r="V383" s="43" t="s">
        <v>540</v>
      </c>
      <c r="W383" s="51">
        <v>0.13</v>
      </c>
      <c r="X383" s="6" t="s">
        <v>53</v>
      </c>
      <c r="Z383" s="5" t="s">
        <v>22</v>
      </c>
      <c r="AA383" s="112" t="s">
        <v>24</v>
      </c>
    </row>
    <row r="384" spans="1:29" x14ac:dyDescent="0.25">
      <c r="A384" s="329">
        <v>45914</v>
      </c>
      <c r="B384" s="5">
        <v>4</v>
      </c>
      <c r="D384" s="5" t="s">
        <v>129</v>
      </c>
      <c r="E384" s="6">
        <v>0.73</v>
      </c>
      <c r="G384" s="7">
        <v>2</v>
      </c>
      <c r="H384" s="7">
        <v>2</v>
      </c>
      <c r="J384" s="8">
        <v>2.12</v>
      </c>
      <c r="L384" s="5" t="s">
        <v>209</v>
      </c>
      <c r="N384" s="56">
        <v>21</v>
      </c>
      <c r="O384" s="26" t="s">
        <v>209</v>
      </c>
      <c r="P384" s="26" t="s">
        <v>393</v>
      </c>
      <c r="Q384" s="26" t="s">
        <v>394</v>
      </c>
      <c r="R384" s="26" t="s">
        <v>699</v>
      </c>
      <c r="S384" s="213">
        <v>70</v>
      </c>
      <c r="T384" s="26" t="s">
        <v>354</v>
      </c>
      <c r="U384" s="26" t="s">
        <v>43</v>
      </c>
      <c r="V384" s="43" t="s">
        <v>10</v>
      </c>
      <c r="W384" s="51">
        <v>0.05</v>
      </c>
      <c r="X384" s="6" t="s">
        <v>53</v>
      </c>
      <c r="Z384" s="5" t="s">
        <v>55</v>
      </c>
      <c r="AA384" s="112" t="s">
        <v>24</v>
      </c>
    </row>
    <row r="385" spans="1:29" x14ac:dyDescent="0.25">
      <c r="A385" s="329">
        <v>45914</v>
      </c>
      <c r="B385" s="5">
        <v>4</v>
      </c>
      <c r="D385" s="5" t="s">
        <v>129</v>
      </c>
      <c r="E385" s="6">
        <v>0.73</v>
      </c>
      <c r="G385" s="7">
        <v>2</v>
      </c>
      <c r="H385" s="7">
        <v>2</v>
      </c>
      <c r="J385" s="8">
        <v>2.12</v>
      </c>
      <c r="L385" s="5" t="s">
        <v>209</v>
      </c>
      <c r="N385" s="56">
        <v>40</v>
      </c>
      <c r="O385" s="26" t="s">
        <v>209</v>
      </c>
      <c r="P385" s="26" t="s">
        <v>54</v>
      </c>
      <c r="Q385" s="26" t="s">
        <v>240</v>
      </c>
      <c r="R385" s="26" t="s">
        <v>688</v>
      </c>
      <c r="S385" s="213">
        <v>68</v>
      </c>
      <c r="T385" s="26" t="s">
        <v>47</v>
      </c>
      <c r="U385" s="26" t="s">
        <v>45</v>
      </c>
      <c r="V385" s="43" t="s">
        <v>20</v>
      </c>
      <c r="W385" s="51">
        <v>0.14000000000000001</v>
      </c>
      <c r="X385" s="6" t="s">
        <v>53</v>
      </c>
      <c r="Z385" s="5" t="s">
        <v>52</v>
      </c>
      <c r="AA385" s="112" t="s">
        <v>24</v>
      </c>
    </row>
    <row r="386" spans="1:29" x14ac:dyDescent="0.25">
      <c r="A386" s="329">
        <v>45914</v>
      </c>
      <c r="B386" s="5">
        <v>4</v>
      </c>
      <c r="D386" s="5" t="s">
        <v>129</v>
      </c>
      <c r="E386" s="6">
        <v>0.73</v>
      </c>
      <c r="G386" s="7">
        <v>2</v>
      </c>
      <c r="H386" s="7">
        <v>2</v>
      </c>
      <c r="J386" s="8">
        <v>2.12</v>
      </c>
      <c r="L386" s="5" t="s">
        <v>209</v>
      </c>
      <c r="N386" s="56" t="s">
        <v>122</v>
      </c>
      <c r="O386" s="26" t="s">
        <v>209</v>
      </c>
      <c r="P386" s="26" t="s">
        <v>220</v>
      </c>
      <c r="Q386" s="26" t="s">
        <v>221</v>
      </c>
      <c r="R386" s="26" t="s">
        <v>684</v>
      </c>
      <c r="S386" s="213">
        <v>68</v>
      </c>
      <c r="T386" s="26" t="s">
        <v>354</v>
      </c>
      <c r="U386" s="26" t="s">
        <v>42</v>
      </c>
      <c r="V386" s="43" t="s">
        <v>10</v>
      </c>
      <c r="W386" s="51">
        <v>0.03</v>
      </c>
      <c r="X386" s="6">
        <v>0.49</v>
      </c>
      <c r="Z386" s="5" t="s">
        <v>8</v>
      </c>
      <c r="AA386" s="112" t="s">
        <v>34</v>
      </c>
      <c r="AB386" s="108" t="s">
        <v>100</v>
      </c>
      <c r="AC386" s="57" t="s">
        <v>659</v>
      </c>
    </row>
    <row r="387" spans="1:29" x14ac:dyDescent="0.25">
      <c r="A387" s="329">
        <v>45914</v>
      </c>
      <c r="B387" s="5">
        <v>4</v>
      </c>
      <c r="D387" s="5" t="s">
        <v>129</v>
      </c>
      <c r="E387" s="6">
        <v>0.73</v>
      </c>
      <c r="G387" s="7">
        <v>2</v>
      </c>
      <c r="H387" s="7">
        <v>2</v>
      </c>
      <c r="J387" s="8">
        <v>2.12</v>
      </c>
      <c r="L387" s="5" t="s">
        <v>209</v>
      </c>
      <c r="N387" s="56" t="s">
        <v>266</v>
      </c>
      <c r="O387" s="26" t="s">
        <v>209</v>
      </c>
      <c r="P387" s="26" t="s">
        <v>218</v>
      </c>
      <c r="Q387" s="26" t="s">
        <v>219</v>
      </c>
      <c r="R387" s="26" t="s">
        <v>685</v>
      </c>
      <c r="S387" s="213">
        <v>62</v>
      </c>
      <c r="T387" s="26" t="s">
        <v>41</v>
      </c>
      <c r="U387" s="26" t="s">
        <v>42</v>
      </c>
      <c r="V387" s="43" t="s">
        <v>10</v>
      </c>
      <c r="W387" s="51">
        <v>0.11</v>
      </c>
      <c r="X387" s="6" t="s">
        <v>53</v>
      </c>
      <c r="Z387" s="5" t="s">
        <v>52</v>
      </c>
      <c r="AA387" s="112" t="s">
        <v>34</v>
      </c>
    </row>
    <row r="388" spans="1:29" x14ac:dyDescent="0.25">
      <c r="A388" s="329">
        <v>45914</v>
      </c>
      <c r="B388" s="5">
        <v>4</v>
      </c>
      <c r="D388" s="5" t="s">
        <v>129</v>
      </c>
      <c r="E388" s="6">
        <v>0.73</v>
      </c>
      <c r="G388" s="7">
        <v>2</v>
      </c>
      <c r="H388" s="7">
        <v>2</v>
      </c>
      <c r="J388" s="8">
        <v>2.12</v>
      </c>
      <c r="L388" s="5" t="s">
        <v>209</v>
      </c>
      <c r="N388" s="56">
        <v>54</v>
      </c>
      <c r="O388" s="26" t="s">
        <v>209</v>
      </c>
      <c r="P388" s="26" t="s">
        <v>220</v>
      </c>
      <c r="Q388" s="26" t="s">
        <v>221</v>
      </c>
      <c r="R388" s="26" t="s">
        <v>684</v>
      </c>
      <c r="S388" s="213">
        <v>68</v>
      </c>
      <c r="T388" s="26" t="s">
        <v>41</v>
      </c>
      <c r="U388" s="26" t="s">
        <v>42</v>
      </c>
      <c r="V388" s="43" t="s">
        <v>10</v>
      </c>
      <c r="W388" s="51">
        <v>0.14000000000000001</v>
      </c>
      <c r="X388" s="6" t="s">
        <v>53</v>
      </c>
      <c r="Z388" s="5" t="s">
        <v>52</v>
      </c>
      <c r="AA388" s="112" t="s">
        <v>34</v>
      </c>
    </row>
    <row r="389" spans="1:29" x14ac:dyDescent="0.25">
      <c r="A389" s="329">
        <v>45914</v>
      </c>
      <c r="B389" s="5">
        <v>4</v>
      </c>
      <c r="D389" s="5" t="s">
        <v>129</v>
      </c>
      <c r="E389" s="6">
        <v>0.73</v>
      </c>
      <c r="G389" s="7">
        <v>2</v>
      </c>
      <c r="H389" s="7">
        <v>2</v>
      </c>
      <c r="J389" s="8">
        <v>2.12</v>
      </c>
      <c r="L389" s="5" t="s">
        <v>209</v>
      </c>
      <c r="N389" s="56">
        <v>54</v>
      </c>
      <c r="O389" s="26" t="s">
        <v>209</v>
      </c>
      <c r="P389" s="26" t="s">
        <v>220</v>
      </c>
      <c r="Q389" s="26" t="s">
        <v>221</v>
      </c>
      <c r="R389" s="26" t="s">
        <v>684</v>
      </c>
      <c r="S389" s="213">
        <v>68</v>
      </c>
      <c r="T389" s="26" t="s">
        <v>41</v>
      </c>
      <c r="U389" s="26" t="s">
        <v>45</v>
      </c>
      <c r="V389" s="43" t="s">
        <v>10</v>
      </c>
      <c r="W389" s="51">
        <v>0.16</v>
      </c>
      <c r="X389" s="6" t="s">
        <v>53</v>
      </c>
      <c r="Z389" s="5" t="s">
        <v>22</v>
      </c>
      <c r="AA389" s="112" t="s">
        <v>34</v>
      </c>
    </row>
    <row r="390" spans="1:29" x14ac:dyDescent="0.25">
      <c r="A390" s="329">
        <v>45914</v>
      </c>
      <c r="B390" s="5">
        <v>4</v>
      </c>
      <c r="D390" s="5" t="s">
        <v>129</v>
      </c>
      <c r="E390" s="6">
        <v>0.73</v>
      </c>
      <c r="G390" s="7">
        <v>2</v>
      </c>
      <c r="H390" s="7">
        <v>2</v>
      </c>
      <c r="J390" s="8">
        <v>2.12</v>
      </c>
      <c r="L390" s="5" t="s">
        <v>209</v>
      </c>
      <c r="N390" s="56">
        <v>58</v>
      </c>
      <c r="O390" s="26" t="s">
        <v>209</v>
      </c>
      <c r="P390" s="26" t="s">
        <v>53</v>
      </c>
      <c r="Q390" s="26" t="s">
        <v>395</v>
      </c>
      <c r="R390" s="26" t="s">
        <v>686</v>
      </c>
      <c r="S390" s="213">
        <v>67</v>
      </c>
      <c r="T390" s="26" t="s">
        <v>41</v>
      </c>
      <c r="U390" s="26" t="s">
        <v>43</v>
      </c>
      <c r="V390" s="43" t="s">
        <v>540</v>
      </c>
      <c r="W390" s="51">
        <v>0.15</v>
      </c>
      <c r="X390" s="6" t="s">
        <v>53</v>
      </c>
      <c r="Z390" s="5" t="s">
        <v>22</v>
      </c>
      <c r="AA390" s="112" t="s">
        <v>34</v>
      </c>
    </row>
    <row r="391" spans="1:29" x14ac:dyDescent="0.25">
      <c r="A391" s="329">
        <v>45914</v>
      </c>
      <c r="B391" s="5">
        <v>4</v>
      </c>
      <c r="D391" s="5" t="s">
        <v>129</v>
      </c>
      <c r="E391" s="6">
        <v>0.73</v>
      </c>
      <c r="G391" s="7">
        <v>2</v>
      </c>
      <c r="H391" s="7">
        <v>2</v>
      </c>
      <c r="J391" s="8">
        <v>2.12</v>
      </c>
      <c r="L391" s="5" t="s">
        <v>209</v>
      </c>
      <c r="N391" s="56">
        <v>75</v>
      </c>
      <c r="O391" s="26" t="s">
        <v>209</v>
      </c>
      <c r="P391" s="26" t="s">
        <v>421</v>
      </c>
      <c r="Q391" s="26" t="s">
        <v>422</v>
      </c>
      <c r="R391" s="26" t="s">
        <v>712</v>
      </c>
      <c r="S391" s="213">
        <v>72</v>
      </c>
      <c r="T391" s="26" t="s">
        <v>41</v>
      </c>
      <c r="U391" s="26" t="s">
        <v>45</v>
      </c>
      <c r="V391" s="43" t="s">
        <v>20</v>
      </c>
      <c r="W391" s="51">
        <v>0.09</v>
      </c>
      <c r="X391" s="6">
        <v>0.02</v>
      </c>
      <c r="Y391" s="6" t="s">
        <v>353</v>
      </c>
      <c r="Z391" s="5" t="s">
        <v>48</v>
      </c>
      <c r="AA391" s="112" t="s">
        <v>34</v>
      </c>
    </row>
    <row r="392" spans="1:29" x14ac:dyDescent="0.25">
      <c r="A392" s="329">
        <v>45914</v>
      </c>
      <c r="B392" s="5">
        <v>4</v>
      </c>
      <c r="D392" s="5" t="s">
        <v>129</v>
      </c>
      <c r="E392" s="6">
        <v>0.73</v>
      </c>
      <c r="G392" s="7">
        <v>2</v>
      </c>
      <c r="H392" s="7">
        <v>2</v>
      </c>
      <c r="J392" s="8">
        <v>2.12</v>
      </c>
      <c r="L392" s="5" t="s">
        <v>209</v>
      </c>
      <c r="N392" s="56">
        <v>81</v>
      </c>
      <c r="O392" s="26" t="s">
        <v>209</v>
      </c>
      <c r="P392" s="26" t="s">
        <v>241</v>
      </c>
      <c r="Q392" s="26" t="s">
        <v>396</v>
      </c>
      <c r="R392" s="26" t="s">
        <v>687</v>
      </c>
      <c r="S392" s="213">
        <v>79</v>
      </c>
      <c r="T392" s="26" t="s">
        <v>41</v>
      </c>
      <c r="U392" s="26" t="s">
        <v>45</v>
      </c>
      <c r="V392" s="43" t="s">
        <v>10</v>
      </c>
      <c r="W392" s="51">
        <v>0.35</v>
      </c>
      <c r="X392" s="6">
        <v>0.56999999999999995</v>
      </c>
      <c r="Y392" s="6" t="s">
        <v>353</v>
      </c>
      <c r="Z392" s="5" t="s">
        <v>8</v>
      </c>
      <c r="AA392" s="112" t="s">
        <v>189</v>
      </c>
      <c r="AB392" s="108" t="s">
        <v>660</v>
      </c>
      <c r="AC392" s="57" t="s">
        <v>425</v>
      </c>
    </row>
    <row r="393" spans="1:29" x14ac:dyDescent="0.25">
      <c r="A393" s="329">
        <v>45914</v>
      </c>
      <c r="B393" s="5">
        <v>4</v>
      </c>
      <c r="D393" s="5" t="s">
        <v>129</v>
      </c>
      <c r="E393" s="6">
        <v>0.73</v>
      </c>
      <c r="G393" s="7">
        <v>2</v>
      </c>
      <c r="H393" s="7">
        <v>2</v>
      </c>
      <c r="J393" s="8">
        <v>2.12</v>
      </c>
      <c r="L393" s="5" t="s">
        <v>209</v>
      </c>
      <c r="N393" s="56">
        <v>89</v>
      </c>
      <c r="O393" s="26" t="s">
        <v>209</v>
      </c>
      <c r="P393" s="26" t="s">
        <v>222</v>
      </c>
      <c r="Q393" s="26" t="s">
        <v>223</v>
      </c>
      <c r="R393" s="26" t="s">
        <v>696</v>
      </c>
      <c r="S393" s="213">
        <v>69</v>
      </c>
      <c r="T393" s="26" t="s">
        <v>41</v>
      </c>
      <c r="U393" s="26" t="s">
        <v>43</v>
      </c>
      <c r="V393" s="43" t="s">
        <v>10</v>
      </c>
      <c r="W393" s="51">
        <v>7.0000000000000007E-2</v>
      </c>
      <c r="X393" s="6">
        <v>0.45</v>
      </c>
      <c r="Y393" s="6" t="s">
        <v>353</v>
      </c>
      <c r="Z393" s="5" t="s">
        <v>48</v>
      </c>
      <c r="AA393" s="112" t="s">
        <v>189</v>
      </c>
    </row>
    <row r="394" spans="1:29" ht="15.75" thickBot="1" x14ac:dyDescent="0.3">
      <c r="A394" s="330">
        <v>45914</v>
      </c>
      <c r="B394" s="9">
        <v>4</v>
      </c>
      <c r="C394" s="122"/>
      <c r="D394" s="9" t="s">
        <v>129</v>
      </c>
      <c r="E394" s="10">
        <v>0.73</v>
      </c>
      <c r="F394" s="10"/>
      <c r="G394" s="11">
        <v>2</v>
      </c>
      <c r="H394" s="11">
        <v>2</v>
      </c>
      <c r="I394" s="11"/>
      <c r="J394" s="12">
        <v>2.12</v>
      </c>
      <c r="K394" s="122"/>
      <c r="L394" s="9" t="s">
        <v>209</v>
      </c>
      <c r="M394" s="45"/>
      <c r="N394" s="97" t="s">
        <v>57</v>
      </c>
      <c r="O394" s="66" t="s">
        <v>129</v>
      </c>
      <c r="P394" s="66" t="s">
        <v>141</v>
      </c>
      <c r="Q394" s="66" t="s">
        <v>142</v>
      </c>
      <c r="R394" s="66" t="s">
        <v>696</v>
      </c>
      <c r="S394" s="219">
        <v>54</v>
      </c>
      <c r="T394" s="66" t="s">
        <v>41</v>
      </c>
      <c r="U394" s="66" t="s">
        <v>43</v>
      </c>
      <c r="V394" s="67" t="s">
        <v>18</v>
      </c>
      <c r="W394" s="52">
        <v>0.09</v>
      </c>
      <c r="X394" s="10" t="s">
        <v>53</v>
      </c>
      <c r="Y394" s="10"/>
      <c r="Z394" s="9" t="s">
        <v>16</v>
      </c>
      <c r="AA394" s="113" t="s">
        <v>189</v>
      </c>
      <c r="AB394" s="109"/>
      <c r="AC394" s="58"/>
    </row>
    <row r="395" spans="1:29" ht="15.75" thickBot="1" x14ac:dyDescent="0.3">
      <c r="A395" s="326">
        <v>45914</v>
      </c>
      <c r="B395" s="207">
        <v>4</v>
      </c>
      <c r="C395" s="208"/>
      <c r="D395" s="207" t="s">
        <v>129</v>
      </c>
      <c r="E395" s="209">
        <v>0.73</v>
      </c>
      <c r="F395" s="209"/>
      <c r="G395" s="210">
        <v>2</v>
      </c>
      <c r="H395" s="210">
        <v>2</v>
      </c>
      <c r="I395" s="210"/>
      <c r="J395" s="211">
        <v>2.12</v>
      </c>
      <c r="K395" s="208"/>
      <c r="L395" s="207" t="s">
        <v>209</v>
      </c>
      <c r="M395" s="235"/>
      <c r="N395" s="198"/>
      <c r="O395" s="199" t="s">
        <v>129</v>
      </c>
      <c r="P395" s="199" t="s">
        <v>731</v>
      </c>
      <c r="Q395" s="199" t="s">
        <v>732</v>
      </c>
      <c r="R395" s="199" t="s">
        <v>707</v>
      </c>
      <c r="S395" s="200">
        <v>78</v>
      </c>
      <c r="T395" s="199"/>
      <c r="U395" s="199"/>
      <c r="V395" s="201"/>
      <c r="W395" s="202"/>
      <c r="X395" s="203"/>
      <c r="Y395" s="203">
        <v>2</v>
      </c>
      <c r="Z395" s="199"/>
      <c r="AA395" s="204"/>
      <c r="AB395" s="205"/>
      <c r="AC395" s="201"/>
    </row>
    <row r="396" spans="1:29" ht="15.75" thickBot="1" x14ac:dyDescent="0.3">
      <c r="A396" s="326">
        <v>45914</v>
      </c>
      <c r="B396" s="207">
        <v>4</v>
      </c>
      <c r="C396" s="208"/>
      <c r="D396" s="207" t="s">
        <v>129</v>
      </c>
      <c r="E396" s="209">
        <v>0.73</v>
      </c>
      <c r="F396" s="209"/>
      <c r="G396" s="210">
        <v>2</v>
      </c>
      <c r="H396" s="210">
        <v>2</v>
      </c>
      <c r="I396" s="210"/>
      <c r="J396" s="211">
        <v>2.12</v>
      </c>
      <c r="K396" s="208"/>
      <c r="L396" s="207" t="s">
        <v>209</v>
      </c>
      <c r="M396" s="235"/>
      <c r="N396" s="198"/>
      <c r="O396" s="199" t="s">
        <v>209</v>
      </c>
      <c r="P396" s="199" t="s">
        <v>74</v>
      </c>
      <c r="Q396" s="199" t="s">
        <v>730</v>
      </c>
      <c r="R396" s="199" t="s">
        <v>707</v>
      </c>
      <c r="S396" s="200">
        <v>58</v>
      </c>
      <c r="T396" s="199"/>
      <c r="U396" s="199"/>
      <c r="V396" s="201"/>
      <c r="W396" s="202"/>
      <c r="X396" s="203"/>
      <c r="Y396" s="203">
        <v>2</v>
      </c>
      <c r="Z396" s="199"/>
      <c r="AA396" s="204"/>
      <c r="AB396" s="205"/>
      <c r="AC396" s="201"/>
    </row>
    <row r="397" spans="1:29" x14ac:dyDescent="0.25">
      <c r="A397" s="331">
        <v>45935</v>
      </c>
      <c r="B397" s="13">
        <v>8</v>
      </c>
      <c r="C397" s="124" t="s">
        <v>693</v>
      </c>
      <c r="D397" s="13" t="s">
        <v>192</v>
      </c>
      <c r="E397" s="14">
        <v>2.2400000000000002</v>
      </c>
      <c r="F397" s="14"/>
      <c r="G397" s="15">
        <v>1</v>
      </c>
      <c r="H397" s="15">
        <v>2</v>
      </c>
      <c r="I397" s="15"/>
      <c r="J397" s="16">
        <v>1.33</v>
      </c>
      <c r="K397" s="124" t="s">
        <v>693</v>
      </c>
      <c r="L397" s="13" t="s">
        <v>209</v>
      </c>
      <c r="M397" s="47"/>
      <c r="N397" s="98">
        <v>15</v>
      </c>
      <c r="O397" s="70" t="s">
        <v>192</v>
      </c>
      <c r="P397" s="70" t="s">
        <v>572</v>
      </c>
      <c r="Q397" s="70" t="s">
        <v>573</v>
      </c>
      <c r="R397" s="70" t="s">
        <v>687</v>
      </c>
      <c r="S397" s="227">
        <v>77</v>
      </c>
      <c r="T397" s="70" t="s">
        <v>44</v>
      </c>
      <c r="U397" s="70" t="s">
        <v>42</v>
      </c>
      <c r="V397" s="71" t="s">
        <v>20</v>
      </c>
      <c r="W397" s="54">
        <v>0.05</v>
      </c>
      <c r="X397" s="14">
        <v>0.4</v>
      </c>
      <c r="Y397" s="14"/>
      <c r="Z397" s="13" t="s">
        <v>8</v>
      </c>
      <c r="AA397" s="115" t="s">
        <v>19</v>
      </c>
      <c r="AB397" s="110" t="s">
        <v>678</v>
      </c>
      <c r="AC397" s="60" t="s">
        <v>679</v>
      </c>
    </row>
    <row r="398" spans="1:29" x14ac:dyDescent="0.25">
      <c r="A398" s="329">
        <v>45935</v>
      </c>
      <c r="B398" s="5">
        <v>8</v>
      </c>
      <c r="D398" s="5" t="s">
        <v>192</v>
      </c>
      <c r="E398" s="6">
        <v>2.2400000000000002</v>
      </c>
      <c r="G398" s="7">
        <v>1</v>
      </c>
      <c r="H398" s="7">
        <v>2</v>
      </c>
      <c r="J398" s="8">
        <v>1.33</v>
      </c>
      <c r="L398" s="5" t="s">
        <v>209</v>
      </c>
      <c r="N398" s="56">
        <v>38</v>
      </c>
      <c r="O398" s="26" t="s">
        <v>209</v>
      </c>
      <c r="P398" s="26" t="s">
        <v>421</v>
      </c>
      <c r="Q398" s="26" t="s">
        <v>422</v>
      </c>
      <c r="R398" s="26" t="s">
        <v>712</v>
      </c>
      <c r="S398" s="213">
        <v>63</v>
      </c>
      <c r="T398" s="26" t="s">
        <v>41</v>
      </c>
      <c r="U398" s="26" t="s">
        <v>45</v>
      </c>
      <c r="V398" s="43" t="s">
        <v>10</v>
      </c>
      <c r="W398" s="51">
        <v>0.12</v>
      </c>
      <c r="X398" s="6" t="s">
        <v>53</v>
      </c>
      <c r="Z398" s="5" t="s">
        <v>55</v>
      </c>
      <c r="AA398" s="112" t="s">
        <v>19</v>
      </c>
    </row>
    <row r="399" spans="1:29" x14ac:dyDescent="0.25">
      <c r="A399" s="329">
        <v>45935</v>
      </c>
      <c r="B399" s="5">
        <v>8</v>
      </c>
      <c r="D399" s="5" t="s">
        <v>192</v>
      </c>
      <c r="E399" s="6">
        <v>2.2400000000000002</v>
      </c>
      <c r="G399" s="7">
        <v>1</v>
      </c>
      <c r="H399" s="7">
        <v>2</v>
      </c>
      <c r="J399" s="8">
        <v>1.33</v>
      </c>
      <c r="L399" s="5" t="s">
        <v>209</v>
      </c>
      <c r="N399" s="56" t="s">
        <v>12</v>
      </c>
      <c r="O399" s="61" t="s">
        <v>192</v>
      </c>
      <c r="P399" s="61" t="s">
        <v>278</v>
      </c>
      <c r="Q399" s="61" t="s">
        <v>279</v>
      </c>
      <c r="R399" s="61" t="s">
        <v>699</v>
      </c>
      <c r="S399" s="218">
        <v>64</v>
      </c>
      <c r="T399" s="61" t="s">
        <v>47</v>
      </c>
      <c r="U399" s="61" t="s">
        <v>45</v>
      </c>
      <c r="V399" s="63" t="s">
        <v>20</v>
      </c>
      <c r="W399" s="51">
        <v>0.25</v>
      </c>
      <c r="X399" s="6" t="s">
        <v>53</v>
      </c>
      <c r="Y399" s="6" t="s">
        <v>353</v>
      </c>
      <c r="Z399" s="5" t="s">
        <v>16</v>
      </c>
      <c r="AA399" s="112" t="s">
        <v>19</v>
      </c>
    </row>
    <row r="400" spans="1:29" x14ac:dyDescent="0.25">
      <c r="A400" s="329">
        <v>45935</v>
      </c>
      <c r="B400" s="5">
        <v>8</v>
      </c>
      <c r="D400" s="5" t="s">
        <v>192</v>
      </c>
      <c r="E400" s="6">
        <v>2.2400000000000002</v>
      </c>
      <c r="G400" s="7">
        <v>1</v>
      </c>
      <c r="H400" s="7">
        <v>2</v>
      </c>
      <c r="J400" s="8">
        <v>1.33</v>
      </c>
      <c r="L400" s="5" t="s">
        <v>209</v>
      </c>
      <c r="N400" s="56">
        <v>46</v>
      </c>
      <c r="O400" s="61" t="s">
        <v>192</v>
      </c>
      <c r="P400" s="61" t="s">
        <v>410</v>
      </c>
      <c r="Q400" s="61" t="s">
        <v>361</v>
      </c>
      <c r="R400" s="61" t="s">
        <v>684</v>
      </c>
      <c r="S400" s="218">
        <v>58</v>
      </c>
      <c r="T400" s="61" t="s">
        <v>44</v>
      </c>
      <c r="U400" s="61" t="s">
        <v>42</v>
      </c>
      <c r="V400" s="63" t="s">
        <v>10</v>
      </c>
      <c r="W400" s="51">
        <v>0.03</v>
      </c>
      <c r="X400" s="6" t="s">
        <v>53</v>
      </c>
      <c r="Z400" s="5" t="s">
        <v>22</v>
      </c>
      <c r="AA400" s="112" t="s">
        <v>19</v>
      </c>
    </row>
    <row r="401" spans="1:29" x14ac:dyDescent="0.25">
      <c r="A401" s="329">
        <v>45935</v>
      </c>
      <c r="B401" s="5">
        <v>8</v>
      </c>
      <c r="D401" s="5" t="s">
        <v>192</v>
      </c>
      <c r="E401" s="6">
        <v>2.2400000000000002</v>
      </c>
      <c r="G401" s="7">
        <v>1</v>
      </c>
      <c r="H401" s="7">
        <v>2</v>
      </c>
      <c r="J401" s="8">
        <v>1.33</v>
      </c>
      <c r="L401" s="5" t="s">
        <v>209</v>
      </c>
      <c r="N401" s="56">
        <v>48</v>
      </c>
      <c r="O401" s="61" t="s">
        <v>192</v>
      </c>
      <c r="P401" s="61" t="s">
        <v>46</v>
      </c>
      <c r="Q401" s="61" t="s">
        <v>191</v>
      </c>
      <c r="R401" s="61" t="s">
        <v>688</v>
      </c>
      <c r="S401" s="218">
        <v>63</v>
      </c>
      <c r="T401" s="61" t="s">
        <v>44</v>
      </c>
      <c r="U401" s="61" t="s">
        <v>42</v>
      </c>
      <c r="V401" s="63" t="s">
        <v>20</v>
      </c>
      <c r="W401" s="51">
        <v>0.01</v>
      </c>
      <c r="X401" s="6" t="s">
        <v>53</v>
      </c>
      <c r="Z401" s="5" t="s">
        <v>16</v>
      </c>
      <c r="AA401" s="112" t="s">
        <v>19</v>
      </c>
    </row>
    <row r="402" spans="1:29" x14ac:dyDescent="0.25">
      <c r="A402" s="329">
        <v>45935</v>
      </c>
      <c r="B402" s="5">
        <v>8</v>
      </c>
      <c r="D402" s="5" t="s">
        <v>192</v>
      </c>
      <c r="E402" s="6">
        <v>2.2400000000000002</v>
      </c>
      <c r="G402" s="7">
        <v>1</v>
      </c>
      <c r="H402" s="7">
        <v>2</v>
      </c>
      <c r="J402" s="8">
        <v>1.33</v>
      </c>
      <c r="L402" s="5" t="s">
        <v>209</v>
      </c>
      <c r="N402" s="56">
        <v>49</v>
      </c>
      <c r="O402" s="26" t="s">
        <v>209</v>
      </c>
      <c r="P402" s="26" t="s">
        <v>222</v>
      </c>
      <c r="Q402" s="26" t="s">
        <v>223</v>
      </c>
      <c r="R402" s="26" t="s">
        <v>699</v>
      </c>
      <c r="S402" s="213">
        <v>66</v>
      </c>
      <c r="T402" s="26" t="s">
        <v>41</v>
      </c>
      <c r="U402" s="26" t="s">
        <v>42</v>
      </c>
      <c r="V402" s="43" t="s">
        <v>10</v>
      </c>
      <c r="W402" s="51">
        <v>0.1</v>
      </c>
      <c r="X402" s="6" t="s">
        <v>53</v>
      </c>
      <c r="Z402" s="5" t="s">
        <v>52</v>
      </c>
      <c r="AA402" s="112" t="s">
        <v>19</v>
      </c>
    </row>
    <row r="403" spans="1:29" x14ac:dyDescent="0.25">
      <c r="A403" s="329">
        <v>45935</v>
      </c>
      <c r="B403" s="5">
        <v>8</v>
      </c>
      <c r="D403" s="5" t="s">
        <v>192</v>
      </c>
      <c r="E403" s="6">
        <v>2.2400000000000002</v>
      </c>
      <c r="G403" s="7">
        <v>1</v>
      </c>
      <c r="H403" s="7">
        <v>2</v>
      </c>
      <c r="J403" s="8">
        <v>1.33</v>
      </c>
      <c r="L403" s="5" t="s">
        <v>209</v>
      </c>
      <c r="N403" s="56">
        <v>49</v>
      </c>
      <c r="O403" s="26" t="s">
        <v>209</v>
      </c>
      <c r="P403" s="26" t="s">
        <v>241</v>
      </c>
      <c r="Q403" s="26" t="s">
        <v>396</v>
      </c>
      <c r="R403" s="26" t="s">
        <v>687</v>
      </c>
      <c r="S403" s="213">
        <v>72</v>
      </c>
      <c r="T403" s="26" t="s">
        <v>44</v>
      </c>
      <c r="U403" s="26" t="s">
        <v>43</v>
      </c>
      <c r="V403" s="43" t="s">
        <v>540</v>
      </c>
      <c r="W403" s="51">
        <v>0.06</v>
      </c>
      <c r="X403" s="6">
        <v>0.28000000000000003</v>
      </c>
      <c r="Z403" s="5" t="s">
        <v>48</v>
      </c>
      <c r="AA403" s="112" t="s">
        <v>19</v>
      </c>
    </row>
    <row r="404" spans="1:29" x14ac:dyDescent="0.25">
      <c r="A404" s="329">
        <v>45935</v>
      </c>
      <c r="B404" s="5">
        <v>8</v>
      </c>
      <c r="D404" s="5" t="s">
        <v>192</v>
      </c>
      <c r="E404" s="6">
        <v>2.2400000000000002</v>
      </c>
      <c r="G404" s="7">
        <v>1</v>
      </c>
      <c r="H404" s="7">
        <v>2</v>
      </c>
      <c r="J404" s="8">
        <v>1.33</v>
      </c>
      <c r="L404" s="5" t="s">
        <v>209</v>
      </c>
      <c r="N404" s="56">
        <v>49</v>
      </c>
      <c r="O404" s="26" t="s">
        <v>209</v>
      </c>
      <c r="P404" s="26" t="s">
        <v>424</v>
      </c>
      <c r="Q404" s="26" t="s">
        <v>425</v>
      </c>
      <c r="R404" s="26" t="s">
        <v>685</v>
      </c>
      <c r="S404" s="213">
        <v>83</v>
      </c>
      <c r="T404" s="26" t="s">
        <v>47</v>
      </c>
      <c r="U404" s="26" t="s">
        <v>45</v>
      </c>
      <c r="V404" s="43" t="s">
        <v>540</v>
      </c>
      <c r="W404" s="51">
        <v>0.27</v>
      </c>
      <c r="X404" s="6" t="s">
        <v>53</v>
      </c>
      <c r="Y404" s="6" t="s">
        <v>353</v>
      </c>
      <c r="Z404" s="5" t="s">
        <v>22</v>
      </c>
      <c r="AA404" s="112" t="s">
        <v>19</v>
      </c>
    </row>
    <row r="405" spans="1:29" x14ac:dyDescent="0.25">
      <c r="A405" s="329">
        <v>45935</v>
      </c>
      <c r="B405" s="5">
        <v>8</v>
      </c>
      <c r="D405" s="5" t="s">
        <v>192</v>
      </c>
      <c r="E405" s="6">
        <v>2.2400000000000002</v>
      </c>
      <c r="G405" s="7">
        <v>1</v>
      </c>
      <c r="H405" s="7">
        <v>2</v>
      </c>
      <c r="J405" s="8">
        <v>1.33</v>
      </c>
      <c r="L405" s="5" t="s">
        <v>209</v>
      </c>
      <c r="N405" s="56">
        <v>52</v>
      </c>
      <c r="O405" s="61" t="s">
        <v>192</v>
      </c>
      <c r="P405" s="61" t="s">
        <v>198</v>
      </c>
      <c r="Q405" s="61" t="s">
        <v>199</v>
      </c>
      <c r="R405" s="61" t="s">
        <v>685</v>
      </c>
      <c r="S405" s="218">
        <v>65</v>
      </c>
      <c r="T405" s="61" t="s">
        <v>41</v>
      </c>
      <c r="U405" s="61" t="s">
        <v>42</v>
      </c>
      <c r="V405" s="63" t="s">
        <v>10</v>
      </c>
      <c r="W405" s="51">
        <v>0.45</v>
      </c>
      <c r="X405" s="6">
        <v>0.6</v>
      </c>
      <c r="Z405" s="5" t="s">
        <v>48</v>
      </c>
      <c r="AA405" s="112" t="s">
        <v>19</v>
      </c>
    </row>
    <row r="406" spans="1:29" x14ac:dyDescent="0.25">
      <c r="A406" s="329">
        <v>45935</v>
      </c>
      <c r="B406" s="5">
        <v>8</v>
      </c>
      <c r="D406" s="5" t="s">
        <v>192</v>
      </c>
      <c r="E406" s="6">
        <v>2.2400000000000002</v>
      </c>
      <c r="G406" s="7">
        <v>1</v>
      </c>
      <c r="H406" s="7">
        <v>2</v>
      </c>
      <c r="J406" s="8">
        <v>1.33</v>
      </c>
      <c r="L406" s="5" t="s">
        <v>209</v>
      </c>
      <c r="N406" s="56">
        <v>54</v>
      </c>
      <c r="O406" s="26" t="s">
        <v>209</v>
      </c>
      <c r="P406" s="26" t="s">
        <v>220</v>
      </c>
      <c r="Q406" s="26" t="s">
        <v>221</v>
      </c>
      <c r="R406" s="26" t="s">
        <v>684</v>
      </c>
      <c r="S406" s="213">
        <v>78</v>
      </c>
      <c r="T406" s="26" t="s">
        <v>41</v>
      </c>
      <c r="U406" s="26" t="s">
        <v>45</v>
      </c>
      <c r="V406" s="43" t="s">
        <v>10</v>
      </c>
      <c r="W406" s="51">
        <v>0.04</v>
      </c>
      <c r="X406" s="6">
        <v>0.47</v>
      </c>
      <c r="Z406" s="5" t="s">
        <v>8</v>
      </c>
      <c r="AA406" s="112" t="s">
        <v>51</v>
      </c>
      <c r="AB406" s="108" t="s">
        <v>680</v>
      </c>
      <c r="AC406" s="57" t="s">
        <v>211</v>
      </c>
    </row>
    <row r="407" spans="1:29" x14ac:dyDescent="0.25">
      <c r="A407" s="329">
        <v>45935</v>
      </c>
      <c r="B407" s="5">
        <v>8</v>
      </c>
      <c r="D407" s="5" t="s">
        <v>192</v>
      </c>
      <c r="E407" s="6">
        <v>2.2400000000000002</v>
      </c>
      <c r="G407" s="7">
        <v>1</v>
      </c>
      <c r="H407" s="7">
        <v>2</v>
      </c>
      <c r="J407" s="8">
        <v>1.33</v>
      </c>
      <c r="L407" s="5" t="s">
        <v>209</v>
      </c>
      <c r="N407" s="56">
        <v>58</v>
      </c>
      <c r="O407" s="61" t="s">
        <v>192</v>
      </c>
      <c r="P407" s="61" t="s">
        <v>278</v>
      </c>
      <c r="Q407" s="61" t="s">
        <v>279</v>
      </c>
      <c r="R407" s="61" t="s">
        <v>699</v>
      </c>
      <c r="S407" s="218">
        <v>64</v>
      </c>
      <c r="T407" s="61" t="s">
        <v>44</v>
      </c>
      <c r="U407" s="61" t="s">
        <v>42</v>
      </c>
      <c r="V407" s="63" t="s">
        <v>10</v>
      </c>
      <c r="W407" s="51">
        <v>0.02</v>
      </c>
      <c r="X407" s="6">
        <v>0.38</v>
      </c>
      <c r="Z407" s="5" t="s">
        <v>48</v>
      </c>
      <c r="AA407" s="112" t="s">
        <v>51</v>
      </c>
    </row>
    <row r="408" spans="1:29" x14ac:dyDescent="0.25">
      <c r="A408" s="329">
        <v>45935</v>
      </c>
      <c r="B408" s="5">
        <v>8</v>
      </c>
      <c r="D408" s="5" t="s">
        <v>192</v>
      </c>
      <c r="E408" s="6">
        <v>2.2400000000000002</v>
      </c>
      <c r="G408" s="7">
        <v>1</v>
      </c>
      <c r="H408" s="7">
        <v>2</v>
      </c>
      <c r="J408" s="8">
        <v>1.33</v>
      </c>
      <c r="L408" s="5" t="s">
        <v>209</v>
      </c>
      <c r="N408" s="56">
        <v>63</v>
      </c>
      <c r="O408" s="26" t="s">
        <v>209</v>
      </c>
      <c r="P408" s="26" t="s">
        <v>424</v>
      </c>
      <c r="Q408" s="26" t="s">
        <v>425</v>
      </c>
      <c r="R408" s="26" t="s">
        <v>685</v>
      </c>
      <c r="S408" s="213">
        <v>83</v>
      </c>
      <c r="T408" s="26" t="s">
        <v>41</v>
      </c>
      <c r="U408" s="26" t="s">
        <v>43</v>
      </c>
      <c r="V408" s="43" t="s">
        <v>18</v>
      </c>
      <c r="W408" s="51">
        <v>0.4</v>
      </c>
      <c r="X408" s="6">
        <v>0.75</v>
      </c>
      <c r="Y408" s="6" t="s">
        <v>353</v>
      </c>
      <c r="Z408" s="5" t="s">
        <v>8</v>
      </c>
      <c r="AA408" s="112" t="s">
        <v>67</v>
      </c>
      <c r="AB408" s="108" t="s">
        <v>241</v>
      </c>
      <c r="AC408" s="57" t="s">
        <v>396</v>
      </c>
    </row>
    <row r="409" spans="1:29" x14ac:dyDescent="0.25">
      <c r="A409" s="329">
        <v>45935</v>
      </c>
      <c r="B409" s="5">
        <v>8</v>
      </c>
      <c r="D409" s="5" t="s">
        <v>192</v>
      </c>
      <c r="E409" s="6">
        <v>2.2400000000000002</v>
      </c>
      <c r="G409" s="7">
        <v>1</v>
      </c>
      <c r="H409" s="7">
        <v>2</v>
      </c>
      <c r="J409" s="8">
        <v>1.33</v>
      </c>
      <c r="L409" s="5" t="s">
        <v>209</v>
      </c>
      <c r="N409" s="56">
        <v>67</v>
      </c>
      <c r="O409" s="61" t="s">
        <v>192</v>
      </c>
      <c r="P409" s="61" t="s">
        <v>410</v>
      </c>
      <c r="Q409" s="61" t="s">
        <v>361</v>
      </c>
      <c r="R409" s="61" t="s">
        <v>684</v>
      </c>
      <c r="S409" s="218">
        <v>58</v>
      </c>
      <c r="T409" s="61" t="s">
        <v>41</v>
      </c>
      <c r="U409" s="61" t="s">
        <v>45</v>
      </c>
      <c r="V409" s="63" t="s">
        <v>10</v>
      </c>
      <c r="W409" s="51">
        <v>0.09</v>
      </c>
      <c r="X409" s="6" t="s">
        <v>53</v>
      </c>
      <c r="Z409" s="5" t="s">
        <v>22</v>
      </c>
      <c r="AA409" s="112" t="s">
        <v>67</v>
      </c>
    </row>
    <row r="410" spans="1:29" x14ac:dyDescent="0.25">
      <c r="A410" s="329">
        <v>45935</v>
      </c>
      <c r="B410" s="5">
        <v>8</v>
      </c>
      <c r="D410" s="5" t="s">
        <v>192</v>
      </c>
      <c r="E410" s="6">
        <v>2.2400000000000002</v>
      </c>
      <c r="G410" s="7">
        <v>1</v>
      </c>
      <c r="H410" s="7">
        <v>2</v>
      </c>
      <c r="J410" s="8">
        <v>1.33</v>
      </c>
      <c r="L410" s="5" t="s">
        <v>209</v>
      </c>
      <c r="N410" s="56">
        <v>71</v>
      </c>
      <c r="O410" s="61" t="s">
        <v>192</v>
      </c>
      <c r="P410" s="61" t="s">
        <v>278</v>
      </c>
      <c r="Q410" s="61" t="s">
        <v>279</v>
      </c>
      <c r="R410" s="61" t="s">
        <v>699</v>
      </c>
      <c r="S410" s="218">
        <v>64</v>
      </c>
      <c r="T410" s="61" t="s">
        <v>41</v>
      </c>
      <c r="U410" s="61" t="s">
        <v>42</v>
      </c>
      <c r="V410" s="63" t="s">
        <v>10</v>
      </c>
      <c r="W410" s="51">
        <v>0.11</v>
      </c>
      <c r="X410" s="6" t="s">
        <v>53</v>
      </c>
      <c r="Z410" s="5" t="s">
        <v>13</v>
      </c>
      <c r="AA410" s="112" t="s">
        <v>67</v>
      </c>
    </row>
    <row r="411" spans="1:29" x14ac:dyDescent="0.25">
      <c r="A411" s="329">
        <v>45935</v>
      </c>
      <c r="B411" s="5">
        <v>8</v>
      </c>
      <c r="D411" s="5" t="s">
        <v>192</v>
      </c>
      <c r="E411" s="6">
        <v>2.2400000000000002</v>
      </c>
      <c r="G411" s="7">
        <v>1</v>
      </c>
      <c r="H411" s="7">
        <v>2</v>
      </c>
      <c r="J411" s="8">
        <v>1.33</v>
      </c>
      <c r="L411" s="5" t="s">
        <v>209</v>
      </c>
      <c r="N411" s="56">
        <v>79</v>
      </c>
      <c r="O411" s="61" t="s">
        <v>192</v>
      </c>
      <c r="P411" s="61" t="s">
        <v>410</v>
      </c>
      <c r="Q411" s="61" t="s">
        <v>361</v>
      </c>
      <c r="R411" s="61" t="s">
        <v>684</v>
      </c>
      <c r="S411" s="218">
        <v>58</v>
      </c>
      <c r="T411" s="61" t="s">
        <v>41</v>
      </c>
      <c r="U411" s="61" t="s">
        <v>45</v>
      </c>
      <c r="V411" s="63" t="s">
        <v>10</v>
      </c>
      <c r="W411" s="51">
        <v>0.17</v>
      </c>
      <c r="X411" s="6">
        <v>0.37</v>
      </c>
      <c r="Z411" s="5" t="s">
        <v>48</v>
      </c>
      <c r="AA411" s="112" t="s">
        <v>67</v>
      </c>
    </row>
    <row r="412" spans="1:29" x14ac:dyDescent="0.25">
      <c r="A412" s="329">
        <v>45935</v>
      </c>
      <c r="B412" s="5">
        <v>8</v>
      </c>
      <c r="D412" s="5" t="s">
        <v>192</v>
      </c>
      <c r="E412" s="6">
        <v>2.2400000000000002</v>
      </c>
      <c r="G412" s="7">
        <v>1</v>
      </c>
      <c r="H412" s="7">
        <v>2</v>
      </c>
      <c r="J412" s="8">
        <v>1.33</v>
      </c>
      <c r="L412" s="5" t="s">
        <v>209</v>
      </c>
      <c r="N412" s="56" t="s">
        <v>31</v>
      </c>
      <c r="O412" s="61" t="s">
        <v>192</v>
      </c>
      <c r="P412" s="61" t="s">
        <v>410</v>
      </c>
      <c r="Q412" s="61" t="s">
        <v>361</v>
      </c>
      <c r="R412" s="61" t="s">
        <v>684</v>
      </c>
      <c r="S412" s="218">
        <v>58</v>
      </c>
      <c r="T412" s="61" t="s">
        <v>41</v>
      </c>
      <c r="U412" s="61" t="s">
        <v>45</v>
      </c>
      <c r="V412" s="63" t="s">
        <v>540</v>
      </c>
      <c r="W412" s="51">
        <v>0.1</v>
      </c>
      <c r="X412" s="6" t="s">
        <v>53</v>
      </c>
      <c r="Z412" s="5" t="s">
        <v>55</v>
      </c>
      <c r="AA412" s="112" t="s">
        <v>67</v>
      </c>
    </row>
    <row r="413" spans="1:29" x14ac:dyDescent="0.25">
      <c r="A413" s="329">
        <v>45935</v>
      </c>
      <c r="B413" s="5">
        <v>8</v>
      </c>
      <c r="D413" s="5" t="s">
        <v>192</v>
      </c>
      <c r="E413" s="6">
        <v>2.2400000000000002</v>
      </c>
      <c r="G413" s="7">
        <v>1</v>
      </c>
      <c r="H413" s="7">
        <v>2</v>
      </c>
      <c r="J413" s="8">
        <v>1.33</v>
      </c>
      <c r="L413" s="5" t="s">
        <v>209</v>
      </c>
      <c r="N413" s="56" t="s">
        <v>312</v>
      </c>
      <c r="O413" s="26" t="s">
        <v>209</v>
      </c>
      <c r="P413" s="26" t="s">
        <v>424</v>
      </c>
      <c r="Q413" s="26" t="s">
        <v>425</v>
      </c>
      <c r="R413" s="26" t="s">
        <v>685</v>
      </c>
      <c r="S413" s="213">
        <v>83</v>
      </c>
      <c r="T413" s="26" t="s">
        <v>354</v>
      </c>
      <c r="U413" s="26" t="s">
        <v>42</v>
      </c>
      <c r="V413" s="43" t="s">
        <v>18</v>
      </c>
      <c r="W413" s="51">
        <v>0.12</v>
      </c>
      <c r="X413" s="6" t="s">
        <v>53</v>
      </c>
      <c r="Z413" s="5" t="s">
        <v>13</v>
      </c>
      <c r="AA413" s="112" t="s">
        <v>67</v>
      </c>
    </row>
    <row r="414" spans="1:29" ht="15.75" thickBot="1" x14ac:dyDescent="0.3">
      <c r="A414" s="330">
        <v>45935</v>
      </c>
      <c r="B414" s="9">
        <v>8</v>
      </c>
      <c r="C414" s="122"/>
      <c r="D414" s="9" t="s">
        <v>192</v>
      </c>
      <c r="E414" s="10">
        <v>2.2400000000000002</v>
      </c>
      <c r="F414" s="10"/>
      <c r="G414" s="11">
        <v>1</v>
      </c>
      <c r="H414" s="11">
        <v>2</v>
      </c>
      <c r="I414" s="11"/>
      <c r="J414" s="12">
        <v>1.33</v>
      </c>
      <c r="K414" s="122"/>
      <c r="L414" s="9" t="s">
        <v>209</v>
      </c>
      <c r="M414" s="45"/>
      <c r="N414" s="97" t="s">
        <v>574</v>
      </c>
      <c r="O414" s="66" t="s">
        <v>192</v>
      </c>
      <c r="P414" s="66" t="s">
        <v>278</v>
      </c>
      <c r="Q414" s="66" t="s">
        <v>279</v>
      </c>
      <c r="R414" s="66" t="s">
        <v>699</v>
      </c>
      <c r="S414" s="219">
        <v>64</v>
      </c>
      <c r="T414" s="66" t="s">
        <v>41</v>
      </c>
      <c r="U414" s="66" t="s">
        <v>42</v>
      </c>
      <c r="V414" s="67" t="s">
        <v>7</v>
      </c>
      <c r="W414" s="52">
        <v>0.79</v>
      </c>
      <c r="X414" s="10">
        <v>0.65</v>
      </c>
      <c r="Y414" s="10" t="s">
        <v>353</v>
      </c>
      <c r="Z414" s="9" t="s">
        <v>48</v>
      </c>
      <c r="AA414" s="113" t="s">
        <v>67</v>
      </c>
      <c r="AB414" s="109"/>
      <c r="AC414" s="58"/>
    </row>
    <row r="415" spans="1:29" ht="15.75" thickBot="1" x14ac:dyDescent="0.3">
      <c r="A415" s="326">
        <v>45935</v>
      </c>
      <c r="B415" s="207">
        <v>8</v>
      </c>
      <c r="C415" s="208"/>
      <c r="D415" s="207" t="s">
        <v>192</v>
      </c>
      <c r="E415" s="209">
        <v>2.2400000000000002</v>
      </c>
      <c r="F415" s="209"/>
      <c r="G415" s="210">
        <v>1</v>
      </c>
      <c r="H415" s="210">
        <v>2</v>
      </c>
      <c r="I415" s="210"/>
      <c r="J415" s="211">
        <v>1.33</v>
      </c>
      <c r="K415" s="208"/>
      <c r="L415" s="207" t="s">
        <v>209</v>
      </c>
      <c r="M415" s="235"/>
      <c r="N415" s="198"/>
      <c r="O415" s="199" t="s">
        <v>192</v>
      </c>
      <c r="P415" s="199" t="s">
        <v>723</v>
      </c>
      <c r="Q415" s="199" t="s">
        <v>724</v>
      </c>
      <c r="R415" s="199" t="s">
        <v>707</v>
      </c>
      <c r="S415" s="200">
        <v>68</v>
      </c>
      <c r="T415" s="199"/>
      <c r="U415" s="199"/>
      <c r="V415" s="201"/>
      <c r="W415" s="202"/>
      <c r="X415" s="203"/>
      <c r="Y415" s="203">
        <v>2</v>
      </c>
      <c r="Z415" s="199"/>
      <c r="AA415" s="204"/>
      <c r="AB415" s="205"/>
      <c r="AC415" s="201"/>
    </row>
    <row r="416" spans="1:29" ht="15.75" thickBot="1" x14ac:dyDescent="0.3">
      <c r="A416" s="326">
        <v>45935</v>
      </c>
      <c r="B416" s="207">
        <v>8</v>
      </c>
      <c r="C416" s="208"/>
      <c r="D416" s="207" t="s">
        <v>192</v>
      </c>
      <c r="E416" s="209">
        <v>2.2400000000000002</v>
      </c>
      <c r="F416" s="209"/>
      <c r="G416" s="210">
        <v>1</v>
      </c>
      <c r="H416" s="210">
        <v>2</v>
      </c>
      <c r="I416" s="210"/>
      <c r="J416" s="211">
        <v>1.33</v>
      </c>
      <c r="K416" s="208"/>
      <c r="L416" s="207" t="s">
        <v>209</v>
      </c>
      <c r="M416" s="235"/>
      <c r="N416" s="198"/>
      <c r="O416" s="199" t="s">
        <v>209</v>
      </c>
      <c r="P416" s="199" t="s">
        <v>447</v>
      </c>
      <c r="Q416" s="199" t="s">
        <v>150</v>
      </c>
      <c r="R416" s="199" t="s">
        <v>707</v>
      </c>
      <c r="S416" s="200">
        <v>85</v>
      </c>
      <c r="T416" s="199"/>
      <c r="U416" s="199"/>
      <c r="V416" s="201"/>
      <c r="W416" s="202"/>
      <c r="X416" s="203"/>
      <c r="Y416" s="203">
        <v>1</v>
      </c>
      <c r="Z416" s="199"/>
      <c r="AA416" s="204"/>
      <c r="AB416" s="205"/>
      <c r="AC416" s="201"/>
    </row>
    <row r="417" spans="1:29" ht="15.75" thickBot="1" x14ac:dyDescent="0.3">
      <c r="A417" s="337"/>
      <c r="B417" s="274"/>
      <c r="C417" s="275"/>
      <c r="D417" s="274"/>
      <c r="E417" s="276"/>
      <c r="F417" s="276"/>
      <c r="G417" s="277"/>
      <c r="H417" s="277"/>
      <c r="I417" s="277"/>
      <c r="J417" s="278"/>
      <c r="K417" s="275"/>
      <c r="L417" s="274"/>
      <c r="M417" s="279"/>
      <c r="N417" s="280"/>
      <c r="O417" s="281"/>
      <c r="P417" s="281"/>
      <c r="Q417" s="281"/>
      <c r="R417" s="281"/>
      <c r="S417" s="282"/>
      <c r="T417" s="281"/>
      <c r="U417" s="281"/>
      <c r="V417" s="283"/>
      <c r="W417" s="284"/>
      <c r="X417" s="285"/>
      <c r="Y417" s="288" t="s">
        <v>741</v>
      </c>
      <c r="Z417" s="281"/>
      <c r="AA417" s="286"/>
      <c r="AB417" s="287"/>
      <c r="AC417" s="283"/>
    </row>
    <row r="418" spans="1:29" x14ac:dyDescent="0.25">
      <c r="A418" s="323">
        <v>45892</v>
      </c>
      <c r="B418" s="136">
        <v>2</v>
      </c>
      <c r="C418" s="137" t="s">
        <v>694</v>
      </c>
      <c r="D418" s="136" t="s">
        <v>193</v>
      </c>
      <c r="E418" s="138">
        <v>1.74</v>
      </c>
      <c r="F418" s="138"/>
      <c r="G418" s="139">
        <v>1</v>
      </c>
      <c r="H418" s="139">
        <v>1</v>
      </c>
      <c r="I418" s="139"/>
      <c r="J418" s="140">
        <v>0.56999999999999995</v>
      </c>
      <c r="K418" s="137" t="s">
        <v>703</v>
      </c>
      <c r="L418" s="136" t="s">
        <v>208</v>
      </c>
      <c r="M418" s="141"/>
      <c r="N418" s="142">
        <v>8</v>
      </c>
      <c r="O418" s="64" t="s">
        <v>193</v>
      </c>
      <c r="P418" s="64" t="s">
        <v>257</v>
      </c>
      <c r="Q418" s="64" t="s">
        <v>258</v>
      </c>
      <c r="R418" s="64" t="s">
        <v>718</v>
      </c>
      <c r="S418" s="217">
        <v>84</v>
      </c>
      <c r="T418" s="64" t="s">
        <v>41</v>
      </c>
      <c r="U418" s="64" t="s">
        <v>43</v>
      </c>
      <c r="V418" s="65" t="s">
        <v>10</v>
      </c>
      <c r="W418" s="167">
        <v>0.22</v>
      </c>
      <c r="X418" s="138">
        <v>0.3</v>
      </c>
      <c r="Y418" s="138" t="s">
        <v>353</v>
      </c>
      <c r="Z418" s="136" t="s">
        <v>8</v>
      </c>
      <c r="AA418" s="168" t="s">
        <v>19</v>
      </c>
      <c r="AB418" s="169" t="s">
        <v>316</v>
      </c>
      <c r="AC418" s="170" t="s">
        <v>317</v>
      </c>
    </row>
    <row r="419" spans="1:29" x14ac:dyDescent="0.25">
      <c r="A419" s="324">
        <v>45892</v>
      </c>
      <c r="B419" s="144">
        <v>2</v>
      </c>
      <c r="C419" s="145"/>
      <c r="D419" s="144" t="s">
        <v>193</v>
      </c>
      <c r="E419" s="146">
        <v>1.74</v>
      </c>
      <c r="F419" s="146"/>
      <c r="G419" s="147">
        <v>1</v>
      </c>
      <c r="H419" s="147">
        <v>1</v>
      </c>
      <c r="I419" s="147"/>
      <c r="J419" s="148">
        <v>0.56999999999999995</v>
      </c>
      <c r="K419" s="145"/>
      <c r="L419" s="144" t="s">
        <v>208</v>
      </c>
      <c r="M419" s="149"/>
      <c r="N419" s="150">
        <v>14</v>
      </c>
      <c r="O419" s="61" t="s">
        <v>193</v>
      </c>
      <c r="P419" s="61" t="s">
        <v>257</v>
      </c>
      <c r="Q419" s="61" t="s">
        <v>258</v>
      </c>
      <c r="R419" s="61" t="s">
        <v>718</v>
      </c>
      <c r="S419" s="218">
        <v>84</v>
      </c>
      <c r="T419" s="61" t="s">
        <v>41</v>
      </c>
      <c r="U419" s="61" t="s">
        <v>42</v>
      </c>
      <c r="V419" s="63" t="s">
        <v>18</v>
      </c>
      <c r="W419" s="171">
        <v>0.41</v>
      </c>
      <c r="X419" s="146">
        <v>0.33</v>
      </c>
      <c r="Y419" s="146" t="s">
        <v>353</v>
      </c>
      <c r="Z419" s="144" t="s">
        <v>48</v>
      </c>
      <c r="AA419" s="172" t="s">
        <v>19</v>
      </c>
      <c r="AB419" s="173"/>
      <c r="AC419" s="174"/>
    </row>
    <row r="420" spans="1:29" x14ac:dyDescent="0.25">
      <c r="A420" s="324">
        <v>45892</v>
      </c>
      <c r="B420" s="144">
        <v>2</v>
      </c>
      <c r="C420" s="145"/>
      <c r="D420" s="144" t="s">
        <v>193</v>
      </c>
      <c r="E420" s="146">
        <v>1.74</v>
      </c>
      <c r="F420" s="146"/>
      <c r="G420" s="147">
        <v>1</v>
      </c>
      <c r="H420" s="147">
        <v>1</v>
      </c>
      <c r="I420" s="147"/>
      <c r="J420" s="148">
        <v>0.56999999999999995</v>
      </c>
      <c r="K420" s="145"/>
      <c r="L420" s="144" t="s">
        <v>208</v>
      </c>
      <c r="M420" s="149"/>
      <c r="N420" s="150">
        <v>15</v>
      </c>
      <c r="O420" s="26" t="s">
        <v>208</v>
      </c>
      <c r="P420" s="26" t="s">
        <v>61</v>
      </c>
      <c r="Q420" s="26" t="s">
        <v>261</v>
      </c>
      <c r="R420" s="26" t="s">
        <v>717</v>
      </c>
      <c r="S420" s="213">
        <v>74</v>
      </c>
      <c r="T420" s="26" t="s">
        <v>41</v>
      </c>
      <c r="U420" s="26" t="s">
        <v>42</v>
      </c>
      <c r="V420" s="43" t="s">
        <v>18</v>
      </c>
      <c r="W420" s="171">
        <v>0.3</v>
      </c>
      <c r="X420" s="146">
        <v>0.39</v>
      </c>
      <c r="Y420" s="146" t="s">
        <v>353</v>
      </c>
      <c r="Z420" s="144" t="s">
        <v>8</v>
      </c>
      <c r="AA420" s="172" t="s">
        <v>51</v>
      </c>
      <c r="AB420" s="173" t="s">
        <v>74</v>
      </c>
      <c r="AC420" s="174" t="s">
        <v>211</v>
      </c>
    </row>
    <row r="421" spans="1:29" x14ac:dyDescent="0.25">
      <c r="A421" s="324">
        <v>45892</v>
      </c>
      <c r="B421" s="144">
        <v>2</v>
      </c>
      <c r="C421" s="145"/>
      <c r="D421" s="144" t="s">
        <v>193</v>
      </c>
      <c r="E421" s="146">
        <v>1.74</v>
      </c>
      <c r="F421" s="146"/>
      <c r="G421" s="147">
        <v>1</v>
      </c>
      <c r="H421" s="147">
        <v>1</v>
      </c>
      <c r="I421" s="147"/>
      <c r="J421" s="148">
        <v>0.56999999999999995</v>
      </c>
      <c r="K421" s="145"/>
      <c r="L421" s="144" t="s">
        <v>208</v>
      </c>
      <c r="M421" s="149"/>
      <c r="N421" s="150">
        <v>49</v>
      </c>
      <c r="O421" s="26" t="s">
        <v>208</v>
      </c>
      <c r="P421" s="26" t="s">
        <v>25</v>
      </c>
      <c r="Q421" s="26" t="s">
        <v>262</v>
      </c>
      <c r="R421" s="26" t="s">
        <v>696</v>
      </c>
      <c r="S421" s="213">
        <v>68</v>
      </c>
      <c r="T421" s="26" t="s">
        <v>41</v>
      </c>
      <c r="U421" s="26" t="s">
        <v>45</v>
      </c>
      <c r="V421" s="43" t="s">
        <v>33</v>
      </c>
      <c r="W421" s="171">
        <v>0.15</v>
      </c>
      <c r="X421" s="146" t="s">
        <v>53</v>
      </c>
      <c r="Y421" s="146"/>
      <c r="Z421" s="144" t="s">
        <v>13</v>
      </c>
      <c r="AA421" s="172" t="s">
        <v>51</v>
      </c>
      <c r="AB421" s="173"/>
      <c r="AC421" s="174"/>
    </row>
    <row r="422" spans="1:29" x14ac:dyDescent="0.25">
      <c r="A422" s="324">
        <v>45892</v>
      </c>
      <c r="B422" s="144">
        <v>2</v>
      </c>
      <c r="C422" s="145"/>
      <c r="D422" s="144" t="s">
        <v>193</v>
      </c>
      <c r="E422" s="146">
        <v>1.74</v>
      </c>
      <c r="F422" s="146"/>
      <c r="G422" s="147">
        <v>1</v>
      </c>
      <c r="H422" s="147">
        <v>1</v>
      </c>
      <c r="I422" s="147"/>
      <c r="J422" s="148">
        <v>0.56999999999999995</v>
      </c>
      <c r="K422" s="145"/>
      <c r="L422" s="144" t="s">
        <v>208</v>
      </c>
      <c r="M422" s="149"/>
      <c r="N422" s="150">
        <v>71</v>
      </c>
      <c r="O422" s="61" t="s">
        <v>193</v>
      </c>
      <c r="P422" s="61" t="s">
        <v>206</v>
      </c>
      <c r="Q422" s="61" t="s">
        <v>207</v>
      </c>
      <c r="R422" s="61" t="s">
        <v>696</v>
      </c>
      <c r="S422" s="218">
        <v>68</v>
      </c>
      <c r="T422" s="61" t="s">
        <v>44</v>
      </c>
      <c r="U422" s="61" t="s">
        <v>43</v>
      </c>
      <c r="V422" s="63" t="s">
        <v>10</v>
      </c>
      <c r="W422" s="171">
        <v>0.02</v>
      </c>
      <c r="X422" s="146">
        <v>0.22</v>
      </c>
      <c r="Y422" s="146"/>
      <c r="Z422" s="144" t="s">
        <v>48</v>
      </c>
      <c r="AA422" s="172" t="s">
        <v>51</v>
      </c>
      <c r="AB422" s="173"/>
      <c r="AC422" s="174"/>
    </row>
    <row r="423" spans="1:29" ht="15.75" thickBot="1" x14ac:dyDescent="0.3">
      <c r="A423" s="325">
        <v>45892</v>
      </c>
      <c r="B423" s="152">
        <v>2</v>
      </c>
      <c r="C423" s="153"/>
      <c r="D423" s="152" t="s">
        <v>193</v>
      </c>
      <c r="E423" s="154">
        <v>1.74</v>
      </c>
      <c r="F423" s="154"/>
      <c r="G423" s="155">
        <v>1</v>
      </c>
      <c r="H423" s="155">
        <v>1</v>
      </c>
      <c r="I423" s="155"/>
      <c r="J423" s="156">
        <v>0.56999999999999995</v>
      </c>
      <c r="K423" s="153"/>
      <c r="L423" s="152" t="s">
        <v>208</v>
      </c>
      <c r="M423" s="157"/>
      <c r="N423" s="158">
        <v>81</v>
      </c>
      <c r="O423" s="66" t="s">
        <v>193</v>
      </c>
      <c r="P423" s="66" t="s">
        <v>259</v>
      </c>
      <c r="Q423" s="66" t="s">
        <v>260</v>
      </c>
      <c r="R423" s="66" t="s">
        <v>689</v>
      </c>
      <c r="S423" s="219">
        <v>74</v>
      </c>
      <c r="T423" s="66" t="s">
        <v>41</v>
      </c>
      <c r="U423" s="66" t="s">
        <v>42</v>
      </c>
      <c r="V423" s="67" t="s">
        <v>540</v>
      </c>
      <c r="W423" s="175">
        <v>0.6</v>
      </c>
      <c r="X423" s="154" t="s">
        <v>53</v>
      </c>
      <c r="Y423" s="154" t="s">
        <v>353</v>
      </c>
      <c r="Z423" s="152" t="s">
        <v>16</v>
      </c>
      <c r="AA423" s="176" t="s">
        <v>51</v>
      </c>
      <c r="AB423" s="177"/>
      <c r="AC423" s="178"/>
    </row>
    <row r="424" spans="1:29" ht="15.75" thickBot="1" x14ac:dyDescent="0.3">
      <c r="A424" s="326">
        <v>45892</v>
      </c>
      <c r="B424" s="207">
        <v>2</v>
      </c>
      <c r="C424" s="208"/>
      <c r="D424" s="207" t="s">
        <v>193</v>
      </c>
      <c r="E424" s="209">
        <v>1.74</v>
      </c>
      <c r="F424" s="209"/>
      <c r="G424" s="210">
        <v>1</v>
      </c>
      <c r="H424" s="210">
        <v>1</v>
      </c>
      <c r="I424" s="210"/>
      <c r="J424" s="211">
        <v>0.56999999999999995</v>
      </c>
      <c r="K424" s="208"/>
      <c r="L424" s="207" t="s">
        <v>208</v>
      </c>
      <c r="M424" s="197"/>
      <c r="N424" s="198"/>
      <c r="O424" s="199" t="s">
        <v>193</v>
      </c>
      <c r="P424" s="199" t="s">
        <v>580</v>
      </c>
      <c r="Q424" s="199" t="s">
        <v>581</v>
      </c>
      <c r="R424" s="199" t="s">
        <v>707</v>
      </c>
      <c r="S424" s="200">
        <v>64</v>
      </c>
      <c r="T424" s="199"/>
      <c r="U424" s="199"/>
      <c r="V424" s="201"/>
      <c r="W424" s="202"/>
      <c r="X424" s="203"/>
      <c r="Y424" s="203">
        <v>1</v>
      </c>
      <c r="Z424" s="199"/>
      <c r="AA424" s="204"/>
      <c r="AB424" s="205"/>
      <c r="AC424" s="201"/>
    </row>
    <row r="425" spans="1:29" ht="15.75" thickBot="1" x14ac:dyDescent="0.3">
      <c r="A425" s="326">
        <v>45892</v>
      </c>
      <c r="B425" s="207">
        <v>2</v>
      </c>
      <c r="C425" s="208"/>
      <c r="D425" s="207" t="s">
        <v>193</v>
      </c>
      <c r="E425" s="209">
        <v>1.74</v>
      </c>
      <c r="F425" s="209"/>
      <c r="G425" s="210">
        <v>1</v>
      </c>
      <c r="H425" s="210">
        <v>1</v>
      </c>
      <c r="I425" s="210"/>
      <c r="J425" s="211">
        <v>0.56999999999999995</v>
      </c>
      <c r="K425" s="208"/>
      <c r="L425" s="207" t="s">
        <v>208</v>
      </c>
      <c r="M425" s="197"/>
      <c r="N425" s="198"/>
      <c r="O425" s="199" t="s">
        <v>208</v>
      </c>
      <c r="P425" s="199" t="s">
        <v>433</v>
      </c>
      <c r="Q425" s="199" t="s">
        <v>725</v>
      </c>
      <c r="R425" s="199" t="s">
        <v>707</v>
      </c>
      <c r="S425" s="200">
        <v>75</v>
      </c>
      <c r="T425" s="199"/>
      <c r="U425" s="199"/>
      <c r="V425" s="201"/>
      <c r="W425" s="202"/>
      <c r="X425" s="203"/>
      <c r="Y425" s="203">
        <v>1</v>
      </c>
      <c r="Z425" s="199"/>
      <c r="AA425" s="204"/>
      <c r="AB425" s="205"/>
      <c r="AC425" s="201"/>
    </row>
    <row r="426" spans="1:29" x14ac:dyDescent="0.25">
      <c r="A426" s="323">
        <v>45913</v>
      </c>
      <c r="B426" s="136">
        <v>4</v>
      </c>
      <c r="C426" s="137" t="s">
        <v>694</v>
      </c>
      <c r="D426" s="136" t="s">
        <v>193</v>
      </c>
      <c r="E426" s="138">
        <v>1.01</v>
      </c>
      <c r="F426" s="138"/>
      <c r="G426" s="139">
        <v>2</v>
      </c>
      <c r="H426" s="139">
        <v>0</v>
      </c>
      <c r="I426" s="139"/>
      <c r="J426" s="140">
        <v>1.03</v>
      </c>
      <c r="K426" s="137" t="s">
        <v>694</v>
      </c>
      <c r="L426" s="136" t="s">
        <v>91</v>
      </c>
      <c r="M426" s="141"/>
      <c r="N426" s="142">
        <v>9</v>
      </c>
      <c r="O426" s="64" t="s">
        <v>193</v>
      </c>
      <c r="P426" s="64" t="s">
        <v>241</v>
      </c>
      <c r="Q426" s="64" t="s">
        <v>382</v>
      </c>
      <c r="R426" s="64" t="s">
        <v>695</v>
      </c>
      <c r="S426" s="217">
        <v>75</v>
      </c>
      <c r="T426" s="64" t="s">
        <v>41</v>
      </c>
      <c r="U426" s="64" t="s">
        <v>43</v>
      </c>
      <c r="V426" s="65" t="s">
        <v>10</v>
      </c>
      <c r="W426" s="167">
        <v>0.53</v>
      </c>
      <c r="X426" s="138">
        <v>0.8</v>
      </c>
      <c r="Y426" s="138" t="s">
        <v>353</v>
      </c>
      <c r="Z426" s="136" t="s">
        <v>8</v>
      </c>
      <c r="AA426" s="168" t="s">
        <v>19</v>
      </c>
      <c r="AB426" s="169" t="s">
        <v>200</v>
      </c>
      <c r="AC426" s="170" t="s">
        <v>201</v>
      </c>
    </row>
    <row r="427" spans="1:29" x14ac:dyDescent="0.25">
      <c r="A427" s="324">
        <v>45913</v>
      </c>
      <c r="B427" s="144">
        <v>4</v>
      </c>
      <c r="C427" s="145"/>
      <c r="D427" s="144" t="s">
        <v>193</v>
      </c>
      <c r="E427" s="146">
        <v>1.01</v>
      </c>
      <c r="F427" s="146"/>
      <c r="G427" s="147">
        <v>2</v>
      </c>
      <c r="H427" s="147">
        <v>0</v>
      </c>
      <c r="I427" s="147"/>
      <c r="J427" s="148">
        <v>1.03</v>
      </c>
      <c r="K427" s="145"/>
      <c r="L427" s="144" t="s">
        <v>91</v>
      </c>
      <c r="M427" s="149"/>
      <c r="N427" s="150">
        <v>14</v>
      </c>
      <c r="O427" s="61" t="s">
        <v>193</v>
      </c>
      <c r="P427" s="61" t="s">
        <v>204</v>
      </c>
      <c r="Q427" s="61" t="s">
        <v>205</v>
      </c>
      <c r="R427" s="61" t="s">
        <v>686</v>
      </c>
      <c r="S427" s="218">
        <v>67</v>
      </c>
      <c r="T427" s="61" t="s">
        <v>41</v>
      </c>
      <c r="U427" s="61" t="s">
        <v>42</v>
      </c>
      <c r="V427" s="63" t="s">
        <v>10</v>
      </c>
      <c r="W427" s="171">
        <v>0.26</v>
      </c>
      <c r="X427" s="146" t="s">
        <v>53</v>
      </c>
      <c r="Y427" s="146" t="s">
        <v>353</v>
      </c>
      <c r="Z427" s="144" t="s">
        <v>16</v>
      </c>
      <c r="AA427" s="172" t="s">
        <v>19</v>
      </c>
      <c r="AB427" s="173"/>
      <c r="AC427" s="174"/>
    </row>
    <row r="428" spans="1:29" x14ac:dyDescent="0.25">
      <c r="A428" s="324">
        <v>45913</v>
      </c>
      <c r="B428" s="144">
        <v>4</v>
      </c>
      <c r="C428" s="145"/>
      <c r="D428" s="144" t="s">
        <v>193</v>
      </c>
      <c r="E428" s="146">
        <v>1.01</v>
      </c>
      <c r="F428" s="146"/>
      <c r="G428" s="147">
        <v>2</v>
      </c>
      <c r="H428" s="147">
        <v>0</v>
      </c>
      <c r="I428" s="147"/>
      <c r="J428" s="148">
        <v>1.03</v>
      </c>
      <c r="K428" s="145"/>
      <c r="L428" s="144" t="s">
        <v>91</v>
      </c>
      <c r="M428" s="149"/>
      <c r="N428" s="150">
        <v>15</v>
      </c>
      <c r="O428" s="26" t="s">
        <v>91</v>
      </c>
      <c r="P428" s="26" t="s">
        <v>332</v>
      </c>
      <c r="Q428" s="26" t="s">
        <v>333</v>
      </c>
      <c r="R428" s="26" t="s">
        <v>685</v>
      </c>
      <c r="S428" s="213">
        <v>65</v>
      </c>
      <c r="T428" s="26" t="s">
        <v>41</v>
      </c>
      <c r="U428" s="26" t="s">
        <v>42</v>
      </c>
      <c r="V428" s="43" t="s">
        <v>540</v>
      </c>
      <c r="W428" s="171">
        <v>0.42</v>
      </c>
      <c r="X428" s="146" t="s">
        <v>53</v>
      </c>
      <c r="Y428" s="146" t="s">
        <v>353</v>
      </c>
      <c r="Z428" s="144" t="s">
        <v>13</v>
      </c>
      <c r="AA428" s="172" t="s">
        <v>19</v>
      </c>
      <c r="AB428" s="173"/>
      <c r="AC428" s="174"/>
    </row>
    <row r="429" spans="1:29" x14ac:dyDescent="0.25">
      <c r="A429" s="324">
        <v>45913</v>
      </c>
      <c r="B429" s="144">
        <v>4</v>
      </c>
      <c r="C429" s="145"/>
      <c r="D429" s="144" t="s">
        <v>193</v>
      </c>
      <c r="E429" s="146">
        <v>1.01</v>
      </c>
      <c r="F429" s="146"/>
      <c r="G429" s="147">
        <v>2</v>
      </c>
      <c r="H429" s="147">
        <v>0</v>
      </c>
      <c r="I429" s="147"/>
      <c r="J429" s="148">
        <v>1.03</v>
      </c>
      <c r="K429" s="145"/>
      <c r="L429" s="144" t="s">
        <v>91</v>
      </c>
      <c r="M429" s="149"/>
      <c r="N429" s="150">
        <v>22</v>
      </c>
      <c r="O429" s="26" t="s">
        <v>91</v>
      </c>
      <c r="P429" s="26" t="s">
        <v>332</v>
      </c>
      <c r="Q429" s="26" t="s">
        <v>333</v>
      </c>
      <c r="R429" s="26" t="s">
        <v>685</v>
      </c>
      <c r="S429" s="213">
        <v>65</v>
      </c>
      <c r="T429" s="26" t="s">
        <v>41</v>
      </c>
      <c r="U429" s="26" t="s">
        <v>43</v>
      </c>
      <c r="V429" s="43" t="s">
        <v>10</v>
      </c>
      <c r="W429" s="171">
        <v>0.26</v>
      </c>
      <c r="X429" s="146" t="s">
        <v>53</v>
      </c>
      <c r="Y429" s="146"/>
      <c r="Z429" s="144" t="s">
        <v>13</v>
      </c>
      <c r="AA429" s="172" t="s">
        <v>19</v>
      </c>
      <c r="AB429" s="173"/>
      <c r="AC429" s="174"/>
    </row>
    <row r="430" spans="1:29" x14ac:dyDescent="0.25">
      <c r="A430" s="324">
        <v>45913</v>
      </c>
      <c r="B430" s="144">
        <v>4</v>
      </c>
      <c r="C430" s="145"/>
      <c r="D430" s="144" t="s">
        <v>193</v>
      </c>
      <c r="E430" s="146">
        <v>1.01</v>
      </c>
      <c r="F430" s="146"/>
      <c r="G430" s="147">
        <v>2</v>
      </c>
      <c r="H430" s="147">
        <v>0</v>
      </c>
      <c r="I430" s="147"/>
      <c r="J430" s="148">
        <v>1.03</v>
      </c>
      <c r="K430" s="145"/>
      <c r="L430" s="144" t="s">
        <v>91</v>
      </c>
      <c r="M430" s="149"/>
      <c r="N430" s="150" t="s">
        <v>68</v>
      </c>
      <c r="O430" s="26" t="s">
        <v>91</v>
      </c>
      <c r="P430" s="26" t="s">
        <v>96</v>
      </c>
      <c r="Q430" s="26" t="s">
        <v>97</v>
      </c>
      <c r="R430" s="26" t="s">
        <v>718</v>
      </c>
      <c r="S430" s="213">
        <v>65</v>
      </c>
      <c r="T430" s="26" t="s">
        <v>354</v>
      </c>
      <c r="U430" s="26" t="s">
        <v>43</v>
      </c>
      <c r="V430" s="43" t="s">
        <v>15</v>
      </c>
      <c r="W430" s="171">
        <v>0.04</v>
      </c>
      <c r="X430" s="146" t="s">
        <v>53</v>
      </c>
      <c r="Y430" s="146"/>
      <c r="Z430" s="144" t="s">
        <v>17</v>
      </c>
      <c r="AA430" s="172" t="s">
        <v>19</v>
      </c>
      <c r="AB430" s="173"/>
      <c r="AC430" s="174"/>
    </row>
    <row r="431" spans="1:29" x14ac:dyDescent="0.25">
      <c r="A431" s="324">
        <v>45913</v>
      </c>
      <c r="B431" s="144">
        <v>4</v>
      </c>
      <c r="C431" s="145"/>
      <c r="D431" s="144" t="s">
        <v>193</v>
      </c>
      <c r="E431" s="146">
        <v>1.01</v>
      </c>
      <c r="F431" s="146"/>
      <c r="G431" s="147">
        <v>2</v>
      </c>
      <c r="H431" s="147">
        <v>0</v>
      </c>
      <c r="I431" s="147"/>
      <c r="J431" s="148">
        <v>1.03</v>
      </c>
      <c r="K431" s="145"/>
      <c r="L431" s="144" t="s">
        <v>91</v>
      </c>
      <c r="M431" s="149"/>
      <c r="N431" s="150" t="s">
        <v>122</v>
      </c>
      <c r="O431" s="26" t="s">
        <v>91</v>
      </c>
      <c r="P431" s="26" t="s">
        <v>100</v>
      </c>
      <c r="Q431" s="26" t="s">
        <v>101</v>
      </c>
      <c r="R431" s="26" t="s">
        <v>688</v>
      </c>
      <c r="S431" s="213">
        <v>56</v>
      </c>
      <c r="T431" s="26" t="s">
        <v>41</v>
      </c>
      <c r="U431" s="26" t="s">
        <v>42</v>
      </c>
      <c r="V431" s="43" t="s">
        <v>33</v>
      </c>
      <c r="W431" s="171">
        <v>0.15</v>
      </c>
      <c r="X431" s="146">
        <v>0.12</v>
      </c>
      <c r="Y431" s="146"/>
      <c r="Z431" s="144" t="s">
        <v>48</v>
      </c>
      <c r="AA431" s="172" t="s">
        <v>19</v>
      </c>
      <c r="AB431" s="173"/>
      <c r="AC431" s="174"/>
    </row>
    <row r="432" spans="1:29" x14ac:dyDescent="0.25">
      <c r="A432" s="324">
        <v>45913</v>
      </c>
      <c r="B432" s="144">
        <v>4</v>
      </c>
      <c r="C432" s="145"/>
      <c r="D432" s="144" t="s">
        <v>193</v>
      </c>
      <c r="E432" s="146">
        <v>1.01</v>
      </c>
      <c r="F432" s="146"/>
      <c r="G432" s="147">
        <v>2</v>
      </c>
      <c r="H432" s="147">
        <v>0</v>
      </c>
      <c r="I432" s="147"/>
      <c r="J432" s="148">
        <v>1.03</v>
      </c>
      <c r="K432" s="145"/>
      <c r="L432" s="144" t="s">
        <v>91</v>
      </c>
      <c r="M432" s="149"/>
      <c r="N432" s="150">
        <v>52</v>
      </c>
      <c r="O432" s="61" t="s">
        <v>193</v>
      </c>
      <c r="P432" s="61" t="s">
        <v>96</v>
      </c>
      <c r="Q432" s="61" t="s">
        <v>327</v>
      </c>
      <c r="R432" s="61" t="s">
        <v>685</v>
      </c>
      <c r="S432" s="218">
        <v>74</v>
      </c>
      <c r="T432" s="61" t="s">
        <v>41</v>
      </c>
      <c r="U432" s="61" t="s">
        <v>45</v>
      </c>
      <c r="V432" s="63" t="s">
        <v>18</v>
      </c>
      <c r="W432" s="171">
        <v>0.1</v>
      </c>
      <c r="X432" s="146">
        <v>0.49</v>
      </c>
      <c r="Y432" s="146" t="s">
        <v>353</v>
      </c>
      <c r="Z432" s="144" t="s">
        <v>8</v>
      </c>
      <c r="AA432" s="172" t="s">
        <v>24</v>
      </c>
      <c r="AB432" s="173" t="s">
        <v>259</v>
      </c>
      <c r="AC432" s="174" t="s">
        <v>260</v>
      </c>
    </row>
    <row r="433" spans="1:29" ht="15.75" thickBot="1" x14ac:dyDescent="0.3">
      <c r="A433" s="325">
        <v>45913</v>
      </c>
      <c r="B433" s="152">
        <v>4</v>
      </c>
      <c r="C433" s="153"/>
      <c r="D433" s="152" t="s">
        <v>193</v>
      </c>
      <c r="E433" s="154">
        <v>1.01</v>
      </c>
      <c r="F433" s="154"/>
      <c r="G433" s="155">
        <v>2</v>
      </c>
      <c r="H433" s="155">
        <v>0</v>
      </c>
      <c r="I433" s="155"/>
      <c r="J433" s="156">
        <v>1.03</v>
      </c>
      <c r="K433" s="153"/>
      <c r="L433" s="152" t="s">
        <v>91</v>
      </c>
      <c r="M433" s="157"/>
      <c r="N433" s="158" t="s">
        <v>31</v>
      </c>
      <c r="O433" s="66" t="s">
        <v>193</v>
      </c>
      <c r="P433" s="66" t="s">
        <v>337</v>
      </c>
      <c r="Q433" s="66" t="s">
        <v>383</v>
      </c>
      <c r="R433" s="66" t="s">
        <v>696</v>
      </c>
      <c r="S433" s="219">
        <v>69</v>
      </c>
      <c r="T433" s="66" t="s">
        <v>41</v>
      </c>
      <c r="U433" s="66" t="s">
        <v>45</v>
      </c>
      <c r="V433" s="67" t="s">
        <v>33</v>
      </c>
      <c r="W433" s="175">
        <v>0.02</v>
      </c>
      <c r="X433" s="154">
        <v>0.13</v>
      </c>
      <c r="Y433" s="154"/>
      <c r="Z433" s="152" t="s">
        <v>48</v>
      </c>
      <c r="AA433" s="176" t="s">
        <v>24</v>
      </c>
      <c r="AB433" s="177"/>
      <c r="AC433" s="178"/>
    </row>
    <row r="434" spans="1:29" ht="15.75" thickBot="1" x14ac:dyDescent="0.3">
      <c r="A434" s="326">
        <v>45913</v>
      </c>
      <c r="B434" s="207">
        <v>4</v>
      </c>
      <c r="C434" s="208"/>
      <c r="D434" s="207" t="s">
        <v>193</v>
      </c>
      <c r="E434" s="209">
        <v>1.01</v>
      </c>
      <c r="F434" s="209"/>
      <c r="G434" s="210">
        <v>2</v>
      </c>
      <c r="H434" s="210">
        <v>0</v>
      </c>
      <c r="I434" s="210"/>
      <c r="J434" s="211">
        <v>1.03</v>
      </c>
      <c r="K434" s="208"/>
      <c r="L434" s="207" t="s">
        <v>91</v>
      </c>
      <c r="M434" s="235"/>
      <c r="N434" s="198"/>
      <c r="O434" s="199" t="s">
        <v>193</v>
      </c>
      <c r="P434" s="199" t="s">
        <v>580</v>
      </c>
      <c r="Q434" s="199" t="s">
        <v>581</v>
      </c>
      <c r="R434" s="199" t="s">
        <v>707</v>
      </c>
      <c r="S434" s="200">
        <v>76</v>
      </c>
      <c r="T434" s="199"/>
      <c r="U434" s="199"/>
      <c r="V434" s="201"/>
      <c r="W434" s="202"/>
      <c r="X434" s="203"/>
      <c r="Y434" s="203">
        <v>0</v>
      </c>
      <c r="Z434" s="199"/>
      <c r="AA434" s="204"/>
      <c r="AB434" s="205"/>
      <c r="AC434" s="201"/>
    </row>
    <row r="435" spans="1:29" ht="15.75" thickBot="1" x14ac:dyDescent="0.3">
      <c r="A435" s="326">
        <v>45913</v>
      </c>
      <c r="B435" s="207">
        <v>4</v>
      </c>
      <c r="C435" s="208"/>
      <c r="D435" s="207" t="s">
        <v>193</v>
      </c>
      <c r="E435" s="209">
        <v>1.01</v>
      </c>
      <c r="F435" s="209"/>
      <c r="G435" s="210">
        <v>2</v>
      </c>
      <c r="H435" s="210">
        <v>0</v>
      </c>
      <c r="I435" s="210"/>
      <c r="J435" s="211">
        <v>1.03</v>
      </c>
      <c r="K435" s="208"/>
      <c r="L435" s="207" t="s">
        <v>91</v>
      </c>
      <c r="M435" s="235"/>
      <c r="N435" s="198"/>
      <c r="O435" s="199" t="s">
        <v>91</v>
      </c>
      <c r="P435" s="199" t="s">
        <v>351</v>
      </c>
      <c r="Q435" s="199" t="s">
        <v>54</v>
      </c>
      <c r="R435" s="199" t="s">
        <v>707</v>
      </c>
      <c r="S435" s="200">
        <v>56</v>
      </c>
      <c r="T435" s="199"/>
      <c r="U435" s="199"/>
      <c r="V435" s="201"/>
      <c r="W435" s="202"/>
      <c r="X435" s="203"/>
      <c r="Y435" s="203">
        <v>2</v>
      </c>
      <c r="Z435" s="199"/>
      <c r="AA435" s="204"/>
      <c r="AB435" s="205"/>
      <c r="AC435" s="201"/>
    </row>
    <row r="436" spans="1:29" x14ac:dyDescent="0.25">
      <c r="A436" s="327">
        <v>45924</v>
      </c>
      <c r="B436" s="160">
        <v>6</v>
      </c>
      <c r="C436" s="161" t="s">
        <v>701</v>
      </c>
      <c r="D436" s="160" t="s">
        <v>193</v>
      </c>
      <c r="E436" s="162">
        <v>3.61</v>
      </c>
      <c r="F436" s="162"/>
      <c r="G436" s="163">
        <v>3</v>
      </c>
      <c r="H436" s="163">
        <v>2</v>
      </c>
      <c r="I436" s="163"/>
      <c r="J436" s="164">
        <v>1.6</v>
      </c>
      <c r="K436" s="161" t="s">
        <v>694</v>
      </c>
      <c r="L436" s="160" t="s">
        <v>70</v>
      </c>
      <c r="M436" s="165"/>
      <c r="N436" s="166">
        <v>12</v>
      </c>
      <c r="O436" s="70" t="s">
        <v>193</v>
      </c>
      <c r="P436" s="70" t="s">
        <v>206</v>
      </c>
      <c r="Q436" s="70" t="s">
        <v>207</v>
      </c>
      <c r="R436" s="70" t="s">
        <v>718</v>
      </c>
      <c r="S436" s="227">
        <v>73</v>
      </c>
      <c r="T436" s="70" t="s">
        <v>41</v>
      </c>
      <c r="U436" s="70" t="s">
        <v>42</v>
      </c>
      <c r="V436" s="71" t="s">
        <v>10</v>
      </c>
      <c r="W436" s="179">
        <v>0.09</v>
      </c>
      <c r="X436" s="162">
        <v>0.17</v>
      </c>
      <c r="Y436" s="162"/>
      <c r="Z436" s="160" t="s">
        <v>48</v>
      </c>
      <c r="AA436" s="180" t="s">
        <v>28</v>
      </c>
      <c r="AB436" s="169"/>
      <c r="AC436" s="170"/>
    </row>
    <row r="437" spans="1:29" x14ac:dyDescent="0.25">
      <c r="A437" s="324">
        <v>45924</v>
      </c>
      <c r="B437" s="144">
        <v>6</v>
      </c>
      <c r="C437" s="145"/>
      <c r="D437" s="144" t="s">
        <v>193</v>
      </c>
      <c r="E437" s="146">
        <v>3.61</v>
      </c>
      <c r="F437" s="146"/>
      <c r="G437" s="147">
        <v>3</v>
      </c>
      <c r="H437" s="147">
        <v>2</v>
      </c>
      <c r="I437" s="147"/>
      <c r="J437" s="148">
        <v>1.6</v>
      </c>
      <c r="K437" s="145"/>
      <c r="L437" s="144" t="s">
        <v>70</v>
      </c>
      <c r="M437" s="149"/>
      <c r="N437" s="150">
        <v>15</v>
      </c>
      <c r="O437" s="61" t="s">
        <v>193</v>
      </c>
      <c r="P437" s="61" t="s">
        <v>200</v>
      </c>
      <c r="Q437" s="61" t="s">
        <v>201</v>
      </c>
      <c r="R437" s="61" t="s">
        <v>717</v>
      </c>
      <c r="S437" s="218">
        <v>100</v>
      </c>
      <c r="T437" s="61" t="s">
        <v>41</v>
      </c>
      <c r="U437" s="61" t="s">
        <v>43</v>
      </c>
      <c r="V437" s="63" t="s">
        <v>10</v>
      </c>
      <c r="W437" s="171">
        <v>0.34</v>
      </c>
      <c r="X437" s="146">
        <v>0.86</v>
      </c>
      <c r="Y437" s="146" t="s">
        <v>353</v>
      </c>
      <c r="Z437" s="144" t="s">
        <v>8</v>
      </c>
      <c r="AA437" s="172" t="s">
        <v>19</v>
      </c>
      <c r="AB437" s="173" t="s">
        <v>259</v>
      </c>
      <c r="AC437" s="174" t="s">
        <v>260</v>
      </c>
    </row>
    <row r="438" spans="1:29" x14ac:dyDescent="0.25">
      <c r="A438" s="324">
        <v>45924</v>
      </c>
      <c r="B438" s="144">
        <v>6</v>
      </c>
      <c r="C438" s="145"/>
      <c r="D438" s="144" t="s">
        <v>193</v>
      </c>
      <c r="E438" s="146">
        <v>3.61</v>
      </c>
      <c r="F438" s="146"/>
      <c r="G438" s="147">
        <v>3</v>
      </c>
      <c r="H438" s="147">
        <v>2</v>
      </c>
      <c r="I438" s="147"/>
      <c r="J438" s="148">
        <v>1.6</v>
      </c>
      <c r="K438" s="145"/>
      <c r="L438" s="144" t="s">
        <v>70</v>
      </c>
      <c r="M438" s="149"/>
      <c r="N438" s="150">
        <v>32</v>
      </c>
      <c r="O438" s="26" t="s">
        <v>70</v>
      </c>
      <c r="P438" s="26" t="s">
        <v>76</v>
      </c>
      <c r="Q438" s="26" t="s">
        <v>77</v>
      </c>
      <c r="R438" s="26" t="s">
        <v>718</v>
      </c>
      <c r="S438" s="213">
        <v>66</v>
      </c>
      <c r="T438" s="26" t="s">
        <v>354</v>
      </c>
      <c r="U438" s="26" t="s">
        <v>43</v>
      </c>
      <c r="V438" s="43" t="s">
        <v>20</v>
      </c>
      <c r="W438" s="171">
        <v>0.01</v>
      </c>
      <c r="X438" s="146" t="s">
        <v>53</v>
      </c>
      <c r="Y438" s="146"/>
      <c r="Z438" s="144" t="s">
        <v>22</v>
      </c>
      <c r="AA438" s="172" t="s">
        <v>19</v>
      </c>
      <c r="AB438" s="173"/>
      <c r="AC438" s="174"/>
    </row>
    <row r="439" spans="1:29" x14ac:dyDescent="0.25">
      <c r="A439" s="324">
        <v>45924</v>
      </c>
      <c r="B439" s="144">
        <v>6</v>
      </c>
      <c r="C439" s="145"/>
      <c r="D439" s="144" t="s">
        <v>193</v>
      </c>
      <c r="E439" s="146">
        <v>3.61</v>
      </c>
      <c r="F439" s="146"/>
      <c r="G439" s="147">
        <v>3</v>
      </c>
      <c r="H439" s="147">
        <v>2</v>
      </c>
      <c r="I439" s="147"/>
      <c r="J439" s="148">
        <v>1.6</v>
      </c>
      <c r="K439" s="145"/>
      <c r="L439" s="144" t="s">
        <v>70</v>
      </c>
      <c r="M439" s="149"/>
      <c r="N439" s="150">
        <v>35</v>
      </c>
      <c r="O439" s="26" t="s">
        <v>70</v>
      </c>
      <c r="P439" s="26" t="s">
        <v>53</v>
      </c>
      <c r="Q439" s="26" t="s">
        <v>405</v>
      </c>
      <c r="R439" s="26" t="s">
        <v>717</v>
      </c>
      <c r="S439" s="213">
        <v>58</v>
      </c>
      <c r="T439" s="26" t="s">
        <v>41</v>
      </c>
      <c r="U439" s="26" t="s">
        <v>42</v>
      </c>
      <c r="V439" s="43" t="s">
        <v>10</v>
      </c>
      <c r="W439" s="171">
        <v>0.6</v>
      </c>
      <c r="X439" s="146" t="s">
        <v>53</v>
      </c>
      <c r="Y439" s="146" t="s">
        <v>353</v>
      </c>
      <c r="Z439" s="144" t="s">
        <v>13</v>
      </c>
      <c r="AA439" s="172" t="s">
        <v>19</v>
      </c>
      <c r="AB439" s="173"/>
      <c r="AC439" s="174"/>
    </row>
    <row r="440" spans="1:29" x14ac:dyDescent="0.25">
      <c r="A440" s="324">
        <v>45924</v>
      </c>
      <c r="B440" s="144">
        <v>6</v>
      </c>
      <c r="C440" s="145"/>
      <c r="D440" s="144" t="s">
        <v>193</v>
      </c>
      <c r="E440" s="146">
        <v>3.61</v>
      </c>
      <c r="F440" s="146"/>
      <c r="G440" s="147">
        <v>3</v>
      </c>
      <c r="H440" s="147">
        <v>2</v>
      </c>
      <c r="I440" s="147"/>
      <c r="J440" s="148">
        <v>1.6</v>
      </c>
      <c r="K440" s="145"/>
      <c r="L440" s="144" t="s">
        <v>70</v>
      </c>
      <c r="M440" s="149"/>
      <c r="N440" s="150">
        <v>39</v>
      </c>
      <c r="O440" s="61" t="s">
        <v>193</v>
      </c>
      <c r="P440" s="61" t="s">
        <v>200</v>
      </c>
      <c r="Q440" s="61" t="s">
        <v>201</v>
      </c>
      <c r="R440" s="61" t="s">
        <v>717</v>
      </c>
      <c r="S440" s="218">
        <v>100</v>
      </c>
      <c r="T440" s="61" t="s">
        <v>41</v>
      </c>
      <c r="U440" s="61" t="s">
        <v>43</v>
      </c>
      <c r="V440" s="63" t="s">
        <v>10</v>
      </c>
      <c r="W440" s="171">
        <v>0.52</v>
      </c>
      <c r="X440" s="146" t="s">
        <v>53</v>
      </c>
      <c r="Y440" s="146"/>
      <c r="Z440" s="144" t="s">
        <v>13</v>
      </c>
      <c r="AA440" s="172" t="s">
        <v>19</v>
      </c>
      <c r="AB440" s="173"/>
      <c r="AC440" s="174"/>
    </row>
    <row r="441" spans="1:29" x14ac:dyDescent="0.25">
      <c r="A441" s="324">
        <v>45924</v>
      </c>
      <c r="B441" s="144">
        <v>6</v>
      </c>
      <c r="C441" s="145"/>
      <c r="D441" s="144" t="s">
        <v>193</v>
      </c>
      <c r="E441" s="146">
        <v>3.61</v>
      </c>
      <c r="F441" s="146"/>
      <c r="G441" s="147">
        <v>3</v>
      </c>
      <c r="H441" s="147">
        <v>2</v>
      </c>
      <c r="I441" s="147"/>
      <c r="J441" s="148">
        <v>1.6</v>
      </c>
      <c r="K441" s="145"/>
      <c r="L441" s="144" t="s">
        <v>70</v>
      </c>
      <c r="M441" s="149"/>
      <c r="N441" s="150" t="s">
        <v>68</v>
      </c>
      <c r="O441" s="26" t="s">
        <v>70</v>
      </c>
      <c r="P441" s="26" t="s">
        <v>80</v>
      </c>
      <c r="Q441" s="26" t="s">
        <v>81</v>
      </c>
      <c r="R441" s="26" t="s">
        <v>688</v>
      </c>
      <c r="S441" s="213">
        <v>79</v>
      </c>
      <c r="T441" s="26" t="s">
        <v>354</v>
      </c>
      <c r="U441" s="26" t="s">
        <v>43</v>
      </c>
      <c r="V441" s="43" t="s">
        <v>10</v>
      </c>
      <c r="W441" s="171">
        <v>0.01</v>
      </c>
      <c r="X441" s="146">
        <v>0.17</v>
      </c>
      <c r="Y441" s="146" t="s">
        <v>353</v>
      </c>
      <c r="Z441" s="144" t="s">
        <v>8</v>
      </c>
      <c r="AA441" s="172" t="s">
        <v>51</v>
      </c>
      <c r="AB441" s="173" t="s">
        <v>269</v>
      </c>
      <c r="AC441" s="174" t="s">
        <v>150</v>
      </c>
    </row>
    <row r="442" spans="1:29" x14ac:dyDescent="0.25">
      <c r="A442" s="324">
        <v>45924</v>
      </c>
      <c r="B442" s="144">
        <v>6</v>
      </c>
      <c r="C442" s="145"/>
      <c r="D442" s="144" t="s">
        <v>193</v>
      </c>
      <c r="E442" s="146">
        <v>3.61</v>
      </c>
      <c r="F442" s="146"/>
      <c r="G442" s="147">
        <v>3</v>
      </c>
      <c r="H442" s="147">
        <v>2</v>
      </c>
      <c r="I442" s="147"/>
      <c r="J442" s="148">
        <v>1.6</v>
      </c>
      <c r="K442" s="145"/>
      <c r="L442" s="144" t="s">
        <v>70</v>
      </c>
      <c r="M442" s="149"/>
      <c r="N442" s="150">
        <v>50</v>
      </c>
      <c r="O442" s="61" t="s">
        <v>193</v>
      </c>
      <c r="P442" s="61" t="s">
        <v>259</v>
      </c>
      <c r="Q442" s="61" t="s">
        <v>260</v>
      </c>
      <c r="R442" s="61" t="s">
        <v>713</v>
      </c>
      <c r="S442" s="218">
        <v>70</v>
      </c>
      <c r="T442" s="61" t="s">
        <v>41</v>
      </c>
      <c r="U442" s="61" t="s">
        <v>43</v>
      </c>
      <c r="V442" s="63" t="s">
        <v>540</v>
      </c>
      <c r="W442" s="171">
        <v>0.1</v>
      </c>
      <c r="X442" s="146">
        <v>0.08</v>
      </c>
      <c r="Y442" s="146"/>
      <c r="Z442" s="144" t="s">
        <v>48</v>
      </c>
      <c r="AA442" s="172" t="s">
        <v>51</v>
      </c>
      <c r="AB442" s="173"/>
      <c r="AC442" s="174"/>
    </row>
    <row r="443" spans="1:29" x14ac:dyDescent="0.25">
      <c r="A443" s="324">
        <v>45924</v>
      </c>
      <c r="B443" s="144">
        <v>6</v>
      </c>
      <c r="C443" s="145"/>
      <c r="D443" s="144" t="s">
        <v>193</v>
      </c>
      <c r="E443" s="146">
        <v>3.61</v>
      </c>
      <c r="F443" s="146"/>
      <c r="G443" s="147">
        <v>3</v>
      </c>
      <c r="H443" s="147">
        <v>2</v>
      </c>
      <c r="I443" s="147"/>
      <c r="J443" s="148">
        <v>1.6</v>
      </c>
      <c r="K443" s="145"/>
      <c r="L443" s="144" t="s">
        <v>70</v>
      </c>
      <c r="M443" s="149"/>
      <c r="N443" s="150">
        <v>53</v>
      </c>
      <c r="O443" s="26" t="s">
        <v>70</v>
      </c>
      <c r="P443" s="26" t="s">
        <v>76</v>
      </c>
      <c r="Q443" s="26" t="s">
        <v>77</v>
      </c>
      <c r="R443" s="26" t="s">
        <v>718</v>
      </c>
      <c r="S443" s="213">
        <v>66</v>
      </c>
      <c r="T443" s="26" t="s">
        <v>41</v>
      </c>
      <c r="U443" s="26" t="s">
        <v>43</v>
      </c>
      <c r="V443" s="43" t="s">
        <v>540</v>
      </c>
      <c r="W443" s="171">
        <v>0.32</v>
      </c>
      <c r="X443" s="146">
        <v>0.23</v>
      </c>
      <c r="Y443" s="146" t="s">
        <v>353</v>
      </c>
      <c r="Z443" s="144" t="s">
        <v>48</v>
      </c>
      <c r="AA443" s="172" t="s">
        <v>51</v>
      </c>
      <c r="AB443" s="173"/>
      <c r="AC443" s="174"/>
    </row>
    <row r="444" spans="1:29" x14ac:dyDescent="0.25">
      <c r="A444" s="324">
        <v>45924</v>
      </c>
      <c r="B444" s="144">
        <v>6</v>
      </c>
      <c r="C444" s="145"/>
      <c r="D444" s="144" t="s">
        <v>193</v>
      </c>
      <c r="E444" s="146">
        <v>3.61</v>
      </c>
      <c r="F444" s="146"/>
      <c r="G444" s="147">
        <v>3</v>
      </c>
      <c r="H444" s="147">
        <v>2</v>
      </c>
      <c r="I444" s="147"/>
      <c r="J444" s="148">
        <v>1.6</v>
      </c>
      <c r="K444" s="145"/>
      <c r="L444" s="144" t="s">
        <v>70</v>
      </c>
      <c r="M444" s="149"/>
      <c r="N444" s="150">
        <v>59</v>
      </c>
      <c r="O444" s="61" t="s">
        <v>193</v>
      </c>
      <c r="P444" s="61" t="s">
        <v>96</v>
      </c>
      <c r="Q444" s="61" t="s">
        <v>327</v>
      </c>
      <c r="R444" s="61" t="s">
        <v>696</v>
      </c>
      <c r="S444" s="218">
        <v>65</v>
      </c>
      <c r="T444" s="61" t="s">
        <v>41</v>
      </c>
      <c r="U444" s="61" t="s">
        <v>45</v>
      </c>
      <c r="V444" s="63" t="s">
        <v>10</v>
      </c>
      <c r="W444" s="171">
        <v>0.18</v>
      </c>
      <c r="X444" s="146" t="s">
        <v>53</v>
      </c>
      <c r="Y444" s="146" t="s">
        <v>353</v>
      </c>
      <c r="Z444" s="144" t="s">
        <v>22</v>
      </c>
      <c r="AA444" s="172" t="s">
        <v>51</v>
      </c>
      <c r="AB444" s="173"/>
      <c r="AC444" s="174"/>
    </row>
    <row r="445" spans="1:29" x14ac:dyDescent="0.25">
      <c r="A445" s="324">
        <v>45924</v>
      </c>
      <c r="B445" s="144">
        <v>6</v>
      </c>
      <c r="C445" s="145"/>
      <c r="D445" s="144" t="s">
        <v>193</v>
      </c>
      <c r="E445" s="146">
        <v>3.61</v>
      </c>
      <c r="F445" s="146"/>
      <c r="G445" s="147">
        <v>3</v>
      </c>
      <c r="H445" s="147">
        <v>2</v>
      </c>
      <c r="I445" s="147"/>
      <c r="J445" s="148">
        <v>1.6</v>
      </c>
      <c r="K445" s="145"/>
      <c r="L445" s="144" t="s">
        <v>70</v>
      </c>
      <c r="M445" s="149"/>
      <c r="N445" s="150">
        <v>67</v>
      </c>
      <c r="O445" s="61" t="s">
        <v>193</v>
      </c>
      <c r="P445" s="61" t="s">
        <v>204</v>
      </c>
      <c r="Q445" s="61" t="s">
        <v>205</v>
      </c>
      <c r="R445" s="61" t="s">
        <v>696</v>
      </c>
      <c r="S445" s="218">
        <v>66</v>
      </c>
      <c r="T445" s="61" t="s">
        <v>41</v>
      </c>
      <c r="U445" s="61" t="s">
        <v>42</v>
      </c>
      <c r="V445" s="63" t="s">
        <v>18</v>
      </c>
      <c r="W445" s="171">
        <v>0.2</v>
      </c>
      <c r="X445" s="146">
        <v>0.57999999999999996</v>
      </c>
      <c r="Y445" s="146"/>
      <c r="Z445" s="144" t="s">
        <v>48</v>
      </c>
      <c r="AA445" s="172" t="s">
        <v>51</v>
      </c>
      <c r="AB445" s="173"/>
      <c r="AC445" s="174"/>
    </row>
    <row r="446" spans="1:29" x14ac:dyDescent="0.25">
      <c r="A446" s="324">
        <v>45924</v>
      </c>
      <c r="B446" s="144">
        <v>6</v>
      </c>
      <c r="C446" s="145"/>
      <c r="D446" s="144" t="s">
        <v>193</v>
      </c>
      <c r="E446" s="146">
        <v>3.61</v>
      </c>
      <c r="F446" s="146"/>
      <c r="G446" s="147">
        <v>3</v>
      </c>
      <c r="H446" s="147">
        <v>2</v>
      </c>
      <c r="I446" s="147"/>
      <c r="J446" s="148">
        <v>1.6</v>
      </c>
      <c r="K446" s="145"/>
      <c r="L446" s="144" t="s">
        <v>70</v>
      </c>
      <c r="M446" s="149"/>
      <c r="N446" s="150">
        <v>77</v>
      </c>
      <c r="O446" s="26" t="s">
        <v>70</v>
      </c>
      <c r="P446" s="26" t="s">
        <v>74</v>
      </c>
      <c r="Q446" s="26" t="s">
        <v>75</v>
      </c>
      <c r="R446" s="26" t="s">
        <v>696</v>
      </c>
      <c r="S446" s="213">
        <v>75</v>
      </c>
      <c r="T446" s="26" t="s">
        <v>41</v>
      </c>
      <c r="U446" s="26" t="s">
        <v>42</v>
      </c>
      <c r="V446" s="43" t="s">
        <v>18</v>
      </c>
      <c r="W446" s="171">
        <v>0.57999999999999996</v>
      </c>
      <c r="X446" s="146">
        <v>0.99</v>
      </c>
      <c r="Y446" s="146" t="s">
        <v>353</v>
      </c>
      <c r="Z446" s="144" t="s">
        <v>8</v>
      </c>
      <c r="AA446" s="172" t="s">
        <v>67</v>
      </c>
      <c r="AB446" s="173" t="s">
        <v>76</v>
      </c>
      <c r="AC446" s="174" t="s">
        <v>77</v>
      </c>
    </row>
    <row r="447" spans="1:29" x14ac:dyDescent="0.25">
      <c r="A447" s="324">
        <v>45924</v>
      </c>
      <c r="B447" s="144">
        <v>6</v>
      </c>
      <c r="C447" s="145"/>
      <c r="D447" s="144" t="s">
        <v>193</v>
      </c>
      <c r="E447" s="146">
        <v>3.61</v>
      </c>
      <c r="F447" s="146"/>
      <c r="G447" s="147">
        <v>3</v>
      </c>
      <c r="H447" s="147">
        <v>2</v>
      </c>
      <c r="I447" s="147"/>
      <c r="J447" s="148">
        <v>1.6</v>
      </c>
      <c r="K447" s="145"/>
      <c r="L447" s="144" t="s">
        <v>70</v>
      </c>
      <c r="M447" s="149"/>
      <c r="N447" s="150">
        <v>80</v>
      </c>
      <c r="O447" s="61" t="s">
        <v>193</v>
      </c>
      <c r="P447" s="61" t="s">
        <v>204</v>
      </c>
      <c r="Q447" s="61" t="s">
        <v>205</v>
      </c>
      <c r="R447" s="61" t="s">
        <v>696</v>
      </c>
      <c r="S447" s="218">
        <v>66</v>
      </c>
      <c r="T447" s="61" t="s">
        <v>47</v>
      </c>
      <c r="U447" s="61" t="s">
        <v>45</v>
      </c>
      <c r="V447" s="63" t="s">
        <v>10</v>
      </c>
      <c r="W447" s="171">
        <v>0.06</v>
      </c>
      <c r="X447" s="146">
        <v>0.27</v>
      </c>
      <c r="Y447" s="146"/>
      <c r="Z447" s="144" t="s">
        <v>48</v>
      </c>
      <c r="AA447" s="172" t="s">
        <v>67</v>
      </c>
      <c r="AB447" s="173"/>
      <c r="AC447" s="174"/>
    </row>
    <row r="448" spans="1:29" x14ac:dyDescent="0.25">
      <c r="A448" s="324">
        <v>45924</v>
      </c>
      <c r="B448" s="144">
        <v>6</v>
      </c>
      <c r="C448" s="145"/>
      <c r="D448" s="144" t="s">
        <v>193</v>
      </c>
      <c r="E448" s="146">
        <v>3.61</v>
      </c>
      <c r="F448" s="146"/>
      <c r="G448" s="147">
        <v>3</v>
      </c>
      <c r="H448" s="147">
        <v>2</v>
      </c>
      <c r="I448" s="147"/>
      <c r="J448" s="148">
        <v>1.6</v>
      </c>
      <c r="K448" s="145"/>
      <c r="L448" s="144" t="s">
        <v>70</v>
      </c>
      <c r="M448" s="149"/>
      <c r="N448" s="150">
        <v>80</v>
      </c>
      <c r="O448" s="61" t="s">
        <v>193</v>
      </c>
      <c r="P448" s="61" t="s">
        <v>200</v>
      </c>
      <c r="Q448" s="61" t="s">
        <v>201</v>
      </c>
      <c r="R448" s="61" t="s">
        <v>717</v>
      </c>
      <c r="S448" s="218">
        <v>100</v>
      </c>
      <c r="T448" s="61" t="s">
        <v>47</v>
      </c>
      <c r="U448" s="61" t="s">
        <v>42</v>
      </c>
      <c r="V448" s="63" t="s">
        <v>540</v>
      </c>
      <c r="W448" s="171">
        <v>0.27</v>
      </c>
      <c r="X448" s="146">
        <v>0.71</v>
      </c>
      <c r="Y448" s="146" t="s">
        <v>353</v>
      </c>
      <c r="Z448" s="144" t="s">
        <v>8</v>
      </c>
      <c r="AA448" s="172" t="s">
        <v>189</v>
      </c>
      <c r="AB448" s="173"/>
      <c r="AC448" s="174"/>
    </row>
    <row r="449" spans="1:29" x14ac:dyDescent="0.25">
      <c r="A449" s="324">
        <v>45924</v>
      </c>
      <c r="B449" s="144">
        <v>6</v>
      </c>
      <c r="C449" s="145"/>
      <c r="D449" s="144" t="s">
        <v>193</v>
      </c>
      <c r="E449" s="146">
        <v>3.61</v>
      </c>
      <c r="F449" s="146"/>
      <c r="G449" s="147">
        <v>3</v>
      </c>
      <c r="H449" s="147">
        <v>2</v>
      </c>
      <c r="I449" s="147"/>
      <c r="J449" s="148">
        <v>1.6</v>
      </c>
      <c r="K449" s="145"/>
      <c r="L449" s="144" t="s">
        <v>70</v>
      </c>
      <c r="M449" s="149"/>
      <c r="N449" s="150">
        <v>83</v>
      </c>
      <c r="O449" s="61" t="s">
        <v>193</v>
      </c>
      <c r="P449" s="61" t="s">
        <v>204</v>
      </c>
      <c r="Q449" s="61" t="s">
        <v>205</v>
      </c>
      <c r="R449" s="61" t="s">
        <v>696</v>
      </c>
      <c r="S449" s="218">
        <v>66</v>
      </c>
      <c r="T449" s="61" t="s">
        <v>47</v>
      </c>
      <c r="U449" s="61" t="s">
        <v>42</v>
      </c>
      <c r="V449" s="63" t="s">
        <v>10</v>
      </c>
      <c r="W449" s="171">
        <v>0.43</v>
      </c>
      <c r="X449" s="146" t="s">
        <v>53</v>
      </c>
      <c r="Y449" s="146" t="s">
        <v>353</v>
      </c>
      <c r="Z449" s="144" t="s">
        <v>17</v>
      </c>
      <c r="AA449" s="172" t="s">
        <v>189</v>
      </c>
      <c r="AB449" s="173"/>
      <c r="AC449" s="174"/>
    </row>
    <row r="450" spans="1:29" x14ac:dyDescent="0.25">
      <c r="A450" s="324">
        <v>45924</v>
      </c>
      <c r="B450" s="144">
        <v>6</v>
      </c>
      <c r="C450" s="145"/>
      <c r="D450" s="144" t="s">
        <v>193</v>
      </c>
      <c r="E450" s="146">
        <v>3.61</v>
      </c>
      <c r="F450" s="146"/>
      <c r="G450" s="147">
        <v>3</v>
      </c>
      <c r="H450" s="147">
        <v>2</v>
      </c>
      <c r="I450" s="147"/>
      <c r="J450" s="148">
        <v>1.6</v>
      </c>
      <c r="K450" s="145"/>
      <c r="L450" s="144" t="s">
        <v>70</v>
      </c>
      <c r="M450" s="149"/>
      <c r="N450" s="150">
        <v>83</v>
      </c>
      <c r="O450" s="61" t="s">
        <v>193</v>
      </c>
      <c r="P450" s="61" t="s">
        <v>316</v>
      </c>
      <c r="Q450" s="61" t="s">
        <v>317</v>
      </c>
      <c r="R450" s="61" t="s">
        <v>712</v>
      </c>
      <c r="S450" s="218">
        <v>68</v>
      </c>
      <c r="T450" s="61" t="s">
        <v>47</v>
      </c>
      <c r="U450" s="61" t="s">
        <v>45</v>
      </c>
      <c r="V450" s="63" t="s">
        <v>20</v>
      </c>
      <c r="W450" s="171">
        <v>0.18</v>
      </c>
      <c r="X450" s="146" t="s">
        <v>53</v>
      </c>
      <c r="Y450" s="146"/>
      <c r="Z450" s="144" t="s">
        <v>13</v>
      </c>
      <c r="AA450" s="172" t="s">
        <v>189</v>
      </c>
      <c r="AB450" s="173"/>
      <c r="AC450" s="174"/>
    </row>
    <row r="451" spans="1:29" x14ac:dyDescent="0.25">
      <c r="A451" s="324">
        <v>45924</v>
      </c>
      <c r="B451" s="144">
        <v>6</v>
      </c>
      <c r="C451" s="145"/>
      <c r="D451" s="144" t="s">
        <v>193</v>
      </c>
      <c r="E451" s="146">
        <v>3.61</v>
      </c>
      <c r="F451" s="146"/>
      <c r="G451" s="147">
        <v>3</v>
      </c>
      <c r="H451" s="147">
        <v>2</v>
      </c>
      <c r="I451" s="147"/>
      <c r="J451" s="148">
        <v>1.6</v>
      </c>
      <c r="K451" s="145"/>
      <c r="L451" s="144" t="s">
        <v>70</v>
      </c>
      <c r="M451" s="149"/>
      <c r="N451" s="150">
        <v>84</v>
      </c>
      <c r="O451" s="61" t="s">
        <v>193</v>
      </c>
      <c r="P451" s="61" t="s">
        <v>318</v>
      </c>
      <c r="Q451" s="61" t="s">
        <v>319</v>
      </c>
      <c r="R451" s="61" t="s">
        <v>696</v>
      </c>
      <c r="S451" s="218">
        <v>70</v>
      </c>
      <c r="T451" s="61" t="s">
        <v>41</v>
      </c>
      <c r="U451" s="61" t="s">
        <v>42</v>
      </c>
      <c r="V451" s="63" t="s">
        <v>10</v>
      </c>
      <c r="W451" s="171">
        <v>0.38</v>
      </c>
      <c r="X451" s="146" t="s">
        <v>53</v>
      </c>
      <c r="Y451" s="146" t="s">
        <v>353</v>
      </c>
      <c r="Z451" s="144" t="s">
        <v>13</v>
      </c>
      <c r="AA451" s="172" t="s">
        <v>189</v>
      </c>
      <c r="AB451" s="173"/>
      <c r="AC451" s="174"/>
    </row>
    <row r="452" spans="1:29" x14ac:dyDescent="0.25">
      <c r="A452" s="324">
        <v>45924</v>
      </c>
      <c r="B452" s="144">
        <v>6</v>
      </c>
      <c r="C452" s="145"/>
      <c r="D452" s="144" t="s">
        <v>193</v>
      </c>
      <c r="E452" s="146">
        <v>3.61</v>
      </c>
      <c r="F452" s="146"/>
      <c r="G452" s="147">
        <v>3</v>
      </c>
      <c r="H452" s="147">
        <v>2</v>
      </c>
      <c r="I452" s="147"/>
      <c r="J452" s="148">
        <v>1.6</v>
      </c>
      <c r="K452" s="145"/>
      <c r="L452" s="144" t="s">
        <v>70</v>
      </c>
      <c r="M452" s="149"/>
      <c r="N452" s="150">
        <v>88</v>
      </c>
      <c r="O452" s="61" t="s">
        <v>193</v>
      </c>
      <c r="P452" s="61" t="s">
        <v>200</v>
      </c>
      <c r="Q452" s="61" t="s">
        <v>201</v>
      </c>
      <c r="R452" s="61" t="s">
        <v>717</v>
      </c>
      <c r="S452" s="218">
        <v>100</v>
      </c>
      <c r="T452" s="61" t="s">
        <v>354</v>
      </c>
      <c r="U452" s="61" t="s">
        <v>43</v>
      </c>
      <c r="V452" s="63" t="s">
        <v>10</v>
      </c>
      <c r="W452" s="171">
        <v>0.04</v>
      </c>
      <c r="X452" s="146">
        <v>0.36</v>
      </c>
      <c r="Y452" s="146"/>
      <c r="Z452" s="144" t="s">
        <v>8</v>
      </c>
      <c r="AA452" s="172" t="s">
        <v>180</v>
      </c>
      <c r="AB452" s="173" t="s">
        <v>204</v>
      </c>
      <c r="AC452" s="174" t="s">
        <v>205</v>
      </c>
    </row>
    <row r="453" spans="1:29" ht="15.75" thickBot="1" x14ac:dyDescent="0.3">
      <c r="A453" s="325">
        <v>45924</v>
      </c>
      <c r="B453" s="152">
        <v>6</v>
      </c>
      <c r="C453" s="153"/>
      <c r="D453" s="152" t="s">
        <v>193</v>
      </c>
      <c r="E453" s="154">
        <v>3.61</v>
      </c>
      <c r="F453" s="154"/>
      <c r="G453" s="155">
        <v>3</v>
      </c>
      <c r="H453" s="155">
        <v>2</v>
      </c>
      <c r="I453" s="155"/>
      <c r="J453" s="156">
        <v>1.6</v>
      </c>
      <c r="K453" s="153"/>
      <c r="L453" s="152" t="s">
        <v>70</v>
      </c>
      <c r="M453" s="157"/>
      <c r="N453" s="158" t="s">
        <v>57</v>
      </c>
      <c r="O453" s="66" t="s">
        <v>193</v>
      </c>
      <c r="P453" s="66" t="s">
        <v>204</v>
      </c>
      <c r="Q453" s="66" t="s">
        <v>205</v>
      </c>
      <c r="R453" s="66" t="s">
        <v>696</v>
      </c>
      <c r="S453" s="219">
        <v>66</v>
      </c>
      <c r="T453" s="66" t="s">
        <v>41</v>
      </c>
      <c r="U453" s="66" t="s">
        <v>42</v>
      </c>
      <c r="V453" s="67" t="s">
        <v>10</v>
      </c>
      <c r="W453" s="175">
        <v>0.61</v>
      </c>
      <c r="X453" s="154" t="s">
        <v>53</v>
      </c>
      <c r="Y453" s="154" t="s">
        <v>353</v>
      </c>
      <c r="Z453" s="152" t="s">
        <v>13</v>
      </c>
      <c r="AA453" s="176" t="s">
        <v>180</v>
      </c>
      <c r="AB453" s="177"/>
      <c r="AC453" s="178"/>
    </row>
    <row r="454" spans="1:29" ht="15.75" thickBot="1" x14ac:dyDescent="0.3">
      <c r="A454" s="326">
        <v>45924</v>
      </c>
      <c r="B454" s="207">
        <v>6</v>
      </c>
      <c r="C454" s="208"/>
      <c r="D454" s="207" t="s">
        <v>193</v>
      </c>
      <c r="E454" s="209">
        <v>3.61</v>
      </c>
      <c r="F454" s="209"/>
      <c r="G454" s="210">
        <v>3</v>
      </c>
      <c r="H454" s="210">
        <v>2</v>
      </c>
      <c r="I454" s="210"/>
      <c r="J454" s="211">
        <v>1.6</v>
      </c>
      <c r="K454" s="208"/>
      <c r="L454" s="207" t="s">
        <v>70</v>
      </c>
      <c r="M454" s="235"/>
      <c r="N454" s="198"/>
      <c r="O454" s="199" t="s">
        <v>193</v>
      </c>
      <c r="P454" s="199" t="s">
        <v>580</v>
      </c>
      <c r="Q454" s="199" t="s">
        <v>581</v>
      </c>
      <c r="R454" s="199" t="s">
        <v>707</v>
      </c>
      <c r="S454" s="200">
        <v>62</v>
      </c>
      <c r="T454" s="199"/>
      <c r="U454" s="199"/>
      <c r="V454" s="201"/>
      <c r="W454" s="202"/>
      <c r="X454" s="203"/>
      <c r="Y454" s="203">
        <v>2</v>
      </c>
      <c r="Z454" s="199"/>
      <c r="AA454" s="204"/>
      <c r="AB454" s="205"/>
      <c r="AC454" s="201"/>
    </row>
    <row r="455" spans="1:29" ht="15.75" thickBot="1" x14ac:dyDescent="0.3">
      <c r="A455" s="326">
        <v>45924</v>
      </c>
      <c r="B455" s="207">
        <v>6</v>
      </c>
      <c r="C455" s="208"/>
      <c r="D455" s="207" t="s">
        <v>193</v>
      </c>
      <c r="E455" s="209">
        <v>3.61</v>
      </c>
      <c r="F455" s="209"/>
      <c r="G455" s="210">
        <v>3</v>
      </c>
      <c r="H455" s="210">
        <v>2</v>
      </c>
      <c r="I455" s="210"/>
      <c r="J455" s="211">
        <v>1.6</v>
      </c>
      <c r="K455" s="208"/>
      <c r="L455" s="207" t="s">
        <v>70</v>
      </c>
      <c r="M455" s="235"/>
      <c r="N455" s="198"/>
      <c r="O455" s="199" t="s">
        <v>70</v>
      </c>
      <c r="P455" s="199" t="s">
        <v>714</v>
      </c>
      <c r="Q455" s="199" t="s">
        <v>715</v>
      </c>
      <c r="R455" s="199" t="s">
        <v>707</v>
      </c>
      <c r="S455" s="200">
        <v>77</v>
      </c>
      <c r="T455" s="199"/>
      <c r="U455" s="199"/>
      <c r="V455" s="201"/>
      <c r="W455" s="202"/>
      <c r="X455" s="203"/>
      <c r="Y455" s="203">
        <v>3</v>
      </c>
      <c r="Z455" s="199"/>
      <c r="AA455" s="204"/>
      <c r="AB455" s="205"/>
      <c r="AC455" s="201"/>
    </row>
    <row r="456" spans="1:29" x14ac:dyDescent="0.25">
      <c r="A456" s="323">
        <v>45927</v>
      </c>
      <c r="B456" s="136">
        <v>7</v>
      </c>
      <c r="C456" s="137" t="s">
        <v>694</v>
      </c>
      <c r="D456" s="136" t="s">
        <v>193</v>
      </c>
      <c r="E456" s="138">
        <v>2.34</v>
      </c>
      <c r="F456" s="138"/>
      <c r="G456" s="139">
        <v>5</v>
      </c>
      <c r="H456" s="139">
        <v>2</v>
      </c>
      <c r="I456" s="139"/>
      <c r="J456" s="140">
        <v>0.66</v>
      </c>
      <c r="K456" s="137" t="s">
        <v>693</v>
      </c>
      <c r="L456" s="136" t="s">
        <v>226</v>
      </c>
      <c r="M456" s="141"/>
      <c r="N456" s="142">
        <v>14</v>
      </c>
      <c r="O456" s="64" t="s">
        <v>193</v>
      </c>
      <c r="P456" s="64" t="s">
        <v>513</v>
      </c>
      <c r="Q456" s="64" t="s">
        <v>514</v>
      </c>
      <c r="R456" s="64" t="s">
        <v>713</v>
      </c>
      <c r="S456" s="217">
        <v>66</v>
      </c>
      <c r="T456" s="64" t="s">
        <v>47</v>
      </c>
      <c r="U456" s="64" t="s">
        <v>45</v>
      </c>
      <c r="V456" s="65" t="s">
        <v>33</v>
      </c>
      <c r="W456" s="167">
        <v>0.26</v>
      </c>
      <c r="X456" s="138">
        <v>0.16</v>
      </c>
      <c r="Y456" s="138" t="s">
        <v>353</v>
      </c>
      <c r="Z456" s="136" t="s">
        <v>8</v>
      </c>
      <c r="AA456" s="168" t="s">
        <v>19</v>
      </c>
      <c r="AB456" s="169" t="s">
        <v>204</v>
      </c>
      <c r="AC456" s="170" t="s">
        <v>205</v>
      </c>
    </row>
    <row r="457" spans="1:29" x14ac:dyDescent="0.25">
      <c r="A457" s="324">
        <v>45927</v>
      </c>
      <c r="B457" s="144">
        <v>7</v>
      </c>
      <c r="C457" s="145"/>
      <c r="D457" s="144" t="s">
        <v>193</v>
      </c>
      <c r="E457" s="146">
        <v>2.34</v>
      </c>
      <c r="F457" s="146"/>
      <c r="G457" s="147">
        <v>5</v>
      </c>
      <c r="H457" s="147">
        <v>2</v>
      </c>
      <c r="I457" s="147"/>
      <c r="J457" s="148">
        <v>0.66</v>
      </c>
      <c r="K457" s="145"/>
      <c r="L457" s="144" t="s">
        <v>226</v>
      </c>
      <c r="M457" s="149"/>
      <c r="N457" s="150">
        <v>25</v>
      </c>
      <c r="O457" s="26" t="s">
        <v>226</v>
      </c>
      <c r="P457" s="26" t="s">
        <v>231</v>
      </c>
      <c r="Q457" s="26" t="s">
        <v>232</v>
      </c>
      <c r="R457" s="26" t="s">
        <v>684</v>
      </c>
      <c r="S457" s="213">
        <v>83</v>
      </c>
      <c r="T457" s="26" t="s">
        <v>41</v>
      </c>
      <c r="U457" s="26" t="s">
        <v>42</v>
      </c>
      <c r="V457" s="43" t="s">
        <v>10</v>
      </c>
      <c r="W457" s="171">
        <v>0.17</v>
      </c>
      <c r="X457" s="146">
        <v>0.44</v>
      </c>
      <c r="Y457" s="146" t="s">
        <v>353</v>
      </c>
      <c r="Z457" s="144" t="s">
        <v>8</v>
      </c>
      <c r="AA457" s="172" t="s">
        <v>51</v>
      </c>
      <c r="AB457" s="173" t="s">
        <v>56</v>
      </c>
      <c r="AC457" s="174" t="s">
        <v>235</v>
      </c>
    </row>
    <row r="458" spans="1:29" x14ac:dyDescent="0.25">
      <c r="A458" s="324">
        <v>45927</v>
      </c>
      <c r="B458" s="144">
        <v>7</v>
      </c>
      <c r="C458" s="145"/>
      <c r="D458" s="144" t="s">
        <v>193</v>
      </c>
      <c r="E458" s="146">
        <v>2.34</v>
      </c>
      <c r="F458" s="146"/>
      <c r="G458" s="147">
        <v>5</v>
      </c>
      <c r="H458" s="147">
        <v>2</v>
      </c>
      <c r="I458" s="147"/>
      <c r="J458" s="148">
        <v>0.66</v>
      </c>
      <c r="K458" s="145"/>
      <c r="L458" s="144" t="s">
        <v>226</v>
      </c>
      <c r="M458" s="149"/>
      <c r="N458" s="150">
        <v>36</v>
      </c>
      <c r="O458" s="26" t="s">
        <v>226</v>
      </c>
      <c r="P458" s="26" t="s">
        <v>56</v>
      </c>
      <c r="Q458" s="26" t="s">
        <v>235</v>
      </c>
      <c r="R458" s="26" t="s">
        <v>686</v>
      </c>
      <c r="S458" s="213">
        <v>71</v>
      </c>
      <c r="T458" s="26" t="s">
        <v>41</v>
      </c>
      <c r="U458" s="26" t="s">
        <v>43</v>
      </c>
      <c r="V458" s="43" t="s">
        <v>18</v>
      </c>
      <c r="W458" s="171">
        <v>0.32</v>
      </c>
      <c r="X458" s="146">
        <v>0.26</v>
      </c>
      <c r="Y458" s="146" t="s">
        <v>353</v>
      </c>
      <c r="Z458" s="144" t="s">
        <v>8</v>
      </c>
      <c r="AA458" s="172" t="s">
        <v>67</v>
      </c>
      <c r="AB458" s="173" t="s">
        <v>289</v>
      </c>
      <c r="AC458" s="174" t="s">
        <v>54</v>
      </c>
    </row>
    <row r="459" spans="1:29" x14ac:dyDescent="0.25">
      <c r="A459" s="324">
        <v>45927</v>
      </c>
      <c r="B459" s="144">
        <v>7</v>
      </c>
      <c r="C459" s="145"/>
      <c r="D459" s="144" t="s">
        <v>193</v>
      </c>
      <c r="E459" s="146">
        <v>2.34</v>
      </c>
      <c r="F459" s="146"/>
      <c r="G459" s="147">
        <v>5</v>
      </c>
      <c r="H459" s="147">
        <v>2</v>
      </c>
      <c r="I459" s="147"/>
      <c r="J459" s="148">
        <v>0.66</v>
      </c>
      <c r="K459" s="145"/>
      <c r="L459" s="144" t="s">
        <v>226</v>
      </c>
      <c r="M459" s="149"/>
      <c r="N459" s="150">
        <v>39</v>
      </c>
      <c r="O459" s="61" t="s">
        <v>193</v>
      </c>
      <c r="P459" s="61" t="s">
        <v>200</v>
      </c>
      <c r="Q459" s="61" t="s">
        <v>201</v>
      </c>
      <c r="R459" s="61" t="s">
        <v>717</v>
      </c>
      <c r="S459" s="218">
        <v>89</v>
      </c>
      <c r="T459" s="61" t="s">
        <v>354</v>
      </c>
      <c r="U459" s="61" t="s">
        <v>42</v>
      </c>
      <c r="V459" s="63" t="s">
        <v>10</v>
      </c>
      <c r="W459" s="171">
        <v>0.02</v>
      </c>
      <c r="X459" s="146" t="s">
        <v>53</v>
      </c>
      <c r="Y459" s="146"/>
      <c r="Z459" s="144" t="s">
        <v>17</v>
      </c>
      <c r="AA459" s="172" t="s">
        <v>67</v>
      </c>
      <c r="AB459" s="173"/>
      <c r="AC459" s="174"/>
    </row>
    <row r="460" spans="1:29" x14ac:dyDescent="0.25">
      <c r="A460" s="324">
        <v>45927</v>
      </c>
      <c r="B460" s="144">
        <v>7</v>
      </c>
      <c r="C460" s="145"/>
      <c r="D460" s="144" t="s">
        <v>193</v>
      </c>
      <c r="E460" s="146">
        <v>2.34</v>
      </c>
      <c r="F460" s="146"/>
      <c r="G460" s="147">
        <v>5</v>
      </c>
      <c r="H460" s="147">
        <v>2</v>
      </c>
      <c r="I460" s="147"/>
      <c r="J460" s="148">
        <v>0.66</v>
      </c>
      <c r="K460" s="145"/>
      <c r="L460" s="144" t="s">
        <v>226</v>
      </c>
      <c r="M460" s="149"/>
      <c r="N460" s="150" t="s">
        <v>428</v>
      </c>
      <c r="O460" s="61" t="s">
        <v>193</v>
      </c>
      <c r="P460" s="61" t="s">
        <v>257</v>
      </c>
      <c r="Q460" s="61" t="s">
        <v>258</v>
      </c>
      <c r="R460" s="61" t="s">
        <v>718</v>
      </c>
      <c r="S460" s="218">
        <v>68</v>
      </c>
      <c r="T460" s="61" t="s">
        <v>41</v>
      </c>
      <c r="U460" s="61" t="s">
        <v>45</v>
      </c>
      <c r="V460" s="63" t="s">
        <v>29</v>
      </c>
      <c r="W460" s="171">
        <v>0.23</v>
      </c>
      <c r="X460" s="146">
        <v>0.64</v>
      </c>
      <c r="Y460" s="146" t="s">
        <v>353</v>
      </c>
      <c r="Z460" s="144" t="s">
        <v>8</v>
      </c>
      <c r="AA460" s="172" t="s">
        <v>189</v>
      </c>
      <c r="AB460" s="173" t="s">
        <v>53</v>
      </c>
      <c r="AC460" s="174" t="s">
        <v>477</v>
      </c>
    </row>
    <row r="461" spans="1:29" x14ac:dyDescent="0.25">
      <c r="A461" s="324">
        <v>45927</v>
      </c>
      <c r="B461" s="144">
        <v>7</v>
      </c>
      <c r="C461" s="145"/>
      <c r="D461" s="144" t="s">
        <v>193</v>
      </c>
      <c r="E461" s="146">
        <v>2.34</v>
      </c>
      <c r="F461" s="146"/>
      <c r="G461" s="147">
        <v>5</v>
      </c>
      <c r="H461" s="147">
        <v>2</v>
      </c>
      <c r="I461" s="147"/>
      <c r="J461" s="148">
        <v>0.66</v>
      </c>
      <c r="K461" s="145"/>
      <c r="L461" s="144" t="s">
        <v>226</v>
      </c>
      <c r="M461" s="149"/>
      <c r="N461" s="150">
        <v>51</v>
      </c>
      <c r="O461" s="61" t="s">
        <v>193</v>
      </c>
      <c r="P461" s="61" t="s">
        <v>200</v>
      </c>
      <c r="Q461" s="61" t="s">
        <v>201</v>
      </c>
      <c r="R461" s="61" t="s">
        <v>717</v>
      </c>
      <c r="S461" s="218">
        <v>89</v>
      </c>
      <c r="T461" s="61" t="s">
        <v>41</v>
      </c>
      <c r="U461" s="61" t="s">
        <v>42</v>
      </c>
      <c r="V461" s="63" t="s">
        <v>7</v>
      </c>
      <c r="W461" s="171">
        <v>0.79</v>
      </c>
      <c r="X461" s="146">
        <v>0.6</v>
      </c>
      <c r="Y461" s="146" t="s">
        <v>353</v>
      </c>
      <c r="Z461" s="144" t="s">
        <v>8</v>
      </c>
      <c r="AA461" s="172" t="s">
        <v>180</v>
      </c>
      <c r="AB461" s="173"/>
      <c r="AC461" s="174"/>
    </row>
    <row r="462" spans="1:29" x14ac:dyDescent="0.25">
      <c r="A462" s="324">
        <v>45927</v>
      </c>
      <c r="B462" s="144">
        <v>7</v>
      </c>
      <c r="C462" s="145"/>
      <c r="D462" s="144" t="s">
        <v>193</v>
      </c>
      <c r="E462" s="146">
        <v>2.34</v>
      </c>
      <c r="F462" s="146"/>
      <c r="G462" s="147">
        <v>5</v>
      </c>
      <c r="H462" s="147">
        <v>2</v>
      </c>
      <c r="I462" s="147"/>
      <c r="J462" s="148">
        <v>0.66</v>
      </c>
      <c r="K462" s="145"/>
      <c r="L462" s="144" t="s">
        <v>226</v>
      </c>
      <c r="M462" s="149"/>
      <c r="N462" s="150">
        <v>59</v>
      </c>
      <c r="O462" s="61" t="s">
        <v>193</v>
      </c>
      <c r="P462" s="61" t="s">
        <v>200</v>
      </c>
      <c r="Q462" s="61" t="s">
        <v>201</v>
      </c>
      <c r="R462" s="61" t="s">
        <v>717</v>
      </c>
      <c r="S462" s="218">
        <v>89</v>
      </c>
      <c r="T462" s="61" t="s">
        <v>44</v>
      </c>
      <c r="U462" s="61" t="s">
        <v>42</v>
      </c>
      <c r="V462" s="63" t="s">
        <v>15</v>
      </c>
      <c r="W462" s="171">
        <v>0.05</v>
      </c>
      <c r="X462" s="146" t="s">
        <v>53</v>
      </c>
      <c r="Y462" s="146"/>
      <c r="Z462" s="144" t="s">
        <v>55</v>
      </c>
      <c r="AA462" s="172" t="s">
        <v>180</v>
      </c>
      <c r="AB462" s="173"/>
      <c r="AC462" s="174"/>
    </row>
    <row r="463" spans="1:29" x14ac:dyDescent="0.25">
      <c r="A463" s="324">
        <v>45927</v>
      </c>
      <c r="B463" s="144">
        <v>7</v>
      </c>
      <c r="C463" s="145"/>
      <c r="D463" s="144" t="s">
        <v>193</v>
      </c>
      <c r="E463" s="146">
        <v>2.34</v>
      </c>
      <c r="F463" s="146"/>
      <c r="G463" s="147">
        <v>5</v>
      </c>
      <c r="H463" s="147">
        <v>2</v>
      </c>
      <c r="I463" s="147"/>
      <c r="J463" s="148">
        <v>0.66</v>
      </c>
      <c r="K463" s="145"/>
      <c r="L463" s="144" t="s">
        <v>226</v>
      </c>
      <c r="M463" s="149"/>
      <c r="N463" s="150">
        <v>62</v>
      </c>
      <c r="O463" s="61" t="s">
        <v>193</v>
      </c>
      <c r="P463" s="61" t="s">
        <v>257</v>
      </c>
      <c r="Q463" s="61" t="s">
        <v>258</v>
      </c>
      <c r="R463" s="61" t="s">
        <v>718</v>
      </c>
      <c r="S463" s="218">
        <v>68</v>
      </c>
      <c r="T463" s="61" t="s">
        <v>41</v>
      </c>
      <c r="U463" s="61" t="s">
        <v>43</v>
      </c>
      <c r="V463" s="63" t="s">
        <v>10</v>
      </c>
      <c r="W463" s="171">
        <v>0.25</v>
      </c>
      <c r="X463" s="146">
        <v>0.17</v>
      </c>
      <c r="Y463" s="146" t="s">
        <v>353</v>
      </c>
      <c r="Z463" s="144" t="s">
        <v>48</v>
      </c>
      <c r="AA463" s="172" t="s">
        <v>180</v>
      </c>
      <c r="AB463" s="173"/>
      <c r="AC463" s="174"/>
    </row>
    <row r="464" spans="1:29" x14ac:dyDescent="0.25">
      <c r="A464" s="324">
        <v>45927</v>
      </c>
      <c r="B464" s="144">
        <v>7</v>
      </c>
      <c r="C464" s="145"/>
      <c r="D464" s="144" t="s">
        <v>193</v>
      </c>
      <c r="E464" s="146">
        <v>2.34</v>
      </c>
      <c r="F464" s="146"/>
      <c r="G464" s="147">
        <v>5</v>
      </c>
      <c r="H464" s="147">
        <v>2</v>
      </c>
      <c r="I464" s="147"/>
      <c r="J464" s="148">
        <v>0.66</v>
      </c>
      <c r="K464" s="145"/>
      <c r="L464" s="144" t="s">
        <v>226</v>
      </c>
      <c r="M464" s="149"/>
      <c r="N464" s="150">
        <v>64</v>
      </c>
      <c r="O464" s="61" t="s">
        <v>193</v>
      </c>
      <c r="P464" s="61" t="s">
        <v>200</v>
      </c>
      <c r="Q464" s="61" t="s">
        <v>201</v>
      </c>
      <c r="R464" s="61" t="s">
        <v>717</v>
      </c>
      <c r="S464" s="218">
        <v>89</v>
      </c>
      <c r="T464" s="61" t="s">
        <v>354</v>
      </c>
      <c r="U464" s="61" t="s">
        <v>42</v>
      </c>
      <c r="V464" s="63" t="s">
        <v>15</v>
      </c>
      <c r="W464" s="171">
        <v>0.05</v>
      </c>
      <c r="X464" s="146">
        <v>0.06</v>
      </c>
      <c r="Y464" s="146"/>
      <c r="Z464" s="144" t="s">
        <v>8</v>
      </c>
      <c r="AA464" s="172" t="s">
        <v>515</v>
      </c>
      <c r="AB464" s="173"/>
      <c r="AC464" s="174"/>
    </row>
    <row r="465" spans="1:29" ht="15.75" thickBot="1" x14ac:dyDescent="0.3">
      <c r="A465" s="325">
        <v>45927</v>
      </c>
      <c r="B465" s="152">
        <v>7</v>
      </c>
      <c r="C465" s="153"/>
      <c r="D465" s="152" t="s">
        <v>193</v>
      </c>
      <c r="E465" s="154">
        <v>2.34</v>
      </c>
      <c r="F465" s="154"/>
      <c r="G465" s="155">
        <v>5</v>
      </c>
      <c r="H465" s="155">
        <v>2</v>
      </c>
      <c r="I465" s="155"/>
      <c r="J465" s="156">
        <v>0.66</v>
      </c>
      <c r="K465" s="153"/>
      <c r="L465" s="152" t="s">
        <v>226</v>
      </c>
      <c r="M465" s="157"/>
      <c r="N465" s="158" t="s">
        <v>31</v>
      </c>
      <c r="O465" s="66" t="s">
        <v>193</v>
      </c>
      <c r="P465" s="66" t="s">
        <v>206</v>
      </c>
      <c r="Q465" s="66" t="s">
        <v>207</v>
      </c>
      <c r="R465" s="66" t="s">
        <v>696</v>
      </c>
      <c r="S465" s="219">
        <v>74</v>
      </c>
      <c r="T465" s="66" t="s">
        <v>41</v>
      </c>
      <c r="U465" s="66" t="s">
        <v>42</v>
      </c>
      <c r="V465" s="67" t="s">
        <v>10</v>
      </c>
      <c r="W465" s="175">
        <v>0.47</v>
      </c>
      <c r="X465" s="154">
        <v>0.38</v>
      </c>
      <c r="Y465" s="154" t="s">
        <v>353</v>
      </c>
      <c r="Z465" s="152" t="s">
        <v>8</v>
      </c>
      <c r="AA465" s="176" t="s">
        <v>516</v>
      </c>
      <c r="AB465" s="177" t="s">
        <v>176</v>
      </c>
      <c r="AC465" s="178" t="s">
        <v>673</v>
      </c>
    </row>
    <row r="466" spans="1:29" ht="15.75" thickBot="1" x14ac:dyDescent="0.3">
      <c r="A466" s="326">
        <v>45927</v>
      </c>
      <c r="B466" s="207">
        <v>7</v>
      </c>
      <c r="C466" s="208"/>
      <c r="D466" s="207" t="s">
        <v>193</v>
      </c>
      <c r="E466" s="209">
        <v>2.34</v>
      </c>
      <c r="F466" s="209"/>
      <c r="G466" s="210">
        <v>5</v>
      </c>
      <c r="H466" s="210">
        <v>2</v>
      </c>
      <c r="I466" s="210"/>
      <c r="J466" s="211">
        <v>0.66</v>
      </c>
      <c r="K466" s="208"/>
      <c r="L466" s="207" t="s">
        <v>226</v>
      </c>
      <c r="M466" s="235"/>
      <c r="N466" s="198"/>
      <c r="O466" s="199" t="s">
        <v>193</v>
      </c>
      <c r="P466" s="199" t="s">
        <v>580</v>
      </c>
      <c r="Q466" s="199" t="s">
        <v>581</v>
      </c>
      <c r="R466" s="199" t="s">
        <v>707</v>
      </c>
      <c r="S466" s="200">
        <v>55</v>
      </c>
      <c r="T466" s="199"/>
      <c r="U466" s="199"/>
      <c r="V466" s="201"/>
      <c r="W466" s="202"/>
      <c r="X466" s="203"/>
      <c r="Y466" s="203">
        <v>2</v>
      </c>
      <c r="Z466" s="199"/>
      <c r="AA466" s="204"/>
      <c r="AB466" s="205"/>
      <c r="AC466" s="201"/>
    </row>
    <row r="467" spans="1:29" ht="15.75" thickBot="1" x14ac:dyDescent="0.3">
      <c r="A467" s="326">
        <v>45927</v>
      </c>
      <c r="B467" s="207">
        <v>7</v>
      </c>
      <c r="C467" s="208"/>
      <c r="D467" s="207" t="s">
        <v>193</v>
      </c>
      <c r="E467" s="209">
        <v>2.34</v>
      </c>
      <c r="F467" s="209"/>
      <c r="G467" s="210">
        <v>5</v>
      </c>
      <c r="H467" s="210">
        <v>2</v>
      </c>
      <c r="I467" s="210"/>
      <c r="J467" s="211">
        <v>0.66</v>
      </c>
      <c r="K467" s="208"/>
      <c r="L467" s="207" t="s">
        <v>226</v>
      </c>
      <c r="M467" s="235"/>
      <c r="N467" s="198"/>
      <c r="O467" s="199" t="s">
        <v>226</v>
      </c>
      <c r="P467" s="199" t="s">
        <v>726</v>
      </c>
      <c r="Q467" s="199" t="s">
        <v>727</v>
      </c>
      <c r="R467" s="199" t="s">
        <v>707</v>
      </c>
      <c r="S467" s="200">
        <v>58</v>
      </c>
      <c r="T467" s="199"/>
      <c r="U467" s="199"/>
      <c r="V467" s="201"/>
      <c r="W467" s="202"/>
      <c r="X467" s="203"/>
      <c r="Y467" s="203">
        <v>5</v>
      </c>
      <c r="Z467" s="199"/>
      <c r="AA467" s="204"/>
      <c r="AB467" s="205"/>
      <c r="AC467" s="201"/>
    </row>
    <row r="468" spans="1:29" x14ac:dyDescent="0.25">
      <c r="A468" s="328">
        <v>45888</v>
      </c>
      <c r="B468" s="17">
        <v>1</v>
      </c>
      <c r="C468" s="123" t="s">
        <v>692</v>
      </c>
      <c r="D468" s="17" t="s">
        <v>226</v>
      </c>
      <c r="E468" s="18">
        <v>1.64</v>
      </c>
      <c r="F468" s="18"/>
      <c r="G468" s="19">
        <v>1</v>
      </c>
      <c r="H468" s="19">
        <v>0</v>
      </c>
      <c r="I468" s="19"/>
      <c r="J468" s="20">
        <v>0.36</v>
      </c>
      <c r="K468" s="123" t="s">
        <v>702</v>
      </c>
      <c r="L468" s="17" t="s">
        <v>227</v>
      </c>
      <c r="M468" s="46"/>
      <c r="N468" s="96">
        <v>7</v>
      </c>
      <c r="O468" s="64" t="s">
        <v>226</v>
      </c>
      <c r="P468" s="64" t="s">
        <v>74</v>
      </c>
      <c r="Q468" s="64" t="s">
        <v>228</v>
      </c>
      <c r="R468" s="64" t="s">
        <v>688</v>
      </c>
      <c r="S468" s="217">
        <v>67</v>
      </c>
      <c r="T468" s="64" t="s">
        <v>354</v>
      </c>
      <c r="U468" s="64" t="s">
        <v>43</v>
      </c>
      <c r="V468" s="65" t="s">
        <v>10</v>
      </c>
      <c r="W468" s="53">
        <v>0.04</v>
      </c>
      <c r="X468" s="18" t="s">
        <v>53</v>
      </c>
      <c r="Y468" s="18"/>
      <c r="Z468" s="17" t="s">
        <v>22</v>
      </c>
      <c r="AA468" s="114" t="s">
        <v>28</v>
      </c>
      <c r="AB468" s="110"/>
      <c r="AC468" s="60"/>
    </row>
    <row r="469" spans="1:29" x14ac:dyDescent="0.25">
      <c r="A469" s="329">
        <v>45888</v>
      </c>
      <c r="B469" s="5">
        <v>1</v>
      </c>
      <c r="D469" s="5" t="s">
        <v>226</v>
      </c>
      <c r="E469" s="6">
        <v>1.64</v>
      </c>
      <c r="G469" s="7">
        <v>1</v>
      </c>
      <c r="H469" s="7">
        <v>0</v>
      </c>
      <c r="J469" s="8">
        <v>0.36</v>
      </c>
      <c r="L469" s="5" t="s">
        <v>227</v>
      </c>
      <c r="N469" s="56">
        <v>18</v>
      </c>
      <c r="O469" s="61" t="s">
        <v>226</v>
      </c>
      <c r="P469" s="61" t="s">
        <v>229</v>
      </c>
      <c r="Q469" s="61" t="s">
        <v>230</v>
      </c>
      <c r="R469" s="61" t="s">
        <v>712</v>
      </c>
      <c r="S469" s="218">
        <v>85</v>
      </c>
      <c r="T469" s="61" t="s">
        <v>354</v>
      </c>
      <c r="U469" s="61" t="s">
        <v>42</v>
      </c>
      <c r="V469" s="63" t="s">
        <v>10</v>
      </c>
      <c r="W469" s="51">
        <v>0.02</v>
      </c>
      <c r="X469" s="6">
        <v>0.16</v>
      </c>
      <c r="Z469" s="5" t="s">
        <v>48</v>
      </c>
      <c r="AA469" s="112" t="s">
        <v>28</v>
      </c>
    </row>
    <row r="470" spans="1:29" x14ac:dyDescent="0.25">
      <c r="A470" s="329">
        <v>45888</v>
      </c>
      <c r="B470" s="5">
        <v>1</v>
      </c>
      <c r="D470" s="5" t="s">
        <v>226</v>
      </c>
      <c r="E470" s="6">
        <v>1.64</v>
      </c>
      <c r="G470" s="7">
        <v>1</v>
      </c>
      <c r="H470" s="7">
        <v>0</v>
      </c>
      <c r="J470" s="8">
        <v>0.36</v>
      </c>
      <c r="L470" s="5" t="s">
        <v>227</v>
      </c>
      <c r="N470" s="56">
        <v>25</v>
      </c>
      <c r="O470" s="61" t="s">
        <v>226</v>
      </c>
      <c r="P470" s="61" t="s">
        <v>231</v>
      </c>
      <c r="Q470" s="61" t="s">
        <v>232</v>
      </c>
      <c r="R470" s="61" t="s">
        <v>684</v>
      </c>
      <c r="S470" s="218">
        <v>83</v>
      </c>
      <c r="T470" s="61" t="s">
        <v>41</v>
      </c>
      <c r="U470" s="61" t="s">
        <v>43</v>
      </c>
      <c r="V470" s="63" t="s">
        <v>10</v>
      </c>
      <c r="W470" s="51">
        <v>0.13</v>
      </c>
      <c r="X470" s="6">
        <v>0.11</v>
      </c>
      <c r="Z470" s="5" t="s">
        <v>48</v>
      </c>
      <c r="AA470" s="112" t="s">
        <v>28</v>
      </c>
    </row>
    <row r="471" spans="1:29" x14ac:dyDescent="0.25">
      <c r="A471" s="329">
        <v>45888</v>
      </c>
      <c r="B471" s="5">
        <v>1</v>
      </c>
      <c r="D471" s="5" t="s">
        <v>226</v>
      </c>
      <c r="E471" s="6">
        <v>1.64</v>
      </c>
      <c r="G471" s="7">
        <v>1</v>
      </c>
      <c r="H471" s="7">
        <v>0</v>
      </c>
      <c r="J471" s="8">
        <v>0.36</v>
      </c>
      <c r="L471" s="5" t="s">
        <v>227</v>
      </c>
      <c r="N471" s="56">
        <v>34</v>
      </c>
      <c r="O471" s="61" t="s">
        <v>226</v>
      </c>
      <c r="P471" s="61" t="s">
        <v>231</v>
      </c>
      <c r="Q471" s="61" t="s">
        <v>232</v>
      </c>
      <c r="R471" s="61" t="s">
        <v>684</v>
      </c>
      <c r="S471" s="218">
        <v>83</v>
      </c>
      <c r="T471" s="61" t="s">
        <v>41</v>
      </c>
      <c r="U471" s="61" t="s">
        <v>42</v>
      </c>
      <c r="V471" s="63" t="s">
        <v>540</v>
      </c>
      <c r="W471" s="51">
        <v>0.03</v>
      </c>
      <c r="X471" s="6" t="s">
        <v>53</v>
      </c>
      <c r="Z471" s="5" t="s">
        <v>22</v>
      </c>
      <c r="AA471" s="112" t="s">
        <v>28</v>
      </c>
    </row>
    <row r="472" spans="1:29" x14ac:dyDescent="0.25">
      <c r="A472" s="329">
        <v>45888</v>
      </c>
      <c r="B472" s="5">
        <v>1</v>
      </c>
      <c r="D472" s="5" t="s">
        <v>226</v>
      </c>
      <c r="E472" s="6">
        <v>1.64</v>
      </c>
      <c r="G472" s="7">
        <v>1</v>
      </c>
      <c r="H472" s="7">
        <v>0</v>
      </c>
      <c r="J472" s="8">
        <v>0.36</v>
      </c>
      <c r="L472" s="5" t="s">
        <v>227</v>
      </c>
      <c r="N472" s="56">
        <v>51</v>
      </c>
      <c r="O472" s="61" t="s">
        <v>226</v>
      </c>
      <c r="P472" s="61" t="s">
        <v>231</v>
      </c>
      <c r="Q472" s="61" t="s">
        <v>232</v>
      </c>
      <c r="R472" s="61" t="s">
        <v>684</v>
      </c>
      <c r="S472" s="218">
        <v>83</v>
      </c>
      <c r="T472" s="61" t="s">
        <v>41</v>
      </c>
      <c r="U472" s="61" t="s">
        <v>42</v>
      </c>
      <c r="V472" s="63" t="s">
        <v>7</v>
      </c>
      <c r="W472" s="51">
        <v>0.79</v>
      </c>
      <c r="X472" s="6">
        <v>0.84</v>
      </c>
      <c r="Y472" s="6" t="s">
        <v>353</v>
      </c>
      <c r="Z472" s="5" t="s">
        <v>8</v>
      </c>
      <c r="AA472" s="112" t="s">
        <v>19</v>
      </c>
    </row>
    <row r="473" spans="1:29" x14ac:dyDescent="0.25">
      <c r="A473" s="329">
        <v>45888</v>
      </c>
      <c r="B473" s="5">
        <v>1</v>
      </c>
      <c r="D473" s="5" t="s">
        <v>226</v>
      </c>
      <c r="E473" s="6">
        <v>1.64</v>
      </c>
      <c r="G473" s="7">
        <v>1</v>
      </c>
      <c r="H473" s="7">
        <v>0</v>
      </c>
      <c r="J473" s="8">
        <v>0.36</v>
      </c>
      <c r="L473" s="5" t="s">
        <v>227</v>
      </c>
      <c r="N473" s="56">
        <v>57</v>
      </c>
      <c r="O473" s="61" t="s">
        <v>226</v>
      </c>
      <c r="P473" s="61" t="s">
        <v>233</v>
      </c>
      <c r="Q473" s="61" t="s">
        <v>234</v>
      </c>
      <c r="R473" s="61" t="s">
        <v>695</v>
      </c>
      <c r="S473" s="218">
        <v>66</v>
      </c>
      <c r="T473" s="61" t="s">
        <v>41</v>
      </c>
      <c r="U473" s="61" t="s">
        <v>42</v>
      </c>
      <c r="V473" s="63" t="s">
        <v>10</v>
      </c>
      <c r="W473" s="51">
        <v>0.14000000000000001</v>
      </c>
      <c r="X473" s="6" t="s">
        <v>53</v>
      </c>
      <c r="Z473" s="5" t="s">
        <v>13</v>
      </c>
      <c r="AA473" s="112" t="s">
        <v>19</v>
      </c>
    </row>
    <row r="474" spans="1:29" x14ac:dyDescent="0.25">
      <c r="A474" s="329">
        <v>45888</v>
      </c>
      <c r="B474" s="5">
        <v>1</v>
      </c>
      <c r="D474" s="5" t="s">
        <v>226</v>
      </c>
      <c r="E474" s="6">
        <v>1.64</v>
      </c>
      <c r="G474" s="7">
        <v>1</v>
      </c>
      <c r="H474" s="7">
        <v>0</v>
      </c>
      <c r="J474" s="8">
        <v>0.36</v>
      </c>
      <c r="L474" s="5" t="s">
        <v>227</v>
      </c>
      <c r="N474" s="56">
        <v>63</v>
      </c>
      <c r="O474" s="61" t="s">
        <v>226</v>
      </c>
      <c r="P474" s="61" t="s">
        <v>56</v>
      </c>
      <c r="Q474" s="61" t="s">
        <v>235</v>
      </c>
      <c r="R474" s="61" t="s">
        <v>691</v>
      </c>
      <c r="S474" s="218">
        <v>72</v>
      </c>
      <c r="T474" s="61" t="s">
        <v>354</v>
      </c>
      <c r="U474" s="61" t="s">
        <v>43</v>
      </c>
      <c r="V474" s="63" t="s">
        <v>10</v>
      </c>
      <c r="W474" s="51">
        <v>0.03</v>
      </c>
      <c r="X474" s="6" t="s">
        <v>53</v>
      </c>
      <c r="Z474" s="5" t="s">
        <v>55</v>
      </c>
      <c r="AA474" s="112" t="s">
        <v>19</v>
      </c>
    </row>
    <row r="475" spans="1:29" x14ac:dyDescent="0.25">
      <c r="A475" s="329">
        <v>45888</v>
      </c>
      <c r="B475" s="5">
        <v>1</v>
      </c>
      <c r="D475" s="5" t="s">
        <v>226</v>
      </c>
      <c r="E475" s="6">
        <v>1.64</v>
      </c>
      <c r="G475" s="7">
        <v>1</v>
      </c>
      <c r="H475" s="7">
        <v>0</v>
      </c>
      <c r="J475" s="8">
        <v>0.36</v>
      </c>
      <c r="L475" s="5" t="s">
        <v>227</v>
      </c>
      <c r="N475" s="56">
        <v>74</v>
      </c>
      <c r="O475" s="61" t="s">
        <v>226</v>
      </c>
      <c r="P475" s="61" t="s">
        <v>233</v>
      </c>
      <c r="Q475" s="61" t="s">
        <v>234</v>
      </c>
      <c r="R475" s="61" t="s">
        <v>695</v>
      </c>
      <c r="S475" s="218">
        <v>66</v>
      </c>
      <c r="T475" s="61" t="s">
        <v>41</v>
      </c>
      <c r="U475" s="61" t="s">
        <v>45</v>
      </c>
      <c r="V475" s="63" t="s">
        <v>20</v>
      </c>
      <c r="W475" s="51">
        <v>0.1</v>
      </c>
      <c r="X475" s="6" t="s">
        <v>53</v>
      </c>
      <c r="Z475" s="5" t="s">
        <v>16</v>
      </c>
      <c r="AA475" s="112" t="s">
        <v>19</v>
      </c>
    </row>
    <row r="476" spans="1:29" x14ac:dyDescent="0.25">
      <c r="A476" s="329">
        <v>45888</v>
      </c>
      <c r="B476" s="5">
        <v>1</v>
      </c>
      <c r="D476" s="5" t="s">
        <v>226</v>
      </c>
      <c r="E476" s="6">
        <v>1.64</v>
      </c>
      <c r="G476" s="7">
        <v>1</v>
      </c>
      <c r="H476" s="7">
        <v>0</v>
      </c>
      <c r="J476" s="8">
        <v>0.36</v>
      </c>
      <c r="L476" s="5" t="s">
        <v>227</v>
      </c>
      <c r="N476" s="56">
        <v>85</v>
      </c>
      <c r="O476" s="26" t="s">
        <v>227</v>
      </c>
      <c r="P476" s="26" t="s">
        <v>238</v>
      </c>
      <c r="Q476" s="26" t="s">
        <v>239</v>
      </c>
      <c r="R476" s="26" t="s">
        <v>684</v>
      </c>
      <c r="S476" s="213">
        <v>64</v>
      </c>
      <c r="T476" s="26" t="s">
        <v>47</v>
      </c>
      <c r="U476" s="26" t="s">
        <v>45</v>
      </c>
      <c r="V476" s="43" t="s">
        <v>33</v>
      </c>
      <c r="W476" s="51">
        <v>0.3</v>
      </c>
      <c r="X476" s="6" t="s">
        <v>53</v>
      </c>
      <c r="Z476" s="5" t="s">
        <v>13</v>
      </c>
      <c r="AA476" s="112" t="s">
        <v>19</v>
      </c>
    </row>
    <row r="477" spans="1:29" ht="15.75" thickBot="1" x14ac:dyDescent="0.3">
      <c r="A477" s="330">
        <v>45888</v>
      </c>
      <c r="B477" s="9">
        <v>1</v>
      </c>
      <c r="C477" s="122"/>
      <c r="D477" s="9" t="s">
        <v>226</v>
      </c>
      <c r="E477" s="10">
        <v>1.64</v>
      </c>
      <c r="F477" s="10"/>
      <c r="G477" s="11">
        <v>1</v>
      </c>
      <c r="H477" s="11">
        <v>0</v>
      </c>
      <c r="I477" s="11"/>
      <c r="J477" s="12">
        <v>0.36</v>
      </c>
      <c r="K477" s="122"/>
      <c r="L477" s="9" t="s">
        <v>227</v>
      </c>
      <c r="M477" s="45"/>
      <c r="N477" s="97">
        <v>89</v>
      </c>
      <c r="O477" s="66" t="s">
        <v>226</v>
      </c>
      <c r="P477" s="66" t="s">
        <v>236</v>
      </c>
      <c r="Q477" s="66" t="s">
        <v>237</v>
      </c>
      <c r="R477" s="66" t="s">
        <v>696</v>
      </c>
      <c r="S477" s="219">
        <v>66</v>
      </c>
      <c r="T477" s="66" t="s">
        <v>41</v>
      </c>
      <c r="U477" s="66" t="s">
        <v>43</v>
      </c>
      <c r="V477" s="67" t="s">
        <v>10</v>
      </c>
      <c r="W477" s="52">
        <v>0.09</v>
      </c>
      <c r="X477" s="10">
        <v>0.16</v>
      </c>
      <c r="Y477" s="10"/>
      <c r="Z477" s="9" t="s">
        <v>48</v>
      </c>
      <c r="AA477" s="113" t="s">
        <v>19</v>
      </c>
      <c r="AB477" s="109"/>
      <c r="AC477" s="58"/>
    </row>
    <row r="478" spans="1:29" ht="15.75" thickBot="1" x14ac:dyDescent="0.3">
      <c r="A478" s="326">
        <v>45888</v>
      </c>
      <c r="B478" s="207">
        <v>1</v>
      </c>
      <c r="C478" s="208"/>
      <c r="D478" s="207" t="s">
        <v>226</v>
      </c>
      <c r="E478" s="209">
        <v>1.64</v>
      </c>
      <c r="F478" s="209"/>
      <c r="G478" s="210">
        <v>1</v>
      </c>
      <c r="H478" s="210">
        <v>0</v>
      </c>
      <c r="I478" s="210"/>
      <c r="J478" s="211">
        <v>0.36</v>
      </c>
      <c r="K478" s="208"/>
      <c r="L478" s="207" t="s">
        <v>227</v>
      </c>
      <c r="M478" s="197"/>
      <c r="N478" s="198"/>
      <c r="O478" s="199" t="s">
        <v>226</v>
      </c>
      <c r="P478" s="199" t="s">
        <v>726</v>
      </c>
      <c r="Q478" s="199" t="s">
        <v>727</v>
      </c>
      <c r="R478" s="199" t="s">
        <v>707</v>
      </c>
      <c r="S478" s="200">
        <v>68</v>
      </c>
      <c r="T478" s="199"/>
      <c r="U478" s="199"/>
      <c r="V478" s="201"/>
      <c r="W478" s="202"/>
      <c r="X478" s="203"/>
      <c r="Y478" s="203">
        <v>0</v>
      </c>
      <c r="Z478" s="199"/>
      <c r="AA478" s="204"/>
      <c r="AB478" s="205"/>
      <c r="AC478" s="201"/>
    </row>
    <row r="479" spans="1:29" ht="15.75" thickBot="1" x14ac:dyDescent="0.3">
      <c r="A479" s="326">
        <v>45888</v>
      </c>
      <c r="B479" s="207">
        <v>1</v>
      </c>
      <c r="C479" s="208"/>
      <c r="D479" s="207" t="s">
        <v>226</v>
      </c>
      <c r="E479" s="209">
        <v>1.64</v>
      </c>
      <c r="F479" s="209"/>
      <c r="G479" s="210">
        <v>1</v>
      </c>
      <c r="H479" s="210">
        <v>0</v>
      </c>
      <c r="I479" s="210"/>
      <c r="J479" s="211">
        <v>0.36</v>
      </c>
      <c r="K479" s="208"/>
      <c r="L479" s="207" t="s">
        <v>227</v>
      </c>
      <c r="M479" s="197"/>
      <c r="N479" s="198"/>
      <c r="O479" s="199" t="s">
        <v>227</v>
      </c>
      <c r="P479" s="199" t="s">
        <v>298</v>
      </c>
      <c r="Q479" s="199" t="s">
        <v>86</v>
      </c>
      <c r="R479" s="199" t="s">
        <v>707</v>
      </c>
      <c r="S479" s="200">
        <v>71</v>
      </c>
      <c r="T479" s="199"/>
      <c r="U479" s="199"/>
      <c r="V479" s="201"/>
      <c r="W479" s="202"/>
      <c r="X479" s="203"/>
      <c r="Y479" s="203">
        <v>1</v>
      </c>
      <c r="Z479" s="199"/>
      <c r="AA479" s="204"/>
      <c r="AB479" s="205"/>
      <c r="AC479" s="201"/>
    </row>
    <row r="480" spans="1:29" x14ac:dyDescent="0.25">
      <c r="A480" s="328">
        <v>45900</v>
      </c>
      <c r="B480" s="17">
        <v>3</v>
      </c>
      <c r="C480" s="123" t="s">
        <v>693</v>
      </c>
      <c r="D480" s="17" t="s">
        <v>192</v>
      </c>
      <c r="E480" s="18">
        <v>1.21</v>
      </c>
      <c r="F480" s="18"/>
      <c r="G480" s="19">
        <v>1</v>
      </c>
      <c r="H480" s="19">
        <v>0</v>
      </c>
      <c r="I480" s="19"/>
      <c r="J480" s="20">
        <v>1.37</v>
      </c>
      <c r="K480" s="123" t="s">
        <v>700</v>
      </c>
      <c r="L480" s="17" t="s">
        <v>227</v>
      </c>
      <c r="M480" s="46"/>
      <c r="N480" s="96">
        <v>1</v>
      </c>
      <c r="O480" s="64" t="s">
        <v>192</v>
      </c>
      <c r="P480" s="64" t="s">
        <v>196</v>
      </c>
      <c r="Q480" s="64" t="s">
        <v>75</v>
      </c>
      <c r="R480" s="64" t="s">
        <v>684</v>
      </c>
      <c r="S480" s="217">
        <v>65</v>
      </c>
      <c r="T480" s="64" t="s">
        <v>41</v>
      </c>
      <c r="U480" s="64" t="s">
        <v>42</v>
      </c>
      <c r="V480" s="65" t="s">
        <v>10</v>
      </c>
      <c r="W480" s="53">
        <v>0.25</v>
      </c>
      <c r="X480" s="18" t="s">
        <v>53</v>
      </c>
      <c r="Y480" s="18"/>
      <c r="Z480" s="17" t="s">
        <v>13</v>
      </c>
      <c r="AA480" s="114" t="s">
        <v>28</v>
      </c>
      <c r="AB480" s="110"/>
      <c r="AC480" s="60"/>
    </row>
    <row r="481" spans="1:29" x14ac:dyDescent="0.25">
      <c r="A481" s="329">
        <v>45900</v>
      </c>
      <c r="B481" s="5">
        <v>3</v>
      </c>
      <c r="D481" s="5" t="s">
        <v>192</v>
      </c>
      <c r="E481" s="6">
        <v>1.21</v>
      </c>
      <c r="G481" s="7">
        <v>1</v>
      </c>
      <c r="H481" s="7">
        <v>0</v>
      </c>
      <c r="J481" s="8">
        <v>1.37</v>
      </c>
      <c r="L481" s="5" t="s">
        <v>227</v>
      </c>
      <c r="N481" s="56">
        <v>14</v>
      </c>
      <c r="O481" s="61" t="s">
        <v>192</v>
      </c>
      <c r="P481" s="61" t="s">
        <v>198</v>
      </c>
      <c r="Q481" s="61" t="s">
        <v>199</v>
      </c>
      <c r="R481" s="61" t="s">
        <v>699</v>
      </c>
      <c r="S481" s="218">
        <v>65</v>
      </c>
      <c r="T481" s="61" t="s">
        <v>354</v>
      </c>
      <c r="U481" s="61" t="s">
        <v>43</v>
      </c>
      <c r="V481" s="63" t="s">
        <v>10</v>
      </c>
      <c r="W481" s="51">
        <v>0.06</v>
      </c>
      <c r="X481" s="6">
        <v>0.17</v>
      </c>
      <c r="Y481" s="6" t="s">
        <v>353</v>
      </c>
      <c r="Z481" s="5" t="s">
        <v>48</v>
      </c>
      <c r="AA481" s="112" t="s">
        <v>28</v>
      </c>
    </row>
    <row r="482" spans="1:29" x14ac:dyDescent="0.25">
      <c r="A482" s="329">
        <v>45900</v>
      </c>
      <c r="B482" s="5">
        <v>3</v>
      </c>
      <c r="D482" s="5" t="s">
        <v>192</v>
      </c>
      <c r="E482" s="6">
        <v>1.21</v>
      </c>
      <c r="G482" s="7">
        <v>1</v>
      </c>
      <c r="H482" s="7">
        <v>0</v>
      </c>
      <c r="J482" s="8">
        <v>1.37</v>
      </c>
      <c r="L482" s="5" t="s">
        <v>227</v>
      </c>
      <c r="N482" s="56">
        <v>14</v>
      </c>
      <c r="O482" s="61" t="s">
        <v>192</v>
      </c>
      <c r="P482" s="61" t="s">
        <v>196</v>
      </c>
      <c r="Q482" s="61" t="s">
        <v>75</v>
      </c>
      <c r="R482" s="61" t="s">
        <v>684</v>
      </c>
      <c r="S482" s="218">
        <v>65</v>
      </c>
      <c r="T482" s="61" t="s">
        <v>41</v>
      </c>
      <c r="U482" s="61" t="s">
        <v>42</v>
      </c>
      <c r="V482" s="63" t="s">
        <v>10</v>
      </c>
      <c r="W482" s="51">
        <v>0.22</v>
      </c>
      <c r="X482" s="6">
        <v>0.48</v>
      </c>
      <c r="Y482" s="6" t="s">
        <v>353</v>
      </c>
      <c r="Z482" s="5" t="s">
        <v>48</v>
      </c>
      <c r="AA482" s="112" t="s">
        <v>28</v>
      </c>
    </row>
    <row r="483" spans="1:29" x14ac:dyDescent="0.25">
      <c r="A483" s="329">
        <v>45900</v>
      </c>
      <c r="B483" s="5">
        <v>3</v>
      </c>
      <c r="D483" s="5" t="s">
        <v>192</v>
      </c>
      <c r="E483" s="6">
        <v>1.21</v>
      </c>
      <c r="G483" s="7">
        <v>1</v>
      </c>
      <c r="H483" s="7">
        <v>0</v>
      </c>
      <c r="J483" s="8">
        <v>1.37</v>
      </c>
      <c r="L483" s="5" t="s">
        <v>227</v>
      </c>
      <c r="N483" s="56">
        <v>16</v>
      </c>
      <c r="O483" s="61" t="s">
        <v>192</v>
      </c>
      <c r="P483" s="61" t="s">
        <v>278</v>
      </c>
      <c r="Q483" s="61" t="s">
        <v>279</v>
      </c>
      <c r="R483" s="61" t="s">
        <v>685</v>
      </c>
      <c r="S483" s="218">
        <v>63</v>
      </c>
      <c r="T483" s="61" t="s">
        <v>47</v>
      </c>
      <c r="U483" s="61" t="s">
        <v>45</v>
      </c>
      <c r="V483" s="63" t="s">
        <v>10</v>
      </c>
      <c r="W483" s="51">
        <v>0.16</v>
      </c>
      <c r="X483" s="6" t="s">
        <v>53</v>
      </c>
      <c r="Z483" s="5" t="s">
        <v>13</v>
      </c>
      <c r="AA483" s="112" t="s">
        <v>28</v>
      </c>
    </row>
    <row r="484" spans="1:29" x14ac:dyDescent="0.25">
      <c r="A484" s="329">
        <v>45900</v>
      </c>
      <c r="B484" s="5">
        <v>3</v>
      </c>
      <c r="D484" s="5" t="s">
        <v>192</v>
      </c>
      <c r="E484" s="6">
        <v>1.21</v>
      </c>
      <c r="G484" s="7">
        <v>1</v>
      </c>
      <c r="H484" s="7">
        <v>0</v>
      </c>
      <c r="J484" s="8">
        <v>1.37</v>
      </c>
      <c r="L484" s="5" t="s">
        <v>227</v>
      </c>
      <c r="N484" s="56">
        <v>21</v>
      </c>
      <c r="O484" s="26" t="s">
        <v>227</v>
      </c>
      <c r="P484" s="26" t="s">
        <v>238</v>
      </c>
      <c r="Q484" s="26" t="s">
        <v>239</v>
      </c>
      <c r="R484" s="26" t="s">
        <v>684</v>
      </c>
      <c r="S484" s="213">
        <v>61</v>
      </c>
      <c r="T484" s="26" t="s">
        <v>44</v>
      </c>
      <c r="U484" s="26" t="s">
        <v>43</v>
      </c>
      <c r="V484" s="43" t="s">
        <v>18</v>
      </c>
      <c r="W484" s="51">
        <v>0.18</v>
      </c>
      <c r="X484" s="6">
        <v>0.23</v>
      </c>
      <c r="Z484" s="5" t="s">
        <v>48</v>
      </c>
      <c r="AA484" s="112" t="s">
        <v>28</v>
      </c>
    </row>
    <row r="485" spans="1:29" x14ac:dyDescent="0.25">
      <c r="A485" s="329">
        <v>45900</v>
      </c>
      <c r="B485" s="5">
        <v>3</v>
      </c>
      <c r="D485" s="5" t="s">
        <v>192</v>
      </c>
      <c r="E485" s="6">
        <v>1.21</v>
      </c>
      <c r="G485" s="7">
        <v>1</v>
      </c>
      <c r="H485" s="7">
        <v>0</v>
      </c>
      <c r="J485" s="8">
        <v>1.37</v>
      </c>
      <c r="L485" s="5" t="s">
        <v>227</v>
      </c>
      <c r="N485" s="56">
        <v>25</v>
      </c>
      <c r="O485" s="26" t="s">
        <v>227</v>
      </c>
      <c r="P485" s="26" t="s">
        <v>344</v>
      </c>
      <c r="Q485" s="26" t="s">
        <v>345</v>
      </c>
      <c r="R485" s="26" t="s">
        <v>685</v>
      </c>
      <c r="S485" s="213">
        <v>71</v>
      </c>
      <c r="T485" s="26" t="s">
        <v>354</v>
      </c>
      <c r="U485" s="26" t="s">
        <v>42</v>
      </c>
      <c r="V485" s="43" t="s">
        <v>15</v>
      </c>
      <c r="W485" s="51">
        <v>0.11</v>
      </c>
      <c r="X485" s="6" t="s">
        <v>53</v>
      </c>
      <c r="Z485" s="5" t="s">
        <v>55</v>
      </c>
      <c r="AA485" s="112" t="s">
        <v>28</v>
      </c>
    </row>
    <row r="486" spans="1:29" x14ac:dyDescent="0.25">
      <c r="A486" s="329">
        <v>45900</v>
      </c>
      <c r="B486" s="5">
        <v>3</v>
      </c>
      <c r="D486" s="5" t="s">
        <v>192</v>
      </c>
      <c r="E486" s="6">
        <v>1.21</v>
      </c>
      <c r="G486" s="7">
        <v>1</v>
      </c>
      <c r="H486" s="7">
        <v>0</v>
      </c>
      <c r="J486" s="8">
        <v>1.37</v>
      </c>
      <c r="L486" s="5" t="s">
        <v>227</v>
      </c>
      <c r="N486" s="56" t="s">
        <v>63</v>
      </c>
      <c r="O486" s="26" t="s">
        <v>227</v>
      </c>
      <c r="P486" s="26" t="s">
        <v>135</v>
      </c>
      <c r="Q486" s="26" t="s">
        <v>346</v>
      </c>
      <c r="R486" s="26" t="s">
        <v>688</v>
      </c>
      <c r="S486" s="213">
        <v>69</v>
      </c>
      <c r="T486" s="26" t="s">
        <v>47</v>
      </c>
      <c r="U486" s="26" t="s">
        <v>42</v>
      </c>
      <c r="V486" s="43" t="s">
        <v>10</v>
      </c>
      <c r="W486" s="51">
        <v>0.11</v>
      </c>
      <c r="X486" s="6" t="s">
        <v>53</v>
      </c>
      <c r="Y486" s="6" t="s">
        <v>353</v>
      </c>
      <c r="Z486" s="5" t="s">
        <v>17</v>
      </c>
      <c r="AA486" s="112" t="s">
        <v>28</v>
      </c>
    </row>
    <row r="487" spans="1:29" x14ac:dyDescent="0.25">
      <c r="A487" s="329">
        <v>45900</v>
      </c>
      <c r="B487" s="5">
        <v>3</v>
      </c>
      <c r="D487" s="5" t="s">
        <v>192</v>
      </c>
      <c r="E487" s="6">
        <v>1.21</v>
      </c>
      <c r="G487" s="7">
        <v>1</v>
      </c>
      <c r="H487" s="7">
        <v>0</v>
      </c>
      <c r="J487" s="8">
        <v>1.37</v>
      </c>
      <c r="L487" s="5" t="s">
        <v>227</v>
      </c>
      <c r="N487" s="56">
        <v>53</v>
      </c>
      <c r="O487" s="61" t="s">
        <v>192</v>
      </c>
      <c r="P487" s="61" t="s">
        <v>46</v>
      </c>
      <c r="Q487" s="61" t="s">
        <v>191</v>
      </c>
      <c r="R487" s="61" t="s">
        <v>688</v>
      </c>
      <c r="S487" s="218">
        <v>90</v>
      </c>
      <c r="T487" s="61" t="s">
        <v>41</v>
      </c>
      <c r="U487" s="61" t="s">
        <v>43</v>
      </c>
      <c r="V487" s="63" t="s">
        <v>540</v>
      </c>
      <c r="W487" s="51">
        <v>0.05</v>
      </c>
      <c r="X487" s="6">
        <v>0.69</v>
      </c>
      <c r="Z487" s="5" t="s">
        <v>8</v>
      </c>
      <c r="AA487" s="112" t="s">
        <v>19</v>
      </c>
    </row>
    <row r="488" spans="1:29" x14ac:dyDescent="0.25">
      <c r="A488" s="329">
        <v>45900</v>
      </c>
      <c r="B488" s="5">
        <v>3</v>
      </c>
      <c r="D488" s="5" t="s">
        <v>192</v>
      </c>
      <c r="E488" s="6">
        <v>1.21</v>
      </c>
      <c r="G488" s="7">
        <v>1</v>
      </c>
      <c r="H488" s="7">
        <v>0</v>
      </c>
      <c r="J488" s="8">
        <v>1.37</v>
      </c>
      <c r="L488" s="5" t="s">
        <v>227</v>
      </c>
      <c r="N488" s="56">
        <v>75</v>
      </c>
      <c r="O488" s="26" t="s">
        <v>227</v>
      </c>
      <c r="P488" s="26" t="s">
        <v>238</v>
      </c>
      <c r="Q488" s="26" t="s">
        <v>239</v>
      </c>
      <c r="R488" s="26" t="s">
        <v>684</v>
      </c>
      <c r="S488" s="213">
        <v>61</v>
      </c>
      <c r="T488" s="26" t="s">
        <v>41</v>
      </c>
      <c r="U488" s="26" t="s">
        <v>45</v>
      </c>
      <c r="V488" s="43" t="s">
        <v>10</v>
      </c>
      <c r="W488" s="51">
        <v>0.17</v>
      </c>
      <c r="X488" s="6">
        <v>0.12</v>
      </c>
      <c r="Z488" s="5" t="s">
        <v>48</v>
      </c>
      <c r="AA488" s="112" t="s">
        <v>19</v>
      </c>
    </row>
    <row r="489" spans="1:29" x14ac:dyDescent="0.25">
      <c r="A489" s="329">
        <v>45900</v>
      </c>
      <c r="B489" s="5">
        <v>3</v>
      </c>
      <c r="D489" s="5" t="s">
        <v>192</v>
      </c>
      <c r="E489" s="6">
        <v>1.21</v>
      </c>
      <c r="G489" s="7">
        <v>1</v>
      </c>
      <c r="H489" s="7">
        <v>0</v>
      </c>
      <c r="J489" s="8">
        <v>1.37</v>
      </c>
      <c r="L489" s="5" t="s">
        <v>227</v>
      </c>
      <c r="N489" s="56">
        <v>80</v>
      </c>
      <c r="O489" s="26" t="s">
        <v>227</v>
      </c>
      <c r="P489" s="26" t="s">
        <v>238</v>
      </c>
      <c r="Q489" s="26" t="s">
        <v>239</v>
      </c>
      <c r="R489" s="26" t="s">
        <v>684</v>
      </c>
      <c r="S489" s="213">
        <v>61</v>
      </c>
      <c r="T489" s="26" t="s">
        <v>41</v>
      </c>
      <c r="U489" s="26" t="s">
        <v>43</v>
      </c>
      <c r="V489" s="43" t="s">
        <v>29</v>
      </c>
      <c r="W489" s="51">
        <v>0.02</v>
      </c>
      <c r="X489" s="6">
        <v>0.22</v>
      </c>
      <c r="Z489" s="5" t="s">
        <v>48</v>
      </c>
      <c r="AA489" s="112" t="s">
        <v>19</v>
      </c>
    </row>
    <row r="490" spans="1:29" x14ac:dyDescent="0.25">
      <c r="A490" s="329">
        <v>45900</v>
      </c>
      <c r="B490" s="5">
        <v>3</v>
      </c>
      <c r="D490" s="5" t="s">
        <v>192</v>
      </c>
      <c r="E490" s="6">
        <v>1.21</v>
      </c>
      <c r="G490" s="7">
        <v>1</v>
      </c>
      <c r="H490" s="7">
        <v>0</v>
      </c>
      <c r="J490" s="8">
        <v>1.37</v>
      </c>
      <c r="L490" s="5" t="s">
        <v>227</v>
      </c>
      <c r="N490" s="56" t="s">
        <v>35</v>
      </c>
      <c r="O490" s="26" t="s">
        <v>227</v>
      </c>
      <c r="P490" s="26" t="s">
        <v>347</v>
      </c>
      <c r="Q490" s="26" t="s">
        <v>348</v>
      </c>
      <c r="R490" s="26" t="s">
        <v>728</v>
      </c>
      <c r="S490" s="213">
        <v>60</v>
      </c>
      <c r="T490" s="26" t="s">
        <v>47</v>
      </c>
      <c r="U490" s="26" t="s">
        <v>42</v>
      </c>
      <c r="V490" s="43" t="s">
        <v>10</v>
      </c>
      <c r="W490" s="51">
        <v>0.68</v>
      </c>
      <c r="X490" s="6" t="s">
        <v>53</v>
      </c>
      <c r="Y490" s="6" t="s">
        <v>353</v>
      </c>
      <c r="Z490" s="5" t="s">
        <v>13</v>
      </c>
      <c r="AA490" s="112" t="s">
        <v>19</v>
      </c>
    </row>
    <row r="491" spans="1:29" ht="15.75" thickBot="1" x14ac:dyDescent="0.3">
      <c r="A491" s="330">
        <v>45900</v>
      </c>
      <c r="B491" s="9">
        <v>3</v>
      </c>
      <c r="C491" s="122"/>
      <c r="D491" s="9" t="s">
        <v>192</v>
      </c>
      <c r="E491" s="10">
        <v>1.21</v>
      </c>
      <c r="F491" s="10"/>
      <c r="G491" s="11">
        <v>1</v>
      </c>
      <c r="H491" s="11">
        <v>0</v>
      </c>
      <c r="I491" s="11"/>
      <c r="J491" s="12">
        <v>1.37</v>
      </c>
      <c r="K491" s="122"/>
      <c r="L491" s="9" t="s">
        <v>227</v>
      </c>
      <c r="M491" s="45"/>
      <c r="N491" s="97" t="s">
        <v>31</v>
      </c>
      <c r="O491" s="66" t="s">
        <v>192</v>
      </c>
      <c r="P491" s="66" t="s">
        <v>343</v>
      </c>
      <c r="Q491" s="66" t="s">
        <v>342</v>
      </c>
      <c r="R491" s="66" t="s">
        <v>696</v>
      </c>
      <c r="S491" s="219">
        <v>67</v>
      </c>
      <c r="T491" s="66" t="s">
        <v>44</v>
      </c>
      <c r="U491" s="66" t="s">
        <v>43</v>
      </c>
      <c r="V491" s="67" t="s">
        <v>18</v>
      </c>
      <c r="W491" s="52">
        <v>0.32</v>
      </c>
      <c r="X491" s="10" t="s">
        <v>53</v>
      </c>
      <c r="Y491" s="10"/>
      <c r="Z491" s="9" t="s">
        <v>13</v>
      </c>
      <c r="AA491" s="113" t="s">
        <v>19</v>
      </c>
      <c r="AB491" s="109"/>
      <c r="AC491" s="58"/>
    </row>
    <row r="492" spans="1:29" ht="15.75" thickBot="1" x14ac:dyDescent="0.3">
      <c r="A492" s="326">
        <v>45900</v>
      </c>
      <c r="B492" s="207">
        <v>3</v>
      </c>
      <c r="C492" s="208"/>
      <c r="D492" s="207" t="s">
        <v>192</v>
      </c>
      <c r="E492" s="209">
        <v>1.21</v>
      </c>
      <c r="F492" s="209"/>
      <c r="G492" s="210">
        <v>1</v>
      </c>
      <c r="H492" s="210">
        <v>0</v>
      </c>
      <c r="I492" s="210"/>
      <c r="J492" s="211">
        <v>1.37</v>
      </c>
      <c r="K492" s="208"/>
      <c r="L492" s="207" t="s">
        <v>227</v>
      </c>
      <c r="M492" s="235"/>
      <c r="N492" s="198"/>
      <c r="O492" s="199" t="s">
        <v>192</v>
      </c>
      <c r="P492" s="199" t="s">
        <v>723</v>
      </c>
      <c r="Q492" s="199" t="s">
        <v>724</v>
      </c>
      <c r="R492" s="199" t="s">
        <v>707</v>
      </c>
      <c r="S492" s="200">
        <v>73</v>
      </c>
      <c r="T492" s="199"/>
      <c r="U492" s="199"/>
      <c r="V492" s="201"/>
      <c r="W492" s="202"/>
      <c r="X492" s="203"/>
      <c r="Y492" s="203">
        <v>0</v>
      </c>
      <c r="Z492" s="199"/>
      <c r="AA492" s="204"/>
      <c r="AB492" s="205"/>
      <c r="AC492" s="201"/>
    </row>
    <row r="493" spans="1:29" ht="15.75" thickBot="1" x14ac:dyDescent="0.3">
      <c r="A493" s="326">
        <v>45900</v>
      </c>
      <c r="B493" s="207">
        <v>3</v>
      </c>
      <c r="C493" s="208"/>
      <c r="D493" s="207" t="s">
        <v>192</v>
      </c>
      <c r="E493" s="209">
        <v>1.21</v>
      </c>
      <c r="F493" s="209"/>
      <c r="G493" s="210">
        <v>1</v>
      </c>
      <c r="H493" s="210">
        <v>0</v>
      </c>
      <c r="I493" s="210"/>
      <c r="J493" s="211">
        <v>1.37</v>
      </c>
      <c r="K493" s="208"/>
      <c r="L493" s="207" t="s">
        <v>227</v>
      </c>
      <c r="M493" s="235"/>
      <c r="N493" s="198"/>
      <c r="O493" s="199" t="s">
        <v>227</v>
      </c>
      <c r="P493" s="199" t="s">
        <v>298</v>
      </c>
      <c r="Q493" s="199" t="s">
        <v>86</v>
      </c>
      <c r="R493" s="199" t="s">
        <v>707</v>
      </c>
      <c r="S493" s="200">
        <v>76</v>
      </c>
      <c r="T493" s="199"/>
      <c r="U493" s="199"/>
      <c r="V493" s="201"/>
      <c r="W493" s="202"/>
      <c r="X493" s="203"/>
      <c r="Y493" s="203">
        <v>1</v>
      </c>
      <c r="Z493" s="199"/>
      <c r="AA493" s="204"/>
      <c r="AB493" s="205"/>
      <c r="AC493" s="201"/>
    </row>
    <row r="494" spans="1:29" x14ac:dyDescent="0.25">
      <c r="A494" s="331">
        <v>45920</v>
      </c>
      <c r="B494" s="13">
        <v>5</v>
      </c>
      <c r="C494" s="124" t="s">
        <v>694</v>
      </c>
      <c r="D494" s="13" t="s">
        <v>91</v>
      </c>
      <c r="E494" s="14">
        <v>2.5499999999999998</v>
      </c>
      <c r="F494" s="14"/>
      <c r="G494" s="15">
        <v>2</v>
      </c>
      <c r="H494" s="15">
        <v>1</v>
      </c>
      <c r="I494" s="15"/>
      <c r="J494" s="16">
        <v>1.8</v>
      </c>
      <c r="K494" s="124" t="s">
        <v>700</v>
      </c>
      <c r="L494" s="13" t="s">
        <v>227</v>
      </c>
      <c r="M494" s="47" t="s">
        <v>451</v>
      </c>
      <c r="N494" s="98">
        <v>3</v>
      </c>
      <c r="O494" s="79" t="s">
        <v>227</v>
      </c>
      <c r="P494" s="79" t="s">
        <v>65</v>
      </c>
      <c r="Q494" s="79" t="s">
        <v>450</v>
      </c>
      <c r="R494" s="79" t="s">
        <v>712</v>
      </c>
      <c r="S494" s="224">
        <v>69</v>
      </c>
      <c r="T494" s="79" t="s">
        <v>41</v>
      </c>
      <c r="U494" s="79" t="s">
        <v>43</v>
      </c>
      <c r="V494" s="80" t="s">
        <v>33</v>
      </c>
      <c r="W494" s="54">
        <v>0.39</v>
      </c>
      <c r="X494" s="14" t="s">
        <v>53</v>
      </c>
      <c r="Y494" s="14" t="s">
        <v>353</v>
      </c>
      <c r="Z494" s="13" t="s">
        <v>13</v>
      </c>
      <c r="AA494" s="115" t="s">
        <v>28</v>
      </c>
      <c r="AB494" s="110"/>
      <c r="AC494" s="60"/>
    </row>
    <row r="495" spans="1:29" x14ac:dyDescent="0.25">
      <c r="A495" s="329">
        <v>45920</v>
      </c>
      <c r="B495" s="5">
        <v>5</v>
      </c>
      <c r="D495" s="5" t="s">
        <v>91</v>
      </c>
      <c r="E495" s="6">
        <v>2.5499999999999998</v>
      </c>
      <c r="G495" s="7">
        <v>2</v>
      </c>
      <c r="H495" s="7">
        <v>1</v>
      </c>
      <c r="J495" s="8">
        <v>1.8</v>
      </c>
      <c r="L495" s="5" t="s">
        <v>227</v>
      </c>
      <c r="M495" s="44" t="s">
        <v>451</v>
      </c>
      <c r="N495" s="56">
        <v>7</v>
      </c>
      <c r="O495" s="61" t="s">
        <v>91</v>
      </c>
      <c r="P495" s="61" t="s">
        <v>96</v>
      </c>
      <c r="Q495" s="61" t="s">
        <v>97</v>
      </c>
      <c r="R495" s="61" t="s">
        <v>718</v>
      </c>
      <c r="S495" s="218">
        <v>76</v>
      </c>
      <c r="T495" s="61" t="s">
        <v>41</v>
      </c>
      <c r="U495" s="61" t="s">
        <v>43</v>
      </c>
      <c r="V495" s="63" t="s">
        <v>540</v>
      </c>
      <c r="W495" s="51">
        <v>0.12</v>
      </c>
      <c r="X495" s="6" t="s">
        <v>53</v>
      </c>
      <c r="Z495" s="5" t="s">
        <v>13</v>
      </c>
      <c r="AA495" s="112" t="s">
        <v>28</v>
      </c>
    </row>
    <row r="496" spans="1:29" x14ac:dyDescent="0.25">
      <c r="A496" s="329">
        <v>45920</v>
      </c>
      <c r="B496" s="5">
        <v>5</v>
      </c>
      <c r="D496" s="5" t="s">
        <v>91</v>
      </c>
      <c r="E496" s="6">
        <v>2.5499999999999998</v>
      </c>
      <c r="G496" s="7">
        <v>2</v>
      </c>
      <c r="H496" s="7">
        <v>1</v>
      </c>
      <c r="J496" s="8">
        <v>1.8</v>
      </c>
      <c r="L496" s="5" t="s">
        <v>227</v>
      </c>
      <c r="M496" s="44" t="s">
        <v>451</v>
      </c>
      <c r="N496" s="56">
        <v>19</v>
      </c>
      <c r="O496" s="26" t="s">
        <v>227</v>
      </c>
      <c r="P496" s="26" t="s">
        <v>25</v>
      </c>
      <c r="Q496" s="26" t="s">
        <v>397</v>
      </c>
      <c r="R496" s="26" t="s">
        <v>685</v>
      </c>
      <c r="S496" s="213">
        <v>64</v>
      </c>
      <c r="T496" s="26" t="s">
        <v>41</v>
      </c>
      <c r="U496" s="26" t="s">
        <v>42</v>
      </c>
      <c r="V496" s="43" t="s">
        <v>10</v>
      </c>
      <c r="W496" s="51">
        <v>0.11</v>
      </c>
      <c r="X496" s="6" t="s">
        <v>53</v>
      </c>
      <c r="Z496" s="5" t="s">
        <v>13</v>
      </c>
      <c r="AA496" s="112" t="s">
        <v>28</v>
      </c>
    </row>
    <row r="497" spans="1:29" x14ac:dyDescent="0.25">
      <c r="A497" s="329">
        <v>45920</v>
      </c>
      <c r="B497" s="5">
        <v>5</v>
      </c>
      <c r="D497" s="5" t="s">
        <v>91</v>
      </c>
      <c r="E497" s="6">
        <v>2.5499999999999998</v>
      </c>
      <c r="G497" s="7">
        <v>2</v>
      </c>
      <c r="H497" s="7">
        <v>1</v>
      </c>
      <c r="J497" s="8">
        <v>1.8</v>
      </c>
      <c r="L497" s="5" t="s">
        <v>227</v>
      </c>
      <c r="M497" s="44" t="s">
        <v>451</v>
      </c>
      <c r="N497" s="56">
        <v>26</v>
      </c>
      <c r="O497" s="61" t="s">
        <v>91</v>
      </c>
      <c r="P497" s="61" t="s">
        <v>443</v>
      </c>
      <c r="Q497" s="61" t="s">
        <v>444</v>
      </c>
      <c r="R497" s="61" t="s">
        <v>717</v>
      </c>
      <c r="S497" s="218">
        <v>73</v>
      </c>
      <c r="T497" s="61" t="s">
        <v>44</v>
      </c>
      <c r="U497" s="61" t="s">
        <v>42</v>
      </c>
      <c r="V497" s="63" t="s">
        <v>10</v>
      </c>
      <c r="W497" s="51">
        <v>0.06</v>
      </c>
      <c r="X497" s="6" t="s">
        <v>53</v>
      </c>
      <c r="Z497" s="5" t="s">
        <v>16</v>
      </c>
      <c r="AA497" s="112" t="s">
        <v>28</v>
      </c>
    </row>
    <row r="498" spans="1:29" x14ac:dyDescent="0.25">
      <c r="A498" s="329">
        <v>45920</v>
      </c>
      <c r="B498" s="5">
        <v>5</v>
      </c>
      <c r="D498" s="5" t="s">
        <v>91</v>
      </c>
      <c r="E498" s="6">
        <v>2.5499999999999998</v>
      </c>
      <c r="G498" s="7">
        <v>2</v>
      </c>
      <c r="H498" s="7">
        <v>1</v>
      </c>
      <c r="J498" s="8">
        <v>1.8</v>
      </c>
      <c r="L498" s="5" t="s">
        <v>227</v>
      </c>
      <c r="M498" s="44" t="s">
        <v>451</v>
      </c>
      <c r="N498" s="56">
        <v>33</v>
      </c>
      <c r="O498" s="61" t="s">
        <v>91</v>
      </c>
      <c r="P498" s="61" t="s">
        <v>445</v>
      </c>
      <c r="Q498" s="61" t="s">
        <v>446</v>
      </c>
      <c r="R498" s="61" t="s">
        <v>686</v>
      </c>
      <c r="S498" s="218">
        <v>68</v>
      </c>
      <c r="T498" s="61" t="s">
        <v>41</v>
      </c>
      <c r="U498" s="61" t="s">
        <v>42</v>
      </c>
      <c r="V498" s="63" t="s">
        <v>10</v>
      </c>
      <c r="W498" s="51">
        <v>0.33</v>
      </c>
      <c r="X498" s="6">
        <v>0.49</v>
      </c>
      <c r="Y498" s="6" t="s">
        <v>353</v>
      </c>
      <c r="Z498" s="5" t="s">
        <v>48</v>
      </c>
      <c r="AA498" s="112" t="s">
        <v>28</v>
      </c>
    </row>
    <row r="499" spans="1:29" x14ac:dyDescent="0.25">
      <c r="A499" s="329">
        <v>45920</v>
      </c>
      <c r="B499" s="5">
        <v>5</v>
      </c>
      <c r="D499" s="5" t="s">
        <v>91</v>
      </c>
      <c r="E499" s="6">
        <v>2.5499999999999998</v>
      </c>
      <c r="G499" s="7">
        <v>2</v>
      </c>
      <c r="H499" s="7">
        <v>1</v>
      </c>
      <c r="J499" s="8">
        <v>1.8</v>
      </c>
      <c r="L499" s="5" t="s">
        <v>227</v>
      </c>
      <c r="M499" s="44" t="s">
        <v>451</v>
      </c>
      <c r="N499" s="56">
        <v>35</v>
      </c>
      <c r="O499" s="61" t="s">
        <v>91</v>
      </c>
      <c r="P499" s="61" t="s">
        <v>443</v>
      </c>
      <c r="Q499" s="61" t="s">
        <v>444</v>
      </c>
      <c r="R499" s="61" t="s">
        <v>717</v>
      </c>
      <c r="S499" s="218">
        <v>73</v>
      </c>
      <c r="T499" s="61" t="s">
        <v>41</v>
      </c>
      <c r="U499" s="61" t="s">
        <v>43</v>
      </c>
      <c r="V499" s="63" t="s">
        <v>33</v>
      </c>
      <c r="W499" s="51">
        <v>0.23</v>
      </c>
      <c r="X499" s="6">
        <v>0.83</v>
      </c>
      <c r="Y499" s="6" t="s">
        <v>353</v>
      </c>
      <c r="Z499" s="5" t="s">
        <v>48</v>
      </c>
      <c r="AA499" s="112" t="s">
        <v>28</v>
      </c>
    </row>
    <row r="500" spans="1:29" x14ac:dyDescent="0.25">
      <c r="A500" s="329">
        <v>45920</v>
      </c>
      <c r="B500" s="5">
        <v>5</v>
      </c>
      <c r="D500" s="5" t="s">
        <v>91</v>
      </c>
      <c r="E500" s="6">
        <v>2.5499999999999998</v>
      </c>
      <c r="G500" s="7">
        <v>2</v>
      </c>
      <c r="H500" s="7">
        <v>1</v>
      </c>
      <c r="J500" s="8">
        <v>1.8</v>
      </c>
      <c r="L500" s="5" t="s">
        <v>227</v>
      </c>
      <c r="M500" s="44" t="s">
        <v>451</v>
      </c>
      <c r="N500" s="56" t="s">
        <v>123</v>
      </c>
      <c r="O500" s="26" t="s">
        <v>227</v>
      </c>
      <c r="P500" s="26" t="s">
        <v>238</v>
      </c>
      <c r="Q500" s="26" t="s">
        <v>239</v>
      </c>
      <c r="R500" s="26" t="s">
        <v>684</v>
      </c>
      <c r="S500" s="213">
        <v>71</v>
      </c>
      <c r="T500" s="26" t="s">
        <v>41</v>
      </c>
      <c r="U500" s="26" t="s">
        <v>43</v>
      </c>
      <c r="V500" s="43" t="s">
        <v>7</v>
      </c>
      <c r="W500" s="51">
        <v>0.79</v>
      </c>
      <c r="X500" s="6">
        <v>0.81</v>
      </c>
      <c r="Y500" s="6" t="s">
        <v>353</v>
      </c>
      <c r="Z500" s="5" t="s">
        <v>8</v>
      </c>
      <c r="AA500" s="112" t="s">
        <v>9</v>
      </c>
    </row>
    <row r="501" spans="1:29" x14ac:dyDescent="0.25">
      <c r="A501" s="329">
        <v>45920</v>
      </c>
      <c r="B501" s="5">
        <v>5</v>
      </c>
      <c r="D501" s="5" t="s">
        <v>91</v>
      </c>
      <c r="E501" s="6">
        <v>2.5499999999999998</v>
      </c>
      <c r="G501" s="7">
        <v>2</v>
      </c>
      <c r="H501" s="7">
        <v>1</v>
      </c>
      <c r="J501" s="8">
        <v>1.8</v>
      </c>
      <c r="L501" s="5" t="s">
        <v>227</v>
      </c>
      <c r="M501" s="44" t="s">
        <v>451</v>
      </c>
      <c r="N501" s="56">
        <v>51</v>
      </c>
      <c r="O501" s="61" t="s">
        <v>91</v>
      </c>
      <c r="P501" s="61" t="s">
        <v>447</v>
      </c>
      <c r="Q501" s="61" t="s">
        <v>179</v>
      </c>
      <c r="R501" s="61" t="s">
        <v>689</v>
      </c>
      <c r="S501" s="218">
        <v>67</v>
      </c>
      <c r="T501" s="61" t="s">
        <v>354</v>
      </c>
      <c r="U501" s="61" t="s">
        <v>42</v>
      </c>
      <c r="V501" s="63" t="s">
        <v>540</v>
      </c>
      <c r="W501" s="51">
        <v>0.02</v>
      </c>
      <c r="X501" s="6">
        <v>0.31</v>
      </c>
      <c r="Z501" s="5" t="s">
        <v>48</v>
      </c>
      <c r="AA501" s="112" t="s">
        <v>9</v>
      </c>
    </row>
    <row r="502" spans="1:29" x14ac:dyDescent="0.25">
      <c r="A502" s="329">
        <v>45920</v>
      </c>
      <c r="B502" s="5">
        <v>5</v>
      </c>
      <c r="D502" s="5" t="s">
        <v>91</v>
      </c>
      <c r="E502" s="6">
        <v>2.5499999999999998</v>
      </c>
      <c r="G502" s="7">
        <v>2</v>
      </c>
      <c r="H502" s="7">
        <v>1</v>
      </c>
      <c r="J502" s="8">
        <v>1.8</v>
      </c>
      <c r="L502" s="5" t="s">
        <v>227</v>
      </c>
      <c r="M502" s="44" t="s">
        <v>451</v>
      </c>
      <c r="N502" s="56">
        <v>55</v>
      </c>
      <c r="O502" s="61" t="s">
        <v>91</v>
      </c>
      <c r="P502" s="61" t="s">
        <v>96</v>
      </c>
      <c r="Q502" s="61" t="s">
        <v>97</v>
      </c>
      <c r="R502" s="61" t="s">
        <v>718</v>
      </c>
      <c r="S502" s="218">
        <v>76</v>
      </c>
      <c r="T502" s="61" t="s">
        <v>41</v>
      </c>
      <c r="U502" s="61" t="s">
        <v>45</v>
      </c>
      <c r="V502" s="63" t="s">
        <v>10</v>
      </c>
      <c r="W502" s="51">
        <v>0.04</v>
      </c>
      <c r="X502" s="6" t="s">
        <v>53</v>
      </c>
      <c r="Z502" s="5" t="s">
        <v>22</v>
      </c>
      <c r="AA502" s="112" t="s">
        <v>9</v>
      </c>
    </row>
    <row r="503" spans="1:29" x14ac:dyDescent="0.25">
      <c r="A503" s="329">
        <v>45920</v>
      </c>
      <c r="B503" s="5">
        <v>5</v>
      </c>
      <c r="D503" s="5" t="s">
        <v>91</v>
      </c>
      <c r="E503" s="6">
        <v>2.5499999999999998</v>
      </c>
      <c r="G503" s="7">
        <v>2</v>
      </c>
      <c r="H503" s="7">
        <v>1</v>
      </c>
      <c r="J503" s="8">
        <v>1.8</v>
      </c>
      <c r="L503" s="5" t="s">
        <v>227</v>
      </c>
      <c r="M503" s="44" t="s">
        <v>451</v>
      </c>
      <c r="N503" s="56">
        <v>61</v>
      </c>
      <c r="O503" s="61" t="s">
        <v>91</v>
      </c>
      <c r="P503" s="61" t="s">
        <v>443</v>
      </c>
      <c r="Q503" s="61" t="s">
        <v>444</v>
      </c>
      <c r="R503" s="61" t="s">
        <v>717</v>
      </c>
      <c r="S503" s="218">
        <v>73</v>
      </c>
      <c r="T503" s="61" t="s">
        <v>41</v>
      </c>
      <c r="U503" s="61" t="s">
        <v>43</v>
      </c>
      <c r="V503" s="63" t="s">
        <v>10</v>
      </c>
      <c r="W503" s="51">
        <v>0.14000000000000001</v>
      </c>
      <c r="X503" s="6" t="s">
        <v>53</v>
      </c>
      <c r="Z503" s="5" t="s">
        <v>52</v>
      </c>
      <c r="AA503" s="112" t="s">
        <v>9</v>
      </c>
    </row>
    <row r="504" spans="1:29" x14ac:dyDescent="0.25">
      <c r="A504" s="329">
        <v>45920</v>
      </c>
      <c r="B504" s="5">
        <v>5</v>
      </c>
      <c r="D504" s="5" t="s">
        <v>91</v>
      </c>
      <c r="E504" s="6">
        <v>2.5499999999999998</v>
      </c>
      <c r="G504" s="7">
        <v>2</v>
      </c>
      <c r="H504" s="7">
        <v>1</v>
      </c>
      <c r="J504" s="8">
        <v>1.8</v>
      </c>
      <c r="L504" s="5" t="s">
        <v>227</v>
      </c>
      <c r="M504" s="44" t="s">
        <v>451</v>
      </c>
      <c r="N504" s="56">
        <v>62</v>
      </c>
      <c r="O504" s="61" t="s">
        <v>91</v>
      </c>
      <c r="P504" s="61" t="s">
        <v>49</v>
      </c>
      <c r="Q504" s="61" t="s">
        <v>50</v>
      </c>
      <c r="R504" s="61" t="s">
        <v>695</v>
      </c>
      <c r="S504" s="218">
        <v>77</v>
      </c>
      <c r="T504" s="61" t="s">
        <v>41</v>
      </c>
      <c r="U504" s="61" t="s">
        <v>45</v>
      </c>
      <c r="V504" s="63" t="s">
        <v>10</v>
      </c>
      <c r="W504" s="51">
        <v>0.12</v>
      </c>
      <c r="X504" s="6" t="s">
        <v>53</v>
      </c>
      <c r="Y504" s="6" t="s">
        <v>353</v>
      </c>
      <c r="Z504" s="5" t="s">
        <v>55</v>
      </c>
      <c r="AA504" s="112" t="s">
        <v>9</v>
      </c>
    </row>
    <row r="505" spans="1:29" x14ac:dyDescent="0.25">
      <c r="A505" s="329">
        <v>45920</v>
      </c>
      <c r="B505" s="5">
        <v>5</v>
      </c>
      <c r="D505" s="5" t="s">
        <v>91</v>
      </c>
      <c r="E505" s="6">
        <v>2.5499999999999998</v>
      </c>
      <c r="G505" s="7">
        <v>2</v>
      </c>
      <c r="H505" s="7">
        <v>1</v>
      </c>
      <c r="J505" s="8">
        <v>1.8</v>
      </c>
      <c r="L505" s="5" t="s">
        <v>227</v>
      </c>
      <c r="M505" s="44" t="s">
        <v>451</v>
      </c>
      <c r="N505" s="56">
        <v>69</v>
      </c>
      <c r="O505" s="61" t="s">
        <v>91</v>
      </c>
      <c r="P505" s="61" t="s">
        <v>443</v>
      </c>
      <c r="Q505" s="61" t="s">
        <v>444</v>
      </c>
      <c r="R505" s="61" t="s">
        <v>717</v>
      </c>
      <c r="S505" s="218">
        <v>73</v>
      </c>
      <c r="T505" s="61" t="s">
        <v>41</v>
      </c>
      <c r="U505" s="61" t="s">
        <v>45</v>
      </c>
      <c r="V505" s="63" t="s">
        <v>10</v>
      </c>
      <c r="W505" s="51">
        <v>0.19</v>
      </c>
      <c r="X505" s="6">
        <v>0.68</v>
      </c>
      <c r="Y505" s="6" t="s">
        <v>353</v>
      </c>
      <c r="Z505" s="5" t="s">
        <v>8</v>
      </c>
      <c r="AA505" s="112" t="s">
        <v>51</v>
      </c>
      <c r="AB505" s="108" t="s">
        <v>495</v>
      </c>
      <c r="AC505" s="57" t="s">
        <v>496</v>
      </c>
    </row>
    <row r="506" spans="1:29" x14ac:dyDescent="0.25">
      <c r="A506" s="329">
        <v>45920</v>
      </c>
      <c r="B506" s="5">
        <v>5</v>
      </c>
      <c r="D506" s="5" t="s">
        <v>91</v>
      </c>
      <c r="E506" s="6">
        <v>2.5499999999999998</v>
      </c>
      <c r="G506" s="7">
        <v>2</v>
      </c>
      <c r="H506" s="7">
        <v>1</v>
      </c>
      <c r="J506" s="8">
        <v>1.8</v>
      </c>
      <c r="L506" s="5" t="s">
        <v>227</v>
      </c>
      <c r="M506" s="44" t="s">
        <v>451</v>
      </c>
      <c r="N506" s="56">
        <v>79</v>
      </c>
      <c r="O506" s="61" t="s">
        <v>91</v>
      </c>
      <c r="P506" s="61" t="s">
        <v>443</v>
      </c>
      <c r="Q506" s="61" t="s">
        <v>444</v>
      </c>
      <c r="R506" s="61" t="s">
        <v>717</v>
      </c>
      <c r="S506" s="218">
        <v>73</v>
      </c>
      <c r="T506" s="61" t="s">
        <v>47</v>
      </c>
      <c r="U506" s="61" t="s">
        <v>42</v>
      </c>
      <c r="V506" s="63" t="s">
        <v>10</v>
      </c>
      <c r="W506" s="51">
        <v>0.46</v>
      </c>
      <c r="X506" s="6" t="s">
        <v>53</v>
      </c>
      <c r="Y506" s="6" t="s">
        <v>353</v>
      </c>
      <c r="Z506" s="5" t="s">
        <v>55</v>
      </c>
      <c r="AA506" s="112" t="s">
        <v>51</v>
      </c>
    </row>
    <row r="507" spans="1:29" x14ac:dyDescent="0.25">
      <c r="A507" s="329">
        <v>45920</v>
      </c>
      <c r="B507" s="5">
        <v>5</v>
      </c>
      <c r="D507" s="5" t="s">
        <v>91</v>
      </c>
      <c r="E507" s="6">
        <v>2.5499999999999998</v>
      </c>
      <c r="G507" s="7">
        <v>2</v>
      </c>
      <c r="H507" s="7">
        <v>1</v>
      </c>
      <c r="J507" s="8">
        <v>1.8</v>
      </c>
      <c r="L507" s="5" t="s">
        <v>227</v>
      </c>
      <c r="M507" s="44" t="s">
        <v>451</v>
      </c>
      <c r="N507" s="56">
        <v>85</v>
      </c>
      <c r="O507" s="61" t="s">
        <v>91</v>
      </c>
      <c r="P507" s="61" t="s">
        <v>49</v>
      </c>
      <c r="Q507" s="61" t="s">
        <v>50</v>
      </c>
      <c r="R507" s="61" t="s">
        <v>695</v>
      </c>
      <c r="S507" s="218">
        <v>77</v>
      </c>
      <c r="T507" s="61" t="s">
        <v>44</v>
      </c>
      <c r="U507" s="61" t="s">
        <v>541</v>
      </c>
      <c r="V507" s="63" t="s">
        <v>10</v>
      </c>
      <c r="W507" s="51">
        <v>0.02</v>
      </c>
      <c r="X507" s="6">
        <v>0.17</v>
      </c>
      <c r="Z507" s="5" t="s">
        <v>8</v>
      </c>
      <c r="AA507" s="112" t="s">
        <v>34</v>
      </c>
      <c r="AB507" s="108" t="s">
        <v>448</v>
      </c>
      <c r="AC507" s="57" t="s">
        <v>449</v>
      </c>
    </row>
    <row r="508" spans="1:29" x14ac:dyDescent="0.25">
      <c r="A508" s="329">
        <v>45920</v>
      </c>
      <c r="B508" s="5">
        <v>5</v>
      </c>
      <c r="D508" s="5" t="s">
        <v>91</v>
      </c>
      <c r="E508" s="6">
        <v>2.5499999999999998</v>
      </c>
      <c r="G508" s="7">
        <v>2</v>
      </c>
      <c r="H508" s="7">
        <v>1</v>
      </c>
      <c r="J508" s="8">
        <v>1.8</v>
      </c>
      <c r="L508" s="5" t="s">
        <v>227</v>
      </c>
      <c r="M508" s="44" t="s">
        <v>451</v>
      </c>
      <c r="N508" s="56">
        <v>88</v>
      </c>
      <c r="O508" s="26" t="s">
        <v>227</v>
      </c>
      <c r="P508" s="26" t="s">
        <v>398</v>
      </c>
      <c r="Q508" s="26" t="s">
        <v>399</v>
      </c>
      <c r="R508" s="26" t="s">
        <v>696</v>
      </c>
      <c r="S508" s="213">
        <v>68</v>
      </c>
      <c r="T508" s="26" t="s">
        <v>47</v>
      </c>
      <c r="U508" s="26" t="s">
        <v>42</v>
      </c>
      <c r="V508" s="43" t="s">
        <v>33</v>
      </c>
      <c r="W508" s="51">
        <v>0.32</v>
      </c>
      <c r="X508" s="6">
        <v>0.74</v>
      </c>
      <c r="Y508" s="6" t="s">
        <v>353</v>
      </c>
      <c r="Z508" s="5" t="s">
        <v>48</v>
      </c>
      <c r="AA508" s="112" t="s">
        <v>34</v>
      </c>
    </row>
    <row r="509" spans="1:29" x14ac:dyDescent="0.25">
      <c r="A509" s="329">
        <v>45920</v>
      </c>
      <c r="B509" s="5">
        <v>5</v>
      </c>
      <c r="D509" s="5" t="s">
        <v>91</v>
      </c>
      <c r="E509" s="6">
        <v>2.5499999999999998</v>
      </c>
      <c r="G509" s="7">
        <v>2</v>
      </c>
      <c r="H509" s="7">
        <v>1</v>
      </c>
      <c r="J509" s="8">
        <v>1.8</v>
      </c>
      <c r="L509" s="5" t="s">
        <v>227</v>
      </c>
      <c r="M509" s="44" t="s">
        <v>451</v>
      </c>
      <c r="N509" s="56" t="s">
        <v>31</v>
      </c>
      <c r="O509" s="61" t="s">
        <v>91</v>
      </c>
      <c r="P509" s="61" t="s">
        <v>448</v>
      </c>
      <c r="Q509" s="61" t="s">
        <v>449</v>
      </c>
      <c r="R509" s="61" t="s">
        <v>696</v>
      </c>
      <c r="S509" s="218">
        <v>66</v>
      </c>
      <c r="T509" s="61" t="s">
        <v>41</v>
      </c>
      <c r="U509" s="61" t="s">
        <v>43</v>
      </c>
      <c r="V509" s="63" t="s">
        <v>10</v>
      </c>
      <c r="W509" s="51">
        <v>0.37</v>
      </c>
      <c r="X509" s="6">
        <v>0.83</v>
      </c>
      <c r="Y509" s="6" t="s">
        <v>353</v>
      </c>
      <c r="Z509" s="5" t="s">
        <v>48</v>
      </c>
      <c r="AA509" s="112" t="s">
        <v>34</v>
      </c>
    </row>
    <row r="510" spans="1:29" x14ac:dyDescent="0.25">
      <c r="A510" s="329">
        <v>45920</v>
      </c>
      <c r="B510" s="5">
        <v>5</v>
      </c>
      <c r="D510" s="5" t="s">
        <v>91</v>
      </c>
      <c r="E510" s="6">
        <v>2.5499999999999998</v>
      </c>
      <c r="G510" s="7">
        <v>2</v>
      </c>
      <c r="H510" s="7">
        <v>1</v>
      </c>
      <c r="J510" s="8">
        <v>1.8</v>
      </c>
      <c r="L510" s="5" t="s">
        <v>227</v>
      </c>
      <c r="M510" s="44" t="s">
        <v>451</v>
      </c>
      <c r="N510" s="56" t="s">
        <v>31</v>
      </c>
      <c r="O510" s="61" t="s">
        <v>91</v>
      </c>
      <c r="P510" s="61" t="s">
        <v>49</v>
      </c>
      <c r="Q510" s="61" t="s">
        <v>50</v>
      </c>
      <c r="R510" s="61" t="s">
        <v>695</v>
      </c>
      <c r="S510" s="218">
        <v>77</v>
      </c>
      <c r="T510" s="61" t="s">
        <v>41</v>
      </c>
      <c r="U510" s="61" t="s">
        <v>42</v>
      </c>
      <c r="V510" s="63" t="s">
        <v>10</v>
      </c>
      <c r="W510" s="51">
        <v>0.04</v>
      </c>
      <c r="X510" s="6" t="s">
        <v>53</v>
      </c>
      <c r="Z510" s="5" t="s">
        <v>22</v>
      </c>
      <c r="AA510" s="112" t="s">
        <v>34</v>
      </c>
    </row>
    <row r="511" spans="1:29" ht="15.75" thickBot="1" x14ac:dyDescent="0.3">
      <c r="A511" s="330">
        <v>45920</v>
      </c>
      <c r="B511" s="9">
        <v>5</v>
      </c>
      <c r="C511" s="122"/>
      <c r="D511" s="9" t="s">
        <v>91</v>
      </c>
      <c r="E511" s="10">
        <v>2.5499999999999998</v>
      </c>
      <c r="F511" s="10"/>
      <c r="G511" s="11">
        <v>2</v>
      </c>
      <c r="H511" s="11">
        <v>1</v>
      </c>
      <c r="I511" s="11"/>
      <c r="J511" s="12">
        <v>1.8</v>
      </c>
      <c r="K511" s="122"/>
      <c r="L511" s="9" t="s">
        <v>227</v>
      </c>
      <c r="M511" s="45" t="s">
        <v>451</v>
      </c>
      <c r="N511" s="97" t="s">
        <v>36</v>
      </c>
      <c r="O511" s="74" t="s">
        <v>227</v>
      </c>
      <c r="P511" s="74" t="s">
        <v>398</v>
      </c>
      <c r="Q511" s="74" t="s">
        <v>399</v>
      </c>
      <c r="R511" s="74" t="s">
        <v>696</v>
      </c>
      <c r="S511" s="221">
        <v>68</v>
      </c>
      <c r="T511" s="74" t="s">
        <v>41</v>
      </c>
      <c r="U511" s="74" t="s">
        <v>42</v>
      </c>
      <c r="V511" s="76" t="s">
        <v>29</v>
      </c>
      <c r="W511" s="52">
        <v>0.14000000000000001</v>
      </c>
      <c r="X511" s="10">
        <v>0.31</v>
      </c>
      <c r="Y511" s="10"/>
      <c r="Z511" s="9" t="s">
        <v>48</v>
      </c>
      <c r="AA511" s="113" t="s">
        <v>34</v>
      </c>
      <c r="AB511" s="109"/>
      <c r="AC511" s="58"/>
    </row>
    <row r="512" spans="1:29" ht="15.75" thickBot="1" x14ac:dyDescent="0.3">
      <c r="A512" s="326">
        <v>45920</v>
      </c>
      <c r="B512" s="207">
        <v>5</v>
      </c>
      <c r="C512" s="208"/>
      <c r="D512" s="207" t="s">
        <v>91</v>
      </c>
      <c r="E512" s="209">
        <v>2.5499999999999998</v>
      </c>
      <c r="F512" s="209"/>
      <c r="G512" s="210">
        <v>2</v>
      </c>
      <c r="H512" s="210">
        <v>1</v>
      </c>
      <c r="I512" s="210"/>
      <c r="J512" s="211">
        <v>1.8</v>
      </c>
      <c r="K512" s="208"/>
      <c r="L512" s="207" t="s">
        <v>227</v>
      </c>
      <c r="M512" s="235"/>
      <c r="N512" s="198"/>
      <c r="O512" s="199" t="s">
        <v>91</v>
      </c>
      <c r="P512" s="199" t="s">
        <v>351</v>
      </c>
      <c r="Q512" s="199" t="s">
        <v>54</v>
      </c>
      <c r="R512" s="199" t="s">
        <v>707</v>
      </c>
      <c r="S512" s="200">
        <v>76</v>
      </c>
      <c r="T512" s="199"/>
      <c r="U512" s="199"/>
      <c r="V512" s="201"/>
      <c r="W512" s="202"/>
      <c r="X512" s="203"/>
      <c r="Y512" s="203">
        <v>1</v>
      </c>
      <c r="Z512" s="199"/>
      <c r="AA512" s="204"/>
      <c r="AB512" s="205"/>
      <c r="AC512" s="201"/>
    </row>
    <row r="513" spans="1:29" ht="15.75" thickBot="1" x14ac:dyDescent="0.3">
      <c r="A513" s="326">
        <v>45920</v>
      </c>
      <c r="B513" s="207">
        <v>5</v>
      </c>
      <c r="C513" s="208"/>
      <c r="D513" s="207" t="s">
        <v>91</v>
      </c>
      <c r="E513" s="209">
        <v>2.5499999999999998</v>
      </c>
      <c r="F513" s="209"/>
      <c r="G513" s="210">
        <v>2</v>
      </c>
      <c r="H513" s="210">
        <v>1</v>
      </c>
      <c r="I513" s="210"/>
      <c r="J513" s="211">
        <v>1.8</v>
      </c>
      <c r="K513" s="208"/>
      <c r="L513" s="207" t="s">
        <v>227</v>
      </c>
      <c r="M513" s="235"/>
      <c r="N513" s="198"/>
      <c r="O513" s="199" t="s">
        <v>227</v>
      </c>
      <c r="P513" s="199" t="s">
        <v>298</v>
      </c>
      <c r="Q513" s="199" t="s">
        <v>86</v>
      </c>
      <c r="R513" s="199" t="s">
        <v>707</v>
      </c>
      <c r="S513" s="200">
        <v>87</v>
      </c>
      <c r="T513" s="199"/>
      <c r="U513" s="199"/>
      <c r="V513" s="201"/>
      <c r="W513" s="202"/>
      <c r="X513" s="203"/>
      <c r="Y513" s="203">
        <v>2</v>
      </c>
      <c r="Z513" s="199"/>
      <c r="AA513" s="204"/>
      <c r="AB513" s="205"/>
      <c r="AC513" s="201"/>
    </row>
    <row r="514" spans="1:29" x14ac:dyDescent="0.25">
      <c r="A514" s="328">
        <v>45928</v>
      </c>
      <c r="B514" s="17">
        <v>7</v>
      </c>
      <c r="C514" s="123" t="s">
        <v>693</v>
      </c>
      <c r="D514" s="17" t="s">
        <v>209</v>
      </c>
      <c r="E514" s="18">
        <v>0.76</v>
      </c>
      <c r="F514" s="18"/>
      <c r="G514" s="19">
        <v>2</v>
      </c>
      <c r="H514" s="19">
        <v>0</v>
      </c>
      <c r="I514" s="19"/>
      <c r="J514" s="20">
        <v>0.7</v>
      </c>
      <c r="K514" s="123" t="s">
        <v>706</v>
      </c>
      <c r="L514" s="17" t="s">
        <v>227</v>
      </c>
      <c r="M514" s="46"/>
      <c r="N514" s="96">
        <v>19</v>
      </c>
      <c r="O514" s="64" t="s">
        <v>209</v>
      </c>
      <c r="P514" s="64" t="s">
        <v>424</v>
      </c>
      <c r="Q514" s="64" t="s">
        <v>425</v>
      </c>
      <c r="R514" s="64" t="s">
        <v>685</v>
      </c>
      <c r="S514" s="217">
        <v>77</v>
      </c>
      <c r="T514" s="64" t="s">
        <v>41</v>
      </c>
      <c r="U514" s="64" t="s">
        <v>42</v>
      </c>
      <c r="V514" s="65" t="s">
        <v>10</v>
      </c>
      <c r="W514" s="53">
        <v>0.28000000000000003</v>
      </c>
      <c r="X514" s="18">
        <v>0.93</v>
      </c>
      <c r="Y514" s="18" t="s">
        <v>353</v>
      </c>
      <c r="Z514" s="17" t="s">
        <v>8</v>
      </c>
      <c r="AA514" s="114" t="s">
        <v>19</v>
      </c>
      <c r="AB514" s="110" t="s">
        <v>220</v>
      </c>
      <c r="AC514" s="60" t="s">
        <v>221</v>
      </c>
    </row>
    <row r="515" spans="1:29" x14ac:dyDescent="0.25">
      <c r="A515" s="329">
        <v>45928</v>
      </c>
      <c r="B515" s="5">
        <v>7</v>
      </c>
      <c r="D515" s="5" t="s">
        <v>209</v>
      </c>
      <c r="E515" s="6">
        <v>0.76</v>
      </c>
      <c r="G515" s="7">
        <v>2</v>
      </c>
      <c r="H515" s="7">
        <v>0</v>
      </c>
      <c r="J515" s="8">
        <v>0.7</v>
      </c>
      <c r="L515" s="5" t="s">
        <v>227</v>
      </c>
      <c r="N515" s="56">
        <v>33</v>
      </c>
      <c r="O515" s="61" t="s">
        <v>209</v>
      </c>
      <c r="P515" s="61" t="s">
        <v>424</v>
      </c>
      <c r="Q515" s="61" t="s">
        <v>425</v>
      </c>
      <c r="R515" s="61" t="s">
        <v>685</v>
      </c>
      <c r="S515" s="218">
        <v>77</v>
      </c>
      <c r="T515" s="61" t="s">
        <v>41</v>
      </c>
      <c r="U515" s="61" t="s">
        <v>43</v>
      </c>
      <c r="V515" s="63" t="s">
        <v>10</v>
      </c>
      <c r="W515" s="51">
        <v>0.05</v>
      </c>
      <c r="X515" s="6">
        <v>0.12</v>
      </c>
      <c r="Z515" s="5" t="s">
        <v>48</v>
      </c>
      <c r="AA515" s="112" t="s">
        <v>19</v>
      </c>
    </row>
    <row r="516" spans="1:29" x14ac:dyDescent="0.25">
      <c r="A516" s="329">
        <v>45928</v>
      </c>
      <c r="B516" s="5">
        <v>7</v>
      </c>
      <c r="D516" s="5" t="s">
        <v>209</v>
      </c>
      <c r="E516" s="6">
        <v>0.76</v>
      </c>
      <c r="G516" s="7">
        <v>2</v>
      </c>
      <c r="H516" s="7">
        <v>0</v>
      </c>
      <c r="J516" s="8">
        <v>0.7</v>
      </c>
      <c r="L516" s="5" t="s">
        <v>227</v>
      </c>
      <c r="N516" s="56">
        <v>38</v>
      </c>
      <c r="O516" s="61" t="s">
        <v>209</v>
      </c>
      <c r="P516" s="61" t="s">
        <v>220</v>
      </c>
      <c r="Q516" s="61" t="s">
        <v>221</v>
      </c>
      <c r="R516" s="61" t="s">
        <v>684</v>
      </c>
      <c r="S516" s="218">
        <v>76</v>
      </c>
      <c r="T516" s="61" t="s">
        <v>44</v>
      </c>
      <c r="U516" s="61" t="s">
        <v>42</v>
      </c>
      <c r="V516" s="63" t="s">
        <v>10</v>
      </c>
      <c r="W516" s="51">
        <v>0.04</v>
      </c>
      <c r="X516" s="6">
        <v>0.26</v>
      </c>
      <c r="Z516" s="5" t="s">
        <v>8</v>
      </c>
      <c r="AA516" s="112" t="s">
        <v>24</v>
      </c>
      <c r="AB516" s="108" t="s">
        <v>241</v>
      </c>
      <c r="AC516" s="57" t="s">
        <v>396</v>
      </c>
    </row>
    <row r="517" spans="1:29" x14ac:dyDescent="0.25">
      <c r="A517" s="329">
        <v>45928</v>
      </c>
      <c r="B517" s="5">
        <v>7</v>
      </c>
      <c r="D517" s="5" t="s">
        <v>209</v>
      </c>
      <c r="E517" s="6">
        <v>0.76</v>
      </c>
      <c r="G517" s="7">
        <v>2</v>
      </c>
      <c r="H517" s="7">
        <v>0</v>
      </c>
      <c r="J517" s="8">
        <v>0.7</v>
      </c>
      <c r="L517" s="5" t="s">
        <v>227</v>
      </c>
      <c r="N517" s="56">
        <v>44</v>
      </c>
      <c r="O517" s="26" t="s">
        <v>227</v>
      </c>
      <c r="P517" s="26" t="s">
        <v>238</v>
      </c>
      <c r="Q517" s="26" t="s">
        <v>239</v>
      </c>
      <c r="R517" s="26" t="s">
        <v>718</v>
      </c>
      <c r="S517" s="213">
        <v>60</v>
      </c>
      <c r="T517" s="26" t="s">
        <v>41</v>
      </c>
      <c r="U517" s="26" t="s">
        <v>541</v>
      </c>
      <c r="V517" s="43" t="s">
        <v>10</v>
      </c>
      <c r="W517" s="51">
        <v>0.02</v>
      </c>
      <c r="X517" s="6" t="s">
        <v>53</v>
      </c>
      <c r="Z517" s="5" t="s">
        <v>16</v>
      </c>
      <c r="AA517" s="112" t="s">
        <v>24</v>
      </c>
    </row>
    <row r="518" spans="1:29" x14ac:dyDescent="0.25">
      <c r="A518" s="329">
        <v>45928</v>
      </c>
      <c r="B518" s="5">
        <v>7</v>
      </c>
      <c r="D518" s="5" t="s">
        <v>209</v>
      </c>
      <c r="E518" s="6">
        <v>0.76</v>
      </c>
      <c r="G518" s="7">
        <v>2</v>
      </c>
      <c r="H518" s="7">
        <v>0</v>
      </c>
      <c r="J518" s="8">
        <v>0.7</v>
      </c>
      <c r="L518" s="5" t="s">
        <v>227</v>
      </c>
      <c r="N518" s="56">
        <v>46</v>
      </c>
      <c r="O518" s="26" t="s">
        <v>227</v>
      </c>
      <c r="P518" s="26" t="s">
        <v>238</v>
      </c>
      <c r="Q518" s="26" t="s">
        <v>239</v>
      </c>
      <c r="R518" s="26" t="s">
        <v>718</v>
      </c>
      <c r="S518" s="213">
        <v>60</v>
      </c>
      <c r="T518" s="26" t="s">
        <v>41</v>
      </c>
      <c r="U518" s="26" t="s">
        <v>42</v>
      </c>
      <c r="V518" s="43" t="s">
        <v>10</v>
      </c>
      <c r="W518" s="51">
        <v>0.16</v>
      </c>
      <c r="X518" s="6" t="s">
        <v>53</v>
      </c>
      <c r="Z518" s="5" t="s">
        <v>22</v>
      </c>
      <c r="AA518" s="112" t="s">
        <v>24</v>
      </c>
    </row>
    <row r="519" spans="1:29" x14ac:dyDescent="0.25">
      <c r="A519" s="329">
        <v>45928</v>
      </c>
      <c r="B519" s="5">
        <v>7</v>
      </c>
      <c r="D519" s="5" t="s">
        <v>209</v>
      </c>
      <c r="E519" s="6">
        <v>0.76</v>
      </c>
      <c r="G519" s="7">
        <v>2</v>
      </c>
      <c r="H519" s="7">
        <v>0</v>
      </c>
      <c r="J519" s="8">
        <v>0.7</v>
      </c>
      <c r="L519" s="5" t="s">
        <v>227</v>
      </c>
      <c r="N519" s="56">
        <v>49</v>
      </c>
      <c r="O519" s="26" t="s">
        <v>227</v>
      </c>
      <c r="P519" s="26" t="s">
        <v>25</v>
      </c>
      <c r="Q519" s="26" t="s">
        <v>397</v>
      </c>
      <c r="R519" s="26" t="s">
        <v>696</v>
      </c>
      <c r="S519" s="213">
        <v>69</v>
      </c>
      <c r="T519" s="26" t="s">
        <v>41</v>
      </c>
      <c r="U519" s="26" t="s">
        <v>42</v>
      </c>
      <c r="V519" s="43" t="s">
        <v>10</v>
      </c>
      <c r="W519" s="51">
        <v>0.11</v>
      </c>
      <c r="X519" s="6">
        <v>0.09</v>
      </c>
      <c r="Z519" s="5" t="s">
        <v>48</v>
      </c>
      <c r="AA519" s="112" t="s">
        <v>24</v>
      </c>
    </row>
    <row r="520" spans="1:29" ht="15.75" thickBot="1" x14ac:dyDescent="0.3">
      <c r="A520" s="330">
        <v>45928</v>
      </c>
      <c r="B520" s="9">
        <v>7</v>
      </c>
      <c r="C520" s="122"/>
      <c r="D520" s="9" t="s">
        <v>209</v>
      </c>
      <c r="E520" s="10">
        <v>0.76</v>
      </c>
      <c r="F520" s="10"/>
      <c r="G520" s="11">
        <v>2</v>
      </c>
      <c r="H520" s="11">
        <v>0</v>
      </c>
      <c r="I520" s="11"/>
      <c r="J520" s="12">
        <v>0.7</v>
      </c>
      <c r="K520" s="122"/>
      <c r="L520" s="9" t="s">
        <v>227</v>
      </c>
      <c r="M520" s="45"/>
      <c r="N520" s="97">
        <v>75</v>
      </c>
      <c r="O520" s="66" t="s">
        <v>209</v>
      </c>
      <c r="P520" s="66" t="s">
        <v>214</v>
      </c>
      <c r="Q520" s="66" t="s">
        <v>215</v>
      </c>
      <c r="R520" s="66" t="s">
        <v>696</v>
      </c>
      <c r="S520" s="219">
        <v>66</v>
      </c>
      <c r="T520" s="66" t="s">
        <v>41</v>
      </c>
      <c r="U520" s="66" t="s">
        <v>42</v>
      </c>
      <c r="V520" s="67" t="s">
        <v>18</v>
      </c>
      <c r="W520" s="52">
        <v>0.1</v>
      </c>
      <c r="X520" s="10" t="s">
        <v>53</v>
      </c>
      <c r="Y520" s="10"/>
      <c r="Z520" s="9" t="s">
        <v>52</v>
      </c>
      <c r="AA520" s="113" t="s">
        <v>24</v>
      </c>
      <c r="AB520" s="109"/>
      <c r="AC520" s="58"/>
    </row>
    <row r="521" spans="1:29" ht="15.75" thickBot="1" x14ac:dyDescent="0.3">
      <c r="A521" s="326">
        <v>45928</v>
      </c>
      <c r="B521" s="207">
        <v>7</v>
      </c>
      <c r="C521" s="208"/>
      <c r="D521" s="207" t="s">
        <v>209</v>
      </c>
      <c r="E521" s="209">
        <v>0.76</v>
      </c>
      <c r="F521" s="209"/>
      <c r="G521" s="210">
        <v>2</v>
      </c>
      <c r="H521" s="210">
        <v>0</v>
      </c>
      <c r="I521" s="210"/>
      <c r="J521" s="211">
        <v>0.7</v>
      </c>
      <c r="K521" s="208"/>
      <c r="L521" s="207" t="s">
        <v>227</v>
      </c>
      <c r="M521" s="235"/>
      <c r="N521" s="198"/>
      <c r="O521" s="199" t="s">
        <v>209</v>
      </c>
      <c r="P521" s="199" t="s">
        <v>447</v>
      </c>
      <c r="Q521" s="199" t="s">
        <v>150</v>
      </c>
      <c r="R521" s="199" t="s">
        <v>707</v>
      </c>
      <c r="S521" s="200">
        <v>70</v>
      </c>
      <c r="T521" s="199"/>
      <c r="U521" s="199"/>
      <c r="V521" s="201"/>
      <c r="W521" s="202"/>
      <c r="X521" s="203"/>
      <c r="Y521" s="203">
        <v>0</v>
      </c>
      <c r="Z521" s="199"/>
      <c r="AA521" s="204"/>
      <c r="AB521" s="205"/>
      <c r="AC521" s="201"/>
    </row>
    <row r="522" spans="1:29" ht="15.75" thickBot="1" x14ac:dyDescent="0.3">
      <c r="A522" s="326">
        <v>45928</v>
      </c>
      <c r="B522" s="207">
        <v>7</v>
      </c>
      <c r="C522" s="208"/>
      <c r="D522" s="207" t="s">
        <v>209</v>
      </c>
      <c r="E522" s="209">
        <v>0.76</v>
      </c>
      <c r="F522" s="209"/>
      <c r="G522" s="210">
        <v>2</v>
      </c>
      <c r="H522" s="210">
        <v>0</v>
      </c>
      <c r="I522" s="210"/>
      <c r="J522" s="211">
        <v>0.7</v>
      </c>
      <c r="K522" s="208"/>
      <c r="L522" s="207" t="s">
        <v>227</v>
      </c>
      <c r="M522" s="235"/>
      <c r="N522" s="198"/>
      <c r="O522" s="199" t="s">
        <v>227</v>
      </c>
      <c r="P522" s="199" t="s">
        <v>298</v>
      </c>
      <c r="Q522" s="199" t="s">
        <v>86</v>
      </c>
      <c r="R522" s="199" t="s">
        <v>707</v>
      </c>
      <c r="S522" s="200">
        <v>60</v>
      </c>
      <c r="T522" s="199"/>
      <c r="U522" s="199"/>
      <c r="V522" s="201"/>
      <c r="W522" s="202"/>
      <c r="X522" s="203"/>
      <c r="Y522" s="203">
        <v>2</v>
      </c>
      <c r="Z522" s="199"/>
      <c r="AA522" s="204"/>
      <c r="AB522" s="205"/>
      <c r="AC522" s="201"/>
    </row>
    <row r="523" spans="1:29" ht="15.75" thickBot="1" x14ac:dyDescent="0.3">
      <c r="A523" s="339"/>
      <c r="B523" s="289"/>
      <c r="C523" s="290"/>
      <c r="D523" s="289"/>
      <c r="E523" s="288"/>
      <c r="F523" s="288"/>
      <c r="G523" s="282"/>
      <c r="H523" s="282"/>
      <c r="I523" s="282"/>
      <c r="J523" s="291"/>
      <c r="K523" s="290"/>
      <c r="L523" s="289"/>
      <c r="M523" s="292"/>
      <c r="N523" s="293"/>
      <c r="O523" s="289"/>
      <c r="P523" s="289"/>
      <c r="Q523" s="289"/>
      <c r="R523" s="289"/>
      <c r="S523" s="282"/>
      <c r="T523" s="289"/>
      <c r="U523" s="289"/>
      <c r="V523" s="294"/>
      <c r="W523" s="295"/>
      <c r="X523" s="288"/>
      <c r="Y523" s="288" t="s">
        <v>741</v>
      </c>
      <c r="Z523" s="289"/>
      <c r="AA523" s="296"/>
      <c r="AB523" s="297"/>
      <c r="AC523" s="294"/>
    </row>
    <row r="524" spans="1:29" x14ac:dyDescent="0.25">
      <c r="A524" s="323">
        <v>45887</v>
      </c>
      <c r="B524" s="136">
        <v>1</v>
      </c>
      <c r="C524" s="137" t="s">
        <v>692</v>
      </c>
      <c r="D524" s="136" t="s">
        <v>208</v>
      </c>
      <c r="E524" s="138">
        <v>0.64</v>
      </c>
      <c r="F524" s="138"/>
      <c r="G524" s="139">
        <v>1</v>
      </c>
      <c r="H524" s="139">
        <v>1</v>
      </c>
      <c r="I524" s="139"/>
      <c r="J524" s="140">
        <v>1.86</v>
      </c>
      <c r="K524" s="137" t="s">
        <v>693</v>
      </c>
      <c r="L524" s="136" t="s">
        <v>209</v>
      </c>
      <c r="M524" s="141"/>
      <c r="N524" s="142">
        <v>21</v>
      </c>
      <c r="O524" s="77" t="s">
        <v>209</v>
      </c>
      <c r="P524" s="77" t="s">
        <v>214</v>
      </c>
      <c r="Q524" s="77" t="s">
        <v>215</v>
      </c>
      <c r="R524" s="77" t="s">
        <v>686</v>
      </c>
      <c r="S524" s="220">
        <v>78</v>
      </c>
      <c r="T524" s="77" t="s">
        <v>41</v>
      </c>
      <c r="U524" s="77" t="s">
        <v>43</v>
      </c>
      <c r="V524" s="78" t="s">
        <v>10</v>
      </c>
      <c r="W524" s="167">
        <v>0.94</v>
      </c>
      <c r="X524" s="138">
        <v>0.99</v>
      </c>
      <c r="Y524" s="138" t="s">
        <v>353</v>
      </c>
      <c r="Z524" s="136" t="s">
        <v>8</v>
      </c>
      <c r="AA524" s="168" t="s">
        <v>9</v>
      </c>
      <c r="AB524" s="169" t="s">
        <v>218</v>
      </c>
      <c r="AC524" s="170" t="s">
        <v>219</v>
      </c>
    </row>
    <row r="525" spans="1:29" x14ac:dyDescent="0.25">
      <c r="A525" s="324">
        <v>45887</v>
      </c>
      <c r="B525" s="144">
        <v>1</v>
      </c>
      <c r="C525" s="145"/>
      <c r="D525" s="144" t="s">
        <v>208</v>
      </c>
      <c r="E525" s="146">
        <v>0.64</v>
      </c>
      <c r="F525" s="146"/>
      <c r="G525" s="147">
        <v>1</v>
      </c>
      <c r="H525" s="147">
        <v>1</v>
      </c>
      <c r="I525" s="147"/>
      <c r="J525" s="148">
        <v>1.86</v>
      </c>
      <c r="K525" s="145"/>
      <c r="L525" s="144" t="s">
        <v>209</v>
      </c>
      <c r="M525" s="149"/>
      <c r="N525" s="150">
        <v>38</v>
      </c>
      <c r="O525" s="61" t="s">
        <v>208</v>
      </c>
      <c r="P525" s="61" t="s">
        <v>60</v>
      </c>
      <c r="Q525" s="61" t="s">
        <v>210</v>
      </c>
      <c r="R525" s="61" t="s">
        <v>688</v>
      </c>
      <c r="S525" s="218">
        <v>62</v>
      </c>
      <c r="T525" s="61" t="s">
        <v>41</v>
      </c>
      <c r="U525" s="61" t="s">
        <v>43</v>
      </c>
      <c r="V525" s="63" t="s">
        <v>10</v>
      </c>
      <c r="W525" s="171">
        <v>0.1</v>
      </c>
      <c r="X525" s="146" t="s">
        <v>53</v>
      </c>
      <c r="Y525" s="146"/>
      <c r="Z525" s="144" t="s">
        <v>13</v>
      </c>
      <c r="AA525" s="172" t="s">
        <v>9</v>
      </c>
      <c r="AB525" s="173"/>
      <c r="AC525" s="174"/>
    </row>
    <row r="526" spans="1:29" x14ac:dyDescent="0.25">
      <c r="A526" s="324">
        <v>45887</v>
      </c>
      <c r="B526" s="144">
        <v>1</v>
      </c>
      <c r="C526" s="145"/>
      <c r="D526" s="144" t="s">
        <v>208</v>
      </c>
      <c r="E526" s="146">
        <v>0.64</v>
      </c>
      <c r="F526" s="146"/>
      <c r="G526" s="147">
        <v>1</v>
      </c>
      <c r="H526" s="147">
        <v>1</v>
      </c>
      <c r="I526" s="147"/>
      <c r="J526" s="148">
        <v>1.86</v>
      </c>
      <c r="K526" s="145"/>
      <c r="L526" s="144" t="s">
        <v>209</v>
      </c>
      <c r="M526" s="149"/>
      <c r="N526" s="150">
        <v>55</v>
      </c>
      <c r="O526" s="26" t="s">
        <v>209</v>
      </c>
      <c r="P526" s="26" t="s">
        <v>216</v>
      </c>
      <c r="Q526" s="26" t="s">
        <v>217</v>
      </c>
      <c r="R526" s="26" t="s">
        <v>689</v>
      </c>
      <c r="S526" s="213">
        <v>69</v>
      </c>
      <c r="T526" s="26" t="s">
        <v>41</v>
      </c>
      <c r="U526" s="26" t="s">
        <v>42</v>
      </c>
      <c r="V526" s="43" t="s">
        <v>540</v>
      </c>
      <c r="W526" s="171">
        <v>0.01</v>
      </c>
      <c r="X526" s="146">
        <v>0.13</v>
      </c>
      <c r="Y526" s="146"/>
      <c r="Z526" s="144" t="s">
        <v>48</v>
      </c>
      <c r="AA526" s="172" t="s">
        <v>9</v>
      </c>
      <c r="AB526" s="173"/>
      <c r="AC526" s="174"/>
    </row>
    <row r="527" spans="1:29" x14ac:dyDescent="0.25">
      <c r="A527" s="324">
        <v>45887</v>
      </c>
      <c r="B527" s="144">
        <v>1</v>
      </c>
      <c r="C527" s="145"/>
      <c r="D527" s="144" t="s">
        <v>208</v>
      </c>
      <c r="E527" s="146">
        <v>0.64</v>
      </c>
      <c r="F527" s="146"/>
      <c r="G527" s="147">
        <v>1</v>
      </c>
      <c r="H527" s="147">
        <v>1</v>
      </c>
      <c r="I527" s="147"/>
      <c r="J527" s="148">
        <v>1.86</v>
      </c>
      <c r="K527" s="145"/>
      <c r="L527" s="144" t="s">
        <v>209</v>
      </c>
      <c r="M527" s="149"/>
      <c r="N527" s="150">
        <v>57</v>
      </c>
      <c r="O527" s="26" t="s">
        <v>209</v>
      </c>
      <c r="P527" s="26" t="s">
        <v>218</v>
      </c>
      <c r="Q527" s="26" t="s">
        <v>219</v>
      </c>
      <c r="R527" s="26" t="s">
        <v>685</v>
      </c>
      <c r="S527" s="213">
        <v>70</v>
      </c>
      <c r="T527" s="26" t="s">
        <v>44</v>
      </c>
      <c r="U527" s="26" t="s">
        <v>42</v>
      </c>
      <c r="V527" s="43" t="s">
        <v>18</v>
      </c>
      <c r="W527" s="171">
        <v>0.1</v>
      </c>
      <c r="X527" s="146" t="s">
        <v>53</v>
      </c>
      <c r="Y527" s="146"/>
      <c r="Z527" s="144" t="s">
        <v>52</v>
      </c>
      <c r="AA527" s="172" t="s">
        <v>9</v>
      </c>
      <c r="AB527" s="173"/>
      <c r="AC527" s="174"/>
    </row>
    <row r="528" spans="1:29" x14ac:dyDescent="0.25">
      <c r="A528" s="324">
        <v>45887</v>
      </c>
      <c r="B528" s="144">
        <v>1</v>
      </c>
      <c r="C528" s="145"/>
      <c r="D528" s="144" t="s">
        <v>208</v>
      </c>
      <c r="E528" s="146">
        <v>0.64</v>
      </c>
      <c r="F528" s="146"/>
      <c r="G528" s="147">
        <v>1</v>
      </c>
      <c r="H528" s="147">
        <v>1</v>
      </c>
      <c r="I528" s="147"/>
      <c r="J528" s="148">
        <v>1.86</v>
      </c>
      <c r="K528" s="145"/>
      <c r="L528" s="144" t="s">
        <v>209</v>
      </c>
      <c r="M528" s="149"/>
      <c r="N528" s="150">
        <v>60</v>
      </c>
      <c r="O528" s="26" t="s">
        <v>209</v>
      </c>
      <c r="P528" s="26" t="s">
        <v>214</v>
      </c>
      <c r="Q528" s="26" t="s">
        <v>215</v>
      </c>
      <c r="R528" s="26" t="s">
        <v>686</v>
      </c>
      <c r="S528" s="213">
        <v>78</v>
      </c>
      <c r="T528" s="26" t="s">
        <v>354</v>
      </c>
      <c r="U528" s="26" t="s">
        <v>42</v>
      </c>
      <c r="V528" s="43" t="s">
        <v>540</v>
      </c>
      <c r="W528" s="171">
        <v>0.03</v>
      </c>
      <c r="X528" s="146" t="s">
        <v>53</v>
      </c>
      <c r="Y528" s="146"/>
      <c r="Z528" s="144" t="s">
        <v>55</v>
      </c>
      <c r="AA528" s="172" t="s">
        <v>9</v>
      </c>
      <c r="AB528" s="173"/>
      <c r="AC528" s="174"/>
    </row>
    <row r="529" spans="1:29" x14ac:dyDescent="0.25">
      <c r="A529" s="324">
        <v>45887</v>
      </c>
      <c r="B529" s="144">
        <v>1</v>
      </c>
      <c r="C529" s="145"/>
      <c r="D529" s="144" t="s">
        <v>208</v>
      </c>
      <c r="E529" s="146">
        <v>0.64</v>
      </c>
      <c r="F529" s="146"/>
      <c r="G529" s="147">
        <v>1</v>
      </c>
      <c r="H529" s="147">
        <v>1</v>
      </c>
      <c r="I529" s="147"/>
      <c r="J529" s="148">
        <v>1.86</v>
      </c>
      <c r="K529" s="145"/>
      <c r="L529" s="144" t="s">
        <v>209</v>
      </c>
      <c r="M529" s="149"/>
      <c r="N529" s="150">
        <v>63</v>
      </c>
      <c r="O529" s="61" t="s">
        <v>208</v>
      </c>
      <c r="P529" s="61" t="s">
        <v>74</v>
      </c>
      <c r="Q529" s="61" t="s">
        <v>211</v>
      </c>
      <c r="R529" s="61" t="s">
        <v>684</v>
      </c>
      <c r="S529" s="218">
        <v>64</v>
      </c>
      <c r="T529" s="61" t="s">
        <v>47</v>
      </c>
      <c r="U529" s="61" t="s">
        <v>43</v>
      </c>
      <c r="V529" s="63" t="s">
        <v>10</v>
      </c>
      <c r="W529" s="171">
        <v>0.25</v>
      </c>
      <c r="X529" s="146" t="s">
        <v>53</v>
      </c>
      <c r="Y529" s="146" t="s">
        <v>353</v>
      </c>
      <c r="Z529" s="144" t="s">
        <v>55</v>
      </c>
      <c r="AA529" s="172" t="s">
        <v>9</v>
      </c>
      <c r="AB529" s="173"/>
      <c r="AC529" s="174"/>
    </row>
    <row r="530" spans="1:29" x14ac:dyDescent="0.25">
      <c r="A530" s="324">
        <v>45887</v>
      </c>
      <c r="B530" s="144">
        <v>1</v>
      </c>
      <c r="C530" s="145"/>
      <c r="D530" s="144" t="s">
        <v>208</v>
      </c>
      <c r="E530" s="146">
        <v>0.64</v>
      </c>
      <c r="F530" s="146"/>
      <c r="G530" s="147">
        <v>1</v>
      </c>
      <c r="H530" s="147">
        <v>1</v>
      </c>
      <c r="I530" s="147"/>
      <c r="J530" s="148">
        <v>1.86</v>
      </c>
      <c r="K530" s="145"/>
      <c r="L530" s="144" t="s">
        <v>209</v>
      </c>
      <c r="M530" s="149"/>
      <c r="N530" s="150">
        <v>65</v>
      </c>
      <c r="O530" s="26" t="s">
        <v>209</v>
      </c>
      <c r="P530" s="26" t="s">
        <v>220</v>
      </c>
      <c r="Q530" s="26" t="s">
        <v>221</v>
      </c>
      <c r="R530" s="26" t="s">
        <v>684</v>
      </c>
      <c r="S530" s="213">
        <v>61</v>
      </c>
      <c r="T530" s="26" t="s">
        <v>41</v>
      </c>
      <c r="U530" s="26" t="s">
        <v>42</v>
      </c>
      <c r="V530" s="43" t="s">
        <v>10</v>
      </c>
      <c r="W530" s="171">
        <v>0.25</v>
      </c>
      <c r="X530" s="146" t="s">
        <v>53</v>
      </c>
      <c r="Y530" s="146" t="s">
        <v>353</v>
      </c>
      <c r="Z530" s="144" t="s">
        <v>22</v>
      </c>
      <c r="AA530" s="172" t="s">
        <v>9</v>
      </c>
      <c r="AB530" s="173"/>
      <c r="AC530" s="174"/>
    </row>
    <row r="531" spans="1:29" x14ac:dyDescent="0.25">
      <c r="A531" s="324">
        <v>45887</v>
      </c>
      <c r="B531" s="144">
        <v>1</v>
      </c>
      <c r="C531" s="145"/>
      <c r="D531" s="144" t="s">
        <v>208</v>
      </c>
      <c r="E531" s="146">
        <v>0.64</v>
      </c>
      <c r="F531" s="146"/>
      <c r="G531" s="147">
        <v>1</v>
      </c>
      <c r="H531" s="147">
        <v>1</v>
      </c>
      <c r="I531" s="147"/>
      <c r="J531" s="148">
        <v>1.86</v>
      </c>
      <c r="K531" s="145"/>
      <c r="L531" s="144" t="s">
        <v>209</v>
      </c>
      <c r="M531" s="149"/>
      <c r="N531" s="150">
        <v>72</v>
      </c>
      <c r="O531" s="26" t="s">
        <v>209</v>
      </c>
      <c r="P531" s="26" t="s">
        <v>222</v>
      </c>
      <c r="Q531" s="26" t="s">
        <v>223</v>
      </c>
      <c r="R531" s="26" t="s">
        <v>699</v>
      </c>
      <c r="S531" s="213">
        <v>76</v>
      </c>
      <c r="T531" s="26" t="s">
        <v>354</v>
      </c>
      <c r="U531" s="26" t="s">
        <v>43</v>
      </c>
      <c r="V531" s="43" t="s">
        <v>10</v>
      </c>
      <c r="W531" s="171">
        <v>0.03</v>
      </c>
      <c r="X531" s="146">
        <v>0.34</v>
      </c>
      <c r="Y531" s="146"/>
      <c r="Z531" s="144" t="s">
        <v>48</v>
      </c>
      <c r="AA531" s="172" t="s">
        <v>9</v>
      </c>
      <c r="AB531" s="173"/>
      <c r="AC531" s="174"/>
    </row>
    <row r="532" spans="1:29" x14ac:dyDescent="0.25">
      <c r="A532" s="324">
        <v>45887</v>
      </c>
      <c r="B532" s="144">
        <v>1</v>
      </c>
      <c r="C532" s="145"/>
      <c r="D532" s="144" t="s">
        <v>208</v>
      </c>
      <c r="E532" s="146">
        <v>0.64</v>
      </c>
      <c r="F532" s="146"/>
      <c r="G532" s="147">
        <v>1</v>
      </c>
      <c r="H532" s="147">
        <v>1</v>
      </c>
      <c r="I532" s="147"/>
      <c r="J532" s="148">
        <v>1.86</v>
      </c>
      <c r="K532" s="145"/>
      <c r="L532" s="144" t="s">
        <v>209</v>
      </c>
      <c r="M532" s="149"/>
      <c r="N532" s="150">
        <v>75</v>
      </c>
      <c r="O532" s="26" t="s">
        <v>209</v>
      </c>
      <c r="P532" s="26" t="s">
        <v>224</v>
      </c>
      <c r="Q532" s="26" t="s">
        <v>225</v>
      </c>
      <c r="R532" s="26" t="s">
        <v>696</v>
      </c>
      <c r="S532" s="213">
        <v>66</v>
      </c>
      <c r="T532" s="26" t="s">
        <v>41</v>
      </c>
      <c r="U532" s="26" t="s">
        <v>42</v>
      </c>
      <c r="V532" s="43" t="s">
        <v>18</v>
      </c>
      <c r="W532" s="171">
        <v>0.27</v>
      </c>
      <c r="X532" s="146" t="s">
        <v>53</v>
      </c>
      <c r="Y532" s="146"/>
      <c r="Z532" s="144" t="s">
        <v>52</v>
      </c>
      <c r="AA532" s="172" t="s">
        <v>9</v>
      </c>
      <c r="AB532" s="173"/>
      <c r="AC532" s="174"/>
    </row>
    <row r="533" spans="1:29" ht="15.75" thickBot="1" x14ac:dyDescent="0.3">
      <c r="A533" s="325">
        <v>45887</v>
      </c>
      <c r="B533" s="152">
        <v>1</v>
      </c>
      <c r="C533" s="153"/>
      <c r="D533" s="152" t="s">
        <v>208</v>
      </c>
      <c r="E533" s="154">
        <v>0.64</v>
      </c>
      <c r="F533" s="154"/>
      <c r="G533" s="155">
        <v>1</v>
      </c>
      <c r="H533" s="155">
        <v>1</v>
      </c>
      <c r="I533" s="155"/>
      <c r="J533" s="156">
        <v>1.86</v>
      </c>
      <c r="K533" s="153"/>
      <c r="L533" s="152" t="s">
        <v>209</v>
      </c>
      <c r="M533" s="157"/>
      <c r="N533" s="158">
        <v>81</v>
      </c>
      <c r="O533" s="66" t="s">
        <v>208</v>
      </c>
      <c r="P533" s="66" t="s">
        <v>212</v>
      </c>
      <c r="Q533" s="66" t="s">
        <v>213</v>
      </c>
      <c r="R533" s="66" t="s">
        <v>686</v>
      </c>
      <c r="S533" s="219">
        <v>77</v>
      </c>
      <c r="T533" s="66" t="s">
        <v>41</v>
      </c>
      <c r="U533" s="66" t="s">
        <v>42</v>
      </c>
      <c r="V533" s="67" t="s">
        <v>10</v>
      </c>
      <c r="W533" s="175">
        <v>0.2</v>
      </c>
      <c r="X533" s="154">
        <v>0.71</v>
      </c>
      <c r="Y533" s="154" t="s">
        <v>353</v>
      </c>
      <c r="Z533" s="152" t="s">
        <v>8</v>
      </c>
      <c r="AA533" s="176" t="s">
        <v>51</v>
      </c>
      <c r="AB533" s="177" t="s">
        <v>466</v>
      </c>
      <c r="AC533" s="178" t="s">
        <v>467</v>
      </c>
    </row>
    <row r="534" spans="1:29" ht="15.75" thickBot="1" x14ac:dyDescent="0.3">
      <c r="A534" s="326">
        <v>45887</v>
      </c>
      <c r="B534" s="207">
        <v>1</v>
      </c>
      <c r="C534" s="208"/>
      <c r="D534" s="207" t="s">
        <v>208</v>
      </c>
      <c r="E534" s="209">
        <v>0.64</v>
      </c>
      <c r="F534" s="209"/>
      <c r="G534" s="210">
        <v>1</v>
      </c>
      <c r="H534" s="210">
        <v>1</v>
      </c>
      <c r="I534" s="210"/>
      <c r="J534" s="211">
        <v>1.86</v>
      </c>
      <c r="K534" s="208"/>
      <c r="L534" s="207" t="s">
        <v>209</v>
      </c>
      <c r="M534" s="197"/>
      <c r="N534" s="198"/>
      <c r="O534" s="199" t="s">
        <v>208</v>
      </c>
      <c r="P534" s="199" t="s">
        <v>433</v>
      </c>
      <c r="Q534" s="199" t="s">
        <v>725</v>
      </c>
      <c r="R534" s="199" t="s">
        <v>707</v>
      </c>
      <c r="S534" s="200">
        <v>78</v>
      </c>
      <c r="T534" s="199"/>
      <c r="U534" s="199"/>
      <c r="V534" s="201"/>
      <c r="W534" s="202"/>
      <c r="X534" s="203"/>
      <c r="Y534" s="203">
        <v>1</v>
      </c>
      <c r="Z534" s="199"/>
      <c r="AA534" s="204"/>
      <c r="AB534" s="205"/>
      <c r="AC534" s="201"/>
    </row>
    <row r="535" spans="1:29" ht="15.75" thickBot="1" x14ac:dyDescent="0.3">
      <c r="A535" s="326">
        <v>45887</v>
      </c>
      <c r="B535" s="207">
        <v>1</v>
      </c>
      <c r="C535" s="208"/>
      <c r="D535" s="207" t="s">
        <v>208</v>
      </c>
      <c r="E535" s="209">
        <v>0.64</v>
      </c>
      <c r="F535" s="209"/>
      <c r="G535" s="210">
        <v>1</v>
      </c>
      <c r="H535" s="210">
        <v>1</v>
      </c>
      <c r="I535" s="210"/>
      <c r="J535" s="211">
        <v>1.86</v>
      </c>
      <c r="K535" s="208"/>
      <c r="L535" s="207" t="s">
        <v>209</v>
      </c>
      <c r="M535" s="197"/>
      <c r="N535" s="198"/>
      <c r="O535" s="199" t="s">
        <v>209</v>
      </c>
      <c r="P535" s="199" t="s">
        <v>447</v>
      </c>
      <c r="Q535" s="199" t="s">
        <v>150</v>
      </c>
      <c r="R535" s="199" t="s">
        <v>707</v>
      </c>
      <c r="S535" s="200">
        <v>62</v>
      </c>
      <c r="T535" s="199"/>
      <c r="U535" s="199"/>
      <c r="V535" s="201"/>
      <c r="W535" s="202"/>
      <c r="X535" s="203"/>
      <c r="Y535" s="203">
        <v>1</v>
      </c>
      <c r="Z535" s="199"/>
      <c r="AA535" s="204"/>
      <c r="AB535" s="205"/>
      <c r="AC535" s="201"/>
    </row>
    <row r="536" spans="1:29" x14ac:dyDescent="0.25">
      <c r="A536" s="323">
        <v>45898</v>
      </c>
      <c r="B536" s="136">
        <v>3</v>
      </c>
      <c r="C536" s="137" t="s">
        <v>705</v>
      </c>
      <c r="D536" s="136" t="s">
        <v>208</v>
      </c>
      <c r="E536" s="138">
        <v>1.1200000000000001</v>
      </c>
      <c r="F536" s="138"/>
      <c r="G536" s="139">
        <v>2</v>
      </c>
      <c r="H536" s="139">
        <v>0</v>
      </c>
      <c r="I536" s="139"/>
      <c r="J536" s="140">
        <v>0.71</v>
      </c>
      <c r="K536" s="137" t="s">
        <v>698</v>
      </c>
      <c r="L536" s="136" t="s">
        <v>129</v>
      </c>
      <c r="M536" s="141"/>
      <c r="N536" s="142">
        <v>8</v>
      </c>
      <c r="O536" s="64" t="s">
        <v>208</v>
      </c>
      <c r="P536" s="64" t="s">
        <v>74</v>
      </c>
      <c r="Q536" s="64" t="s">
        <v>211</v>
      </c>
      <c r="R536" s="64" t="s">
        <v>718</v>
      </c>
      <c r="S536" s="217">
        <v>66</v>
      </c>
      <c r="T536" s="64" t="s">
        <v>41</v>
      </c>
      <c r="U536" s="64" t="s">
        <v>45</v>
      </c>
      <c r="V536" s="65" t="s">
        <v>20</v>
      </c>
      <c r="W536" s="167">
        <v>0.03</v>
      </c>
      <c r="X536" s="138">
        <v>0.11</v>
      </c>
      <c r="Y536" s="138"/>
      <c r="Z536" s="136" t="s">
        <v>48</v>
      </c>
      <c r="AA536" s="168" t="s">
        <v>28</v>
      </c>
      <c r="AB536" s="169"/>
      <c r="AC536" s="170"/>
    </row>
    <row r="537" spans="1:29" x14ac:dyDescent="0.25">
      <c r="A537" s="324">
        <v>45898</v>
      </c>
      <c r="B537" s="144">
        <v>3</v>
      </c>
      <c r="C537" s="145"/>
      <c r="D537" s="144" t="s">
        <v>208</v>
      </c>
      <c r="E537" s="146">
        <v>1.1200000000000001</v>
      </c>
      <c r="F537" s="146"/>
      <c r="G537" s="147">
        <v>2</v>
      </c>
      <c r="H537" s="147">
        <v>0</v>
      </c>
      <c r="I537" s="147"/>
      <c r="J537" s="148">
        <v>0.71</v>
      </c>
      <c r="K537" s="145"/>
      <c r="L537" s="144" t="s">
        <v>129</v>
      </c>
      <c r="M537" s="149"/>
      <c r="N537" s="150">
        <v>10</v>
      </c>
      <c r="O537" s="61" t="s">
        <v>208</v>
      </c>
      <c r="P537" s="61" t="s">
        <v>74</v>
      </c>
      <c r="Q537" s="61" t="s">
        <v>211</v>
      </c>
      <c r="R537" s="61" t="s">
        <v>718</v>
      </c>
      <c r="S537" s="218">
        <v>66</v>
      </c>
      <c r="T537" s="61" t="s">
        <v>47</v>
      </c>
      <c r="U537" s="61" t="s">
        <v>45</v>
      </c>
      <c r="V537" s="63" t="s">
        <v>10</v>
      </c>
      <c r="W537" s="171">
        <v>0.12</v>
      </c>
      <c r="X537" s="146" t="s">
        <v>53</v>
      </c>
      <c r="Y537" s="146"/>
      <c r="Z537" s="144" t="s">
        <v>13</v>
      </c>
      <c r="AA537" s="172" t="s">
        <v>28</v>
      </c>
      <c r="AB537" s="173"/>
      <c r="AC537" s="174"/>
    </row>
    <row r="538" spans="1:29" x14ac:dyDescent="0.25">
      <c r="A538" s="324">
        <v>45898</v>
      </c>
      <c r="B538" s="144">
        <v>3</v>
      </c>
      <c r="C538" s="145"/>
      <c r="D538" s="144" t="s">
        <v>208</v>
      </c>
      <c r="E538" s="146">
        <v>1.1200000000000001</v>
      </c>
      <c r="F538" s="146"/>
      <c r="G538" s="147">
        <v>2</v>
      </c>
      <c r="H538" s="147">
        <v>0</v>
      </c>
      <c r="I538" s="147"/>
      <c r="J538" s="148">
        <v>0.71</v>
      </c>
      <c r="K538" s="145"/>
      <c r="L538" s="144" t="s">
        <v>129</v>
      </c>
      <c r="M538" s="149"/>
      <c r="N538" s="150">
        <v>22</v>
      </c>
      <c r="O538" s="61" t="s">
        <v>208</v>
      </c>
      <c r="P538" s="62" t="s">
        <v>303</v>
      </c>
      <c r="Q538" s="62" t="s">
        <v>304</v>
      </c>
      <c r="R538" s="62" t="s">
        <v>695</v>
      </c>
      <c r="S538" s="215">
        <v>71</v>
      </c>
      <c r="T538" s="61" t="s">
        <v>41</v>
      </c>
      <c r="U538" s="61" t="s">
        <v>42</v>
      </c>
      <c r="V538" s="63" t="s">
        <v>18</v>
      </c>
      <c r="W538" s="171">
        <v>0.06</v>
      </c>
      <c r="X538" s="146" t="s">
        <v>53</v>
      </c>
      <c r="Y538" s="146"/>
      <c r="Z538" s="144" t="s">
        <v>16</v>
      </c>
      <c r="AA538" s="172" t="s">
        <v>28</v>
      </c>
      <c r="AB538" s="173"/>
      <c r="AC538" s="174"/>
    </row>
    <row r="539" spans="1:29" x14ac:dyDescent="0.25">
      <c r="A539" s="324">
        <v>45898</v>
      </c>
      <c r="B539" s="144">
        <v>3</v>
      </c>
      <c r="C539" s="145"/>
      <c r="D539" s="144" t="s">
        <v>208</v>
      </c>
      <c r="E539" s="146">
        <v>1.1200000000000001</v>
      </c>
      <c r="F539" s="146"/>
      <c r="G539" s="147">
        <v>2</v>
      </c>
      <c r="H539" s="147">
        <v>0</v>
      </c>
      <c r="I539" s="147"/>
      <c r="J539" s="148">
        <v>0.71</v>
      </c>
      <c r="K539" s="145"/>
      <c r="L539" s="144" t="s">
        <v>129</v>
      </c>
      <c r="M539" s="149"/>
      <c r="N539" s="150">
        <v>27</v>
      </c>
      <c r="O539" s="26" t="s">
        <v>129</v>
      </c>
      <c r="P539" s="73" t="s">
        <v>59</v>
      </c>
      <c r="Q539" s="73" t="s">
        <v>191</v>
      </c>
      <c r="R539" s="73" t="s">
        <v>684</v>
      </c>
      <c r="S539" s="214">
        <v>70</v>
      </c>
      <c r="T539" s="26" t="s">
        <v>41</v>
      </c>
      <c r="U539" s="26" t="s">
        <v>43</v>
      </c>
      <c r="V539" s="43" t="s">
        <v>18</v>
      </c>
      <c r="W539" s="171">
        <v>0.33</v>
      </c>
      <c r="X539" s="146" t="s">
        <v>53</v>
      </c>
      <c r="Y539" s="146" t="s">
        <v>353</v>
      </c>
      <c r="Z539" s="144" t="s">
        <v>13</v>
      </c>
      <c r="AA539" s="172" t="s">
        <v>28</v>
      </c>
      <c r="AB539" s="173"/>
      <c r="AC539" s="174"/>
    </row>
    <row r="540" spans="1:29" x14ac:dyDescent="0.25">
      <c r="A540" s="324">
        <v>45898</v>
      </c>
      <c r="B540" s="144">
        <v>3</v>
      </c>
      <c r="C540" s="145"/>
      <c r="D540" s="144" t="s">
        <v>208</v>
      </c>
      <c r="E540" s="146">
        <v>1.1200000000000001</v>
      </c>
      <c r="F540" s="146"/>
      <c r="G540" s="147">
        <v>2</v>
      </c>
      <c r="H540" s="147">
        <v>0</v>
      </c>
      <c r="I540" s="147"/>
      <c r="J540" s="148">
        <v>0.71</v>
      </c>
      <c r="K540" s="145"/>
      <c r="L540" s="144" t="s">
        <v>129</v>
      </c>
      <c r="M540" s="149"/>
      <c r="N540" s="150" t="s">
        <v>122</v>
      </c>
      <c r="O540" s="26" t="s">
        <v>129</v>
      </c>
      <c r="P540" s="73" t="s">
        <v>46</v>
      </c>
      <c r="Q540" s="73" t="s">
        <v>201</v>
      </c>
      <c r="R540" s="73" t="s">
        <v>686</v>
      </c>
      <c r="S540" s="214">
        <v>67</v>
      </c>
      <c r="T540" s="26" t="s">
        <v>41</v>
      </c>
      <c r="U540" s="26" t="s">
        <v>43</v>
      </c>
      <c r="V540" s="43" t="s">
        <v>10</v>
      </c>
      <c r="W540" s="171">
        <v>7.0000000000000007E-2</v>
      </c>
      <c r="X540" s="146" t="s">
        <v>53</v>
      </c>
      <c r="Y540" s="146"/>
      <c r="Z540" s="144" t="s">
        <v>17</v>
      </c>
      <c r="AA540" s="172" t="s">
        <v>28</v>
      </c>
      <c r="AB540" s="173"/>
      <c r="AC540" s="174"/>
    </row>
    <row r="541" spans="1:29" x14ac:dyDescent="0.25">
      <c r="A541" s="324">
        <v>45898</v>
      </c>
      <c r="B541" s="144">
        <v>3</v>
      </c>
      <c r="C541" s="145"/>
      <c r="D541" s="144" t="s">
        <v>208</v>
      </c>
      <c r="E541" s="146">
        <v>1.1200000000000001</v>
      </c>
      <c r="F541" s="146"/>
      <c r="G541" s="147">
        <v>2</v>
      </c>
      <c r="H541" s="147">
        <v>0</v>
      </c>
      <c r="I541" s="147"/>
      <c r="J541" s="148">
        <v>0.71</v>
      </c>
      <c r="K541" s="145"/>
      <c r="L541" s="144" t="s">
        <v>129</v>
      </c>
      <c r="M541" s="149"/>
      <c r="N541" s="150">
        <v>46</v>
      </c>
      <c r="O541" s="61" t="s">
        <v>208</v>
      </c>
      <c r="P541" s="62" t="s">
        <v>61</v>
      </c>
      <c r="Q541" s="62" t="s">
        <v>261</v>
      </c>
      <c r="R541" s="62" t="s">
        <v>717</v>
      </c>
      <c r="S541" s="215">
        <v>79</v>
      </c>
      <c r="T541" s="61" t="s">
        <v>41</v>
      </c>
      <c r="U541" s="61" t="s">
        <v>43</v>
      </c>
      <c r="V541" s="63" t="s">
        <v>18</v>
      </c>
      <c r="W541" s="171">
        <v>0.18</v>
      </c>
      <c r="X541" s="146">
        <v>0.56000000000000005</v>
      </c>
      <c r="Y541" s="146" t="s">
        <v>353</v>
      </c>
      <c r="Z541" s="144" t="s">
        <v>8</v>
      </c>
      <c r="AA541" s="172" t="s">
        <v>19</v>
      </c>
      <c r="AB541" s="173" t="s">
        <v>74</v>
      </c>
      <c r="AC541" s="174" t="s">
        <v>211</v>
      </c>
    </row>
    <row r="542" spans="1:29" x14ac:dyDescent="0.25">
      <c r="A542" s="324">
        <v>45898</v>
      </c>
      <c r="B542" s="144">
        <v>3</v>
      </c>
      <c r="C542" s="145"/>
      <c r="D542" s="144" t="s">
        <v>208</v>
      </c>
      <c r="E542" s="146">
        <v>1.1200000000000001</v>
      </c>
      <c r="F542" s="146"/>
      <c r="G542" s="147">
        <v>2</v>
      </c>
      <c r="H542" s="147">
        <v>0</v>
      </c>
      <c r="I542" s="147"/>
      <c r="J542" s="148">
        <v>0.71</v>
      </c>
      <c r="K542" s="145"/>
      <c r="L542" s="144" t="s">
        <v>129</v>
      </c>
      <c r="M542" s="149"/>
      <c r="N542" s="150">
        <v>51</v>
      </c>
      <c r="O542" s="61" t="s">
        <v>208</v>
      </c>
      <c r="P542" s="62" t="s">
        <v>218</v>
      </c>
      <c r="Q542" s="62" t="s">
        <v>305</v>
      </c>
      <c r="R542" s="62" t="s">
        <v>695</v>
      </c>
      <c r="S542" s="215">
        <v>76</v>
      </c>
      <c r="T542" s="61" t="s">
        <v>41</v>
      </c>
      <c r="U542" s="61" t="s">
        <v>42</v>
      </c>
      <c r="V542" s="63" t="s">
        <v>10</v>
      </c>
      <c r="W542" s="171">
        <v>0.13</v>
      </c>
      <c r="X542" s="146">
        <v>0.81</v>
      </c>
      <c r="Y542" s="146"/>
      <c r="Z542" s="144" t="s">
        <v>8</v>
      </c>
      <c r="AA542" s="172" t="s">
        <v>24</v>
      </c>
      <c r="AB542" s="173" t="s">
        <v>457</v>
      </c>
      <c r="AC542" s="174" t="s">
        <v>658</v>
      </c>
    </row>
    <row r="543" spans="1:29" x14ac:dyDescent="0.25">
      <c r="A543" s="324">
        <v>45898</v>
      </c>
      <c r="B543" s="144">
        <v>3</v>
      </c>
      <c r="C543" s="145"/>
      <c r="D543" s="144" t="s">
        <v>208</v>
      </c>
      <c r="E543" s="146">
        <v>1.1200000000000001</v>
      </c>
      <c r="F543" s="146"/>
      <c r="G543" s="147">
        <v>2</v>
      </c>
      <c r="H543" s="147">
        <v>0</v>
      </c>
      <c r="I543" s="147"/>
      <c r="J543" s="148">
        <v>0.71</v>
      </c>
      <c r="K543" s="145"/>
      <c r="L543" s="144" t="s">
        <v>129</v>
      </c>
      <c r="M543" s="149"/>
      <c r="N543" s="150">
        <v>90</v>
      </c>
      <c r="O543" s="26" t="s">
        <v>129</v>
      </c>
      <c r="P543" s="73" t="s">
        <v>25</v>
      </c>
      <c r="Q543" s="73" t="s">
        <v>75</v>
      </c>
      <c r="R543" s="73" t="s">
        <v>696</v>
      </c>
      <c r="S543" s="214">
        <v>67</v>
      </c>
      <c r="T543" s="26" t="s">
        <v>41</v>
      </c>
      <c r="U543" s="26" t="s">
        <v>42</v>
      </c>
      <c r="V543" s="43" t="s">
        <v>10</v>
      </c>
      <c r="W543" s="171">
        <v>0.04</v>
      </c>
      <c r="X543" s="146">
        <v>0.23</v>
      </c>
      <c r="Y543" s="146"/>
      <c r="Z543" s="144" t="s">
        <v>48</v>
      </c>
      <c r="AA543" s="172" t="s">
        <v>24</v>
      </c>
      <c r="AB543" s="173"/>
      <c r="AC543" s="174"/>
    </row>
    <row r="544" spans="1:29" ht="15.75" thickBot="1" x14ac:dyDescent="0.3">
      <c r="A544" s="325">
        <v>45898</v>
      </c>
      <c r="B544" s="152">
        <v>3</v>
      </c>
      <c r="C544" s="153"/>
      <c r="D544" s="152" t="s">
        <v>208</v>
      </c>
      <c r="E544" s="154">
        <v>1.1200000000000001</v>
      </c>
      <c r="F544" s="154"/>
      <c r="G544" s="155">
        <v>2</v>
      </c>
      <c r="H544" s="155">
        <v>0</v>
      </c>
      <c r="I544" s="155"/>
      <c r="J544" s="156">
        <v>0.71</v>
      </c>
      <c r="K544" s="153"/>
      <c r="L544" s="152" t="s">
        <v>129</v>
      </c>
      <c r="M544" s="157"/>
      <c r="N544" s="158" t="s">
        <v>36</v>
      </c>
      <c r="O544" s="66" t="s">
        <v>208</v>
      </c>
      <c r="P544" s="69" t="s">
        <v>303</v>
      </c>
      <c r="Q544" s="69" t="s">
        <v>304</v>
      </c>
      <c r="R544" s="69" t="s">
        <v>695</v>
      </c>
      <c r="S544" s="223">
        <v>71</v>
      </c>
      <c r="T544" s="66" t="s">
        <v>41</v>
      </c>
      <c r="U544" s="66" t="s">
        <v>42</v>
      </c>
      <c r="V544" s="67" t="s">
        <v>18</v>
      </c>
      <c r="W544" s="175">
        <v>0.17</v>
      </c>
      <c r="X544" s="154">
        <v>0.08</v>
      </c>
      <c r="Y544" s="154"/>
      <c r="Z544" s="152" t="s">
        <v>48</v>
      </c>
      <c r="AA544" s="176" t="s">
        <v>24</v>
      </c>
      <c r="AB544" s="177"/>
      <c r="AC544" s="178"/>
    </row>
    <row r="545" spans="1:29" ht="15.75" thickBot="1" x14ac:dyDescent="0.3">
      <c r="A545" s="326">
        <v>45898</v>
      </c>
      <c r="B545" s="207">
        <v>3</v>
      </c>
      <c r="C545" s="208"/>
      <c r="D545" s="207" t="s">
        <v>208</v>
      </c>
      <c r="E545" s="209">
        <v>1.1200000000000001</v>
      </c>
      <c r="F545" s="209"/>
      <c r="G545" s="210">
        <v>2</v>
      </c>
      <c r="H545" s="210">
        <v>0</v>
      </c>
      <c r="I545" s="210"/>
      <c r="J545" s="211">
        <v>0.71</v>
      </c>
      <c r="K545" s="208"/>
      <c r="L545" s="207" t="s">
        <v>129</v>
      </c>
      <c r="M545" s="197"/>
      <c r="N545" s="198"/>
      <c r="O545" s="199" t="s">
        <v>208</v>
      </c>
      <c r="P545" s="199" t="s">
        <v>433</v>
      </c>
      <c r="Q545" s="199" t="s">
        <v>725</v>
      </c>
      <c r="R545" s="199" t="s">
        <v>707</v>
      </c>
      <c r="S545" s="200">
        <v>71</v>
      </c>
      <c r="T545" s="199"/>
      <c r="U545" s="199"/>
      <c r="V545" s="201"/>
      <c r="W545" s="202"/>
      <c r="X545" s="203"/>
      <c r="Y545" s="203">
        <v>0</v>
      </c>
      <c r="Z545" s="199"/>
      <c r="AA545" s="204"/>
      <c r="AB545" s="205"/>
      <c r="AC545" s="201"/>
    </row>
    <row r="546" spans="1:29" ht="15.75" thickBot="1" x14ac:dyDescent="0.3">
      <c r="A546" s="326">
        <v>45898</v>
      </c>
      <c r="B546" s="207">
        <v>3</v>
      </c>
      <c r="C546" s="208"/>
      <c r="D546" s="207" t="s">
        <v>208</v>
      </c>
      <c r="E546" s="209">
        <v>1.1200000000000001</v>
      </c>
      <c r="F546" s="209"/>
      <c r="G546" s="210">
        <v>2</v>
      </c>
      <c r="H546" s="210">
        <v>0</v>
      </c>
      <c r="I546" s="210"/>
      <c r="J546" s="211">
        <v>0.71</v>
      </c>
      <c r="K546" s="208"/>
      <c r="L546" s="207" t="s">
        <v>129</v>
      </c>
      <c r="M546" s="197"/>
      <c r="N546" s="198"/>
      <c r="O546" s="199" t="s">
        <v>129</v>
      </c>
      <c r="P546" s="199" t="s">
        <v>731</v>
      </c>
      <c r="Q546" s="199" t="s">
        <v>732</v>
      </c>
      <c r="R546" s="199" t="s">
        <v>707</v>
      </c>
      <c r="S546" s="200">
        <v>64</v>
      </c>
      <c r="T546" s="199"/>
      <c r="U546" s="199"/>
      <c r="V546" s="201"/>
      <c r="W546" s="202"/>
      <c r="X546" s="203"/>
      <c r="Y546" s="203">
        <v>2</v>
      </c>
      <c r="Z546" s="199"/>
      <c r="AA546" s="204"/>
      <c r="AB546" s="205"/>
      <c r="AC546" s="201"/>
    </row>
    <row r="547" spans="1:29" x14ac:dyDescent="0.25">
      <c r="A547" s="327">
        <v>45921</v>
      </c>
      <c r="B547" s="160">
        <v>5</v>
      </c>
      <c r="C547" s="161" t="s">
        <v>705</v>
      </c>
      <c r="D547" s="160" t="s">
        <v>208</v>
      </c>
      <c r="E547" s="162">
        <v>1.55</v>
      </c>
      <c r="F547" s="162"/>
      <c r="G547" s="163">
        <v>1</v>
      </c>
      <c r="H547" s="163">
        <v>0</v>
      </c>
      <c r="I547" s="163"/>
      <c r="J547" s="164">
        <v>1.0900000000000001</v>
      </c>
      <c r="K547" s="161" t="s">
        <v>693</v>
      </c>
      <c r="L547" s="160" t="s">
        <v>92</v>
      </c>
      <c r="M547" s="165"/>
      <c r="N547" s="166">
        <v>1</v>
      </c>
      <c r="O547" s="79" t="s">
        <v>92</v>
      </c>
      <c r="P547" s="79" t="s">
        <v>108</v>
      </c>
      <c r="Q547" s="79" t="s">
        <v>109</v>
      </c>
      <c r="R547" s="79" t="s">
        <v>684</v>
      </c>
      <c r="S547" s="224">
        <v>68</v>
      </c>
      <c r="T547" s="79" t="s">
        <v>44</v>
      </c>
      <c r="U547" s="79" t="s">
        <v>42</v>
      </c>
      <c r="V547" s="80" t="s">
        <v>540</v>
      </c>
      <c r="W547" s="179">
        <v>0.11</v>
      </c>
      <c r="X547" s="162" t="s">
        <v>53</v>
      </c>
      <c r="Y547" s="162" t="s">
        <v>353</v>
      </c>
      <c r="Z547" s="160" t="s">
        <v>13</v>
      </c>
      <c r="AA547" s="180" t="s">
        <v>28</v>
      </c>
      <c r="AB547" s="169"/>
      <c r="AC547" s="170"/>
    </row>
    <row r="548" spans="1:29" x14ac:dyDescent="0.25">
      <c r="A548" s="324">
        <v>45921</v>
      </c>
      <c r="B548" s="144">
        <v>5</v>
      </c>
      <c r="C548" s="145"/>
      <c r="D548" s="144" t="s">
        <v>208</v>
      </c>
      <c r="E548" s="146">
        <v>1.55</v>
      </c>
      <c r="F548" s="146"/>
      <c r="G548" s="147">
        <v>1</v>
      </c>
      <c r="H548" s="147">
        <v>0</v>
      </c>
      <c r="I548" s="147"/>
      <c r="J548" s="148">
        <v>1.0900000000000001</v>
      </c>
      <c r="K548" s="145"/>
      <c r="L548" s="144" t="s">
        <v>92</v>
      </c>
      <c r="M548" s="149"/>
      <c r="N548" s="150">
        <v>4</v>
      </c>
      <c r="O548" s="61" t="s">
        <v>208</v>
      </c>
      <c r="P548" s="61" t="s">
        <v>53</v>
      </c>
      <c r="Q548" s="61" t="s">
        <v>465</v>
      </c>
      <c r="R548" s="61" t="s">
        <v>689</v>
      </c>
      <c r="S548" s="218">
        <v>68</v>
      </c>
      <c r="T548" s="61" t="s">
        <v>47</v>
      </c>
      <c r="U548" s="61" t="s">
        <v>42</v>
      </c>
      <c r="V548" s="63" t="s">
        <v>10</v>
      </c>
      <c r="W548" s="171">
        <v>0.12</v>
      </c>
      <c r="X548" s="146" t="s">
        <v>53</v>
      </c>
      <c r="Y548" s="146"/>
      <c r="Z548" s="144" t="s">
        <v>52</v>
      </c>
      <c r="AA548" s="172" t="s">
        <v>28</v>
      </c>
      <c r="AB548" s="173"/>
      <c r="AC548" s="174"/>
    </row>
    <row r="549" spans="1:29" x14ac:dyDescent="0.25">
      <c r="A549" s="324">
        <v>45921</v>
      </c>
      <c r="B549" s="144">
        <v>5</v>
      </c>
      <c r="C549" s="145"/>
      <c r="D549" s="144" t="s">
        <v>208</v>
      </c>
      <c r="E549" s="146">
        <v>1.55</v>
      </c>
      <c r="F549" s="146"/>
      <c r="G549" s="147">
        <v>1</v>
      </c>
      <c r="H549" s="147">
        <v>0</v>
      </c>
      <c r="I549" s="147"/>
      <c r="J549" s="148">
        <v>1.0900000000000001</v>
      </c>
      <c r="K549" s="145"/>
      <c r="L549" s="144" t="s">
        <v>92</v>
      </c>
      <c r="M549" s="149"/>
      <c r="N549" s="150">
        <v>9</v>
      </c>
      <c r="O549" s="61" t="s">
        <v>208</v>
      </c>
      <c r="P549" s="61" t="s">
        <v>362</v>
      </c>
      <c r="Q549" s="61" t="s">
        <v>363</v>
      </c>
      <c r="R549" s="61" t="s">
        <v>718</v>
      </c>
      <c r="S549" s="218">
        <v>74</v>
      </c>
      <c r="T549" s="61" t="s">
        <v>47</v>
      </c>
      <c r="U549" s="61" t="s">
        <v>42</v>
      </c>
      <c r="V549" s="63" t="s">
        <v>540</v>
      </c>
      <c r="W549" s="171">
        <v>0.76</v>
      </c>
      <c r="X549" s="146">
        <v>0.98</v>
      </c>
      <c r="Y549" s="146" t="s">
        <v>353</v>
      </c>
      <c r="Z549" s="144" t="s">
        <v>8</v>
      </c>
      <c r="AA549" s="172" t="s">
        <v>19</v>
      </c>
      <c r="AB549" s="173"/>
      <c r="AC549" s="174"/>
    </row>
    <row r="550" spans="1:29" x14ac:dyDescent="0.25">
      <c r="A550" s="324">
        <v>45921</v>
      </c>
      <c r="B550" s="144">
        <v>5</v>
      </c>
      <c r="C550" s="145"/>
      <c r="D550" s="144" t="s">
        <v>208</v>
      </c>
      <c r="E550" s="146">
        <v>1.55</v>
      </c>
      <c r="F550" s="146"/>
      <c r="G550" s="147">
        <v>1</v>
      </c>
      <c r="H550" s="147">
        <v>0</v>
      </c>
      <c r="I550" s="147"/>
      <c r="J550" s="148">
        <v>1.0900000000000001</v>
      </c>
      <c r="K550" s="145"/>
      <c r="L550" s="144" t="s">
        <v>92</v>
      </c>
      <c r="M550" s="149"/>
      <c r="N550" s="150">
        <v>41</v>
      </c>
      <c r="O550" s="61" t="s">
        <v>208</v>
      </c>
      <c r="P550" s="61" t="s">
        <v>466</v>
      </c>
      <c r="Q550" s="61" t="s">
        <v>467</v>
      </c>
      <c r="R550" s="61" t="s">
        <v>695</v>
      </c>
      <c r="S550" s="218">
        <v>74</v>
      </c>
      <c r="T550" s="61" t="s">
        <v>354</v>
      </c>
      <c r="U550" s="61" t="s">
        <v>42</v>
      </c>
      <c r="V550" s="63" t="s">
        <v>10</v>
      </c>
      <c r="W550" s="171">
        <v>0.03</v>
      </c>
      <c r="X550" s="146" t="s">
        <v>53</v>
      </c>
      <c r="Y550" s="146"/>
      <c r="Z550" s="144" t="s">
        <v>16</v>
      </c>
      <c r="AA550" s="172" t="s">
        <v>19</v>
      </c>
      <c r="AB550" s="173"/>
      <c r="AC550" s="174"/>
    </row>
    <row r="551" spans="1:29" x14ac:dyDescent="0.25">
      <c r="A551" s="324">
        <v>45921</v>
      </c>
      <c r="B551" s="144">
        <v>5</v>
      </c>
      <c r="C551" s="145"/>
      <c r="D551" s="144" t="s">
        <v>208</v>
      </c>
      <c r="E551" s="146">
        <v>1.55</v>
      </c>
      <c r="F551" s="146"/>
      <c r="G551" s="147">
        <v>1</v>
      </c>
      <c r="H551" s="147">
        <v>0</v>
      </c>
      <c r="I551" s="147"/>
      <c r="J551" s="148">
        <v>1.0900000000000001</v>
      </c>
      <c r="K551" s="145"/>
      <c r="L551" s="144" t="s">
        <v>92</v>
      </c>
      <c r="M551" s="149"/>
      <c r="N551" s="150">
        <v>49</v>
      </c>
      <c r="O551" s="61" t="s">
        <v>208</v>
      </c>
      <c r="P551" s="61" t="s">
        <v>61</v>
      </c>
      <c r="Q551" s="61" t="s">
        <v>261</v>
      </c>
      <c r="R551" s="61" t="s">
        <v>717</v>
      </c>
      <c r="S551" s="218">
        <v>65</v>
      </c>
      <c r="T551" s="61" t="s">
        <v>41</v>
      </c>
      <c r="U551" s="61" t="s">
        <v>42</v>
      </c>
      <c r="V551" s="63" t="s">
        <v>10</v>
      </c>
      <c r="W551" s="171">
        <v>7.0000000000000007E-2</v>
      </c>
      <c r="X551" s="146">
        <v>0.12</v>
      </c>
      <c r="Y551" s="146"/>
      <c r="Z551" s="144" t="s">
        <v>48</v>
      </c>
      <c r="AA551" s="172" t="s">
        <v>19</v>
      </c>
      <c r="AB551" s="173"/>
      <c r="AC551" s="174"/>
    </row>
    <row r="552" spans="1:29" x14ac:dyDescent="0.25">
      <c r="A552" s="324">
        <v>45921</v>
      </c>
      <c r="B552" s="144">
        <v>5</v>
      </c>
      <c r="C552" s="145"/>
      <c r="D552" s="144" t="s">
        <v>208</v>
      </c>
      <c r="E552" s="146">
        <v>1.55</v>
      </c>
      <c r="F552" s="146"/>
      <c r="G552" s="147">
        <v>1</v>
      </c>
      <c r="H552" s="147">
        <v>0</v>
      </c>
      <c r="I552" s="147"/>
      <c r="J552" s="148">
        <v>1.0900000000000001</v>
      </c>
      <c r="K552" s="145"/>
      <c r="L552" s="144" t="s">
        <v>92</v>
      </c>
      <c r="M552" s="149"/>
      <c r="N552" s="150">
        <v>50</v>
      </c>
      <c r="O552" s="26" t="s">
        <v>92</v>
      </c>
      <c r="P552" s="26" t="s">
        <v>292</v>
      </c>
      <c r="Q552" s="26" t="s">
        <v>293</v>
      </c>
      <c r="R552" s="26" t="s">
        <v>686</v>
      </c>
      <c r="S552" s="213">
        <v>67</v>
      </c>
      <c r="T552" s="26" t="s">
        <v>41</v>
      </c>
      <c r="U552" s="26" t="s">
        <v>43</v>
      </c>
      <c r="V552" s="43" t="s">
        <v>10</v>
      </c>
      <c r="W552" s="171">
        <v>0.06</v>
      </c>
      <c r="X552" s="146" t="s">
        <v>53</v>
      </c>
      <c r="Y552" s="146"/>
      <c r="Z552" s="144" t="s">
        <v>22</v>
      </c>
      <c r="AA552" s="172" t="s">
        <v>19</v>
      </c>
      <c r="AB552" s="173"/>
      <c r="AC552" s="174"/>
    </row>
    <row r="553" spans="1:29" x14ac:dyDescent="0.25">
      <c r="A553" s="324">
        <v>45921</v>
      </c>
      <c r="B553" s="144">
        <v>5</v>
      </c>
      <c r="C553" s="145"/>
      <c r="D553" s="144" t="s">
        <v>208</v>
      </c>
      <c r="E553" s="146">
        <v>1.55</v>
      </c>
      <c r="F553" s="146"/>
      <c r="G553" s="147">
        <v>1</v>
      </c>
      <c r="H553" s="147">
        <v>0</v>
      </c>
      <c r="I553" s="147"/>
      <c r="J553" s="148">
        <v>1.0900000000000001</v>
      </c>
      <c r="K553" s="145"/>
      <c r="L553" s="144" t="s">
        <v>92</v>
      </c>
      <c r="M553" s="149"/>
      <c r="N553" s="150">
        <v>51</v>
      </c>
      <c r="O553" s="61" t="s">
        <v>208</v>
      </c>
      <c r="P553" s="61" t="s">
        <v>466</v>
      </c>
      <c r="Q553" s="61" t="s">
        <v>467</v>
      </c>
      <c r="R553" s="61" t="s">
        <v>695</v>
      </c>
      <c r="S553" s="218">
        <v>74</v>
      </c>
      <c r="T553" s="61" t="s">
        <v>41</v>
      </c>
      <c r="U553" s="61" t="s">
        <v>43</v>
      </c>
      <c r="V553" s="63" t="s">
        <v>10</v>
      </c>
      <c r="W553" s="171">
        <v>0.09</v>
      </c>
      <c r="X553" s="146">
        <v>0.19</v>
      </c>
      <c r="Y553" s="146"/>
      <c r="Z553" s="144" t="s">
        <v>48</v>
      </c>
      <c r="AA553" s="172" t="s">
        <v>19</v>
      </c>
      <c r="AB553" s="173"/>
      <c r="AC553" s="174"/>
    </row>
    <row r="554" spans="1:29" x14ac:dyDescent="0.25">
      <c r="A554" s="324">
        <v>45921</v>
      </c>
      <c r="B554" s="144">
        <v>5</v>
      </c>
      <c r="C554" s="145"/>
      <c r="D554" s="144" t="s">
        <v>208</v>
      </c>
      <c r="E554" s="146">
        <v>1.55</v>
      </c>
      <c r="F554" s="146"/>
      <c r="G554" s="147">
        <v>1</v>
      </c>
      <c r="H554" s="147">
        <v>0</v>
      </c>
      <c r="I554" s="147"/>
      <c r="J554" s="148">
        <v>1.0900000000000001</v>
      </c>
      <c r="K554" s="145"/>
      <c r="L554" s="144" t="s">
        <v>92</v>
      </c>
      <c r="M554" s="149"/>
      <c r="N554" s="150">
        <v>51</v>
      </c>
      <c r="O554" s="61" t="s">
        <v>208</v>
      </c>
      <c r="P554" s="61" t="s">
        <v>61</v>
      </c>
      <c r="Q554" s="61" t="s">
        <v>261</v>
      </c>
      <c r="R554" s="61" t="s">
        <v>717</v>
      </c>
      <c r="S554" s="218">
        <v>65</v>
      </c>
      <c r="T554" s="61" t="s">
        <v>41</v>
      </c>
      <c r="U554" s="61" t="s">
        <v>43</v>
      </c>
      <c r="V554" s="63" t="s">
        <v>540</v>
      </c>
      <c r="W554" s="171">
        <v>7.0000000000000007E-2</v>
      </c>
      <c r="X554" s="146">
        <v>0.14000000000000001</v>
      </c>
      <c r="Y554" s="146"/>
      <c r="Z554" s="144" t="s">
        <v>48</v>
      </c>
      <c r="AA554" s="172" t="s">
        <v>19</v>
      </c>
      <c r="AB554" s="173"/>
      <c r="AC554" s="174"/>
    </row>
    <row r="555" spans="1:29" x14ac:dyDescent="0.25">
      <c r="A555" s="324">
        <v>45921</v>
      </c>
      <c r="B555" s="144">
        <v>5</v>
      </c>
      <c r="C555" s="145"/>
      <c r="D555" s="144" t="s">
        <v>208</v>
      </c>
      <c r="E555" s="146">
        <v>1.55</v>
      </c>
      <c r="F555" s="146"/>
      <c r="G555" s="147">
        <v>1</v>
      </c>
      <c r="H555" s="147">
        <v>0</v>
      </c>
      <c r="I555" s="147"/>
      <c r="J555" s="148">
        <v>1.0900000000000001</v>
      </c>
      <c r="K555" s="145"/>
      <c r="L555" s="144" t="s">
        <v>92</v>
      </c>
      <c r="M555" s="149"/>
      <c r="N555" s="150">
        <v>52</v>
      </c>
      <c r="O555" s="61" t="s">
        <v>208</v>
      </c>
      <c r="P555" s="61" t="s">
        <v>61</v>
      </c>
      <c r="Q555" s="61" t="s">
        <v>261</v>
      </c>
      <c r="R555" s="61" t="s">
        <v>717</v>
      </c>
      <c r="S555" s="218">
        <v>65</v>
      </c>
      <c r="T555" s="61" t="s">
        <v>41</v>
      </c>
      <c r="U555" s="61" t="s">
        <v>42</v>
      </c>
      <c r="V555" s="63" t="s">
        <v>10</v>
      </c>
      <c r="W555" s="171">
        <v>7.0000000000000007E-2</v>
      </c>
      <c r="X555" s="146" t="s">
        <v>53</v>
      </c>
      <c r="Y555" s="146"/>
      <c r="Z555" s="144" t="s">
        <v>17</v>
      </c>
      <c r="AA555" s="172" t="s">
        <v>19</v>
      </c>
      <c r="AB555" s="173"/>
      <c r="AC555" s="174"/>
    </row>
    <row r="556" spans="1:29" x14ac:dyDescent="0.25">
      <c r="A556" s="324">
        <v>45921</v>
      </c>
      <c r="B556" s="144">
        <v>5</v>
      </c>
      <c r="C556" s="145"/>
      <c r="D556" s="144" t="s">
        <v>208</v>
      </c>
      <c r="E556" s="146">
        <v>1.55</v>
      </c>
      <c r="F556" s="146"/>
      <c r="G556" s="147">
        <v>1</v>
      </c>
      <c r="H556" s="147">
        <v>0</v>
      </c>
      <c r="I556" s="147"/>
      <c r="J556" s="148">
        <v>1.0900000000000001</v>
      </c>
      <c r="K556" s="145"/>
      <c r="L556" s="144" t="s">
        <v>92</v>
      </c>
      <c r="M556" s="149"/>
      <c r="N556" s="150">
        <v>59</v>
      </c>
      <c r="O556" s="26" t="s">
        <v>92</v>
      </c>
      <c r="P556" s="26" t="s">
        <v>320</v>
      </c>
      <c r="Q556" s="26" t="s">
        <v>321</v>
      </c>
      <c r="R556" s="26" t="s">
        <v>687</v>
      </c>
      <c r="S556" s="213">
        <v>69</v>
      </c>
      <c r="T556" s="26" t="s">
        <v>44</v>
      </c>
      <c r="U556" s="26" t="s">
        <v>42</v>
      </c>
      <c r="V556" s="43" t="s">
        <v>10</v>
      </c>
      <c r="W556" s="171">
        <v>0.1</v>
      </c>
      <c r="X556" s="146" t="s">
        <v>53</v>
      </c>
      <c r="Y556" s="146"/>
      <c r="Z556" s="144" t="s">
        <v>52</v>
      </c>
      <c r="AA556" s="172" t="s">
        <v>19</v>
      </c>
      <c r="AB556" s="173"/>
      <c r="AC556" s="174"/>
    </row>
    <row r="557" spans="1:29" x14ac:dyDescent="0.25">
      <c r="A557" s="324">
        <v>45921</v>
      </c>
      <c r="B557" s="144">
        <v>5</v>
      </c>
      <c r="C557" s="145"/>
      <c r="D557" s="144" t="s">
        <v>208</v>
      </c>
      <c r="E557" s="146">
        <v>1.55</v>
      </c>
      <c r="F557" s="146"/>
      <c r="G557" s="147">
        <v>1</v>
      </c>
      <c r="H557" s="147">
        <v>0</v>
      </c>
      <c r="I557" s="147"/>
      <c r="J557" s="148">
        <v>1.0900000000000001</v>
      </c>
      <c r="K557" s="145"/>
      <c r="L557" s="144" t="s">
        <v>92</v>
      </c>
      <c r="M557" s="149"/>
      <c r="N557" s="150">
        <v>64</v>
      </c>
      <c r="O557" s="26" t="s">
        <v>92</v>
      </c>
      <c r="P557" s="26" t="s">
        <v>108</v>
      </c>
      <c r="Q557" s="26" t="s">
        <v>109</v>
      </c>
      <c r="R557" s="26" t="s">
        <v>684</v>
      </c>
      <c r="S557" s="213">
        <v>68</v>
      </c>
      <c r="T557" s="26" t="s">
        <v>47</v>
      </c>
      <c r="U557" s="26" t="s">
        <v>42</v>
      </c>
      <c r="V557" s="43" t="s">
        <v>540</v>
      </c>
      <c r="W557" s="171">
        <v>0.38</v>
      </c>
      <c r="X557" s="146" t="s">
        <v>53</v>
      </c>
      <c r="Y557" s="146" t="s">
        <v>353</v>
      </c>
      <c r="Z557" s="144" t="s">
        <v>16</v>
      </c>
      <c r="AA557" s="172" t="s">
        <v>19</v>
      </c>
      <c r="AB557" s="173"/>
      <c r="AC557" s="174"/>
    </row>
    <row r="558" spans="1:29" x14ac:dyDescent="0.25">
      <c r="A558" s="324">
        <v>45921</v>
      </c>
      <c r="B558" s="144">
        <v>5</v>
      </c>
      <c r="C558" s="145"/>
      <c r="D558" s="144" t="s">
        <v>208</v>
      </c>
      <c r="E558" s="146">
        <v>1.55</v>
      </c>
      <c r="F558" s="146"/>
      <c r="G558" s="147">
        <v>1</v>
      </c>
      <c r="H558" s="147">
        <v>0</v>
      </c>
      <c r="I558" s="147"/>
      <c r="J558" s="148">
        <v>1.0900000000000001</v>
      </c>
      <c r="K558" s="145"/>
      <c r="L558" s="144" t="s">
        <v>92</v>
      </c>
      <c r="M558" s="149"/>
      <c r="N558" s="150">
        <v>68</v>
      </c>
      <c r="O558" s="26" t="s">
        <v>92</v>
      </c>
      <c r="P558" s="26" t="s">
        <v>445</v>
      </c>
      <c r="Q558" s="26" t="s">
        <v>111</v>
      </c>
      <c r="R558" s="26" t="s">
        <v>696</v>
      </c>
      <c r="S558" s="213">
        <v>63</v>
      </c>
      <c r="T558" s="26" t="s">
        <v>44</v>
      </c>
      <c r="U558" s="26" t="s">
        <v>42</v>
      </c>
      <c r="V558" s="43" t="s">
        <v>10</v>
      </c>
      <c r="W558" s="171">
        <v>0.01</v>
      </c>
      <c r="X558" s="146" t="s">
        <v>53</v>
      </c>
      <c r="Y558" s="146"/>
      <c r="Z558" s="144" t="s">
        <v>55</v>
      </c>
      <c r="AA558" s="172" t="s">
        <v>19</v>
      </c>
      <c r="AB558" s="173"/>
      <c r="AC558" s="174"/>
    </row>
    <row r="559" spans="1:29" x14ac:dyDescent="0.25">
      <c r="A559" s="324">
        <v>45921</v>
      </c>
      <c r="B559" s="144">
        <v>5</v>
      </c>
      <c r="C559" s="145"/>
      <c r="D559" s="144" t="s">
        <v>208</v>
      </c>
      <c r="E559" s="146">
        <v>1.55</v>
      </c>
      <c r="F559" s="146"/>
      <c r="G559" s="147">
        <v>1</v>
      </c>
      <c r="H559" s="147">
        <v>0</v>
      </c>
      <c r="I559" s="147"/>
      <c r="J559" s="148">
        <v>1.0900000000000001</v>
      </c>
      <c r="K559" s="145"/>
      <c r="L559" s="144" t="s">
        <v>92</v>
      </c>
      <c r="M559" s="149"/>
      <c r="N559" s="150">
        <v>73</v>
      </c>
      <c r="O559" s="26" t="s">
        <v>92</v>
      </c>
      <c r="P559" s="26" t="s">
        <v>176</v>
      </c>
      <c r="Q559" s="26" t="s">
        <v>368</v>
      </c>
      <c r="R559" s="26" t="s">
        <v>696</v>
      </c>
      <c r="S559" s="213">
        <v>67</v>
      </c>
      <c r="T559" s="26" t="s">
        <v>44</v>
      </c>
      <c r="U559" s="26" t="s">
        <v>42</v>
      </c>
      <c r="V559" s="43" t="s">
        <v>10</v>
      </c>
      <c r="W559" s="171">
        <v>0.04</v>
      </c>
      <c r="X559" s="146">
        <v>0.11</v>
      </c>
      <c r="Y559" s="146"/>
      <c r="Z559" s="144" t="s">
        <v>48</v>
      </c>
      <c r="AA559" s="172" t="s">
        <v>19</v>
      </c>
      <c r="AB559" s="173"/>
      <c r="AC559" s="174"/>
    </row>
    <row r="560" spans="1:29" x14ac:dyDescent="0.25">
      <c r="A560" s="324">
        <v>45921</v>
      </c>
      <c r="B560" s="144">
        <v>5</v>
      </c>
      <c r="C560" s="145"/>
      <c r="D560" s="144" t="s">
        <v>208</v>
      </c>
      <c r="E560" s="146">
        <v>1.55</v>
      </c>
      <c r="F560" s="146"/>
      <c r="G560" s="147">
        <v>1</v>
      </c>
      <c r="H560" s="147">
        <v>0</v>
      </c>
      <c r="I560" s="147"/>
      <c r="J560" s="148">
        <v>1.0900000000000001</v>
      </c>
      <c r="K560" s="145"/>
      <c r="L560" s="144" t="s">
        <v>92</v>
      </c>
      <c r="M560" s="149"/>
      <c r="N560" s="150">
        <v>83</v>
      </c>
      <c r="O560" s="26" t="s">
        <v>92</v>
      </c>
      <c r="P560" s="26" t="s">
        <v>108</v>
      </c>
      <c r="Q560" s="26" t="s">
        <v>109</v>
      </c>
      <c r="R560" s="26" t="s">
        <v>684</v>
      </c>
      <c r="S560" s="213">
        <v>68</v>
      </c>
      <c r="T560" s="26" t="s">
        <v>41</v>
      </c>
      <c r="U560" s="26" t="s">
        <v>42</v>
      </c>
      <c r="V560" s="43" t="s">
        <v>540</v>
      </c>
      <c r="W560" s="171">
        <v>0.12</v>
      </c>
      <c r="X560" s="146">
        <v>0.22</v>
      </c>
      <c r="Y560" s="146"/>
      <c r="Z560" s="144" t="s">
        <v>48</v>
      </c>
      <c r="AA560" s="172" t="s">
        <v>19</v>
      </c>
      <c r="AB560" s="173"/>
      <c r="AC560" s="174"/>
    </row>
    <row r="561" spans="1:29" ht="15.75" thickBot="1" x14ac:dyDescent="0.3">
      <c r="A561" s="325">
        <v>45921</v>
      </c>
      <c r="B561" s="152">
        <v>5</v>
      </c>
      <c r="C561" s="153"/>
      <c r="D561" s="152" t="s">
        <v>208</v>
      </c>
      <c r="E561" s="154">
        <v>1.55</v>
      </c>
      <c r="F561" s="154"/>
      <c r="G561" s="155">
        <v>1</v>
      </c>
      <c r="H561" s="155">
        <v>0</v>
      </c>
      <c r="I561" s="155"/>
      <c r="J561" s="156">
        <v>1.0900000000000001</v>
      </c>
      <c r="K561" s="153"/>
      <c r="L561" s="152" t="s">
        <v>92</v>
      </c>
      <c r="M561" s="157"/>
      <c r="N561" s="158">
        <v>89</v>
      </c>
      <c r="O561" s="74" t="s">
        <v>92</v>
      </c>
      <c r="P561" s="74" t="s">
        <v>176</v>
      </c>
      <c r="Q561" s="74" t="s">
        <v>368</v>
      </c>
      <c r="R561" s="74" t="s">
        <v>696</v>
      </c>
      <c r="S561" s="221">
        <v>63</v>
      </c>
      <c r="T561" s="74" t="s">
        <v>41</v>
      </c>
      <c r="U561" s="74" t="s">
        <v>42</v>
      </c>
      <c r="V561" s="76" t="s">
        <v>10</v>
      </c>
      <c r="W561" s="175">
        <v>0.09</v>
      </c>
      <c r="X561" s="154">
        <v>0.17</v>
      </c>
      <c r="Y561" s="154"/>
      <c r="Z561" s="152" t="s">
        <v>48</v>
      </c>
      <c r="AA561" s="176" t="s">
        <v>19</v>
      </c>
      <c r="AB561" s="177"/>
      <c r="AC561" s="178"/>
    </row>
    <row r="562" spans="1:29" ht="15.75" thickBot="1" x14ac:dyDescent="0.3">
      <c r="A562" s="326">
        <v>45921</v>
      </c>
      <c r="B562" s="207">
        <v>5</v>
      </c>
      <c r="C562" s="208"/>
      <c r="D562" s="207" t="s">
        <v>208</v>
      </c>
      <c r="E562" s="209">
        <v>1.55</v>
      </c>
      <c r="F562" s="209"/>
      <c r="G562" s="210">
        <v>1</v>
      </c>
      <c r="H562" s="210">
        <v>0</v>
      </c>
      <c r="I562" s="210"/>
      <c r="J562" s="211">
        <v>1.0900000000000001</v>
      </c>
      <c r="K562" s="208"/>
      <c r="L562" s="207" t="s">
        <v>92</v>
      </c>
      <c r="M562" s="235"/>
      <c r="N562" s="198"/>
      <c r="O562" s="199" t="s">
        <v>208</v>
      </c>
      <c r="P562" s="199" t="s">
        <v>295</v>
      </c>
      <c r="Q562" s="199" t="s">
        <v>735</v>
      </c>
      <c r="R562" s="199" t="s">
        <v>707</v>
      </c>
      <c r="S562" s="200">
        <v>77</v>
      </c>
      <c r="T562" s="199"/>
      <c r="U562" s="199"/>
      <c r="V562" s="201"/>
      <c r="W562" s="202"/>
      <c r="X562" s="203"/>
      <c r="Y562" s="203">
        <v>0</v>
      </c>
      <c r="Z562" s="199"/>
      <c r="AA562" s="204"/>
      <c r="AB562" s="205"/>
      <c r="AC562" s="201"/>
    </row>
    <row r="563" spans="1:29" ht="15.75" thickBot="1" x14ac:dyDescent="0.3">
      <c r="A563" s="326">
        <v>45921</v>
      </c>
      <c r="B563" s="207">
        <v>5</v>
      </c>
      <c r="C563" s="208"/>
      <c r="D563" s="207" t="s">
        <v>208</v>
      </c>
      <c r="E563" s="209">
        <v>1.55</v>
      </c>
      <c r="F563" s="209"/>
      <c r="G563" s="210">
        <v>1</v>
      </c>
      <c r="H563" s="210">
        <v>0</v>
      </c>
      <c r="I563" s="210"/>
      <c r="J563" s="211">
        <v>1.0900000000000001</v>
      </c>
      <c r="K563" s="208"/>
      <c r="L563" s="207" t="s">
        <v>92</v>
      </c>
      <c r="M563" s="235"/>
      <c r="N563" s="198"/>
      <c r="O563" s="199" t="s">
        <v>92</v>
      </c>
      <c r="P563" s="199" t="s">
        <v>432</v>
      </c>
      <c r="Q563" s="199" t="s">
        <v>472</v>
      </c>
      <c r="R563" s="199" t="s">
        <v>707</v>
      </c>
      <c r="S563" s="200">
        <v>70</v>
      </c>
      <c r="T563" s="199"/>
      <c r="U563" s="199"/>
      <c r="V563" s="201"/>
      <c r="W563" s="202"/>
      <c r="X563" s="203"/>
      <c r="Y563" s="203">
        <v>1</v>
      </c>
      <c r="Z563" s="199"/>
      <c r="AA563" s="204"/>
      <c r="AB563" s="205"/>
      <c r="AC563" s="201"/>
    </row>
    <row r="564" spans="1:29" x14ac:dyDescent="0.25">
      <c r="A564" s="323">
        <v>45928</v>
      </c>
      <c r="B564" s="136">
        <v>7</v>
      </c>
      <c r="C564" s="137" t="s">
        <v>701</v>
      </c>
      <c r="D564" s="136" t="s">
        <v>208</v>
      </c>
      <c r="E564" s="138">
        <v>3.58</v>
      </c>
      <c r="F564" s="138"/>
      <c r="G564" s="139">
        <v>2</v>
      </c>
      <c r="H564" s="139">
        <v>1</v>
      </c>
      <c r="I564" s="139"/>
      <c r="J564" s="140">
        <v>0.77</v>
      </c>
      <c r="K564" s="137" t="s">
        <v>692</v>
      </c>
      <c r="L564" s="136" t="s">
        <v>456</v>
      </c>
      <c r="M564" s="141"/>
      <c r="N564" s="142">
        <v>4</v>
      </c>
      <c r="O564" s="77" t="s">
        <v>456</v>
      </c>
      <c r="P564" s="77" t="s">
        <v>30</v>
      </c>
      <c r="Q564" s="77" t="s">
        <v>464</v>
      </c>
      <c r="R564" s="77" t="s">
        <v>690</v>
      </c>
      <c r="S564" s="220">
        <v>65</v>
      </c>
      <c r="T564" s="77" t="s">
        <v>41</v>
      </c>
      <c r="U564" s="77" t="s">
        <v>42</v>
      </c>
      <c r="V564" s="78" t="s">
        <v>10</v>
      </c>
      <c r="W564" s="167">
        <v>0.46</v>
      </c>
      <c r="X564" s="138" t="s">
        <v>53</v>
      </c>
      <c r="Y564" s="138" t="s">
        <v>353</v>
      </c>
      <c r="Z564" s="136" t="s">
        <v>13</v>
      </c>
      <c r="AA564" s="168" t="s">
        <v>28</v>
      </c>
      <c r="AB564" s="169"/>
      <c r="AC564" s="170"/>
    </row>
    <row r="565" spans="1:29" x14ac:dyDescent="0.25">
      <c r="A565" s="324">
        <v>45928</v>
      </c>
      <c r="B565" s="144">
        <v>7</v>
      </c>
      <c r="C565" s="145"/>
      <c r="D565" s="144" t="s">
        <v>208</v>
      </c>
      <c r="E565" s="146">
        <v>3.58</v>
      </c>
      <c r="F565" s="146"/>
      <c r="G565" s="147">
        <v>2</v>
      </c>
      <c r="H565" s="147">
        <v>1</v>
      </c>
      <c r="I565" s="147"/>
      <c r="J565" s="148">
        <v>0.77</v>
      </c>
      <c r="K565" s="145"/>
      <c r="L565" s="144" t="s">
        <v>456</v>
      </c>
      <c r="M565" s="149"/>
      <c r="N565" s="150">
        <v>9</v>
      </c>
      <c r="O565" s="61" t="s">
        <v>208</v>
      </c>
      <c r="P565" s="61" t="s">
        <v>212</v>
      </c>
      <c r="Q565" s="61" t="s">
        <v>213</v>
      </c>
      <c r="R565" s="61" t="s">
        <v>695</v>
      </c>
      <c r="S565" s="218">
        <v>70</v>
      </c>
      <c r="T565" s="61" t="s">
        <v>41</v>
      </c>
      <c r="U565" s="61" t="s">
        <v>43</v>
      </c>
      <c r="V565" s="63" t="s">
        <v>10</v>
      </c>
      <c r="W565" s="171">
        <v>0.19</v>
      </c>
      <c r="X565" s="146" t="s">
        <v>53</v>
      </c>
      <c r="Y565" s="146"/>
      <c r="Z565" s="144" t="s">
        <v>52</v>
      </c>
      <c r="AA565" s="172" t="s">
        <v>28</v>
      </c>
      <c r="AB565" s="173"/>
      <c r="AC565" s="174"/>
    </row>
    <row r="566" spans="1:29" x14ac:dyDescent="0.25">
      <c r="A566" s="324">
        <v>45928</v>
      </c>
      <c r="B566" s="144">
        <v>7</v>
      </c>
      <c r="C566" s="145"/>
      <c r="D566" s="144" t="s">
        <v>208</v>
      </c>
      <c r="E566" s="146">
        <v>3.58</v>
      </c>
      <c r="F566" s="146"/>
      <c r="G566" s="147">
        <v>2</v>
      </c>
      <c r="H566" s="147">
        <v>1</v>
      </c>
      <c r="I566" s="147"/>
      <c r="J566" s="148">
        <v>0.77</v>
      </c>
      <c r="K566" s="145"/>
      <c r="L566" s="144" t="s">
        <v>456</v>
      </c>
      <c r="M566" s="149"/>
      <c r="N566" s="150">
        <v>12</v>
      </c>
      <c r="O566" s="61" t="s">
        <v>208</v>
      </c>
      <c r="P566" s="61" t="s">
        <v>61</v>
      </c>
      <c r="Q566" s="61" t="s">
        <v>261</v>
      </c>
      <c r="R566" s="61" t="s">
        <v>718</v>
      </c>
      <c r="S566" s="218">
        <v>54</v>
      </c>
      <c r="T566" s="61" t="s">
        <v>41</v>
      </c>
      <c r="U566" s="61" t="s">
        <v>42</v>
      </c>
      <c r="V566" s="63" t="s">
        <v>20</v>
      </c>
      <c r="W566" s="171">
        <v>0.12</v>
      </c>
      <c r="X566" s="146">
        <v>0.12</v>
      </c>
      <c r="Y566" s="146"/>
      <c r="Z566" s="144" t="s">
        <v>48</v>
      </c>
      <c r="AA566" s="172" t="s">
        <v>28</v>
      </c>
      <c r="AB566" s="173"/>
      <c r="AC566" s="174"/>
    </row>
    <row r="567" spans="1:29" x14ac:dyDescent="0.25">
      <c r="A567" s="324">
        <v>45928</v>
      </c>
      <c r="B567" s="144">
        <v>7</v>
      </c>
      <c r="C567" s="145"/>
      <c r="D567" s="144" t="s">
        <v>208</v>
      </c>
      <c r="E567" s="146">
        <v>3.58</v>
      </c>
      <c r="F567" s="146"/>
      <c r="G567" s="147">
        <v>2</v>
      </c>
      <c r="H567" s="147">
        <v>1</v>
      </c>
      <c r="I567" s="147"/>
      <c r="J567" s="148">
        <v>0.77</v>
      </c>
      <c r="K567" s="145"/>
      <c r="L567" s="144" t="s">
        <v>456</v>
      </c>
      <c r="M567" s="149"/>
      <c r="N567" s="150">
        <v>13</v>
      </c>
      <c r="O567" s="61" t="s">
        <v>208</v>
      </c>
      <c r="P567" s="61" t="s">
        <v>61</v>
      </c>
      <c r="Q567" s="61" t="s">
        <v>261</v>
      </c>
      <c r="R567" s="61" t="s">
        <v>718</v>
      </c>
      <c r="S567" s="218">
        <v>54</v>
      </c>
      <c r="T567" s="61" t="s">
        <v>41</v>
      </c>
      <c r="U567" s="61" t="s">
        <v>43</v>
      </c>
      <c r="V567" s="63" t="s">
        <v>540</v>
      </c>
      <c r="W567" s="171">
        <v>0.11</v>
      </c>
      <c r="X567" s="146" t="s">
        <v>53</v>
      </c>
      <c r="Y567" s="146" t="s">
        <v>353</v>
      </c>
      <c r="Z567" s="144" t="s">
        <v>16</v>
      </c>
      <c r="AA567" s="172" t="s">
        <v>28</v>
      </c>
      <c r="AB567" s="173"/>
      <c r="AC567" s="174"/>
    </row>
    <row r="568" spans="1:29" x14ac:dyDescent="0.25">
      <c r="A568" s="324">
        <v>45928</v>
      </c>
      <c r="B568" s="144">
        <v>7</v>
      </c>
      <c r="C568" s="145"/>
      <c r="D568" s="144" t="s">
        <v>208</v>
      </c>
      <c r="E568" s="146">
        <v>3.58</v>
      </c>
      <c r="F568" s="146"/>
      <c r="G568" s="147">
        <v>2</v>
      </c>
      <c r="H568" s="147">
        <v>1</v>
      </c>
      <c r="I568" s="147"/>
      <c r="J568" s="148">
        <v>0.77</v>
      </c>
      <c r="K568" s="145"/>
      <c r="L568" s="144" t="s">
        <v>456</v>
      </c>
      <c r="M568" s="149"/>
      <c r="N568" s="150">
        <v>18</v>
      </c>
      <c r="O568" s="61" t="s">
        <v>208</v>
      </c>
      <c r="P568" s="61" t="s">
        <v>362</v>
      </c>
      <c r="Q568" s="61" t="s">
        <v>363</v>
      </c>
      <c r="R568" s="61" t="s">
        <v>717</v>
      </c>
      <c r="S568" s="218">
        <v>74</v>
      </c>
      <c r="T568" s="61" t="s">
        <v>47</v>
      </c>
      <c r="U568" s="61" t="s">
        <v>43</v>
      </c>
      <c r="V568" s="63" t="s">
        <v>10</v>
      </c>
      <c r="W568" s="171">
        <v>0.87</v>
      </c>
      <c r="X568" s="146">
        <v>0.99</v>
      </c>
      <c r="Y568" s="146" t="s">
        <v>353</v>
      </c>
      <c r="Z568" s="144" t="s">
        <v>8</v>
      </c>
      <c r="AA568" s="172" t="s">
        <v>19</v>
      </c>
      <c r="AB568" s="173" t="s">
        <v>53</v>
      </c>
      <c r="AC568" s="174" t="s">
        <v>465</v>
      </c>
    </row>
    <row r="569" spans="1:29" x14ac:dyDescent="0.25">
      <c r="A569" s="324">
        <v>45928</v>
      </c>
      <c r="B569" s="144">
        <v>7</v>
      </c>
      <c r="C569" s="145"/>
      <c r="D569" s="144" t="s">
        <v>208</v>
      </c>
      <c r="E569" s="146">
        <v>3.58</v>
      </c>
      <c r="F569" s="146"/>
      <c r="G569" s="147">
        <v>2</v>
      </c>
      <c r="H569" s="147">
        <v>1</v>
      </c>
      <c r="I569" s="147"/>
      <c r="J569" s="148">
        <v>0.77</v>
      </c>
      <c r="K569" s="145"/>
      <c r="L569" s="144" t="s">
        <v>456</v>
      </c>
      <c r="M569" s="149"/>
      <c r="N569" s="150">
        <v>22</v>
      </c>
      <c r="O569" s="26" t="s">
        <v>456</v>
      </c>
      <c r="P569" s="26" t="s">
        <v>313</v>
      </c>
      <c r="Q569" s="26" t="s">
        <v>301</v>
      </c>
      <c r="R569" s="26" t="s">
        <v>684</v>
      </c>
      <c r="S569" s="213">
        <v>75</v>
      </c>
      <c r="T569" s="26" t="s">
        <v>44</v>
      </c>
      <c r="U569" s="26" t="s">
        <v>43</v>
      </c>
      <c r="V569" s="43" t="s">
        <v>10</v>
      </c>
      <c r="W569" s="171">
        <v>0.09</v>
      </c>
      <c r="X569" s="146">
        <v>0.16</v>
      </c>
      <c r="Y569" s="146" t="s">
        <v>353</v>
      </c>
      <c r="Z569" s="144" t="s">
        <v>8</v>
      </c>
      <c r="AA569" s="172" t="s">
        <v>51</v>
      </c>
      <c r="AB569" s="173" t="s">
        <v>249</v>
      </c>
      <c r="AC569" s="174" t="s">
        <v>250</v>
      </c>
    </row>
    <row r="570" spans="1:29" x14ac:dyDescent="0.25">
      <c r="A570" s="324">
        <v>45928</v>
      </c>
      <c r="B570" s="144">
        <v>7</v>
      </c>
      <c r="C570" s="145"/>
      <c r="D570" s="144" t="s">
        <v>208</v>
      </c>
      <c r="E570" s="146">
        <v>3.58</v>
      </c>
      <c r="F570" s="146"/>
      <c r="G570" s="147">
        <v>2</v>
      </c>
      <c r="H570" s="147">
        <v>1</v>
      </c>
      <c r="I570" s="147"/>
      <c r="J570" s="148">
        <v>0.77</v>
      </c>
      <c r="K570" s="145"/>
      <c r="L570" s="144" t="s">
        <v>456</v>
      </c>
      <c r="M570" s="149"/>
      <c r="N570" s="150">
        <v>26</v>
      </c>
      <c r="O570" s="61" t="s">
        <v>208</v>
      </c>
      <c r="P570" s="61" t="s">
        <v>527</v>
      </c>
      <c r="Q570" s="61" t="s">
        <v>528</v>
      </c>
      <c r="R570" s="61" t="s">
        <v>695</v>
      </c>
      <c r="S570" s="218">
        <v>77</v>
      </c>
      <c r="T570" s="61" t="s">
        <v>41</v>
      </c>
      <c r="U570" s="61" t="s">
        <v>43</v>
      </c>
      <c r="V570" s="63" t="s">
        <v>540</v>
      </c>
      <c r="W570" s="171">
        <v>0.1</v>
      </c>
      <c r="X570" s="146" t="s">
        <v>53</v>
      </c>
      <c r="Y570" s="146"/>
      <c r="Z570" s="144" t="s">
        <v>52</v>
      </c>
      <c r="AA570" s="172" t="s">
        <v>51</v>
      </c>
      <c r="AB570" s="173"/>
      <c r="AC570" s="174"/>
    </row>
    <row r="571" spans="1:29" x14ac:dyDescent="0.25">
      <c r="A571" s="324">
        <v>45928</v>
      </c>
      <c r="B571" s="144">
        <v>7</v>
      </c>
      <c r="C571" s="145"/>
      <c r="D571" s="144" t="s">
        <v>208</v>
      </c>
      <c r="E571" s="146">
        <v>3.58</v>
      </c>
      <c r="F571" s="146"/>
      <c r="G571" s="147">
        <v>2</v>
      </c>
      <c r="H571" s="147">
        <v>1</v>
      </c>
      <c r="I571" s="147"/>
      <c r="J571" s="148">
        <v>0.77</v>
      </c>
      <c r="K571" s="145"/>
      <c r="L571" s="144" t="s">
        <v>456</v>
      </c>
      <c r="M571" s="149"/>
      <c r="N571" s="150">
        <v>32</v>
      </c>
      <c r="O571" s="26" t="s">
        <v>456</v>
      </c>
      <c r="P571" s="26" t="s">
        <v>164</v>
      </c>
      <c r="Q571" s="26" t="s">
        <v>165</v>
      </c>
      <c r="R571" s="26" t="s">
        <v>686</v>
      </c>
      <c r="S571" s="213">
        <v>67</v>
      </c>
      <c r="T571" s="26" t="s">
        <v>41</v>
      </c>
      <c r="U571" s="26" t="s">
        <v>42</v>
      </c>
      <c r="V571" s="43" t="s">
        <v>10</v>
      </c>
      <c r="W571" s="171">
        <v>0.09</v>
      </c>
      <c r="X571" s="146">
        <v>0.11</v>
      </c>
      <c r="Y571" s="146"/>
      <c r="Z571" s="144" t="s">
        <v>48</v>
      </c>
      <c r="AA571" s="172" t="s">
        <v>51</v>
      </c>
      <c r="AB571" s="173"/>
      <c r="AC571" s="174"/>
    </row>
    <row r="572" spans="1:29" x14ac:dyDescent="0.25">
      <c r="A572" s="324">
        <v>45928</v>
      </c>
      <c r="B572" s="144">
        <v>7</v>
      </c>
      <c r="C572" s="145"/>
      <c r="D572" s="144" t="s">
        <v>208</v>
      </c>
      <c r="E572" s="146">
        <v>3.58</v>
      </c>
      <c r="F572" s="146"/>
      <c r="G572" s="147">
        <v>2</v>
      </c>
      <c r="H572" s="147">
        <v>1</v>
      </c>
      <c r="I572" s="147"/>
      <c r="J572" s="148">
        <v>0.77</v>
      </c>
      <c r="K572" s="145"/>
      <c r="L572" s="144" t="s">
        <v>456</v>
      </c>
      <c r="M572" s="149"/>
      <c r="N572" s="150">
        <v>42</v>
      </c>
      <c r="O572" s="61" t="s">
        <v>208</v>
      </c>
      <c r="P572" s="61" t="s">
        <v>362</v>
      </c>
      <c r="Q572" s="61" t="s">
        <v>363</v>
      </c>
      <c r="R572" s="61" t="s">
        <v>717</v>
      </c>
      <c r="S572" s="218">
        <v>74</v>
      </c>
      <c r="T572" s="61" t="s">
        <v>41</v>
      </c>
      <c r="U572" s="61" t="s">
        <v>45</v>
      </c>
      <c r="V572" s="63" t="s">
        <v>10</v>
      </c>
      <c r="W572" s="171">
        <v>0.09</v>
      </c>
      <c r="X572" s="146">
        <v>0.04</v>
      </c>
      <c r="Y572" s="146" t="s">
        <v>353</v>
      </c>
      <c r="Z572" s="144" t="s">
        <v>48</v>
      </c>
      <c r="AA572" s="172" t="s">
        <v>51</v>
      </c>
      <c r="AB572" s="173"/>
      <c r="AC572" s="174"/>
    </row>
    <row r="573" spans="1:29" x14ac:dyDescent="0.25">
      <c r="A573" s="324">
        <v>45928</v>
      </c>
      <c r="B573" s="144">
        <v>7</v>
      </c>
      <c r="C573" s="145"/>
      <c r="D573" s="144" t="s">
        <v>208</v>
      </c>
      <c r="E573" s="146">
        <v>3.58</v>
      </c>
      <c r="F573" s="146"/>
      <c r="G573" s="147">
        <v>2</v>
      </c>
      <c r="H573" s="147">
        <v>1</v>
      </c>
      <c r="I573" s="147"/>
      <c r="J573" s="148">
        <v>0.77</v>
      </c>
      <c r="K573" s="145"/>
      <c r="L573" s="144" t="s">
        <v>456</v>
      </c>
      <c r="M573" s="149"/>
      <c r="N573" s="150" t="s">
        <v>68</v>
      </c>
      <c r="O573" s="26" t="s">
        <v>456</v>
      </c>
      <c r="P573" s="26" t="s">
        <v>164</v>
      </c>
      <c r="Q573" s="26" t="s">
        <v>165</v>
      </c>
      <c r="R573" s="26" t="s">
        <v>686</v>
      </c>
      <c r="S573" s="213">
        <v>67</v>
      </c>
      <c r="T573" s="26" t="s">
        <v>41</v>
      </c>
      <c r="U573" s="26" t="s">
        <v>42</v>
      </c>
      <c r="V573" s="43" t="s">
        <v>10</v>
      </c>
      <c r="W573" s="171">
        <v>0.03</v>
      </c>
      <c r="X573" s="146" t="s">
        <v>53</v>
      </c>
      <c r="Y573" s="146"/>
      <c r="Z573" s="144" t="s">
        <v>22</v>
      </c>
      <c r="AA573" s="172" t="s">
        <v>51</v>
      </c>
      <c r="AB573" s="173"/>
      <c r="AC573" s="174"/>
    </row>
    <row r="574" spans="1:29" x14ac:dyDescent="0.25">
      <c r="A574" s="324">
        <v>45928</v>
      </c>
      <c r="B574" s="144">
        <v>7</v>
      </c>
      <c r="C574" s="145"/>
      <c r="D574" s="144" t="s">
        <v>208</v>
      </c>
      <c r="E574" s="146">
        <v>3.58</v>
      </c>
      <c r="F574" s="146"/>
      <c r="G574" s="147">
        <v>2</v>
      </c>
      <c r="H574" s="147">
        <v>1</v>
      </c>
      <c r="I574" s="147"/>
      <c r="J574" s="148">
        <v>0.77</v>
      </c>
      <c r="K574" s="145"/>
      <c r="L574" s="144" t="s">
        <v>456</v>
      </c>
      <c r="M574" s="149"/>
      <c r="N574" s="150">
        <v>54</v>
      </c>
      <c r="O574" s="61" t="s">
        <v>208</v>
      </c>
      <c r="P574" s="61" t="s">
        <v>61</v>
      </c>
      <c r="Q574" s="61" t="s">
        <v>261</v>
      </c>
      <c r="R574" s="61" t="s">
        <v>718</v>
      </c>
      <c r="S574" s="218">
        <v>54</v>
      </c>
      <c r="T574" s="61" t="s">
        <v>41</v>
      </c>
      <c r="U574" s="61" t="s">
        <v>42</v>
      </c>
      <c r="V574" s="63" t="s">
        <v>7</v>
      </c>
      <c r="W574" s="171">
        <v>0.79</v>
      </c>
      <c r="X574" s="146">
        <v>0.67</v>
      </c>
      <c r="Y574" s="146" t="s">
        <v>353</v>
      </c>
      <c r="Z574" s="144" t="s">
        <v>48</v>
      </c>
      <c r="AA574" s="172" t="s">
        <v>51</v>
      </c>
      <c r="AB574" s="173"/>
      <c r="AC574" s="174"/>
    </row>
    <row r="575" spans="1:29" x14ac:dyDescent="0.25">
      <c r="A575" s="324">
        <v>45928</v>
      </c>
      <c r="B575" s="144">
        <v>7</v>
      </c>
      <c r="C575" s="145"/>
      <c r="D575" s="144" t="s">
        <v>208</v>
      </c>
      <c r="E575" s="146">
        <v>3.58</v>
      </c>
      <c r="F575" s="146"/>
      <c r="G575" s="147">
        <v>2</v>
      </c>
      <c r="H575" s="147">
        <v>1</v>
      </c>
      <c r="I575" s="147"/>
      <c r="J575" s="148">
        <v>0.77</v>
      </c>
      <c r="K575" s="145"/>
      <c r="L575" s="144" t="s">
        <v>456</v>
      </c>
      <c r="M575" s="149"/>
      <c r="N575" s="150">
        <v>66</v>
      </c>
      <c r="O575" s="61" t="s">
        <v>208</v>
      </c>
      <c r="P575" s="61" t="s">
        <v>74</v>
      </c>
      <c r="Q575" s="61" t="s">
        <v>211</v>
      </c>
      <c r="R575" s="61" t="s">
        <v>696</v>
      </c>
      <c r="S575" s="218">
        <v>62</v>
      </c>
      <c r="T575" s="61" t="s">
        <v>47</v>
      </c>
      <c r="U575" s="61" t="s">
        <v>45</v>
      </c>
      <c r="V575" s="63" t="s">
        <v>10</v>
      </c>
      <c r="W575" s="171">
        <v>0.42</v>
      </c>
      <c r="X575" s="146">
        <v>0.28000000000000003</v>
      </c>
      <c r="Y575" s="146" t="s">
        <v>353</v>
      </c>
      <c r="Z575" s="144" t="s">
        <v>48</v>
      </c>
      <c r="AA575" s="172" t="s">
        <v>51</v>
      </c>
      <c r="AB575" s="173"/>
      <c r="AC575" s="174"/>
    </row>
    <row r="576" spans="1:29" x14ac:dyDescent="0.25">
      <c r="A576" s="324">
        <v>45928</v>
      </c>
      <c r="B576" s="144">
        <v>7</v>
      </c>
      <c r="C576" s="145"/>
      <c r="D576" s="144" t="s">
        <v>208</v>
      </c>
      <c r="E576" s="146">
        <v>3.58</v>
      </c>
      <c r="F576" s="146"/>
      <c r="G576" s="147">
        <v>2</v>
      </c>
      <c r="H576" s="147">
        <v>1</v>
      </c>
      <c r="I576" s="147"/>
      <c r="J576" s="148">
        <v>0.77</v>
      </c>
      <c r="K576" s="145"/>
      <c r="L576" s="144" t="s">
        <v>456</v>
      </c>
      <c r="M576" s="149"/>
      <c r="N576" s="150">
        <v>68</v>
      </c>
      <c r="O576" s="61" t="s">
        <v>208</v>
      </c>
      <c r="P576" s="61" t="s">
        <v>74</v>
      </c>
      <c r="Q576" s="61" t="s">
        <v>211</v>
      </c>
      <c r="R576" s="61" t="s">
        <v>696</v>
      </c>
      <c r="S576" s="218">
        <v>62</v>
      </c>
      <c r="T576" s="61" t="s">
        <v>41</v>
      </c>
      <c r="U576" s="61" t="s">
        <v>42</v>
      </c>
      <c r="V576" s="63" t="s">
        <v>10</v>
      </c>
      <c r="W576" s="171">
        <v>0.3</v>
      </c>
      <c r="X576" s="146" t="s">
        <v>53</v>
      </c>
      <c r="Y576" s="146" t="s">
        <v>353</v>
      </c>
      <c r="Z576" s="144" t="s">
        <v>52</v>
      </c>
      <c r="AA576" s="172" t="s">
        <v>51</v>
      </c>
      <c r="AB576" s="173"/>
      <c r="AC576" s="174"/>
    </row>
    <row r="577" spans="1:29" ht="15.75" thickBot="1" x14ac:dyDescent="0.3">
      <c r="A577" s="325">
        <v>45928</v>
      </c>
      <c r="B577" s="152">
        <v>7</v>
      </c>
      <c r="C577" s="153"/>
      <c r="D577" s="152" t="s">
        <v>208</v>
      </c>
      <c r="E577" s="154">
        <v>3.58</v>
      </c>
      <c r="F577" s="154"/>
      <c r="G577" s="155">
        <v>2</v>
      </c>
      <c r="H577" s="155">
        <v>1</v>
      </c>
      <c r="I577" s="155"/>
      <c r="J577" s="156">
        <v>0.77</v>
      </c>
      <c r="K577" s="153"/>
      <c r="L577" s="152" t="s">
        <v>456</v>
      </c>
      <c r="M577" s="157"/>
      <c r="N577" s="158">
        <v>68</v>
      </c>
      <c r="O577" s="66" t="s">
        <v>208</v>
      </c>
      <c r="P577" s="66" t="s">
        <v>527</v>
      </c>
      <c r="Q577" s="66" t="s">
        <v>528</v>
      </c>
      <c r="R577" s="66" t="s">
        <v>695</v>
      </c>
      <c r="S577" s="219">
        <v>77</v>
      </c>
      <c r="T577" s="66" t="s">
        <v>41</v>
      </c>
      <c r="U577" s="66" t="s">
        <v>42</v>
      </c>
      <c r="V577" s="67" t="s">
        <v>540</v>
      </c>
      <c r="W577" s="175">
        <v>0.21</v>
      </c>
      <c r="X577" s="154">
        <v>0.73</v>
      </c>
      <c r="Y577" s="154" t="s">
        <v>353</v>
      </c>
      <c r="Z577" s="152" t="s">
        <v>8</v>
      </c>
      <c r="AA577" s="176" t="s">
        <v>34</v>
      </c>
      <c r="AB577" s="177"/>
      <c r="AC577" s="178"/>
    </row>
    <row r="578" spans="1:29" ht="15.75" thickBot="1" x14ac:dyDescent="0.3">
      <c r="A578" s="326">
        <v>45928</v>
      </c>
      <c r="B578" s="207">
        <v>7</v>
      </c>
      <c r="C578" s="208"/>
      <c r="D578" s="207" t="s">
        <v>208</v>
      </c>
      <c r="E578" s="209">
        <v>3.58</v>
      </c>
      <c r="F578" s="209"/>
      <c r="G578" s="210">
        <v>2</v>
      </c>
      <c r="H578" s="210">
        <v>1</v>
      </c>
      <c r="I578" s="210"/>
      <c r="J578" s="211">
        <v>0.77</v>
      </c>
      <c r="K578" s="208"/>
      <c r="L578" s="207" t="s">
        <v>456</v>
      </c>
      <c r="M578" s="235"/>
      <c r="N578" s="198"/>
      <c r="O578" s="199" t="s">
        <v>208</v>
      </c>
      <c r="P578" s="199" t="s">
        <v>433</v>
      </c>
      <c r="Q578" s="199" t="s">
        <v>725</v>
      </c>
      <c r="R578" s="199" t="s">
        <v>707</v>
      </c>
      <c r="S578" s="200">
        <v>63</v>
      </c>
      <c r="T578" s="199"/>
      <c r="U578" s="199"/>
      <c r="V578" s="201"/>
      <c r="W578" s="202"/>
      <c r="X578" s="203"/>
      <c r="Y578" s="203">
        <v>1</v>
      </c>
      <c r="Z578" s="199"/>
      <c r="AA578" s="204"/>
      <c r="AB578" s="205"/>
      <c r="AC578" s="201"/>
    </row>
    <row r="579" spans="1:29" ht="15.75" thickBot="1" x14ac:dyDescent="0.3">
      <c r="A579" s="326">
        <v>45928</v>
      </c>
      <c r="B579" s="207">
        <v>7</v>
      </c>
      <c r="C579" s="208"/>
      <c r="D579" s="207" t="s">
        <v>208</v>
      </c>
      <c r="E579" s="209">
        <v>3.58</v>
      </c>
      <c r="F579" s="209"/>
      <c r="G579" s="210">
        <v>2</v>
      </c>
      <c r="H579" s="210">
        <v>1</v>
      </c>
      <c r="I579" s="210"/>
      <c r="J579" s="211">
        <v>0.77</v>
      </c>
      <c r="K579" s="208"/>
      <c r="L579" s="207" t="s">
        <v>456</v>
      </c>
      <c r="M579" s="235"/>
      <c r="N579" s="198"/>
      <c r="O579" s="199" t="s">
        <v>456</v>
      </c>
      <c r="P579" s="199" t="s">
        <v>719</v>
      </c>
      <c r="Q579" s="199" t="s">
        <v>720</v>
      </c>
      <c r="R579" s="199" t="s">
        <v>707</v>
      </c>
      <c r="S579" s="200">
        <v>75</v>
      </c>
      <c r="T579" s="199"/>
      <c r="U579" s="199"/>
      <c r="V579" s="201"/>
      <c r="W579" s="202"/>
      <c r="X579" s="203"/>
      <c r="Y579" s="203">
        <v>2</v>
      </c>
      <c r="Z579" s="199"/>
      <c r="AA579" s="204"/>
      <c r="AB579" s="205"/>
      <c r="AC579" s="201"/>
    </row>
    <row r="580" spans="1:29" x14ac:dyDescent="0.25">
      <c r="A580" s="328">
        <v>45900</v>
      </c>
      <c r="B580" s="17">
        <v>3</v>
      </c>
      <c r="C580" s="123" t="s">
        <v>693</v>
      </c>
      <c r="D580" s="17" t="s">
        <v>209</v>
      </c>
      <c r="E580" s="18">
        <v>0.62</v>
      </c>
      <c r="F580" s="18"/>
      <c r="G580" s="19">
        <v>1</v>
      </c>
      <c r="H580" s="19">
        <v>2</v>
      </c>
      <c r="I580" s="19"/>
      <c r="J580" s="20">
        <v>1.1100000000000001</v>
      </c>
      <c r="K580" s="123" t="s">
        <v>693</v>
      </c>
      <c r="L580" s="17" t="s">
        <v>170</v>
      </c>
      <c r="M580" s="46"/>
      <c r="N580" s="96">
        <v>11</v>
      </c>
      <c r="O580" s="77" t="s">
        <v>170</v>
      </c>
      <c r="P580" s="77" t="s">
        <v>335</v>
      </c>
      <c r="Q580" s="77" t="s">
        <v>336</v>
      </c>
      <c r="R580" s="77" t="s">
        <v>688</v>
      </c>
      <c r="S580" s="220">
        <v>66</v>
      </c>
      <c r="T580" s="77" t="s">
        <v>44</v>
      </c>
      <c r="U580" s="77" t="s">
        <v>43</v>
      </c>
      <c r="V580" s="78" t="s">
        <v>10</v>
      </c>
      <c r="W580" s="53">
        <v>0.02</v>
      </c>
      <c r="X580" s="18" t="s">
        <v>53</v>
      </c>
      <c r="Y580" s="18"/>
      <c r="Z580" s="17" t="s">
        <v>22</v>
      </c>
      <c r="AA580" s="114" t="s">
        <v>28</v>
      </c>
      <c r="AB580" s="110"/>
      <c r="AC580" s="60"/>
    </row>
    <row r="581" spans="1:29" x14ac:dyDescent="0.25">
      <c r="A581" s="329">
        <v>45900</v>
      </c>
      <c r="B581" s="5">
        <v>3</v>
      </c>
      <c r="D581" s="5" t="s">
        <v>209</v>
      </c>
      <c r="E581" s="6">
        <v>0.62</v>
      </c>
      <c r="G581" s="7">
        <v>1</v>
      </c>
      <c r="H581" s="7">
        <v>2</v>
      </c>
      <c r="J581" s="8">
        <v>1.1100000000000001</v>
      </c>
      <c r="L581" s="5" t="s">
        <v>170</v>
      </c>
      <c r="N581" s="56">
        <v>17</v>
      </c>
      <c r="O581" s="26" t="s">
        <v>170</v>
      </c>
      <c r="P581" s="26" t="s">
        <v>295</v>
      </c>
      <c r="Q581" s="26" t="s">
        <v>175</v>
      </c>
      <c r="R581" s="26" t="s">
        <v>686</v>
      </c>
      <c r="S581" s="213">
        <v>67</v>
      </c>
      <c r="T581" s="26" t="s">
        <v>41</v>
      </c>
      <c r="U581" s="26" t="s">
        <v>42</v>
      </c>
      <c r="V581" s="43" t="s">
        <v>10</v>
      </c>
      <c r="W581" s="51">
        <v>0.06</v>
      </c>
      <c r="X581" s="6">
        <v>0.11</v>
      </c>
      <c r="Z581" s="5" t="s">
        <v>48</v>
      </c>
      <c r="AA581" s="112" t="s">
        <v>28</v>
      </c>
    </row>
    <row r="582" spans="1:29" x14ac:dyDescent="0.25">
      <c r="A582" s="329">
        <v>45900</v>
      </c>
      <c r="B582" s="5">
        <v>3</v>
      </c>
      <c r="D582" s="5" t="s">
        <v>209</v>
      </c>
      <c r="E582" s="6">
        <v>0.62</v>
      </c>
      <c r="G582" s="7">
        <v>1</v>
      </c>
      <c r="H582" s="7">
        <v>2</v>
      </c>
      <c r="J582" s="8">
        <v>1.1100000000000001</v>
      </c>
      <c r="L582" s="5" t="s">
        <v>170</v>
      </c>
      <c r="N582" s="56">
        <v>19</v>
      </c>
      <c r="O582" s="26" t="s">
        <v>170</v>
      </c>
      <c r="P582" s="26" t="s">
        <v>295</v>
      </c>
      <c r="Q582" s="26" t="s">
        <v>175</v>
      </c>
      <c r="R582" s="26" t="s">
        <v>686</v>
      </c>
      <c r="S582" s="213">
        <v>67</v>
      </c>
      <c r="T582" s="26" t="s">
        <v>41</v>
      </c>
      <c r="U582" s="26" t="s">
        <v>42</v>
      </c>
      <c r="V582" s="43" t="s">
        <v>10</v>
      </c>
      <c r="W582" s="51">
        <v>0.34</v>
      </c>
      <c r="X582" s="6">
        <v>0.3</v>
      </c>
      <c r="Y582" s="6" t="s">
        <v>353</v>
      </c>
      <c r="Z582" s="5" t="s">
        <v>48</v>
      </c>
      <c r="AA582" s="112" t="s">
        <v>28</v>
      </c>
    </row>
    <row r="583" spans="1:29" x14ac:dyDescent="0.25">
      <c r="A583" s="329">
        <v>45900</v>
      </c>
      <c r="B583" s="5">
        <v>3</v>
      </c>
      <c r="D583" s="5" t="s">
        <v>209</v>
      </c>
      <c r="E583" s="6">
        <v>0.62</v>
      </c>
      <c r="G583" s="7">
        <v>1</v>
      </c>
      <c r="H583" s="7">
        <v>2</v>
      </c>
      <c r="J583" s="8">
        <v>1.1100000000000001</v>
      </c>
      <c r="L583" s="5" t="s">
        <v>170</v>
      </c>
      <c r="N583" s="56">
        <v>21</v>
      </c>
      <c r="O583" s="61" t="s">
        <v>209</v>
      </c>
      <c r="P583" s="61" t="s">
        <v>241</v>
      </c>
      <c r="Q583" s="61" t="s">
        <v>75</v>
      </c>
      <c r="R583" s="61" t="s">
        <v>686</v>
      </c>
      <c r="S583" s="218">
        <v>63</v>
      </c>
      <c r="T583" s="61" t="s">
        <v>41</v>
      </c>
      <c r="U583" s="61" t="s">
        <v>43</v>
      </c>
      <c r="V583" s="63" t="s">
        <v>10</v>
      </c>
      <c r="W583" s="51">
        <v>0.08</v>
      </c>
      <c r="X583" s="6" t="s">
        <v>53</v>
      </c>
      <c r="Z583" s="5" t="s">
        <v>55</v>
      </c>
      <c r="AA583" s="112" t="s">
        <v>28</v>
      </c>
    </row>
    <row r="584" spans="1:29" x14ac:dyDescent="0.25">
      <c r="A584" s="329">
        <v>45900</v>
      </c>
      <c r="B584" s="5">
        <v>3</v>
      </c>
      <c r="D584" s="5" t="s">
        <v>209</v>
      </c>
      <c r="E584" s="6">
        <v>0.62</v>
      </c>
      <c r="G584" s="7">
        <v>1</v>
      </c>
      <c r="H584" s="7">
        <v>2</v>
      </c>
      <c r="J584" s="8">
        <v>1.1100000000000001</v>
      </c>
      <c r="L584" s="5" t="s">
        <v>170</v>
      </c>
      <c r="N584" s="56">
        <v>49</v>
      </c>
      <c r="O584" s="61" t="s">
        <v>209</v>
      </c>
      <c r="P584" s="61" t="s">
        <v>220</v>
      </c>
      <c r="Q584" s="61" t="s">
        <v>221</v>
      </c>
      <c r="R584" s="61" t="s">
        <v>684</v>
      </c>
      <c r="S584" s="218">
        <v>68</v>
      </c>
      <c r="T584" s="61" t="s">
        <v>41</v>
      </c>
      <c r="U584" s="61" t="s">
        <v>43</v>
      </c>
      <c r="V584" s="63" t="s">
        <v>10</v>
      </c>
      <c r="W584" s="51">
        <v>0.05</v>
      </c>
      <c r="X584" s="6" t="s">
        <v>53</v>
      </c>
      <c r="Z584" s="5" t="s">
        <v>16</v>
      </c>
      <c r="AA584" s="112" t="s">
        <v>28</v>
      </c>
    </row>
    <row r="585" spans="1:29" x14ac:dyDescent="0.25">
      <c r="A585" s="329">
        <v>45900</v>
      </c>
      <c r="B585" s="5">
        <v>3</v>
      </c>
      <c r="D585" s="5" t="s">
        <v>209</v>
      </c>
      <c r="E585" s="6">
        <v>0.62</v>
      </c>
      <c r="G585" s="7">
        <v>1</v>
      </c>
      <c r="H585" s="7">
        <v>2</v>
      </c>
      <c r="J585" s="8">
        <v>1.1100000000000001</v>
      </c>
      <c r="L585" s="5" t="s">
        <v>170</v>
      </c>
      <c r="N585" s="56">
        <v>56</v>
      </c>
      <c r="O585" s="61" t="s">
        <v>209</v>
      </c>
      <c r="P585" s="61" t="s">
        <v>218</v>
      </c>
      <c r="Q585" s="61" t="s">
        <v>219</v>
      </c>
      <c r="R585" s="61" t="s">
        <v>685</v>
      </c>
      <c r="S585" s="218">
        <v>69</v>
      </c>
      <c r="T585" s="61" t="s">
        <v>41</v>
      </c>
      <c r="U585" s="61" t="s">
        <v>42</v>
      </c>
      <c r="V585" s="63" t="s">
        <v>10</v>
      </c>
      <c r="W585" s="51">
        <v>0.12</v>
      </c>
      <c r="X585" s="6">
        <v>0.19</v>
      </c>
      <c r="Z585" s="5" t="s">
        <v>48</v>
      </c>
      <c r="AA585" s="112" t="s">
        <v>28</v>
      </c>
    </row>
    <row r="586" spans="1:29" x14ac:dyDescent="0.25">
      <c r="A586" s="329">
        <v>45900</v>
      </c>
      <c r="B586" s="5">
        <v>3</v>
      </c>
      <c r="D586" s="5" t="s">
        <v>209</v>
      </c>
      <c r="E586" s="6">
        <v>0.62</v>
      </c>
      <c r="G586" s="7">
        <v>1</v>
      </c>
      <c r="H586" s="7">
        <v>2</v>
      </c>
      <c r="J586" s="8">
        <v>1.1100000000000001</v>
      </c>
      <c r="L586" s="5" t="s">
        <v>170</v>
      </c>
      <c r="N586" s="56">
        <v>60</v>
      </c>
      <c r="O586" s="130" t="s">
        <v>209</v>
      </c>
      <c r="P586" s="130" t="s">
        <v>337</v>
      </c>
      <c r="Q586" s="130" t="s">
        <v>338</v>
      </c>
      <c r="R586" s="130"/>
      <c r="S586" s="226">
        <v>64</v>
      </c>
      <c r="T586" s="130" t="s">
        <v>47</v>
      </c>
      <c r="U586" s="130" t="s">
        <v>42</v>
      </c>
      <c r="V586" s="131" t="s">
        <v>20</v>
      </c>
      <c r="W586" s="132" t="s">
        <v>53</v>
      </c>
      <c r="X586" s="133" t="s">
        <v>53</v>
      </c>
      <c r="Y586" s="133"/>
      <c r="Z586" s="130" t="s">
        <v>23</v>
      </c>
      <c r="AA586" s="134" t="s">
        <v>9</v>
      </c>
    </row>
    <row r="587" spans="1:29" x14ac:dyDescent="0.25">
      <c r="A587" s="329">
        <v>45900</v>
      </c>
      <c r="B587" s="5">
        <v>3</v>
      </c>
      <c r="D587" s="5" t="s">
        <v>209</v>
      </c>
      <c r="E587" s="6">
        <v>0.62</v>
      </c>
      <c r="G587" s="7">
        <v>1</v>
      </c>
      <c r="H587" s="7">
        <v>2</v>
      </c>
      <c r="J587" s="8">
        <v>1.1100000000000001</v>
      </c>
      <c r="L587" s="5" t="s">
        <v>170</v>
      </c>
      <c r="N587" s="56">
        <v>85</v>
      </c>
      <c r="O587" s="26" t="s">
        <v>170</v>
      </c>
      <c r="P587" s="26" t="s">
        <v>214</v>
      </c>
      <c r="Q587" s="26" t="s">
        <v>339</v>
      </c>
      <c r="R587" s="26" t="s">
        <v>712</v>
      </c>
      <c r="S587" s="213">
        <v>80</v>
      </c>
      <c r="T587" s="26" t="s">
        <v>47</v>
      </c>
      <c r="U587" s="26" t="s">
        <v>45</v>
      </c>
      <c r="V587" s="43" t="s">
        <v>20</v>
      </c>
      <c r="W587" s="51">
        <v>0.35</v>
      </c>
      <c r="X587" s="6">
        <v>0.32</v>
      </c>
      <c r="Y587" s="6" t="s">
        <v>353</v>
      </c>
      <c r="Z587" s="5" t="s">
        <v>8</v>
      </c>
      <c r="AA587" s="112" t="s">
        <v>11</v>
      </c>
    </row>
    <row r="588" spans="1:29" ht="15.75" thickBot="1" x14ac:dyDescent="0.3">
      <c r="A588" s="330">
        <v>45900</v>
      </c>
      <c r="B588" s="9">
        <v>3</v>
      </c>
      <c r="C588" s="122"/>
      <c r="D588" s="9" t="s">
        <v>209</v>
      </c>
      <c r="E588" s="10">
        <v>0.62</v>
      </c>
      <c r="F588" s="10"/>
      <c r="G588" s="11">
        <v>1</v>
      </c>
      <c r="H588" s="11">
        <v>2</v>
      </c>
      <c r="I588" s="11"/>
      <c r="J588" s="12">
        <v>1.1100000000000001</v>
      </c>
      <c r="K588" s="122"/>
      <c r="L588" s="9" t="s">
        <v>170</v>
      </c>
      <c r="M588" s="45"/>
      <c r="N588" s="97" t="s">
        <v>312</v>
      </c>
      <c r="O588" s="66" t="s">
        <v>209</v>
      </c>
      <c r="P588" s="66" t="s">
        <v>340</v>
      </c>
      <c r="Q588" s="66" t="s">
        <v>341</v>
      </c>
      <c r="R588" s="66" t="s">
        <v>696</v>
      </c>
      <c r="S588" s="219">
        <v>75</v>
      </c>
      <c r="T588" s="66" t="s">
        <v>41</v>
      </c>
      <c r="U588" s="66" t="s">
        <v>45</v>
      </c>
      <c r="V588" s="67" t="s">
        <v>10</v>
      </c>
      <c r="W588" s="52">
        <v>0.2</v>
      </c>
      <c r="X588" s="10">
        <v>0.83</v>
      </c>
      <c r="Y588" s="10" t="s">
        <v>353</v>
      </c>
      <c r="Z588" s="9" t="s">
        <v>8</v>
      </c>
      <c r="AA588" s="113" t="s">
        <v>67</v>
      </c>
      <c r="AB588" s="109" t="s">
        <v>54</v>
      </c>
      <c r="AC588" s="58" t="s">
        <v>240</v>
      </c>
    </row>
    <row r="589" spans="1:29" ht="15.75" thickBot="1" x14ac:dyDescent="0.3">
      <c r="A589" s="326">
        <v>45900</v>
      </c>
      <c r="B589" s="207">
        <v>3</v>
      </c>
      <c r="C589" s="208"/>
      <c r="D589" s="207" t="s">
        <v>209</v>
      </c>
      <c r="E589" s="209">
        <v>0.62</v>
      </c>
      <c r="F589" s="209"/>
      <c r="G589" s="210">
        <v>1</v>
      </c>
      <c r="H589" s="210">
        <v>2</v>
      </c>
      <c r="I589" s="210"/>
      <c r="J589" s="211">
        <v>1.1100000000000001</v>
      </c>
      <c r="K589" s="208"/>
      <c r="L589" s="207" t="s">
        <v>170</v>
      </c>
      <c r="M589" s="235"/>
      <c r="N589" s="198"/>
      <c r="O589" s="199" t="s">
        <v>209</v>
      </c>
      <c r="P589" s="199" t="s">
        <v>74</v>
      </c>
      <c r="Q589" s="199" t="s">
        <v>730</v>
      </c>
      <c r="R589" s="199" t="s">
        <v>707</v>
      </c>
      <c r="S589" s="200">
        <v>70</v>
      </c>
      <c r="T589" s="199"/>
      <c r="U589" s="199"/>
      <c r="V589" s="201"/>
      <c r="W589" s="202"/>
      <c r="X589" s="203"/>
      <c r="Y589" s="203">
        <v>2</v>
      </c>
      <c r="Z589" s="199"/>
      <c r="AA589" s="204"/>
      <c r="AB589" s="205"/>
      <c r="AC589" s="201"/>
    </row>
    <row r="590" spans="1:29" ht="15.75" thickBot="1" x14ac:dyDescent="0.3">
      <c r="A590" s="326">
        <v>45900</v>
      </c>
      <c r="B590" s="207">
        <v>3</v>
      </c>
      <c r="C590" s="208"/>
      <c r="D590" s="207" t="s">
        <v>209</v>
      </c>
      <c r="E590" s="209">
        <v>0.62</v>
      </c>
      <c r="F590" s="209"/>
      <c r="G590" s="210">
        <v>1</v>
      </c>
      <c r="H590" s="210">
        <v>2</v>
      </c>
      <c r="I590" s="210"/>
      <c r="J590" s="211">
        <v>1.1100000000000001</v>
      </c>
      <c r="K590" s="208"/>
      <c r="L590" s="207" t="s">
        <v>170</v>
      </c>
      <c r="M590" s="235"/>
      <c r="N590" s="198"/>
      <c r="O590" s="199" t="s">
        <v>170</v>
      </c>
      <c r="P590" s="199" t="s">
        <v>269</v>
      </c>
      <c r="Q590" s="199" t="s">
        <v>722</v>
      </c>
      <c r="R590" s="199" t="s">
        <v>707</v>
      </c>
      <c r="S590" s="200">
        <v>65</v>
      </c>
      <c r="T590" s="199"/>
      <c r="U590" s="199"/>
      <c r="V590" s="201"/>
      <c r="W590" s="202"/>
      <c r="X590" s="203"/>
      <c r="Y590" s="203">
        <v>1</v>
      </c>
      <c r="Z590" s="199"/>
      <c r="AA590" s="204"/>
      <c r="AB590" s="205"/>
      <c r="AC590" s="201"/>
    </row>
    <row r="591" spans="1:29" x14ac:dyDescent="0.25">
      <c r="A591" s="331">
        <v>45920</v>
      </c>
      <c r="B591" s="13">
        <v>5</v>
      </c>
      <c r="C591" s="124" t="s">
        <v>694</v>
      </c>
      <c r="D591" s="13" t="s">
        <v>145</v>
      </c>
      <c r="E591" s="14">
        <v>1.88</v>
      </c>
      <c r="F591" s="14"/>
      <c r="G591" s="15">
        <v>2</v>
      </c>
      <c r="H591" s="15">
        <v>0</v>
      </c>
      <c r="I591" s="15"/>
      <c r="J591" s="16">
        <v>0.49</v>
      </c>
      <c r="K591" s="124" t="s">
        <v>693</v>
      </c>
      <c r="L591" s="13" t="s">
        <v>170</v>
      </c>
      <c r="M591" s="44" t="s">
        <v>455</v>
      </c>
      <c r="N591" s="98">
        <v>26</v>
      </c>
      <c r="O591" s="79" t="s">
        <v>170</v>
      </c>
      <c r="P591" s="79" t="s">
        <v>296</v>
      </c>
      <c r="Q591" s="79" t="s">
        <v>297</v>
      </c>
      <c r="R591" s="79" t="s">
        <v>699</v>
      </c>
      <c r="S591" s="224">
        <v>61</v>
      </c>
      <c r="T591" s="79" t="s">
        <v>354</v>
      </c>
      <c r="U591" s="79" t="s">
        <v>42</v>
      </c>
      <c r="V591" s="80" t="s">
        <v>10</v>
      </c>
      <c r="W591" s="54">
        <v>7.0000000000000007E-2</v>
      </c>
      <c r="X591" s="14">
        <v>0.32</v>
      </c>
      <c r="Y591" s="14"/>
      <c r="Z591" s="13" t="s">
        <v>48</v>
      </c>
      <c r="AA591" s="115" t="s">
        <v>28</v>
      </c>
      <c r="AB591" s="110"/>
      <c r="AC591" s="60"/>
    </row>
    <row r="592" spans="1:29" x14ac:dyDescent="0.25">
      <c r="A592" s="329">
        <v>45920</v>
      </c>
      <c r="B592" s="5">
        <v>5</v>
      </c>
      <c r="D592" s="5" t="s">
        <v>145</v>
      </c>
      <c r="E592" s="6">
        <v>1.88</v>
      </c>
      <c r="G592" s="7">
        <v>2</v>
      </c>
      <c r="H592" s="7">
        <v>0</v>
      </c>
      <c r="J592" s="8">
        <v>0.49</v>
      </c>
      <c r="L592" s="5" t="s">
        <v>170</v>
      </c>
      <c r="M592" s="44" t="s">
        <v>455</v>
      </c>
      <c r="N592" s="56">
        <v>30</v>
      </c>
      <c r="O592" s="26" t="s">
        <v>170</v>
      </c>
      <c r="P592" s="26" t="s">
        <v>295</v>
      </c>
      <c r="Q592" s="26" t="s">
        <v>175</v>
      </c>
      <c r="R592" s="26" t="s">
        <v>684</v>
      </c>
      <c r="S592" s="213">
        <v>63</v>
      </c>
      <c r="T592" s="26" t="s">
        <v>41</v>
      </c>
      <c r="U592" s="26" t="s">
        <v>43</v>
      </c>
      <c r="V592" s="43" t="s">
        <v>18</v>
      </c>
      <c r="W592" s="51">
        <v>0.08</v>
      </c>
      <c r="X592" s="6">
        <v>0.17</v>
      </c>
      <c r="Z592" s="5" t="s">
        <v>48</v>
      </c>
      <c r="AA592" s="112" t="s">
        <v>28</v>
      </c>
    </row>
    <row r="593" spans="1:29" x14ac:dyDescent="0.25">
      <c r="A593" s="329">
        <v>45920</v>
      </c>
      <c r="B593" s="5">
        <v>5</v>
      </c>
      <c r="D593" s="5" t="s">
        <v>145</v>
      </c>
      <c r="E593" s="6">
        <v>1.88</v>
      </c>
      <c r="G593" s="7">
        <v>2</v>
      </c>
      <c r="H593" s="7">
        <v>0</v>
      </c>
      <c r="J593" s="8">
        <v>0.49</v>
      </c>
      <c r="L593" s="5" t="s">
        <v>170</v>
      </c>
      <c r="M593" s="44" t="s">
        <v>455</v>
      </c>
      <c r="N593" s="56">
        <v>52</v>
      </c>
      <c r="O593" s="61" t="s">
        <v>145</v>
      </c>
      <c r="P593" s="61" t="s">
        <v>315</v>
      </c>
      <c r="Q593" s="61" t="s">
        <v>409</v>
      </c>
      <c r="R593" s="61" t="s">
        <v>686</v>
      </c>
      <c r="S593" s="218">
        <v>66</v>
      </c>
      <c r="T593" s="61" t="s">
        <v>41</v>
      </c>
      <c r="U593" s="61" t="s">
        <v>43</v>
      </c>
      <c r="V593" s="63" t="s">
        <v>10</v>
      </c>
      <c r="W593" s="51">
        <v>0.14000000000000001</v>
      </c>
      <c r="X593" s="6" t="s">
        <v>53</v>
      </c>
      <c r="Z593" s="5" t="s">
        <v>13</v>
      </c>
      <c r="AA593" s="112" t="s">
        <v>28</v>
      </c>
    </row>
    <row r="594" spans="1:29" x14ac:dyDescent="0.25">
      <c r="A594" s="329">
        <v>45920</v>
      </c>
      <c r="B594" s="5">
        <v>5</v>
      </c>
      <c r="D594" s="5" t="s">
        <v>145</v>
      </c>
      <c r="E594" s="6">
        <v>1.88</v>
      </c>
      <c r="G594" s="7">
        <v>2</v>
      </c>
      <c r="H594" s="7">
        <v>0</v>
      </c>
      <c r="J594" s="8">
        <v>0.49</v>
      </c>
      <c r="L594" s="5" t="s">
        <v>170</v>
      </c>
      <c r="M594" s="44" t="s">
        <v>455</v>
      </c>
      <c r="N594" s="56">
        <v>62</v>
      </c>
      <c r="O594" s="61" t="s">
        <v>145</v>
      </c>
      <c r="P594" s="61" t="s">
        <v>310</v>
      </c>
      <c r="Q594" s="61" t="s">
        <v>311</v>
      </c>
      <c r="R594" s="61" t="s">
        <v>712</v>
      </c>
      <c r="S594" s="218">
        <v>77</v>
      </c>
      <c r="T594" s="61" t="s">
        <v>41</v>
      </c>
      <c r="U594" s="61" t="s">
        <v>45</v>
      </c>
      <c r="V594" s="63" t="s">
        <v>33</v>
      </c>
      <c r="W594" s="51">
        <v>0.08</v>
      </c>
      <c r="X594" s="6">
        <v>0.13</v>
      </c>
      <c r="Z594" s="5" t="s">
        <v>48</v>
      </c>
      <c r="AA594" s="112" t="s">
        <v>28</v>
      </c>
    </row>
    <row r="595" spans="1:29" x14ac:dyDescent="0.25">
      <c r="A595" s="329">
        <v>45920</v>
      </c>
      <c r="B595" s="5">
        <v>5</v>
      </c>
      <c r="D595" s="5" t="s">
        <v>145</v>
      </c>
      <c r="E595" s="6">
        <v>1.88</v>
      </c>
      <c r="G595" s="7">
        <v>2</v>
      </c>
      <c r="H595" s="7">
        <v>0</v>
      </c>
      <c r="J595" s="8">
        <v>0.49</v>
      </c>
      <c r="L595" s="5" t="s">
        <v>170</v>
      </c>
      <c r="M595" s="44" t="s">
        <v>455</v>
      </c>
      <c r="N595" s="56">
        <v>73</v>
      </c>
      <c r="O595" s="61" t="s">
        <v>145</v>
      </c>
      <c r="P595" s="61" t="s">
        <v>308</v>
      </c>
      <c r="Q595" s="61" t="s">
        <v>309</v>
      </c>
      <c r="R595" s="61" t="s">
        <v>695</v>
      </c>
      <c r="S595" s="218">
        <v>95</v>
      </c>
      <c r="T595" s="61" t="s">
        <v>47</v>
      </c>
      <c r="U595" s="61" t="s">
        <v>45</v>
      </c>
      <c r="V595" s="63" t="s">
        <v>20</v>
      </c>
      <c r="W595" s="51">
        <v>0.18</v>
      </c>
      <c r="X595" s="6">
        <v>0.82</v>
      </c>
      <c r="Y595" s="6" t="s">
        <v>353</v>
      </c>
      <c r="Z595" s="5" t="s">
        <v>8</v>
      </c>
      <c r="AA595" s="112" t="s">
        <v>19</v>
      </c>
      <c r="AB595" s="108" t="s">
        <v>278</v>
      </c>
      <c r="AC595" s="57" t="s">
        <v>452</v>
      </c>
    </row>
    <row r="596" spans="1:29" x14ac:dyDescent="0.25">
      <c r="A596" s="329">
        <v>45920</v>
      </c>
      <c r="B596" s="5">
        <v>5</v>
      </c>
      <c r="D596" s="5" t="s">
        <v>145</v>
      </c>
      <c r="E596" s="6">
        <v>1.88</v>
      </c>
      <c r="G596" s="7">
        <v>2</v>
      </c>
      <c r="H596" s="7">
        <v>0</v>
      </c>
      <c r="J596" s="8">
        <v>0.49</v>
      </c>
      <c r="L596" s="5" t="s">
        <v>170</v>
      </c>
      <c r="M596" s="44" t="s">
        <v>455</v>
      </c>
      <c r="N596" s="56">
        <v>90</v>
      </c>
      <c r="O596" s="61" t="s">
        <v>145</v>
      </c>
      <c r="P596" s="61" t="s">
        <v>251</v>
      </c>
      <c r="Q596" s="61" t="s">
        <v>452</v>
      </c>
      <c r="R596" s="61" t="s">
        <v>695</v>
      </c>
      <c r="S596" s="218">
        <v>79</v>
      </c>
      <c r="T596" s="61" t="s">
        <v>41</v>
      </c>
      <c r="U596" s="61" t="s">
        <v>42</v>
      </c>
      <c r="V596" s="63" t="s">
        <v>18</v>
      </c>
      <c r="W596" s="51">
        <v>0.17</v>
      </c>
      <c r="X596" s="6">
        <v>0.47</v>
      </c>
      <c r="Y596" s="6" t="s">
        <v>353</v>
      </c>
      <c r="Z596" s="5" t="s">
        <v>48</v>
      </c>
      <c r="AA596" s="112" t="s">
        <v>19</v>
      </c>
    </row>
    <row r="597" spans="1:29" x14ac:dyDescent="0.25">
      <c r="A597" s="329">
        <v>45920</v>
      </c>
      <c r="B597" s="5">
        <v>5</v>
      </c>
      <c r="D597" s="5" t="s">
        <v>145</v>
      </c>
      <c r="E597" s="6">
        <v>1.88</v>
      </c>
      <c r="G597" s="7">
        <v>2</v>
      </c>
      <c r="H597" s="7">
        <v>0</v>
      </c>
      <c r="J597" s="8">
        <v>0.49</v>
      </c>
      <c r="L597" s="5" t="s">
        <v>170</v>
      </c>
      <c r="M597" s="44" t="s">
        <v>455</v>
      </c>
      <c r="N597" s="56" t="s">
        <v>268</v>
      </c>
      <c r="O597" s="61" t="s">
        <v>145</v>
      </c>
      <c r="P597" s="61" t="s">
        <v>310</v>
      </c>
      <c r="Q597" s="61" t="s">
        <v>311</v>
      </c>
      <c r="R597" s="61" t="s">
        <v>712</v>
      </c>
      <c r="S597" s="218">
        <v>77</v>
      </c>
      <c r="T597" s="61" t="s">
        <v>41</v>
      </c>
      <c r="U597" s="61" t="s">
        <v>42</v>
      </c>
      <c r="V597" s="63" t="s">
        <v>20</v>
      </c>
      <c r="W597" s="51">
        <v>0.12</v>
      </c>
      <c r="X597" s="6" t="s">
        <v>53</v>
      </c>
      <c r="Z597" s="5" t="s">
        <v>13</v>
      </c>
      <c r="AA597" s="112" t="s">
        <v>19</v>
      </c>
    </row>
    <row r="598" spans="1:29" x14ac:dyDescent="0.25">
      <c r="A598" s="329">
        <v>45920</v>
      </c>
      <c r="B598" s="5">
        <v>5</v>
      </c>
      <c r="D598" s="5" t="s">
        <v>145</v>
      </c>
      <c r="E598" s="6">
        <v>1.88</v>
      </c>
      <c r="G598" s="7">
        <v>2</v>
      </c>
      <c r="H598" s="7">
        <v>0</v>
      </c>
      <c r="J598" s="8">
        <v>0.49</v>
      </c>
      <c r="L598" s="5" t="s">
        <v>170</v>
      </c>
      <c r="M598" s="44" t="s">
        <v>455</v>
      </c>
      <c r="N598" s="56" t="s">
        <v>31</v>
      </c>
      <c r="O598" s="61" t="s">
        <v>145</v>
      </c>
      <c r="P598" s="61" t="s">
        <v>147</v>
      </c>
      <c r="Q598" s="61" t="s">
        <v>148</v>
      </c>
      <c r="R598" s="61" t="s">
        <v>696</v>
      </c>
      <c r="S598" s="218">
        <v>73</v>
      </c>
      <c r="T598" s="61" t="s">
        <v>47</v>
      </c>
      <c r="U598" s="61" t="s">
        <v>43</v>
      </c>
      <c r="V598" s="63" t="s">
        <v>10</v>
      </c>
      <c r="W598" s="51">
        <v>0.79</v>
      </c>
      <c r="X598" s="6">
        <v>0.99</v>
      </c>
      <c r="Y598" s="6" t="s">
        <v>353</v>
      </c>
      <c r="Z598" s="5" t="s">
        <v>8</v>
      </c>
      <c r="AA598" s="112" t="s">
        <v>24</v>
      </c>
      <c r="AB598" s="108" t="s">
        <v>308</v>
      </c>
      <c r="AC598" s="57" t="s">
        <v>309</v>
      </c>
    </row>
    <row r="599" spans="1:29" ht="15.75" thickBot="1" x14ac:dyDescent="0.3">
      <c r="A599" s="330">
        <v>45920</v>
      </c>
      <c r="B599" s="9">
        <v>5</v>
      </c>
      <c r="C599" s="122"/>
      <c r="D599" s="9" t="s">
        <v>145</v>
      </c>
      <c r="E599" s="10">
        <v>1.88</v>
      </c>
      <c r="F599" s="10"/>
      <c r="G599" s="11">
        <v>2</v>
      </c>
      <c r="H599" s="11">
        <v>0</v>
      </c>
      <c r="I599" s="11"/>
      <c r="J599" s="12">
        <v>0.49</v>
      </c>
      <c r="K599" s="122"/>
      <c r="L599" s="9" t="s">
        <v>170</v>
      </c>
      <c r="M599" s="45" t="s">
        <v>455</v>
      </c>
      <c r="N599" s="97" t="s">
        <v>82</v>
      </c>
      <c r="O599" s="66" t="s">
        <v>145</v>
      </c>
      <c r="P599" s="66" t="s">
        <v>453</v>
      </c>
      <c r="Q599" s="66" t="s">
        <v>454</v>
      </c>
      <c r="R599" s="66" t="s">
        <v>696</v>
      </c>
      <c r="S599" s="219">
        <v>63</v>
      </c>
      <c r="T599" s="66" t="s">
        <v>41</v>
      </c>
      <c r="U599" s="66" t="s">
        <v>42</v>
      </c>
      <c r="V599" s="67" t="s">
        <v>10</v>
      </c>
      <c r="W599" s="52">
        <v>0.16</v>
      </c>
      <c r="X599" s="10" t="s">
        <v>53</v>
      </c>
      <c r="Y599" s="10" t="s">
        <v>353</v>
      </c>
      <c r="Z599" s="9" t="s">
        <v>13</v>
      </c>
      <c r="AA599" s="113" t="s">
        <v>24</v>
      </c>
      <c r="AB599" s="109"/>
      <c r="AC599" s="58"/>
    </row>
    <row r="600" spans="1:29" ht="15.75" thickBot="1" x14ac:dyDescent="0.3">
      <c r="A600" s="326">
        <v>45920</v>
      </c>
      <c r="B600" s="207">
        <v>5</v>
      </c>
      <c r="C600" s="208"/>
      <c r="D600" s="207" t="s">
        <v>145</v>
      </c>
      <c r="E600" s="209">
        <v>1.88</v>
      </c>
      <c r="F600" s="209"/>
      <c r="G600" s="210">
        <v>2</v>
      </c>
      <c r="H600" s="210">
        <v>0</v>
      </c>
      <c r="I600" s="210"/>
      <c r="J600" s="211">
        <v>0.49</v>
      </c>
      <c r="K600" s="208"/>
      <c r="L600" s="207" t="s">
        <v>170</v>
      </c>
      <c r="M600" s="235"/>
      <c r="N600" s="198"/>
      <c r="O600" s="199" t="s">
        <v>145</v>
      </c>
      <c r="P600" s="199" t="s">
        <v>482</v>
      </c>
      <c r="Q600" s="199" t="s">
        <v>483</v>
      </c>
      <c r="R600" s="199" t="s">
        <v>707</v>
      </c>
      <c r="S600" s="200">
        <v>74</v>
      </c>
      <c r="T600" s="199"/>
      <c r="U600" s="199"/>
      <c r="V600" s="201"/>
      <c r="W600" s="202"/>
      <c r="X600" s="203"/>
      <c r="Y600" s="203">
        <v>0</v>
      </c>
      <c r="Z600" s="199"/>
      <c r="AA600" s="204"/>
      <c r="AB600" s="205"/>
      <c r="AC600" s="201"/>
    </row>
    <row r="601" spans="1:29" ht="15.75" thickBot="1" x14ac:dyDescent="0.3">
      <c r="A601" s="326">
        <v>45920</v>
      </c>
      <c r="B601" s="207">
        <v>5</v>
      </c>
      <c r="C601" s="208"/>
      <c r="D601" s="207" t="s">
        <v>145</v>
      </c>
      <c r="E601" s="209">
        <v>1.88</v>
      </c>
      <c r="F601" s="209"/>
      <c r="G601" s="210">
        <v>2</v>
      </c>
      <c r="H601" s="210">
        <v>0</v>
      </c>
      <c r="I601" s="210"/>
      <c r="J601" s="211">
        <v>0.49</v>
      </c>
      <c r="K601" s="208"/>
      <c r="L601" s="207" t="s">
        <v>170</v>
      </c>
      <c r="M601" s="235"/>
      <c r="N601" s="198"/>
      <c r="O601" s="199" t="s">
        <v>170</v>
      </c>
      <c r="P601" s="199" t="s">
        <v>269</v>
      </c>
      <c r="Q601" s="199" t="s">
        <v>722</v>
      </c>
      <c r="R601" s="199" t="s">
        <v>707</v>
      </c>
      <c r="S601" s="200">
        <v>76</v>
      </c>
      <c r="T601" s="199"/>
      <c r="U601" s="199"/>
      <c r="V601" s="201"/>
      <c r="W601" s="202"/>
      <c r="X601" s="203"/>
      <c r="Y601" s="203">
        <v>2</v>
      </c>
      <c r="Z601" s="199"/>
      <c r="AA601" s="204"/>
      <c r="AB601" s="205"/>
      <c r="AC601" s="201"/>
    </row>
    <row r="602" spans="1:29" x14ac:dyDescent="0.25">
      <c r="A602" s="328">
        <v>45927</v>
      </c>
      <c r="B602" s="17">
        <v>7</v>
      </c>
      <c r="C602" s="123" t="s">
        <v>694</v>
      </c>
      <c r="D602" s="17" t="s">
        <v>91</v>
      </c>
      <c r="E602" s="18">
        <v>1.22</v>
      </c>
      <c r="F602" s="18"/>
      <c r="G602" s="19">
        <v>1</v>
      </c>
      <c r="H602" s="19">
        <v>0</v>
      </c>
      <c r="I602" s="19"/>
      <c r="J602" s="20">
        <v>1.44</v>
      </c>
      <c r="K602" s="123" t="s">
        <v>693</v>
      </c>
      <c r="L602" s="17" t="s">
        <v>170</v>
      </c>
      <c r="M602" s="46"/>
      <c r="N602" s="96">
        <v>3</v>
      </c>
      <c r="O602" s="64" t="s">
        <v>91</v>
      </c>
      <c r="P602" s="64" t="s">
        <v>493</v>
      </c>
      <c r="Q602" s="64" t="s">
        <v>494</v>
      </c>
      <c r="R602" s="64" t="s">
        <v>689</v>
      </c>
      <c r="S602" s="217">
        <v>77</v>
      </c>
      <c r="T602" s="64" t="s">
        <v>354</v>
      </c>
      <c r="U602" s="64" t="s">
        <v>42</v>
      </c>
      <c r="V602" s="65" t="s">
        <v>540</v>
      </c>
      <c r="W602" s="53">
        <v>0.01</v>
      </c>
      <c r="X602" s="18" t="s">
        <v>53</v>
      </c>
      <c r="Y602" s="18"/>
      <c r="Z602" s="17" t="s">
        <v>22</v>
      </c>
      <c r="AA602" s="114" t="s">
        <v>28</v>
      </c>
      <c r="AB602" s="110"/>
      <c r="AC602" s="60"/>
    </row>
    <row r="603" spans="1:29" x14ac:dyDescent="0.25">
      <c r="A603" s="329">
        <v>45927</v>
      </c>
      <c r="B603" s="5">
        <v>7</v>
      </c>
      <c r="D603" s="5" t="s">
        <v>91</v>
      </c>
      <c r="E603" s="6">
        <v>1.22</v>
      </c>
      <c r="G603" s="7">
        <v>1</v>
      </c>
      <c r="H603" s="7">
        <v>0</v>
      </c>
      <c r="J603" s="8">
        <v>1.44</v>
      </c>
      <c r="L603" s="5" t="s">
        <v>170</v>
      </c>
      <c r="N603" s="56">
        <v>5</v>
      </c>
      <c r="O603" s="61" t="s">
        <v>91</v>
      </c>
      <c r="P603" s="61" t="s">
        <v>96</v>
      </c>
      <c r="Q603" s="61" t="s">
        <v>97</v>
      </c>
      <c r="R603" s="61" t="s">
        <v>718</v>
      </c>
      <c r="S603" s="218">
        <v>77</v>
      </c>
      <c r="T603" s="61" t="s">
        <v>41</v>
      </c>
      <c r="U603" s="61" t="s">
        <v>43</v>
      </c>
      <c r="V603" s="63" t="s">
        <v>20</v>
      </c>
      <c r="W603" s="51">
        <v>0.05</v>
      </c>
      <c r="X603" s="6" t="s">
        <v>53</v>
      </c>
      <c r="Z603" s="5" t="s">
        <v>17</v>
      </c>
      <c r="AA603" s="112" t="s">
        <v>28</v>
      </c>
    </row>
    <row r="604" spans="1:29" x14ac:dyDescent="0.25">
      <c r="A604" s="329">
        <v>45927</v>
      </c>
      <c r="B604" s="5">
        <v>7</v>
      </c>
      <c r="D604" s="5" t="s">
        <v>91</v>
      </c>
      <c r="E604" s="6">
        <v>1.22</v>
      </c>
      <c r="G604" s="7">
        <v>1</v>
      </c>
      <c r="H604" s="7">
        <v>0</v>
      </c>
      <c r="J604" s="8">
        <v>1.44</v>
      </c>
      <c r="L604" s="5" t="s">
        <v>170</v>
      </c>
      <c r="N604" s="56">
        <v>17</v>
      </c>
      <c r="O604" s="26" t="s">
        <v>170</v>
      </c>
      <c r="P604" s="26" t="s">
        <v>296</v>
      </c>
      <c r="Q604" s="26" t="s">
        <v>297</v>
      </c>
      <c r="R604" s="26" t="s">
        <v>699</v>
      </c>
      <c r="S604" s="213">
        <v>62</v>
      </c>
      <c r="T604" s="26" t="s">
        <v>41</v>
      </c>
      <c r="U604" s="26" t="s">
        <v>42</v>
      </c>
      <c r="V604" s="43" t="s">
        <v>33</v>
      </c>
      <c r="W604" s="51">
        <v>0.45</v>
      </c>
      <c r="X604" s="6">
        <v>0.37</v>
      </c>
      <c r="Y604" s="6" t="s">
        <v>353</v>
      </c>
      <c r="Z604" s="5" t="s">
        <v>48</v>
      </c>
      <c r="AA604" s="112" t="s">
        <v>28</v>
      </c>
    </row>
    <row r="605" spans="1:29" x14ac:dyDescent="0.25">
      <c r="A605" s="329">
        <v>45927</v>
      </c>
      <c r="B605" s="5">
        <v>7</v>
      </c>
      <c r="D605" s="5" t="s">
        <v>91</v>
      </c>
      <c r="E605" s="6">
        <v>1.22</v>
      </c>
      <c r="G605" s="7">
        <v>1</v>
      </c>
      <c r="H605" s="7">
        <v>0</v>
      </c>
      <c r="J605" s="8">
        <v>1.44</v>
      </c>
      <c r="L605" s="5" t="s">
        <v>170</v>
      </c>
      <c r="N605" s="56">
        <v>17</v>
      </c>
      <c r="O605" s="26" t="s">
        <v>170</v>
      </c>
      <c r="P605" s="26" t="s">
        <v>296</v>
      </c>
      <c r="Q605" s="26" t="s">
        <v>297</v>
      </c>
      <c r="R605" s="26" t="s">
        <v>699</v>
      </c>
      <c r="S605" s="213">
        <v>62</v>
      </c>
      <c r="T605" s="26" t="s">
        <v>41</v>
      </c>
      <c r="U605" s="26" t="s">
        <v>42</v>
      </c>
      <c r="V605" s="43" t="s">
        <v>33</v>
      </c>
      <c r="W605" s="51">
        <v>0.12</v>
      </c>
      <c r="X605" s="6" t="s">
        <v>53</v>
      </c>
      <c r="Z605" s="5" t="s">
        <v>52</v>
      </c>
      <c r="AA605" s="112" t="s">
        <v>28</v>
      </c>
    </row>
    <row r="606" spans="1:29" x14ac:dyDescent="0.25">
      <c r="A606" s="329">
        <v>45927</v>
      </c>
      <c r="B606" s="5">
        <v>7</v>
      </c>
      <c r="D606" s="5" t="s">
        <v>91</v>
      </c>
      <c r="E606" s="6">
        <v>1.22</v>
      </c>
      <c r="G606" s="7">
        <v>1</v>
      </c>
      <c r="H606" s="7">
        <v>0</v>
      </c>
      <c r="J606" s="8">
        <v>1.44</v>
      </c>
      <c r="L606" s="5" t="s">
        <v>170</v>
      </c>
      <c r="N606" s="56">
        <v>17</v>
      </c>
      <c r="O606" s="26" t="s">
        <v>170</v>
      </c>
      <c r="P606" s="26" t="s">
        <v>374</v>
      </c>
      <c r="Q606" s="26" t="s">
        <v>521</v>
      </c>
      <c r="R606" s="26" t="s">
        <v>713</v>
      </c>
      <c r="S606" s="213">
        <v>69</v>
      </c>
      <c r="T606" s="26" t="s">
        <v>41</v>
      </c>
      <c r="U606" s="26" t="s">
        <v>42</v>
      </c>
      <c r="V606" s="43" t="s">
        <v>33</v>
      </c>
      <c r="W606" s="51">
        <v>0.14000000000000001</v>
      </c>
      <c r="X606" s="6" t="s">
        <v>53</v>
      </c>
      <c r="Z606" s="5" t="s">
        <v>13</v>
      </c>
      <c r="AA606" s="112" t="s">
        <v>28</v>
      </c>
    </row>
    <row r="607" spans="1:29" x14ac:dyDescent="0.25">
      <c r="A607" s="329">
        <v>45927</v>
      </c>
      <c r="B607" s="5">
        <v>7</v>
      </c>
      <c r="D607" s="5" t="s">
        <v>91</v>
      </c>
      <c r="E607" s="6">
        <v>1.22</v>
      </c>
      <c r="G607" s="7">
        <v>1</v>
      </c>
      <c r="H607" s="7">
        <v>0</v>
      </c>
      <c r="J607" s="8">
        <v>1.44</v>
      </c>
      <c r="L607" s="5" t="s">
        <v>170</v>
      </c>
      <c r="N607" s="56">
        <v>17</v>
      </c>
      <c r="O607" s="26" t="s">
        <v>170</v>
      </c>
      <c r="P607" s="26" t="s">
        <v>379</v>
      </c>
      <c r="Q607" s="26" t="s">
        <v>380</v>
      </c>
      <c r="R607" s="26" t="s">
        <v>684</v>
      </c>
      <c r="S607" s="213">
        <v>64</v>
      </c>
      <c r="T607" s="26" t="s">
        <v>41</v>
      </c>
      <c r="U607" s="26" t="s">
        <v>43</v>
      </c>
      <c r="V607" s="43" t="s">
        <v>33</v>
      </c>
      <c r="W607" s="51">
        <v>0.09</v>
      </c>
      <c r="X607" s="6">
        <v>0.22</v>
      </c>
      <c r="Z607" s="5" t="s">
        <v>48</v>
      </c>
      <c r="AA607" s="112" t="s">
        <v>28</v>
      </c>
    </row>
    <row r="608" spans="1:29" x14ac:dyDescent="0.25">
      <c r="A608" s="329">
        <v>45927</v>
      </c>
      <c r="B608" s="5">
        <v>7</v>
      </c>
      <c r="D608" s="5" t="s">
        <v>91</v>
      </c>
      <c r="E608" s="6">
        <v>1.22</v>
      </c>
      <c r="G608" s="7">
        <v>1</v>
      </c>
      <c r="H608" s="7">
        <v>0</v>
      </c>
      <c r="J608" s="8">
        <v>1.44</v>
      </c>
      <c r="L608" s="5" t="s">
        <v>170</v>
      </c>
      <c r="N608" s="56">
        <v>18</v>
      </c>
      <c r="O608" s="61" t="s">
        <v>91</v>
      </c>
      <c r="P608" s="61" t="s">
        <v>96</v>
      </c>
      <c r="Q608" s="61" t="s">
        <v>97</v>
      </c>
      <c r="R608" s="61" t="s">
        <v>718</v>
      </c>
      <c r="S608" s="218">
        <v>77</v>
      </c>
      <c r="T608" s="61" t="s">
        <v>47</v>
      </c>
      <c r="U608" s="61" t="s">
        <v>43</v>
      </c>
      <c r="V608" s="63" t="s">
        <v>10</v>
      </c>
      <c r="W608" s="51">
        <v>0.36</v>
      </c>
      <c r="X608" s="6">
        <v>0.27</v>
      </c>
      <c r="Y608" s="6" t="s">
        <v>353</v>
      </c>
      <c r="Z608" s="5" t="s">
        <v>48</v>
      </c>
      <c r="AA608" s="112" t="s">
        <v>28</v>
      </c>
    </row>
    <row r="609" spans="1:29" x14ac:dyDescent="0.25">
      <c r="A609" s="329">
        <v>45927</v>
      </c>
      <c r="B609" s="5">
        <v>7</v>
      </c>
      <c r="D609" s="5" t="s">
        <v>91</v>
      </c>
      <c r="E609" s="6">
        <v>1.22</v>
      </c>
      <c r="G609" s="7">
        <v>1</v>
      </c>
      <c r="H609" s="7">
        <v>0</v>
      </c>
      <c r="J609" s="8">
        <v>1.44</v>
      </c>
      <c r="L609" s="5" t="s">
        <v>170</v>
      </c>
      <c r="N609" s="56">
        <v>27</v>
      </c>
      <c r="O609" s="26" t="s">
        <v>170</v>
      </c>
      <c r="P609" s="26" t="s">
        <v>379</v>
      </c>
      <c r="Q609" s="26" t="s">
        <v>380</v>
      </c>
      <c r="R609" s="26" t="s">
        <v>684</v>
      </c>
      <c r="S609" s="213">
        <v>64</v>
      </c>
      <c r="T609" s="26" t="s">
        <v>41</v>
      </c>
      <c r="U609" s="26" t="s">
        <v>42</v>
      </c>
      <c r="V609" s="43" t="s">
        <v>10</v>
      </c>
      <c r="W609" s="51">
        <v>0.15</v>
      </c>
      <c r="X609" s="6">
        <v>0.12</v>
      </c>
      <c r="Z609" s="5" t="s">
        <v>48</v>
      </c>
      <c r="AA609" s="112" t="s">
        <v>28</v>
      </c>
    </row>
    <row r="610" spans="1:29" x14ac:dyDescent="0.25">
      <c r="A610" s="329">
        <v>45927</v>
      </c>
      <c r="B610" s="5">
        <v>7</v>
      </c>
      <c r="D610" s="5" t="s">
        <v>91</v>
      </c>
      <c r="E610" s="6">
        <v>1.22</v>
      </c>
      <c r="G610" s="7">
        <v>1</v>
      </c>
      <c r="H610" s="7">
        <v>0</v>
      </c>
      <c r="J610" s="8">
        <v>1.44</v>
      </c>
      <c r="L610" s="5" t="s">
        <v>170</v>
      </c>
      <c r="N610" s="56">
        <v>28</v>
      </c>
      <c r="O610" s="61" t="s">
        <v>91</v>
      </c>
      <c r="P610" s="61" t="s">
        <v>443</v>
      </c>
      <c r="Q610" s="61" t="s">
        <v>444</v>
      </c>
      <c r="R610" s="61" t="s">
        <v>717</v>
      </c>
      <c r="S610" s="218">
        <v>62</v>
      </c>
      <c r="T610" s="61" t="s">
        <v>47</v>
      </c>
      <c r="U610" s="61" t="s">
        <v>42</v>
      </c>
      <c r="V610" s="63" t="s">
        <v>10</v>
      </c>
      <c r="W610" s="51">
        <v>0.18</v>
      </c>
      <c r="X610" s="6">
        <v>0.56000000000000005</v>
      </c>
      <c r="Y610" s="6" t="s">
        <v>353</v>
      </c>
      <c r="Z610" s="5" t="s">
        <v>48</v>
      </c>
      <c r="AA610" s="112" t="s">
        <v>28</v>
      </c>
    </row>
    <row r="611" spans="1:29" x14ac:dyDescent="0.25">
      <c r="A611" s="329">
        <v>45927</v>
      </c>
      <c r="B611" s="5">
        <v>7</v>
      </c>
      <c r="D611" s="5" t="s">
        <v>91</v>
      </c>
      <c r="E611" s="6">
        <v>1.22</v>
      </c>
      <c r="G611" s="7">
        <v>1</v>
      </c>
      <c r="H611" s="7">
        <v>0</v>
      </c>
      <c r="J611" s="8">
        <v>1.44</v>
      </c>
      <c r="L611" s="5" t="s">
        <v>170</v>
      </c>
      <c r="N611" s="56">
        <v>56</v>
      </c>
      <c r="O611" s="61" t="s">
        <v>91</v>
      </c>
      <c r="P611" s="61" t="s">
        <v>96</v>
      </c>
      <c r="Q611" s="61" t="s">
        <v>97</v>
      </c>
      <c r="R611" s="61" t="s">
        <v>718</v>
      </c>
      <c r="S611" s="218">
        <v>77</v>
      </c>
      <c r="T611" s="61" t="s">
        <v>41</v>
      </c>
      <c r="U611" s="61" t="s">
        <v>43</v>
      </c>
      <c r="V611" s="63" t="s">
        <v>10</v>
      </c>
      <c r="W611" s="51">
        <v>0.11</v>
      </c>
      <c r="X611" s="6" t="s">
        <v>53</v>
      </c>
      <c r="Y611" s="6" t="s">
        <v>353</v>
      </c>
      <c r="Z611" s="5" t="s">
        <v>13</v>
      </c>
      <c r="AA611" s="112" t="s">
        <v>28</v>
      </c>
    </row>
    <row r="612" spans="1:29" x14ac:dyDescent="0.25">
      <c r="A612" s="329">
        <v>45927</v>
      </c>
      <c r="B612" s="5">
        <v>7</v>
      </c>
      <c r="D612" s="5" t="s">
        <v>91</v>
      </c>
      <c r="E612" s="6">
        <v>1.22</v>
      </c>
      <c r="G612" s="7">
        <v>1</v>
      </c>
      <c r="H612" s="7">
        <v>0</v>
      </c>
      <c r="J612" s="8">
        <v>1.44</v>
      </c>
      <c r="L612" s="5" t="s">
        <v>170</v>
      </c>
      <c r="N612" s="56">
        <v>58</v>
      </c>
      <c r="O612" s="61" t="s">
        <v>91</v>
      </c>
      <c r="P612" s="61" t="s">
        <v>61</v>
      </c>
      <c r="Q612" s="61" t="s">
        <v>284</v>
      </c>
      <c r="R612" s="61" t="s">
        <v>713</v>
      </c>
      <c r="S612" s="218">
        <v>80</v>
      </c>
      <c r="T612" s="61" t="s">
        <v>41</v>
      </c>
      <c r="U612" s="61" t="s">
        <v>42</v>
      </c>
      <c r="V612" s="63" t="s">
        <v>33</v>
      </c>
      <c r="W612" s="51">
        <v>0.04</v>
      </c>
      <c r="X612" s="6" t="s">
        <v>53</v>
      </c>
      <c r="Z612" s="5" t="s">
        <v>22</v>
      </c>
      <c r="AA612" s="112" t="s">
        <v>28</v>
      </c>
    </row>
    <row r="613" spans="1:29" x14ac:dyDescent="0.25">
      <c r="A613" s="329">
        <v>45927</v>
      </c>
      <c r="B613" s="5">
        <v>7</v>
      </c>
      <c r="D613" s="5" t="s">
        <v>91</v>
      </c>
      <c r="E613" s="6">
        <v>1.22</v>
      </c>
      <c r="G613" s="7">
        <v>1</v>
      </c>
      <c r="H613" s="7">
        <v>0</v>
      </c>
      <c r="J613" s="8">
        <v>1.44</v>
      </c>
      <c r="L613" s="5" t="s">
        <v>170</v>
      </c>
      <c r="N613" s="56">
        <v>60</v>
      </c>
      <c r="O613" s="26" t="s">
        <v>170</v>
      </c>
      <c r="P613" s="26" t="s">
        <v>296</v>
      </c>
      <c r="Q613" s="26" t="s">
        <v>297</v>
      </c>
      <c r="R613" s="26" t="s">
        <v>699</v>
      </c>
      <c r="S613" s="213">
        <v>62</v>
      </c>
      <c r="T613" s="26" t="s">
        <v>47</v>
      </c>
      <c r="U613" s="26" t="s">
        <v>42</v>
      </c>
      <c r="V613" s="43" t="s">
        <v>10</v>
      </c>
      <c r="W613" s="51">
        <v>0.2</v>
      </c>
      <c r="X613" s="6" t="s">
        <v>53</v>
      </c>
      <c r="Y613" s="6" t="s">
        <v>353</v>
      </c>
      <c r="Z613" s="5" t="s">
        <v>13</v>
      </c>
      <c r="AA613" s="112" t="s">
        <v>28</v>
      </c>
    </row>
    <row r="614" spans="1:29" x14ac:dyDescent="0.25">
      <c r="A614" s="329">
        <v>45927</v>
      </c>
      <c r="B614" s="5">
        <v>7</v>
      </c>
      <c r="D614" s="5" t="s">
        <v>91</v>
      </c>
      <c r="E614" s="6">
        <v>1.22</v>
      </c>
      <c r="G614" s="7">
        <v>1</v>
      </c>
      <c r="H614" s="7">
        <v>0</v>
      </c>
      <c r="J614" s="8">
        <v>1.44</v>
      </c>
      <c r="L614" s="5" t="s">
        <v>170</v>
      </c>
      <c r="N614" s="56">
        <v>77</v>
      </c>
      <c r="O614" s="61" t="s">
        <v>91</v>
      </c>
      <c r="P614" s="61" t="s">
        <v>332</v>
      </c>
      <c r="Q614" s="61" t="s">
        <v>333</v>
      </c>
      <c r="R614" s="61" t="s">
        <v>696</v>
      </c>
      <c r="S614" s="218">
        <v>80</v>
      </c>
      <c r="T614" s="61" t="s">
        <v>41</v>
      </c>
      <c r="U614" s="61" t="s">
        <v>42</v>
      </c>
      <c r="V614" s="63" t="s">
        <v>540</v>
      </c>
      <c r="W614" s="51">
        <v>0.14000000000000001</v>
      </c>
      <c r="X614" s="6">
        <v>0.67</v>
      </c>
      <c r="Z614" s="5" t="s">
        <v>8</v>
      </c>
      <c r="AA614" s="112" t="s">
        <v>19</v>
      </c>
    </row>
    <row r="615" spans="1:29" x14ac:dyDescent="0.25">
      <c r="A615" s="329">
        <v>45927</v>
      </c>
      <c r="B615" s="5">
        <v>7</v>
      </c>
      <c r="D615" s="5" t="s">
        <v>91</v>
      </c>
      <c r="E615" s="6">
        <v>1.22</v>
      </c>
      <c r="G615" s="7">
        <v>1</v>
      </c>
      <c r="H615" s="7">
        <v>0</v>
      </c>
      <c r="J615" s="8">
        <v>1.44</v>
      </c>
      <c r="L615" s="5" t="s">
        <v>170</v>
      </c>
      <c r="N615" s="56">
        <v>83</v>
      </c>
      <c r="O615" s="26" t="s">
        <v>170</v>
      </c>
      <c r="P615" s="26" t="s">
        <v>522</v>
      </c>
      <c r="Q615" s="26" t="s">
        <v>523</v>
      </c>
      <c r="R615" s="26" t="s">
        <v>696</v>
      </c>
      <c r="S615" s="213">
        <v>65</v>
      </c>
      <c r="T615" s="26" t="s">
        <v>354</v>
      </c>
      <c r="U615" s="26" t="s">
        <v>42</v>
      </c>
      <c r="V615" s="43" t="s">
        <v>540</v>
      </c>
      <c r="W615" s="51">
        <v>0.02</v>
      </c>
      <c r="X615" s="6" t="s">
        <v>53</v>
      </c>
      <c r="Z615" s="5" t="s">
        <v>17</v>
      </c>
      <c r="AA615" s="112" t="s">
        <v>19</v>
      </c>
    </row>
    <row r="616" spans="1:29" ht="15.75" thickBot="1" x14ac:dyDescent="0.3">
      <c r="A616" s="330">
        <v>45927</v>
      </c>
      <c r="B616" s="9">
        <v>7</v>
      </c>
      <c r="C616" s="122"/>
      <c r="D616" s="9" t="s">
        <v>91</v>
      </c>
      <c r="E616" s="10">
        <v>1.22</v>
      </c>
      <c r="F616" s="10"/>
      <c r="G616" s="11">
        <v>1</v>
      </c>
      <c r="H616" s="11">
        <v>0</v>
      </c>
      <c r="I616" s="11"/>
      <c r="J616" s="12">
        <v>1.44</v>
      </c>
      <c r="K616" s="122"/>
      <c r="L616" s="9" t="s">
        <v>170</v>
      </c>
      <c r="M616" s="45"/>
      <c r="N616" s="97">
        <v>88</v>
      </c>
      <c r="O616" s="66" t="s">
        <v>91</v>
      </c>
      <c r="P616" s="66" t="s">
        <v>96</v>
      </c>
      <c r="Q616" s="66" t="s">
        <v>97</v>
      </c>
      <c r="R616" s="66" t="s">
        <v>718</v>
      </c>
      <c r="S616" s="219">
        <v>77</v>
      </c>
      <c r="T616" s="66" t="s">
        <v>41</v>
      </c>
      <c r="U616" s="66" t="s">
        <v>43</v>
      </c>
      <c r="V616" s="67" t="s">
        <v>18</v>
      </c>
      <c r="W616" s="52">
        <v>0.14000000000000001</v>
      </c>
      <c r="X616" s="10" t="s">
        <v>53</v>
      </c>
      <c r="Y616" s="10"/>
      <c r="Z616" s="9" t="s">
        <v>52</v>
      </c>
      <c r="AA616" s="113" t="s">
        <v>19</v>
      </c>
      <c r="AB616" s="109"/>
      <c r="AC616" s="58"/>
    </row>
    <row r="617" spans="1:29" ht="15.75" thickBot="1" x14ac:dyDescent="0.3">
      <c r="A617" s="326">
        <v>45927</v>
      </c>
      <c r="B617" s="207">
        <v>7</v>
      </c>
      <c r="C617" s="208"/>
      <c r="D617" s="207" t="s">
        <v>91</v>
      </c>
      <c r="E617" s="209">
        <v>1.22</v>
      </c>
      <c r="F617" s="209"/>
      <c r="G617" s="210">
        <v>1</v>
      </c>
      <c r="H617" s="210">
        <v>0</v>
      </c>
      <c r="I617" s="210"/>
      <c r="J617" s="211">
        <v>1.44</v>
      </c>
      <c r="K617" s="208"/>
      <c r="L617" s="207" t="s">
        <v>170</v>
      </c>
      <c r="M617" s="235"/>
      <c r="N617" s="198"/>
      <c r="O617" s="199" t="s">
        <v>91</v>
      </c>
      <c r="P617" s="199" t="s">
        <v>351</v>
      </c>
      <c r="Q617" s="199" t="s">
        <v>54</v>
      </c>
      <c r="R617" s="199" t="s">
        <v>707</v>
      </c>
      <c r="S617" s="200">
        <v>76</v>
      </c>
      <c r="T617" s="199"/>
      <c r="U617" s="199"/>
      <c r="V617" s="201"/>
      <c r="W617" s="202"/>
      <c r="X617" s="203"/>
      <c r="Y617" s="203">
        <v>0</v>
      </c>
      <c r="Z617" s="199"/>
      <c r="AA617" s="204"/>
      <c r="AB617" s="205"/>
      <c r="AC617" s="201"/>
    </row>
    <row r="618" spans="1:29" ht="15.75" thickBot="1" x14ac:dyDescent="0.3">
      <c r="A618" s="326">
        <v>45927</v>
      </c>
      <c r="B618" s="207">
        <v>7</v>
      </c>
      <c r="C618" s="208"/>
      <c r="D618" s="207" t="s">
        <v>91</v>
      </c>
      <c r="E618" s="209">
        <v>1.22</v>
      </c>
      <c r="F618" s="209"/>
      <c r="G618" s="210">
        <v>1</v>
      </c>
      <c r="H618" s="210">
        <v>0</v>
      </c>
      <c r="I618" s="210"/>
      <c r="J618" s="211">
        <v>1.44</v>
      </c>
      <c r="K618" s="208"/>
      <c r="L618" s="207" t="s">
        <v>170</v>
      </c>
      <c r="M618" s="235"/>
      <c r="N618" s="198"/>
      <c r="O618" s="199" t="s">
        <v>170</v>
      </c>
      <c r="P618" s="199" t="s">
        <v>269</v>
      </c>
      <c r="Q618" s="199" t="s">
        <v>722</v>
      </c>
      <c r="R618" s="199" t="s">
        <v>707</v>
      </c>
      <c r="S618" s="200">
        <v>71</v>
      </c>
      <c r="T618" s="199"/>
      <c r="U618" s="199"/>
      <c r="V618" s="201"/>
      <c r="W618" s="202"/>
      <c r="X618" s="203"/>
      <c r="Y618" s="203">
        <v>1</v>
      </c>
      <c r="Z618" s="199"/>
      <c r="AA618" s="204"/>
      <c r="AB618" s="205"/>
      <c r="AC618" s="201"/>
    </row>
    <row r="619" spans="1:29" ht="15.75" thickBot="1" x14ac:dyDescent="0.3">
      <c r="A619" s="339"/>
      <c r="B619" s="289"/>
      <c r="C619" s="290"/>
      <c r="D619" s="289"/>
      <c r="E619" s="288"/>
      <c r="F619" s="288"/>
      <c r="G619" s="282"/>
      <c r="H619" s="282"/>
      <c r="I619" s="282"/>
      <c r="J619" s="291"/>
      <c r="K619" s="290"/>
      <c r="L619" s="289"/>
      <c r="M619" s="292"/>
      <c r="N619" s="293"/>
      <c r="O619" s="289"/>
      <c r="P619" s="289"/>
      <c r="Q619" s="289"/>
      <c r="R619" s="289"/>
      <c r="S619" s="282"/>
      <c r="T619" s="289"/>
      <c r="U619" s="289"/>
      <c r="V619" s="294"/>
      <c r="W619" s="295"/>
      <c r="X619" s="288"/>
      <c r="Y619" s="288" t="s">
        <v>741</v>
      </c>
      <c r="Z619" s="289"/>
      <c r="AA619" s="296"/>
      <c r="AB619" s="297"/>
      <c r="AC619" s="294"/>
    </row>
    <row r="620" spans="1:29" x14ac:dyDescent="0.25">
      <c r="A620" s="323">
        <v>45886</v>
      </c>
      <c r="B620" s="136">
        <v>1</v>
      </c>
      <c r="C620" s="137" t="s">
        <v>700</v>
      </c>
      <c r="D620" s="136" t="s">
        <v>456</v>
      </c>
      <c r="E620" s="138">
        <v>0.73</v>
      </c>
      <c r="F620" s="138"/>
      <c r="G620" s="139">
        <v>0</v>
      </c>
      <c r="H620" s="139">
        <v>2</v>
      </c>
      <c r="I620" s="139"/>
      <c r="J620" s="140">
        <v>1.43</v>
      </c>
      <c r="K620" s="137" t="s">
        <v>701</v>
      </c>
      <c r="L620" s="136" t="s">
        <v>161</v>
      </c>
      <c r="M620" s="141"/>
      <c r="N620" s="142">
        <v>21</v>
      </c>
      <c r="O620" s="64" t="s">
        <v>456</v>
      </c>
      <c r="P620" s="64" t="s">
        <v>162</v>
      </c>
      <c r="Q620" s="64" t="s">
        <v>163</v>
      </c>
      <c r="R620" s="64" t="s">
        <v>686</v>
      </c>
      <c r="S620" s="217">
        <v>70</v>
      </c>
      <c r="T620" s="64" t="s">
        <v>47</v>
      </c>
      <c r="U620" s="64" t="s">
        <v>43</v>
      </c>
      <c r="V620" s="65" t="s">
        <v>10</v>
      </c>
      <c r="W620" s="167">
        <v>0.37</v>
      </c>
      <c r="X620" s="138">
        <v>0.34</v>
      </c>
      <c r="Y620" s="138" t="s">
        <v>353</v>
      </c>
      <c r="Z620" s="136" t="s">
        <v>48</v>
      </c>
      <c r="AA620" s="168" t="s">
        <v>28</v>
      </c>
      <c r="AB620" s="169"/>
      <c r="AC620" s="170"/>
    </row>
    <row r="621" spans="1:29" x14ac:dyDescent="0.25">
      <c r="A621" s="324">
        <v>45886</v>
      </c>
      <c r="B621" s="144">
        <v>1</v>
      </c>
      <c r="C621" s="145"/>
      <c r="D621" s="144" t="s">
        <v>456</v>
      </c>
      <c r="E621" s="146">
        <v>0.73</v>
      </c>
      <c r="F621" s="146"/>
      <c r="G621" s="147">
        <v>0</v>
      </c>
      <c r="H621" s="147">
        <v>2</v>
      </c>
      <c r="I621" s="147"/>
      <c r="J621" s="148">
        <v>1.43</v>
      </c>
      <c r="K621" s="145"/>
      <c r="L621" s="144" t="s">
        <v>161</v>
      </c>
      <c r="M621" s="149"/>
      <c r="N621" s="150">
        <v>39</v>
      </c>
      <c r="O621" s="26" t="s">
        <v>161</v>
      </c>
      <c r="P621" s="26" t="s">
        <v>167</v>
      </c>
      <c r="Q621" s="26" t="s">
        <v>166</v>
      </c>
      <c r="R621" s="26" t="s">
        <v>717</v>
      </c>
      <c r="S621" s="213">
        <v>90</v>
      </c>
      <c r="T621" s="26" t="s">
        <v>41</v>
      </c>
      <c r="U621" s="26" t="s">
        <v>42</v>
      </c>
      <c r="V621" s="43" t="s">
        <v>29</v>
      </c>
      <c r="W621" s="171">
        <v>0.06</v>
      </c>
      <c r="X621" s="146" t="s">
        <v>53</v>
      </c>
      <c r="Y621" s="146"/>
      <c r="Z621" s="144" t="s">
        <v>22</v>
      </c>
      <c r="AA621" s="172" t="s">
        <v>28</v>
      </c>
      <c r="AB621" s="173"/>
      <c r="AC621" s="174"/>
    </row>
    <row r="622" spans="1:29" x14ac:dyDescent="0.25">
      <c r="A622" s="324">
        <v>45886</v>
      </c>
      <c r="B622" s="144">
        <v>1</v>
      </c>
      <c r="C622" s="145"/>
      <c r="D622" s="144" t="s">
        <v>456</v>
      </c>
      <c r="E622" s="146">
        <v>0.73</v>
      </c>
      <c r="F622" s="146"/>
      <c r="G622" s="147">
        <v>0</v>
      </c>
      <c r="H622" s="147">
        <v>2</v>
      </c>
      <c r="I622" s="147"/>
      <c r="J622" s="148">
        <v>1.43</v>
      </c>
      <c r="K622" s="145"/>
      <c r="L622" s="144" t="s">
        <v>161</v>
      </c>
      <c r="M622" s="149"/>
      <c r="N622" s="150">
        <v>47</v>
      </c>
      <c r="O622" s="26" t="s">
        <v>161</v>
      </c>
      <c r="P622" s="26" t="s">
        <v>168</v>
      </c>
      <c r="Q622" s="26" t="s">
        <v>169</v>
      </c>
      <c r="R622" s="26" t="s">
        <v>718</v>
      </c>
      <c r="S622" s="213">
        <v>73</v>
      </c>
      <c r="T622" s="26" t="s">
        <v>41</v>
      </c>
      <c r="U622" s="26" t="s">
        <v>43</v>
      </c>
      <c r="V622" s="43" t="s">
        <v>10</v>
      </c>
      <c r="W622" s="171">
        <v>0.24</v>
      </c>
      <c r="X622" s="146">
        <v>0.69</v>
      </c>
      <c r="Y622" s="146" t="s">
        <v>353</v>
      </c>
      <c r="Z622" s="144" t="s">
        <v>8</v>
      </c>
      <c r="AA622" s="172" t="s">
        <v>9</v>
      </c>
      <c r="AB622" s="173" t="s">
        <v>167</v>
      </c>
      <c r="AC622" s="174" t="s">
        <v>166</v>
      </c>
    </row>
    <row r="623" spans="1:29" x14ac:dyDescent="0.25">
      <c r="A623" s="324">
        <v>45886</v>
      </c>
      <c r="B623" s="144">
        <v>1</v>
      </c>
      <c r="C623" s="145"/>
      <c r="D623" s="144" t="s">
        <v>456</v>
      </c>
      <c r="E623" s="146">
        <v>0.73</v>
      </c>
      <c r="F623" s="146"/>
      <c r="G623" s="147">
        <v>0</v>
      </c>
      <c r="H623" s="147">
        <v>2</v>
      </c>
      <c r="I623" s="147"/>
      <c r="J623" s="148">
        <v>1.43</v>
      </c>
      <c r="K623" s="145"/>
      <c r="L623" s="144" t="s">
        <v>161</v>
      </c>
      <c r="M623" s="149"/>
      <c r="N623" s="150">
        <v>69</v>
      </c>
      <c r="O623" s="61" t="s">
        <v>456</v>
      </c>
      <c r="P623" s="61" t="s">
        <v>164</v>
      </c>
      <c r="Q623" s="61" t="s">
        <v>165</v>
      </c>
      <c r="R623" s="61" t="s">
        <v>696</v>
      </c>
      <c r="S623" s="218">
        <v>66</v>
      </c>
      <c r="T623" s="61" t="s">
        <v>41</v>
      </c>
      <c r="U623" s="61" t="s">
        <v>42</v>
      </c>
      <c r="V623" s="63" t="s">
        <v>18</v>
      </c>
      <c r="W623" s="171">
        <v>0.11</v>
      </c>
      <c r="X623" s="146" t="s">
        <v>53</v>
      </c>
      <c r="Y623" s="146"/>
      <c r="Z623" s="144" t="s">
        <v>13</v>
      </c>
      <c r="AA623" s="172" t="s">
        <v>9</v>
      </c>
      <c r="AB623" s="173"/>
      <c r="AC623" s="174"/>
    </row>
    <row r="624" spans="1:29" ht="15.75" thickBot="1" x14ac:dyDescent="0.3">
      <c r="A624" s="325">
        <v>45886</v>
      </c>
      <c r="B624" s="152">
        <v>1</v>
      </c>
      <c r="C624" s="153"/>
      <c r="D624" s="152" t="s">
        <v>456</v>
      </c>
      <c r="E624" s="154">
        <v>0.73</v>
      </c>
      <c r="F624" s="154"/>
      <c r="G624" s="155">
        <v>0</v>
      </c>
      <c r="H624" s="155">
        <v>2</v>
      </c>
      <c r="I624" s="155"/>
      <c r="J624" s="156">
        <v>1.43</v>
      </c>
      <c r="K624" s="153"/>
      <c r="L624" s="152" t="s">
        <v>161</v>
      </c>
      <c r="M624" s="157"/>
      <c r="N624" s="158">
        <v>72</v>
      </c>
      <c r="O624" s="74" t="s">
        <v>161</v>
      </c>
      <c r="P624" s="74" t="s">
        <v>167</v>
      </c>
      <c r="Q624" s="74" t="s">
        <v>166</v>
      </c>
      <c r="R624" s="74" t="s">
        <v>717</v>
      </c>
      <c r="S624" s="221">
        <v>90</v>
      </c>
      <c r="T624" s="74" t="s">
        <v>41</v>
      </c>
      <c r="U624" s="74" t="s">
        <v>43</v>
      </c>
      <c r="V624" s="76" t="s">
        <v>10</v>
      </c>
      <c r="W624" s="175">
        <v>0.95</v>
      </c>
      <c r="X624" s="154">
        <v>0.99</v>
      </c>
      <c r="Y624" s="154" t="s">
        <v>353</v>
      </c>
      <c r="Z624" s="152" t="s">
        <v>8</v>
      </c>
      <c r="AA624" s="176" t="s">
        <v>11</v>
      </c>
      <c r="AB624" s="177" t="s">
        <v>648</v>
      </c>
      <c r="AC624" s="178" t="s">
        <v>653</v>
      </c>
    </row>
    <row r="625" spans="1:29" ht="15.75" thickBot="1" x14ac:dyDescent="0.3">
      <c r="A625" s="326">
        <v>45886</v>
      </c>
      <c r="B625" s="207">
        <v>1</v>
      </c>
      <c r="C625" s="208"/>
      <c r="D625" s="207" t="s">
        <v>456</v>
      </c>
      <c r="E625" s="209">
        <v>0.73</v>
      </c>
      <c r="F625" s="209"/>
      <c r="G625" s="210">
        <v>0</v>
      </c>
      <c r="H625" s="210">
        <v>2</v>
      </c>
      <c r="I625" s="210"/>
      <c r="J625" s="211">
        <v>1.43</v>
      </c>
      <c r="K625" s="208"/>
      <c r="L625" s="207" t="s">
        <v>161</v>
      </c>
      <c r="M625" s="197"/>
      <c r="N625" s="198"/>
      <c r="O625" s="199" t="s">
        <v>456</v>
      </c>
      <c r="P625" s="199" t="s">
        <v>719</v>
      </c>
      <c r="Q625" s="199" t="s">
        <v>720</v>
      </c>
      <c r="R625" s="199" t="s">
        <v>707</v>
      </c>
      <c r="S625" s="200">
        <v>63</v>
      </c>
      <c r="T625" s="199"/>
      <c r="U625" s="199"/>
      <c r="V625" s="201"/>
      <c r="W625" s="202"/>
      <c r="X625" s="203"/>
      <c r="Y625" s="203">
        <v>2</v>
      </c>
      <c r="Z625" s="199"/>
      <c r="AA625" s="204"/>
      <c r="AB625" s="205"/>
      <c r="AC625" s="201"/>
    </row>
    <row r="626" spans="1:29" ht="15.75" thickBot="1" x14ac:dyDescent="0.3">
      <c r="A626" s="326">
        <v>45886</v>
      </c>
      <c r="B626" s="207">
        <v>1</v>
      </c>
      <c r="C626" s="208"/>
      <c r="D626" s="207" t="s">
        <v>456</v>
      </c>
      <c r="E626" s="209">
        <v>0.73</v>
      </c>
      <c r="F626" s="209"/>
      <c r="G626" s="210">
        <v>0</v>
      </c>
      <c r="H626" s="210">
        <v>2</v>
      </c>
      <c r="I626" s="210"/>
      <c r="J626" s="211">
        <v>1.43</v>
      </c>
      <c r="K626" s="208"/>
      <c r="L626" s="207" t="s">
        <v>161</v>
      </c>
      <c r="M626" s="197"/>
      <c r="N626" s="198"/>
      <c r="O626" s="199" t="s">
        <v>161</v>
      </c>
      <c r="P626" s="199" t="s">
        <v>316</v>
      </c>
      <c r="Q626" s="199" t="s">
        <v>721</v>
      </c>
      <c r="R626" s="199" t="s">
        <v>707</v>
      </c>
      <c r="S626" s="200">
        <v>74</v>
      </c>
      <c r="T626" s="199"/>
      <c r="U626" s="199"/>
      <c r="V626" s="201"/>
      <c r="W626" s="202"/>
      <c r="X626" s="203"/>
      <c r="Y626" s="203">
        <v>0</v>
      </c>
      <c r="Z626" s="199"/>
      <c r="AA626" s="204"/>
      <c r="AB626" s="205"/>
      <c r="AC626" s="201"/>
    </row>
    <row r="627" spans="1:29" x14ac:dyDescent="0.25">
      <c r="A627" s="327">
        <v>45896</v>
      </c>
      <c r="B627" s="160">
        <v>6</v>
      </c>
      <c r="C627" s="161" t="s">
        <v>702</v>
      </c>
      <c r="D627" s="160" t="s">
        <v>456</v>
      </c>
      <c r="E627" s="162">
        <v>0.83</v>
      </c>
      <c r="F627" s="162"/>
      <c r="G627" s="163">
        <v>1</v>
      </c>
      <c r="H627" s="163">
        <v>1</v>
      </c>
      <c r="I627" s="163"/>
      <c r="J627" s="164">
        <v>0.33</v>
      </c>
      <c r="K627" s="161" t="s">
        <v>693</v>
      </c>
      <c r="L627" s="160" t="s">
        <v>209</v>
      </c>
      <c r="M627" s="165"/>
      <c r="N627" s="166">
        <v>16</v>
      </c>
      <c r="O627" s="79" t="s">
        <v>209</v>
      </c>
      <c r="P627" s="79" t="s">
        <v>220</v>
      </c>
      <c r="Q627" s="79" t="s">
        <v>221</v>
      </c>
      <c r="R627" s="79" t="s">
        <v>684</v>
      </c>
      <c r="S627" s="224">
        <v>63</v>
      </c>
      <c r="T627" s="79" t="s">
        <v>354</v>
      </c>
      <c r="U627" s="79" t="s">
        <v>42</v>
      </c>
      <c r="V627" s="80" t="s">
        <v>10</v>
      </c>
      <c r="W627" s="179">
        <v>0.04</v>
      </c>
      <c r="X627" s="162" t="s">
        <v>53</v>
      </c>
      <c r="Y627" s="162"/>
      <c r="Z627" s="160" t="s">
        <v>22</v>
      </c>
      <c r="AA627" s="180" t="s">
        <v>28</v>
      </c>
      <c r="AB627" s="169"/>
      <c r="AC627" s="170"/>
    </row>
    <row r="628" spans="1:29" x14ac:dyDescent="0.25">
      <c r="A628" s="324">
        <v>45896</v>
      </c>
      <c r="B628" s="144">
        <v>6</v>
      </c>
      <c r="C628" s="145"/>
      <c r="D628" s="144" t="s">
        <v>456</v>
      </c>
      <c r="E628" s="146">
        <v>0.83</v>
      </c>
      <c r="F628" s="146"/>
      <c r="G628" s="147">
        <v>1</v>
      </c>
      <c r="H628" s="147">
        <v>1</v>
      </c>
      <c r="I628" s="147"/>
      <c r="J628" s="148">
        <v>0.33</v>
      </c>
      <c r="K628" s="145"/>
      <c r="L628" s="144" t="s">
        <v>209</v>
      </c>
      <c r="M628" s="149"/>
      <c r="N628" s="150">
        <v>17</v>
      </c>
      <c r="O628" s="61" t="s">
        <v>456</v>
      </c>
      <c r="P628" s="61" t="s">
        <v>278</v>
      </c>
      <c r="Q628" s="61" t="s">
        <v>211</v>
      </c>
      <c r="R628" s="61" t="s">
        <v>713</v>
      </c>
      <c r="S628" s="218">
        <v>61</v>
      </c>
      <c r="T628" s="61" t="s">
        <v>41</v>
      </c>
      <c r="U628" s="61" t="s">
        <v>45</v>
      </c>
      <c r="V628" s="63" t="s">
        <v>20</v>
      </c>
      <c r="W628" s="171" t="s">
        <v>358</v>
      </c>
      <c r="X628" s="146" t="s">
        <v>53</v>
      </c>
      <c r="Y628" s="146" t="s">
        <v>353</v>
      </c>
      <c r="Z628" s="144" t="s">
        <v>13</v>
      </c>
      <c r="AA628" s="172" t="s">
        <v>28</v>
      </c>
      <c r="AB628" s="173"/>
      <c r="AC628" s="174"/>
    </row>
    <row r="629" spans="1:29" x14ac:dyDescent="0.25">
      <c r="A629" s="324">
        <v>45896</v>
      </c>
      <c r="B629" s="144">
        <v>6</v>
      </c>
      <c r="C629" s="145"/>
      <c r="D629" s="144" t="s">
        <v>456</v>
      </c>
      <c r="E629" s="146">
        <v>0.83</v>
      </c>
      <c r="F629" s="146"/>
      <c r="G629" s="147">
        <v>1</v>
      </c>
      <c r="H629" s="147">
        <v>1</v>
      </c>
      <c r="I629" s="147"/>
      <c r="J629" s="148">
        <v>0.33</v>
      </c>
      <c r="K629" s="145"/>
      <c r="L629" s="144" t="s">
        <v>209</v>
      </c>
      <c r="M629" s="149"/>
      <c r="N629" s="150">
        <v>37</v>
      </c>
      <c r="O629" s="26" t="s">
        <v>209</v>
      </c>
      <c r="P629" s="26" t="s">
        <v>218</v>
      </c>
      <c r="Q629" s="26" t="s">
        <v>219</v>
      </c>
      <c r="R629" s="26" t="s">
        <v>685</v>
      </c>
      <c r="S629" s="213">
        <v>66</v>
      </c>
      <c r="T629" s="26" t="s">
        <v>41</v>
      </c>
      <c r="U629" s="26" t="s">
        <v>42</v>
      </c>
      <c r="V629" s="43" t="s">
        <v>10</v>
      </c>
      <c r="W629" s="171">
        <v>0.14000000000000001</v>
      </c>
      <c r="X629" s="146" t="s">
        <v>53</v>
      </c>
      <c r="Y629" s="146" t="s">
        <v>353</v>
      </c>
      <c r="Z629" s="144" t="s">
        <v>48</v>
      </c>
      <c r="AA629" s="172" t="s">
        <v>28</v>
      </c>
      <c r="AB629" s="173"/>
      <c r="AC629" s="174"/>
    </row>
    <row r="630" spans="1:29" x14ac:dyDescent="0.25">
      <c r="A630" s="324">
        <v>45896</v>
      </c>
      <c r="B630" s="144">
        <v>6</v>
      </c>
      <c r="C630" s="145"/>
      <c r="D630" s="144" t="s">
        <v>456</v>
      </c>
      <c r="E630" s="146">
        <v>0.83</v>
      </c>
      <c r="F630" s="146"/>
      <c r="G630" s="147">
        <v>1</v>
      </c>
      <c r="H630" s="147">
        <v>1</v>
      </c>
      <c r="I630" s="147"/>
      <c r="J630" s="148">
        <v>0.33</v>
      </c>
      <c r="K630" s="145"/>
      <c r="L630" s="144" t="s">
        <v>209</v>
      </c>
      <c r="M630" s="149"/>
      <c r="N630" s="150">
        <v>45</v>
      </c>
      <c r="O630" s="26" t="s">
        <v>209</v>
      </c>
      <c r="P630" s="26" t="s">
        <v>337</v>
      </c>
      <c r="Q630" s="26" t="s">
        <v>338</v>
      </c>
      <c r="R630" s="26" t="s">
        <v>713</v>
      </c>
      <c r="S630" s="213">
        <v>85</v>
      </c>
      <c r="T630" s="26" t="s">
        <v>41</v>
      </c>
      <c r="U630" s="26" t="s">
        <v>45</v>
      </c>
      <c r="V630" s="43" t="s">
        <v>20</v>
      </c>
      <c r="W630" s="171">
        <v>7.0000000000000007E-2</v>
      </c>
      <c r="X630" s="146">
        <v>0.44</v>
      </c>
      <c r="Y630" s="146" t="s">
        <v>353</v>
      </c>
      <c r="Z630" s="144" t="s">
        <v>8</v>
      </c>
      <c r="AA630" s="172" t="s">
        <v>9</v>
      </c>
      <c r="AB630" s="173" t="s">
        <v>222</v>
      </c>
      <c r="AC630" s="174" t="s">
        <v>223</v>
      </c>
    </row>
    <row r="631" spans="1:29" x14ac:dyDescent="0.25">
      <c r="A631" s="324">
        <v>45896</v>
      </c>
      <c r="B631" s="144">
        <v>6</v>
      </c>
      <c r="C631" s="145"/>
      <c r="D631" s="144" t="s">
        <v>456</v>
      </c>
      <c r="E631" s="146">
        <v>0.83</v>
      </c>
      <c r="F631" s="146"/>
      <c r="G631" s="147">
        <v>1</v>
      </c>
      <c r="H631" s="147">
        <v>1</v>
      </c>
      <c r="I631" s="147"/>
      <c r="J631" s="148">
        <v>0.33</v>
      </c>
      <c r="K631" s="145"/>
      <c r="L631" s="144" t="s">
        <v>209</v>
      </c>
      <c r="M631" s="149"/>
      <c r="N631" s="150">
        <v>47</v>
      </c>
      <c r="O631" s="61" t="s">
        <v>456</v>
      </c>
      <c r="P631" s="61" t="s">
        <v>147</v>
      </c>
      <c r="Q631" s="61" t="s">
        <v>201</v>
      </c>
      <c r="R631" s="61" t="s">
        <v>688</v>
      </c>
      <c r="S631" s="218">
        <v>79</v>
      </c>
      <c r="T631" s="61" t="s">
        <v>44</v>
      </c>
      <c r="U631" s="61" t="s">
        <v>43</v>
      </c>
      <c r="V631" s="63" t="s">
        <v>20</v>
      </c>
      <c r="W631" s="171">
        <v>0.05</v>
      </c>
      <c r="X631" s="146">
        <v>0.02</v>
      </c>
      <c r="Y631" s="146"/>
      <c r="Z631" s="144" t="s">
        <v>8</v>
      </c>
      <c r="AA631" s="172" t="s">
        <v>51</v>
      </c>
      <c r="AB631" s="173"/>
      <c r="AC631" s="174"/>
    </row>
    <row r="632" spans="1:29" x14ac:dyDescent="0.25">
      <c r="A632" s="324">
        <v>45896</v>
      </c>
      <c r="B632" s="144">
        <v>6</v>
      </c>
      <c r="C632" s="145"/>
      <c r="D632" s="144" t="s">
        <v>456</v>
      </c>
      <c r="E632" s="146">
        <v>0.83</v>
      </c>
      <c r="F632" s="146"/>
      <c r="G632" s="147">
        <v>1</v>
      </c>
      <c r="H632" s="147">
        <v>1</v>
      </c>
      <c r="I632" s="147"/>
      <c r="J632" s="148">
        <v>0.33</v>
      </c>
      <c r="K632" s="145"/>
      <c r="L632" s="144" t="s">
        <v>209</v>
      </c>
      <c r="M632" s="149"/>
      <c r="N632" s="150">
        <v>84</v>
      </c>
      <c r="O632" s="61" t="s">
        <v>456</v>
      </c>
      <c r="P632" s="61" t="s">
        <v>118</v>
      </c>
      <c r="Q632" s="61" t="s">
        <v>357</v>
      </c>
      <c r="R632" s="61" t="s">
        <v>696</v>
      </c>
      <c r="S632" s="218">
        <v>62</v>
      </c>
      <c r="T632" s="61" t="s">
        <v>41</v>
      </c>
      <c r="U632" s="61" t="s">
        <v>45</v>
      </c>
      <c r="V632" s="63" t="s">
        <v>10</v>
      </c>
      <c r="W632" s="171">
        <v>0.14000000000000001</v>
      </c>
      <c r="X632" s="146">
        <v>0.35</v>
      </c>
      <c r="Y632" s="146" t="s">
        <v>353</v>
      </c>
      <c r="Z632" s="144" t="s">
        <v>48</v>
      </c>
      <c r="AA632" s="172" t="s">
        <v>51</v>
      </c>
      <c r="AB632" s="173"/>
      <c r="AC632" s="174"/>
    </row>
    <row r="633" spans="1:29" ht="15.75" thickBot="1" x14ac:dyDescent="0.3">
      <c r="A633" s="324">
        <v>45896</v>
      </c>
      <c r="B633" s="144">
        <v>6</v>
      </c>
      <c r="C633" s="145"/>
      <c r="D633" s="144" t="s">
        <v>456</v>
      </c>
      <c r="E633" s="146">
        <v>0.83</v>
      </c>
      <c r="F633" s="146"/>
      <c r="G633" s="147">
        <v>1</v>
      </c>
      <c r="H633" s="147">
        <v>1</v>
      </c>
      <c r="I633" s="147"/>
      <c r="J633" s="148">
        <v>0.33</v>
      </c>
      <c r="K633" s="145"/>
      <c r="L633" s="144" t="s">
        <v>209</v>
      </c>
      <c r="M633" s="149"/>
      <c r="N633" s="150">
        <v>89</v>
      </c>
      <c r="O633" s="61" t="s">
        <v>456</v>
      </c>
      <c r="P633" s="61" t="s">
        <v>162</v>
      </c>
      <c r="Q633" s="61" t="s">
        <v>163</v>
      </c>
      <c r="R633" s="61" t="s">
        <v>696</v>
      </c>
      <c r="S633" s="218">
        <v>66</v>
      </c>
      <c r="T633" s="61" t="s">
        <v>44</v>
      </c>
      <c r="U633" s="61" t="s">
        <v>43</v>
      </c>
      <c r="V633" s="63" t="s">
        <v>29</v>
      </c>
      <c r="W633" s="171">
        <v>0.15</v>
      </c>
      <c r="X633" s="146" t="s">
        <v>53</v>
      </c>
      <c r="Y633" s="146"/>
      <c r="Z633" s="144" t="s">
        <v>13</v>
      </c>
      <c r="AA633" s="172" t="s">
        <v>51</v>
      </c>
      <c r="AB633" s="177"/>
      <c r="AC633" s="178"/>
    </row>
    <row r="634" spans="1:29" ht="15.75" thickBot="1" x14ac:dyDescent="0.3">
      <c r="A634" s="338">
        <v>45896</v>
      </c>
      <c r="B634" s="230">
        <v>6</v>
      </c>
      <c r="C634" s="231"/>
      <c r="D634" s="230" t="s">
        <v>456</v>
      </c>
      <c r="E634" s="232">
        <v>0.83</v>
      </c>
      <c r="F634" s="232"/>
      <c r="G634" s="233">
        <v>1</v>
      </c>
      <c r="H634" s="233">
        <v>1</v>
      </c>
      <c r="I634" s="233"/>
      <c r="J634" s="234">
        <v>0.33</v>
      </c>
      <c r="K634" s="231"/>
      <c r="L634" s="230" t="s">
        <v>209</v>
      </c>
      <c r="M634" s="197"/>
      <c r="N634" s="198"/>
      <c r="O634" s="199" t="s">
        <v>456</v>
      </c>
      <c r="P634" s="199" t="s">
        <v>719</v>
      </c>
      <c r="Q634" s="199" t="s">
        <v>720</v>
      </c>
      <c r="R634" s="199" t="s">
        <v>707</v>
      </c>
      <c r="S634" s="200">
        <v>66</v>
      </c>
      <c r="T634" s="199"/>
      <c r="U634" s="199"/>
      <c r="V634" s="201"/>
      <c r="W634" s="202"/>
      <c r="X634" s="203"/>
      <c r="Y634" s="203">
        <v>1</v>
      </c>
      <c r="Z634" s="199"/>
      <c r="AA634" s="204"/>
      <c r="AB634" s="205"/>
      <c r="AC634" s="201"/>
    </row>
    <row r="635" spans="1:29" ht="15.75" thickBot="1" x14ac:dyDescent="0.3">
      <c r="A635" s="338">
        <v>45896</v>
      </c>
      <c r="B635" s="230">
        <v>6</v>
      </c>
      <c r="C635" s="231"/>
      <c r="D635" s="230" t="s">
        <v>456</v>
      </c>
      <c r="E635" s="232">
        <v>0.83</v>
      </c>
      <c r="F635" s="232"/>
      <c r="G635" s="233">
        <v>1</v>
      </c>
      <c r="H635" s="233">
        <v>1</v>
      </c>
      <c r="I635" s="233"/>
      <c r="J635" s="234">
        <v>0.33</v>
      </c>
      <c r="K635" s="231"/>
      <c r="L635" s="230" t="s">
        <v>209</v>
      </c>
      <c r="M635" s="197"/>
      <c r="N635" s="198"/>
      <c r="O635" s="199" t="s">
        <v>209</v>
      </c>
      <c r="P635" s="199" t="s">
        <v>74</v>
      </c>
      <c r="Q635" s="199" t="s">
        <v>730</v>
      </c>
      <c r="R635" s="199" t="s">
        <v>707</v>
      </c>
      <c r="S635" s="200">
        <v>64</v>
      </c>
      <c r="T635" s="199"/>
      <c r="U635" s="199"/>
      <c r="V635" s="201"/>
      <c r="W635" s="202"/>
      <c r="X635" s="203"/>
      <c r="Y635" s="203">
        <v>1</v>
      </c>
      <c r="Z635" s="199"/>
      <c r="AA635" s="204"/>
      <c r="AB635" s="205"/>
      <c r="AC635" s="201"/>
    </row>
    <row r="636" spans="1:29" x14ac:dyDescent="0.25">
      <c r="A636" s="323">
        <v>45900</v>
      </c>
      <c r="B636" s="136">
        <v>3</v>
      </c>
      <c r="C636" s="137" t="s">
        <v>700</v>
      </c>
      <c r="D636" s="136" t="s">
        <v>456</v>
      </c>
      <c r="E636" s="138">
        <v>0.96</v>
      </c>
      <c r="F636" s="138"/>
      <c r="G636" s="139">
        <v>1</v>
      </c>
      <c r="H636" s="139">
        <v>1</v>
      </c>
      <c r="I636" s="139"/>
      <c r="J636" s="140">
        <v>1.04</v>
      </c>
      <c r="K636" s="137" t="s">
        <v>694</v>
      </c>
      <c r="L636" s="136" t="s">
        <v>91</v>
      </c>
      <c r="M636" s="141"/>
      <c r="N636" s="142">
        <v>5</v>
      </c>
      <c r="O636" s="64" t="s">
        <v>456</v>
      </c>
      <c r="P636" s="64" t="s">
        <v>162</v>
      </c>
      <c r="Q636" s="64" t="s">
        <v>163</v>
      </c>
      <c r="R636" s="64" t="s">
        <v>686</v>
      </c>
      <c r="S636" s="217">
        <v>64</v>
      </c>
      <c r="T636" s="64" t="s">
        <v>44</v>
      </c>
      <c r="U636" s="64" t="s">
        <v>43</v>
      </c>
      <c r="V636" s="65" t="s">
        <v>10</v>
      </c>
      <c r="W636" s="167">
        <v>0.14000000000000001</v>
      </c>
      <c r="X636" s="138" t="s">
        <v>53</v>
      </c>
      <c r="Y636" s="138"/>
      <c r="Z636" s="136" t="s">
        <v>22</v>
      </c>
      <c r="AA636" s="168" t="s">
        <v>28</v>
      </c>
      <c r="AB636" s="169"/>
      <c r="AC636" s="170"/>
    </row>
    <row r="637" spans="1:29" x14ac:dyDescent="0.25">
      <c r="A637" s="324">
        <v>45900</v>
      </c>
      <c r="B637" s="144">
        <v>3</v>
      </c>
      <c r="C637" s="145"/>
      <c r="D637" s="144" t="s">
        <v>456</v>
      </c>
      <c r="E637" s="146">
        <v>0.96</v>
      </c>
      <c r="F637" s="146"/>
      <c r="G637" s="147">
        <v>1</v>
      </c>
      <c r="H637" s="147">
        <v>1</v>
      </c>
      <c r="I637" s="147"/>
      <c r="J637" s="148">
        <v>1.04</v>
      </c>
      <c r="K637" s="145"/>
      <c r="L637" s="144" t="s">
        <v>91</v>
      </c>
      <c r="M637" s="149"/>
      <c r="N637" s="150">
        <v>43</v>
      </c>
      <c r="O637" s="26" t="s">
        <v>91</v>
      </c>
      <c r="P637" s="26" t="s">
        <v>96</v>
      </c>
      <c r="Q637" s="26" t="s">
        <v>97</v>
      </c>
      <c r="R637" s="26" t="s">
        <v>718</v>
      </c>
      <c r="S637" s="213">
        <v>77</v>
      </c>
      <c r="T637" s="26" t="s">
        <v>354</v>
      </c>
      <c r="U637" s="26" t="s">
        <v>43</v>
      </c>
      <c r="V637" s="43" t="s">
        <v>10</v>
      </c>
      <c r="W637" s="171">
        <v>0.03</v>
      </c>
      <c r="X637" s="146">
        <v>0.15</v>
      </c>
      <c r="Y637" s="146"/>
      <c r="Z637" s="144" t="s">
        <v>48</v>
      </c>
      <c r="AA637" s="172" t="s">
        <v>28</v>
      </c>
      <c r="AB637" s="173"/>
      <c r="AC637" s="174"/>
    </row>
    <row r="638" spans="1:29" x14ac:dyDescent="0.25">
      <c r="A638" s="324">
        <v>45900</v>
      </c>
      <c r="B638" s="144">
        <v>3</v>
      </c>
      <c r="C638" s="145"/>
      <c r="D638" s="144" t="s">
        <v>456</v>
      </c>
      <c r="E638" s="146">
        <v>0.96</v>
      </c>
      <c r="F638" s="146"/>
      <c r="G638" s="147">
        <v>1</v>
      </c>
      <c r="H638" s="147">
        <v>1</v>
      </c>
      <c r="I638" s="147"/>
      <c r="J638" s="148">
        <v>1.04</v>
      </c>
      <c r="K638" s="145"/>
      <c r="L638" s="144" t="s">
        <v>91</v>
      </c>
      <c r="M638" s="149"/>
      <c r="N638" s="150">
        <v>52</v>
      </c>
      <c r="O638" s="26" t="s">
        <v>91</v>
      </c>
      <c r="P638" s="26" t="s">
        <v>332</v>
      </c>
      <c r="Q638" s="26" t="s">
        <v>333</v>
      </c>
      <c r="R638" s="26" t="s">
        <v>685</v>
      </c>
      <c r="S638" s="213">
        <v>68</v>
      </c>
      <c r="T638" s="26" t="s">
        <v>41</v>
      </c>
      <c r="U638" s="26" t="s">
        <v>43</v>
      </c>
      <c r="V638" s="43" t="s">
        <v>10</v>
      </c>
      <c r="W638" s="171">
        <v>0.1</v>
      </c>
      <c r="X638" s="146" t="s">
        <v>53</v>
      </c>
      <c r="Y638" s="146"/>
      <c r="Z638" s="144" t="s">
        <v>52</v>
      </c>
      <c r="AA638" s="172" t="s">
        <v>28</v>
      </c>
      <c r="AB638" s="173"/>
      <c r="AC638" s="174"/>
    </row>
    <row r="639" spans="1:29" x14ac:dyDescent="0.25">
      <c r="A639" s="324">
        <v>45900</v>
      </c>
      <c r="B639" s="144">
        <v>3</v>
      </c>
      <c r="C639" s="145"/>
      <c r="D639" s="144" t="s">
        <v>456</v>
      </c>
      <c r="E639" s="146">
        <v>0.96</v>
      </c>
      <c r="F639" s="146"/>
      <c r="G639" s="147">
        <v>1</v>
      </c>
      <c r="H639" s="147">
        <v>1</v>
      </c>
      <c r="I639" s="147"/>
      <c r="J639" s="148">
        <v>1.04</v>
      </c>
      <c r="K639" s="145"/>
      <c r="L639" s="144" t="s">
        <v>91</v>
      </c>
      <c r="M639" s="149"/>
      <c r="N639" s="150">
        <v>53</v>
      </c>
      <c r="O639" s="26" t="s">
        <v>91</v>
      </c>
      <c r="P639" s="26" t="s">
        <v>96</v>
      </c>
      <c r="Q639" s="26" t="s">
        <v>97</v>
      </c>
      <c r="R639" s="26" t="s">
        <v>718</v>
      </c>
      <c r="S639" s="213">
        <v>77</v>
      </c>
      <c r="T639" s="26" t="s">
        <v>41</v>
      </c>
      <c r="U639" s="26" t="s">
        <v>43</v>
      </c>
      <c r="V639" s="43" t="s">
        <v>10</v>
      </c>
      <c r="W639" s="171">
        <v>0.6</v>
      </c>
      <c r="X639" s="146">
        <v>0.67</v>
      </c>
      <c r="Y639" s="146" t="s">
        <v>353</v>
      </c>
      <c r="Z639" s="144" t="s">
        <v>8</v>
      </c>
      <c r="AA639" s="172" t="s">
        <v>9</v>
      </c>
      <c r="AB639" s="173" t="s">
        <v>104</v>
      </c>
      <c r="AC639" s="174" t="s">
        <v>105</v>
      </c>
    </row>
    <row r="640" spans="1:29" x14ac:dyDescent="0.25">
      <c r="A640" s="324">
        <v>45900</v>
      </c>
      <c r="B640" s="144">
        <v>3</v>
      </c>
      <c r="C640" s="145"/>
      <c r="D640" s="144" t="s">
        <v>456</v>
      </c>
      <c r="E640" s="146">
        <v>0.96</v>
      </c>
      <c r="F640" s="146"/>
      <c r="G640" s="147">
        <v>1</v>
      </c>
      <c r="H640" s="147">
        <v>1</v>
      </c>
      <c r="I640" s="147"/>
      <c r="J640" s="148">
        <v>1.04</v>
      </c>
      <c r="K640" s="145"/>
      <c r="L640" s="144" t="s">
        <v>91</v>
      </c>
      <c r="M640" s="149"/>
      <c r="N640" s="150">
        <v>58</v>
      </c>
      <c r="O640" s="26" t="s">
        <v>91</v>
      </c>
      <c r="P640" s="26" t="s">
        <v>49</v>
      </c>
      <c r="Q640" s="26" t="s">
        <v>50</v>
      </c>
      <c r="R640" s="26" t="s">
        <v>695</v>
      </c>
      <c r="S640" s="213">
        <v>67</v>
      </c>
      <c r="T640" s="26" t="s">
        <v>44</v>
      </c>
      <c r="U640" s="26" t="s">
        <v>43</v>
      </c>
      <c r="V640" s="43" t="s">
        <v>10</v>
      </c>
      <c r="W640" s="171">
        <v>0.05</v>
      </c>
      <c r="X640" s="146" t="s">
        <v>53</v>
      </c>
      <c r="Y640" s="146"/>
      <c r="Z640" s="144" t="s">
        <v>22</v>
      </c>
      <c r="AA640" s="172" t="s">
        <v>9</v>
      </c>
      <c r="AB640" s="173"/>
      <c r="AC640" s="174"/>
    </row>
    <row r="641" spans="1:29" x14ac:dyDescent="0.25">
      <c r="A641" s="324">
        <v>45900</v>
      </c>
      <c r="B641" s="144">
        <v>3</v>
      </c>
      <c r="C641" s="145"/>
      <c r="D641" s="144" t="s">
        <v>456</v>
      </c>
      <c r="E641" s="146">
        <v>0.96</v>
      </c>
      <c r="F641" s="146"/>
      <c r="G641" s="147">
        <v>1</v>
      </c>
      <c r="H641" s="147">
        <v>1</v>
      </c>
      <c r="I641" s="147"/>
      <c r="J641" s="148">
        <v>1.04</v>
      </c>
      <c r="K641" s="145"/>
      <c r="L641" s="144" t="s">
        <v>91</v>
      </c>
      <c r="M641" s="149"/>
      <c r="N641" s="150">
        <v>77</v>
      </c>
      <c r="O641" s="26" t="s">
        <v>91</v>
      </c>
      <c r="P641" s="26" t="s">
        <v>49</v>
      </c>
      <c r="Q641" s="26" t="s">
        <v>50</v>
      </c>
      <c r="R641" s="26" t="s">
        <v>695</v>
      </c>
      <c r="S641" s="213">
        <v>67</v>
      </c>
      <c r="T641" s="26" t="s">
        <v>44</v>
      </c>
      <c r="U641" s="26" t="s">
        <v>43</v>
      </c>
      <c r="V641" s="43" t="s">
        <v>10</v>
      </c>
      <c r="W641" s="171">
        <v>7.0000000000000007E-2</v>
      </c>
      <c r="X641" s="146" t="s">
        <v>53</v>
      </c>
      <c r="Y641" s="146"/>
      <c r="Z641" s="144" t="s">
        <v>22</v>
      </c>
      <c r="AA641" s="172" t="s">
        <v>9</v>
      </c>
      <c r="AB641" s="173"/>
      <c r="AC641" s="174"/>
    </row>
    <row r="642" spans="1:29" x14ac:dyDescent="0.25">
      <c r="A642" s="324">
        <v>45900</v>
      </c>
      <c r="B642" s="144">
        <v>3</v>
      </c>
      <c r="C642" s="145"/>
      <c r="D642" s="144" t="s">
        <v>456</v>
      </c>
      <c r="E642" s="146">
        <v>0.96</v>
      </c>
      <c r="F642" s="146"/>
      <c r="G642" s="147">
        <v>1</v>
      </c>
      <c r="H642" s="147">
        <v>1</v>
      </c>
      <c r="I642" s="147"/>
      <c r="J642" s="148">
        <v>1.04</v>
      </c>
      <c r="K642" s="145"/>
      <c r="L642" s="144" t="s">
        <v>91</v>
      </c>
      <c r="M642" s="149"/>
      <c r="N642" s="150">
        <v>86</v>
      </c>
      <c r="O642" s="26" t="s">
        <v>91</v>
      </c>
      <c r="P642" s="26" t="s">
        <v>65</v>
      </c>
      <c r="Q642" s="26" t="s">
        <v>334</v>
      </c>
      <c r="R642" s="26" t="s">
        <v>713</v>
      </c>
      <c r="S642" s="213">
        <v>78</v>
      </c>
      <c r="T642" s="26" t="s">
        <v>41</v>
      </c>
      <c r="U642" s="26" t="s">
        <v>45</v>
      </c>
      <c r="V642" s="43" t="s">
        <v>20</v>
      </c>
      <c r="W642" s="171">
        <v>0.1</v>
      </c>
      <c r="X642" s="146" t="s">
        <v>53</v>
      </c>
      <c r="Y642" s="146"/>
      <c r="Z642" s="144" t="s">
        <v>13</v>
      </c>
      <c r="AA642" s="172" t="s">
        <v>9</v>
      </c>
      <c r="AB642" s="173"/>
      <c r="AC642" s="174"/>
    </row>
    <row r="643" spans="1:29" x14ac:dyDescent="0.25">
      <c r="A643" s="324">
        <v>45900</v>
      </c>
      <c r="B643" s="144">
        <v>3</v>
      </c>
      <c r="C643" s="145"/>
      <c r="D643" s="144" t="s">
        <v>456</v>
      </c>
      <c r="E643" s="146">
        <v>0.96</v>
      </c>
      <c r="F643" s="146"/>
      <c r="G643" s="147">
        <v>1</v>
      </c>
      <c r="H643" s="147">
        <v>1</v>
      </c>
      <c r="I643" s="147"/>
      <c r="J643" s="148">
        <v>1.04</v>
      </c>
      <c r="K643" s="145"/>
      <c r="L643" s="144" t="s">
        <v>91</v>
      </c>
      <c r="M643" s="149"/>
      <c r="N643" s="150">
        <v>90</v>
      </c>
      <c r="O643" s="61" t="s">
        <v>456</v>
      </c>
      <c r="P643" s="61" t="s">
        <v>249</v>
      </c>
      <c r="Q643" s="61" t="s">
        <v>250</v>
      </c>
      <c r="R643" s="61" t="s">
        <v>696</v>
      </c>
      <c r="S643" s="218">
        <v>67</v>
      </c>
      <c r="T643" s="61" t="s">
        <v>41</v>
      </c>
      <c r="U643" s="61" t="s">
        <v>42</v>
      </c>
      <c r="V643" s="63" t="s">
        <v>10</v>
      </c>
      <c r="W643" s="171">
        <v>0.25</v>
      </c>
      <c r="X643" s="146" t="s">
        <v>53</v>
      </c>
      <c r="Y643" s="146" t="s">
        <v>353</v>
      </c>
      <c r="Z643" s="144" t="s">
        <v>16</v>
      </c>
      <c r="AA643" s="172" t="s">
        <v>9</v>
      </c>
      <c r="AB643" s="173"/>
      <c r="AC643" s="174"/>
    </row>
    <row r="644" spans="1:29" ht="15.75" thickBot="1" x14ac:dyDescent="0.3">
      <c r="A644" s="325">
        <v>45900</v>
      </c>
      <c r="B644" s="152">
        <v>3</v>
      </c>
      <c r="C644" s="153"/>
      <c r="D644" s="152" t="s">
        <v>456</v>
      </c>
      <c r="E644" s="154">
        <v>0.96</v>
      </c>
      <c r="F644" s="154"/>
      <c r="G644" s="155">
        <v>1</v>
      </c>
      <c r="H644" s="155">
        <v>1</v>
      </c>
      <c r="I644" s="155"/>
      <c r="J644" s="156">
        <v>1.04</v>
      </c>
      <c r="K644" s="153"/>
      <c r="L644" s="152" t="s">
        <v>91</v>
      </c>
      <c r="M644" s="157"/>
      <c r="N644" s="158" t="s">
        <v>36</v>
      </c>
      <c r="O644" s="66" t="s">
        <v>456</v>
      </c>
      <c r="P644" s="66" t="s">
        <v>313</v>
      </c>
      <c r="Q644" s="66" t="s">
        <v>301</v>
      </c>
      <c r="R644" s="66" t="s">
        <v>696</v>
      </c>
      <c r="S644" s="219">
        <v>73</v>
      </c>
      <c r="T644" s="66" t="s">
        <v>47</v>
      </c>
      <c r="U644" s="66" t="s">
        <v>45</v>
      </c>
      <c r="V644" s="67" t="s">
        <v>10</v>
      </c>
      <c r="W644" s="175">
        <v>0.28000000000000003</v>
      </c>
      <c r="X644" s="154">
        <v>0.67</v>
      </c>
      <c r="Y644" s="154" t="s">
        <v>353</v>
      </c>
      <c r="Z644" s="152" t="s">
        <v>8</v>
      </c>
      <c r="AA644" s="176" t="s">
        <v>51</v>
      </c>
      <c r="AB644" s="177" t="s">
        <v>278</v>
      </c>
      <c r="AC644" s="178" t="s">
        <v>252</v>
      </c>
    </row>
    <row r="645" spans="1:29" ht="15.75" thickBot="1" x14ac:dyDescent="0.3">
      <c r="A645" s="326">
        <v>45900</v>
      </c>
      <c r="B645" s="207">
        <v>3</v>
      </c>
      <c r="C645" s="208"/>
      <c r="D645" s="207" t="s">
        <v>456</v>
      </c>
      <c r="E645" s="209">
        <v>0.96</v>
      </c>
      <c r="F645" s="209"/>
      <c r="G645" s="210">
        <v>1</v>
      </c>
      <c r="H645" s="210">
        <v>1</v>
      </c>
      <c r="I645" s="210"/>
      <c r="J645" s="211">
        <v>1.04</v>
      </c>
      <c r="K645" s="208"/>
      <c r="L645" s="207" t="s">
        <v>91</v>
      </c>
      <c r="M645" s="235"/>
      <c r="N645" s="198"/>
      <c r="O645" s="199" t="s">
        <v>456</v>
      </c>
      <c r="P645" s="199" t="s">
        <v>719</v>
      </c>
      <c r="Q645" s="199" t="s">
        <v>720</v>
      </c>
      <c r="R645" s="199" t="s">
        <v>707</v>
      </c>
      <c r="S645" s="200">
        <v>74</v>
      </c>
      <c r="T645" s="199"/>
      <c r="U645" s="199"/>
      <c r="V645" s="201"/>
      <c r="W645" s="202"/>
      <c r="X645" s="203"/>
      <c r="Y645" s="203">
        <v>1</v>
      </c>
      <c r="Z645" s="199"/>
      <c r="AA645" s="204"/>
      <c r="AB645" s="205"/>
      <c r="AC645" s="201"/>
    </row>
    <row r="646" spans="1:29" ht="15.75" thickBot="1" x14ac:dyDescent="0.3">
      <c r="A646" s="326">
        <v>45900</v>
      </c>
      <c r="B646" s="207">
        <v>3</v>
      </c>
      <c r="C646" s="208"/>
      <c r="D646" s="207" t="s">
        <v>456</v>
      </c>
      <c r="E646" s="209">
        <v>0.96</v>
      </c>
      <c r="F646" s="209"/>
      <c r="G646" s="210">
        <v>1</v>
      </c>
      <c r="H646" s="210">
        <v>1</v>
      </c>
      <c r="I646" s="210"/>
      <c r="J646" s="211">
        <v>1.04</v>
      </c>
      <c r="K646" s="208"/>
      <c r="L646" s="207" t="s">
        <v>91</v>
      </c>
      <c r="M646" s="235"/>
      <c r="N646" s="198"/>
      <c r="O646" s="199" t="s">
        <v>91</v>
      </c>
      <c r="P646" s="199" t="s">
        <v>351</v>
      </c>
      <c r="Q646" s="199" t="s">
        <v>54</v>
      </c>
      <c r="R646" s="199" t="s">
        <v>707</v>
      </c>
      <c r="S646" s="200">
        <v>66</v>
      </c>
      <c r="T646" s="199"/>
      <c r="U646" s="199"/>
      <c r="V646" s="201"/>
      <c r="W646" s="202"/>
      <c r="X646" s="203"/>
      <c r="Y646" s="203">
        <v>1</v>
      </c>
      <c r="Z646" s="199"/>
      <c r="AA646" s="204"/>
      <c r="AB646" s="205"/>
      <c r="AC646" s="201"/>
    </row>
    <row r="647" spans="1:29" x14ac:dyDescent="0.25">
      <c r="A647" s="323">
        <v>45914</v>
      </c>
      <c r="B647" s="136">
        <v>4</v>
      </c>
      <c r="C647" s="137" t="s">
        <v>700</v>
      </c>
      <c r="D647" s="136" t="s">
        <v>456</v>
      </c>
      <c r="E647" s="138">
        <v>2.5</v>
      </c>
      <c r="F647" s="138"/>
      <c r="G647" s="139">
        <v>1</v>
      </c>
      <c r="H647" s="139">
        <v>1</v>
      </c>
      <c r="I647" s="139"/>
      <c r="J647" s="140">
        <v>0.64</v>
      </c>
      <c r="K647" s="137" t="s">
        <v>692</v>
      </c>
      <c r="L647" s="136" t="s">
        <v>69</v>
      </c>
      <c r="M647" s="141"/>
      <c r="N647" s="142">
        <v>2</v>
      </c>
      <c r="O647" s="64" t="s">
        <v>456</v>
      </c>
      <c r="P647" s="64" t="s">
        <v>162</v>
      </c>
      <c r="Q647" s="64" t="s">
        <v>163</v>
      </c>
      <c r="R647" s="64" t="s">
        <v>686</v>
      </c>
      <c r="S647" s="217">
        <v>73</v>
      </c>
      <c r="T647" s="64" t="s">
        <v>41</v>
      </c>
      <c r="U647" s="64" t="s">
        <v>43</v>
      </c>
      <c r="V647" s="65" t="s">
        <v>540</v>
      </c>
      <c r="W647" s="167">
        <v>0.15</v>
      </c>
      <c r="X647" s="138" t="s">
        <v>53</v>
      </c>
      <c r="Y647" s="138"/>
      <c r="Z647" s="136" t="s">
        <v>52</v>
      </c>
      <c r="AA647" s="168" t="s">
        <v>28</v>
      </c>
      <c r="AB647" s="169"/>
      <c r="AC647" s="170"/>
    </row>
    <row r="648" spans="1:29" x14ac:dyDescent="0.25">
      <c r="A648" s="324">
        <v>45914</v>
      </c>
      <c r="B648" s="144">
        <v>4</v>
      </c>
      <c r="C648" s="145"/>
      <c r="D648" s="144" t="s">
        <v>456</v>
      </c>
      <c r="E648" s="146">
        <v>2.5</v>
      </c>
      <c r="F648" s="146"/>
      <c r="G648" s="147">
        <v>1</v>
      </c>
      <c r="H648" s="147">
        <v>1</v>
      </c>
      <c r="I648" s="147"/>
      <c r="J648" s="148">
        <v>0.64</v>
      </c>
      <c r="K648" s="145"/>
      <c r="L648" s="144" t="s">
        <v>69</v>
      </c>
      <c r="M648" s="149"/>
      <c r="N648" s="150">
        <v>12</v>
      </c>
      <c r="O648" s="26" t="s">
        <v>69</v>
      </c>
      <c r="P648" s="26" t="s">
        <v>389</v>
      </c>
      <c r="Q648" s="26" t="s">
        <v>390</v>
      </c>
      <c r="R648" s="26" t="s">
        <v>684</v>
      </c>
      <c r="S648" s="213">
        <v>76</v>
      </c>
      <c r="T648" s="26" t="s">
        <v>41</v>
      </c>
      <c r="U648" s="26" t="s">
        <v>42</v>
      </c>
      <c r="V648" s="43" t="s">
        <v>10</v>
      </c>
      <c r="W648" s="171">
        <v>7.0000000000000007E-2</v>
      </c>
      <c r="X648" s="146">
        <v>0.19</v>
      </c>
      <c r="Y648" s="146"/>
      <c r="Z648" s="144" t="s">
        <v>8</v>
      </c>
      <c r="AA648" s="172" t="s">
        <v>9</v>
      </c>
      <c r="AB648" s="173" t="s">
        <v>59</v>
      </c>
      <c r="AC648" s="174" t="s">
        <v>365</v>
      </c>
    </row>
    <row r="649" spans="1:29" x14ac:dyDescent="0.25">
      <c r="A649" s="324">
        <v>45914</v>
      </c>
      <c r="B649" s="144">
        <v>4</v>
      </c>
      <c r="C649" s="145"/>
      <c r="D649" s="144" t="s">
        <v>456</v>
      </c>
      <c r="E649" s="146">
        <v>2.5</v>
      </c>
      <c r="F649" s="146"/>
      <c r="G649" s="147">
        <v>1</v>
      </c>
      <c r="H649" s="147">
        <v>1</v>
      </c>
      <c r="I649" s="147"/>
      <c r="J649" s="148">
        <v>0.64</v>
      </c>
      <c r="K649" s="145"/>
      <c r="L649" s="144" t="s">
        <v>69</v>
      </c>
      <c r="M649" s="149"/>
      <c r="N649" s="150">
        <v>39</v>
      </c>
      <c r="O649" s="26" t="s">
        <v>69</v>
      </c>
      <c r="P649" s="26" t="s">
        <v>59</v>
      </c>
      <c r="Q649" s="26" t="s">
        <v>365</v>
      </c>
      <c r="R649" s="26" t="s">
        <v>690</v>
      </c>
      <c r="S649" s="213">
        <v>71</v>
      </c>
      <c r="T649" s="26" t="s">
        <v>41</v>
      </c>
      <c r="U649" s="26" t="s">
        <v>45</v>
      </c>
      <c r="V649" s="43" t="s">
        <v>10</v>
      </c>
      <c r="W649" s="171">
        <v>0.05</v>
      </c>
      <c r="X649" s="146">
        <v>0.04</v>
      </c>
      <c r="Y649" s="146" t="s">
        <v>353</v>
      </c>
      <c r="Z649" s="144" t="s">
        <v>48</v>
      </c>
      <c r="AA649" s="172" t="s">
        <v>9</v>
      </c>
      <c r="AB649" s="173"/>
      <c r="AC649" s="174"/>
    </row>
    <row r="650" spans="1:29" x14ac:dyDescent="0.25">
      <c r="A650" s="324">
        <v>45914</v>
      </c>
      <c r="B650" s="144">
        <v>4</v>
      </c>
      <c r="C650" s="145"/>
      <c r="D650" s="144" t="s">
        <v>456</v>
      </c>
      <c r="E650" s="146">
        <v>2.5</v>
      </c>
      <c r="F650" s="146"/>
      <c r="G650" s="147">
        <v>1</v>
      </c>
      <c r="H650" s="147">
        <v>1</v>
      </c>
      <c r="I650" s="147"/>
      <c r="J650" s="148">
        <v>0.64</v>
      </c>
      <c r="K650" s="145"/>
      <c r="L650" s="144" t="s">
        <v>69</v>
      </c>
      <c r="M650" s="149"/>
      <c r="N650" s="150">
        <v>40</v>
      </c>
      <c r="O650" s="61" t="s">
        <v>456</v>
      </c>
      <c r="P650" s="61" t="s">
        <v>118</v>
      </c>
      <c r="Q650" s="61" t="s">
        <v>357</v>
      </c>
      <c r="R650" s="61" t="s">
        <v>684</v>
      </c>
      <c r="S650" s="218">
        <v>62</v>
      </c>
      <c r="T650" s="61" t="s">
        <v>41</v>
      </c>
      <c r="U650" s="61" t="s">
        <v>45</v>
      </c>
      <c r="V650" s="63" t="s">
        <v>10</v>
      </c>
      <c r="W650" s="171">
        <v>0.13</v>
      </c>
      <c r="X650" s="146" t="s">
        <v>53</v>
      </c>
      <c r="Y650" s="146"/>
      <c r="Z650" s="144" t="s">
        <v>13</v>
      </c>
      <c r="AA650" s="172" t="s">
        <v>9</v>
      </c>
      <c r="AB650" s="173"/>
      <c r="AC650" s="174"/>
    </row>
    <row r="651" spans="1:29" x14ac:dyDescent="0.25">
      <c r="A651" s="324">
        <v>45914</v>
      </c>
      <c r="B651" s="144">
        <v>4</v>
      </c>
      <c r="C651" s="145"/>
      <c r="D651" s="144" t="s">
        <v>456</v>
      </c>
      <c r="E651" s="146">
        <v>2.5</v>
      </c>
      <c r="F651" s="146"/>
      <c r="G651" s="147">
        <v>1</v>
      </c>
      <c r="H651" s="147">
        <v>1</v>
      </c>
      <c r="I651" s="147"/>
      <c r="J651" s="148">
        <v>0.64</v>
      </c>
      <c r="K651" s="145"/>
      <c r="L651" s="144" t="s">
        <v>69</v>
      </c>
      <c r="M651" s="149"/>
      <c r="N651" s="150">
        <v>42</v>
      </c>
      <c r="O651" s="61" t="s">
        <v>456</v>
      </c>
      <c r="P651" s="61" t="s">
        <v>118</v>
      </c>
      <c r="Q651" s="61" t="s">
        <v>357</v>
      </c>
      <c r="R651" s="61" t="s">
        <v>684</v>
      </c>
      <c r="S651" s="218">
        <v>62</v>
      </c>
      <c r="T651" s="61" t="s">
        <v>41</v>
      </c>
      <c r="U651" s="61" t="s">
        <v>42</v>
      </c>
      <c r="V651" s="63" t="s">
        <v>10</v>
      </c>
      <c r="W651" s="171">
        <v>0.06</v>
      </c>
      <c r="X651" s="146">
        <v>0.13</v>
      </c>
      <c r="Y651" s="146"/>
      <c r="Z651" s="144" t="s">
        <v>48</v>
      </c>
      <c r="AA651" s="172" t="s">
        <v>9</v>
      </c>
      <c r="AB651" s="173"/>
      <c r="AC651" s="174"/>
    </row>
    <row r="652" spans="1:29" x14ac:dyDescent="0.25">
      <c r="A652" s="324">
        <v>45914</v>
      </c>
      <c r="B652" s="144">
        <v>4</v>
      </c>
      <c r="C652" s="145"/>
      <c r="D652" s="144" t="s">
        <v>456</v>
      </c>
      <c r="E652" s="146">
        <v>2.5</v>
      </c>
      <c r="F652" s="146"/>
      <c r="G652" s="147">
        <v>1</v>
      </c>
      <c r="H652" s="147">
        <v>1</v>
      </c>
      <c r="I652" s="147"/>
      <c r="J652" s="148">
        <v>0.64</v>
      </c>
      <c r="K652" s="145"/>
      <c r="L652" s="144" t="s">
        <v>69</v>
      </c>
      <c r="M652" s="149"/>
      <c r="N652" s="150">
        <v>42</v>
      </c>
      <c r="O652" s="61" t="s">
        <v>456</v>
      </c>
      <c r="P652" s="61" t="s">
        <v>118</v>
      </c>
      <c r="Q652" s="61" t="s">
        <v>357</v>
      </c>
      <c r="R652" s="61" t="s">
        <v>684</v>
      </c>
      <c r="S652" s="218">
        <v>62</v>
      </c>
      <c r="T652" s="61" t="s">
        <v>41</v>
      </c>
      <c r="U652" s="61" t="s">
        <v>42</v>
      </c>
      <c r="V652" s="63" t="s">
        <v>20</v>
      </c>
      <c r="W652" s="171">
        <v>7.0000000000000007E-2</v>
      </c>
      <c r="X652" s="146">
        <v>0.38</v>
      </c>
      <c r="Y652" s="146"/>
      <c r="Z652" s="144" t="s">
        <v>48</v>
      </c>
      <c r="AA652" s="172" t="s">
        <v>9</v>
      </c>
      <c r="AB652" s="173"/>
      <c r="AC652" s="174"/>
    </row>
    <row r="653" spans="1:29" x14ac:dyDescent="0.25">
      <c r="A653" s="324">
        <v>45914</v>
      </c>
      <c r="B653" s="144">
        <v>4</v>
      </c>
      <c r="C653" s="145"/>
      <c r="D653" s="144" t="s">
        <v>456</v>
      </c>
      <c r="E653" s="146">
        <v>2.5</v>
      </c>
      <c r="F653" s="146"/>
      <c r="G653" s="147">
        <v>1</v>
      </c>
      <c r="H653" s="147">
        <v>1</v>
      </c>
      <c r="I653" s="147"/>
      <c r="J653" s="148">
        <v>0.64</v>
      </c>
      <c r="K653" s="145"/>
      <c r="L653" s="144" t="s">
        <v>69</v>
      </c>
      <c r="M653" s="149"/>
      <c r="N653" s="150">
        <v>48</v>
      </c>
      <c r="O653" s="61" t="s">
        <v>456</v>
      </c>
      <c r="P653" s="61" t="s">
        <v>118</v>
      </c>
      <c r="Q653" s="61" t="s">
        <v>357</v>
      </c>
      <c r="R653" s="61" t="s">
        <v>684</v>
      </c>
      <c r="S653" s="218">
        <v>62</v>
      </c>
      <c r="T653" s="61" t="s">
        <v>41</v>
      </c>
      <c r="U653" s="61" t="s">
        <v>42</v>
      </c>
      <c r="V653" s="63" t="s">
        <v>10</v>
      </c>
      <c r="W653" s="171">
        <v>0.26</v>
      </c>
      <c r="X653" s="146">
        <v>0.47</v>
      </c>
      <c r="Y653" s="146"/>
      <c r="Z653" s="144" t="s">
        <v>48</v>
      </c>
      <c r="AA653" s="172" t="s">
        <v>9</v>
      </c>
      <c r="AB653" s="173"/>
      <c r="AC653" s="174"/>
    </row>
    <row r="654" spans="1:29" x14ac:dyDescent="0.25">
      <c r="A654" s="324">
        <v>45914</v>
      </c>
      <c r="B654" s="144">
        <v>4</v>
      </c>
      <c r="C654" s="145"/>
      <c r="D654" s="144" t="s">
        <v>456</v>
      </c>
      <c r="E654" s="146">
        <v>2.5</v>
      </c>
      <c r="F654" s="146"/>
      <c r="G654" s="147">
        <v>1</v>
      </c>
      <c r="H654" s="147">
        <v>1</v>
      </c>
      <c r="I654" s="147"/>
      <c r="J654" s="148">
        <v>0.64</v>
      </c>
      <c r="K654" s="145"/>
      <c r="L654" s="144" t="s">
        <v>69</v>
      </c>
      <c r="M654" s="149"/>
      <c r="N654" s="150">
        <v>58</v>
      </c>
      <c r="O654" s="26" t="s">
        <v>69</v>
      </c>
      <c r="P654" s="26" t="s">
        <v>389</v>
      </c>
      <c r="Q654" s="26" t="s">
        <v>390</v>
      </c>
      <c r="R654" s="26" t="s">
        <v>684</v>
      </c>
      <c r="S654" s="213">
        <v>76</v>
      </c>
      <c r="T654" s="26" t="s">
        <v>41</v>
      </c>
      <c r="U654" s="26" t="s">
        <v>43</v>
      </c>
      <c r="V654" s="43" t="s">
        <v>10</v>
      </c>
      <c r="W654" s="171">
        <v>0.06</v>
      </c>
      <c r="X654" s="146">
        <v>0.36</v>
      </c>
      <c r="Y654" s="146"/>
      <c r="Z654" s="144" t="s">
        <v>48</v>
      </c>
      <c r="AA654" s="172" t="s">
        <v>9</v>
      </c>
      <c r="AB654" s="173"/>
      <c r="AC654" s="174"/>
    </row>
    <row r="655" spans="1:29" x14ac:dyDescent="0.25">
      <c r="A655" s="324">
        <v>45914</v>
      </c>
      <c r="B655" s="144">
        <v>4</v>
      </c>
      <c r="C655" s="145"/>
      <c r="D655" s="144" t="s">
        <v>456</v>
      </c>
      <c r="E655" s="146">
        <v>2.5</v>
      </c>
      <c r="F655" s="146"/>
      <c r="G655" s="147">
        <v>1</v>
      </c>
      <c r="H655" s="147">
        <v>1</v>
      </c>
      <c r="I655" s="147"/>
      <c r="J655" s="148">
        <v>0.64</v>
      </c>
      <c r="K655" s="145"/>
      <c r="L655" s="144" t="s">
        <v>69</v>
      </c>
      <c r="M655" s="149"/>
      <c r="N655" s="150">
        <v>60</v>
      </c>
      <c r="O655" s="61" t="s">
        <v>456</v>
      </c>
      <c r="P655" s="61" t="s">
        <v>384</v>
      </c>
      <c r="Q655" s="61" t="s">
        <v>385</v>
      </c>
      <c r="R655" s="61" t="s">
        <v>688</v>
      </c>
      <c r="S655" s="218">
        <v>65</v>
      </c>
      <c r="T655" s="61" t="s">
        <v>47</v>
      </c>
      <c r="U655" s="61" t="s">
        <v>43</v>
      </c>
      <c r="V655" s="63" t="s">
        <v>10</v>
      </c>
      <c r="W655" s="171">
        <v>0.27</v>
      </c>
      <c r="X655" s="146" t="s">
        <v>53</v>
      </c>
      <c r="Y655" s="146"/>
      <c r="Z655" s="144" t="s">
        <v>13</v>
      </c>
      <c r="AA655" s="172" t="s">
        <v>9</v>
      </c>
      <c r="AB655" s="173"/>
      <c r="AC655" s="174"/>
    </row>
    <row r="656" spans="1:29" x14ac:dyDescent="0.25">
      <c r="A656" s="324">
        <v>45914</v>
      </c>
      <c r="B656" s="144">
        <v>4</v>
      </c>
      <c r="C656" s="145"/>
      <c r="D656" s="144" t="s">
        <v>456</v>
      </c>
      <c r="E656" s="146">
        <v>2.5</v>
      </c>
      <c r="F656" s="146"/>
      <c r="G656" s="147">
        <v>1</v>
      </c>
      <c r="H656" s="147">
        <v>1</v>
      </c>
      <c r="I656" s="147"/>
      <c r="J656" s="148">
        <v>0.64</v>
      </c>
      <c r="K656" s="145"/>
      <c r="L656" s="144" t="s">
        <v>69</v>
      </c>
      <c r="M656" s="149"/>
      <c r="N656" s="150">
        <v>62</v>
      </c>
      <c r="O656" s="61" t="s">
        <v>456</v>
      </c>
      <c r="P656" s="61" t="s">
        <v>147</v>
      </c>
      <c r="Q656" s="61" t="s">
        <v>386</v>
      </c>
      <c r="R656" s="61" t="s">
        <v>695</v>
      </c>
      <c r="S656" s="218">
        <v>73</v>
      </c>
      <c r="T656" s="61" t="s">
        <v>354</v>
      </c>
      <c r="U656" s="61" t="s">
        <v>43</v>
      </c>
      <c r="V656" s="63" t="s">
        <v>20</v>
      </c>
      <c r="W656" s="171">
        <v>0.05</v>
      </c>
      <c r="X656" s="146">
        <v>0.19</v>
      </c>
      <c r="Y656" s="146"/>
      <c r="Z656" s="144" t="s">
        <v>48</v>
      </c>
      <c r="AA656" s="172" t="s">
        <v>9</v>
      </c>
      <c r="AB656" s="173"/>
      <c r="AC656" s="174"/>
    </row>
    <row r="657" spans="1:29" x14ac:dyDescent="0.25">
      <c r="A657" s="324">
        <v>45914</v>
      </c>
      <c r="B657" s="144">
        <v>4</v>
      </c>
      <c r="C657" s="145"/>
      <c r="D657" s="144" t="s">
        <v>456</v>
      </c>
      <c r="E657" s="146">
        <v>2.5</v>
      </c>
      <c r="F657" s="146"/>
      <c r="G657" s="147">
        <v>1</v>
      </c>
      <c r="H657" s="147">
        <v>1</v>
      </c>
      <c r="I657" s="147"/>
      <c r="J657" s="148">
        <v>0.64</v>
      </c>
      <c r="K657" s="145"/>
      <c r="L657" s="144" t="s">
        <v>69</v>
      </c>
      <c r="M657" s="149"/>
      <c r="N657" s="150">
        <v>69</v>
      </c>
      <c r="O657" s="61" t="s">
        <v>456</v>
      </c>
      <c r="P657" s="61" t="s">
        <v>384</v>
      </c>
      <c r="Q657" s="61" t="s">
        <v>385</v>
      </c>
      <c r="R657" s="61" t="s">
        <v>688</v>
      </c>
      <c r="S657" s="218">
        <v>65</v>
      </c>
      <c r="T657" s="61" t="s">
        <v>41</v>
      </c>
      <c r="U657" s="61" t="s">
        <v>42</v>
      </c>
      <c r="V657" s="63" t="s">
        <v>540</v>
      </c>
      <c r="W657" s="171">
        <v>0.13</v>
      </c>
      <c r="X657" s="146">
        <v>0.2</v>
      </c>
      <c r="Y657" s="146"/>
      <c r="Z657" s="144" t="s">
        <v>48</v>
      </c>
      <c r="AA657" s="172" t="s">
        <v>9</v>
      </c>
      <c r="AB657" s="173"/>
      <c r="AC657" s="174"/>
    </row>
    <row r="658" spans="1:29" x14ac:dyDescent="0.25">
      <c r="A658" s="324">
        <v>45914</v>
      </c>
      <c r="B658" s="144">
        <v>4</v>
      </c>
      <c r="C658" s="145"/>
      <c r="D658" s="144" t="s">
        <v>456</v>
      </c>
      <c r="E658" s="146">
        <v>2.5</v>
      </c>
      <c r="F658" s="146"/>
      <c r="G658" s="147">
        <v>1</v>
      </c>
      <c r="H658" s="147">
        <v>1</v>
      </c>
      <c r="I658" s="147"/>
      <c r="J658" s="148">
        <v>0.64</v>
      </c>
      <c r="K658" s="145"/>
      <c r="L658" s="144" t="s">
        <v>69</v>
      </c>
      <c r="M658" s="149"/>
      <c r="N658" s="150">
        <v>75</v>
      </c>
      <c r="O658" s="61" t="s">
        <v>456</v>
      </c>
      <c r="P658" s="61" t="s">
        <v>387</v>
      </c>
      <c r="Q658" s="61" t="s">
        <v>388</v>
      </c>
      <c r="R658" s="61" t="s">
        <v>696</v>
      </c>
      <c r="S658" s="218">
        <v>68</v>
      </c>
      <c r="T658" s="61" t="s">
        <v>47</v>
      </c>
      <c r="U658" s="61" t="s">
        <v>45</v>
      </c>
      <c r="V658" s="63" t="s">
        <v>20</v>
      </c>
      <c r="W658" s="171">
        <v>0.11</v>
      </c>
      <c r="X658" s="146" t="s">
        <v>53</v>
      </c>
      <c r="Y658" s="146" t="s">
        <v>353</v>
      </c>
      <c r="Z658" s="144" t="s">
        <v>22</v>
      </c>
      <c r="AA658" s="172" t="s">
        <v>9</v>
      </c>
      <c r="AB658" s="173"/>
      <c r="AC658" s="174"/>
    </row>
    <row r="659" spans="1:29" x14ac:dyDescent="0.25">
      <c r="A659" s="324">
        <v>45914</v>
      </c>
      <c r="B659" s="144">
        <v>4</v>
      </c>
      <c r="C659" s="145"/>
      <c r="D659" s="144" t="s">
        <v>456</v>
      </c>
      <c r="E659" s="146">
        <v>2.5</v>
      </c>
      <c r="F659" s="146"/>
      <c r="G659" s="147">
        <v>1</v>
      </c>
      <c r="H659" s="147">
        <v>1</v>
      </c>
      <c r="I659" s="147"/>
      <c r="J659" s="148">
        <v>0.64</v>
      </c>
      <c r="K659" s="145"/>
      <c r="L659" s="144" t="s">
        <v>69</v>
      </c>
      <c r="M659" s="149"/>
      <c r="N659" s="150">
        <v>83</v>
      </c>
      <c r="O659" s="26" t="s">
        <v>69</v>
      </c>
      <c r="P659" s="26" t="s">
        <v>53</v>
      </c>
      <c r="Q659" s="26" t="s">
        <v>324</v>
      </c>
      <c r="R659" s="26" t="s">
        <v>696</v>
      </c>
      <c r="S659" s="213">
        <v>64</v>
      </c>
      <c r="T659" s="26" t="s">
        <v>41</v>
      </c>
      <c r="U659" s="26" t="s">
        <v>42</v>
      </c>
      <c r="V659" s="43" t="s">
        <v>540</v>
      </c>
      <c r="W659" s="171">
        <v>0.11</v>
      </c>
      <c r="X659" s="146">
        <v>0.21</v>
      </c>
      <c r="Y659" s="146" t="s">
        <v>353</v>
      </c>
      <c r="Z659" s="144" t="s">
        <v>48</v>
      </c>
      <c r="AA659" s="172" t="s">
        <v>9</v>
      </c>
      <c r="AB659" s="173"/>
      <c r="AC659" s="174"/>
    </row>
    <row r="660" spans="1:29" x14ac:dyDescent="0.25">
      <c r="A660" s="324">
        <v>45914</v>
      </c>
      <c r="B660" s="144">
        <v>4</v>
      </c>
      <c r="C660" s="145"/>
      <c r="D660" s="144" t="s">
        <v>456</v>
      </c>
      <c r="E660" s="146">
        <v>2.5</v>
      </c>
      <c r="F660" s="146"/>
      <c r="G660" s="147">
        <v>1</v>
      </c>
      <c r="H660" s="147">
        <v>1</v>
      </c>
      <c r="I660" s="147"/>
      <c r="J660" s="148">
        <v>0.64</v>
      </c>
      <c r="K660" s="145"/>
      <c r="L660" s="144" t="s">
        <v>69</v>
      </c>
      <c r="M660" s="149"/>
      <c r="N660" s="150">
        <v>86</v>
      </c>
      <c r="O660" s="61" t="s">
        <v>456</v>
      </c>
      <c r="P660" s="61" t="s">
        <v>387</v>
      </c>
      <c r="Q660" s="61" t="s">
        <v>388</v>
      </c>
      <c r="R660" s="61" t="s">
        <v>696</v>
      </c>
      <c r="S660" s="218">
        <v>68</v>
      </c>
      <c r="T660" s="61" t="s">
        <v>41</v>
      </c>
      <c r="U660" s="61" t="s">
        <v>45</v>
      </c>
      <c r="V660" s="63" t="s">
        <v>20</v>
      </c>
      <c r="W660" s="171">
        <v>0.06</v>
      </c>
      <c r="X660" s="146">
        <v>0.49</v>
      </c>
      <c r="Y660" s="146"/>
      <c r="Z660" s="144" t="s">
        <v>48</v>
      </c>
      <c r="AA660" s="172" t="s">
        <v>9</v>
      </c>
      <c r="AB660" s="173"/>
      <c r="AC660" s="174"/>
    </row>
    <row r="661" spans="1:29" x14ac:dyDescent="0.25">
      <c r="A661" s="324">
        <v>45914</v>
      </c>
      <c r="B661" s="144">
        <v>4</v>
      </c>
      <c r="C661" s="145"/>
      <c r="D661" s="144" t="s">
        <v>456</v>
      </c>
      <c r="E661" s="146">
        <v>2.5</v>
      </c>
      <c r="F661" s="146"/>
      <c r="G661" s="147">
        <v>1</v>
      </c>
      <c r="H661" s="147">
        <v>1</v>
      </c>
      <c r="I661" s="147"/>
      <c r="J661" s="148">
        <v>0.64</v>
      </c>
      <c r="K661" s="145"/>
      <c r="L661" s="144" t="s">
        <v>69</v>
      </c>
      <c r="M661" s="149"/>
      <c r="N661" s="150">
        <v>87</v>
      </c>
      <c r="O661" s="26" t="s">
        <v>69</v>
      </c>
      <c r="P661" s="26" t="s">
        <v>391</v>
      </c>
      <c r="Q661" s="26" t="s">
        <v>392</v>
      </c>
      <c r="R661" s="26" t="s">
        <v>696</v>
      </c>
      <c r="S661" s="213">
        <v>66</v>
      </c>
      <c r="T661" s="26" t="s">
        <v>41</v>
      </c>
      <c r="U661" s="26" t="s">
        <v>42</v>
      </c>
      <c r="V661" s="43" t="s">
        <v>10</v>
      </c>
      <c r="W661" s="171">
        <v>0.04</v>
      </c>
      <c r="X661" s="146">
        <v>0.26</v>
      </c>
      <c r="Y661" s="146"/>
      <c r="Z661" s="144" t="s">
        <v>48</v>
      </c>
      <c r="AA661" s="172" t="s">
        <v>9</v>
      </c>
      <c r="AB661" s="173"/>
      <c r="AC661" s="174"/>
    </row>
    <row r="662" spans="1:29" ht="15.75" thickBot="1" x14ac:dyDescent="0.3">
      <c r="A662" s="325">
        <v>45914</v>
      </c>
      <c r="B662" s="152">
        <v>4</v>
      </c>
      <c r="C662" s="153"/>
      <c r="D662" s="152" t="s">
        <v>456</v>
      </c>
      <c r="E662" s="154">
        <v>2.5</v>
      </c>
      <c r="F662" s="154"/>
      <c r="G662" s="155">
        <v>1</v>
      </c>
      <c r="H662" s="155">
        <v>1</v>
      </c>
      <c r="I662" s="155"/>
      <c r="J662" s="156">
        <v>0.64</v>
      </c>
      <c r="K662" s="153"/>
      <c r="L662" s="152" t="s">
        <v>69</v>
      </c>
      <c r="M662" s="157"/>
      <c r="N662" s="158" t="s">
        <v>35</v>
      </c>
      <c r="O662" s="66" t="s">
        <v>456</v>
      </c>
      <c r="P662" s="66" t="s">
        <v>313</v>
      </c>
      <c r="Q662" s="66" t="s">
        <v>301</v>
      </c>
      <c r="R662" s="66" t="s">
        <v>696</v>
      </c>
      <c r="S662" s="219">
        <v>71</v>
      </c>
      <c r="T662" s="66" t="s">
        <v>41</v>
      </c>
      <c r="U662" s="66" t="s">
        <v>42</v>
      </c>
      <c r="V662" s="67" t="s">
        <v>7</v>
      </c>
      <c r="W662" s="175">
        <v>0.79</v>
      </c>
      <c r="X662" s="154">
        <v>0.9</v>
      </c>
      <c r="Y662" s="154" t="s">
        <v>353</v>
      </c>
      <c r="Z662" s="152" t="s">
        <v>8</v>
      </c>
      <c r="AA662" s="176" t="s">
        <v>51</v>
      </c>
      <c r="AB662" s="177"/>
      <c r="AC662" s="178"/>
    </row>
    <row r="663" spans="1:29" ht="15.75" thickBot="1" x14ac:dyDescent="0.3">
      <c r="A663" s="326">
        <v>45914</v>
      </c>
      <c r="B663" s="207">
        <v>4</v>
      </c>
      <c r="C663" s="208"/>
      <c r="D663" s="207" t="s">
        <v>456</v>
      </c>
      <c r="E663" s="209">
        <v>2.5</v>
      </c>
      <c r="F663" s="209"/>
      <c r="G663" s="210">
        <v>1</v>
      </c>
      <c r="H663" s="210">
        <v>1</v>
      </c>
      <c r="I663" s="210"/>
      <c r="J663" s="211">
        <v>0.64</v>
      </c>
      <c r="K663" s="208"/>
      <c r="L663" s="207" t="s">
        <v>69</v>
      </c>
      <c r="M663" s="235"/>
      <c r="N663" s="198"/>
      <c r="O663" s="199" t="s">
        <v>456</v>
      </c>
      <c r="P663" s="199" t="s">
        <v>719</v>
      </c>
      <c r="Q663" s="199" t="s">
        <v>720</v>
      </c>
      <c r="R663" s="199" t="s">
        <v>707</v>
      </c>
      <c r="S663" s="200">
        <v>76</v>
      </c>
      <c r="T663" s="199"/>
      <c r="U663" s="199"/>
      <c r="V663" s="201"/>
      <c r="W663" s="202"/>
      <c r="X663" s="203"/>
      <c r="Y663" s="203">
        <v>1</v>
      </c>
      <c r="Z663" s="199"/>
      <c r="AA663" s="204"/>
      <c r="AB663" s="205"/>
      <c r="AC663" s="201"/>
    </row>
    <row r="664" spans="1:29" ht="15.75" thickBot="1" x14ac:dyDescent="0.3">
      <c r="A664" s="326">
        <v>45914</v>
      </c>
      <c r="B664" s="207">
        <v>4</v>
      </c>
      <c r="C664" s="208"/>
      <c r="D664" s="207" t="s">
        <v>456</v>
      </c>
      <c r="E664" s="209">
        <v>2.5</v>
      </c>
      <c r="F664" s="209"/>
      <c r="G664" s="210">
        <v>1</v>
      </c>
      <c r="H664" s="210">
        <v>1</v>
      </c>
      <c r="I664" s="210"/>
      <c r="J664" s="211">
        <v>0.64</v>
      </c>
      <c r="K664" s="208"/>
      <c r="L664" s="207" t="s">
        <v>69</v>
      </c>
      <c r="M664" s="235"/>
      <c r="N664" s="198"/>
      <c r="O664" s="199" t="s">
        <v>69</v>
      </c>
      <c r="P664" s="199" t="s">
        <v>478</v>
      </c>
      <c r="Q664" s="199" t="s">
        <v>479</v>
      </c>
      <c r="R664" s="199" t="s">
        <v>707</v>
      </c>
      <c r="S664" s="200">
        <v>79</v>
      </c>
      <c r="T664" s="199"/>
      <c r="U664" s="199"/>
      <c r="V664" s="201"/>
      <c r="W664" s="202"/>
      <c r="X664" s="203"/>
      <c r="Y664" s="203">
        <v>1</v>
      </c>
      <c r="Z664" s="199"/>
      <c r="AA664" s="204"/>
      <c r="AB664" s="205"/>
      <c r="AC664" s="201"/>
    </row>
    <row r="665" spans="1:29" x14ac:dyDescent="0.25">
      <c r="A665" s="327">
        <v>45935</v>
      </c>
      <c r="B665" s="160">
        <v>8</v>
      </c>
      <c r="C665" s="161" t="s">
        <v>702</v>
      </c>
      <c r="D665" s="160" t="s">
        <v>456</v>
      </c>
      <c r="E665" s="162">
        <v>1.92</v>
      </c>
      <c r="F665" s="162"/>
      <c r="G665" s="163">
        <v>1</v>
      </c>
      <c r="H665" s="163">
        <v>1</v>
      </c>
      <c r="I665" s="163"/>
      <c r="J665" s="164">
        <v>0.3</v>
      </c>
      <c r="K665" s="161" t="s">
        <v>694</v>
      </c>
      <c r="L665" s="160" t="s">
        <v>193</v>
      </c>
      <c r="M665" s="160" t="s">
        <v>582</v>
      </c>
      <c r="N665" s="166">
        <v>2</v>
      </c>
      <c r="O665" s="70" t="s">
        <v>456</v>
      </c>
      <c r="P665" s="70" t="s">
        <v>313</v>
      </c>
      <c r="Q665" s="70" t="s">
        <v>301</v>
      </c>
      <c r="R665" s="70" t="s">
        <v>684</v>
      </c>
      <c r="S665" s="227">
        <v>63</v>
      </c>
      <c r="T665" s="70" t="s">
        <v>47</v>
      </c>
      <c r="U665" s="70" t="s">
        <v>45</v>
      </c>
      <c r="V665" s="71" t="s">
        <v>10</v>
      </c>
      <c r="W665" s="179">
        <v>0.37</v>
      </c>
      <c r="X665" s="162" t="s">
        <v>53</v>
      </c>
      <c r="Y665" s="162" t="s">
        <v>353</v>
      </c>
      <c r="Z665" s="160" t="s">
        <v>22</v>
      </c>
      <c r="AA665" s="180" t="s">
        <v>28</v>
      </c>
      <c r="AB665" s="169"/>
      <c r="AC665" s="170"/>
    </row>
    <row r="666" spans="1:29" x14ac:dyDescent="0.25">
      <c r="A666" s="324">
        <v>45935</v>
      </c>
      <c r="B666" s="144">
        <v>8</v>
      </c>
      <c r="C666" s="145"/>
      <c r="D666" s="144" t="s">
        <v>456</v>
      </c>
      <c r="E666" s="146">
        <v>1.92</v>
      </c>
      <c r="F666" s="146"/>
      <c r="G666" s="147">
        <v>1</v>
      </c>
      <c r="H666" s="147">
        <v>1</v>
      </c>
      <c r="I666" s="147"/>
      <c r="J666" s="148">
        <v>0.3</v>
      </c>
      <c r="K666" s="145"/>
      <c r="L666" s="144" t="s">
        <v>193</v>
      </c>
      <c r="M666" s="144" t="s">
        <v>582</v>
      </c>
      <c r="N666" s="150">
        <v>7</v>
      </c>
      <c r="O666" s="130" t="s">
        <v>710</v>
      </c>
      <c r="P666" s="130" t="s">
        <v>387</v>
      </c>
      <c r="Q666" s="130" t="s">
        <v>388</v>
      </c>
      <c r="R666" s="130" t="s">
        <v>728</v>
      </c>
      <c r="S666" s="226">
        <v>59</v>
      </c>
      <c r="T666" s="130" t="s">
        <v>41</v>
      </c>
      <c r="U666" s="130" t="s">
        <v>42</v>
      </c>
      <c r="V666" s="131" t="s">
        <v>540</v>
      </c>
      <c r="W666" s="171" t="s">
        <v>53</v>
      </c>
      <c r="X666" s="146" t="s">
        <v>53</v>
      </c>
      <c r="Y666" s="146"/>
      <c r="Z666" s="144" t="s">
        <v>23</v>
      </c>
      <c r="AA666" s="172" t="s">
        <v>9</v>
      </c>
      <c r="AB666" s="173"/>
      <c r="AC666" s="174"/>
    </row>
    <row r="667" spans="1:29" x14ac:dyDescent="0.25">
      <c r="A667" s="324">
        <v>45935</v>
      </c>
      <c r="B667" s="144">
        <v>8</v>
      </c>
      <c r="C667" s="145"/>
      <c r="D667" s="144" t="s">
        <v>456</v>
      </c>
      <c r="E667" s="146">
        <v>1.92</v>
      </c>
      <c r="F667" s="146"/>
      <c r="G667" s="147">
        <v>1</v>
      </c>
      <c r="H667" s="147">
        <v>1</v>
      </c>
      <c r="I667" s="147"/>
      <c r="J667" s="148">
        <v>0.3</v>
      </c>
      <c r="K667" s="145"/>
      <c r="L667" s="144" t="s">
        <v>193</v>
      </c>
      <c r="M667" s="144" t="s">
        <v>582</v>
      </c>
      <c r="N667" s="150">
        <v>14</v>
      </c>
      <c r="O667" s="61" t="s">
        <v>456</v>
      </c>
      <c r="P667" s="61" t="s">
        <v>313</v>
      </c>
      <c r="Q667" s="61" t="s">
        <v>301</v>
      </c>
      <c r="R667" s="61" t="s">
        <v>684</v>
      </c>
      <c r="S667" s="218">
        <v>63</v>
      </c>
      <c r="T667" s="61" t="s">
        <v>47</v>
      </c>
      <c r="U667" s="61" t="s">
        <v>45</v>
      </c>
      <c r="V667" s="63" t="s">
        <v>10</v>
      </c>
      <c r="W667" s="171">
        <v>0.1</v>
      </c>
      <c r="X667" s="146" t="s">
        <v>53</v>
      </c>
      <c r="Y667" s="146"/>
      <c r="Z667" s="144" t="s">
        <v>13</v>
      </c>
      <c r="AA667" s="172" t="s">
        <v>9</v>
      </c>
      <c r="AB667" s="173"/>
      <c r="AC667" s="174"/>
    </row>
    <row r="668" spans="1:29" x14ac:dyDescent="0.25">
      <c r="A668" s="324">
        <v>45935</v>
      </c>
      <c r="B668" s="144">
        <v>8</v>
      </c>
      <c r="C668" s="145"/>
      <c r="D668" s="144" t="s">
        <v>456</v>
      </c>
      <c r="E668" s="146">
        <v>1.92</v>
      </c>
      <c r="F668" s="146"/>
      <c r="G668" s="147">
        <v>1</v>
      </c>
      <c r="H668" s="147">
        <v>1</v>
      </c>
      <c r="I668" s="147"/>
      <c r="J668" s="148">
        <v>0.3</v>
      </c>
      <c r="K668" s="145"/>
      <c r="L668" s="144" t="s">
        <v>193</v>
      </c>
      <c r="M668" s="144" t="s">
        <v>582</v>
      </c>
      <c r="N668" s="150">
        <v>34</v>
      </c>
      <c r="O668" s="26" t="s">
        <v>193</v>
      </c>
      <c r="P668" s="26" t="s">
        <v>316</v>
      </c>
      <c r="Q668" s="26" t="s">
        <v>317</v>
      </c>
      <c r="R668" s="26" t="s">
        <v>688</v>
      </c>
      <c r="S668" s="213">
        <v>69</v>
      </c>
      <c r="T668" s="26" t="s">
        <v>41</v>
      </c>
      <c r="U668" s="26" t="s">
        <v>43</v>
      </c>
      <c r="V668" s="43" t="s">
        <v>10</v>
      </c>
      <c r="W668" s="171">
        <v>0.05</v>
      </c>
      <c r="X668" s="146">
        <v>0.19</v>
      </c>
      <c r="Y668" s="146"/>
      <c r="Z668" s="144" t="s">
        <v>48</v>
      </c>
      <c r="AA668" s="172" t="s">
        <v>9</v>
      </c>
      <c r="AB668" s="173"/>
      <c r="AC668" s="174"/>
    </row>
    <row r="669" spans="1:29" x14ac:dyDescent="0.25">
      <c r="A669" s="324">
        <v>45935</v>
      </c>
      <c r="B669" s="144">
        <v>8</v>
      </c>
      <c r="C669" s="145"/>
      <c r="D669" s="144" t="s">
        <v>456</v>
      </c>
      <c r="E669" s="146">
        <v>1.92</v>
      </c>
      <c r="F669" s="146"/>
      <c r="G669" s="147">
        <v>1</v>
      </c>
      <c r="H669" s="147">
        <v>1</v>
      </c>
      <c r="I669" s="147"/>
      <c r="J669" s="148">
        <v>0.3</v>
      </c>
      <c r="K669" s="145"/>
      <c r="L669" s="144" t="s">
        <v>193</v>
      </c>
      <c r="M669" s="144" t="s">
        <v>582</v>
      </c>
      <c r="N669" s="150">
        <v>39</v>
      </c>
      <c r="O669" s="26" t="s">
        <v>193</v>
      </c>
      <c r="P669" s="26" t="s">
        <v>96</v>
      </c>
      <c r="Q669" s="26" t="s">
        <v>327</v>
      </c>
      <c r="R669" s="26" t="s">
        <v>685</v>
      </c>
      <c r="S669" s="213">
        <v>66</v>
      </c>
      <c r="T669" s="26" t="s">
        <v>41</v>
      </c>
      <c r="U669" s="26" t="s">
        <v>43</v>
      </c>
      <c r="V669" s="43" t="s">
        <v>10</v>
      </c>
      <c r="W669" s="171">
        <v>0.11</v>
      </c>
      <c r="X669" s="146" t="s">
        <v>53</v>
      </c>
      <c r="Y669" s="146"/>
      <c r="Z669" s="144" t="s">
        <v>13</v>
      </c>
      <c r="AA669" s="172" t="s">
        <v>9</v>
      </c>
      <c r="AB669" s="173"/>
      <c r="AC669" s="174"/>
    </row>
    <row r="670" spans="1:29" x14ac:dyDescent="0.25">
      <c r="A670" s="324">
        <v>45935</v>
      </c>
      <c r="B670" s="144">
        <v>8</v>
      </c>
      <c r="C670" s="145"/>
      <c r="D670" s="144" t="s">
        <v>456</v>
      </c>
      <c r="E670" s="146">
        <v>1.92</v>
      </c>
      <c r="F670" s="146"/>
      <c r="G670" s="147">
        <v>1</v>
      </c>
      <c r="H670" s="147">
        <v>1</v>
      </c>
      <c r="I670" s="147"/>
      <c r="J670" s="148">
        <v>0.3</v>
      </c>
      <c r="K670" s="145"/>
      <c r="L670" s="144" t="s">
        <v>193</v>
      </c>
      <c r="M670" s="144" t="s">
        <v>582</v>
      </c>
      <c r="N670" s="150">
        <v>44</v>
      </c>
      <c r="O670" s="61" t="s">
        <v>456</v>
      </c>
      <c r="P670" s="61" t="s">
        <v>313</v>
      </c>
      <c r="Q670" s="61" t="s">
        <v>301</v>
      </c>
      <c r="R670" s="61" t="s">
        <v>684</v>
      </c>
      <c r="S670" s="218">
        <v>63</v>
      </c>
      <c r="T670" s="61" t="s">
        <v>41</v>
      </c>
      <c r="U670" s="61" t="s">
        <v>42</v>
      </c>
      <c r="V670" s="63" t="s">
        <v>10</v>
      </c>
      <c r="W670" s="171">
        <v>0.11</v>
      </c>
      <c r="X670" s="146">
        <v>0.16</v>
      </c>
      <c r="Y670" s="146"/>
      <c r="Z670" s="144" t="s">
        <v>48</v>
      </c>
      <c r="AA670" s="172" t="s">
        <v>9</v>
      </c>
      <c r="AB670" s="173"/>
      <c r="AC670" s="174"/>
    </row>
    <row r="671" spans="1:29" x14ac:dyDescent="0.25">
      <c r="A671" s="324">
        <v>45935</v>
      </c>
      <c r="B671" s="144">
        <v>8</v>
      </c>
      <c r="C671" s="145"/>
      <c r="D671" s="144" t="s">
        <v>456</v>
      </c>
      <c r="E671" s="146">
        <v>1.92</v>
      </c>
      <c r="F671" s="146"/>
      <c r="G671" s="147">
        <v>1</v>
      </c>
      <c r="H671" s="147">
        <v>1</v>
      </c>
      <c r="I671" s="147"/>
      <c r="J671" s="148">
        <v>0.3</v>
      </c>
      <c r="K671" s="145"/>
      <c r="L671" s="144" t="s">
        <v>193</v>
      </c>
      <c r="M671" s="144" t="s">
        <v>582</v>
      </c>
      <c r="N671" s="150">
        <v>44</v>
      </c>
      <c r="O671" s="61" t="s">
        <v>456</v>
      </c>
      <c r="P671" s="61" t="s">
        <v>313</v>
      </c>
      <c r="Q671" s="61" t="s">
        <v>301</v>
      </c>
      <c r="R671" s="61" t="s">
        <v>684</v>
      </c>
      <c r="S671" s="218">
        <v>63</v>
      </c>
      <c r="T671" s="61" t="s">
        <v>44</v>
      </c>
      <c r="U671" s="61" t="s">
        <v>42</v>
      </c>
      <c r="V671" s="63" t="s">
        <v>10</v>
      </c>
      <c r="W671" s="171">
        <v>0.05</v>
      </c>
      <c r="X671" s="146">
        <v>0.19</v>
      </c>
      <c r="Y671" s="146"/>
      <c r="Z671" s="144" t="s">
        <v>48</v>
      </c>
      <c r="AA671" s="172" t="s">
        <v>9</v>
      </c>
      <c r="AB671" s="173"/>
      <c r="AC671" s="174"/>
    </row>
    <row r="672" spans="1:29" x14ac:dyDescent="0.25">
      <c r="A672" s="324">
        <v>45935</v>
      </c>
      <c r="B672" s="144">
        <v>8</v>
      </c>
      <c r="C672" s="145"/>
      <c r="D672" s="144" t="s">
        <v>456</v>
      </c>
      <c r="E672" s="146">
        <v>1.92</v>
      </c>
      <c r="F672" s="146"/>
      <c r="G672" s="147">
        <v>1</v>
      </c>
      <c r="H672" s="147">
        <v>1</v>
      </c>
      <c r="I672" s="147"/>
      <c r="J672" s="148">
        <v>0.3</v>
      </c>
      <c r="K672" s="145"/>
      <c r="L672" s="144" t="s">
        <v>193</v>
      </c>
      <c r="M672" s="144" t="s">
        <v>582</v>
      </c>
      <c r="N672" s="150">
        <v>68</v>
      </c>
      <c r="O672" s="61" t="s">
        <v>456</v>
      </c>
      <c r="P672" s="61" t="s">
        <v>313</v>
      </c>
      <c r="Q672" s="61" t="s">
        <v>301</v>
      </c>
      <c r="R672" s="61" t="s">
        <v>684</v>
      </c>
      <c r="S672" s="218">
        <v>63</v>
      </c>
      <c r="T672" s="61" t="s">
        <v>41</v>
      </c>
      <c r="U672" s="61" t="s">
        <v>42</v>
      </c>
      <c r="V672" s="63" t="s">
        <v>10</v>
      </c>
      <c r="W672" s="171">
        <v>0.33</v>
      </c>
      <c r="X672" s="146">
        <v>0.23</v>
      </c>
      <c r="Y672" s="146" t="s">
        <v>353</v>
      </c>
      <c r="Z672" s="144" t="s">
        <v>48</v>
      </c>
      <c r="AA672" s="172" t="s">
        <v>9</v>
      </c>
      <c r="AB672" s="173"/>
      <c r="AC672" s="174"/>
    </row>
    <row r="673" spans="1:29" x14ac:dyDescent="0.25">
      <c r="A673" s="324">
        <v>45935</v>
      </c>
      <c r="B673" s="144">
        <v>8</v>
      </c>
      <c r="C673" s="145"/>
      <c r="D673" s="144" t="s">
        <v>456</v>
      </c>
      <c r="E673" s="146">
        <v>1.92</v>
      </c>
      <c r="F673" s="146"/>
      <c r="G673" s="147">
        <v>1</v>
      </c>
      <c r="H673" s="147">
        <v>1</v>
      </c>
      <c r="I673" s="147"/>
      <c r="J673" s="148">
        <v>0.3</v>
      </c>
      <c r="K673" s="145"/>
      <c r="L673" s="144" t="s">
        <v>193</v>
      </c>
      <c r="M673" s="144" t="s">
        <v>582</v>
      </c>
      <c r="N673" s="150">
        <v>68</v>
      </c>
      <c r="O673" s="61" t="s">
        <v>456</v>
      </c>
      <c r="P673" s="61" t="s">
        <v>162</v>
      </c>
      <c r="Q673" s="61" t="s">
        <v>163</v>
      </c>
      <c r="R673" s="61" t="s">
        <v>696</v>
      </c>
      <c r="S673" s="218">
        <v>82</v>
      </c>
      <c r="T673" s="61" t="s">
        <v>47</v>
      </c>
      <c r="U673" s="61" t="s">
        <v>43</v>
      </c>
      <c r="V673" s="63" t="s">
        <v>540</v>
      </c>
      <c r="W673" s="171">
        <v>0.67</v>
      </c>
      <c r="X673" s="146">
        <v>0.98</v>
      </c>
      <c r="Y673" s="146" t="s">
        <v>353</v>
      </c>
      <c r="Z673" s="144" t="s">
        <v>8</v>
      </c>
      <c r="AA673" s="172" t="s">
        <v>51</v>
      </c>
      <c r="AB673" s="173"/>
      <c r="AC673" s="174"/>
    </row>
    <row r="674" spans="1:29" x14ac:dyDescent="0.25">
      <c r="A674" s="324">
        <v>45935</v>
      </c>
      <c r="B674" s="144">
        <v>8</v>
      </c>
      <c r="C674" s="145"/>
      <c r="D674" s="144" t="s">
        <v>456</v>
      </c>
      <c r="E674" s="146">
        <v>1.92</v>
      </c>
      <c r="F674" s="146"/>
      <c r="G674" s="147">
        <v>1</v>
      </c>
      <c r="H674" s="147">
        <v>1</v>
      </c>
      <c r="I674" s="147"/>
      <c r="J674" s="148">
        <v>0.3</v>
      </c>
      <c r="K674" s="145"/>
      <c r="L674" s="144" t="s">
        <v>193</v>
      </c>
      <c r="M674" s="144" t="s">
        <v>582</v>
      </c>
      <c r="N674" s="150">
        <v>71</v>
      </c>
      <c r="O674" s="61" t="s">
        <v>456</v>
      </c>
      <c r="P674" s="61" t="s">
        <v>313</v>
      </c>
      <c r="Q674" s="61" t="s">
        <v>301</v>
      </c>
      <c r="R674" s="61" t="s">
        <v>684</v>
      </c>
      <c r="S674" s="218">
        <v>63</v>
      </c>
      <c r="T674" s="61" t="s">
        <v>41</v>
      </c>
      <c r="U674" s="61" t="s">
        <v>43</v>
      </c>
      <c r="V674" s="63" t="s">
        <v>10</v>
      </c>
      <c r="W674" s="171">
        <v>0.12</v>
      </c>
      <c r="X674" s="146" t="s">
        <v>53</v>
      </c>
      <c r="Y674" s="146"/>
      <c r="Z674" s="144" t="s">
        <v>13</v>
      </c>
      <c r="AA674" s="172" t="s">
        <v>51</v>
      </c>
      <c r="AB674" s="173"/>
      <c r="AC674" s="174"/>
    </row>
    <row r="675" spans="1:29" x14ac:dyDescent="0.25">
      <c r="A675" s="324">
        <v>45935</v>
      </c>
      <c r="B675" s="144">
        <v>8</v>
      </c>
      <c r="C675" s="145"/>
      <c r="D675" s="144" t="s">
        <v>456</v>
      </c>
      <c r="E675" s="146">
        <v>1.92</v>
      </c>
      <c r="F675" s="146"/>
      <c r="G675" s="147">
        <v>1</v>
      </c>
      <c r="H675" s="147">
        <v>1</v>
      </c>
      <c r="I675" s="147"/>
      <c r="J675" s="148">
        <v>0.3</v>
      </c>
      <c r="K675" s="145"/>
      <c r="L675" s="144" t="s">
        <v>193</v>
      </c>
      <c r="M675" s="144" t="s">
        <v>582</v>
      </c>
      <c r="N675" s="150">
        <v>72</v>
      </c>
      <c r="O675" s="26" t="s">
        <v>193</v>
      </c>
      <c r="P675" s="26" t="s">
        <v>584</v>
      </c>
      <c r="Q675" s="26" t="s">
        <v>585</v>
      </c>
      <c r="R675" s="26" t="s">
        <v>713</v>
      </c>
      <c r="S675" s="213">
        <v>71</v>
      </c>
      <c r="T675" s="26" t="s">
        <v>47</v>
      </c>
      <c r="U675" s="26" t="s">
        <v>45</v>
      </c>
      <c r="V675" s="43" t="s">
        <v>20</v>
      </c>
      <c r="W675" s="171">
        <v>0.13</v>
      </c>
      <c r="X675" s="146" t="s">
        <v>53</v>
      </c>
      <c r="Y675" s="146" t="s">
        <v>353</v>
      </c>
      <c r="Z675" s="144" t="s">
        <v>16</v>
      </c>
      <c r="AA675" s="172" t="s">
        <v>51</v>
      </c>
      <c r="AB675" s="173"/>
      <c r="AC675" s="174"/>
    </row>
    <row r="676" spans="1:29" x14ac:dyDescent="0.25">
      <c r="A676" s="324">
        <v>45935</v>
      </c>
      <c r="B676" s="144">
        <v>8</v>
      </c>
      <c r="C676" s="145"/>
      <c r="D676" s="144" t="s">
        <v>456</v>
      </c>
      <c r="E676" s="146">
        <v>1.92</v>
      </c>
      <c r="F676" s="146"/>
      <c r="G676" s="147">
        <v>1</v>
      </c>
      <c r="H676" s="147">
        <v>1</v>
      </c>
      <c r="I676" s="147"/>
      <c r="J676" s="148">
        <v>0.3</v>
      </c>
      <c r="K676" s="145"/>
      <c r="L676" s="144" t="s">
        <v>193</v>
      </c>
      <c r="M676" s="144" t="s">
        <v>582</v>
      </c>
      <c r="N676" s="150" t="s">
        <v>57</v>
      </c>
      <c r="O676" s="61" t="s">
        <v>456</v>
      </c>
      <c r="P676" s="61" t="s">
        <v>241</v>
      </c>
      <c r="Q676" s="61" t="s">
        <v>583</v>
      </c>
      <c r="R676" s="61" t="s">
        <v>696</v>
      </c>
      <c r="S676" s="218">
        <v>64</v>
      </c>
      <c r="T676" s="61" t="s">
        <v>47</v>
      </c>
      <c r="U676" s="61" t="s">
        <v>45</v>
      </c>
      <c r="V676" s="63" t="s">
        <v>10</v>
      </c>
      <c r="W676" s="171">
        <v>0.14000000000000001</v>
      </c>
      <c r="X676" s="146" t="s">
        <v>53</v>
      </c>
      <c r="Y676" s="146"/>
      <c r="Z676" s="144" t="s">
        <v>13</v>
      </c>
      <c r="AA676" s="172" t="s">
        <v>51</v>
      </c>
      <c r="AB676" s="173"/>
      <c r="AC676" s="174"/>
    </row>
    <row r="677" spans="1:29" ht="15.75" thickBot="1" x14ac:dyDescent="0.3">
      <c r="A677" s="338">
        <v>45935</v>
      </c>
      <c r="B677" s="230">
        <v>8</v>
      </c>
      <c r="C677" s="231"/>
      <c r="D677" s="230" t="s">
        <v>456</v>
      </c>
      <c r="E677" s="232">
        <v>1.92</v>
      </c>
      <c r="F677" s="232"/>
      <c r="G677" s="233">
        <v>1</v>
      </c>
      <c r="H677" s="233">
        <v>1</v>
      </c>
      <c r="I677" s="233"/>
      <c r="J677" s="234">
        <v>0.3</v>
      </c>
      <c r="K677" s="231"/>
      <c r="L677" s="230" t="s">
        <v>193</v>
      </c>
      <c r="M677" s="235"/>
      <c r="N677" s="198"/>
      <c r="O677" s="199" t="s">
        <v>456</v>
      </c>
      <c r="P677" s="199" t="s">
        <v>719</v>
      </c>
      <c r="Q677" s="199" t="s">
        <v>720</v>
      </c>
      <c r="R677" s="199" t="s">
        <v>707</v>
      </c>
      <c r="S677" s="200">
        <v>65</v>
      </c>
      <c r="T677" s="199"/>
      <c r="U677" s="199"/>
      <c r="V677" s="201"/>
      <c r="W677" s="202"/>
      <c r="X677" s="203"/>
      <c r="Y677" s="203">
        <v>1</v>
      </c>
      <c r="Z677" s="199"/>
      <c r="AA677" s="204"/>
      <c r="AB677" s="205"/>
      <c r="AC677" s="201"/>
    </row>
    <row r="678" spans="1:29" ht="15.75" thickBot="1" x14ac:dyDescent="0.3">
      <c r="A678" s="338">
        <v>45935</v>
      </c>
      <c r="B678" s="230">
        <v>8</v>
      </c>
      <c r="C678" s="231"/>
      <c r="D678" s="230" t="s">
        <v>456</v>
      </c>
      <c r="E678" s="232">
        <v>1.92</v>
      </c>
      <c r="F678" s="232"/>
      <c r="G678" s="233">
        <v>1</v>
      </c>
      <c r="H678" s="233">
        <v>1</v>
      </c>
      <c r="I678" s="233"/>
      <c r="J678" s="234">
        <v>0.3</v>
      </c>
      <c r="K678" s="231"/>
      <c r="L678" s="230" t="s">
        <v>193</v>
      </c>
      <c r="M678" s="235"/>
      <c r="N678" s="198"/>
      <c r="O678" s="199" t="s">
        <v>193</v>
      </c>
      <c r="P678" s="199" t="s">
        <v>580</v>
      </c>
      <c r="Q678" s="199" t="s">
        <v>581</v>
      </c>
      <c r="R678" s="199" t="s">
        <v>707</v>
      </c>
      <c r="S678" s="200">
        <v>89</v>
      </c>
      <c r="T678" s="199"/>
      <c r="U678" s="199"/>
      <c r="V678" s="201"/>
      <c r="W678" s="202"/>
      <c r="X678" s="203"/>
      <c r="Y678" s="203">
        <v>1</v>
      </c>
      <c r="Z678" s="199"/>
      <c r="AA678" s="204"/>
      <c r="AB678" s="205"/>
      <c r="AC678" s="201"/>
    </row>
    <row r="679" spans="1:29" x14ac:dyDescent="0.25">
      <c r="A679" s="328">
        <v>45885</v>
      </c>
      <c r="B679" s="17">
        <v>1</v>
      </c>
      <c r="C679" s="123" t="s">
        <v>694</v>
      </c>
      <c r="D679" s="17" t="s">
        <v>145</v>
      </c>
      <c r="E679" s="18">
        <v>2.04</v>
      </c>
      <c r="F679" s="18"/>
      <c r="G679" s="19">
        <v>1</v>
      </c>
      <c r="H679" s="19">
        <v>1</v>
      </c>
      <c r="I679" s="19"/>
      <c r="J679" s="20">
        <v>0.81</v>
      </c>
      <c r="K679" s="123" t="s">
        <v>693</v>
      </c>
      <c r="L679" s="17" t="s">
        <v>146</v>
      </c>
      <c r="M679" s="46"/>
      <c r="N679" s="96">
        <v>12</v>
      </c>
      <c r="O679" s="77" t="s">
        <v>146</v>
      </c>
      <c r="P679" s="77" t="s">
        <v>153</v>
      </c>
      <c r="Q679" s="77" t="s">
        <v>154</v>
      </c>
      <c r="R679" s="77" t="s">
        <v>699</v>
      </c>
      <c r="S679" s="220">
        <v>63</v>
      </c>
      <c r="T679" s="77" t="s">
        <v>354</v>
      </c>
      <c r="U679" s="77" t="s">
        <v>43</v>
      </c>
      <c r="V679" s="78" t="s">
        <v>10</v>
      </c>
      <c r="W679" s="53">
        <v>0.03</v>
      </c>
      <c r="X679" s="18">
        <v>0.31</v>
      </c>
      <c r="Y679" s="18"/>
      <c r="Z679" s="17" t="s">
        <v>48</v>
      </c>
      <c r="AA679" s="114" t="s">
        <v>28</v>
      </c>
      <c r="AB679" s="110"/>
      <c r="AC679" s="60"/>
    </row>
    <row r="680" spans="1:29" x14ac:dyDescent="0.25">
      <c r="A680" s="329">
        <v>45885</v>
      </c>
      <c r="B680" s="5">
        <v>1</v>
      </c>
      <c r="D680" s="5" t="s">
        <v>145</v>
      </c>
      <c r="E680" s="6">
        <v>2.04</v>
      </c>
      <c r="G680" s="7">
        <v>1</v>
      </c>
      <c r="H680" s="7">
        <v>1</v>
      </c>
      <c r="J680" s="8">
        <v>0.81</v>
      </c>
      <c r="L680" s="5" t="s">
        <v>146</v>
      </c>
      <c r="N680" s="56">
        <v>19</v>
      </c>
      <c r="O680" s="61" t="s">
        <v>145</v>
      </c>
      <c r="P680" s="61" t="s">
        <v>147</v>
      </c>
      <c r="Q680" s="61" t="s">
        <v>148</v>
      </c>
      <c r="R680" s="61" t="s">
        <v>717</v>
      </c>
      <c r="S680" s="218">
        <v>69</v>
      </c>
      <c r="T680" s="61" t="s">
        <v>41</v>
      </c>
      <c r="U680" s="61" t="s">
        <v>43</v>
      </c>
      <c r="V680" s="63" t="s">
        <v>10</v>
      </c>
      <c r="W680" s="51">
        <v>0.14000000000000001</v>
      </c>
      <c r="X680" s="6" t="s">
        <v>53</v>
      </c>
      <c r="Z680" s="5" t="s">
        <v>13</v>
      </c>
      <c r="AA680" s="112" t="s">
        <v>28</v>
      </c>
    </row>
    <row r="681" spans="1:29" x14ac:dyDescent="0.25">
      <c r="A681" s="329">
        <v>45885</v>
      </c>
      <c r="B681" s="5">
        <v>1</v>
      </c>
      <c r="D681" s="5" t="s">
        <v>145</v>
      </c>
      <c r="E681" s="6">
        <v>2.04</v>
      </c>
      <c r="G681" s="7">
        <v>1</v>
      </c>
      <c r="H681" s="7">
        <v>1</v>
      </c>
      <c r="J681" s="8">
        <v>0.81</v>
      </c>
      <c r="L681" s="5" t="s">
        <v>146</v>
      </c>
      <c r="N681" s="56">
        <v>50</v>
      </c>
      <c r="O681" s="26" t="s">
        <v>146</v>
      </c>
      <c r="P681" s="26" t="s">
        <v>155</v>
      </c>
      <c r="Q681" s="26" t="s">
        <v>156</v>
      </c>
      <c r="R681" s="26" t="s">
        <v>686</v>
      </c>
      <c r="S681" s="213">
        <v>78</v>
      </c>
      <c r="T681" s="26" t="s">
        <v>354</v>
      </c>
      <c r="U681" s="26" t="s">
        <v>43</v>
      </c>
      <c r="V681" s="43" t="s">
        <v>15</v>
      </c>
      <c r="W681" s="51">
        <v>0.14000000000000001</v>
      </c>
      <c r="X681" s="6" t="s">
        <v>53</v>
      </c>
      <c r="Z681" s="5" t="s">
        <v>13</v>
      </c>
      <c r="AA681" s="112" t="s">
        <v>28</v>
      </c>
    </row>
    <row r="682" spans="1:29" x14ac:dyDescent="0.25">
      <c r="A682" s="329">
        <v>45885</v>
      </c>
      <c r="B682" s="5">
        <v>1</v>
      </c>
      <c r="D682" s="5" t="s">
        <v>145</v>
      </c>
      <c r="E682" s="6">
        <v>2.04</v>
      </c>
      <c r="G682" s="7">
        <v>1</v>
      </c>
      <c r="H682" s="7">
        <v>1</v>
      </c>
      <c r="J682" s="8">
        <v>0.81</v>
      </c>
      <c r="L682" s="5" t="s">
        <v>146</v>
      </c>
      <c r="N682" s="56">
        <v>57</v>
      </c>
      <c r="O682" s="61" t="s">
        <v>145</v>
      </c>
      <c r="P682" s="61" t="s">
        <v>149</v>
      </c>
      <c r="Q682" s="61" t="s">
        <v>150</v>
      </c>
      <c r="R682" s="61" t="s">
        <v>685</v>
      </c>
      <c r="S682" s="218">
        <v>70</v>
      </c>
      <c r="T682" s="61" t="s">
        <v>41</v>
      </c>
      <c r="U682" s="61" t="s">
        <v>42</v>
      </c>
      <c r="V682" s="63" t="s">
        <v>10</v>
      </c>
      <c r="W682" s="51">
        <v>0.38</v>
      </c>
      <c r="X682" s="6">
        <v>0.49</v>
      </c>
      <c r="Y682" s="6" t="s">
        <v>353</v>
      </c>
      <c r="Z682" s="5" t="s">
        <v>8</v>
      </c>
      <c r="AA682" s="112" t="s">
        <v>19</v>
      </c>
      <c r="AB682" s="108" t="s">
        <v>124</v>
      </c>
      <c r="AC682" s="57" t="s">
        <v>652</v>
      </c>
    </row>
    <row r="683" spans="1:29" x14ac:dyDescent="0.25">
      <c r="A683" s="329">
        <v>45885</v>
      </c>
      <c r="B683" s="5">
        <v>1</v>
      </c>
      <c r="D683" s="5" t="s">
        <v>145</v>
      </c>
      <c r="E683" s="6">
        <v>2.04</v>
      </c>
      <c r="G683" s="7">
        <v>1</v>
      </c>
      <c r="H683" s="7">
        <v>1</v>
      </c>
      <c r="J683" s="8">
        <v>0.81</v>
      </c>
      <c r="L683" s="5" t="s">
        <v>146</v>
      </c>
      <c r="N683" s="56">
        <v>60</v>
      </c>
      <c r="O683" s="26" t="s">
        <v>146</v>
      </c>
      <c r="P683" s="26" t="s">
        <v>155</v>
      </c>
      <c r="Q683" s="26" t="s">
        <v>156</v>
      </c>
      <c r="R683" s="26" t="s">
        <v>686</v>
      </c>
      <c r="S683" s="213">
        <v>78</v>
      </c>
      <c r="T683" s="26" t="s">
        <v>44</v>
      </c>
      <c r="U683" s="26" t="s">
        <v>43</v>
      </c>
      <c r="V683" s="43" t="s">
        <v>10</v>
      </c>
      <c r="W683" s="51">
        <v>0.04</v>
      </c>
      <c r="X683" s="6">
        <v>0.13</v>
      </c>
      <c r="Z683" s="5" t="s">
        <v>8</v>
      </c>
      <c r="AA683" s="112" t="s">
        <v>51</v>
      </c>
      <c r="AB683" s="108" t="s">
        <v>153</v>
      </c>
      <c r="AC683" s="57" t="s">
        <v>154</v>
      </c>
    </row>
    <row r="684" spans="1:29" x14ac:dyDescent="0.25">
      <c r="A684" s="329">
        <v>45885</v>
      </c>
      <c r="B684" s="5">
        <v>1</v>
      </c>
      <c r="D684" s="5" t="s">
        <v>145</v>
      </c>
      <c r="E684" s="6">
        <v>2.04</v>
      </c>
      <c r="G684" s="7">
        <v>1</v>
      </c>
      <c r="H684" s="7">
        <v>1</v>
      </c>
      <c r="J684" s="8">
        <v>0.81</v>
      </c>
      <c r="L684" s="5" t="s">
        <v>146</v>
      </c>
      <c r="N684" s="56">
        <v>64</v>
      </c>
      <c r="O684" s="61" t="s">
        <v>145</v>
      </c>
      <c r="P684" s="61" t="s">
        <v>149</v>
      </c>
      <c r="Q684" s="61" t="s">
        <v>150</v>
      </c>
      <c r="R684" s="61" t="s">
        <v>685</v>
      </c>
      <c r="S684" s="218">
        <v>70</v>
      </c>
      <c r="T684" s="61" t="s">
        <v>41</v>
      </c>
      <c r="U684" s="61" t="s">
        <v>42</v>
      </c>
      <c r="V684" s="63" t="s">
        <v>10</v>
      </c>
      <c r="W684" s="51">
        <v>0.16</v>
      </c>
      <c r="X684" s="6" t="s">
        <v>53</v>
      </c>
      <c r="Z684" s="5" t="s">
        <v>52</v>
      </c>
      <c r="AA684" s="112" t="s">
        <v>51</v>
      </c>
    </row>
    <row r="685" spans="1:29" x14ac:dyDescent="0.25">
      <c r="A685" s="329">
        <v>45885</v>
      </c>
      <c r="B685" s="5">
        <v>1</v>
      </c>
      <c r="D685" s="5" t="s">
        <v>145</v>
      </c>
      <c r="E685" s="6">
        <v>2.04</v>
      </c>
      <c r="G685" s="7">
        <v>1</v>
      </c>
      <c r="H685" s="7">
        <v>1</v>
      </c>
      <c r="J685" s="8">
        <v>0.81</v>
      </c>
      <c r="L685" s="5" t="s">
        <v>146</v>
      </c>
      <c r="N685" s="56">
        <v>69</v>
      </c>
      <c r="O685" s="26" t="s">
        <v>146</v>
      </c>
      <c r="P685" s="26" t="s">
        <v>157</v>
      </c>
      <c r="Q685" s="26" t="s">
        <v>158</v>
      </c>
      <c r="R685" s="26" t="s">
        <v>696</v>
      </c>
      <c r="S685" s="213">
        <v>65</v>
      </c>
      <c r="T685" s="26" t="s">
        <v>41</v>
      </c>
      <c r="U685" s="26" t="s">
        <v>42</v>
      </c>
      <c r="V685" s="43" t="s">
        <v>18</v>
      </c>
      <c r="W685" s="51">
        <v>0.21</v>
      </c>
      <c r="X685" s="6" t="s">
        <v>53</v>
      </c>
      <c r="Y685" s="6" t="s">
        <v>353</v>
      </c>
      <c r="Z685" s="5" t="s">
        <v>13</v>
      </c>
      <c r="AA685" s="112" t="s">
        <v>51</v>
      </c>
    </row>
    <row r="686" spans="1:29" x14ac:dyDescent="0.25">
      <c r="A686" s="329">
        <v>45885</v>
      </c>
      <c r="B686" s="5">
        <v>1</v>
      </c>
      <c r="D686" s="5" t="s">
        <v>145</v>
      </c>
      <c r="E686" s="6">
        <v>2.04</v>
      </c>
      <c r="G686" s="7">
        <v>1</v>
      </c>
      <c r="H686" s="7">
        <v>1</v>
      </c>
      <c r="J686" s="8">
        <v>0.81</v>
      </c>
      <c r="L686" s="5" t="s">
        <v>146</v>
      </c>
      <c r="N686" s="56">
        <v>72</v>
      </c>
      <c r="O686" s="61" t="s">
        <v>145</v>
      </c>
      <c r="P686" s="61" t="s">
        <v>151</v>
      </c>
      <c r="Q686" s="61" t="s">
        <v>152</v>
      </c>
      <c r="R686" s="61" t="s">
        <v>712</v>
      </c>
      <c r="S686" s="218">
        <v>63</v>
      </c>
      <c r="T686" s="61" t="s">
        <v>47</v>
      </c>
      <c r="U686" s="61" t="s">
        <v>43</v>
      </c>
      <c r="V686" s="63" t="s">
        <v>20</v>
      </c>
      <c r="W686" s="51">
        <v>0.8</v>
      </c>
      <c r="X686" s="6" t="s">
        <v>53</v>
      </c>
      <c r="Y686" s="6" t="s">
        <v>353</v>
      </c>
      <c r="Z686" s="5" t="s">
        <v>13</v>
      </c>
      <c r="AA686" s="112" t="s">
        <v>51</v>
      </c>
    </row>
    <row r="687" spans="1:29" ht="15.75" thickBot="1" x14ac:dyDescent="0.3">
      <c r="A687" s="330">
        <v>45885</v>
      </c>
      <c r="B687" s="9">
        <v>1</v>
      </c>
      <c r="C687" s="122"/>
      <c r="D687" s="9" t="s">
        <v>145</v>
      </c>
      <c r="E687" s="10">
        <v>2.04</v>
      </c>
      <c r="F687" s="10"/>
      <c r="G687" s="11">
        <v>1</v>
      </c>
      <c r="H687" s="11">
        <v>1</v>
      </c>
      <c r="I687" s="11"/>
      <c r="J687" s="12">
        <v>0.81</v>
      </c>
      <c r="K687" s="122"/>
      <c r="L687" s="9" t="s">
        <v>146</v>
      </c>
      <c r="M687" s="45"/>
      <c r="N687" s="97">
        <v>86</v>
      </c>
      <c r="O687" s="74" t="s">
        <v>146</v>
      </c>
      <c r="P687" s="74" t="s">
        <v>159</v>
      </c>
      <c r="Q687" s="74" t="s">
        <v>160</v>
      </c>
      <c r="R687" s="74" t="s">
        <v>684</v>
      </c>
      <c r="S687" s="221">
        <v>66</v>
      </c>
      <c r="T687" s="74" t="s">
        <v>41</v>
      </c>
      <c r="U687" s="74" t="s">
        <v>42</v>
      </c>
      <c r="V687" s="76" t="s">
        <v>540</v>
      </c>
      <c r="W687" s="52">
        <v>0.04</v>
      </c>
      <c r="X687" s="10">
        <v>0.13</v>
      </c>
      <c r="Y687" s="10"/>
      <c r="Z687" s="9" t="s">
        <v>48</v>
      </c>
      <c r="AA687" s="113" t="s">
        <v>51</v>
      </c>
      <c r="AB687" s="109"/>
      <c r="AC687" s="58"/>
    </row>
    <row r="688" spans="1:29" ht="15.75" thickBot="1" x14ac:dyDescent="0.3">
      <c r="A688" s="326">
        <v>45885</v>
      </c>
      <c r="B688" s="207">
        <v>1</v>
      </c>
      <c r="C688" s="208"/>
      <c r="D688" s="207" t="s">
        <v>145</v>
      </c>
      <c r="E688" s="209">
        <v>2.04</v>
      </c>
      <c r="F688" s="209"/>
      <c r="G688" s="210">
        <v>1</v>
      </c>
      <c r="H688" s="210">
        <v>1</v>
      </c>
      <c r="I688" s="210"/>
      <c r="J688" s="211">
        <v>0.81</v>
      </c>
      <c r="K688" s="208"/>
      <c r="L688" s="207" t="s">
        <v>146</v>
      </c>
      <c r="M688" s="197"/>
      <c r="N688" s="198"/>
      <c r="O688" s="199" t="s">
        <v>145</v>
      </c>
      <c r="P688" s="199" t="s">
        <v>482</v>
      </c>
      <c r="Q688" s="199" t="s">
        <v>483</v>
      </c>
      <c r="R688" s="199" t="s">
        <v>707</v>
      </c>
      <c r="S688" s="200">
        <v>69</v>
      </c>
      <c r="T688" s="199"/>
      <c r="U688" s="199"/>
      <c r="V688" s="201"/>
      <c r="W688" s="202"/>
      <c r="X688" s="203"/>
      <c r="Y688" s="203">
        <v>1</v>
      </c>
      <c r="Z688" s="199"/>
      <c r="AA688" s="204"/>
      <c r="AB688" s="205"/>
      <c r="AC688" s="201"/>
    </row>
    <row r="689" spans="1:29" ht="15.75" thickBot="1" x14ac:dyDescent="0.3">
      <c r="A689" s="326">
        <v>45885</v>
      </c>
      <c r="B689" s="207">
        <v>1</v>
      </c>
      <c r="C689" s="208"/>
      <c r="D689" s="207" t="s">
        <v>145</v>
      </c>
      <c r="E689" s="209">
        <v>2.04</v>
      </c>
      <c r="F689" s="209"/>
      <c r="G689" s="210">
        <v>1</v>
      </c>
      <c r="H689" s="210">
        <v>1</v>
      </c>
      <c r="I689" s="210"/>
      <c r="J689" s="211">
        <v>0.81</v>
      </c>
      <c r="K689" s="208"/>
      <c r="L689" s="207" t="s">
        <v>146</v>
      </c>
      <c r="M689" s="197"/>
      <c r="N689" s="198"/>
      <c r="O689" s="199" t="s">
        <v>146</v>
      </c>
      <c r="P689" s="199" t="s">
        <v>176</v>
      </c>
      <c r="Q689" s="199" t="s">
        <v>423</v>
      </c>
      <c r="R689" s="199" t="s">
        <v>707</v>
      </c>
      <c r="S689" s="200">
        <v>70</v>
      </c>
      <c r="T689" s="199"/>
      <c r="U689" s="199"/>
      <c r="V689" s="201"/>
      <c r="W689" s="202"/>
      <c r="X689" s="203"/>
      <c r="Y689" s="203">
        <v>1</v>
      </c>
      <c r="Z689" s="199"/>
      <c r="AA689" s="204"/>
      <c r="AB689" s="205"/>
      <c r="AC689" s="201"/>
    </row>
    <row r="690" spans="1:29" x14ac:dyDescent="0.25">
      <c r="A690" s="328">
        <v>45899</v>
      </c>
      <c r="B690" s="17">
        <v>3</v>
      </c>
      <c r="C690" s="123" t="s">
        <v>693</v>
      </c>
      <c r="D690" s="17" t="s">
        <v>92</v>
      </c>
      <c r="E690" s="18">
        <v>0.5</v>
      </c>
      <c r="F690" s="18"/>
      <c r="G690" s="19">
        <v>1</v>
      </c>
      <c r="H690" s="19">
        <v>0</v>
      </c>
      <c r="I690" s="19"/>
      <c r="J690" s="20">
        <v>1.07</v>
      </c>
      <c r="K690" s="123" t="s">
        <v>694</v>
      </c>
      <c r="L690" s="17" t="s">
        <v>146</v>
      </c>
      <c r="M690" s="46"/>
      <c r="N690" s="96">
        <v>26</v>
      </c>
      <c r="O690" s="77" t="s">
        <v>146</v>
      </c>
      <c r="P690" s="77" t="s">
        <v>135</v>
      </c>
      <c r="Q690" s="77" t="s">
        <v>273</v>
      </c>
      <c r="R690" s="77" t="s">
        <v>689</v>
      </c>
      <c r="S690" s="220">
        <v>63</v>
      </c>
      <c r="T690" s="77" t="s">
        <v>41</v>
      </c>
      <c r="U690" s="77" t="s">
        <v>45</v>
      </c>
      <c r="V690" s="78" t="s">
        <v>20</v>
      </c>
      <c r="W690" s="53">
        <v>0.11</v>
      </c>
      <c r="X690" s="18" t="s">
        <v>53</v>
      </c>
      <c r="Y690" s="18"/>
      <c r="Z690" s="17" t="s">
        <v>52</v>
      </c>
      <c r="AA690" s="114" t="s">
        <v>28</v>
      </c>
      <c r="AB690" s="110"/>
      <c r="AC690" s="60"/>
    </row>
    <row r="691" spans="1:29" x14ac:dyDescent="0.25">
      <c r="A691" s="329">
        <v>45899</v>
      </c>
      <c r="B691" s="5">
        <v>3</v>
      </c>
      <c r="D691" s="5" t="s">
        <v>92</v>
      </c>
      <c r="E691" s="6">
        <v>0.5</v>
      </c>
      <c r="G691" s="7">
        <v>1</v>
      </c>
      <c r="H691" s="7">
        <v>0</v>
      </c>
      <c r="J691" s="8">
        <v>1.07</v>
      </c>
      <c r="L691" s="5" t="s">
        <v>146</v>
      </c>
      <c r="N691" s="56">
        <v>34</v>
      </c>
      <c r="O691" s="26" t="s">
        <v>146</v>
      </c>
      <c r="P691" s="26" t="s">
        <v>159</v>
      </c>
      <c r="Q691" s="26" t="s">
        <v>160</v>
      </c>
      <c r="R691" s="26" t="s">
        <v>717</v>
      </c>
      <c r="S691" s="213">
        <v>68</v>
      </c>
      <c r="T691" s="26" t="s">
        <v>41</v>
      </c>
      <c r="U691" s="26" t="s">
        <v>43</v>
      </c>
      <c r="V691" s="43" t="s">
        <v>10</v>
      </c>
      <c r="W691" s="51">
        <v>0.14000000000000001</v>
      </c>
      <c r="X691" s="6">
        <v>0.73</v>
      </c>
      <c r="Z691" s="5" t="s">
        <v>48</v>
      </c>
      <c r="AA691" s="112" t="s">
        <v>28</v>
      </c>
    </row>
    <row r="692" spans="1:29" x14ac:dyDescent="0.25">
      <c r="A692" s="329">
        <v>45899</v>
      </c>
      <c r="B692" s="5">
        <v>3</v>
      </c>
      <c r="D692" s="5" t="s">
        <v>92</v>
      </c>
      <c r="E692" s="6">
        <v>0.5</v>
      </c>
      <c r="G692" s="7">
        <v>1</v>
      </c>
      <c r="H692" s="7">
        <v>0</v>
      </c>
      <c r="J692" s="8">
        <v>1.07</v>
      </c>
      <c r="L692" s="5" t="s">
        <v>146</v>
      </c>
      <c r="N692" s="56">
        <v>35</v>
      </c>
      <c r="O692" s="26" t="s">
        <v>146</v>
      </c>
      <c r="P692" s="26" t="s">
        <v>159</v>
      </c>
      <c r="Q692" s="26" t="s">
        <v>160</v>
      </c>
      <c r="R692" s="26" t="s">
        <v>717</v>
      </c>
      <c r="S692" s="213">
        <v>68</v>
      </c>
      <c r="T692" s="26" t="s">
        <v>41</v>
      </c>
      <c r="U692" s="26" t="s">
        <v>45</v>
      </c>
      <c r="V692" s="43" t="s">
        <v>29</v>
      </c>
      <c r="W692" s="51">
        <v>0.1</v>
      </c>
      <c r="X692" s="6" t="s">
        <v>53</v>
      </c>
      <c r="Z692" s="5" t="s">
        <v>13</v>
      </c>
      <c r="AA692" s="112" t="s">
        <v>28</v>
      </c>
    </row>
    <row r="693" spans="1:29" x14ac:dyDescent="0.25">
      <c r="A693" s="329">
        <v>45899</v>
      </c>
      <c r="B693" s="5">
        <v>3</v>
      </c>
      <c r="D693" s="5" t="s">
        <v>92</v>
      </c>
      <c r="E693" s="6">
        <v>0.5</v>
      </c>
      <c r="G693" s="7">
        <v>1</v>
      </c>
      <c r="H693" s="7">
        <v>0</v>
      </c>
      <c r="J693" s="8">
        <v>1.07</v>
      </c>
      <c r="L693" s="5" t="s">
        <v>146</v>
      </c>
      <c r="N693" s="56">
        <v>36</v>
      </c>
      <c r="O693" s="26" t="s">
        <v>146</v>
      </c>
      <c r="P693" s="26" t="s">
        <v>155</v>
      </c>
      <c r="Q693" s="26" t="s">
        <v>156</v>
      </c>
      <c r="R693" s="26" t="s">
        <v>686</v>
      </c>
      <c r="S693" s="213">
        <v>66</v>
      </c>
      <c r="T693" s="26" t="s">
        <v>44</v>
      </c>
      <c r="U693" s="26" t="s">
        <v>42</v>
      </c>
      <c r="V693" s="43" t="s">
        <v>540</v>
      </c>
      <c r="W693" s="51">
        <v>7.0000000000000007E-2</v>
      </c>
      <c r="X693" s="6" t="s">
        <v>53</v>
      </c>
      <c r="Z693" s="5" t="s">
        <v>13</v>
      </c>
      <c r="AA693" s="112" t="s">
        <v>28</v>
      </c>
    </row>
    <row r="694" spans="1:29" x14ac:dyDescent="0.25">
      <c r="A694" s="329">
        <v>45899</v>
      </c>
      <c r="B694" s="5">
        <v>3</v>
      </c>
      <c r="D694" s="5" t="s">
        <v>92</v>
      </c>
      <c r="E694" s="6">
        <v>0.5</v>
      </c>
      <c r="G694" s="7">
        <v>1</v>
      </c>
      <c r="H694" s="7">
        <v>0</v>
      </c>
      <c r="J694" s="8">
        <v>1.07</v>
      </c>
      <c r="L694" s="5" t="s">
        <v>146</v>
      </c>
      <c r="N694" s="56">
        <v>40</v>
      </c>
      <c r="O694" s="61" t="s">
        <v>92</v>
      </c>
      <c r="P694" s="61" t="s">
        <v>320</v>
      </c>
      <c r="Q694" s="61" t="s">
        <v>321</v>
      </c>
      <c r="R694" s="61" t="s">
        <v>687</v>
      </c>
      <c r="S694" s="218">
        <v>82</v>
      </c>
      <c r="T694" s="61" t="s">
        <v>41</v>
      </c>
      <c r="U694" s="61" t="s">
        <v>43</v>
      </c>
      <c r="V694" s="63" t="s">
        <v>18</v>
      </c>
      <c r="W694" s="51">
        <v>0.22</v>
      </c>
      <c r="X694" s="6">
        <v>0.8</v>
      </c>
      <c r="Z694" s="5" t="s">
        <v>8</v>
      </c>
      <c r="AA694" s="112" t="s">
        <v>19</v>
      </c>
      <c r="AB694" s="108" t="s">
        <v>292</v>
      </c>
      <c r="AC694" s="57" t="s">
        <v>293</v>
      </c>
    </row>
    <row r="695" spans="1:29" x14ac:dyDescent="0.25">
      <c r="A695" s="329">
        <v>45899</v>
      </c>
      <c r="B695" s="5">
        <v>3</v>
      </c>
      <c r="D695" s="5" t="s">
        <v>92</v>
      </c>
      <c r="E695" s="6">
        <v>0.5</v>
      </c>
      <c r="G695" s="7">
        <v>1</v>
      </c>
      <c r="H695" s="7">
        <v>0</v>
      </c>
      <c r="J695" s="8">
        <v>1.07</v>
      </c>
      <c r="L695" s="5" t="s">
        <v>146</v>
      </c>
      <c r="N695" s="56">
        <v>55</v>
      </c>
      <c r="O695" s="26" t="s">
        <v>146</v>
      </c>
      <c r="P695" s="26" t="s">
        <v>157</v>
      </c>
      <c r="Q695" s="26" t="s">
        <v>158</v>
      </c>
      <c r="R695" s="26" t="s">
        <v>718</v>
      </c>
      <c r="S695" s="213">
        <v>65</v>
      </c>
      <c r="T695" s="26" t="s">
        <v>41</v>
      </c>
      <c r="U695" s="26" t="s">
        <v>42</v>
      </c>
      <c r="V695" s="43" t="s">
        <v>10</v>
      </c>
      <c r="W695" s="51">
        <v>0.05</v>
      </c>
      <c r="X695" s="6">
        <v>0.34</v>
      </c>
      <c r="Z695" s="5" t="s">
        <v>48</v>
      </c>
      <c r="AA695" s="112" t="s">
        <v>19</v>
      </c>
    </row>
    <row r="696" spans="1:29" x14ac:dyDescent="0.25">
      <c r="A696" s="329">
        <v>45899</v>
      </c>
      <c r="B696" s="5">
        <v>3</v>
      </c>
      <c r="D696" s="5" t="s">
        <v>92</v>
      </c>
      <c r="E696" s="6">
        <v>0.5</v>
      </c>
      <c r="G696" s="7">
        <v>1</v>
      </c>
      <c r="H696" s="7">
        <v>0</v>
      </c>
      <c r="J696" s="8">
        <v>1.07</v>
      </c>
      <c r="L696" s="5" t="s">
        <v>146</v>
      </c>
      <c r="N696" s="56">
        <v>55</v>
      </c>
      <c r="O696" s="26" t="s">
        <v>146</v>
      </c>
      <c r="P696" s="26" t="s">
        <v>159</v>
      </c>
      <c r="Q696" s="26" t="s">
        <v>160</v>
      </c>
      <c r="R696" s="26" t="s">
        <v>718</v>
      </c>
      <c r="S696" s="213">
        <v>65</v>
      </c>
      <c r="T696" s="26" t="s">
        <v>47</v>
      </c>
      <c r="U696" s="26" t="s">
        <v>42</v>
      </c>
      <c r="V696" s="43" t="s">
        <v>20</v>
      </c>
      <c r="W696" s="51">
        <v>0.21</v>
      </c>
      <c r="X696" s="6">
        <v>0.91</v>
      </c>
      <c r="Z696" s="5" t="s">
        <v>48</v>
      </c>
      <c r="AA696" s="112" t="s">
        <v>19</v>
      </c>
    </row>
    <row r="697" spans="1:29" ht="15.75" thickBot="1" x14ac:dyDescent="0.3">
      <c r="A697" s="330">
        <v>45899</v>
      </c>
      <c r="B697" s="9">
        <v>3</v>
      </c>
      <c r="C697" s="122"/>
      <c r="D697" s="9" t="s">
        <v>92</v>
      </c>
      <c r="E697" s="10">
        <v>0.5</v>
      </c>
      <c r="F697" s="10"/>
      <c r="G697" s="11">
        <v>1</v>
      </c>
      <c r="H697" s="11">
        <v>0</v>
      </c>
      <c r="I697" s="11"/>
      <c r="J697" s="12">
        <v>1.07</v>
      </c>
      <c r="K697" s="122"/>
      <c r="L697" s="9" t="s">
        <v>146</v>
      </c>
      <c r="M697" s="45"/>
      <c r="N697" s="97">
        <v>58</v>
      </c>
      <c r="O697" s="66" t="s">
        <v>92</v>
      </c>
      <c r="P697" s="66" t="s">
        <v>292</v>
      </c>
      <c r="Q697" s="66" t="s">
        <v>293</v>
      </c>
      <c r="R697" s="66" t="s">
        <v>696</v>
      </c>
      <c r="S697" s="219">
        <v>82</v>
      </c>
      <c r="T697" s="66" t="s">
        <v>41</v>
      </c>
      <c r="U697" s="66" t="s">
        <v>43</v>
      </c>
      <c r="V697" s="67" t="s">
        <v>10</v>
      </c>
      <c r="W697" s="52">
        <v>0.03</v>
      </c>
      <c r="X697" s="10" t="s">
        <v>53</v>
      </c>
      <c r="Y697" s="10"/>
      <c r="Z697" s="9" t="s">
        <v>17</v>
      </c>
      <c r="AA697" s="113" t="s">
        <v>19</v>
      </c>
      <c r="AB697" s="109"/>
      <c r="AC697" s="58"/>
    </row>
    <row r="698" spans="1:29" ht="15.75" thickBot="1" x14ac:dyDescent="0.3">
      <c r="A698" s="326">
        <v>45899</v>
      </c>
      <c r="B698" s="207">
        <v>3</v>
      </c>
      <c r="C698" s="208"/>
      <c r="D698" s="207" t="s">
        <v>92</v>
      </c>
      <c r="E698" s="209">
        <v>0.5</v>
      </c>
      <c r="F698" s="209"/>
      <c r="G698" s="210">
        <v>1</v>
      </c>
      <c r="H698" s="210">
        <v>0</v>
      </c>
      <c r="I698" s="210"/>
      <c r="J698" s="211">
        <v>1.07</v>
      </c>
      <c r="K698" s="208"/>
      <c r="L698" s="207" t="s">
        <v>146</v>
      </c>
      <c r="M698" s="235"/>
      <c r="N698" s="198"/>
      <c r="O698" s="199" t="s">
        <v>92</v>
      </c>
      <c r="P698" s="199" t="s">
        <v>432</v>
      </c>
      <c r="Q698" s="199" t="s">
        <v>472</v>
      </c>
      <c r="R698" s="199" t="s">
        <v>707</v>
      </c>
      <c r="S698" s="200">
        <v>86</v>
      </c>
      <c r="T698" s="199"/>
      <c r="U698" s="199"/>
      <c r="V698" s="201"/>
      <c r="W698" s="202"/>
      <c r="X698" s="203"/>
      <c r="Y698" s="203">
        <v>0</v>
      </c>
      <c r="Z698" s="199"/>
      <c r="AA698" s="204"/>
      <c r="AB698" s="205"/>
      <c r="AC698" s="201"/>
    </row>
    <row r="699" spans="1:29" ht="15.75" thickBot="1" x14ac:dyDescent="0.3">
      <c r="A699" s="326">
        <v>45899</v>
      </c>
      <c r="B699" s="207">
        <v>3</v>
      </c>
      <c r="C699" s="208"/>
      <c r="D699" s="207" t="s">
        <v>92</v>
      </c>
      <c r="E699" s="209">
        <v>0.5</v>
      </c>
      <c r="F699" s="209"/>
      <c r="G699" s="210">
        <v>1</v>
      </c>
      <c r="H699" s="210">
        <v>0</v>
      </c>
      <c r="I699" s="210"/>
      <c r="J699" s="211">
        <v>1.07</v>
      </c>
      <c r="K699" s="208"/>
      <c r="L699" s="207" t="s">
        <v>146</v>
      </c>
      <c r="M699" s="235"/>
      <c r="N699" s="198"/>
      <c r="O699" s="199" t="s">
        <v>146</v>
      </c>
      <c r="P699" s="199" t="s">
        <v>176</v>
      </c>
      <c r="Q699" s="199" t="s">
        <v>423</v>
      </c>
      <c r="R699" s="199" t="s">
        <v>707</v>
      </c>
      <c r="S699" s="200">
        <v>63</v>
      </c>
      <c r="T699" s="199"/>
      <c r="U699" s="199"/>
      <c r="V699" s="201"/>
      <c r="W699" s="202"/>
      <c r="X699" s="203"/>
      <c r="Y699" s="203">
        <v>1</v>
      </c>
      <c r="Z699" s="199"/>
      <c r="AA699" s="204"/>
      <c r="AB699" s="205"/>
      <c r="AC699" s="201"/>
    </row>
    <row r="700" spans="1:29" x14ac:dyDescent="0.25">
      <c r="A700" s="331">
        <v>45919</v>
      </c>
      <c r="B700" s="13">
        <v>5</v>
      </c>
      <c r="C700" s="124" t="s">
        <v>693</v>
      </c>
      <c r="D700" s="13" t="s">
        <v>209</v>
      </c>
      <c r="E700" s="14">
        <v>2.25</v>
      </c>
      <c r="F700" s="14"/>
      <c r="G700" s="15">
        <v>3</v>
      </c>
      <c r="H700" s="15">
        <v>1</v>
      </c>
      <c r="I700" s="15"/>
      <c r="J700" s="16">
        <v>0.67</v>
      </c>
      <c r="K700" s="124" t="s">
        <v>697</v>
      </c>
      <c r="L700" s="13" t="s">
        <v>146</v>
      </c>
      <c r="M700" s="47"/>
      <c r="N700" s="98">
        <v>5</v>
      </c>
      <c r="O700" s="70" t="s">
        <v>209</v>
      </c>
      <c r="P700" s="70" t="s">
        <v>220</v>
      </c>
      <c r="Q700" s="70" t="s">
        <v>221</v>
      </c>
      <c r="R700" s="70" t="s">
        <v>684</v>
      </c>
      <c r="S700" s="227">
        <v>82</v>
      </c>
      <c r="T700" s="70" t="s">
        <v>41</v>
      </c>
      <c r="U700" s="70" t="s">
        <v>42</v>
      </c>
      <c r="V700" s="71" t="s">
        <v>540</v>
      </c>
      <c r="W700" s="54">
        <v>7.0000000000000007E-2</v>
      </c>
      <c r="X700" s="14">
        <v>0.51</v>
      </c>
      <c r="Y700" s="14"/>
      <c r="Z700" s="13" t="s">
        <v>48</v>
      </c>
      <c r="AA700" s="115" t="s">
        <v>28</v>
      </c>
      <c r="AB700" s="110"/>
      <c r="AC700" s="60"/>
    </row>
    <row r="701" spans="1:29" x14ac:dyDescent="0.25">
      <c r="A701" s="329">
        <v>45919</v>
      </c>
      <c r="B701" s="5">
        <v>5</v>
      </c>
      <c r="D701" s="5" t="s">
        <v>209</v>
      </c>
      <c r="E701" s="6">
        <v>2.25</v>
      </c>
      <c r="G701" s="7">
        <v>3</v>
      </c>
      <c r="H701" s="7">
        <v>1</v>
      </c>
      <c r="J701" s="8">
        <v>0.67</v>
      </c>
      <c r="L701" s="5" t="s">
        <v>146</v>
      </c>
      <c r="N701" s="56">
        <v>7</v>
      </c>
      <c r="O701" s="61" t="s">
        <v>209</v>
      </c>
      <c r="P701" s="61" t="s">
        <v>220</v>
      </c>
      <c r="Q701" s="61" t="s">
        <v>221</v>
      </c>
      <c r="R701" s="61" t="s">
        <v>684</v>
      </c>
      <c r="S701" s="218">
        <v>82</v>
      </c>
      <c r="T701" s="61" t="s">
        <v>41</v>
      </c>
      <c r="U701" s="61" t="s">
        <v>42</v>
      </c>
      <c r="V701" s="63" t="s">
        <v>10</v>
      </c>
      <c r="W701" s="51">
        <v>0.18</v>
      </c>
      <c r="X701" s="6">
        <v>0.79</v>
      </c>
      <c r="Z701" s="5" t="s">
        <v>8</v>
      </c>
      <c r="AA701" s="112" t="s">
        <v>19</v>
      </c>
      <c r="AB701" s="108" t="s">
        <v>222</v>
      </c>
      <c r="AC701" s="57" t="s">
        <v>665</v>
      </c>
    </row>
    <row r="702" spans="1:29" x14ac:dyDescent="0.25">
      <c r="A702" s="329">
        <v>45919</v>
      </c>
      <c r="B702" s="5">
        <v>5</v>
      </c>
      <c r="D702" s="5" t="s">
        <v>209</v>
      </c>
      <c r="E702" s="6">
        <v>2.25</v>
      </c>
      <c r="G702" s="7">
        <v>3</v>
      </c>
      <c r="H702" s="7">
        <v>1</v>
      </c>
      <c r="J702" s="8">
        <v>0.67</v>
      </c>
      <c r="L702" s="5" t="s">
        <v>146</v>
      </c>
      <c r="N702" s="56">
        <v>13</v>
      </c>
      <c r="O702" s="26" t="s">
        <v>146</v>
      </c>
      <c r="P702" s="26" t="s">
        <v>153</v>
      </c>
      <c r="Q702" s="26" t="s">
        <v>154</v>
      </c>
      <c r="R702" s="26" t="s">
        <v>695</v>
      </c>
      <c r="S702" s="213">
        <v>80</v>
      </c>
      <c r="T702" s="26" t="s">
        <v>41</v>
      </c>
      <c r="U702" s="26" t="s">
        <v>43</v>
      </c>
      <c r="V702" s="43" t="s">
        <v>10</v>
      </c>
      <c r="W702" s="51">
        <v>0.08</v>
      </c>
      <c r="X702" s="6">
        <v>0.54</v>
      </c>
      <c r="Z702" s="5" t="s">
        <v>8</v>
      </c>
      <c r="AA702" s="112" t="s">
        <v>51</v>
      </c>
      <c r="AB702" s="108" t="s">
        <v>274</v>
      </c>
      <c r="AC702" s="57" t="s">
        <v>275</v>
      </c>
    </row>
    <row r="703" spans="1:29" x14ac:dyDescent="0.25">
      <c r="A703" s="329">
        <v>45919</v>
      </c>
      <c r="B703" s="5">
        <v>5</v>
      </c>
      <c r="D703" s="5" t="s">
        <v>209</v>
      </c>
      <c r="E703" s="6">
        <v>2.25</v>
      </c>
      <c r="G703" s="7">
        <v>3</v>
      </c>
      <c r="H703" s="7">
        <v>1</v>
      </c>
      <c r="J703" s="8">
        <v>0.67</v>
      </c>
      <c r="L703" s="5" t="s">
        <v>146</v>
      </c>
      <c r="N703" s="56">
        <v>27</v>
      </c>
      <c r="O703" s="61" t="s">
        <v>209</v>
      </c>
      <c r="P703" s="61" t="s">
        <v>53</v>
      </c>
      <c r="Q703" s="61" t="s">
        <v>395</v>
      </c>
      <c r="R703" s="61" t="s">
        <v>686</v>
      </c>
      <c r="S703" s="218">
        <v>74</v>
      </c>
      <c r="T703" s="61" t="s">
        <v>41</v>
      </c>
      <c r="U703" s="61" t="s">
        <v>43</v>
      </c>
      <c r="V703" s="63" t="s">
        <v>10</v>
      </c>
      <c r="W703" s="51">
        <v>0.16</v>
      </c>
      <c r="X703" s="6" t="s">
        <v>53</v>
      </c>
      <c r="Z703" s="5" t="s">
        <v>52</v>
      </c>
      <c r="AA703" s="112" t="s">
        <v>51</v>
      </c>
    </row>
    <row r="704" spans="1:29" x14ac:dyDescent="0.25">
      <c r="A704" s="329">
        <v>45919</v>
      </c>
      <c r="B704" s="5">
        <v>5</v>
      </c>
      <c r="D704" s="5" t="s">
        <v>209</v>
      </c>
      <c r="E704" s="6">
        <v>2.25</v>
      </c>
      <c r="G704" s="7">
        <v>3</v>
      </c>
      <c r="H704" s="7">
        <v>1</v>
      </c>
      <c r="J704" s="8">
        <v>0.67</v>
      </c>
      <c r="L704" s="5" t="s">
        <v>146</v>
      </c>
      <c r="N704" s="56">
        <v>37</v>
      </c>
      <c r="O704" s="26" t="s">
        <v>146</v>
      </c>
      <c r="P704" s="26" t="s">
        <v>241</v>
      </c>
      <c r="Q704" s="26" t="s">
        <v>284</v>
      </c>
      <c r="R704" s="26" t="s">
        <v>695</v>
      </c>
      <c r="S704" s="213">
        <v>64</v>
      </c>
      <c r="T704" s="26" t="s">
        <v>47</v>
      </c>
      <c r="U704" s="26" t="s">
        <v>42</v>
      </c>
      <c r="V704" s="43" t="s">
        <v>20</v>
      </c>
      <c r="W704" s="51">
        <v>0.06</v>
      </c>
      <c r="X704" s="6">
        <v>0.12</v>
      </c>
      <c r="Z704" s="5" t="s">
        <v>48</v>
      </c>
      <c r="AA704" s="112" t="s">
        <v>51</v>
      </c>
    </row>
    <row r="705" spans="1:29" x14ac:dyDescent="0.25">
      <c r="A705" s="329">
        <v>45919</v>
      </c>
      <c r="B705" s="5">
        <v>5</v>
      </c>
      <c r="D705" s="5" t="s">
        <v>209</v>
      </c>
      <c r="E705" s="6">
        <v>2.25</v>
      </c>
      <c r="G705" s="7">
        <v>3</v>
      </c>
      <c r="H705" s="7">
        <v>1</v>
      </c>
      <c r="J705" s="8">
        <v>0.67</v>
      </c>
      <c r="L705" s="5" t="s">
        <v>146</v>
      </c>
      <c r="N705" s="56">
        <v>45</v>
      </c>
      <c r="O705" s="26" t="s">
        <v>146</v>
      </c>
      <c r="P705" s="26" t="s">
        <v>241</v>
      </c>
      <c r="Q705" s="26" t="s">
        <v>284</v>
      </c>
      <c r="R705" s="26" t="s">
        <v>695</v>
      </c>
      <c r="S705" s="213">
        <v>64</v>
      </c>
      <c r="T705" s="26" t="s">
        <v>41</v>
      </c>
      <c r="U705" s="26" t="s">
        <v>42</v>
      </c>
      <c r="V705" s="43" t="s">
        <v>540</v>
      </c>
      <c r="W705" s="51">
        <v>0.15</v>
      </c>
      <c r="X705" s="6" t="s">
        <v>53</v>
      </c>
      <c r="Z705" s="5" t="s">
        <v>52</v>
      </c>
      <c r="AA705" s="112" t="s">
        <v>51</v>
      </c>
    </row>
    <row r="706" spans="1:29" x14ac:dyDescent="0.25">
      <c r="A706" s="329">
        <v>45919</v>
      </c>
      <c r="B706" s="5">
        <v>5</v>
      </c>
      <c r="D706" s="5" t="s">
        <v>209</v>
      </c>
      <c r="E706" s="6">
        <v>2.25</v>
      </c>
      <c r="G706" s="7">
        <v>3</v>
      </c>
      <c r="H706" s="7">
        <v>1</v>
      </c>
      <c r="J706" s="8">
        <v>0.67</v>
      </c>
      <c r="L706" s="5" t="s">
        <v>146</v>
      </c>
      <c r="N706" s="56" t="s">
        <v>68</v>
      </c>
      <c r="O706" s="26" t="s">
        <v>146</v>
      </c>
      <c r="P706" s="26" t="s">
        <v>135</v>
      </c>
      <c r="Q706" s="26" t="s">
        <v>273</v>
      </c>
      <c r="R706" s="26" t="s">
        <v>689</v>
      </c>
      <c r="S706" s="213">
        <v>60</v>
      </c>
      <c r="T706" s="26" t="s">
        <v>47</v>
      </c>
      <c r="U706" s="26" t="s">
        <v>45</v>
      </c>
      <c r="V706" s="43" t="s">
        <v>20</v>
      </c>
      <c r="W706" s="51">
        <v>7.0000000000000007E-2</v>
      </c>
      <c r="X706" s="6" t="s">
        <v>53</v>
      </c>
      <c r="Z706" s="5" t="s">
        <v>55</v>
      </c>
      <c r="AA706" s="112" t="s">
        <v>51</v>
      </c>
    </row>
    <row r="707" spans="1:29" x14ac:dyDescent="0.25">
      <c r="A707" s="329">
        <v>45919</v>
      </c>
      <c r="B707" s="5">
        <v>5</v>
      </c>
      <c r="D707" s="5" t="s">
        <v>209</v>
      </c>
      <c r="E707" s="6">
        <v>2.25</v>
      </c>
      <c r="G707" s="7">
        <v>3</v>
      </c>
      <c r="H707" s="7">
        <v>1</v>
      </c>
      <c r="J707" s="8">
        <v>0.67</v>
      </c>
      <c r="L707" s="5" t="s">
        <v>146</v>
      </c>
      <c r="N707" s="56" t="s">
        <v>428</v>
      </c>
      <c r="O707" s="26" t="s">
        <v>146</v>
      </c>
      <c r="P707" s="26" t="s">
        <v>159</v>
      </c>
      <c r="Q707" s="26" t="s">
        <v>160</v>
      </c>
      <c r="R707" s="26" t="s">
        <v>684</v>
      </c>
      <c r="S707" s="213">
        <v>66</v>
      </c>
      <c r="T707" s="26" t="s">
        <v>41</v>
      </c>
      <c r="U707" s="26" t="s">
        <v>45</v>
      </c>
      <c r="V707" s="43" t="s">
        <v>10</v>
      </c>
      <c r="W707" s="51">
        <v>7.0000000000000007E-2</v>
      </c>
      <c r="X707" s="6" t="s">
        <v>53</v>
      </c>
      <c r="Z707" s="5" t="s">
        <v>16</v>
      </c>
      <c r="AA707" s="112" t="s">
        <v>51</v>
      </c>
    </row>
    <row r="708" spans="1:29" x14ac:dyDescent="0.25">
      <c r="A708" s="329">
        <v>45919</v>
      </c>
      <c r="B708" s="5">
        <v>5</v>
      </c>
      <c r="D708" s="5" t="s">
        <v>209</v>
      </c>
      <c r="E708" s="6">
        <v>2.25</v>
      </c>
      <c r="G708" s="7">
        <v>3</v>
      </c>
      <c r="H708" s="7">
        <v>1</v>
      </c>
      <c r="J708" s="8">
        <v>0.67</v>
      </c>
      <c r="L708" s="5" t="s">
        <v>146</v>
      </c>
      <c r="N708" s="56">
        <v>49</v>
      </c>
      <c r="O708" s="130" t="s">
        <v>146</v>
      </c>
      <c r="P708" s="130" t="s">
        <v>176</v>
      </c>
      <c r="Q708" s="130" t="s">
        <v>423</v>
      </c>
      <c r="R708" s="130" t="s">
        <v>707</v>
      </c>
      <c r="S708" s="226">
        <v>76</v>
      </c>
      <c r="T708" s="130" t="s">
        <v>47</v>
      </c>
      <c r="U708" s="130" t="s">
        <v>541</v>
      </c>
      <c r="V708" s="131" t="s">
        <v>20</v>
      </c>
      <c r="W708" s="132" t="s">
        <v>53</v>
      </c>
      <c r="X708" s="133" t="s">
        <v>53</v>
      </c>
      <c r="Y708" s="133"/>
      <c r="Z708" s="130" t="s">
        <v>23</v>
      </c>
      <c r="AA708" s="134" t="s">
        <v>34</v>
      </c>
    </row>
    <row r="709" spans="1:29" x14ac:dyDescent="0.25">
      <c r="A709" s="329">
        <v>45919</v>
      </c>
      <c r="B709" s="5">
        <v>5</v>
      </c>
      <c r="D709" s="5" t="s">
        <v>209</v>
      </c>
      <c r="E709" s="6">
        <v>2.25</v>
      </c>
      <c r="G709" s="7">
        <v>3</v>
      </c>
      <c r="H709" s="7">
        <v>1</v>
      </c>
      <c r="J709" s="8">
        <v>0.67</v>
      </c>
      <c r="L709" s="5" t="s">
        <v>146</v>
      </c>
      <c r="N709" s="56">
        <v>53</v>
      </c>
      <c r="O709" s="61" t="s">
        <v>209</v>
      </c>
      <c r="P709" s="61" t="s">
        <v>424</v>
      </c>
      <c r="Q709" s="61" t="s">
        <v>425</v>
      </c>
      <c r="R709" s="61" t="s">
        <v>685</v>
      </c>
      <c r="S709" s="218">
        <v>81</v>
      </c>
      <c r="T709" s="61" t="s">
        <v>41</v>
      </c>
      <c r="U709" s="61" t="s">
        <v>42</v>
      </c>
      <c r="V709" s="63" t="s">
        <v>18</v>
      </c>
      <c r="W709" s="51">
        <v>0.1</v>
      </c>
      <c r="X709" s="6" t="s">
        <v>53</v>
      </c>
      <c r="Z709" s="5" t="s">
        <v>52</v>
      </c>
      <c r="AA709" s="112" t="s">
        <v>34</v>
      </c>
    </row>
    <row r="710" spans="1:29" x14ac:dyDescent="0.25">
      <c r="A710" s="329">
        <v>45919</v>
      </c>
      <c r="B710" s="5">
        <v>5</v>
      </c>
      <c r="D710" s="5" t="s">
        <v>209</v>
      </c>
      <c r="E710" s="6">
        <v>2.25</v>
      </c>
      <c r="G710" s="7">
        <v>3</v>
      </c>
      <c r="H710" s="7">
        <v>1</v>
      </c>
      <c r="J710" s="8">
        <v>0.67</v>
      </c>
      <c r="L710" s="5" t="s">
        <v>146</v>
      </c>
      <c r="N710" s="56">
        <v>53</v>
      </c>
      <c r="O710" s="61" t="s">
        <v>209</v>
      </c>
      <c r="P710" s="61" t="s">
        <v>222</v>
      </c>
      <c r="Q710" s="61" t="s">
        <v>223</v>
      </c>
      <c r="R710" s="61" t="s">
        <v>699</v>
      </c>
      <c r="S710" s="218">
        <v>79</v>
      </c>
      <c r="T710" s="61" t="s">
        <v>41</v>
      </c>
      <c r="U710" s="61" t="s">
        <v>43</v>
      </c>
      <c r="V710" s="63" t="s">
        <v>20</v>
      </c>
      <c r="W710" s="51">
        <v>0.13</v>
      </c>
      <c r="X710" s="6" t="s">
        <v>53</v>
      </c>
      <c r="Z710" s="5" t="s">
        <v>52</v>
      </c>
      <c r="AA710" s="112" t="s">
        <v>34</v>
      </c>
    </row>
    <row r="711" spans="1:29" x14ac:dyDescent="0.25">
      <c r="A711" s="329">
        <v>45919</v>
      </c>
      <c r="B711" s="5">
        <v>5</v>
      </c>
      <c r="D711" s="5" t="s">
        <v>209</v>
      </c>
      <c r="E711" s="6">
        <v>2.25</v>
      </c>
      <c r="G711" s="7">
        <v>3</v>
      </c>
      <c r="H711" s="7">
        <v>1</v>
      </c>
      <c r="J711" s="8">
        <v>0.67</v>
      </c>
      <c r="L711" s="5" t="s">
        <v>146</v>
      </c>
      <c r="N711" s="56">
        <v>57</v>
      </c>
      <c r="O711" s="61" t="s">
        <v>209</v>
      </c>
      <c r="P711" s="61" t="s">
        <v>53</v>
      </c>
      <c r="Q711" s="61" t="s">
        <v>395</v>
      </c>
      <c r="R711" s="61" t="s">
        <v>686</v>
      </c>
      <c r="S711" s="218">
        <v>74</v>
      </c>
      <c r="T711" s="61" t="s">
        <v>41</v>
      </c>
      <c r="U711" s="61" t="s">
        <v>42</v>
      </c>
      <c r="V711" s="63" t="s">
        <v>18</v>
      </c>
      <c r="W711" s="51">
        <v>0.37</v>
      </c>
      <c r="X711" s="6" t="s">
        <v>53</v>
      </c>
      <c r="Y711" s="6" t="s">
        <v>353</v>
      </c>
      <c r="Z711" s="5" t="s">
        <v>13</v>
      </c>
      <c r="AA711" s="112" t="s">
        <v>34</v>
      </c>
    </row>
    <row r="712" spans="1:29" x14ac:dyDescent="0.25">
      <c r="A712" s="329">
        <v>45919</v>
      </c>
      <c r="B712" s="5">
        <v>5</v>
      </c>
      <c r="D712" s="5" t="s">
        <v>209</v>
      </c>
      <c r="E712" s="6">
        <v>2.25</v>
      </c>
      <c r="G712" s="7">
        <v>3</v>
      </c>
      <c r="H712" s="7">
        <v>1</v>
      </c>
      <c r="J712" s="8">
        <v>0.67</v>
      </c>
      <c r="L712" s="5" t="s">
        <v>146</v>
      </c>
      <c r="N712" s="56">
        <v>59</v>
      </c>
      <c r="O712" s="61" t="s">
        <v>209</v>
      </c>
      <c r="P712" s="61" t="s">
        <v>53</v>
      </c>
      <c r="Q712" s="61" t="s">
        <v>395</v>
      </c>
      <c r="R712" s="61" t="s">
        <v>686</v>
      </c>
      <c r="S712" s="218">
        <v>74</v>
      </c>
      <c r="T712" s="61" t="s">
        <v>354</v>
      </c>
      <c r="U712" s="61" t="s">
        <v>43</v>
      </c>
      <c r="V712" s="63" t="s">
        <v>540</v>
      </c>
      <c r="W712" s="51">
        <v>0.04</v>
      </c>
      <c r="X712" s="6">
        <v>0.17</v>
      </c>
      <c r="Z712" s="5" t="s">
        <v>48</v>
      </c>
      <c r="AA712" s="112" t="s">
        <v>34</v>
      </c>
    </row>
    <row r="713" spans="1:29" x14ac:dyDescent="0.25">
      <c r="A713" s="329">
        <v>45919</v>
      </c>
      <c r="B713" s="5">
        <v>5</v>
      </c>
      <c r="D713" s="5" t="s">
        <v>209</v>
      </c>
      <c r="E713" s="6">
        <v>2.25</v>
      </c>
      <c r="G713" s="7">
        <v>3</v>
      </c>
      <c r="H713" s="7">
        <v>1</v>
      </c>
      <c r="J713" s="8">
        <v>0.67</v>
      </c>
      <c r="L713" s="5" t="s">
        <v>146</v>
      </c>
      <c r="N713" s="56">
        <v>61</v>
      </c>
      <c r="O713" s="61" t="s">
        <v>209</v>
      </c>
      <c r="P713" s="61" t="s">
        <v>53</v>
      </c>
      <c r="Q713" s="61" t="s">
        <v>426</v>
      </c>
      <c r="R713" s="61" t="s">
        <v>712</v>
      </c>
      <c r="S713" s="218">
        <v>70</v>
      </c>
      <c r="T713" s="61" t="s">
        <v>41</v>
      </c>
      <c r="U713" s="61" t="s">
        <v>45</v>
      </c>
      <c r="V713" s="63" t="s">
        <v>20</v>
      </c>
      <c r="W713" s="51">
        <v>7.0000000000000007E-2</v>
      </c>
      <c r="X713" s="6">
        <v>0.6</v>
      </c>
      <c r="Z713" s="5" t="s">
        <v>48</v>
      </c>
      <c r="AA713" s="112" t="s">
        <v>34</v>
      </c>
    </row>
    <row r="714" spans="1:29" x14ac:dyDescent="0.25">
      <c r="A714" s="329">
        <v>45919</v>
      </c>
      <c r="B714" s="5">
        <v>5</v>
      </c>
      <c r="D714" s="5" t="s">
        <v>209</v>
      </c>
      <c r="E714" s="6">
        <v>2.25</v>
      </c>
      <c r="G714" s="7">
        <v>3</v>
      </c>
      <c r="H714" s="7">
        <v>1</v>
      </c>
      <c r="J714" s="8">
        <v>0.67</v>
      </c>
      <c r="L714" s="5" t="s">
        <v>146</v>
      </c>
      <c r="N714" s="56">
        <v>61</v>
      </c>
      <c r="O714" s="61" t="s">
        <v>209</v>
      </c>
      <c r="P714" s="61" t="s">
        <v>424</v>
      </c>
      <c r="Q714" s="61" t="s">
        <v>425</v>
      </c>
      <c r="R714" s="61" t="s">
        <v>685</v>
      </c>
      <c r="S714" s="218">
        <v>81</v>
      </c>
      <c r="T714" s="61" t="s">
        <v>41</v>
      </c>
      <c r="U714" s="61" t="s">
        <v>43</v>
      </c>
      <c r="V714" s="63" t="s">
        <v>540</v>
      </c>
      <c r="W714" s="51">
        <v>0.1</v>
      </c>
      <c r="X714" s="6" t="s">
        <v>53</v>
      </c>
      <c r="Z714" s="5" t="s">
        <v>13</v>
      </c>
      <c r="AA714" s="112" t="s">
        <v>34</v>
      </c>
    </row>
    <row r="715" spans="1:29" x14ac:dyDescent="0.25">
      <c r="A715" s="329">
        <v>45919</v>
      </c>
      <c r="B715" s="5">
        <v>5</v>
      </c>
      <c r="D715" s="5" t="s">
        <v>209</v>
      </c>
      <c r="E715" s="6">
        <v>2.25</v>
      </c>
      <c r="G715" s="7">
        <v>3</v>
      </c>
      <c r="H715" s="7">
        <v>1</v>
      </c>
      <c r="J715" s="8">
        <v>0.67</v>
      </c>
      <c r="L715" s="5" t="s">
        <v>146</v>
      </c>
      <c r="N715" s="56">
        <v>63</v>
      </c>
      <c r="O715" s="26" t="s">
        <v>146</v>
      </c>
      <c r="P715" s="26" t="s">
        <v>153</v>
      </c>
      <c r="Q715" s="26" t="s">
        <v>154</v>
      </c>
      <c r="R715" s="26" t="s">
        <v>695</v>
      </c>
      <c r="S715" s="213">
        <v>80</v>
      </c>
      <c r="T715" s="26" t="s">
        <v>354</v>
      </c>
      <c r="U715" s="26" t="s">
        <v>43</v>
      </c>
      <c r="V715" s="43" t="s">
        <v>540</v>
      </c>
      <c r="W715" s="51">
        <v>0.05</v>
      </c>
      <c r="X715" s="6">
        <v>0.54</v>
      </c>
      <c r="Z715" s="5" t="s">
        <v>48</v>
      </c>
      <c r="AA715" s="112" t="s">
        <v>34</v>
      </c>
    </row>
    <row r="716" spans="1:29" x14ac:dyDescent="0.25">
      <c r="A716" s="329">
        <v>45919</v>
      </c>
      <c r="B716" s="5">
        <v>5</v>
      </c>
      <c r="D716" s="5" t="s">
        <v>209</v>
      </c>
      <c r="E716" s="6">
        <v>2.25</v>
      </c>
      <c r="G716" s="7">
        <v>3</v>
      </c>
      <c r="H716" s="7">
        <v>1</v>
      </c>
      <c r="J716" s="8">
        <v>0.67</v>
      </c>
      <c r="L716" s="5" t="s">
        <v>146</v>
      </c>
      <c r="N716" s="56">
        <v>69</v>
      </c>
      <c r="O716" s="61" t="s">
        <v>209</v>
      </c>
      <c r="P716" s="61" t="s">
        <v>241</v>
      </c>
      <c r="Q716" s="61" t="s">
        <v>396</v>
      </c>
      <c r="R716" s="61" t="s">
        <v>687</v>
      </c>
      <c r="S716" s="218">
        <v>80</v>
      </c>
      <c r="T716" s="61" t="s">
        <v>41</v>
      </c>
      <c r="U716" s="61" t="s">
        <v>42</v>
      </c>
      <c r="V716" s="63" t="s">
        <v>10</v>
      </c>
      <c r="W716" s="51">
        <v>0.16</v>
      </c>
      <c r="X716" s="6">
        <v>0.64</v>
      </c>
      <c r="Y716" s="6" t="s">
        <v>353</v>
      </c>
      <c r="Z716" s="5" t="s">
        <v>8</v>
      </c>
      <c r="AA716" s="112" t="s">
        <v>427</v>
      </c>
      <c r="AB716" s="108" t="s">
        <v>216</v>
      </c>
      <c r="AC716" s="57" t="s">
        <v>217</v>
      </c>
    </row>
    <row r="717" spans="1:29" x14ac:dyDescent="0.25">
      <c r="A717" s="329">
        <v>45919</v>
      </c>
      <c r="B717" s="5">
        <v>5</v>
      </c>
      <c r="D717" s="5" t="s">
        <v>209</v>
      </c>
      <c r="E717" s="6">
        <v>2.25</v>
      </c>
      <c r="G717" s="7">
        <v>3</v>
      </c>
      <c r="H717" s="7">
        <v>1</v>
      </c>
      <c r="J717" s="8">
        <v>0.67</v>
      </c>
      <c r="L717" s="5" t="s">
        <v>146</v>
      </c>
      <c r="N717" s="56">
        <v>72</v>
      </c>
      <c r="O717" s="61" t="s">
        <v>209</v>
      </c>
      <c r="P717" s="61" t="s">
        <v>424</v>
      </c>
      <c r="Q717" s="61" t="s">
        <v>425</v>
      </c>
      <c r="R717" s="61" t="s">
        <v>685</v>
      </c>
      <c r="S717" s="218">
        <v>81</v>
      </c>
      <c r="T717" s="61" t="s">
        <v>354</v>
      </c>
      <c r="U717" s="61" t="s">
        <v>42</v>
      </c>
      <c r="V717" s="63" t="s">
        <v>10</v>
      </c>
      <c r="W717" s="51">
        <v>0.05</v>
      </c>
      <c r="X717" s="6" t="s">
        <v>53</v>
      </c>
      <c r="Z717" s="5" t="s">
        <v>17</v>
      </c>
      <c r="AA717" s="112" t="s">
        <v>427</v>
      </c>
    </row>
    <row r="718" spans="1:29" x14ac:dyDescent="0.25">
      <c r="A718" s="329">
        <v>45919</v>
      </c>
      <c r="B718" s="5">
        <v>5</v>
      </c>
      <c r="D718" s="5" t="s">
        <v>209</v>
      </c>
      <c r="E718" s="6">
        <v>2.25</v>
      </c>
      <c r="G718" s="7">
        <v>3</v>
      </c>
      <c r="H718" s="7">
        <v>1</v>
      </c>
      <c r="J718" s="8">
        <v>0.67</v>
      </c>
      <c r="L718" s="5" t="s">
        <v>146</v>
      </c>
      <c r="N718" s="56">
        <v>90</v>
      </c>
      <c r="O718" s="61" t="s">
        <v>209</v>
      </c>
      <c r="P718" s="61" t="s">
        <v>424</v>
      </c>
      <c r="Q718" s="61" t="s">
        <v>425</v>
      </c>
      <c r="R718" s="61" t="s">
        <v>685</v>
      </c>
      <c r="S718" s="218">
        <v>81</v>
      </c>
      <c r="T718" s="61" t="s">
        <v>41</v>
      </c>
      <c r="U718" s="61" t="s">
        <v>43</v>
      </c>
      <c r="V718" s="63" t="s">
        <v>18</v>
      </c>
      <c r="W718" s="51">
        <v>0.05</v>
      </c>
      <c r="X718" s="6">
        <v>0.35</v>
      </c>
      <c r="Z718" s="5" t="s">
        <v>48</v>
      </c>
      <c r="AA718" s="112" t="s">
        <v>427</v>
      </c>
    </row>
    <row r="719" spans="1:29" x14ac:dyDescent="0.25">
      <c r="A719" s="329">
        <v>45919</v>
      </c>
      <c r="B719" s="5">
        <v>5</v>
      </c>
      <c r="D719" s="5" t="s">
        <v>209</v>
      </c>
      <c r="E719" s="6">
        <v>2.25</v>
      </c>
      <c r="G719" s="7">
        <v>3</v>
      </c>
      <c r="H719" s="7">
        <v>1</v>
      </c>
      <c r="J719" s="8">
        <v>0.67</v>
      </c>
      <c r="L719" s="5" t="s">
        <v>146</v>
      </c>
      <c r="N719" s="56" t="s">
        <v>31</v>
      </c>
      <c r="O719" s="26" t="s">
        <v>146</v>
      </c>
      <c r="P719" s="26" t="s">
        <v>429</v>
      </c>
      <c r="Q719" s="26" t="s">
        <v>430</v>
      </c>
      <c r="R719" s="26" t="s">
        <v>696</v>
      </c>
      <c r="S719" s="213">
        <v>60</v>
      </c>
      <c r="T719" s="26" t="s">
        <v>41</v>
      </c>
      <c r="U719" s="26" t="s">
        <v>42</v>
      </c>
      <c r="V719" s="43" t="s">
        <v>10</v>
      </c>
      <c r="W719" s="51">
        <v>0.12</v>
      </c>
      <c r="X719" s="6">
        <v>0.17</v>
      </c>
      <c r="Y719" s="6" t="s">
        <v>353</v>
      </c>
      <c r="Z719" s="5" t="s">
        <v>48</v>
      </c>
      <c r="AA719" s="112" t="s">
        <v>427</v>
      </c>
    </row>
    <row r="720" spans="1:29" ht="15.75" thickBot="1" x14ac:dyDescent="0.3">
      <c r="A720" s="330">
        <v>45919</v>
      </c>
      <c r="B720" s="9">
        <v>5</v>
      </c>
      <c r="C720" s="122"/>
      <c r="D720" s="9" t="s">
        <v>209</v>
      </c>
      <c r="E720" s="10">
        <v>2.25</v>
      </c>
      <c r="F720" s="10"/>
      <c r="G720" s="11">
        <v>3</v>
      </c>
      <c r="H720" s="11">
        <v>1</v>
      </c>
      <c r="I720" s="11"/>
      <c r="J720" s="12">
        <v>0.67</v>
      </c>
      <c r="K720" s="122"/>
      <c r="L720" s="9" t="s">
        <v>146</v>
      </c>
      <c r="M720" s="45"/>
      <c r="N720" s="97" t="s">
        <v>415</v>
      </c>
      <c r="O720" s="66" t="s">
        <v>209</v>
      </c>
      <c r="P720" s="66" t="s">
        <v>241</v>
      </c>
      <c r="Q720" s="66" t="s">
        <v>75</v>
      </c>
      <c r="R720" s="66" t="s">
        <v>696</v>
      </c>
      <c r="S720" s="219">
        <v>63</v>
      </c>
      <c r="T720" s="66" t="s">
        <v>47</v>
      </c>
      <c r="U720" s="66" t="s">
        <v>43</v>
      </c>
      <c r="V720" s="67" t="s">
        <v>18</v>
      </c>
      <c r="W720" s="52">
        <v>0.48</v>
      </c>
      <c r="X720" s="10" t="s">
        <v>53</v>
      </c>
      <c r="Y720" s="10" t="s">
        <v>353</v>
      </c>
      <c r="Z720" s="9" t="s">
        <v>13</v>
      </c>
      <c r="AA720" s="113" t="s">
        <v>427</v>
      </c>
      <c r="AB720" s="109"/>
      <c r="AC720" s="58"/>
    </row>
    <row r="721" spans="1:29" ht="15.75" thickBot="1" x14ac:dyDescent="0.3">
      <c r="A721" s="326">
        <v>45919</v>
      </c>
      <c r="B721" s="207">
        <v>5</v>
      </c>
      <c r="C721" s="208"/>
      <c r="D721" s="207" t="s">
        <v>209</v>
      </c>
      <c r="E721" s="209">
        <v>2.25</v>
      </c>
      <c r="F721" s="209"/>
      <c r="G721" s="210">
        <v>3</v>
      </c>
      <c r="H721" s="210">
        <v>1</v>
      </c>
      <c r="I721" s="210"/>
      <c r="J721" s="211">
        <v>0.67</v>
      </c>
      <c r="K721" s="208"/>
      <c r="L721" s="207" t="s">
        <v>146</v>
      </c>
      <c r="M721" s="235"/>
      <c r="N721" s="198"/>
      <c r="O721" s="199" t="s">
        <v>209</v>
      </c>
      <c r="P721" s="199" t="s">
        <v>447</v>
      </c>
      <c r="Q721" s="199" t="s">
        <v>150</v>
      </c>
      <c r="R721" s="199" t="s">
        <v>707</v>
      </c>
      <c r="S721" s="200">
        <v>74</v>
      </c>
      <c r="T721" s="199"/>
      <c r="U721" s="199"/>
      <c r="V721" s="201"/>
      <c r="W721" s="202"/>
      <c r="X721" s="203"/>
      <c r="Y721" s="203">
        <v>1</v>
      </c>
      <c r="Z721" s="199"/>
      <c r="AA721" s="204"/>
      <c r="AB721" s="205"/>
      <c r="AC721" s="201"/>
    </row>
    <row r="722" spans="1:29" ht="15.75" thickBot="1" x14ac:dyDescent="0.3">
      <c r="A722" s="326">
        <v>45919</v>
      </c>
      <c r="B722" s="207">
        <v>5</v>
      </c>
      <c r="C722" s="208"/>
      <c r="D722" s="207" t="s">
        <v>209</v>
      </c>
      <c r="E722" s="209">
        <v>2.25</v>
      </c>
      <c r="F722" s="209"/>
      <c r="G722" s="210">
        <v>3</v>
      </c>
      <c r="H722" s="210">
        <v>1</v>
      </c>
      <c r="I722" s="210"/>
      <c r="J722" s="211">
        <v>0.67</v>
      </c>
      <c r="K722" s="208"/>
      <c r="L722" s="207" t="s">
        <v>146</v>
      </c>
      <c r="M722" s="235"/>
      <c r="N722" s="198"/>
      <c r="O722" s="199" t="s">
        <v>146</v>
      </c>
      <c r="P722" s="199" t="s">
        <v>176</v>
      </c>
      <c r="Q722" s="199" t="s">
        <v>423</v>
      </c>
      <c r="R722" s="199" t="s">
        <v>707</v>
      </c>
      <c r="S722" s="200">
        <v>76</v>
      </c>
      <c r="T722" s="199"/>
      <c r="U722" s="199"/>
      <c r="V722" s="201"/>
      <c r="W722" s="202"/>
      <c r="X722" s="203"/>
      <c r="Y722" s="203">
        <v>3</v>
      </c>
      <c r="Z722" s="199"/>
      <c r="AA722" s="204"/>
      <c r="AB722" s="205"/>
      <c r="AC722" s="201"/>
    </row>
    <row r="723" spans="1:29" x14ac:dyDescent="0.25">
      <c r="A723" s="328">
        <v>45928</v>
      </c>
      <c r="B723" s="17">
        <v>7</v>
      </c>
      <c r="C723" s="123" t="s">
        <v>693</v>
      </c>
      <c r="D723" s="17" t="s">
        <v>113</v>
      </c>
      <c r="E723" s="18">
        <v>2.21</v>
      </c>
      <c r="F723" s="18"/>
      <c r="G723" s="19">
        <v>2</v>
      </c>
      <c r="H723" s="19">
        <v>1</v>
      </c>
      <c r="I723" s="19"/>
      <c r="J723" s="20">
        <v>0.97</v>
      </c>
      <c r="K723" s="123" t="s">
        <v>697</v>
      </c>
      <c r="L723" s="17" t="s">
        <v>146</v>
      </c>
      <c r="M723" s="46"/>
      <c r="N723" s="96">
        <v>31</v>
      </c>
      <c r="O723" s="77" t="s">
        <v>146</v>
      </c>
      <c r="P723" s="77" t="s">
        <v>74</v>
      </c>
      <c r="Q723" s="77" t="s">
        <v>533</v>
      </c>
      <c r="R723" s="77" t="s">
        <v>689</v>
      </c>
      <c r="S723" s="220">
        <v>80</v>
      </c>
      <c r="T723" s="77" t="s">
        <v>41</v>
      </c>
      <c r="U723" s="77" t="s">
        <v>42</v>
      </c>
      <c r="V723" s="78" t="s">
        <v>10</v>
      </c>
      <c r="W723" s="53">
        <v>0.56000000000000005</v>
      </c>
      <c r="X723" s="18">
        <v>0.83</v>
      </c>
      <c r="Y723" s="18" t="s">
        <v>353</v>
      </c>
      <c r="Z723" s="17" t="s">
        <v>8</v>
      </c>
      <c r="AA723" s="114" t="s">
        <v>9</v>
      </c>
      <c r="AB723" s="110" t="s">
        <v>274</v>
      </c>
      <c r="AC723" s="60" t="s">
        <v>275</v>
      </c>
    </row>
    <row r="724" spans="1:29" x14ac:dyDescent="0.25">
      <c r="A724" s="329">
        <v>45928</v>
      </c>
      <c r="B724" s="5">
        <v>7</v>
      </c>
      <c r="D724" s="5" t="s">
        <v>113</v>
      </c>
      <c r="E724" s="6">
        <v>2.21</v>
      </c>
      <c r="G724" s="7">
        <v>2</v>
      </c>
      <c r="H724" s="7">
        <v>1</v>
      </c>
      <c r="J724" s="8">
        <v>0.97</v>
      </c>
      <c r="L724" s="5" t="s">
        <v>146</v>
      </c>
      <c r="N724" s="56">
        <v>39</v>
      </c>
      <c r="O724" s="61" t="s">
        <v>113</v>
      </c>
      <c r="P724" s="61" t="s">
        <v>53</v>
      </c>
      <c r="Q724" s="61" t="s">
        <v>126</v>
      </c>
      <c r="R724" s="61" t="s">
        <v>687</v>
      </c>
      <c r="S724" s="218">
        <v>81</v>
      </c>
      <c r="T724" s="61" t="s">
        <v>47</v>
      </c>
      <c r="U724" s="61" t="s">
        <v>42</v>
      </c>
      <c r="V724" s="63" t="s">
        <v>540</v>
      </c>
      <c r="W724" s="51">
        <v>0.32</v>
      </c>
      <c r="X724" s="6" t="s">
        <v>53</v>
      </c>
      <c r="Y724" s="6" t="s">
        <v>353</v>
      </c>
      <c r="Z724" s="5" t="s">
        <v>52</v>
      </c>
      <c r="AA724" s="112" t="s">
        <v>9</v>
      </c>
    </row>
    <row r="725" spans="1:29" x14ac:dyDescent="0.25">
      <c r="A725" s="329">
        <v>45928</v>
      </c>
      <c r="B725" s="5">
        <v>7</v>
      </c>
      <c r="D725" s="5" t="s">
        <v>113</v>
      </c>
      <c r="E725" s="6">
        <v>2.21</v>
      </c>
      <c r="G725" s="7">
        <v>2</v>
      </c>
      <c r="H725" s="7">
        <v>1</v>
      </c>
      <c r="J725" s="8">
        <v>0.97</v>
      </c>
      <c r="L725" s="5" t="s">
        <v>146</v>
      </c>
      <c r="N725" s="56">
        <v>42</v>
      </c>
      <c r="O725" s="61" t="s">
        <v>113</v>
      </c>
      <c r="P725" s="61" t="s">
        <v>529</v>
      </c>
      <c r="Q725" s="61" t="s">
        <v>530</v>
      </c>
      <c r="R725" s="61" t="s">
        <v>686</v>
      </c>
      <c r="S725" s="218">
        <v>68</v>
      </c>
      <c r="T725" s="61" t="s">
        <v>41</v>
      </c>
      <c r="U725" s="61" t="s">
        <v>43</v>
      </c>
      <c r="V725" s="63" t="s">
        <v>10</v>
      </c>
      <c r="W725" s="51">
        <v>0.05</v>
      </c>
      <c r="X725" s="6">
        <v>0.22</v>
      </c>
      <c r="Z725" s="5" t="s">
        <v>48</v>
      </c>
      <c r="AA725" s="112" t="s">
        <v>9</v>
      </c>
    </row>
    <row r="726" spans="1:29" x14ac:dyDescent="0.25">
      <c r="A726" s="329">
        <v>45928</v>
      </c>
      <c r="B726" s="5">
        <v>7</v>
      </c>
      <c r="D726" s="5" t="s">
        <v>113</v>
      </c>
      <c r="E726" s="6">
        <v>2.21</v>
      </c>
      <c r="G726" s="7">
        <v>2</v>
      </c>
      <c r="H726" s="7">
        <v>1</v>
      </c>
      <c r="J726" s="8">
        <v>0.97</v>
      </c>
      <c r="L726" s="5" t="s">
        <v>146</v>
      </c>
      <c r="N726" s="56">
        <v>43</v>
      </c>
      <c r="O726" s="61" t="s">
        <v>113</v>
      </c>
      <c r="P726" s="61" t="s">
        <v>531</v>
      </c>
      <c r="Q726" s="61" t="s">
        <v>532</v>
      </c>
      <c r="R726" s="61" t="s">
        <v>689</v>
      </c>
      <c r="S726" s="218">
        <v>70</v>
      </c>
      <c r="T726" s="61" t="s">
        <v>47</v>
      </c>
      <c r="U726" s="61" t="s">
        <v>45</v>
      </c>
      <c r="V726" s="63" t="s">
        <v>20</v>
      </c>
      <c r="W726" s="51">
        <v>0.17</v>
      </c>
      <c r="X726" s="6">
        <v>0.57999999999999996</v>
      </c>
      <c r="Z726" s="5" t="s">
        <v>8</v>
      </c>
      <c r="AA726" s="112" t="s">
        <v>51</v>
      </c>
      <c r="AB726" s="108" t="s">
        <v>468</v>
      </c>
      <c r="AC726" s="57" t="s">
        <v>469</v>
      </c>
    </row>
    <row r="727" spans="1:29" x14ac:dyDescent="0.25">
      <c r="A727" s="329">
        <v>45928</v>
      </c>
      <c r="B727" s="5">
        <v>7</v>
      </c>
      <c r="D727" s="5" t="s">
        <v>113</v>
      </c>
      <c r="E727" s="6">
        <v>2.21</v>
      </c>
      <c r="G727" s="7">
        <v>2</v>
      </c>
      <c r="H727" s="7">
        <v>1</v>
      </c>
      <c r="J727" s="8">
        <v>0.97</v>
      </c>
      <c r="L727" s="5" t="s">
        <v>146</v>
      </c>
      <c r="N727" s="56">
        <v>47</v>
      </c>
      <c r="O727" s="61" t="s">
        <v>113</v>
      </c>
      <c r="P727" s="61" t="s">
        <v>98</v>
      </c>
      <c r="Q727" s="61" t="s">
        <v>365</v>
      </c>
      <c r="R727" s="61" t="s">
        <v>688</v>
      </c>
      <c r="S727" s="218">
        <v>68</v>
      </c>
      <c r="T727" s="61" t="s">
        <v>354</v>
      </c>
      <c r="U727" s="61" t="s">
        <v>43</v>
      </c>
      <c r="V727" s="63" t="s">
        <v>540</v>
      </c>
      <c r="W727" s="51">
        <v>0.01</v>
      </c>
      <c r="X727" s="6" t="s">
        <v>53</v>
      </c>
      <c r="Z727" s="5" t="s">
        <v>16</v>
      </c>
      <c r="AA727" s="112" t="s">
        <v>51</v>
      </c>
    </row>
    <row r="728" spans="1:29" x14ac:dyDescent="0.25">
      <c r="A728" s="329">
        <v>45928</v>
      </c>
      <c r="B728" s="5">
        <v>7</v>
      </c>
      <c r="D728" s="5" t="s">
        <v>113</v>
      </c>
      <c r="E728" s="6">
        <v>2.21</v>
      </c>
      <c r="G728" s="7">
        <v>2</v>
      </c>
      <c r="H728" s="7">
        <v>1</v>
      </c>
      <c r="J728" s="8">
        <v>0.97</v>
      </c>
      <c r="L728" s="5" t="s">
        <v>146</v>
      </c>
      <c r="N728" s="56">
        <v>59</v>
      </c>
      <c r="O728" s="61" t="s">
        <v>113</v>
      </c>
      <c r="P728" s="61" t="s">
        <v>178</v>
      </c>
      <c r="Q728" s="61" t="s">
        <v>407</v>
      </c>
      <c r="R728" s="61" t="s">
        <v>684</v>
      </c>
      <c r="S728" s="218">
        <v>71</v>
      </c>
      <c r="T728" s="61" t="s">
        <v>47</v>
      </c>
      <c r="U728" s="61" t="s">
        <v>45</v>
      </c>
      <c r="V728" s="63" t="s">
        <v>10</v>
      </c>
      <c r="W728" s="51">
        <v>0.3</v>
      </c>
      <c r="X728" s="6">
        <v>0.46</v>
      </c>
      <c r="Y728" s="6" t="s">
        <v>353</v>
      </c>
      <c r="Z728" s="5" t="s">
        <v>8</v>
      </c>
      <c r="AA728" s="112" t="s">
        <v>34</v>
      </c>
      <c r="AB728" s="108" t="s">
        <v>120</v>
      </c>
      <c r="AC728" s="57" t="s">
        <v>121</v>
      </c>
    </row>
    <row r="729" spans="1:29" x14ac:dyDescent="0.25">
      <c r="A729" s="329">
        <v>45928</v>
      </c>
      <c r="B729" s="5">
        <v>7</v>
      </c>
      <c r="D729" s="5" t="s">
        <v>113</v>
      </c>
      <c r="E729" s="6">
        <v>2.21</v>
      </c>
      <c r="G729" s="7">
        <v>2</v>
      </c>
      <c r="H729" s="7">
        <v>1</v>
      </c>
      <c r="J729" s="8">
        <v>0.97</v>
      </c>
      <c r="L729" s="5" t="s">
        <v>146</v>
      </c>
      <c r="N729" s="56">
        <v>62</v>
      </c>
      <c r="O729" s="26" t="s">
        <v>146</v>
      </c>
      <c r="P729" s="26" t="s">
        <v>159</v>
      </c>
      <c r="Q729" s="26" t="s">
        <v>160</v>
      </c>
      <c r="R729" s="26" t="s">
        <v>684</v>
      </c>
      <c r="S729" s="213">
        <v>66</v>
      </c>
      <c r="T729" s="26" t="s">
        <v>41</v>
      </c>
      <c r="U729" s="26" t="s">
        <v>43</v>
      </c>
      <c r="V729" s="43" t="s">
        <v>10</v>
      </c>
      <c r="W729" s="51">
        <v>0.13</v>
      </c>
      <c r="X729" s="6">
        <v>7.0000000000000007E-2</v>
      </c>
      <c r="Z729" s="5" t="s">
        <v>48</v>
      </c>
      <c r="AA729" s="112" t="s">
        <v>34</v>
      </c>
    </row>
    <row r="730" spans="1:29" x14ac:dyDescent="0.25">
      <c r="A730" s="329">
        <v>45928</v>
      </c>
      <c r="B730" s="5">
        <v>7</v>
      </c>
      <c r="D730" s="5" t="s">
        <v>113</v>
      </c>
      <c r="E730" s="6">
        <v>2.21</v>
      </c>
      <c r="G730" s="7">
        <v>2</v>
      </c>
      <c r="H730" s="7">
        <v>1</v>
      </c>
      <c r="J730" s="8">
        <v>0.97</v>
      </c>
      <c r="L730" s="5" t="s">
        <v>146</v>
      </c>
      <c r="N730" s="56">
        <v>68</v>
      </c>
      <c r="O730" s="61" t="s">
        <v>113</v>
      </c>
      <c r="P730" s="61" t="s">
        <v>178</v>
      </c>
      <c r="Q730" s="61" t="s">
        <v>407</v>
      </c>
      <c r="R730" s="61" t="s">
        <v>684</v>
      </c>
      <c r="S730" s="218">
        <v>71</v>
      </c>
      <c r="T730" s="61" t="s">
        <v>47</v>
      </c>
      <c r="U730" s="61" t="s">
        <v>43</v>
      </c>
      <c r="V730" s="63" t="s">
        <v>10</v>
      </c>
      <c r="W730" s="51">
        <v>0.1</v>
      </c>
      <c r="X730" s="6" t="s">
        <v>53</v>
      </c>
      <c r="Z730" s="5" t="s">
        <v>52</v>
      </c>
      <c r="AA730" s="112" t="s">
        <v>34</v>
      </c>
    </row>
    <row r="731" spans="1:29" x14ac:dyDescent="0.25">
      <c r="A731" s="329">
        <v>45928</v>
      </c>
      <c r="B731" s="5">
        <v>7</v>
      </c>
      <c r="D731" s="5" t="s">
        <v>113</v>
      </c>
      <c r="E731" s="6">
        <v>2.21</v>
      </c>
      <c r="G731" s="7">
        <v>2</v>
      </c>
      <c r="H731" s="7">
        <v>1</v>
      </c>
      <c r="J731" s="8">
        <v>0.97</v>
      </c>
      <c r="L731" s="5" t="s">
        <v>146</v>
      </c>
      <c r="N731" s="56">
        <v>84</v>
      </c>
      <c r="O731" s="26" t="s">
        <v>146</v>
      </c>
      <c r="P731" s="26" t="s">
        <v>155</v>
      </c>
      <c r="Q731" s="26" t="s">
        <v>156</v>
      </c>
      <c r="R731" s="26" t="s">
        <v>696</v>
      </c>
      <c r="S731" s="213">
        <v>64</v>
      </c>
      <c r="T731" s="26" t="s">
        <v>44</v>
      </c>
      <c r="U731" s="26" t="s">
        <v>43</v>
      </c>
      <c r="V731" s="43" t="s">
        <v>18</v>
      </c>
      <c r="W731" s="51">
        <v>0.14000000000000001</v>
      </c>
      <c r="X731" s="6" t="s">
        <v>53</v>
      </c>
      <c r="Z731" s="5" t="s">
        <v>17</v>
      </c>
      <c r="AA731" s="112" t="s">
        <v>34</v>
      </c>
    </row>
    <row r="732" spans="1:29" x14ac:dyDescent="0.25">
      <c r="A732" s="329">
        <v>45928</v>
      </c>
      <c r="B732" s="5">
        <v>7</v>
      </c>
      <c r="D732" s="5" t="s">
        <v>113</v>
      </c>
      <c r="E732" s="6">
        <v>2.21</v>
      </c>
      <c r="G732" s="7">
        <v>2</v>
      </c>
      <c r="H732" s="7">
        <v>1</v>
      </c>
      <c r="J732" s="8">
        <v>0.97</v>
      </c>
      <c r="L732" s="5" t="s">
        <v>146</v>
      </c>
      <c r="N732" s="56">
        <v>84</v>
      </c>
      <c r="O732" s="61" t="s">
        <v>113</v>
      </c>
      <c r="P732" s="61" t="s">
        <v>178</v>
      </c>
      <c r="Q732" s="61" t="s">
        <v>407</v>
      </c>
      <c r="R732" s="61" t="s">
        <v>684</v>
      </c>
      <c r="S732" s="218">
        <v>71</v>
      </c>
      <c r="T732" s="61" t="s">
        <v>41</v>
      </c>
      <c r="U732" s="61" t="s">
        <v>42</v>
      </c>
      <c r="V732" s="63" t="s">
        <v>18</v>
      </c>
      <c r="W732" s="51">
        <v>0.3</v>
      </c>
      <c r="X732" s="6" t="s">
        <v>53</v>
      </c>
      <c r="Y732" s="6" t="s">
        <v>353</v>
      </c>
      <c r="Z732" s="5" t="s">
        <v>17</v>
      </c>
      <c r="AA732" s="112" t="s">
        <v>34</v>
      </c>
    </row>
    <row r="733" spans="1:29" ht="15.75" thickBot="1" x14ac:dyDescent="0.3">
      <c r="A733" s="330">
        <v>45928</v>
      </c>
      <c r="B733" s="9">
        <v>7</v>
      </c>
      <c r="C733" s="122"/>
      <c r="D733" s="9" t="s">
        <v>113</v>
      </c>
      <c r="E733" s="10">
        <v>2.21</v>
      </c>
      <c r="F733" s="10"/>
      <c r="G733" s="11">
        <v>2</v>
      </c>
      <c r="H733" s="11">
        <v>1</v>
      </c>
      <c r="I733" s="11"/>
      <c r="J733" s="12">
        <v>0.97</v>
      </c>
      <c r="K733" s="122"/>
      <c r="L733" s="9" t="s">
        <v>146</v>
      </c>
      <c r="M733" s="45"/>
      <c r="N733" s="97">
        <v>85</v>
      </c>
      <c r="O733" s="66" t="s">
        <v>113</v>
      </c>
      <c r="P733" s="66" t="s">
        <v>178</v>
      </c>
      <c r="Q733" s="66" t="s">
        <v>407</v>
      </c>
      <c r="R733" s="66" t="s">
        <v>684</v>
      </c>
      <c r="S733" s="219">
        <v>71</v>
      </c>
      <c r="T733" s="66" t="s">
        <v>47</v>
      </c>
      <c r="U733" s="66" t="s">
        <v>42</v>
      </c>
      <c r="V733" s="67" t="s">
        <v>18</v>
      </c>
      <c r="W733" s="52">
        <v>0.61</v>
      </c>
      <c r="X733" s="10" t="s">
        <v>53</v>
      </c>
      <c r="Y733" s="10" t="s">
        <v>353</v>
      </c>
      <c r="Z733" s="9" t="s">
        <v>52</v>
      </c>
      <c r="AA733" s="113" t="s">
        <v>34</v>
      </c>
      <c r="AB733" s="109"/>
      <c r="AC733" s="58"/>
    </row>
    <row r="734" spans="1:29" ht="15.75" thickBot="1" x14ac:dyDescent="0.3">
      <c r="A734" s="326">
        <v>45928</v>
      </c>
      <c r="B734" s="207">
        <v>7</v>
      </c>
      <c r="C734" s="208"/>
      <c r="D734" s="207" t="s">
        <v>113</v>
      </c>
      <c r="E734" s="209">
        <v>2.21</v>
      </c>
      <c r="F734" s="209"/>
      <c r="G734" s="210">
        <v>2</v>
      </c>
      <c r="H734" s="210">
        <v>1</v>
      </c>
      <c r="I734" s="210"/>
      <c r="J734" s="211">
        <v>0.97</v>
      </c>
      <c r="K734" s="208"/>
      <c r="L734" s="207" t="s">
        <v>146</v>
      </c>
      <c r="M734" s="235"/>
      <c r="N734" s="198"/>
      <c r="O734" s="199" t="s">
        <v>113</v>
      </c>
      <c r="P734" s="199" t="s">
        <v>738</v>
      </c>
      <c r="Q734" s="199" t="s">
        <v>739</v>
      </c>
      <c r="R734" s="199" t="s">
        <v>707</v>
      </c>
      <c r="S734" s="200">
        <v>68</v>
      </c>
      <c r="T734" s="199"/>
      <c r="U734" s="199"/>
      <c r="V734" s="201"/>
      <c r="W734" s="202"/>
      <c r="X734" s="203"/>
      <c r="Y734" s="203">
        <v>1</v>
      </c>
      <c r="Z734" s="199"/>
      <c r="AA734" s="204"/>
      <c r="AB734" s="205"/>
      <c r="AC734" s="201"/>
    </row>
    <row r="735" spans="1:29" ht="15.75" thickBot="1" x14ac:dyDescent="0.3">
      <c r="A735" s="326">
        <v>45928</v>
      </c>
      <c r="B735" s="207">
        <v>7</v>
      </c>
      <c r="C735" s="208"/>
      <c r="D735" s="207" t="s">
        <v>113</v>
      </c>
      <c r="E735" s="209">
        <v>2.21</v>
      </c>
      <c r="F735" s="209"/>
      <c r="G735" s="210">
        <v>2</v>
      </c>
      <c r="H735" s="210">
        <v>1</v>
      </c>
      <c r="I735" s="210"/>
      <c r="J735" s="211">
        <v>0.97</v>
      </c>
      <c r="K735" s="208"/>
      <c r="L735" s="207" t="s">
        <v>146</v>
      </c>
      <c r="M735" s="235"/>
      <c r="N735" s="198"/>
      <c r="O735" s="199" t="s">
        <v>146</v>
      </c>
      <c r="P735" s="199" t="s">
        <v>176</v>
      </c>
      <c r="Q735" s="199" t="s">
        <v>423</v>
      </c>
      <c r="R735" s="199" t="s">
        <v>707</v>
      </c>
      <c r="S735" s="200">
        <v>75</v>
      </c>
      <c r="T735" s="199"/>
      <c r="U735" s="199"/>
      <c r="V735" s="201"/>
      <c r="W735" s="202"/>
      <c r="X735" s="203"/>
      <c r="Y735" s="203">
        <v>2</v>
      </c>
      <c r="Z735" s="199"/>
      <c r="AA735" s="204"/>
      <c r="AB735" s="205"/>
      <c r="AC735" s="201"/>
    </row>
    <row r="736" spans="1:29" ht="15.75" thickBot="1" x14ac:dyDescent="0.3">
      <c r="A736" s="339"/>
      <c r="B736" s="289"/>
      <c r="C736" s="290"/>
      <c r="D736" s="289"/>
      <c r="E736" s="288"/>
      <c r="F736" s="288"/>
      <c r="G736" s="282"/>
      <c r="H736" s="282"/>
      <c r="I736" s="282"/>
      <c r="J736" s="291"/>
      <c r="K736" s="290"/>
      <c r="L736" s="289"/>
      <c r="M736" s="292"/>
      <c r="N736" s="293"/>
      <c r="O736" s="289"/>
      <c r="P736" s="289"/>
      <c r="Q736" s="289"/>
      <c r="R736" s="289"/>
      <c r="S736" s="282"/>
      <c r="T736" s="289"/>
      <c r="U736" s="289"/>
      <c r="V736" s="294"/>
      <c r="W736" s="295"/>
      <c r="X736" s="288"/>
      <c r="Y736" s="288" t="s">
        <v>741</v>
      </c>
      <c r="Z736" s="289"/>
      <c r="AA736" s="296"/>
      <c r="AB736" s="297"/>
      <c r="AC736" s="294"/>
    </row>
    <row r="737" spans="1:29" x14ac:dyDescent="0.25">
      <c r="A737" s="323">
        <v>45892</v>
      </c>
      <c r="B737" s="136">
        <v>2</v>
      </c>
      <c r="C737" s="137" t="s">
        <v>698</v>
      </c>
      <c r="D737" s="136" t="s">
        <v>129</v>
      </c>
      <c r="E737" s="138">
        <v>2.14</v>
      </c>
      <c r="F737" s="138"/>
      <c r="G737" s="139">
        <v>2</v>
      </c>
      <c r="H737" s="139">
        <v>3</v>
      </c>
      <c r="I737" s="139"/>
      <c r="J737" s="140">
        <v>1.93</v>
      </c>
      <c r="K737" s="137" t="s">
        <v>693</v>
      </c>
      <c r="L737" s="136" t="s">
        <v>113</v>
      </c>
      <c r="M737" s="141"/>
      <c r="N737" s="142">
        <v>15</v>
      </c>
      <c r="O737" s="64" t="s">
        <v>129</v>
      </c>
      <c r="P737" s="64" t="s">
        <v>59</v>
      </c>
      <c r="Q737" s="64" t="s">
        <v>191</v>
      </c>
      <c r="R737" s="64" t="s">
        <v>684</v>
      </c>
      <c r="S737" s="217">
        <v>83</v>
      </c>
      <c r="T737" s="64" t="s">
        <v>41</v>
      </c>
      <c r="U737" s="64" t="s">
        <v>42</v>
      </c>
      <c r="V737" s="65" t="s">
        <v>18</v>
      </c>
      <c r="W737" s="167">
        <v>0.22</v>
      </c>
      <c r="X737" s="138">
        <v>0.65</v>
      </c>
      <c r="Y737" s="138" t="s">
        <v>353</v>
      </c>
      <c r="Z737" s="136" t="s">
        <v>8</v>
      </c>
      <c r="AA737" s="168" t="s">
        <v>19</v>
      </c>
      <c r="AB737" s="169" t="s">
        <v>143</v>
      </c>
      <c r="AC737" s="170" t="s">
        <v>144</v>
      </c>
    </row>
    <row r="738" spans="1:29" x14ac:dyDescent="0.25">
      <c r="A738" s="324">
        <v>45892</v>
      </c>
      <c r="B738" s="144">
        <v>2</v>
      </c>
      <c r="C738" s="145"/>
      <c r="D738" s="144" t="s">
        <v>129</v>
      </c>
      <c r="E738" s="146">
        <v>2.14</v>
      </c>
      <c r="F738" s="146"/>
      <c r="G738" s="147">
        <v>2</v>
      </c>
      <c r="H738" s="147">
        <v>3</v>
      </c>
      <c r="I738" s="147"/>
      <c r="J738" s="148">
        <v>1.93</v>
      </c>
      <c r="K738" s="145"/>
      <c r="L738" s="144" t="s">
        <v>113</v>
      </c>
      <c r="M738" s="149"/>
      <c r="N738" s="150">
        <v>28</v>
      </c>
      <c r="O738" s="26" t="s">
        <v>113</v>
      </c>
      <c r="P738" s="26" t="s">
        <v>118</v>
      </c>
      <c r="Q738" s="26" t="s">
        <v>119</v>
      </c>
      <c r="R738" s="26" t="s">
        <v>684</v>
      </c>
      <c r="S738" s="213">
        <v>67</v>
      </c>
      <c r="T738" s="26" t="s">
        <v>41</v>
      </c>
      <c r="U738" s="26" t="s">
        <v>43</v>
      </c>
      <c r="V738" s="43" t="s">
        <v>10</v>
      </c>
      <c r="W738" s="171">
        <v>0.08</v>
      </c>
      <c r="X738" s="146">
        <v>0.33</v>
      </c>
      <c r="Y738" s="146"/>
      <c r="Z738" s="144" t="s">
        <v>48</v>
      </c>
      <c r="AA738" s="172" t="s">
        <v>19</v>
      </c>
      <c r="AB738" s="173"/>
      <c r="AC738" s="174"/>
    </row>
    <row r="739" spans="1:29" x14ac:dyDescent="0.25">
      <c r="A739" s="324">
        <v>45892</v>
      </c>
      <c r="B739" s="144">
        <v>2</v>
      </c>
      <c r="C739" s="145"/>
      <c r="D739" s="144" t="s">
        <v>129</v>
      </c>
      <c r="E739" s="146">
        <v>2.14</v>
      </c>
      <c r="F739" s="146"/>
      <c r="G739" s="147">
        <v>2</v>
      </c>
      <c r="H739" s="147">
        <v>3</v>
      </c>
      <c r="I739" s="147"/>
      <c r="J739" s="148">
        <v>1.93</v>
      </c>
      <c r="K739" s="145"/>
      <c r="L739" s="144" t="s">
        <v>113</v>
      </c>
      <c r="M739" s="149"/>
      <c r="N739" s="150">
        <v>37</v>
      </c>
      <c r="O739" s="26" t="s">
        <v>113</v>
      </c>
      <c r="P739" s="26" t="s">
        <v>118</v>
      </c>
      <c r="Q739" s="26" t="s">
        <v>119</v>
      </c>
      <c r="R739" s="26" t="s">
        <v>684</v>
      </c>
      <c r="S739" s="213">
        <v>67</v>
      </c>
      <c r="T739" s="26" t="s">
        <v>41</v>
      </c>
      <c r="U739" s="26" t="s">
        <v>42</v>
      </c>
      <c r="V739" s="43" t="s">
        <v>10</v>
      </c>
      <c r="W739" s="171">
        <v>0.22</v>
      </c>
      <c r="X739" s="146" t="s">
        <v>53</v>
      </c>
      <c r="Y739" s="146" t="s">
        <v>353</v>
      </c>
      <c r="Z739" s="144" t="s">
        <v>17</v>
      </c>
      <c r="AA739" s="172" t="s">
        <v>19</v>
      </c>
      <c r="AB739" s="173"/>
      <c r="AC739" s="174"/>
    </row>
    <row r="740" spans="1:29" x14ac:dyDescent="0.25">
      <c r="A740" s="324">
        <v>45892</v>
      </c>
      <c r="B740" s="144">
        <v>2</v>
      </c>
      <c r="C740" s="145"/>
      <c r="D740" s="144" t="s">
        <v>129</v>
      </c>
      <c r="E740" s="146">
        <v>2.14</v>
      </c>
      <c r="F740" s="146"/>
      <c r="G740" s="147">
        <v>2</v>
      </c>
      <c r="H740" s="147">
        <v>3</v>
      </c>
      <c r="I740" s="147"/>
      <c r="J740" s="148">
        <v>1.93</v>
      </c>
      <c r="K740" s="145"/>
      <c r="L740" s="144" t="s">
        <v>113</v>
      </c>
      <c r="M740" s="149"/>
      <c r="N740" s="150">
        <v>42</v>
      </c>
      <c r="O740" s="61" t="s">
        <v>129</v>
      </c>
      <c r="P740" s="61" t="s">
        <v>168</v>
      </c>
      <c r="Q740" s="61" t="s">
        <v>263</v>
      </c>
      <c r="R740" s="61" t="s">
        <v>713</v>
      </c>
      <c r="S740" s="218">
        <v>72</v>
      </c>
      <c r="T740" s="61" t="s">
        <v>41</v>
      </c>
      <c r="U740" s="61" t="s">
        <v>45</v>
      </c>
      <c r="V740" s="63" t="s">
        <v>33</v>
      </c>
      <c r="W740" s="171">
        <v>0.05</v>
      </c>
      <c r="X740" s="146" t="s">
        <v>53</v>
      </c>
      <c r="Y740" s="146" t="s">
        <v>353</v>
      </c>
      <c r="Z740" s="144" t="s">
        <v>22</v>
      </c>
      <c r="AA740" s="172" t="s">
        <v>19</v>
      </c>
      <c r="AB740" s="173"/>
      <c r="AC740" s="174"/>
    </row>
    <row r="741" spans="1:29" x14ac:dyDescent="0.25">
      <c r="A741" s="324">
        <v>45892</v>
      </c>
      <c r="B741" s="144">
        <v>2</v>
      </c>
      <c r="C741" s="145"/>
      <c r="D741" s="144" t="s">
        <v>129</v>
      </c>
      <c r="E741" s="146">
        <v>2.14</v>
      </c>
      <c r="F741" s="146"/>
      <c r="G741" s="147">
        <v>2</v>
      </c>
      <c r="H741" s="147">
        <v>3</v>
      </c>
      <c r="I741" s="147"/>
      <c r="J741" s="148">
        <v>1.93</v>
      </c>
      <c r="K741" s="145"/>
      <c r="L741" s="144" t="s">
        <v>113</v>
      </c>
      <c r="M741" s="149"/>
      <c r="N741" s="150">
        <v>45</v>
      </c>
      <c r="O741" s="26" t="s">
        <v>113</v>
      </c>
      <c r="P741" s="26" t="s">
        <v>53</v>
      </c>
      <c r="Q741" s="26" t="s">
        <v>117</v>
      </c>
      <c r="R741" s="26" t="s">
        <v>699</v>
      </c>
      <c r="S741" s="213">
        <v>75</v>
      </c>
      <c r="T741" s="26" t="s">
        <v>41</v>
      </c>
      <c r="U741" s="26" t="s">
        <v>45</v>
      </c>
      <c r="V741" s="43" t="s">
        <v>10</v>
      </c>
      <c r="W741" s="171">
        <v>0.06</v>
      </c>
      <c r="X741" s="146" t="s">
        <v>53</v>
      </c>
      <c r="Y741" s="146"/>
      <c r="Z741" s="144" t="s">
        <v>22</v>
      </c>
      <c r="AA741" s="172" t="s">
        <v>19</v>
      </c>
      <c r="AB741" s="173"/>
      <c r="AC741" s="174"/>
    </row>
    <row r="742" spans="1:29" x14ac:dyDescent="0.25">
      <c r="A742" s="324">
        <v>45892</v>
      </c>
      <c r="B742" s="144">
        <v>2</v>
      </c>
      <c r="C742" s="145"/>
      <c r="D742" s="144" t="s">
        <v>129</v>
      </c>
      <c r="E742" s="146">
        <v>2.14</v>
      </c>
      <c r="F742" s="146"/>
      <c r="G742" s="147">
        <v>2</v>
      </c>
      <c r="H742" s="147">
        <v>3</v>
      </c>
      <c r="I742" s="147"/>
      <c r="J742" s="148">
        <v>1.93</v>
      </c>
      <c r="K742" s="145"/>
      <c r="L742" s="144" t="s">
        <v>113</v>
      </c>
      <c r="M742" s="149"/>
      <c r="N742" s="150" t="s">
        <v>63</v>
      </c>
      <c r="O742" s="61" t="s">
        <v>129</v>
      </c>
      <c r="P742" s="61" t="s">
        <v>141</v>
      </c>
      <c r="Q742" s="61" t="s">
        <v>142</v>
      </c>
      <c r="R742" s="61" t="s">
        <v>686</v>
      </c>
      <c r="S742" s="218">
        <v>65</v>
      </c>
      <c r="T742" s="61" t="s">
        <v>41</v>
      </c>
      <c r="U742" s="61" t="s">
        <v>43</v>
      </c>
      <c r="V742" s="63" t="s">
        <v>18</v>
      </c>
      <c r="W742" s="171">
        <v>0.14000000000000001</v>
      </c>
      <c r="X742" s="146" t="s">
        <v>53</v>
      </c>
      <c r="Y742" s="146"/>
      <c r="Z742" s="144" t="s">
        <v>52</v>
      </c>
      <c r="AA742" s="172" t="s">
        <v>19</v>
      </c>
      <c r="AB742" s="173"/>
      <c r="AC742" s="174"/>
    </row>
    <row r="743" spans="1:29" x14ac:dyDescent="0.25">
      <c r="A743" s="324">
        <v>45892</v>
      </c>
      <c r="B743" s="144">
        <v>2</v>
      </c>
      <c r="C743" s="145"/>
      <c r="D743" s="144" t="s">
        <v>129</v>
      </c>
      <c r="E743" s="146">
        <v>2.14</v>
      </c>
      <c r="F743" s="146"/>
      <c r="G743" s="147">
        <v>2</v>
      </c>
      <c r="H743" s="147">
        <v>3</v>
      </c>
      <c r="I743" s="147"/>
      <c r="J743" s="148">
        <v>1.93</v>
      </c>
      <c r="K743" s="145"/>
      <c r="L743" s="144" t="s">
        <v>113</v>
      </c>
      <c r="M743" s="149"/>
      <c r="N743" s="150" t="s">
        <v>63</v>
      </c>
      <c r="O743" s="61" t="s">
        <v>129</v>
      </c>
      <c r="P743" s="61" t="s">
        <v>264</v>
      </c>
      <c r="Q743" s="61" t="s">
        <v>265</v>
      </c>
      <c r="R743" s="61" t="s">
        <v>685</v>
      </c>
      <c r="S743" s="218">
        <v>72</v>
      </c>
      <c r="T743" s="61" t="s">
        <v>41</v>
      </c>
      <c r="U743" s="61" t="s">
        <v>42</v>
      </c>
      <c r="V743" s="63" t="s">
        <v>18</v>
      </c>
      <c r="W743" s="171">
        <v>0.14000000000000001</v>
      </c>
      <c r="X743" s="146" t="s">
        <v>53</v>
      </c>
      <c r="Y743" s="146"/>
      <c r="Z743" s="144" t="s">
        <v>52</v>
      </c>
      <c r="AA743" s="172" t="s">
        <v>19</v>
      </c>
      <c r="AB743" s="173"/>
      <c r="AC743" s="174"/>
    </row>
    <row r="744" spans="1:29" x14ac:dyDescent="0.25">
      <c r="A744" s="324">
        <v>45892</v>
      </c>
      <c r="B744" s="144">
        <v>2</v>
      </c>
      <c r="C744" s="145"/>
      <c r="D744" s="144" t="s">
        <v>129</v>
      </c>
      <c r="E744" s="146">
        <v>2.14</v>
      </c>
      <c r="F744" s="146"/>
      <c r="G744" s="147">
        <v>2</v>
      </c>
      <c r="H744" s="147">
        <v>3</v>
      </c>
      <c r="I744" s="147"/>
      <c r="J744" s="148">
        <v>1.93</v>
      </c>
      <c r="K744" s="145"/>
      <c r="L744" s="144" t="s">
        <v>113</v>
      </c>
      <c r="M744" s="149"/>
      <c r="N744" s="150" t="s">
        <v>266</v>
      </c>
      <c r="O744" s="61" t="s">
        <v>129</v>
      </c>
      <c r="P744" s="61" t="s">
        <v>264</v>
      </c>
      <c r="Q744" s="61" t="s">
        <v>265</v>
      </c>
      <c r="R744" s="61" t="s">
        <v>685</v>
      </c>
      <c r="S744" s="218">
        <v>72</v>
      </c>
      <c r="T744" s="61" t="s">
        <v>41</v>
      </c>
      <c r="U744" s="61" t="s">
        <v>42</v>
      </c>
      <c r="V744" s="63" t="s">
        <v>7</v>
      </c>
      <c r="W744" s="171">
        <v>0.79</v>
      </c>
      <c r="X744" s="146">
        <v>0.8</v>
      </c>
      <c r="Y744" s="146" t="s">
        <v>353</v>
      </c>
      <c r="Z744" s="144" t="s">
        <v>8</v>
      </c>
      <c r="AA744" s="172" t="s">
        <v>24</v>
      </c>
      <c r="AB744" s="173"/>
      <c r="AC744" s="174"/>
    </row>
    <row r="745" spans="1:29" x14ac:dyDescent="0.25">
      <c r="A745" s="324">
        <v>45892</v>
      </c>
      <c r="B745" s="144">
        <v>2</v>
      </c>
      <c r="C745" s="145"/>
      <c r="D745" s="144" t="s">
        <v>129</v>
      </c>
      <c r="E745" s="146">
        <v>2.14</v>
      </c>
      <c r="F745" s="146"/>
      <c r="G745" s="147">
        <v>2</v>
      </c>
      <c r="H745" s="147">
        <v>3</v>
      </c>
      <c r="I745" s="147"/>
      <c r="J745" s="148">
        <v>1.93</v>
      </c>
      <c r="K745" s="145"/>
      <c r="L745" s="144" t="s">
        <v>113</v>
      </c>
      <c r="M745" s="149"/>
      <c r="N745" s="150">
        <v>47</v>
      </c>
      <c r="O745" s="61" t="s">
        <v>129</v>
      </c>
      <c r="P745" s="61" t="s">
        <v>141</v>
      </c>
      <c r="Q745" s="61" t="s">
        <v>142</v>
      </c>
      <c r="R745" s="61" t="s">
        <v>686</v>
      </c>
      <c r="S745" s="218">
        <v>65</v>
      </c>
      <c r="T745" s="61" t="s">
        <v>41</v>
      </c>
      <c r="U745" s="61" t="s">
        <v>42</v>
      </c>
      <c r="V745" s="63" t="s">
        <v>10</v>
      </c>
      <c r="W745" s="171">
        <v>0.11</v>
      </c>
      <c r="X745" s="146">
        <v>0.32</v>
      </c>
      <c r="Y745" s="146" t="s">
        <v>353</v>
      </c>
      <c r="Z745" s="144" t="s">
        <v>48</v>
      </c>
      <c r="AA745" s="172" t="s">
        <v>24</v>
      </c>
      <c r="AB745" s="173"/>
      <c r="AC745" s="174"/>
    </row>
    <row r="746" spans="1:29" x14ac:dyDescent="0.25">
      <c r="A746" s="324">
        <v>45892</v>
      </c>
      <c r="B746" s="144">
        <v>2</v>
      </c>
      <c r="C746" s="145"/>
      <c r="D746" s="144" t="s">
        <v>129</v>
      </c>
      <c r="E746" s="146">
        <v>2.14</v>
      </c>
      <c r="F746" s="146"/>
      <c r="G746" s="147">
        <v>2</v>
      </c>
      <c r="H746" s="147">
        <v>3</v>
      </c>
      <c r="I746" s="147"/>
      <c r="J746" s="148">
        <v>1.93</v>
      </c>
      <c r="K746" s="145"/>
      <c r="L746" s="144" t="s">
        <v>113</v>
      </c>
      <c r="M746" s="149"/>
      <c r="N746" s="150">
        <v>49</v>
      </c>
      <c r="O746" s="26" t="s">
        <v>113</v>
      </c>
      <c r="P746" s="26" t="s">
        <v>53</v>
      </c>
      <c r="Q746" s="26" t="s">
        <v>126</v>
      </c>
      <c r="R746" s="26" t="s">
        <v>687</v>
      </c>
      <c r="S746" s="213">
        <v>84</v>
      </c>
      <c r="T746" s="26" t="s">
        <v>354</v>
      </c>
      <c r="U746" s="26" t="s">
        <v>42</v>
      </c>
      <c r="V746" s="43" t="s">
        <v>20</v>
      </c>
      <c r="W746" s="171">
        <v>0.02</v>
      </c>
      <c r="X746" s="146">
        <v>0.37</v>
      </c>
      <c r="Y746" s="146"/>
      <c r="Z746" s="144" t="s">
        <v>8</v>
      </c>
      <c r="AA746" s="172" t="s">
        <v>34</v>
      </c>
      <c r="AB746" s="173" t="s">
        <v>120</v>
      </c>
      <c r="AC746" s="174" t="s">
        <v>121</v>
      </c>
    </row>
    <row r="747" spans="1:29" x14ac:dyDescent="0.25">
      <c r="A747" s="324">
        <v>45892</v>
      </c>
      <c r="B747" s="144">
        <v>2</v>
      </c>
      <c r="C747" s="145"/>
      <c r="D747" s="144" t="s">
        <v>129</v>
      </c>
      <c r="E747" s="146">
        <v>2.14</v>
      </c>
      <c r="F747" s="146"/>
      <c r="G747" s="147">
        <v>2</v>
      </c>
      <c r="H747" s="147">
        <v>3</v>
      </c>
      <c r="I747" s="147"/>
      <c r="J747" s="148">
        <v>1.93</v>
      </c>
      <c r="K747" s="145"/>
      <c r="L747" s="144" t="s">
        <v>113</v>
      </c>
      <c r="M747" s="149"/>
      <c r="N747" s="150">
        <v>52</v>
      </c>
      <c r="O747" s="26" t="s">
        <v>113</v>
      </c>
      <c r="P747" s="26" t="s">
        <v>118</v>
      </c>
      <c r="Q747" s="26" t="s">
        <v>119</v>
      </c>
      <c r="R747" s="26" t="s">
        <v>684</v>
      </c>
      <c r="S747" s="213">
        <v>67</v>
      </c>
      <c r="T747" s="26" t="s">
        <v>41</v>
      </c>
      <c r="U747" s="26" t="s">
        <v>42</v>
      </c>
      <c r="V747" s="43" t="s">
        <v>20</v>
      </c>
      <c r="W747" s="171">
        <v>0.23</v>
      </c>
      <c r="X747" s="146">
        <v>0.44</v>
      </c>
      <c r="Y747" s="146" t="s">
        <v>353</v>
      </c>
      <c r="Z747" s="144" t="s">
        <v>8</v>
      </c>
      <c r="AA747" s="172" t="s">
        <v>189</v>
      </c>
      <c r="AB747" s="173" t="s">
        <v>53</v>
      </c>
      <c r="AC747" s="174" t="s">
        <v>117</v>
      </c>
    </row>
    <row r="748" spans="1:29" x14ac:dyDescent="0.25">
      <c r="A748" s="324">
        <v>45892</v>
      </c>
      <c r="B748" s="144">
        <v>2</v>
      </c>
      <c r="C748" s="145"/>
      <c r="D748" s="144" t="s">
        <v>129</v>
      </c>
      <c r="E748" s="146">
        <v>2.14</v>
      </c>
      <c r="F748" s="146"/>
      <c r="G748" s="147">
        <v>2</v>
      </c>
      <c r="H748" s="147">
        <v>3</v>
      </c>
      <c r="I748" s="147"/>
      <c r="J748" s="148">
        <v>1.93</v>
      </c>
      <c r="K748" s="145"/>
      <c r="L748" s="144" t="s">
        <v>113</v>
      </c>
      <c r="M748" s="149"/>
      <c r="N748" s="150">
        <v>53</v>
      </c>
      <c r="O748" s="61" t="s">
        <v>129</v>
      </c>
      <c r="P748" s="61" t="s">
        <v>264</v>
      </c>
      <c r="Q748" s="61" t="s">
        <v>265</v>
      </c>
      <c r="R748" s="61" t="s">
        <v>685</v>
      </c>
      <c r="S748" s="218">
        <v>72</v>
      </c>
      <c r="T748" s="61" t="s">
        <v>41</v>
      </c>
      <c r="U748" s="61" t="s">
        <v>43</v>
      </c>
      <c r="V748" s="63" t="s">
        <v>10</v>
      </c>
      <c r="W748" s="171">
        <v>0.16</v>
      </c>
      <c r="X748" s="146">
        <v>0.21</v>
      </c>
      <c r="Y748" s="146" t="s">
        <v>353</v>
      </c>
      <c r="Z748" s="144" t="s">
        <v>48</v>
      </c>
      <c r="AA748" s="172" t="s">
        <v>189</v>
      </c>
      <c r="AB748" s="173"/>
      <c r="AC748" s="174"/>
    </row>
    <row r="749" spans="1:29" x14ac:dyDescent="0.25">
      <c r="A749" s="324">
        <v>45892</v>
      </c>
      <c r="B749" s="144">
        <v>2</v>
      </c>
      <c r="C749" s="145"/>
      <c r="D749" s="144" t="s">
        <v>129</v>
      </c>
      <c r="E749" s="146">
        <v>2.14</v>
      </c>
      <c r="F749" s="146"/>
      <c r="G749" s="147">
        <v>2</v>
      </c>
      <c r="H749" s="147">
        <v>3</v>
      </c>
      <c r="I749" s="147"/>
      <c r="J749" s="148">
        <v>1.93</v>
      </c>
      <c r="K749" s="145"/>
      <c r="L749" s="144" t="s">
        <v>113</v>
      </c>
      <c r="M749" s="149"/>
      <c r="N749" s="150">
        <v>53</v>
      </c>
      <c r="O749" s="61" t="s">
        <v>129</v>
      </c>
      <c r="P749" s="61" t="s">
        <v>141</v>
      </c>
      <c r="Q749" s="61" t="s">
        <v>142</v>
      </c>
      <c r="R749" s="61" t="s">
        <v>686</v>
      </c>
      <c r="S749" s="218">
        <v>65</v>
      </c>
      <c r="T749" s="61" t="s">
        <v>41</v>
      </c>
      <c r="U749" s="61" t="s">
        <v>42</v>
      </c>
      <c r="V749" s="63" t="s">
        <v>10</v>
      </c>
      <c r="W749" s="171">
        <v>0.53</v>
      </c>
      <c r="X749" s="146">
        <v>0.71</v>
      </c>
      <c r="Y749" s="146" t="s">
        <v>353</v>
      </c>
      <c r="Z749" s="144" t="s">
        <v>48</v>
      </c>
      <c r="AA749" s="172" t="s">
        <v>189</v>
      </c>
      <c r="AB749" s="173"/>
      <c r="AC749" s="174"/>
    </row>
    <row r="750" spans="1:29" x14ac:dyDescent="0.25">
      <c r="A750" s="324">
        <v>45892</v>
      </c>
      <c r="B750" s="144">
        <v>2</v>
      </c>
      <c r="C750" s="145"/>
      <c r="D750" s="144" t="s">
        <v>129</v>
      </c>
      <c r="E750" s="146">
        <v>2.14</v>
      </c>
      <c r="F750" s="146"/>
      <c r="G750" s="147">
        <v>2</v>
      </c>
      <c r="H750" s="147">
        <v>3</v>
      </c>
      <c r="I750" s="147"/>
      <c r="J750" s="148">
        <v>1.93</v>
      </c>
      <c r="K750" s="145"/>
      <c r="L750" s="144" t="s">
        <v>113</v>
      </c>
      <c r="M750" s="149"/>
      <c r="N750" s="150">
        <v>57</v>
      </c>
      <c r="O750" s="26" t="s">
        <v>113</v>
      </c>
      <c r="P750" s="26" t="s">
        <v>267</v>
      </c>
      <c r="Q750" s="26" t="s">
        <v>75</v>
      </c>
      <c r="R750" s="26" t="s">
        <v>689</v>
      </c>
      <c r="S750" s="213">
        <v>66</v>
      </c>
      <c r="T750" s="26" t="s">
        <v>41</v>
      </c>
      <c r="U750" s="26" t="s">
        <v>45</v>
      </c>
      <c r="V750" s="43" t="s">
        <v>10</v>
      </c>
      <c r="W750" s="171">
        <v>0.12</v>
      </c>
      <c r="X750" s="146">
        <v>0.06</v>
      </c>
      <c r="Y750" s="146"/>
      <c r="Z750" s="144" t="s">
        <v>48</v>
      </c>
      <c r="AA750" s="172" t="s">
        <v>189</v>
      </c>
      <c r="AB750" s="173"/>
      <c r="AC750" s="174"/>
    </row>
    <row r="751" spans="1:29" x14ac:dyDescent="0.25">
      <c r="A751" s="324">
        <v>45892</v>
      </c>
      <c r="B751" s="144">
        <v>2</v>
      </c>
      <c r="C751" s="145"/>
      <c r="D751" s="144" t="s">
        <v>129</v>
      </c>
      <c r="E751" s="146">
        <v>2.14</v>
      </c>
      <c r="F751" s="146"/>
      <c r="G751" s="147">
        <v>2</v>
      </c>
      <c r="H751" s="147">
        <v>3</v>
      </c>
      <c r="I751" s="147"/>
      <c r="J751" s="148">
        <v>1.93</v>
      </c>
      <c r="K751" s="145"/>
      <c r="L751" s="144" t="s">
        <v>113</v>
      </c>
      <c r="M751" s="149"/>
      <c r="N751" s="150">
        <v>70</v>
      </c>
      <c r="O751" s="26" t="s">
        <v>113</v>
      </c>
      <c r="P751" s="26" t="s">
        <v>118</v>
      </c>
      <c r="Q751" s="26" t="s">
        <v>119</v>
      </c>
      <c r="R751" s="26" t="s">
        <v>684</v>
      </c>
      <c r="S751" s="213">
        <v>67</v>
      </c>
      <c r="T751" s="26" t="s">
        <v>41</v>
      </c>
      <c r="U751" s="26" t="s">
        <v>45</v>
      </c>
      <c r="V751" s="43" t="s">
        <v>10</v>
      </c>
      <c r="W751" s="171">
        <v>0.22</v>
      </c>
      <c r="X751" s="146">
        <v>0.74</v>
      </c>
      <c r="Y751" s="146" t="s">
        <v>353</v>
      </c>
      <c r="Z751" s="144" t="s">
        <v>48</v>
      </c>
      <c r="AA751" s="172" t="s">
        <v>189</v>
      </c>
      <c r="AB751" s="173"/>
      <c r="AC751" s="174"/>
    </row>
    <row r="752" spans="1:29" x14ac:dyDescent="0.25">
      <c r="A752" s="324">
        <v>45892</v>
      </c>
      <c r="B752" s="144">
        <v>2</v>
      </c>
      <c r="C752" s="145"/>
      <c r="D752" s="144" t="s">
        <v>129</v>
      </c>
      <c r="E752" s="146">
        <v>2.14</v>
      </c>
      <c r="F752" s="146"/>
      <c r="G752" s="147">
        <v>2</v>
      </c>
      <c r="H752" s="147">
        <v>3</v>
      </c>
      <c r="I752" s="147"/>
      <c r="J752" s="148">
        <v>1.93</v>
      </c>
      <c r="K752" s="145"/>
      <c r="L752" s="144" t="s">
        <v>113</v>
      </c>
      <c r="M752" s="149"/>
      <c r="N752" s="150">
        <v>72</v>
      </c>
      <c r="O752" s="26" t="s">
        <v>113</v>
      </c>
      <c r="P752" s="26" t="s">
        <v>118</v>
      </c>
      <c r="Q752" s="26" t="s">
        <v>119</v>
      </c>
      <c r="R752" s="26" t="s">
        <v>684</v>
      </c>
      <c r="S752" s="213">
        <v>67</v>
      </c>
      <c r="T752" s="26" t="s">
        <v>47</v>
      </c>
      <c r="U752" s="26" t="s">
        <v>45</v>
      </c>
      <c r="V752" s="43" t="s">
        <v>10</v>
      </c>
      <c r="W752" s="171">
        <v>0.18</v>
      </c>
      <c r="X752" s="146" t="s">
        <v>53</v>
      </c>
      <c r="Y752" s="146"/>
      <c r="Z752" s="144" t="s">
        <v>52</v>
      </c>
      <c r="AA752" s="172" t="s">
        <v>189</v>
      </c>
      <c r="AB752" s="173"/>
      <c r="AC752" s="174"/>
    </row>
    <row r="753" spans="1:29" x14ac:dyDescent="0.25">
      <c r="A753" s="324">
        <v>45892</v>
      </c>
      <c r="B753" s="144">
        <v>2</v>
      </c>
      <c r="C753" s="145"/>
      <c r="D753" s="144" t="s">
        <v>129</v>
      </c>
      <c r="E753" s="146">
        <v>2.14</v>
      </c>
      <c r="F753" s="146"/>
      <c r="G753" s="147">
        <v>2</v>
      </c>
      <c r="H753" s="147">
        <v>3</v>
      </c>
      <c r="I753" s="147"/>
      <c r="J753" s="148">
        <v>1.93</v>
      </c>
      <c r="K753" s="145"/>
      <c r="L753" s="144" t="s">
        <v>113</v>
      </c>
      <c r="M753" s="149"/>
      <c r="N753" s="150">
        <v>72</v>
      </c>
      <c r="O753" s="26" t="s">
        <v>113</v>
      </c>
      <c r="P753" s="26" t="s">
        <v>124</v>
      </c>
      <c r="Q753" s="26" t="s">
        <v>125</v>
      </c>
      <c r="R753" s="26" t="s">
        <v>696</v>
      </c>
      <c r="S753" s="213">
        <v>69</v>
      </c>
      <c r="T753" s="26" t="s">
        <v>44</v>
      </c>
      <c r="U753" s="26" t="s">
        <v>42</v>
      </c>
      <c r="V753" s="43" t="s">
        <v>10</v>
      </c>
      <c r="W753" s="171">
        <v>0.06</v>
      </c>
      <c r="X753" s="146">
        <v>0.37</v>
      </c>
      <c r="Y753" s="146"/>
      <c r="Z753" s="144" t="s">
        <v>48</v>
      </c>
      <c r="AA753" s="172" t="s">
        <v>189</v>
      </c>
      <c r="AB753" s="173"/>
      <c r="AC753" s="174"/>
    </row>
    <row r="754" spans="1:29" ht="15.75" thickBot="1" x14ac:dyDescent="0.3">
      <c r="A754" s="325">
        <v>45892</v>
      </c>
      <c r="B754" s="152">
        <v>2</v>
      </c>
      <c r="C754" s="153"/>
      <c r="D754" s="152" t="s">
        <v>129</v>
      </c>
      <c r="E754" s="154">
        <v>2.14</v>
      </c>
      <c r="F754" s="154"/>
      <c r="G754" s="155">
        <v>2</v>
      </c>
      <c r="H754" s="155">
        <v>3</v>
      </c>
      <c r="I754" s="155"/>
      <c r="J754" s="156">
        <v>1.93</v>
      </c>
      <c r="K754" s="153"/>
      <c r="L754" s="152" t="s">
        <v>113</v>
      </c>
      <c r="M754" s="157"/>
      <c r="N754" s="158" t="s">
        <v>268</v>
      </c>
      <c r="O754" s="127" t="s">
        <v>129</v>
      </c>
      <c r="P754" s="127" t="s">
        <v>269</v>
      </c>
      <c r="Q754" s="127" t="s">
        <v>270</v>
      </c>
      <c r="R754" s="127" t="s">
        <v>728</v>
      </c>
      <c r="S754" s="225">
        <v>60</v>
      </c>
      <c r="T754" s="127" t="s">
        <v>47</v>
      </c>
      <c r="U754" s="127" t="s">
        <v>45</v>
      </c>
      <c r="V754" s="128" t="s">
        <v>540</v>
      </c>
      <c r="W754" s="175" t="s">
        <v>53</v>
      </c>
      <c r="X754" s="154" t="s">
        <v>53</v>
      </c>
      <c r="Y754" s="154"/>
      <c r="Z754" s="152" t="s">
        <v>23</v>
      </c>
      <c r="AA754" s="176" t="s">
        <v>66</v>
      </c>
      <c r="AB754" s="177"/>
      <c r="AC754" s="178"/>
    </row>
    <row r="755" spans="1:29" ht="15.75" thickBot="1" x14ac:dyDescent="0.3">
      <c r="A755" s="326">
        <v>45892</v>
      </c>
      <c r="B755" s="207">
        <v>2</v>
      </c>
      <c r="C755" s="208"/>
      <c r="D755" s="207" t="s">
        <v>129</v>
      </c>
      <c r="E755" s="209">
        <v>2.14</v>
      </c>
      <c r="F755" s="209"/>
      <c r="G755" s="210">
        <v>2</v>
      </c>
      <c r="H755" s="210">
        <v>3</v>
      </c>
      <c r="I755" s="210"/>
      <c r="J755" s="211">
        <v>1.93</v>
      </c>
      <c r="K755" s="208"/>
      <c r="L755" s="207" t="s">
        <v>113</v>
      </c>
      <c r="M755" s="197"/>
      <c r="N755" s="198"/>
      <c r="O755" s="199" t="s">
        <v>129</v>
      </c>
      <c r="P755" s="199" t="s">
        <v>241</v>
      </c>
      <c r="Q755" s="199" t="s">
        <v>716</v>
      </c>
      <c r="R755" s="199" t="s">
        <v>707</v>
      </c>
      <c r="S755" s="200">
        <v>83</v>
      </c>
      <c r="T755" s="199"/>
      <c r="U755" s="199"/>
      <c r="V755" s="201"/>
      <c r="W755" s="202"/>
      <c r="X755" s="203"/>
      <c r="Y755" s="203">
        <v>3</v>
      </c>
      <c r="Z755" s="199"/>
      <c r="AA755" s="204"/>
      <c r="AB755" s="205"/>
      <c r="AC755" s="201"/>
    </row>
    <row r="756" spans="1:29" ht="15.75" thickBot="1" x14ac:dyDescent="0.3">
      <c r="A756" s="326">
        <v>45892</v>
      </c>
      <c r="B756" s="207">
        <v>2</v>
      </c>
      <c r="C756" s="208"/>
      <c r="D756" s="207" t="s">
        <v>129</v>
      </c>
      <c r="E756" s="209">
        <v>2.14</v>
      </c>
      <c r="F756" s="209"/>
      <c r="G756" s="210">
        <v>2</v>
      </c>
      <c r="H756" s="210">
        <v>3</v>
      </c>
      <c r="I756" s="210"/>
      <c r="J756" s="211">
        <v>1.93</v>
      </c>
      <c r="K756" s="208"/>
      <c r="L756" s="207" t="s">
        <v>113</v>
      </c>
      <c r="M756" s="197"/>
      <c r="N756" s="198"/>
      <c r="O756" s="199" t="s">
        <v>113</v>
      </c>
      <c r="P756" s="199" t="s">
        <v>475</v>
      </c>
      <c r="Q756" s="199" t="s">
        <v>75</v>
      </c>
      <c r="R756" s="199" t="s">
        <v>707</v>
      </c>
      <c r="S756" s="200">
        <v>71</v>
      </c>
      <c r="T756" s="199"/>
      <c r="U756" s="199"/>
      <c r="V756" s="201"/>
      <c r="W756" s="202"/>
      <c r="X756" s="203"/>
      <c r="Y756" s="203">
        <v>2</v>
      </c>
      <c r="Z756" s="199"/>
      <c r="AA756" s="204"/>
      <c r="AB756" s="205"/>
      <c r="AC756" s="201"/>
    </row>
    <row r="757" spans="1:29" x14ac:dyDescent="0.25">
      <c r="A757" s="323">
        <v>45914</v>
      </c>
      <c r="B757" s="136">
        <v>4</v>
      </c>
      <c r="C757" s="137" t="s">
        <v>694</v>
      </c>
      <c r="D757" s="136" t="s">
        <v>129</v>
      </c>
      <c r="E757" s="138">
        <v>0.73</v>
      </c>
      <c r="F757" s="138"/>
      <c r="G757" s="139">
        <v>2</v>
      </c>
      <c r="H757" s="139">
        <v>2</v>
      </c>
      <c r="I757" s="139"/>
      <c r="J757" s="140">
        <v>2.12</v>
      </c>
      <c r="K757" s="137" t="s">
        <v>693</v>
      </c>
      <c r="L757" s="136" t="s">
        <v>209</v>
      </c>
      <c r="M757" s="141"/>
      <c r="N757" s="142">
        <v>2</v>
      </c>
      <c r="O757" s="64" t="s">
        <v>129</v>
      </c>
      <c r="P757" s="64" t="s">
        <v>59</v>
      </c>
      <c r="Q757" s="64" t="s">
        <v>191</v>
      </c>
      <c r="R757" s="64" t="s">
        <v>718</v>
      </c>
      <c r="S757" s="217">
        <v>76</v>
      </c>
      <c r="T757" s="64" t="s">
        <v>41</v>
      </c>
      <c r="U757" s="64" t="s">
        <v>42</v>
      </c>
      <c r="V757" s="65" t="s">
        <v>10</v>
      </c>
      <c r="W757" s="167">
        <v>0.33</v>
      </c>
      <c r="X757" s="138">
        <v>0.34</v>
      </c>
      <c r="Y757" s="138" t="s">
        <v>353</v>
      </c>
      <c r="Z757" s="136" t="s">
        <v>8</v>
      </c>
      <c r="AA757" s="168" t="s">
        <v>19</v>
      </c>
      <c r="AB757" s="169" t="s">
        <v>46</v>
      </c>
      <c r="AC757" s="170" t="s">
        <v>201</v>
      </c>
    </row>
    <row r="758" spans="1:29" x14ac:dyDescent="0.25">
      <c r="A758" s="324">
        <v>45914</v>
      </c>
      <c r="B758" s="144">
        <v>4</v>
      </c>
      <c r="C758" s="145"/>
      <c r="D758" s="144" t="s">
        <v>129</v>
      </c>
      <c r="E758" s="146">
        <v>0.73</v>
      </c>
      <c r="F758" s="146"/>
      <c r="G758" s="147">
        <v>2</v>
      </c>
      <c r="H758" s="147">
        <v>2</v>
      </c>
      <c r="I758" s="147"/>
      <c r="J758" s="148">
        <v>2.12</v>
      </c>
      <c r="K758" s="145"/>
      <c r="L758" s="144" t="s">
        <v>209</v>
      </c>
      <c r="M758" s="149"/>
      <c r="N758" s="150">
        <v>7</v>
      </c>
      <c r="O758" s="26" t="s">
        <v>209</v>
      </c>
      <c r="P758" s="26" t="s">
        <v>218</v>
      </c>
      <c r="Q758" s="26" t="s">
        <v>219</v>
      </c>
      <c r="R758" s="26" t="s">
        <v>685</v>
      </c>
      <c r="S758" s="213">
        <v>62</v>
      </c>
      <c r="T758" s="26" t="s">
        <v>41</v>
      </c>
      <c r="U758" s="26" t="s">
        <v>42</v>
      </c>
      <c r="V758" s="43" t="s">
        <v>20</v>
      </c>
      <c r="W758" s="171">
        <v>0.04</v>
      </c>
      <c r="X758" s="146" t="s">
        <v>53</v>
      </c>
      <c r="Y758" s="146"/>
      <c r="Z758" s="144" t="s">
        <v>17</v>
      </c>
      <c r="AA758" s="172" t="s">
        <v>19</v>
      </c>
      <c r="AB758" s="173"/>
      <c r="AC758" s="174"/>
    </row>
    <row r="759" spans="1:29" x14ac:dyDescent="0.25">
      <c r="A759" s="324">
        <v>45914</v>
      </c>
      <c r="B759" s="144">
        <v>4</v>
      </c>
      <c r="C759" s="145"/>
      <c r="D759" s="144" t="s">
        <v>129</v>
      </c>
      <c r="E759" s="146">
        <v>0.73</v>
      </c>
      <c r="F759" s="146"/>
      <c r="G759" s="147">
        <v>2</v>
      </c>
      <c r="H759" s="147">
        <v>2</v>
      </c>
      <c r="I759" s="147"/>
      <c r="J759" s="148">
        <v>2.12</v>
      </c>
      <c r="K759" s="145"/>
      <c r="L759" s="144" t="s">
        <v>209</v>
      </c>
      <c r="M759" s="149"/>
      <c r="N759" s="150">
        <v>10</v>
      </c>
      <c r="O759" s="61" t="s">
        <v>129</v>
      </c>
      <c r="P759" s="61" t="s">
        <v>104</v>
      </c>
      <c r="Q759" s="61" t="s">
        <v>105</v>
      </c>
      <c r="R759" s="61" t="s">
        <v>717</v>
      </c>
      <c r="S759" s="218">
        <v>74</v>
      </c>
      <c r="T759" s="61" t="s">
        <v>41</v>
      </c>
      <c r="U759" s="61" t="s">
        <v>42</v>
      </c>
      <c r="V759" s="63" t="s">
        <v>10</v>
      </c>
      <c r="W759" s="171">
        <v>0.31</v>
      </c>
      <c r="X759" s="146">
        <v>0.94</v>
      </c>
      <c r="Y759" s="146" t="s">
        <v>353</v>
      </c>
      <c r="Z759" s="144" t="s">
        <v>8</v>
      </c>
      <c r="AA759" s="172" t="s">
        <v>24</v>
      </c>
      <c r="AB759" s="173" t="s">
        <v>241</v>
      </c>
      <c r="AC759" s="174" t="s">
        <v>131</v>
      </c>
    </row>
    <row r="760" spans="1:29" x14ac:dyDescent="0.25">
      <c r="A760" s="324">
        <v>45914</v>
      </c>
      <c r="B760" s="144">
        <v>4</v>
      </c>
      <c r="C760" s="145"/>
      <c r="D760" s="144" t="s">
        <v>129</v>
      </c>
      <c r="E760" s="146">
        <v>0.73</v>
      </c>
      <c r="F760" s="146"/>
      <c r="G760" s="147">
        <v>2</v>
      </c>
      <c r="H760" s="147">
        <v>2</v>
      </c>
      <c r="I760" s="147"/>
      <c r="J760" s="148">
        <v>2.12</v>
      </c>
      <c r="K760" s="145"/>
      <c r="L760" s="144" t="s">
        <v>209</v>
      </c>
      <c r="M760" s="149"/>
      <c r="N760" s="150">
        <v>12</v>
      </c>
      <c r="O760" s="26" t="s">
        <v>209</v>
      </c>
      <c r="P760" s="26" t="s">
        <v>220</v>
      </c>
      <c r="Q760" s="26" t="s">
        <v>221</v>
      </c>
      <c r="R760" s="26" t="s">
        <v>684</v>
      </c>
      <c r="S760" s="213">
        <v>68</v>
      </c>
      <c r="T760" s="26" t="s">
        <v>41</v>
      </c>
      <c r="U760" s="26" t="s">
        <v>42</v>
      </c>
      <c r="V760" s="43" t="s">
        <v>540</v>
      </c>
      <c r="W760" s="171">
        <v>0.13</v>
      </c>
      <c r="X760" s="146" t="s">
        <v>53</v>
      </c>
      <c r="Y760" s="146"/>
      <c r="Z760" s="144" t="s">
        <v>22</v>
      </c>
      <c r="AA760" s="172" t="s">
        <v>24</v>
      </c>
      <c r="AB760" s="173"/>
      <c r="AC760" s="174"/>
    </row>
    <row r="761" spans="1:29" x14ac:dyDescent="0.25">
      <c r="A761" s="324">
        <v>45914</v>
      </c>
      <c r="B761" s="144">
        <v>4</v>
      </c>
      <c r="C761" s="145"/>
      <c r="D761" s="144" t="s">
        <v>129</v>
      </c>
      <c r="E761" s="146">
        <v>0.73</v>
      </c>
      <c r="F761" s="146"/>
      <c r="G761" s="147">
        <v>2</v>
      </c>
      <c r="H761" s="147">
        <v>2</v>
      </c>
      <c r="I761" s="147"/>
      <c r="J761" s="148">
        <v>2.12</v>
      </c>
      <c r="K761" s="145"/>
      <c r="L761" s="144" t="s">
        <v>209</v>
      </c>
      <c r="M761" s="149"/>
      <c r="N761" s="150">
        <v>21</v>
      </c>
      <c r="O761" s="26" t="s">
        <v>209</v>
      </c>
      <c r="P761" s="26" t="s">
        <v>393</v>
      </c>
      <c r="Q761" s="26" t="s">
        <v>394</v>
      </c>
      <c r="R761" s="26" t="s">
        <v>699</v>
      </c>
      <c r="S761" s="213">
        <v>70</v>
      </c>
      <c r="T761" s="26" t="s">
        <v>354</v>
      </c>
      <c r="U761" s="26" t="s">
        <v>43</v>
      </c>
      <c r="V761" s="43" t="s">
        <v>10</v>
      </c>
      <c r="W761" s="171">
        <v>0.05</v>
      </c>
      <c r="X761" s="146" t="s">
        <v>53</v>
      </c>
      <c r="Y761" s="146"/>
      <c r="Z761" s="144" t="s">
        <v>55</v>
      </c>
      <c r="AA761" s="172" t="s">
        <v>24</v>
      </c>
      <c r="AB761" s="173"/>
      <c r="AC761" s="174"/>
    </row>
    <row r="762" spans="1:29" x14ac:dyDescent="0.25">
      <c r="A762" s="324">
        <v>45914</v>
      </c>
      <c r="B762" s="144">
        <v>4</v>
      </c>
      <c r="C762" s="145"/>
      <c r="D762" s="144" t="s">
        <v>129</v>
      </c>
      <c r="E762" s="146">
        <v>0.73</v>
      </c>
      <c r="F762" s="146"/>
      <c r="G762" s="147">
        <v>2</v>
      </c>
      <c r="H762" s="147">
        <v>2</v>
      </c>
      <c r="I762" s="147"/>
      <c r="J762" s="148">
        <v>2.12</v>
      </c>
      <c r="K762" s="145"/>
      <c r="L762" s="144" t="s">
        <v>209</v>
      </c>
      <c r="M762" s="149"/>
      <c r="N762" s="150">
        <v>40</v>
      </c>
      <c r="O762" s="26" t="s">
        <v>209</v>
      </c>
      <c r="P762" s="26" t="s">
        <v>54</v>
      </c>
      <c r="Q762" s="26" t="s">
        <v>240</v>
      </c>
      <c r="R762" s="26" t="s">
        <v>688</v>
      </c>
      <c r="S762" s="213">
        <v>68</v>
      </c>
      <c r="T762" s="26" t="s">
        <v>47</v>
      </c>
      <c r="U762" s="26" t="s">
        <v>45</v>
      </c>
      <c r="V762" s="43" t="s">
        <v>20</v>
      </c>
      <c r="W762" s="171">
        <v>0.14000000000000001</v>
      </c>
      <c r="X762" s="146" t="s">
        <v>53</v>
      </c>
      <c r="Y762" s="146"/>
      <c r="Z762" s="144" t="s">
        <v>52</v>
      </c>
      <c r="AA762" s="172" t="s">
        <v>24</v>
      </c>
      <c r="AB762" s="173"/>
      <c r="AC762" s="174"/>
    </row>
    <row r="763" spans="1:29" x14ac:dyDescent="0.25">
      <c r="A763" s="324">
        <v>45914</v>
      </c>
      <c r="B763" s="144">
        <v>4</v>
      </c>
      <c r="C763" s="145"/>
      <c r="D763" s="144" t="s">
        <v>129</v>
      </c>
      <c r="E763" s="146">
        <v>0.73</v>
      </c>
      <c r="F763" s="146"/>
      <c r="G763" s="147">
        <v>2</v>
      </c>
      <c r="H763" s="147">
        <v>2</v>
      </c>
      <c r="I763" s="147"/>
      <c r="J763" s="148">
        <v>2.12</v>
      </c>
      <c r="K763" s="145"/>
      <c r="L763" s="144" t="s">
        <v>209</v>
      </c>
      <c r="M763" s="149"/>
      <c r="N763" s="150" t="s">
        <v>122</v>
      </c>
      <c r="O763" s="26" t="s">
        <v>209</v>
      </c>
      <c r="P763" s="26" t="s">
        <v>220</v>
      </c>
      <c r="Q763" s="26" t="s">
        <v>221</v>
      </c>
      <c r="R763" s="26" t="s">
        <v>684</v>
      </c>
      <c r="S763" s="213">
        <v>68</v>
      </c>
      <c r="T763" s="26" t="s">
        <v>354</v>
      </c>
      <c r="U763" s="26" t="s">
        <v>42</v>
      </c>
      <c r="V763" s="43" t="s">
        <v>10</v>
      </c>
      <c r="W763" s="171">
        <v>0.03</v>
      </c>
      <c r="X763" s="146">
        <v>0.49</v>
      </c>
      <c r="Y763" s="146"/>
      <c r="Z763" s="144" t="s">
        <v>8</v>
      </c>
      <c r="AA763" s="172" t="s">
        <v>34</v>
      </c>
      <c r="AB763" s="173" t="s">
        <v>100</v>
      </c>
      <c r="AC763" s="174" t="s">
        <v>659</v>
      </c>
    </row>
    <row r="764" spans="1:29" x14ac:dyDescent="0.25">
      <c r="A764" s="324">
        <v>45914</v>
      </c>
      <c r="B764" s="144">
        <v>4</v>
      </c>
      <c r="C764" s="145"/>
      <c r="D764" s="144" t="s">
        <v>129</v>
      </c>
      <c r="E764" s="146">
        <v>0.73</v>
      </c>
      <c r="F764" s="146"/>
      <c r="G764" s="147">
        <v>2</v>
      </c>
      <c r="H764" s="147">
        <v>2</v>
      </c>
      <c r="I764" s="147"/>
      <c r="J764" s="148">
        <v>2.12</v>
      </c>
      <c r="K764" s="145"/>
      <c r="L764" s="144" t="s">
        <v>209</v>
      </c>
      <c r="M764" s="149"/>
      <c r="N764" s="150" t="s">
        <v>266</v>
      </c>
      <c r="O764" s="26" t="s">
        <v>209</v>
      </c>
      <c r="P764" s="26" t="s">
        <v>218</v>
      </c>
      <c r="Q764" s="26" t="s">
        <v>219</v>
      </c>
      <c r="R764" s="26" t="s">
        <v>685</v>
      </c>
      <c r="S764" s="213">
        <v>62</v>
      </c>
      <c r="T764" s="26" t="s">
        <v>41</v>
      </c>
      <c r="U764" s="26" t="s">
        <v>42</v>
      </c>
      <c r="V764" s="43" t="s">
        <v>10</v>
      </c>
      <c r="W764" s="171">
        <v>0.11</v>
      </c>
      <c r="X764" s="146" t="s">
        <v>53</v>
      </c>
      <c r="Y764" s="146"/>
      <c r="Z764" s="144" t="s">
        <v>52</v>
      </c>
      <c r="AA764" s="172" t="s">
        <v>34</v>
      </c>
      <c r="AB764" s="173"/>
      <c r="AC764" s="174"/>
    </row>
    <row r="765" spans="1:29" x14ac:dyDescent="0.25">
      <c r="A765" s="324">
        <v>45914</v>
      </c>
      <c r="B765" s="144">
        <v>4</v>
      </c>
      <c r="C765" s="145"/>
      <c r="D765" s="144" t="s">
        <v>129</v>
      </c>
      <c r="E765" s="146">
        <v>0.73</v>
      </c>
      <c r="F765" s="146"/>
      <c r="G765" s="147">
        <v>2</v>
      </c>
      <c r="H765" s="147">
        <v>2</v>
      </c>
      <c r="I765" s="147"/>
      <c r="J765" s="148">
        <v>2.12</v>
      </c>
      <c r="K765" s="145"/>
      <c r="L765" s="144" t="s">
        <v>209</v>
      </c>
      <c r="M765" s="149"/>
      <c r="N765" s="150">
        <v>54</v>
      </c>
      <c r="O765" s="26" t="s">
        <v>209</v>
      </c>
      <c r="P765" s="26" t="s">
        <v>220</v>
      </c>
      <c r="Q765" s="26" t="s">
        <v>221</v>
      </c>
      <c r="R765" s="26" t="s">
        <v>684</v>
      </c>
      <c r="S765" s="213">
        <v>68</v>
      </c>
      <c r="T765" s="26" t="s">
        <v>41</v>
      </c>
      <c r="U765" s="26" t="s">
        <v>42</v>
      </c>
      <c r="V765" s="43" t="s">
        <v>10</v>
      </c>
      <c r="W765" s="171">
        <v>0.14000000000000001</v>
      </c>
      <c r="X765" s="146" t="s">
        <v>53</v>
      </c>
      <c r="Y765" s="146"/>
      <c r="Z765" s="144" t="s">
        <v>52</v>
      </c>
      <c r="AA765" s="172" t="s">
        <v>34</v>
      </c>
      <c r="AB765" s="173"/>
      <c r="AC765" s="174"/>
    </row>
    <row r="766" spans="1:29" x14ac:dyDescent="0.25">
      <c r="A766" s="324">
        <v>45914</v>
      </c>
      <c r="B766" s="144">
        <v>4</v>
      </c>
      <c r="C766" s="145"/>
      <c r="D766" s="144" t="s">
        <v>129</v>
      </c>
      <c r="E766" s="146">
        <v>0.73</v>
      </c>
      <c r="F766" s="146"/>
      <c r="G766" s="147">
        <v>2</v>
      </c>
      <c r="H766" s="147">
        <v>2</v>
      </c>
      <c r="I766" s="147"/>
      <c r="J766" s="148">
        <v>2.12</v>
      </c>
      <c r="K766" s="145"/>
      <c r="L766" s="144" t="s">
        <v>209</v>
      </c>
      <c r="M766" s="149"/>
      <c r="N766" s="150">
        <v>54</v>
      </c>
      <c r="O766" s="26" t="s">
        <v>209</v>
      </c>
      <c r="P766" s="26" t="s">
        <v>220</v>
      </c>
      <c r="Q766" s="26" t="s">
        <v>221</v>
      </c>
      <c r="R766" s="26" t="s">
        <v>684</v>
      </c>
      <c r="S766" s="213">
        <v>68</v>
      </c>
      <c r="T766" s="26" t="s">
        <v>41</v>
      </c>
      <c r="U766" s="26" t="s">
        <v>45</v>
      </c>
      <c r="V766" s="43" t="s">
        <v>10</v>
      </c>
      <c r="W766" s="171">
        <v>0.16</v>
      </c>
      <c r="X766" s="146" t="s">
        <v>53</v>
      </c>
      <c r="Y766" s="146"/>
      <c r="Z766" s="144" t="s">
        <v>22</v>
      </c>
      <c r="AA766" s="172" t="s">
        <v>34</v>
      </c>
      <c r="AB766" s="173"/>
      <c r="AC766" s="174"/>
    </row>
    <row r="767" spans="1:29" x14ac:dyDescent="0.25">
      <c r="A767" s="324">
        <v>45914</v>
      </c>
      <c r="B767" s="144">
        <v>4</v>
      </c>
      <c r="C767" s="145"/>
      <c r="D767" s="144" t="s">
        <v>129</v>
      </c>
      <c r="E767" s="146">
        <v>0.73</v>
      </c>
      <c r="F767" s="146"/>
      <c r="G767" s="147">
        <v>2</v>
      </c>
      <c r="H767" s="147">
        <v>2</v>
      </c>
      <c r="I767" s="147"/>
      <c r="J767" s="148">
        <v>2.12</v>
      </c>
      <c r="K767" s="145"/>
      <c r="L767" s="144" t="s">
        <v>209</v>
      </c>
      <c r="M767" s="149"/>
      <c r="N767" s="150">
        <v>58</v>
      </c>
      <c r="O767" s="26" t="s">
        <v>209</v>
      </c>
      <c r="P767" s="26" t="s">
        <v>53</v>
      </c>
      <c r="Q767" s="26" t="s">
        <v>395</v>
      </c>
      <c r="R767" s="26" t="s">
        <v>686</v>
      </c>
      <c r="S767" s="213">
        <v>67</v>
      </c>
      <c r="T767" s="26" t="s">
        <v>41</v>
      </c>
      <c r="U767" s="26" t="s">
        <v>43</v>
      </c>
      <c r="V767" s="43" t="s">
        <v>540</v>
      </c>
      <c r="W767" s="171">
        <v>0.15</v>
      </c>
      <c r="X767" s="146" t="s">
        <v>53</v>
      </c>
      <c r="Y767" s="146"/>
      <c r="Z767" s="144" t="s">
        <v>22</v>
      </c>
      <c r="AA767" s="172" t="s">
        <v>34</v>
      </c>
      <c r="AB767" s="173"/>
      <c r="AC767" s="174"/>
    </row>
    <row r="768" spans="1:29" x14ac:dyDescent="0.25">
      <c r="A768" s="324">
        <v>45914</v>
      </c>
      <c r="B768" s="144">
        <v>4</v>
      </c>
      <c r="C768" s="145"/>
      <c r="D768" s="144" t="s">
        <v>129</v>
      </c>
      <c r="E768" s="146">
        <v>0.73</v>
      </c>
      <c r="F768" s="146"/>
      <c r="G768" s="147">
        <v>2</v>
      </c>
      <c r="H768" s="147">
        <v>2</v>
      </c>
      <c r="I768" s="147"/>
      <c r="J768" s="148">
        <v>2.12</v>
      </c>
      <c r="K768" s="145"/>
      <c r="L768" s="144" t="s">
        <v>209</v>
      </c>
      <c r="M768" s="149"/>
      <c r="N768" s="150">
        <v>75</v>
      </c>
      <c r="O768" s="26" t="s">
        <v>209</v>
      </c>
      <c r="P768" s="26" t="s">
        <v>421</v>
      </c>
      <c r="Q768" s="26" t="s">
        <v>422</v>
      </c>
      <c r="R768" s="26" t="s">
        <v>712</v>
      </c>
      <c r="S768" s="213">
        <v>72</v>
      </c>
      <c r="T768" s="26" t="s">
        <v>41</v>
      </c>
      <c r="U768" s="26" t="s">
        <v>45</v>
      </c>
      <c r="V768" s="43" t="s">
        <v>20</v>
      </c>
      <c r="W768" s="171">
        <v>0.09</v>
      </c>
      <c r="X768" s="146">
        <v>0.02</v>
      </c>
      <c r="Y768" s="146" t="s">
        <v>353</v>
      </c>
      <c r="Z768" s="144" t="s">
        <v>48</v>
      </c>
      <c r="AA768" s="172" t="s">
        <v>34</v>
      </c>
      <c r="AB768" s="173"/>
      <c r="AC768" s="174"/>
    </row>
    <row r="769" spans="1:29" x14ac:dyDescent="0.25">
      <c r="A769" s="324">
        <v>45914</v>
      </c>
      <c r="B769" s="144">
        <v>4</v>
      </c>
      <c r="C769" s="145"/>
      <c r="D769" s="144" t="s">
        <v>129</v>
      </c>
      <c r="E769" s="146">
        <v>0.73</v>
      </c>
      <c r="F769" s="146"/>
      <c r="G769" s="147">
        <v>2</v>
      </c>
      <c r="H769" s="147">
        <v>2</v>
      </c>
      <c r="I769" s="147"/>
      <c r="J769" s="148">
        <v>2.12</v>
      </c>
      <c r="K769" s="145"/>
      <c r="L769" s="144" t="s">
        <v>209</v>
      </c>
      <c r="M769" s="149"/>
      <c r="N769" s="150">
        <v>81</v>
      </c>
      <c r="O769" s="26" t="s">
        <v>209</v>
      </c>
      <c r="P769" s="26" t="s">
        <v>241</v>
      </c>
      <c r="Q769" s="26" t="s">
        <v>396</v>
      </c>
      <c r="R769" s="26" t="s">
        <v>687</v>
      </c>
      <c r="S769" s="213">
        <v>79</v>
      </c>
      <c r="T769" s="26" t="s">
        <v>41</v>
      </c>
      <c r="U769" s="26" t="s">
        <v>45</v>
      </c>
      <c r="V769" s="43" t="s">
        <v>10</v>
      </c>
      <c r="W769" s="171">
        <v>0.35</v>
      </c>
      <c r="X769" s="146">
        <v>0.56999999999999995</v>
      </c>
      <c r="Y769" s="146" t="s">
        <v>353</v>
      </c>
      <c r="Z769" s="144" t="s">
        <v>8</v>
      </c>
      <c r="AA769" s="172" t="s">
        <v>189</v>
      </c>
      <c r="AB769" s="173" t="s">
        <v>660</v>
      </c>
      <c r="AC769" s="174" t="s">
        <v>425</v>
      </c>
    </row>
    <row r="770" spans="1:29" x14ac:dyDescent="0.25">
      <c r="A770" s="324">
        <v>45914</v>
      </c>
      <c r="B770" s="144">
        <v>4</v>
      </c>
      <c r="C770" s="145"/>
      <c r="D770" s="144" t="s">
        <v>129</v>
      </c>
      <c r="E770" s="146">
        <v>0.73</v>
      </c>
      <c r="F770" s="146"/>
      <c r="G770" s="147">
        <v>2</v>
      </c>
      <c r="H770" s="147">
        <v>2</v>
      </c>
      <c r="I770" s="147"/>
      <c r="J770" s="148">
        <v>2.12</v>
      </c>
      <c r="K770" s="145"/>
      <c r="L770" s="144" t="s">
        <v>209</v>
      </c>
      <c r="M770" s="149"/>
      <c r="N770" s="150">
        <v>89</v>
      </c>
      <c r="O770" s="26" t="s">
        <v>209</v>
      </c>
      <c r="P770" s="26" t="s">
        <v>222</v>
      </c>
      <c r="Q770" s="26" t="s">
        <v>223</v>
      </c>
      <c r="R770" s="26" t="s">
        <v>696</v>
      </c>
      <c r="S770" s="213">
        <v>69</v>
      </c>
      <c r="T770" s="26" t="s">
        <v>41</v>
      </c>
      <c r="U770" s="26" t="s">
        <v>43</v>
      </c>
      <c r="V770" s="43" t="s">
        <v>10</v>
      </c>
      <c r="W770" s="171">
        <v>7.0000000000000007E-2</v>
      </c>
      <c r="X770" s="146">
        <v>0.45</v>
      </c>
      <c r="Y770" s="146" t="s">
        <v>353</v>
      </c>
      <c r="Z770" s="144" t="s">
        <v>48</v>
      </c>
      <c r="AA770" s="172" t="s">
        <v>189</v>
      </c>
      <c r="AB770" s="173"/>
      <c r="AC770" s="174"/>
    </row>
    <row r="771" spans="1:29" ht="15.75" thickBot="1" x14ac:dyDescent="0.3">
      <c r="A771" s="325">
        <v>45914</v>
      </c>
      <c r="B771" s="152">
        <v>4</v>
      </c>
      <c r="C771" s="153"/>
      <c r="D771" s="152" t="s">
        <v>129</v>
      </c>
      <c r="E771" s="154">
        <v>0.73</v>
      </c>
      <c r="F771" s="154"/>
      <c r="G771" s="155">
        <v>2</v>
      </c>
      <c r="H771" s="155">
        <v>2</v>
      </c>
      <c r="I771" s="155"/>
      <c r="J771" s="156">
        <v>2.12</v>
      </c>
      <c r="K771" s="153"/>
      <c r="L771" s="152" t="s">
        <v>209</v>
      </c>
      <c r="M771" s="157"/>
      <c r="N771" s="158" t="s">
        <v>57</v>
      </c>
      <c r="O771" s="66" t="s">
        <v>129</v>
      </c>
      <c r="P771" s="66" t="s">
        <v>141</v>
      </c>
      <c r="Q771" s="66" t="s">
        <v>142</v>
      </c>
      <c r="R771" s="66" t="s">
        <v>696</v>
      </c>
      <c r="S771" s="219">
        <v>54</v>
      </c>
      <c r="T771" s="66" t="s">
        <v>41</v>
      </c>
      <c r="U771" s="66" t="s">
        <v>43</v>
      </c>
      <c r="V771" s="67" t="s">
        <v>18</v>
      </c>
      <c r="W771" s="175">
        <v>0.09</v>
      </c>
      <c r="X771" s="154" t="s">
        <v>53</v>
      </c>
      <c r="Y771" s="154"/>
      <c r="Z771" s="152" t="s">
        <v>16</v>
      </c>
      <c r="AA771" s="176" t="s">
        <v>189</v>
      </c>
      <c r="AB771" s="177"/>
      <c r="AC771" s="178"/>
    </row>
    <row r="772" spans="1:29" ht="15.75" thickBot="1" x14ac:dyDescent="0.3">
      <c r="A772" s="326">
        <v>45914</v>
      </c>
      <c r="B772" s="207">
        <v>4</v>
      </c>
      <c r="C772" s="208"/>
      <c r="D772" s="207" t="s">
        <v>129</v>
      </c>
      <c r="E772" s="209">
        <v>0.73</v>
      </c>
      <c r="F772" s="209"/>
      <c r="G772" s="210">
        <v>2</v>
      </c>
      <c r="H772" s="210">
        <v>2</v>
      </c>
      <c r="I772" s="210"/>
      <c r="J772" s="211">
        <v>2.12</v>
      </c>
      <c r="K772" s="208"/>
      <c r="L772" s="207" t="s">
        <v>209</v>
      </c>
      <c r="M772" s="235"/>
      <c r="N772" s="198"/>
      <c r="O772" s="199" t="s">
        <v>129</v>
      </c>
      <c r="P772" s="199" t="s">
        <v>731</v>
      </c>
      <c r="Q772" s="199" t="s">
        <v>732</v>
      </c>
      <c r="R772" s="199" t="s">
        <v>707</v>
      </c>
      <c r="S772" s="200">
        <v>78</v>
      </c>
      <c r="T772" s="199"/>
      <c r="U772" s="199"/>
      <c r="V772" s="201"/>
      <c r="W772" s="202"/>
      <c r="X772" s="203"/>
      <c r="Y772" s="203">
        <v>2</v>
      </c>
      <c r="Z772" s="199"/>
      <c r="AA772" s="204"/>
      <c r="AB772" s="205"/>
      <c r="AC772" s="201"/>
    </row>
    <row r="773" spans="1:29" ht="15.75" thickBot="1" x14ac:dyDescent="0.3">
      <c r="A773" s="326">
        <v>45914</v>
      </c>
      <c r="B773" s="207">
        <v>4</v>
      </c>
      <c r="C773" s="208"/>
      <c r="D773" s="207" t="s">
        <v>129</v>
      </c>
      <c r="E773" s="209">
        <v>0.73</v>
      </c>
      <c r="F773" s="209"/>
      <c r="G773" s="210">
        <v>2</v>
      </c>
      <c r="H773" s="210">
        <v>2</v>
      </c>
      <c r="I773" s="210"/>
      <c r="J773" s="211">
        <v>2.12</v>
      </c>
      <c r="K773" s="208"/>
      <c r="L773" s="207" t="s">
        <v>209</v>
      </c>
      <c r="M773" s="235"/>
      <c r="N773" s="198"/>
      <c r="O773" s="199" t="s">
        <v>209</v>
      </c>
      <c r="P773" s="199" t="s">
        <v>74</v>
      </c>
      <c r="Q773" s="199" t="s">
        <v>730</v>
      </c>
      <c r="R773" s="199" t="s">
        <v>707</v>
      </c>
      <c r="S773" s="200">
        <v>58</v>
      </c>
      <c r="T773" s="199"/>
      <c r="U773" s="199"/>
      <c r="V773" s="201"/>
      <c r="W773" s="202"/>
      <c r="X773" s="203"/>
      <c r="Y773" s="203">
        <v>2</v>
      </c>
      <c r="Z773" s="199"/>
      <c r="AA773" s="204"/>
      <c r="AB773" s="205"/>
      <c r="AC773" s="201"/>
    </row>
    <row r="774" spans="1:29" x14ac:dyDescent="0.25">
      <c r="A774" s="327">
        <v>45923</v>
      </c>
      <c r="B774" s="160">
        <v>6</v>
      </c>
      <c r="C774" s="161" t="s">
        <v>694</v>
      </c>
      <c r="D774" s="160" t="s">
        <v>129</v>
      </c>
      <c r="E774" s="162">
        <v>1.8</v>
      </c>
      <c r="F774" s="162"/>
      <c r="G774" s="163">
        <v>1</v>
      </c>
      <c r="H774" s="163">
        <v>4</v>
      </c>
      <c r="I774" s="163"/>
      <c r="J774" s="164">
        <v>3.94</v>
      </c>
      <c r="K774" s="161" t="s">
        <v>702</v>
      </c>
      <c r="L774" s="160" t="s">
        <v>226</v>
      </c>
      <c r="M774" s="165"/>
      <c r="N774" s="166">
        <v>4</v>
      </c>
      <c r="O774" s="70" t="s">
        <v>129</v>
      </c>
      <c r="P774" s="70" t="s">
        <v>59</v>
      </c>
      <c r="Q774" s="70" t="s">
        <v>191</v>
      </c>
      <c r="R774" s="70" t="s">
        <v>717</v>
      </c>
      <c r="S774" s="227">
        <v>64</v>
      </c>
      <c r="T774" s="70" t="s">
        <v>41</v>
      </c>
      <c r="U774" s="70" t="s">
        <v>42</v>
      </c>
      <c r="V774" s="71" t="s">
        <v>10</v>
      </c>
      <c r="W774" s="179">
        <v>0.24</v>
      </c>
      <c r="X774" s="162" t="s">
        <v>53</v>
      </c>
      <c r="Y774" s="162" t="s">
        <v>353</v>
      </c>
      <c r="Z774" s="160" t="s">
        <v>16</v>
      </c>
      <c r="AA774" s="180" t="s">
        <v>28</v>
      </c>
      <c r="AB774" s="169"/>
      <c r="AC774" s="170"/>
    </row>
    <row r="775" spans="1:29" x14ac:dyDescent="0.25">
      <c r="A775" s="324">
        <v>45923</v>
      </c>
      <c r="B775" s="144">
        <v>6</v>
      </c>
      <c r="C775" s="145"/>
      <c r="D775" s="144" t="s">
        <v>129</v>
      </c>
      <c r="E775" s="146">
        <v>1.8</v>
      </c>
      <c r="F775" s="146"/>
      <c r="G775" s="147">
        <v>1</v>
      </c>
      <c r="H775" s="147">
        <v>4</v>
      </c>
      <c r="I775" s="147"/>
      <c r="J775" s="148">
        <v>3.94</v>
      </c>
      <c r="K775" s="145"/>
      <c r="L775" s="144" t="s">
        <v>226</v>
      </c>
      <c r="M775" s="149"/>
      <c r="N775" s="150">
        <v>8</v>
      </c>
      <c r="O775" s="26" t="s">
        <v>226</v>
      </c>
      <c r="P775" s="26" t="s">
        <v>236</v>
      </c>
      <c r="Q775" s="26" t="s">
        <v>237</v>
      </c>
      <c r="R775" s="26" t="s">
        <v>689</v>
      </c>
      <c r="S775" s="213">
        <v>73</v>
      </c>
      <c r="T775" s="26" t="s">
        <v>44</v>
      </c>
      <c r="U775" s="26" t="s">
        <v>43</v>
      </c>
      <c r="V775" s="43" t="s">
        <v>20</v>
      </c>
      <c r="W775" s="171">
        <v>0.03</v>
      </c>
      <c r="X775" s="146" t="s">
        <v>53</v>
      </c>
      <c r="Y775" s="146"/>
      <c r="Z775" s="144" t="s">
        <v>16</v>
      </c>
      <c r="AA775" s="172" t="s">
        <v>28</v>
      </c>
      <c r="AB775" s="173"/>
      <c r="AC775" s="174"/>
    </row>
    <row r="776" spans="1:29" x14ac:dyDescent="0.25">
      <c r="A776" s="324">
        <v>45923</v>
      </c>
      <c r="B776" s="144">
        <v>6</v>
      </c>
      <c r="C776" s="145"/>
      <c r="D776" s="144" t="s">
        <v>129</v>
      </c>
      <c r="E776" s="146">
        <v>1.8</v>
      </c>
      <c r="F776" s="146"/>
      <c r="G776" s="147">
        <v>1</v>
      </c>
      <c r="H776" s="147">
        <v>4</v>
      </c>
      <c r="I776" s="147"/>
      <c r="J776" s="148">
        <v>3.94</v>
      </c>
      <c r="K776" s="145"/>
      <c r="L776" s="144" t="s">
        <v>226</v>
      </c>
      <c r="M776" s="149"/>
      <c r="N776" s="150">
        <v>13</v>
      </c>
      <c r="O776" s="61" t="s">
        <v>129</v>
      </c>
      <c r="P776" s="61" t="s">
        <v>168</v>
      </c>
      <c r="Q776" s="61" t="s">
        <v>263</v>
      </c>
      <c r="R776" s="61" t="s">
        <v>712</v>
      </c>
      <c r="S776" s="218">
        <v>66</v>
      </c>
      <c r="T776" s="61" t="s">
        <v>41</v>
      </c>
      <c r="U776" s="61" t="s">
        <v>45</v>
      </c>
      <c r="V776" s="63" t="s">
        <v>20</v>
      </c>
      <c r="W776" s="171">
        <v>0.15</v>
      </c>
      <c r="X776" s="146" t="s">
        <v>53</v>
      </c>
      <c r="Y776" s="146" t="s">
        <v>353</v>
      </c>
      <c r="Z776" s="144" t="s">
        <v>22</v>
      </c>
      <c r="AA776" s="172" t="s">
        <v>28</v>
      </c>
      <c r="AB776" s="173"/>
      <c r="AC776" s="174"/>
    </row>
    <row r="777" spans="1:29" x14ac:dyDescent="0.25">
      <c r="A777" s="324">
        <v>45923</v>
      </c>
      <c r="B777" s="144">
        <v>6</v>
      </c>
      <c r="C777" s="145"/>
      <c r="D777" s="144" t="s">
        <v>129</v>
      </c>
      <c r="E777" s="146">
        <v>1.8</v>
      </c>
      <c r="F777" s="146"/>
      <c r="G777" s="147">
        <v>1</v>
      </c>
      <c r="H777" s="147">
        <v>4</v>
      </c>
      <c r="I777" s="147"/>
      <c r="J777" s="148">
        <v>3.94</v>
      </c>
      <c r="K777" s="145"/>
      <c r="L777" s="144" t="s">
        <v>226</v>
      </c>
      <c r="M777" s="149"/>
      <c r="N777" s="150">
        <v>18</v>
      </c>
      <c r="O777" s="26" t="s">
        <v>226</v>
      </c>
      <c r="P777" s="26" t="s">
        <v>124</v>
      </c>
      <c r="Q777" s="26" t="s">
        <v>484</v>
      </c>
      <c r="R777" s="26" t="s">
        <v>695</v>
      </c>
      <c r="S777" s="213">
        <v>82</v>
      </c>
      <c r="T777" s="26" t="s">
        <v>44</v>
      </c>
      <c r="U777" s="26" t="s">
        <v>42</v>
      </c>
      <c r="V777" s="43" t="s">
        <v>20</v>
      </c>
      <c r="W777" s="171">
        <v>0.02</v>
      </c>
      <c r="X777" s="146" t="s">
        <v>53</v>
      </c>
      <c r="Y777" s="146"/>
      <c r="Z777" s="144" t="s">
        <v>22</v>
      </c>
      <c r="AA777" s="172" t="s">
        <v>28</v>
      </c>
      <c r="AB777" s="173"/>
      <c r="AC777" s="174"/>
    </row>
    <row r="778" spans="1:29" x14ac:dyDescent="0.25">
      <c r="A778" s="324">
        <v>45923</v>
      </c>
      <c r="B778" s="144">
        <v>6</v>
      </c>
      <c r="C778" s="145"/>
      <c r="D778" s="144" t="s">
        <v>129</v>
      </c>
      <c r="E778" s="146">
        <v>1.8</v>
      </c>
      <c r="F778" s="146"/>
      <c r="G778" s="147">
        <v>1</v>
      </c>
      <c r="H778" s="147">
        <v>4</v>
      </c>
      <c r="I778" s="147"/>
      <c r="J778" s="148">
        <v>3.94</v>
      </c>
      <c r="K778" s="145"/>
      <c r="L778" s="144" t="s">
        <v>226</v>
      </c>
      <c r="M778" s="149"/>
      <c r="N778" s="150">
        <v>21</v>
      </c>
      <c r="O778" s="26" t="s">
        <v>226</v>
      </c>
      <c r="P778" s="26" t="s">
        <v>289</v>
      </c>
      <c r="Q778" s="26" t="s">
        <v>54</v>
      </c>
      <c r="R778" s="26" t="s">
        <v>685</v>
      </c>
      <c r="S778" s="213">
        <v>84</v>
      </c>
      <c r="T778" s="26" t="s">
        <v>354</v>
      </c>
      <c r="U778" s="26" t="s">
        <v>42</v>
      </c>
      <c r="V778" s="43" t="s">
        <v>10</v>
      </c>
      <c r="W778" s="171">
        <v>0.02</v>
      </c>
      <c r="X778" s="146">
        <v>0.12</v>
      </c>
      <c r="Y778" s="146"/>
      <c r="Z778" s="144" t="s">
        <v>48</v>
      </c>
      <c r="AA778" s="172" t="s">
        <v>28</v>
      </c>
      <c r="AB778" s="173"/>
      <c r="AC778" s="174"/>
    </row>
    <row r="779" spans="1:29" x14ac:dyDescent="0.25">
      <c r="A779" s="324">
        <v>45923</v>
      </c>
      <c r="B779" s="144">
        <v>6</v>
      </c>
      <c r="C779" s="145"/>
      <c r="D779" s="144" t="s">
        <v>129</v>
      </c>
      <c r="E779" s="146">
        <v>1.8</v>
      </c>
      <c r="F779" s="146"/>
      <c r="G779" s="147">
        <v>1</v>
      </c>
      <c r="H779" s="147">
        <v>4</v>
      </c>
      <c r="I779" s="147"/>
      <c r="J779" s="148">
        <v>3.94</v>
      </c>
      <c r="K779" s="145"/>
      <c r="L779" s="144" t="s">
        <v>226</v>
      </c>
      <c r="M779" s="149"/>
      <c r="N779" s="150">
        <v>21</v>
      </c>
      <c r="O779" s="26" t="s">
        <v>226</v>
      </c>
      <c r="P779" s="26" t="s">
        <v>236</v>
      </c>
      <c r="Q779" s="26" t="s">
        <v>237</v>
      </c>
      <c r="R779" s="26" t="s">
        <v>689</v>
      </c>
      <c r="S779" s="213">
        <v>73</v>
      </c>
      <c r="T779" s="26" t="s">
        <v>41</v>
      </c>
      <c r="U779" s="26" t="s">
        <v>42</v>
      </c>
      <c r="V779" s="43" t="s">
        <v>540</v>
      </c>
      <c r="W779" s="171">
        <v>0.55000000000000004</v>
      </c>
      <c r="X779" s="146" t="s">
        <v>53</v>
      </c>
      <c r="Y779" s="146" t="s">
        <v>353</v>
      </c>
      <c r="Z779" s="144" t="s">
        <v>17</v>
      </c>
      <c r="AA779" s="172" t="s">
        <v>28</v>
      </c>
      <c r="AB779" s="173"/>
      <c r="AC779" s="174"/>
    </row>
    <row r="780" spans="1:29" x14ac:dyDescent="0.25">
      <c r="A780" s="324">
        <v>45923</v>
      </c>
      <c r="B780" s="144">
        <v>6</v>
      </c>
      <c r="C780" s="145"/>
      <c r="D780" s="144" t="s">
        <v>129</v>
      </c>
      <c r="E780" s="146">
        <v>1.8</v>
      </c>
      <c r="F780" s="146"/>
      <c r="G780" s="147">
        <v>1</v>
      </c>
      <c r="H780" s="147">
        <v>4</v>
      </c>
      <c r="I780" s="147"/>
      <c r="J780" s="148">
        <v>3.94</v>
      </c>
      <c r="K780" s="145"/>
      <c r="L780" s="144" t="s">
        <v>226</v>
      </c>
      <c r="M780" s="149"/>
      <c r="N780" s="150">
        <v>23</v>
      </c>
      <c r="O780" s="26" t="s">
        <v>226</v>
      </c>
      <c r="P780" s="26" t="s">
        <v>289</v>
      </c>
      <c r="Q780" s="26" t="s">
        <v>54</v>
      </c>
      <c r="R780" s="26" t="s">
        <v>685</v>
      </c>
      <c r="S780" s="213">
        <v>84</v>
      </c>
      <c r="T780" s="26" t="s">
        <v>41</v>
      </c>
      <c r="U780" s="26" t="s">
        <v>42</v>
      </c>
      <c r="V780" s="43" t="s">
        <v>10</v>
      </c>
      <c r="W780" s="171">
        <v>0.08</v>
      </c>
      <c r="X780" s="146">
        <v>0.28999999999999998</v>
      </c>
      <c r="Y780" s="146"/>
      <c r="Z780" s="144" t="s">
        <v>48</v>
      </c>
      <c r="AA780" s="172" t="s">
        <v>28</v>
      </c>
      <c r="AB780" s="173"/>
      <c r="AC780" s="174"/>
    </row>
    <row r="781" spans="1:29" x14ac:dyDescent="0.25">
      <c r="A781" s="324">
        <v>45923</v>
      </c>
      <c r="B781" s="144">
        <v>6</v>
      </c>
      <c r="C781" s="145"/>
      <c r="D781" s="144" t="s">
        <v>129</v>
      </c>
      <c r="E781" s="146">
        <v>1.8</v>
      </c>
      <c r="F781" s="146"/>
      <c r="G781" s="147">
        <v>1</v>
      </c>
      <c r="H781" s="147">
        <v>4</v>
      </c>
      <c r="I781" s="147"/>
      <c r="J781" s="148">
        <v>3.94</v>
      </c>
      <c r="K781" s="145"/>
      <c r="L781" s="144" t="s">
        <v>226</v>
      </c>
      <c r="M781" s="149"/>
      <c r="N781" s="150">
        <v>28</v>
      </c>
      <c r="O781" s="26" t="s">
        <v>226</v>
      </c>
      <c r="P781" s="26" t="s">
        <v>289</v>
      </c>
      <c r="Q781" s="26" t="s">
        <v>54</v>
      </c>
      <c r="R781" s="26" t="s">
        <v>685</v>
      </c>
      <c r="S781" s="213">
        <v>84</v>
      </c>
      <c r="T781" s="26" t="s">
        <v>41</v>
      </c>
      <c r="U781" s="26" t="s">
        <v>42</v>
      </c>
      <c r="V781" s="43" t="s">
        <v>10</v>
      </c>
      <c r="W781" s="171">
        <v>0.03</v>
      </c>
      <c r="X781" s="146">
        <v>0.16</v>
      </c>
      <c r="Y781" s="146"/>
      <c r="Z781" s="144" t="s">
        <v>8</v>
      </c>
      <c r="AA781" s="172" t="s">
        <v>9</v>
      </c>
      <c r="AB781" s="173" t="s">
        <v>287</v>
      </c>
      <c r="AC781" s="174" t="s">
        <v>288</v>
      </c>
    </row>
    <row r="782" spans="1:29" x14ac:dyDescent="0.25">
      <c r="A782" s="324">
        <v>45923</v>
      </c>
      <c r="B782" s="144">
        <v>6</v>
      </c>
      <c r="C782" s="145"/>
      <c r="D782" s="144" t="s">
        <v>129</v>
      </c>
      <c r="E782" s="146">
        <v>1.8</v>
      </c>
      <c r="F782" s="146"/>
      <c r="G782" s="147">
        <v>1</v>
      </c>
      <c r="H782" s="147">
        <v>4</v>
      </c>
      <c r="I782" s="147"/>
      <c r="J782" s="148">
        <v>3.94</v>
      </c>
      <c r="K782" s="145"/>
      <c r="L782" s="144" t="s">
        <v>226</v>
      </c>
      <c r="M782" s="149"/>
      <c r="N782" s="150">
        <v>32</v>
      </c>
      <c r="O782" s="26" t="s">
        <v>226</v>
      </c>
      <c r="P782" s="26" t="s">
        <v>236</v>
      </c>
      <c r="Q782" s="26" t="s">
        <v>237</v>
      </c>
      <c r="R782" s="26" t="s">
        <v>689</v>
      </c>
      <c r="S782" s="213">
        <v>73</v>
      </c>
      <c r="T782" s="26" t="s">
        <v>44</v>
      </c>
      <c r="U782" s="26" t="s">
        <v>43</v>
      </c>
      <c r="V782" s="43" t="s">
        <v>10</v>
      </c>
      <c r="W782" s="171">
        <v>0.02</v>
      </c>
      <c r="X782" s="146" t="s">
        <v>53</v>
      </c>
      <c r="Y782" s="146"/>
      <c r="Z782" s="144" t="s">
        <v>22</v>
      </c>
      <c r="AA782" s="172" t="s">
        <v>9</v>
      </c>
      <c r="AB782" s="173"/>
      <c r="AC782" s="174"/>
    </row>
    <row r="783" spans="1:29" x14ac:dyDescent="0.25">
      <c r="A783" s="324">
        <v>45923</v>
      </c>
      <c r="B783" s="144">
        <v>6</v>
      </c>
      <c r="C783" s="145"/>
      <c r="D783" s="144" t="s">
        <v>129</v>
      </c>
      <c r="E783" s="146">
        <v>1.8</v>
      </c>
      <c r="F783" s="146"/>
      <c r="G783" s="147">
        <v>1</v>
      </c>
      <c r="H783" s="147">
        <v>4</v>
      </c>
      <c r="I783" s="147"/>
      <c r="J783" s="148">
        <v>3.94</v>
      </c>
      <c r="K783" s="145"/>
      <c r="L783" s="144" t="s">
        <v>226</v>
      </c>
      <c r="M783" s="149"/>
      <c r="N783" s="150">
        <v>38</v>
      </c>
      <c r="O783" s="26" t="s">
        <v>226</v>
      </c>
      <c r="P783" s="26" t="s">
        <v>236</v>
      </c>
      <c r="Q783" s="26" t="s">
        <v>237</v>
      </c>
      <c r="R783" s="26" t="s">
        <v>689</v>
      </c>
      <c r="S783" s="213">
        <v>73</v>
      </c>
      <c r="T783" s="26" t="s">
        <v>41</v>
      </c>
      <c r="U783" s="26" t="s">
        <v>42</v>
      </c>
      <c r="V783" s="43" t="s">
        <v>18</v>
      </c>
      <c r="W783" s="171">
        <v>0.12</v>
      </c>
      <c r="X783" s="146">
        <v>0.73</v>
      </c>
      <c r="Y783" s="146"/>
      <c r="Z783" s="144" t="s">
        <v>8</v>
      </c>
      <c r="AA783" s="172" t="s">
        <v>11</v>
      </c>
      <c r="AB783" s="173" t="s">
        <v>289</v>
      </c>
      <c r="AC783" s="174" t="s">
        <v>54</v>
      </c>
    </row>
    <row r="784" spans="1:29" x14ac:dyDescent="0.25">
      <c r="A784" s="324">
        <v>45923</v>
      </c>
      <c r="B784" s="144">
        <v>6</v>
      </c>
      <c r="C784" s="145"/>
      <c r="D784" s="144" t="s">
        <v>129</v>
      </c>
      <c r="E784" s="146">
        <v>1.8</v>
      </c>
      <c r="F784" s="146"/>
      <c r="G784" s="147">
        <v>1</v>
      </c>
      <c r="H784" s="147">
        <v>4</v>
      </c>
      <c r="I784" s="147"/>
      <c r="J784" s="148">
        <v>3.94</v>
      </c>
      <c r="K784" s="145"/>
      <c r="L784" s="144" t="s">
        <v>226</v>
      </c>
      <c r="M784" s="149"/>
      <c r="N784" s="150">
        <v>41</v>
      </c>
      <c r="O784" s="26" t="s">
        <v>226</v>
      </c>
      <c r="P784" s="26" t="s">
        <v>289</v>
      </c>
      <c r="Q784" s="26" t="s">
        <v>54</v>
      </c>
      <c r="R784" s="26" t="s">
        <v>685</v>
      </c>
      <c r="S784" s="213">
        <v>84</v>
      </c>
      <c r="T784" s="26" t="s">
        <v>41</v>
      </c>
      <c r="U784" s="26" t="s">
        <v>42</v>
      </c>
      <c r="V784" s="43" t="s">
        <v>10</v>
      </c>
      <c r="W784" s="171">
        <v>0.28000000000000003</v>
      </c>
      <c r="X784" s="146">
        <v>0.34</v>
      </c>
      <c r="Y784" s="146" t="s">
        <v>353</v>
      </c>
      <c r="Z784" s="144" t="s">
        <v>48</v>
      </c>
      <c r="AA784" s="172" t="s">
        <v>11</v>
      </c>
      <c r="AB784" s="173"/>
      <c r="AC784" s="174"/>
    </row>
    <row r="785" spans="1:29" x14ac:dyDescent="0.25">
      <c r="A785" s="324">
        <v>45923</v>
      </c>
      <c r="B785" s="144">
        <v>6</v>
      </c>
      <c r="C785" s="145"/>
      <c r="D785" s="144" t="s">
        <v>129</v>
      </c>
      <c r="E785" s="146">
        <v>1.8</v>
      </c>
      <c r="F785" s="146"/>
      <c r="G785" s="147">
        <v>1</v>
      </c>
      <c r="H785" s="147">
        <v>4</v>
      </c>
      <c r="I785" s="147"/>
      <c r="J785" s="148">
        <v>3.94</v>
      </c>
      <c r="K785" s="145"/>
      <c r="L785" s="144" t="s">
        <v>226</v>
      </c>
      <c r="M785" s="149"/>
      <c r="N785" s="150">
        <v>41</v>
      </c>
      <c r="O785" s="26" t="s">
        <v>226</v>
      </c>
      <c r="P785" s="26" t="s">
        <v>236</v>
      </c>
      <c r="Q785" s="26" t="s">
        <v>237</v>
      </c>
      <c r="R785" s="26" t="s">
        <v>689</v>
      </c>
      <c r="S785" s="213">
        <v>73</v>
      </c>
      <c r="T785" s="26" t="s">
        <v>41</v>
      </c>
      <c r="U785" s="26" t="s">
        <v>43</v>
      </c>
      <c r="V785" s="43" t="s">
        <v>540</v>
      </c>
      <c r="W785" s="171">
        <v>0.11</v>
      </c>
      <c r="X785" s="146" t="s">
        <v>53</v>
      </c>
      <c r="Y785" s="146"/>
      <c r="Z785" s="144" t="s">
        <v>52</v>
      </c>
      <c r="AA785" s="172" t="s">
        <v>11</v>
      </c>
      <c r="AB785" s="173"/>
      <c r="AC785" s="174"/>
    </row>
    <row r="786" spans="1:29" x14ac:dyDescent="0.25">
      <c r="A786" s="324">
        <v>45923</v>
      </c>
      <c r="B786" s="144">
        <v>6</v>
      </c>
      <c r="C786" s="145"/>
      <c r="D786" s="144" t="s">
        <v>129</v>
      </c>
      <c r="E786" s="146">
        <v>1.8</v>
      </c>
      <c r="F786" s="146"/>
      <c r="G786" s="147">
        <v>1</v>
      </c>
      <c r="H786" s="147">
        <v>4</v>
      </c>
      <c r="I786" s="147"/>
      <c r="J786" s="148">
        <v>3.94</v>
      </c>
      <c r="K786" s="145"/>
      <c r="L786" s="144" t="s">
        <v>226</v>
      </c>
      <c r="M786" s="149"/>
      <c r="N786" s="150">
        <v>54</v>
      </c>
      <c r="O786" s="61" t="s">
        <v>129</v>
      </c>
      <c r="P786" s="61" t="s">
        <v>104</v>
      </c>
      <c r="Q786" s="61" t="s">
        <v>105</v>
      </c>
      <c r="R786" s="61" t="s">
        <v>718</v>
      </c>
      <c r="S786" s="218">
        <v>80</v>
      </c>
      <c r="T786" s="61" t="s">
        <v>47</v>
      </c>
      <c r="U786" s="61" t="s">
        <v>45</v>
      </c>
      <c r="V786" s="63" t="s">
        <v>540</v>
      </c>
      <c r="W786" s="171">
        <v>0.78</v>
      </c>
      <c r="X786" s="146">
        <v>0.99</v>
      </c>
      <c r="Y786" s="146" t="s">
        <v>353</v>
      </c>
      <c r="Z786" s="144" t="s">
        <v>8</v>
      </c>
      <c r="AA786" s="172" t="s">
        <v>67</v>
      </c>
      <c r="AB786" s="173"/>
      <c r="AC786" s="174"/>
    </row>
    <row r="787" spans="1:29" x14ac:dyDescent="0.25">
      <c r="A787" s="324">
        <v>45923</v>
      </c>
      <c r="B787" s="144">
        <v>6</v>
      </c>
      <c r="C787" s="145"/>
      <c r="D787" s="144" t="s">
        <v>129</v>
      </c>
      <c r="E787" s="146">
        <v>1.8</v>
      </c>
      <c r="F787" s="146"/>
      <c r="G787" s="147">
        <v>1</v>
      </c>
      <c r="H787" s="147">
        <v>4</v>
      </c>
      <c r="I787" s="147"/>
      <c r="J787" s="148">
        <v>3.94</v>
      </c>
      <c r="K787" s="145"/>
      <c r="L787" s="144" t="s">
        <v>226</v>
      </c>
      <c r="M787" s="149"/>
      <c r="N787" s="150">
        <v>57</v>
      </c>
      <c r="O787" s="61" t="s">
        <v>129</v>
      </c>
      <c r="P787" s="61" t="s">
        <v>46</v>
      </c>
      <c r="Q787" s="61" t="s">
        <v>201</v>
      </c>
      <c r="R787" s="61" t="s">
        <v>686</v>
      </c>
      <c r="S787" s="218">
        <v>62</v>
      </c>
      <c r="T787" s="61" t="s">
        <v>41</v>
      </c>
      <c r="U787" s="61" t="s">
        <v>45</v>
      </c>
      <c r="V787" s="63" t="s">
        <v>33</v>
      </c>
      <c r="W787" s="171">
        <v>0.11</v>
      </c>
      <c r="X787" s="146">
        <v>0.1</v>
      </c>
      <c r="Y787" s="146"/>
      <c r="Z787" s="144" t="s">
        <v>48</v>
      </c>
      <c r="AA787" s="172" t="s">
        <v>67</v>
      </c>
      <c r="AB787" s="173"/>
      <c r="AC787" s="174"/>
    </row>
    <row r="788" spans="1:29" x14ac:dyDescent="0.25">
      <c r="A788" s="324">
        <v>45923</v>
      </c>
      <c r="B788" s="144">
        <v>6</v>
      </c>
      <c r="C788" s="145"/>
      <c r="D788" s="144" t="s">
        <v>129</v>
      </c>
      <c r="E788" s="146">
        <v>1.8</v>
      </c>
      <c r="F788" s="146"/>
      <c r="G788" s="147">
        <v>1</v>
      </c>
      <c r="H788" s="147">
        <v>4</v>
      </c>
      <c r="I788" s="147"/>
      <c r="J788" s="148">
        <v>3.94</v>
      </c>
      <c r="K788" s="145"/>
      <c r="L788" s="144" t="s">
        <v>226</v>
      </c>
      <c r="M788" s="149"/>
      <c r="N788" s="150">
        <v>62</v>
      </c>
      <c r="O788" s="61" t="s">
        <v>129</v>
      </c>
      <c r="P788" s="61" t="s">
        <v>46</v>
      </c>
      <c r="Q788" s="61" t="s">
        <v>201</v>
      </c>
      <c r="R788" s="61" t="s">
        <v>686</v>
      </c>
      <c r="S788" s="218">
        <v>62</v>
      </c>
      <c r="T788" s="61" t="s">
        <v>41</v>
      </c>
      <c r="U788" s="61" t="s">
        <v>43</v>
      </c>
      <c r="V788" s="63" t="s">
        <v>10</v>
      </c>
      <c r="W788" s="171">
        <v>0.1</v>
      </c>
      <c r="X788" s="146" t="s">
        <v>53</v>
      </c>
      <c r="Y788" s="144"/>
      <c r="Z788" s="144" t="s">
        <v>52</v>
      </c>
      <c r="AA788" s="172" t="s">
        <v>67</v>
      </c>
      <c r="AB788" s="173"/>
      <c r="AC788" s="174"/>
    </row>
    <row r="789" spans="1:29" x14ac:dyDescent="0.25">
      <c r="A789" s="324">
        <v>45923</v>
      </c>
      <c r="B789" s="144">
        <v>6</v>
      </c>
      <c r="C789" s="145"/>
      <c r="D789" s="144" t="s">
        <v>129</v>
      </c>
      <c r="E789" s="146">
        <v>1.8</v>
      </c>
      <c r="F789" s="146"/>
      <c r="G789" s="147">
        <v>1</v>
      </c>
      <c r="H789" s="147">
        <v>4</v>
      </c>
      <c r="I789" s="147"/>
      <c r="J789" s="148">
        <v>3.94</v>
      </c>
      <c r="K789" s="145"/>
      <c r="L789" s="144" t="s">
        <v>226</v>
      </c>
      <c r="M789" s="149"/>
      <c r="N789" s="150">
        <v>64</v>
      </c>
      <c r="O789" s="26" t="s">
        <v>226</v>
      </c>
      <c r="P789" s="26" t="s">
        <v>231</v>
      </c>
      <c r="Q789" s="26" t="s">
        <v>232</v>
      </c>
      <c r="R789" s="26" t="s">
        <v>684</v>
      </c>
      <c r="S789" s="213">
        <v>87</v>
      </c>
      <c r="T789" s="26" t="s">
        <v>41</v>
      </c>
      <c r="U789" s="26" t="s">
        <v>42</v>
      </c>
      <c r="V789" s="43" t="s">
        <v>7</v>
      </c>
      <c r="W789" s="171">
        <v>0.79</v>
      </c>
      <c r="X789" s="146">
        <v>0.94</v>
      </c>
      <c r="Y789" s="146" t="s">
        <v>353</v>
      </c>
      <c r="Z789" s="144" t="s">
        <v>8</v>
      </c>
      <c r="AA789" s="172" t="s">
        <v>58</v>
      </c>
      <c r="AB789" s="173"/>
      <c r="AC789" s="174"/>
    </row>
    <row r="790" spans="1:29" x14ac:dyDescent="0.25">
      <c r="A790" s="324">
        <v>45923</v>
      </c>
      <c r="B790" s="144">
        <v>6</v>
      </c>
      <c r="C790" s="145"/>
      <c r="D790" s="144" t="s">
        <v>129</v>
      </c>
      <c r="E790" s="146">
        <v>1.8</v>
      </c>
      <c r="F790" s="146"/>
      <c r="G790" s="147">
        <v>1</v>
      </c>
      <c r="H790" s="147">
        <v>4</v>
      </c>
      <c r="I790" s="147"/>
      <c r="J790" s="148">
        <v>3.94</v>
      </c>
      <c r="K790" s="145"/>
      <c r="L790" s="144" t="s">
        <v>226</v>
      </c>
      <c r="M790" s="149"/>
      <c r="N790" s="150">
        <v>66</v>
      </c>
      <c r="O790" s="26" t="s">
        <v>226</v>
      </c>
      <c r="P790" s="26" t="s">
        <v>231</v>
      </c>
      <c r="Q790" s="26" t="s">
        <v>232</v>
      </c>
      <c r="R790" s="26" t="s">
        <v>684</v>
      </c>
      <c r="S790" s="213">
        <v>87</v>
      </c>
      <c r="T790" s="26" t="s">
        <v>41</v>
      </c>
      <c r="U790" s="26" t="s">
        <v>42</v>
      </c>
      <c r="V790" s="43" t="s">
        <v>10</v>
      </c>
      <c r="W790" s="171">
        <v>0.83</v>
      </c>
      <c r="X790" s="146">
        <v>0.87</v>
      </c>
      <c r="Y790" s="146" t="s">
        <v>353</v>
      </c>
      <c r="Z790" s="144" t="s">
        <v>8</v>
      </c>
      <c r="AA790" s="172" t="s">
        <v>485</v>
      </c>
      <c r="AB790" s="173" t="s">
        <v>56</v>
      </c>
      <c r="AC790" s="174" t="s">
        <v>235</v>
      </c>
    </row>
    <row r="791" spans="1:29" x14ac:dyDescent="0.25">
      <c r="A791" s="324">
        <v>45923</v>
      </c>
      <c r="B791" s="144">
        <v>6</v>
      </c>
      <c r="C791" s="145"/>
      <c r="D791" s="144" t="s">
        <v>129</v>
      </c>
      <c r="E791" s="146">
        <v>1.8</v>
      </c>
      <c r="F791" s="146"/>
      <c r="G791" s="147">
        <v>1</v>
      </c>
      <c r="H791" s="147">
        <v>4</v>
      </c>
      <c r="I791" s="147"/>
      <c r="J791" s="148">
        <v>3.94</v>
      </c>
      <c r="K791" s="145"/>
      <c r="L791" s="144" t="s">
        <v>226</v>
      </c>
      <c r="M791" s="149"/>
      <c r="N791" s="150">
        <v>79</v>
      </c>
      <c r="O791" s="26" t="s">
        <v>226</v>
      </c>
      <c r="P791" s="26" t="s">
        <v>486</v>
      </c>
      <c r="Q791" s="26" t="s">
        <v>487</v>
      </c>
      <c r="R791" s="26" t="s">
        <v>696</v>
      </c>
      <c r="S791" s="213">
        <v>68</v>
      </c>
      <c r="T791" s="26" t="s">
        <v>41</v>
      </c>
      <c r="U791" s="26" t="s">
        <v>43</v>
      </c>
      <c r="V791" s="43" t="s">
        <v>10</v>
      </c>
      <c r="W791" s="171">
        <v>0.25</v>
      </c>
      <c r="X791" s="146" t="s">
        <v>53</v>
      </c>
      <c r="Y791" s="146" t="s">
        <v>353</v>
      </c>
      <c r="Z791" s="144" t="s">
        <v>13</v>
      </c>
      <c r="AA791" s="172" t="s">
        <v>485</v>
      </c>
      <c r="AB791" s="173"/>
      <c r="AC791" s="174"/>
    </row>
    <row r="792" spans="1:29" x14ac:dyDescent="0.25">
      <c r="A792" s="324">
        <v>45923</v>
      </c>
      <c r="B792" s="144">
        <v>6</v>
      </c>
      <c r="C792" s="145"/>
      <c r="D792" s="144" t="s">
        <v>129</v>
      </c>
      <c r="E792" s="146">
        <v>1.8</v>
      </c>
      <c r="F792" s="146"/>
      <c r="G792" s="147">
        <v>1</v>
      </c>
      <c r="H792" s="147">
        <v>4</v>
      </c>
      <c r="I792" s="147"/>
      <c r="J792" s="148">
        <v>3.94</v>
      </c>
      <c r="K792" s="145"/>
      <c r="L792" s="144" t="s">
        <v>226</v>
      </c>
      <c r="M792" s="149"/>
      <c r="N792" s="150" t="s">
        <v>35</v>
      </c>
      <c r="O792" s="26" t="s">
        <v>226</v>
      </c>
      <c r="P792" s="26" t="s">
        <v>289</v>
      </c>
      <c r="Q792" s="26" t="s">
        <v>54</v>
      </c>
      <c r="R792" s="26" t="s">
        <v>685</v>
      </c>
      <c r="S792" s="213">
        <v>84</v>
      </c>
      <c r="T792" s="26" t="s">
        <v>41</v>
      </c>
      <c r="U792" s="26" t="s">
        <v>42</v>
      </c>
      <c r="V792" s="43" t="s">
        <v>10</v>
      </c>
      <c r="W792" s="171">
        <v>0.34</v>
      </c>
      <c r="X792" s="146">
        <v>0.53</v>
      </c>
      <c r="Y792" s="146" t="s">
        <v>353</v>
      </c>
      <c r="Z792" s="144" t="s">
        <v>48</v>
      </c>
      <c r="AA792" s="172" t="s">
        <v>485</v>
      </c>
      <c r="AB792" s="173"/>
      <c r="AC792" s="174"/>
    </row>
    <row r="793" spans="1:29" ht="15.75" thickBot="1" x14ac:dyDescent="0.3">
      <c r="A793" s="325">
        <v>45923</v>
      </c>
      <c r="B793" s="152">
        <v>6</v>
      </c>
      <c r="C793" s="153"/>
      <c r="D793" s="152" t="s">
        <v>129</v>
      </c>
      <c r="E793" s="154">
        <v>1.8</v>
      </c>
      <c r="F793" s="154"/>
      <c r="G793" s="155">
        <v>1</v>
      </c>
      <c r="H793" s="155">
        <v>4</v>
      </c>
      <c r="I793" s="155"/>
      <c r="J793" s="156">
        <v>3.94</v>
      </c>
      <c r="K793" s="153"/>
      <c r="L793" s="152" t="s">
        <v>226</v>
      </c>
      <c r="M793" s="157"/>
      <c r="N793" s="158" t="s">
        <v>36</v>
      </c>
      <c r="O793" s="74" t="s">
        <v>226</v>
      </c>
      <c r="P793" s="74" t="s">
        <v>53</v>
      </c>
      <c r="Q793" s="74" t="s">
        <v>286</v>
      </c>
      <c r="R793" s="74" t="s">
        <v>696</v>
      </c>
      <c r="S793" s="221">
        <v>64</v>
      </c>
      <c r="T793" s="74" t="s">
        <v>41</v>
      </c>
      <c r="U793" s="74" t="s">
        <v>42</v>
      </c>
      <c r="V793" s="76" t="s">
        <v>10</v>
      </c>
      <c r="W793" s="175">
        <v>0.1</v>
      </c>
      <c r="X793" s="154" t="s">
        <v>53</v>
      </c>
      <c r="Y793" s="154"/>
      <c r="Z793" s="152" t="s">
        <v>13</v>
      </c>
      <c r="AA793" s="176" t="s">
        <v>485</v>
      </c>
      <c r="AB793" s="177"/>
      <c r="AC793" s="178"/>
    </row>
    <row r="794" spans="1:29" ht="15.75" thickBot="1" x14ac:dyDescent="0.3">
      <c r="A794" s="326">
        <v>45923</v>
      </c>
      <c r="B794" s="207">
        <v>6</v>
      </c>
      <c r="C794" s="208"/>
      <c r="D794" s="207" t="s">
        <v>129</v>
      </c>
      <c r="E794" s="209">
        <v>1.8</v>
      </c>
      <c r="F794" s="209"/>
      <c r="G794" s="210">
        <v>1</v>
      </c>
      <c r="H794" s="210">
        <v>4</v>
      </c>
      <c r="I794" s="210"/>
      <c r="J794" s="211">
        <v>3.94</v>
      </c>
      <c r="K794" s="208"/>
      <c r="L794" s="207" t="s">
        <v>226</v>
      </c>
      <c r="M794" s="235"/>
      <c r="N794" s="198"/>
      <c r="O794" s="199" t="s">
        <v>129</v>
      </c>
      <c r="P794" s="199" t="s">
        <v>731</v>
      </c>
      <c r="Q794" s="199" t="s">
        <v>732</v>
      </c>
      <c r="R794" s="199" t="s">
        <v>707</v>
      </c>
      <c r="S794" s="200">
        <v>75</v>
      </c>
      <c r="T794" s="199"/>
      <c r="U794" s="199"/>
      <c r="V794" s="201"/>
      <c r="W794" s="202"/>
      <c r="X794" s="203"/>
      <c r="Y794" s="203">
        <v>4</v>
      </c>
      <c r="Z794" s="199"/>
      <c r="AA794" s="204"/>
      <c r="AB794" s="205"/>
      <c r="AC794" s="201"/>
    </row>
    <row r="795" spans="1:29" ht="15.75" thickBot="1" x14ac:dyDescent="0.3">
      <c r="A795" s="326">
        <v>45923</v>
      </c>
      <c r="B795" s="207">
        <v>6</v>
      </c>
      <c r="C795" s="208"/>
      <c r="D795" s="207" t="s">
        <v>129</v>
      </c>
      <c r="E795" s="209">
        <v>1.8</v>
      </c>
      <c r="F795" s="209"/>
      <c r="G795" s="210">
        <v>1</v>
      </c>
      <c r="H795" s="210">
        <v>4</v>
      </c>
      <c r="I795" s="210"/>
      <c r="J795" s="211">
        <v>3.94</v>
      </c>
      <c r="K795" s="208"/>
      <c r="L795" s="207" t="s">
        <v>226</v>
      </c>
      <c r="M795" s="235"/>
      <c r="N795" s="198"/>
      <c r="O795" s="199" t="s">
        <v>226</v>
      </c>
      <c r="P795" s="199" t="s">
        <v>726</v>
      </c>
      <c r="Q795" s="199" t="s">
        <v>727</v>
      </c>
      <c r="R795" s="199" t="s">
        <v>707</v>
      </c>
      <c r="S795" s="200">
        <v>68</v>
      </c>
      <c r="T795" s="199"/>
      <c r="U795" s="199"/>
      <c r="V795" s="201"/>
      <c r="W795" s="202"/>
      <c r="X795" s="203"/>
      <c r="Y795" s="203">
        <v>1</v>
      </c>
      <c r="Z795" s="199"/>
      <c r="AA795" s="204"/>
      <c r="AB795" s="205"/>
      <c r="AC795" s="201"/>
    </row>
    <row r="796" spans="1:29" x14ac:dyDescent="0.25">
      <c r="A796" s="329">
        <v>45884</v>
      </c>
      <c r="B796" s="5">
        <v>1</v>
      </c>
      <c r="C796" s="121" t="s">
        <v>692</v>
      </c>
      <c r="D796" s="5" t="s">
        <v>69</v>
      </c>
      <c r="E796" s="6">
        <v>0.56000000000000005</v>
      </c>
      <c r="G796" s="7">
        <v>1</v>
      </c>
      <c r="H796" s="7">
        <v>3</v>
      </c>
      <c r="J796" s="8">
        <v>3.43</v>
      </c>
      <c r="K796" s="121" t="s">
        <v>693</v>
      </c>
      <c r="L796" s="5" t="s">
        <v>70</v>
      </c>
      <c r="M796" s="44" t="s">
        <v>71</v>
      </c>
      <c r="N796" s="56">
        <v>17</v>
      </c>
      <c r="O796" s="26" t="s">
        <v>70</v>
      </c>
      <c r="P796" s="26" t="s">
        <v>72</v>
      </c>
      <c r="Q796" s="26" t="s">
        <v>73</v>
      </c>
      <c r="R796" s="26" t="s">
        <v>684</v>
      </c>
      <c r="S796" s="213">
        <v>88</v>
      </c>
      <c r="T796" s="26" t="s">
        <v>41</v>
      </c>
      <c r="U796" s="26" t="s">
        <v>43</v>
      </c>
      <c r="V796" s="43" t="s">
        <v>10</v>
      </c>
      <c r="W796" s="51">
        <v>0.15</v>
      </c>
      <c r="X796" s="6" t="s">
        <v>53</v>
      </c>
      <c r="Z796" s="5" t="s">
        <v>13</v>
      </c>
      <c r="AA796" s="112" t="s">
        <v>28</v>
      </c>
      <c r="AB796" s="118"/>
      <c r="AC796" s="59"/>
    </row>
    <row r="797" spans="1:29" x14ac:dyDescent="0.25">
      <c r="A797" s="329">
        <v>45884</v>
      </c>
      <c r="B797" s="5">
        <v>1</v>
      </c>
      <c r="D797" s="5" t="s">
        <v>69</v>
      </c>
      <c r="E797" s="6">
        <v>0.56000000000000005</v>
      </c>
      <c r="G797" s="7">
        <v>1</v>
      </c>
      <c r="H797" s="7">
        <v>3</v>
      </c>
      <c r="J797" s="8">
        <v>3.43</v>
      </c>
      <c r="L797" s="5" t="s">
        <v>70</v>
      </c>
      <c r="M797" s="44" t="s">
        <v>71</v>
      </c>
      <c r="N797" s="56">
        <v>18</v>
      </c>
      <c r="O797" s="26" t="s">
        <v>70</v>
      </c>
      <c r="P797" s="73" t="s">
        <v>72</v>
      </c>
      <c r="Q797" s="73" t="s">
        <v>73</v>
      </c>
      <c r="R797" s="73" t="s">
        <v>684</v>
      </c>
      <c r="S797" s="214">
        <v>88</v>
      </c>
      <c r="T797" s="26" t="s">
        <v>47</v>
      </c>
      <c r="U797" s="26" t="s">
        <v>42</v>
      </c>
      <c r="V797" s="43" t="s">
        <v>540</v>
      </c>
      <c r="W797" s="51">
        <v>0.48</v>
      </c>
      <c r="X797" s="6">
        <v>0.73</v>
      </c>
      <c r="Y797" s="6" t="s">
        <v>353</v>
      </c>
      <c r="Z797" s="5" t="s">
        <v>8</v>
      </c>
      <c r="AA797" s="112" t="s">
        <v>9</v>
      </c>
    </row>
    <row r="798" spans="1:29" x14ac:dyDescent="0.25">
      <c r="A798" s="329">
        <v>45884</v>
      </c>
      <c r="B798" s="5">
        <v>1</v>
      </c>
      <c r="D798" s="5" t="s">
        <v>69</v>
      </c>
      <c r="E798" s="6">
        <v>0.56000000000000005</v>
      </c>
      <c r="G798" s="7">
        <v>1</v>
      </c>
      <c r="H798" s="7">
        <v>3</v>
      </c>
      <c r="J798" s="8">
        <v>3.43</v>
      </c>
      <c r="L798" s="5" t="s">
        <v>70</v>
      </c>
      <c r="M798" s="44" t="s">
        <v>71</v>
      </c>
      <c r="N798" s="56">
        <v>20</v>
      </c>
      <c r="O798" s="26" t="s">
        <v>70</v>
      </c>
      <c r="P798" s="73" t="s">
        <v>74</v>
      </c>
      <c r="Q798" s="73" t="s">
        <v>75</v>
      </c>
      <c r="R798" s="73" t="s">
        <v>685</v>
      </c>
      <c r="S798" s="214">
        <v>70</v>
      </c>
      <c r="T798" s="26" t="s">
        <v>47</v>
      </c>
      <c r="U798" s="26" t="s">
        <v>43</v>
      </c>
      <c r="V798" s="43" t="s">
        <v>10</v>
      </c>
      <c r="W798" s="51">
        <v>0.95</v>
      </c>
      <c r="X798" s="6">
        <v>0.99</v>
      </c>
      <c r="Y798" s="6" t="s">
        <v>353</v>
      </c>
      <c r="Z798" s="5" t="s">
        <v>8</v>
      </c>
      <c r="AA798" s="112" t="s">
        <v>11</v>
      </c>
      <c r="AB798" s="108" t="s">
        <v>458</v>
      </c>
      <c r="AC798" s="57" t="s">
        <v>73</v>
      </c>
    </row>
    <row r="799" spans="1:29" x14ac:dyDescent="0.25">
      <c r="A799" s="329">
        <v>45884</v>
      </c>
      <c r="B799" s="5">
        <v>1</v>
      </c>
      <c r="D799" s="5" t="s">
        <v>69</v>
      </c>
      <c r="E799" s="6">
        <v>0.56000000000000005</v>
      </c>
      <c r="G799" s="7">
        <v>1</v>
      </c>
      <c r="H799" s="7">
        <v>3</v>
      </c>
      <c r="J799" s="8">
        <v>3.43</v>
      </c>
      <c r="L799" s="5" t="s">
        <v>70</v>
      </c>
      <c r="M799" s="44" t="s">
        <v>71</v>
      </c>
      <c r="N799" s="56">
        <v>24</v>
      </c>
      <c r="O799" s="61" t="s">
        <v>69</v>
      </c>
      <c r="P799" s="62" t="s">
        <v>85</v>
      </c>
      <c r="Q799" s="62" t="s">
        <v>86</v>
      </c>
      <c r="R799" s="62" t="s">
        <v>690</v>
      </c>
      <c r="S799" s="215">
        <v>66</v>
      </c>
      <c r="T799" s="61" t="s">
        <v>354</v>
      </c>
      <c r="U799" s="61" t="s">
        <v>42</v>
      </c>
      <c r="V799" s="63" t="s">
        <v>10</v>
      </c>
      <c r="W799" s="51">
        <v>0.03</v>
      </c>
      <c r="X799" s="6" t="s">
        <v>53</v>
      </c>
      <c r="Z799" s="5" t="s">
        <v>16</v>
      </c>
      <c r="AA799" s="112" t="s">
        <v>14</v>
      </c>
    </row>
    <row r="800" spans="1:29" x14ac:dyDescent="0.25">
      <c r="A800" s="329">
        <v>45884</v>
      </c>
      <c r="B800" s="5">
        <v>1</v>
      </c>
      <c r="D800" s="5" t="s">
        <v>69</v>
      </c>
      <c r="E800" s="6">
        <v>0.56000000000000005</v>
      </c>
      <c r="G800" s="7">
        <v>1</v>
      </c>
      <c r="H800" s="7">
        <v>3</v>
      </c>
      <c r="J800" s="8">
        <v>3.43</v>
      </c>
      <c r="L800" s="5" t="s">
        <v>70</v>
      </c>
      <c r="M800" s="44" t="s">
        <v>71</v>
      </c>
      <c r="N800" s="56">
        <v>45</v>
      </c>
      <c r="O800" s="26" t="s">
        <v>70</v>
      </c>
      <c r="P800" s="73" t="s">
        <v>76</v>
      </c>
      <c r="Q800" s="73" t="s">
        <v>77</v>
      </c>
      <c r="R800" s="73" t="s">
        <v>686</v>
      </c>
      <c r="S800" s="214">
        <v>78</v>
      </c>
      <c r="T800" s="26" t="s">
        <v>41</v>
      </c>
      <c r="U800" s="26" t="s">
        <v>43</v>
      </c>
      <c r="V800" s="43" t="s">
        <v>7</v>
      </c>
      <c r="W800" s="51">
        <v>0.79</v>
      </c>
      <c r="X800" s="6">
        <v>0.81</v>
      </c>
      <c r="Y800" s="6" t="s">
        <v>353</v>
      </c>
      <c r="Z800" s="5" t="s">
        <v>8</v>
      </c>
      <c r="AA800" s="112" t="s">
        <v>14</v>
      </c>
    </row>
    <row r="801" spans="1:29" x14ac:dyDescent="0.25">
      <c r="A801" s="329">
        <v>45884</v>
      </c>
      <c r="B801" s="5">
        <v>1</v>
      </c>
      <c r="D801" s="5" t="s">
        <v>69</v>
      </c>
      <c r="E801" s="6">
        <v>0.56000000000000005</v>
      </c>
      <c r="G801" s="7">
        <v>1</v>
      </c>
      <c r="H801" s="7">
        <v>3</v>
      </c>
      <c r="J801" s="8">
        <v>3.43</v>
      </c>
      <c r="L801" s="5" t="s">
        <v>70</v>
      </c>
      <c r="M801" s="44" t="s">
        <v>71</v>
      </c>
      <c r="N801" s="56" t="s">
        <v>63</v>
      </c>
      <c r="O801" s="26" t="s">
        <v>70</v>
      </c>
      <c r="P801" s="73" t="s">
        <v>78</v>
      </c>
      <c r="Q801" s="73" t="s">
        <v>79</v>
      </c>
      <c r="R801" s="73" t="s">
        <v>687</v>
      </c>
      <c r="S801" s="214">
        <v>72</v>
      </c>
      <c r="T801" s="26" t="s">
        <v>41</v>
      </c>
      <c r="U801" s="26" t="s">
        <v>42</v>
      </c>
      <c r="V801" s="43" t="s">
        <v>10</v>
      </c>
      <c r="W801" s="51">
        <v>0.53</v>
      </c>
      <c r="X801" s="6">
        <v>0.67</v>
      </c>
      <c r="Y801" s="6" t="s">
        <v>353</v>
      </c>
      <c r="Z801" s="5" t="s">
        <v>48</v>
      </c>
      <c r="AA801" s="112" t="s">
        <v>14</v>
      </c>
    </row>
    <row r="802" spans="1:29" x14ac:dyDescent="0.25">
      <c r="A802" s="329">
        <v>45884</v>
      </c>
      <c r="B802" s="5">
        <v>1</v>
      </c>
      <c r="D802" s="5" t="s">
        <v>69</v>
      </c>
      <c r="E802" s="6">
        <v>0.56000000000000005</v>
      </c>
      <c r="G802" s="7">
        <v>1</v>
      </c>
      <c r="H802" s="7">
        <v>3</v>
      </c>
      <c r="J802" s="8">
        <v>3.43</v>
      </c>
      <c r="L802" s="5" t="s">
        <v>70</v>
      </c>
      <c r="M802" s="44" t="s">
        <v>71</v>
      </c>
      <c r="N802" s="56">
        <v>56</v>
      </c>
      <c r="O802" s="26" t="s">
        <v>70</v>
      </c>
      <c r="P802" s="73" t="s">
        <v>80</v>
      </c>
      <c r="Q802" s="73" t="s">
        <v>81</v>
      </c>
      <c r="R802" s="73" t="s">
        <v>688</v>
      </c>
      <c r="S802" s="214">
        <v>70</v>
      </c>
      <c r="T802" s="26" t="s">
        <v>354</v>
      </c>
      <c r="U802" s="26" t="s">
        <v>43</v>
      </c>
      <c r="V802" s="43" t="s">
        <v>10</v>
      </c>
      <c r="W802" s="51">
        <v>0.03</v>
      </c>
      <c r="X802" s="6" t="s">
        <v>53</v>
      </c>
      <c r="Z802" s="5" t="s">
        <v>55</v>
      </c>
      <c r="AA802" s="112" t="s">
        <v>14</v>
      </c>
    </row>
    <row r="803" spans="1:29" x14ac:dyDescent="0.25">
      <c r="A803" s="329">
        <v>45884</v>
      </c>
      <c r="B803" s="5">
        <v>1</v>
      </c>
      <c r="D803" s="5" t="s">
        <v>69</v>
      </c>
      <c r="E803" s="6">
        <v>0.56000000000000005</v>
      </c>
      <c r="G803" s="7">
        <v>1</v>
      </c>
      <c r="H803" s="7">
        <v>3</v>
      </c>
      <c r="J803" s="8">
        <v>3.43</v>
      </c>
      <c r="L803" s="5" t="s">
        <v>70</v>
      </c>
      <c r="M803" s="44" t="s">
        <v>71</v>
      </c>
      <c r="N803" s="56">
        <v>57</v>
      </c>
      <c r="O803" s="61" t="s">
        <v>69</v>
      </c>
      <c r="P803" s="62" t="s">
        <v>87</v>
      </c>
      <c r="Q803" s="62" t="s">
        <v>88</v>
      </c>
      <c r="R803" s="62" t="s">
        <v>691</v>
      </c>
      <c r="S803" s="215">
        <v>78</v>
      </c>
      <c r="T803" s="61" t="s">
        <v>41</v>
      </c>
      <c r="U803" s="61" t="s">
        <v>42</v>
      </c>
      <c r="V803" s="63" t="s">
        <v>18</v>
      </c>
      <c r="W803" s="51">
        <v>0.25</v>
      </c>
      <c r="X803" s="6">
        <v>0.68</v>
      </c>
      <c r="Y803" s="6" t="s">
        <v>353</v>
      </c>
      <c r="Z803" s="5" t="s">
        <v>8</v>
      </c>
      <c r="AA803" s="112" t="s">
        <v>58</v>
      </c>
      <c r="AB803" s="108" t="s">
        <v>649</v>
      </c>
      <c r="AC803" s="57" t="s">
        <v>650</v>
      </c>
    </row>
    <row r="804" spans="1:29" x14ac:dyDescent="0.25">
      <c r="A804" s="329">
        <v>45884</v>
      </c>
      <c r="B804" s="5">
        <v>1</v>
      </c>
      <c r="D804" s="5" t="s">
        <v>69</v>
      </c>
      <c r="E804" s="6">
        <v>0.56000000000000005</v>
      </c>
      <c r="G804" s="7">
        <v>1</v>
      </c>
      <c r="H804" s="7">
        <v>3</v>
      </c>
      <c r="J804" s="8">
        <v>3.43</v>
      </c>
      <c r="L804" s="5" t="s">
        <v>70</v>
      </c>
      <c r="M804" s="44" t="s">
        <v>71</v>
      </c>
      <c r="N804" s="56">
        <v>73</v>
      </c>
      <c r="O804" s="61" t="s">
        <v>69</v>
      </c>
      <c r="P804" s="62" t="s">
        <v>89</v>
      </c>
      <c r="Q804" s="62" t="s">
        <v>90</v>
      </c>
      <c r="R804" s="62" t="s">
        <v>712</v>
      </c>
      <c r="S804" s="215">
        <v>59</v>
      </c>
      <c r="T804" s="61" t="s">
        <v>47</v>
      </c>
      <c r="U804" s="61" t="s">
        <v>45</v>
      </c>
      <c r="V804" s="63" t="s">
        <v>20</v>
      </c>
      <c r="W804" s="51">
        <v>0.12</v>
      </c>
      <c r="X804" s="6" t="s">
        <v>53</v>
      </c>
      <c r="Z804" s="5" t="s">
        <v>22</v>
      </c>
      <c r="AA804" s="112" t="s">
        <v>58</v>
      </c>
    </row>
    <row r="805" spans="1:29" x14ac:dyDescent="0.25">
      <c r="A805" s="329">
        <v>45884</v>
      </c>
      <c r="B805" s="5">
        <v>1</v>
      </c>
      <c r="D805" s="5" t="s">
        <v>69</v>
      </c>
      <c r="E805" s="6">
        <v>0.56000000000000005</v>
      </c>
      <c r="G805" s="7">
        <v>1</v>
      </c>
      <c r="H805" s="7">
        <v>3</v>
      </c>
      <c r="J805" s="8">
        <v>3.43</v>
      </c>
      <c r="L805" s="5" t="s">
        <v>70</v>
      </c>
      <c r="M805" s="44" t="s">
        <v>71</v>
      </c>
      <c r="N805" s="56" t="s">
        <v>82</v>
      </c>
      <c r="O805" s="26" t="s">
        <v>70</v>
      </c>
      <c r="P805" s="73" t="s">
        <v>83</v>
      </c>
      <c r="Q805" s="73" t="s">
        <v>84</v>
      </c>
      <c r="R805" s="73" t="s">
        <v>713</v>
      </c>
      <c r="S805" s="214">
        <v>65</v>
      </c>
      <c r="T805" s="26" t="s">
        <v>47</v>
      </c>
      <c r="U805" s="26" t="s">
        <v>43</v>
      </c>
      <c r="V805" s="43" t="s">
        <v>33</v>
      </c>
      <c r="W805" s="51">
        <v>0.11</v>
      </c>
      <c r="X805" s="6" t="s">
        <v>53</v>
      </c>
      <c r="Z805" s="5" t="s">
        <v>13</v>
      </c>
      <c r="AA805" s="112" t="s">
        <v>14</v>
      </c>
    </row>
    <row r="806" spans="1:29" ht="15.75" thickBot="1" x14ac:dyDescent="0.3">
      <c r="A806" s="330">
        <v>45884</v>
      </c>
      <c r="B806" s="9">
        <v>1</v>
      </c>
      <c r="C806" s="122"/>
      <c r="D806" s="9" t="s">
        <v>69</v>
      </c>
      <c r="E806" s="10">
        <v>0.56000000000000005</v>
      </c>
      <c r="F806" s="10"/>
      <c r="G806" s="11">
        <v>1</v>
      </c>
      <c r="H806" s="11">
        <v>3</v>
      </c>
      <c r="I806" s="11"/>
      <c r="J806" s="12">
        <v>3.43</v>
      </c>
      <c r="K806" s="122"/>
      <c r="L806" s="9" t="s">
        <v>70</v>
      </c>
      <c r="M806" s="45" t="s">
        <v>71</v>
      </c>
      <c r="N806" s="97" t="s">
        <v>82</v>
      </c>
      <c r="O806" s="74" t="s">
        <v>70</v>
      </c>
      <c r="P806" s="75" t="s">
        <v>78</v>
      </c>
      <c r="Q806" s="75" t="s">
        <v>79</v>
      </c>
      <c r="R806" s="75" t="s">
        <v>687</v>
      </c>
      <c r="S806" s="216">
        <v>72</v>
      </c>
      <c r="T806" s="74" t="s">
        <v>41</v>
      </c>
      <c r="U806" s="74" t="s">
        <v>42</v>
      </c>
      <c r="V806" s="76" t="s">
        <v>33</v>
      </c>
      <c r="W806" s="52">
        <v>0.17</v>
      </c>
      <c r="X806" s="10" t="s">
        <v>53</v>
      </c>
      <c r="Y806" s="10"/>
      <c r="Z806" s="9" t="s">
        <v>48</v>
      </c>
      <c r="AA806" s="113" t="s">
        <v>14</v>
      </c>
      <c r="AB806" s="109"/>
      <c r="AC806" s="58"/>
    </row>
    <row r="807" spans="1:29" ht="15.75" thickBot="1" x14ac:dyDescent="0.3">
      <c r="A807" s="326">
        <v>45884</v>
      </c>
      <c r="B807" s="207">
        <v>1</v>
      </c>
      <c r="C807" s="208"/>
      <c r="D807" s="207" t="s">
        <v>69</v>
      </c>
      <c r="E807" s="209">
        <v>0.56000000000000005</v>
      </c>
      <c r="F807" s="209"/>
      <c r="G807" s="210">
        <v>1</v>
      </c>
      <c r="H807" s="210">
        <v>3</v>
      </c>
      <c r="I807" s="210"/>
      <c r="J807" s="211">
        <v>3.43</v>
      </c>
      <c r="K807" s="208"/>
      <c r="L807" s="207" t="s">
        <v>70</v>
      </c>
      <c r="M807" s="197"/>
      <c r="N807" s="198"/>
      <c r="O807" s="199" t="s">
        <v>69</v>
      </c>
      <c r="P807" s="199" t="s">
        <v>478</v>
      </c>
      <c r="Q807" s="199" t="s">
        <v>479</v>
      </c>
      <c r="R807" s="199" t="s">
        <v>707</v>
      </c>
      <c r="S807" s="200">
        <v>41</v>
      </c>
      <c r="T807" s="199"/>
      <c r="U807" s="199"/>
      <c r="V807" s="201"/>
      <c r="W807" s="202"/>
      <c r="X807" s="203"/>
      <c r="Y807" s="203">
        <v>3</v>
      </c>
      <c r="Z807" s="199"/>
      <c r="AA807" s="204"/>
      <c r="AB807" s="205"/>
      <c r="AC807" s="201"/>
    </row>
    <row r="808" spans="1:29" ht="15.75" thickBot="1" x14ac:dyDescent="0.3">
      <c r="A808" s="326">
        <v>45884</v>
      </c>
      <c r="B808" s="207">
        <v>1</v>
      </c>
      <c r="C808" s="208"/>
      <c r="D808" s="207" t="s">
        <v>69</v>
      </c>
      <c r="E808" s="209">
        <v>0.56000000000000005</v>
      </c>
      <c r="F808" s="209"/>
      <c r="G808" s="210">
        <v>1</v>
      </c>
      <c r="H808" s="210">
        <v>3</v>
      </c>
      <c r="I808" s="210"/>
      <c r="J808" s="211">
        <v>3.43</v>
      </c>
      <c r="K808" s="208"/>
      <c r="L808" s="207" t="s">
        <v>70</v>
      </c>
      <c r="M808" s="197"/>
      <c r="N808" s="198"/>
      <c r="O808" s="199" t="s">
        <v>70</v>
      </c>
      <c r="P808" s="199" t="s">
        <v>714</v>
      </c>
      <c r="Q808" s="199" t="s">
        <v>715</v>
      </c>
      <c r="R808" s="199" t="s">
        <v>707</v>
      </c>
      <c r="S808" s="200">
        <v>68</v>
      </c>
      <c r="T808" s="199"/>
      <c r="U808" s="199"/>
      <c r="V808" s="201"/>
      <c r="W808" s="202"/>
      <c r="X808" s="203"/>
      <c r="Y808" s="203">
        <v>1</v>
      </c>
      <c r="Z808" s="199"/>
      <c r="AA808" s="204"/>
      <c r="AB808" s="205"/>
      <c r="AC808" s="201"/>
    </row>
    <row r="809" spans="1:29" x14ac:dyDescent="0.25">
      <c r="A809" s="328">
        <v>45894</v>
      </c>
      <c r="B809" s="17">
        <v>2</v>
      </c>
      <c r="C809" s="123" t="s">
        <v>693</v>
      </c>
      <c r="D809" s="17" t="s">
        <v>170</v>
      </c>
      <c r="E809" s="18">
        <v>1.51</v>
      </c>
      <c r="F809" s="18"/>
      <c r="G809" s="19">
        <v>1</v>
      </c>
      <c r="H809" s="19">
        <v>0</v>
      </c>
      <c r="I809" s="19"/>
      <c r="J809" s="20">
        <v>0.28999999999999998</v>
      </c>
      <c r="K809" s="123" t="s">
        <v>704</v>
      </c>
      <c r="L809" s="17" t="s">
        <v>70</v>
      </c>
      <c r="M809" s="46"/>
      <c r="N809" s="96">
        <v>3</v>
      </c>
      <c r="O809" s="77" t="s">
        <v>70</v>
      </c>
      <c r="P809" s="77" t="s">
        <v>72</v>
      </c>
      <c r="Q809" s="77" t="s">
        <v>73</v>
      </c>
      <c r="R809" s="77" t="s">
        <v>684</v>
      </c>
      <c r="S809" s="220">
        <v>62</v>
      </c>
      <c r="T809" s="77" t="s">
        <v>47</v>
      </c>
      <c r="U809" s="77" t="s">
        <v>42</v>
      </c>
      <c r="V809" s="78" t="s">
        <v>540</v>
      </c>
      <c r="W809" s="53">
        <v>0.11</v>
      </c>
      <c r="X809" s="18">
        <v>0.17</v>
      </c>
      <c r="Y809" s="18" t="s">
        <v>353</v>
      </c>
      <c r="Z809" s="17" t="s">
        <v>48</v>
      </c>
      <c r="AA809" s="114" t="s">
        <v>28</v>
      </c>
      <c r="AB809" s="110"/>
      <c r="AC809" s="60"/>
    </row>
    <row r="810" spans="1:29" x14ac:dyDescent="0.25">
      <c r="A810" s="329">
        <v>45894</v>
      </c>
      <c r="B810" s="5">
        <v>2</v>
      </c>
      <c r="D810" s="5" t="s">
        <v>170</v>
      </c>
      <c r="E810" s="6">
        <v>1.51</v>
      </c>
      <c r="G810" s="7">
        <v>1</v>
      </c>
      <c r="H810" s="7">
        <v>0</v>
      </c>
      <c r="J810" s="8">
        <v>0.28999999999999998</v>
      </c>
      <c r="L810" s="5" t="s">
        <v>70</v>
      </c>
      <c r="N810" s="56">
        <v>27</v>
      </c>
      <c r="O810" s="61" t="s">
        <v>170</v>
      </c>
      <c r="P810" s="61" t="s">
        <v>174</v>
      </c>
      <c r="Q810" s="61" t="s">
        <v>175</v>
      </c>
      <c r="R810" s="61" t="s">
        <v>685</v>
      </c>
      <c r="S810" s="218">
        <v>74</v>
      </c>
      <c r="T810" s="61" t="s">
        <v>354</v>
      </c>
      <c r="U810" s="61" t="s">
        <v>42</v>
      </c>
      <c r="V810" s="63" t="s">
        <v>29</v>
      </c>
      <c r="W810" s="51">
        <v>0.03</v>
      </c>
      <c r="X810" s="6">
        <v>0.31</v>
      </c>
      <c r="Z810" s="5" t="s">
        <v>48</v>
      </c>
      <c r="AA810" s="112" t="s">
        <v>28</v>
      </c>
    </row>
    <row r="811" spans="1:29" x14ac:dyDescent="0.25">
      <c r="A811" s="329">
        <v>45894</v>
      </c>
      <c r="B811" s="5">
        <v>2</v>
      </c>
      <c r="D811" s="5" t="s">
        <v>170</v>
      </c>
      <c r="E811" s="6">
        <v>1.51</v>
      </c>
      <c r="G811" s="7">
        <v>1</v>
      </c>
      <c r="H811" s="7">
        <v>0</v>
      </c>
      <c r="J811" s="8">
        <v>0.28999999999999998</v>
      </c>
      <c r="L811" s="5" t="s">
        <v>70</v>
      </c>
      <c r="N811" s="56">
        <v>53</v>
      </c>
      <c r="O811" s="61" t="s">
        <v>170</v>
      </c>
      <c r="P811" s="61" t="s">
        <v>295</v>
      </c>
      <c r="Q811" s="61" t="s">
        <v>175</v>
      </c>
      <c r="R811" s="61" t="s">
        <v>686</v>
      </c>
      <c r="S811" s="218">
        <v>64</v>
      </c>
      <c r="T811" s="61" t="s">
        <v>41</v>
      </c>
      <c r="U811" s="61" t="s">
        <v>42</v>
      </c>
      <c r="V811" s="63" t="s">
        <v>10</v>
      </c>
      <c r="W811" s="51">
        <v>0.32</v>
      </c>
      <c r="X811" s="6" t="s">
        <v>53</v>
      </c>
      <c r="Y811" s="6" t="s">
        <v>353</v>
      </c>
      <c r="Z811" s="5" t="s">
        <v>13</v>
      </c>
      <c r="AA811" s="112" t="s">
        <v>28</v>
      </c>
    </row>
    <row r="812" spans="1:29" x14ac:dyDescent="0.25">
      <c r="A812" s="329">
        <v>45894</v>
      </c>
      <c r="B812" s="5">
        <v>2</v>
      </c>
      <c r="D812" s="5" t="s">
        <v>170</v>
      </c>
      <c r="E812" s="6">
        <v>1.51</v>
      </c>
      <c r="G812" s="7">
        <v>1</v>
      </c>
      <c r="H812" s="7">
        <v>0</v>
      </c>
      <c r="J812" s="8">
        <v>0.28999999999999998</v>
      </c>
      <c r="L812" s="5" t="s">
        <v>70</v>
      </c>
      <c r="N812" s="56">
        <v>58</v>
      </c>
      <c r="O812" s="61" t="s">
        <v>170</v>
      </c>
      <c r="P812" s="61" t="s">
        <v>174</v>
      </c>
      <c r="Q812" s="61" t="s">
        <v>175</v>
      </c>
      <c r="R812" s="61" t="s">
        <v>685</v>
      </c>
      <c r="S812" s="218">
        <v>74</v>
      </c>
      <c r="T812" s="61" t="s">
        <v>44</v>
      </c>
      <c r="U812" s="61" t="s">
        <v>42</v>
      </c>
      <c r="V812" s="63" t="s">
        <v>10</v>
      </c>
      <c r="W812" s="51">
        <v>0.04</v>
      </c>
      <c r="X812" s="6">
        <v>0.15</v>
      </c>
      <c r="Z812" s="5" t="s">
        <v>48</v>
      </c>
      <c r="AA812" s="112" t="s">
        <v>28</v>
      </c>
    </row>
    <row r="813" spans="1:29" x14ac:dyDescent="0.25">
      <c r="A813" s="329">
        <v>45894</v>
      </c>
      <c r="B813" s="5">
        <v>2</v>
      </c>
      <c r="D813" s="5" t="s">
        <v>170</v>
      </c>
      <c r="E813" s="6">
        <v>1.51</v>
      </c>
      <c r="G813" s="7">
        <v>1</v>
      </c>
      <c r="H813" s="7">
        <v>0</v>
      </c>
      <c r="J813" s="8">
        <v>0.28999999999999998</v>
      </c>
      <c r="L813" s="5" t="s">
        <v>70</v>
      </c>
      <c r="N813" s="56">
        <v>62</v>
      </c>
      <c r="O813" s="61" t="s">
        <v>170</v>
      </c>
      <c r="P813" s="61" t="s">
        <v>174</v>
      </c>
      <c r="Q813" s="61" t="s">
        <v>175</v>
      </c>
      <c r="R813" s="61" t="s">
        <v>685</v>
      </c>
      <c r="S813" s="218">
        <v>74</v>
      </c>
      <c r="T813" s="61" t="s">
        <v>41</v>
      </c>
      <c r="U813" s="61" t="s">
        <v>43</v>
      </c>
      <c r="V813" s="63" t="s">
        <v>10</v>
      </c>
      <c r="W813" s="51">
        <v>0.05</v>
      </c>
      <c r="X813" s="6" t="s">
        <v>53</v>
      </c>
      <c r="Z813" s="5" t="s">
        <v>55</v>
      </c>
      <c r="AA813" s="112" t="s">
        <v>28</v>
      </c>
    </row>
    <row r="814" spans="1:29" x14ac:dyDescent="0.25">
      <c r="A814" s="329">
        <v>45894</v>
      </c>
      <c r="B814" s="5">
        <v>2</v>
      </c>
      <c r="D814" s="5" t="s">
        <v>170</v>
      </c>
      <c r="E814" s="6">
        <v>1.51</v>
      </c>
      <c r="G814" s="7">
        <v>1</v>
      </c>
      <c r="H814" s="7">
        <v>0</v>
      </c>
      <c r="J814" s="8">
        <v>0.28999999999999998</v>
      </c>
      <c r="L814" s="5" t="s">
        <v>70</v>
      </c>
      <c r="N814" s="56">
        <v>66</v>
      </c>
      <c r="O814" s="61" t="s">
        <v>170</v>
      </c>
      <c r="P814" s="61" t="s">
        <v>296</v>
      </c>
      <c r="Q814" s="61" t="s">
        <v>297</v>
      </c>
      <c r="R814" s="61" t="s">
        <v>696</v>
      </c>
      <c r="S814" s="218">
        <v>75</v>
      </c>
      <c r="T814" s="61" t="s">
        <v>41</v>
      </c>
      <c r="U814" s="61" t="s">
        <v>42</v>
      </c>
      <c r="V814" s="63" t="s">
        <v>7</v>
      </c>
      <c r="W814" s="51">
        <v>0.79</v>
      </c>
      <c r="X814" s="6">
        <v>0.78</v>
      </c>
      <c r="Y814" s="6" t="s">
        <v>353</v>
      </c>
      <c r="Z814" s="5" t="s">
        <v>8</v>
      </c>
      <c r="AA814" s="112" t="s">
        <v>19</v>
      </c>
    </row>
    <row r="815" spans="1:29" x14ac:dyDescent="0.25">
      <c r="A815" s="329">
        <v>45894</v>
      </c>
      <c r="B815" s="5">
        <v>2</v>
      </c>
      <c r="D815" s="5" t="s">
        <v>170</v>
      </c>
      <c r="E815" s="6">
        <v>1.51</v>
      </c>
      <c r="G815" s="7">
        <v>1</v>
      </c>
      <c r="H815" s="7">
        <v>0</v>
      </c>
      <c r="J815" s="8">
        <v>0.28999999999999998</v>
      </c>
      <c r="L815" s="5" t="s">
        <v>70</v>
      </c>
      <c r="N815" s="56">
        <v>84</v>
      </c>
      <c r="O815" s="26" t="s">
        <v>70</v>
      </c>
      <c r="P815" s="26" t="s">
        <v>298</v>
      </c>
      <c r="Q815" s="26" t="s">
        <v>299</v>
      </c>
      <c r="R815" s="26" t="s">
        <v>696</v>
      </c>
      <c r="S815" s="213">
        <v>66</v>
      </c>
      <c r="T815" s="26" t="s">
        <v>41</v>
      </c>
      <c r="U815" s="26" t="s">
        <v>42</v>
      </c>
      <c r="V815" s="43" t="s">
        <v>10</v>
      </c>
      <c r="W815" s="51">
        <v>0.1</v>
      </c>
      <c r="X815" s="6" t="s">
        <v>53</v>
      </c>
      <c r="Z815" s="5" t="s">
        <v>52</v>
      </c>
      <c r="AA815" s="112" t="s">
        <v>19</v>
      </c>
    </row>
    <row r="816" spans="1:29" ht="15.75" thickBot="1" x14ac:dyDescent="0.3">
      <c r="A816" s="330">
        <v>45894</v>
      </c>
      <c r="B816" s="9">
        <v>2</v>
      </c>
      <c r="C816" s="122"/>
      <c r="D816" s="9" t="s">
        <v>170</v>
      </c>
      <c r="E816" s="10">
        <v>1.51</v>
      </c>
      <c r="F816" s="10"/>
      <c r="G816" s="11">
        <v>1</v>
      </c>
      <c r="H816" s="11">
        <v>0</v>
      </c>
      <c r="I816" s="11"/>
      <c r="J816" s="12">
        <v>0.28999999999999998</v>
      </c>
      <c r="K816" s="122"/>
      <c r="L816" s="9" t="s">
        <v>70</v>
      </c>
      <c r="M816" s="45"/>
      <c r="N816" s="97">
        <v>84</v>
      </c>
      <c r="O816" s="74" t="s">
        <v>70</v>
      </c>
      <c r="P816" s="74" t="s">
        <v>83</v>
      </c>
      <c r="Q816" s="74" t="s">
        <v>84</v>
      </c>
      <c r="R816" s="74" t="s">
        <v>713</v>
      </c>
      <c r="S816" s="221">
        <v>71</v>
      </c>
      <c r="T816" s="74" t="s">
        <v>354</v>
      </c>
      <c r="U816" s="74" t="s">
        <v>42</v>
      </c>
      <c r="V816" s="76" t="s">
        <v>10</v>
      </c>
      <c r="W816" s="52">
        <v>0.01</v>
      </c>
      <c r="X816" s="10" t="s">
        <v>53</v>
      </c>
      <c r="Y816" s="10"/>
      <c r="Z816" s="9" t="s">
        <v>16</v>
      </c>
      <c r="AA816" s="113" t="s">
        <v>19</v>
      </c>
      <c r="AB816" s="109"/>
      <c r="AC816" s="58"/>
    </row>
    <row r="817" spans="1:29" ht="15.75" thickBot="1" x14ac:dyDescent="0.3">
      <c r="A817" s="326">
        <v>45894</v>
      </c>
      <c r="B817" s="207">
        <v>2</v>
      </c>
      <c r="C817" s="208"/>
      <c r="D817" s="207" t="s">
        <v>170</v>
      </c>
      <c r="E817" s="209">
        <v>1.51</v>
      </c>
      <c r="F817" s="209"/>
      <c r="G817" s="210">
        <v>1</v>
      </c>
      <c r="H817" s="210">
        <v>0</v>
      </c>
      <c r="I817" s="210"/>
      <c r="J817" s="211">
        <v>0.28999999999999998</v>
      </c>
      <c r="K817" s="208"/>
      <c r="L817" s="207" t="s">
        <v>70</v>
      </c>
      <c r="M817" s="197"/>
      <c r="N817" s="198"/>
      <c r="O817" s="199" t="s">
        <v>170</v>
      </c>
      <c r="P817" s="199" t="s">
        <v>269</v>
      </c>
      <c r="Q817" s="199" t="s">
        <v>722</v>
      </c>
      <c r="R817" s="199" t="s">
        <v>707</v>
      </c>
      <c r="S817" s="200">
        <v>67</v>
      </c>
      <c r="T817" s="199"/>
      <c r="U817" s="199"/>
      <c r="V817" s="201"/>
      <c r="W817" s="202"/>
      <c r="X817" s="203"/>
      <c r="Y817" s="203">
        <v>0</v>
      </c>
      <c r="Z817" s="199"/>
      <c r="AA817" s="204"/>
      <c r="AB817" s="205"/>
      <c r="AC817" s="201"/>
    </row>
    <row r="818" spans="1:29" ht="15.75" thickBot="1" x14ac:dyDescent="0.3">
      <c r="A818" s="326">
        <v>45894</v>
      </c>
      <c r="B818" s="207">
        <v>2</v>
      </c>
      <c r="C818" s="208"/>
      <c r="D818" s="207" t="s">
        <v>170</v>
      </c>
      <c r="E818" s="209">
        <v>1.51</v>
      </c>
      <c r="F818" s="209"/>
      <c r="G818" s="210">
        <v>1</v>
      </c>
      <c r="H818" s="210">
        <v>0</v>
      </c>
      <c r="I818" s="210"/>
      <c r="J818" s="211">
        <v>0.28999999999999998</v>
      </c>
      <c r="K818" s="208"/>
      <c r="L818" s="207" t="s">
        <v>70</v>
      </c>
      <c r="M818" s="197"/>
      <c r="N818" s="198"/>
      <c r="O818" s="199" t="s">
        <v>70</v>
      </c>
      <c r="P818" s="199" t="s">
        <v>714</v>
      </c>
      <c r="Q818" s="199" t="s">
        <v>715</v>
      </c>
      <c r="R818" s="199" t="s">
        <v>707</v>
      </c>
      <c r="S818" s="200">
        <v>72</v>
      </c>
      <c r="T818" s="199"/>
      <c r="U818" s="199"/>
      <c r="V818" s="201"/>
      <c r="W818" s="202"/>
      <c r="X818" s="203"/>
      <c r="Y818" s="203">
        <v>1</v>
      </c>
      <c r="Z818" s="199"/>
      <c r="AA818" s="204"/>
      <c r="AB818" s="205"/>
      <c r="AC818" s="201"/>
    </row>
    <row r="819" spans="1:29" x14ac:dyDescent="0.25">
      <c r="A819" s="328">
        <v>45914</v>
      </c>
      <c r="B819" s="17">
        <v>4</v>
      </c>
      <c r="C819" s="123" t="s">
        <v>700</v>
      </c>
      <c r="D819" s="17" t="s">
        <v>227</v>
      </c>
      <c r="E819" s="18">
        <v>1.59</v>
      </c>
      <c r="F819" s="18"/>
      <c r="G819" s="19">
        <v>2</v>
      </c>
      <c r="H819" s="19">
        <v>0</v>
      </c>
      <c r="I819" s="19"/>
      <c r="J819" s="20">
        <v>1.0900000000000001</v>
      </c>
      <c r="K819" s="123" t="s">
        <v>694</v>
      </c>
      <c r="L819" s="17" t="s">
        <v>70</v>
      </c>
      <c r="M819" s="46"/>
      <c r="N819" s="96">
        <v>1</v>
      </c>
      <c r="O819" s="77" t="s">
        <v>70</v>
      </c>
      <c r="P819" s="77" t="s">
        <v>78</v>
      </c>
      <c r="Q819" s="77" t="s">
        <v>404</v>
      </c>
      <c r="R819" s="77" t="s">
        <v>687</v>
      </c>
      <c r="S819" s="220">
        <v>76</v>
      </c>
      <c r="T819" s="77" t="s">
        <v>354</v>
      </c>
      <c r="U819" s="77" t="s">
        <v>42</v>
      </c>
      <c r="V819" s="78" t="s">
        <v>10</v>
      </c>
      <c r="W819" s="53">
        <v>0.01</v>
      </c>
      <c r="X819" s="18" t="s">
        <v>53</v>
      </c>
      <c r="Y819" s="18"/>
      <c r="Z819" s="17" t="s">
        <v>22</v>
      </c>
      <c r="AA819" s="114" t="s">
        <v>28</v>
      </c>
      <c r="AB819" s="110"/>
      <c r="AC819" s="60"/>
    </row>
    <row r="820" spans="1:29" x14ac:dyDescent="0.25">
      <c r="A820" s="329">
        <v>45914</v>
      </c>
      <c r="B820" s="5">
        <v>4</v>
      </c>
      <c r="D820" s="5" t="s">
        <v>227</v>
      </c>
      <c r="E820" s="6">
        <v>1.59</v>
      </c>
      <c r="G820" s="7">
        <v>2</v>
      </c>
      <c r="H820" s="7">
        <v>0</v>
      </c>
      <c r="J820" s="8">
        <v>1.0900000000000001</v>
      </c>
      <c r="L820" s="5" t="s">
        <v>70</v>
      </c>
      <c r="N820" s="56">
        <v>9</v>
      </c>
      <c r="O820" s="61" t="s">
        <v>227</v>
      </c>
      <c r="P820" s="61" t="s">
        <v>25</v>
      </c>
      <c r="Q820" s="61" t="s">
        <v>397</v>
      </c>
      <c r="R820" s="61" t="s">
        <v>685</v>
      </c>
      <c r="S820" s="218">
        <v>68</v>
      </c>
      <c r="T820" s="61" t="s">
        <v>41</v>
      </c>
      <c r="U820" s="61" t="s">
        <v>42</v>
      </c>
      <c r="V820" s="63" t="s">
        <v>29</v>
      </c>
      <c r="W820" s="51">
        <v>0.05</v>
      </c>
      <c r="X820" s="6">
        <v>0.21</v>
      </c>
      <c r="Z820" s="5" t="s">
        <v>48</v>
      </c>
      <c r="AA820" s="112" t="s">
        <v>28</v>
      </c>
    </row>
    <row r="821" spans="1:29" x14ac:dyDescent="0.25">
      <c r="A821" s="329">
        <v>45914</v>
      </c>
      <c r="B821" s="5">
        <v>4</v>
      </c>
      <c r="D821" s="5" t="s">
        <v>227</v>
      </c>
      <c r="E821" s="6">
        <v>1.59</v>
      </c>
      <c r="G821" s="7">
        <v>2</v>
      </c>
      <c r="H821" s="7">
        <v>0</v>
      </c>
      <c r="J821" s="8">
        <v>1.0900000000000001</v>
      </c>
      <c r="L821" s="5" t="s">
        <v>70</v>
      </c>
      <c r="N821" s="56">
        <v>15</v>
      </c>
      <c r="O821" s="61" t="s">
        <v>227</v>
      </c>
      <c r="P821" s="61" t="s">
        <v>398</v>
      </c>
      <c r="Q821" s="61" t="s">
        <v>399</v>
      </c>
      <c r="R821" s="61" t="s">
        <v>684</v>
      </c>
      <c r="S821" s="218">
        <v>75</v>
      </c>
      <c r="T821" s="61" t="s">
        <v>47</v>
      </c>
      <c r="U821" s="61" t="s">
        <v>42</v>
      </c>
      <c r="V821" s="63" t="s">
        <v>540</v>
      </c>
      <c r="W821" s="51">
        <v>0.59</v>
      </c>
      <c r="X821" s="6">
        <v>0.75</v>
      </c>
      <c r="Y821" s="6" t="s">
        <v>353</v>
      </c>
      <c r="Z821" s="5" t="s">
        <v>8</v>
      </c>
      <c r="AA821" s="112" t="s">
        <v>19</v>
      </c>
    </row>
    <row r="822" spans="1:29" x14ac:dyDescent="0.25">
      <c r="A822" s="329">
        <v>45914</v>
      </c>
      <c r="B822" s="5">
        <v>4</v>
      </c>
      <c r="D822" s="5" t="s">
        <v>227</v>
      </c>
      <c r="E822" s="6">
        <v>1.59</v>
      </c>
      <c r="G822" s="7">
        <v>2</v>
      </c>
      <c r="H822" s="7">
        <v>0</v>
      </c>
      <c r="J822" s="8">
        <v>1.0900000000000001</v>
      </c>
      <c r="L822" s="5" t="s">
        <v>70</v>
      </c>
      <c r="N822" s="56">
        <v>17</v>
      </c>
      <c r="O822" s="26" t="s">
        <v>70</v>
      </c>
      <c r="P822" s="26" t="s">
        <v>78</v>
      </c>
      <c r="Q822" s="26" t="s">
        <v>404</v>
      </c>
      <c r="R822" s="26" t="s">
        <v>687</v>
      </c>
      <c r="S822" s="213">
        <v>76</v>
      </c>
      <c r="T822" s="26" t="s">
        <v>41</v>
      </c>
      <c r="U822" s="26" t="s">
        <v>42</v>
      </c>
      <c r="V822" s="43" t="s">
        <v>20</v>
      </c>
      <c r="W822" s="51">
        <v>0.09</v>
      </c>
      <c r="X822" s="6">
        <v>0.16</v>
      </c>
      <c r="Z822" s="5" t="s">
        <v>48</v>
      </c>
      <c r="AA822" s="112" t="s">
        <v>19</v>
      </c>
    </row>
    <row r="823" spans="1:29" x14ac:dyDescent="0.25">
      <c r="A823" s="329">
        <v>45914</v>
      </c>
      <c r="B823" s="5">
        <v>4</v>
      </c>
      <c r="D823" s="5" t="s">
        <v>227</v>
      </c>
      <c r="E823" s="6">
        <v>1.59</v>
      </c>
      <c r="G823" s="7">
        <v>2</v>
      </c>
      <c r="H823" s="7">
        <v>0</v>
      </c>
      <c r="J823" s="8">
        <v>1.0900000000000001</v>
      </c>
      <c r="L823" s="5" t="s">
        <v>70</v>
      </c>
      <c r="N823" s="56">
        <v>31</v>
      </c>
      <c r="O823" s="61" t="s">
        <v>227</v>
      </c>
      <c r="P823" s="61" t="s">
        <v>25</v>
      </c>
      <c r="Q823" s="61" t="s">
        <v>397</v>
      </c>
      <c r="R823" s="61" t="s">
        <v>685</v>
      </c>
      <c r="S823" s="218">
        <v>68</v>
      </c>
      <c r="T823" s="61" t="s">
        <v>41</v>
      </c>
      <c r="U823" s="61" t="s">
        <v>43</v>
      </c>
      <c r="V823" s="63" t="s">
        <v>540</v>
      </c>
      <c r="W823" s="51">
        <v>0.12</v>
      </c>
      <c r="X823" s="6">
        <v>0.11</v>
      </c>
      <c r="Y823" s="6" t="s">
        <v>353</v>
      </c>
      <c r="Z823" s="5" t="s">
        <v>48</v>
      </c>
      <c r="AA823" s="112" t="s">
        <v>19</v>
      </c>
    </row>
    <row r="824" spans="1:29" x14ac:dyDescent="0.25">
      <c r="A824" s="329">
        <v>45914</v>
      </c>
      <c r="B824" s="5">
        <v>4</v>
      </c>
      <c r="D824" s="5" t="s">
        <v>227</v>
      </c>
      <c r="E824" s="6">
        <v>1.59</v>
      </c>
      <c r="G824" s="7">
        <v>2</v>
      </c>
      <c r="H824" s="7">
        <v>0</v>
      </c>
      <c r="J824" s="8">
        <v>1.0900000000000001</v>
      </c>
      <c r="L824" s="5" t="s">
        <v>70</v>
      </c>
      <c r="N824" s="56">
        <v>39</v>
      </c>
      <c r="O824" s="26" t="s">
        <v>70</v>
      </c>
      <c r="P824" s="26" t="s">
        <v>72</v>
      </c>
      <c r="Q824" s="26" t="s">
        <v>73</v>
      </c>
      <c r="R824" s="26" t="s">
        <v>718</v>
      </c>
      <c r="S824" s="213">
        <v>62</v>
      </c>
      <c r="T824" s="26" t="s">
        <v>41</v>
      </c>
      <c r="U824" s="26" t="s">
        <v>42</v>
      </c>
      <c r="V824" s="43" t="s">
        <v>18</v>
      </c>
      <c r="W824" s="51">
        <v>0.1</v>
      </c>
      <c r="X824" s="6" t="s">
        <v>53</v>
      </c>
      <c r="Z824" s="5" t="s">
        <v>17</v>
      </c>
      <c r="AA824" s="112" t="s">
        <v>19</v>
      </c>
    </row>
    <row r="825" spans="1:29" x14ac:dyDescent="0.25">
      <c r="A825" s="329">
        <v>45914</v>
      </c>
      <c r="B825" s="5">
        <v>4</v>
      </c>
      <c r="D825" s="5" t="s">
        <v>227</v>
      </c>
      <c r="E825" s="6">
        <v>1.59</v>
      </c>
      <c r="G825" s="7">
        <v>2</v>
      </c>
      <c r="H825" s="7">
        <v>0</v>
      </c>
      <c r="J825" s="8">
        <v>1.0900000000000001</v>
      </c>
      <c r="L825" s="5" t="s">
        <v>70</v>
      </c>
      <c r="N825" s="56">
        <v>40</v>
      </c>
      <c r="O825" s="61" t="s">
        <v>227</v>
      </c>
      <c r="P825" s="61" t="s">
        <v>25</v>
      </c>
      <c r="Q825" s="61" t="s">
        <v>397</v>
      </c>
      <c r="R825" s="61" t="s">
        <v>685</v>
      </c>
      <c r="S825" s="218">
        <v>68</v>
      </c>
      <c r="T825" s="61" t="s">
        <v>354</v>
      </c>
      <c r="U825" s="61" t="s">
        <v>42</v>
      </c>
      <c r="V825" s="63" t="s">
        <v>10</v>
      </c>
      <c r="W825" s="51">
        <v>0.03</v>
      </c>
      <c r="X825" s="6">
        <v>0.15</v>
      </c>
      <c r="Z825" s="5" t="s">
        <v>48</v>
      </c>
      <c r="AA825" s="112" t="s">
        <v>19</v>
      </c>
    </row>
    <row r="826" spans="1:29" x14ac:dyDescent="0.25">
      <c r="A826" s="329">
        <v>45914</v>
      </c>
      <c r="B826" s="5">
        <v>4</v>
      </c>
      <c r="D826" s="5" t="s">
        <v>227</v>
      </c>
      <c r="E826" s="6">
        <v>1.59</v>
      </c>
      <c r="G826" s="7">
        <v>2</v>
      </c>
      <c r="H826" s="7">
        <v>0</v>
      </c>
      <c r="J826" s="8">
        <v>1.0900000000000001</v>
      </c>
      <c r="L826" s="5" t="s">
        <v>70</v>
      </c>
      <c r="N826" s="56">
        <v>47</v>
      </c>
      <c r="O826" s="26" t="s">
        <v>70</v>
      </c>
      <c r="P826" s="26" t="s">
        <v>72</v>
      </c>
      <c r="Q826" s="26" t="s">
        <v>73</v>
      </c>
      <c r="R826" s="26" t="s">
        <v>718</v>
      </c>
      <c r="S826" s="213">
        <v>62</v>
      </c>
      <c r="T826" s="26" t="s">
        <v>41</v>
      </c>
      <c r="U826" s="26" t="s">
        <v>42</v>
      </c>
      <c r="V826" s="43" t="s">
        <v>10</v>
      </c>
      <c r="W826" s="51">
        <v>0.12</v>
      </c>
      <c r="X826" s="6" t="s">
        <v>53</v>
      </c>
      <c r="Z826" s="5" t="s">
        <v>52</v>
      </c>
      <c r="AA826" s="112" t="s">
        <v>19</v>
      </c>
    </row>
    <row r="827" spans="1:29" x14ac:dyDescent="0.25">
      <c r="A827" s="329">
        <v>45914</v>
      </c>
      <c r="B827" s="5">
        <v>4</v>
      </c>
      <c r="D827" s="5" t="s">
        <v>227</v>
      </c>
      <c r="E827" s="6">
        <v>1.59</v>
      </c>
      <c r="G827" s="7">
        <v>2</v>
      </c>
      <c r="H827" s="7">
        <v>0</v>
      </c>
      <c r="J827" s="8">
        <v>1.0900000000000001</v>
      </c>
      <c r="L827" s="5" t="s">
        <v>70</v>
      </c>
      <c r="N827" s="56">
        <v>48</v>
      </c>
      <c r="O827" s="61" t="s">
        <v>227</v>
      </c>
      <c r="P827" s="61" t="s">
        <v>400</v>
      </c>
      <c r="Q827" s="61" t="s">
        <v>401</v>
      </c>
      <c r="R827" s="61" t="s">
        <v>688</v>
      </c>
      <c r="S827" s="218">
        <v>72</v>
      </c>
      <c r="T827" s="61" t="s">
        <v>41</v>
      </c>
      <c r="U827" s="61" t="s">
        <v>43</v>
      </c>
      <c r="V827" s="63" t="s">
        <v>10</v>
      </c>
      <c r="W827" s="51">
        <v>0.03</v>
      </c>
      <c r="X827" s="6">
        <v>0.15</v>
      </c>
      <c r="Z827" s="5" t="s">
        <v>48</v>
      </c>
      <c r="AA827" s="112" t="s">
        <v>19</v>
      </c>
    </row>
    <row r="828" spans="1:29" x14ac:dyDescent="0.25">
      <c r="A828" s="329">
        <v>45914</v>
      </c>
      <c r="B828" s="5">
        <v>4</v>
      </c>
      <c r="D828" s="5" t="s">
        <v>227</v>
      </c>
      <c r="E828" s="6">
        <v>1.59</v>
      </c>
      <c r="G828" s="7">
        <v>2</v>
      </c>
      <c r="H828" s="7">
        <v>0</v>
      </c>
      <c r="J828" s="8">
        <v>1.0900000000000001</v>
      </c>
      <c r="L828" s="5" t="s">
        <v>70</v>
      </c>
      <c r="N828" s="56">
        <v>51</v>
      </c>
      <c r="O828" s="26" t="s">
        <v>70</v>
      </c>
      <c r="P828" s="26" t="s">
        <v>74</v>
      </c>
      <c r="Q828" s="26" t="s">
        <v>75</v>
      </c>
      <c r="R828" s="26" t="s">
        <v>685</v>
      </c>
      <c r="S828" s="213">
        <v>62</v>
      </c>
      <c r="T828" s="26" t="s">
        <v>41</v>
      </c>
      <c r="U828" s="26" t="s">
        <v>45</v>
      </c>
      <c r="V828" s="43" t="s">
        <v>10</v>
      </c>
      <c r="W828" s="51">
        <v>0.1</v>
      </c>
      <c r="X828" s="6">
        <v>0.12</v>
      </c>
      <c r="Z828" s="5" t="s">
        <v>48</v>
      </c>
      <c r="AA828" s="112" t="s">
        <v>19</v>
      </c>
    </row>
    <row r="829" spans="1:29" x14ac:dyDescent="0.25">
      <c r="A829" s="329">
        <v>45914</v>
      </c>
      <c r="B829" s="5">
        <v>4</v>
      </c>
      <c r="D829" s="5" t="s">
        <v>227</v>
      </c>
      <c r="E829" s="6">
        <v>1.59</v>
      </c>
      <c r="G829" s="7">
        <v>2</v>
      </c>
      <c r="H829" s="7">
        <v>0</v>
      </c>
      <c r="J829" s="8">
        <v>1.0900000000000001</v>
      </c>
      <c r="L829" s="5" t="s">
        <v>70</v>
      </c>
      <c r="N829" s="56">
        <v>55</v>
      </c>
      <c r="O829" s="26" t="s">
        <v>70</v>
      </c>
      <c r="P829" s="26" t="s">
        <v>83</v>
      </c>
      <c r="Q829" s="26" t="s">
        <v>84</v>
      </c>
      <c r="R829" s="26" t="s">
        <v>713</v>
      </c>
      <c r="S829" s="213">
        <v>66</v>
      </c>
      <c r="T829" s="26" t="s">
        <v>47</v>
      </c>
      <c r="U829" s="26" t="s">
        <v>45</v>
      </c>
      <c r="V829" s="43" t="s">
        <v>20</v>
      </c>
      <c r="W829" s="51">
        <v>0.14000000000000001</v>
      </c>
      <c r="X829" s="6">
        <v>0.66</v>
      </c>
      <c r="Z829" s="5" t="s">
        <v>48</v>
      </c>
      <c r="AA829" s="112" t="s">
        <v>19</v>
      </c>
    </row>
    <row r="830" spans="1:29" x14ac:dyDescent="0.25">
      <c r="A830" s="329">
        <v>45914</v>
      </c>
      <c r="B830" s="5">
        <v>4</v>
      </c>
      <c r="D830" s="5" t="s">
        <v>227</v>
      </c>
      <c r="E830" s="6">
        <v>1.59</v>
      </c>
      <c r="G830" s="7">
        <v>2</v>
      </c>
      <c r="H830" s="7">
        <v>0</v>
      </c>
      <c r="J830" s="8">
        <v>1.0900000000000001</v>
      </c>
      <c r="L830" s="5" t="s">
        <v>70</v>
      </c>
      <c r="N830" s="56">
        <v>77</v>
      </c>
      <c r="O830" s="61" t="s">
        <v>227</v>
      </c>
      <c r="P830" s="61" t="s">
        <v>402</v>
      </c>
      <c r="Q830" s="61" t="s">
        <v>403</v>
      </c>
      <c r="R830" s="61" t="s">
        <v>696</v>
      </c>
      <c r="S830" s="218">
        <v>76</v>
      </c>
      <c r="T830" s="61" t="s">
        <v>44</v>
      </c>
      <c r="U830" s="61" t="s">
        <v>43</v>
      </c>
      <c r="V830" s="63" t="s">
        <v>18</v>
      </c>
      <c r="W830" s="51">
        <v>0.59</v>
      </c>
      <c r="X830" s="6">
        <v>0.65</v>
      </c>
      <c r="Y830" s="6" t="s">
        <v>353</v>
      </c>
      <c r="Z830" s="5" t="s">
        <v>8</v>
      </c>
      <c r="AA830" s="112" t="s">
        <v>24</v>
      </c>
      <c r="AB830" s="108" t="s">
        <v>135</v>
      </c>
      <c r="AC830" s="57" t="s">
        <v>661</v>
      </c>
    </row>
    <row r="831" spans="1:29" x14ac:dyDescent="0.25">
      <c r="A831" s="329">
        <v>45914</v>
      </c>
      <c r="B831" s="5">
        <v>4</v>
      </c>
      <c r="D831" s="5" t="s">
        <v>227</v>
      </c>
      <c r="E831" s="6">
        <v>1.59</v>
      </c>
      <c r="G831" s="7">
        <v>2</v>
      </c>
      <c r="H831" s="7">
        <v>0</v>
      </c>
      <c r="J831" s="8">
        <v>1.0900000000000001</v>
      </c>
      <c r="L831" s="5" t="s">
        <v>70</v>
      </c>
      <c r="N831" s="56">
        <v>90</v>
      </c>
      <c r="O831" s="26" t="s">
        <v>70</v>
      </c>
      <c r="P831" s="26" t="s">
        <v>53</v>
      </c>
      <c r="Q831" s="26" t="s">
        <v>405</v>
      </c>
      <c r="R831" s="26" t="s">
        <v>696</v>
      </c>
      <c r="S831" s="213">
        <v>66</v>
      </c>
      <c r="T831" s="26" t="s">
        <v>41</v>
      </c>
      <c r="U831" s="26" t="s">
        <v>42</v>
      </c>
      <c r="V831" s="43" t="s">
        <v>10</v>
      </c>
      <c r="W831" s="51">
        <v>0.12</v>
      </c>
      <c r="X831" s="6" t="s">
        <v>53</v>
      </c>
      <c r="Z831" s="5" t="s">
        <v>52</v>
      </c>
      <c r="AA831" s="112" t="s">
        <v>24</v>
      </c>
    </row>
    <row r="832" spans="1:29" x14ac:dyDescent="0.25">
      <c r="A832" s="329">
        <v>45914</v>
      </c>
      <c r="B832" s="5">
        <v>4</v>
      </c>
      <c r="D832" s="5" t="s">
        <v>227</v>
      </c>
      <c r="E832" s="6">
        <v>1.59</v>
      </c>
      <c r="G832" s="7">
        <v>2</v>
      </c>
      <c r="H832" s="7">
        <v>0</v>
      </c>
      <c r="J832" s="8">
        <v>1.0900000000000001</v>
      </c>
      <c r="L832" s="5" t="s">
        <v>70</v>
      </c>
      <c r="N832" s="56" t="s">
        <v>35</v>
      </c>
      <c r="O832" s="61" t="s">
        <v>227</v>
      </c>
      <c r="P832" s="61" t="s">
        <v>328</v>
      </c>
      <c r="Q832" s="61" t="s">
        <v>75</v>
      </c>
      <c r="R832" s="61" t="s">
        <v>696</v>
      </c>
      <c r="S832" s="218">
        <v>72</v>
      </c>
      <c r="T832" s="61" t="s">
        <v>41</v>
      </c>
      <c r="U832" s="61" t="s">
        <v>42</v>
      </c>
      <c r="V832" s="63" t="s">
        <v>18</v>
      </c>
      <c r="W832" s="51">
        <v>0.11</v>
      </c>
      <c r="X832" s="6" t="s">
        <v>53</v>
      </c>
      <c r="Z832" s="5" t="s">
        <v>52</v>
      </c>
      <c r="AA832" s="112" t="s">
        <v>24</v>
      </c>
    </row>
    <row r="833" spans="1:29" ht="15.75" thickBot="1" x14ac:dyDescent="0.3">
      <c r="A833" s="330">
        <v>45914</v>
      </c>
      <c r="B833" s="9">
        <v>4</v>
      </c>
      <c r="C833" s="122"/>
      <c r="D833" s="9" t="s">
        <v>227</v>
      </c>
      <c r="E833" s="10">
        <v>1.59</v>
      </c>
      <c r="F833" s="10"/>
      <c r="G833" s="11">
        <v>2</v>
      </c>
      <c r="H833" s="11">
        <v>0</v>
      </c>
      <c r="I833" s="11"/>
      <c r="J833" s="12">
        <v>1.0900000000000001</v>
      </c>
      <c r="K833" s="122"/>
      <c r="L833" s="9" t="s">
        <v>70</v>
      </c>
      <c r="M833" s="45"/>
      <c r="N833" s="97" t="s">
        <v>31</v>
      </c>
      <c r="O833" s="74" t="s">
        <v>70</v>
      </c>
      <c r="P833" s="74" t="s">
        <v>76</v>
      </c>
      <c r="Q833" s="74" t="s">
        <v>77</v>
      </c>
      <c r="R833" s="74" t="s">
        <v>686</v>
      </c>
      <c r="S833" s="221">
        <v>67</v>
      </c>
      <c r="T833" s="74" t="s">
        <v>44</v>
      </c>
      <c r="U833" s="74" t="s">
        <v>43</v>
      </c>
      <c r="V833" s="76" t="s">
        <v>20</v>
      </c>
      <c r="W833" s="52">
        <v>0.02</v>
      </c>
      <c r="X833" s="10">
        <v>0.24</v>
      </c>
      <c r="Y833" s="10"/>
      <c r="Z833" s="9" t="s">
        <v>48</v>
      </c>
      <c r="AA833" s="113" t="s">
        <v>24</v>
      </c>
      <c r="AB833" s="109"/>
      <c r="AC833" s="58"/>
    </row>
    <row r="834" spans="1:29" ht="15.75" thickBot="1" x14ac:dyDescent="0.3">
      <c r="A834" s="326">
        <v>45914</v>
      </c>
      <c r="B834" s="207">
        <v>4</v>
      </c>
      <c r="C834" s="208"/>
      <c r="D834" s="207" t="s">
        <v>227</v>
      </c>
      <c r="E834" s="209">
        <v>1.59</v>
      </c>
      <c r="F834" s="209"/>
      <c r="G834" s="210">
        <v>2</v>
      </c>
      <c r="H834" s="210">
        <v>0</v>
      </c>
      <c r="I834" s="210"/>
      <c r="J834" s="211">
        <v>1.0900000000000001</v>
      </c>
      <c r="K834" s="208"/>
      <c r="L834" s="207" t="s">
        <v>70</v>
      </c>
      <c r="M834" s="235"/>
      <c r="N834" s="198"/>
      <c r="O834" s="199" t="s">
        <v>227</v>
      </c>
      <c r="P834" s="199" t="s">
        <v>733</v>
      </c>
      <c r="Q834" s="199" t="s">
        <v>86</v>
      </c>
      <c r="R834" s="199" t="s">
        <v>707</v>
      </c>
      <c r="S834" s="200">
        <v>87</v>
      </c>
      <c r="T834" s="199"/>
      <c r="U834" s="199"/>
      <c r="V834" s="201"/>
      <c r="W834" s="202"/>
      <c r="X834" s="203"/>
      <c r="Y834" s="203">
        <v>0</v>
      </c>
      <c r="Z834" s="199"/>
      <c r="AA834" s="204"/>
      <c r="AB834" s="205"/>
      <c r="AC834" s="201"/>
    </row>
    <row r="835" spans="1:29" ht="15.75" thickBot="1" x14ac:dyDescent="0.3">
      <c r="A835" s="326">
        <v>45914</v>
      </c>
      <c r="B835" s="207">
        <v>4</v>
      </c>
      <c r="C835" s="208"/>
      <c r="D835" s="207" t="s">
        <v>227</v>
      </c>
      <c r="E835" s="209">
        <v>1.59</v>
      </c>
      <c r="F835" s="209"/>
      <c r="G835" s="210">
        <v>2</v>
      </c>
      <c r="H835" s="210">
        <v>0</v>
      </c>
      <c r="I835" s="210"/>
      <c r="J835" s="211">
        <v>1.0900000000000001</v>
      </c>
      <c r="K835" s="208"/>
      <c r="L835" s="207" t="s">
        <v>70</v>
      </c>
      <c r="M835" s="235"/>
      <c r="N835" s="198"/>
      <c r="O835" s="199" t="s">
        <v>70</v>
      </c>
      <c r="P835" s="199" t="s">
        <v>714</v>
      </c>
      <c r="Q835" s="199" t="s">
        <v>715</v>
      </c>
      <c r="R835" s="199" t="s">
        <v>707</v>
      </c>
      <c r="S835" s="200">
        <v>68</v>
      </c>
      <c r="T835" s="199"/>
      <c r="U835" s="199"/>
      <c r="V835" s="201"/>
      <c r="W835" s="202"/>
      <c r="X835" s="203"/>
      <c r="Y835" s="203">
        <v>2</v>
      </c>
      <c r="Z835" s="199"/>
      <c r="AA835" s="204"/>
      <c r="AB835" s="205"/>
      <c r="AC835" s="201"/>
    </row>
    <row r="836" spans="1:29" x14ac:dyDescent="0.25">
      <c r="A836" s="331">
        <v>45924</v>
      </c>
      <c r="B836" s="13">
        <v>6</v>
      </c>
      <c r="C836" s="124" t="s">
        <v>701</v>
      </c>
      <c r="D836" s="13" t="s">
        <v>193</v>
      </c>
      <c r="E836" s="14">
        <v>3.61</v>
      </c>
      <c r="F836" s="14"/>
      <c r="G836" s="15">
        <v>3</v>
      </c>
      <c r="H836" s="15">
        <v>2</v>
      </c>
      <c r="I836" s="15"/>
      <c r="J836" s="16">
        <v>1.6</v>
      </c>
      <c r="K836" s="124" t="s">
        <v>694</v>
      </c>
      <c r="L836" s="13" t="s">
        <v>70</v>
      </c>
      <c r="M836" s="47"/>
      <c r="N836" s="98">
        <v>12</v>
      </c>
      <c r="O836" s="70" t="s">
        <v>193</v>
      </c>
      <c r="P836" s="70" t="s">
        <v>206</v>
      </c>
      <c r="Q836" s="70" t="s">
        <v>207</v>
      </c>
      <c r="R836" s="70" t="s">
        <v>718</v>
      </c>
      <c r="S836" s="227">
        <v>73</v>
      </c>
      <c r="T836" s="70" t="s">
        <v>41</v>
      </c>
      <c r="U836" s="70" t="s">
        <v>42</v>
      </c>
      <c r="V836" s="71" t="s">
        <v>10</v>
      </c>
      <c r="W836" s="54">
        <v>0.09</v>
      </c>
      <c r="X836" s="14">
        <v>0.17</v>
      </c>
      <c r="Y836" s="14"/>
      <c r="Z836" s="13" t="s">
        <v>48</v>
      </c>
      <c r="AA836" s="115" t="s">
        <v>28</v>
      </c>
      <c r="AB836" s="110"/>
      <c r="AC836" s="60"/>
    </row>
    <row r="837" spans="1:29" x14ac:dyDescent="0.25">
      <c r="A837" s="329">
        <v>45924</v>
      </c>
      <c r="B837" s="5">
        <v>6</v>
      </c>
      <c r="D837" s="5" t="s">
        <v>193</v>
      </c>
      <c r="E837" s="6">
        <v>3.61</v>
      </c>
      <c r="G837" s="7">
        <v>3</v>
      </c>
      <c r="H837" s="7">
        <v>2</v>
      </c>
      <c r="J837" s="8">
        <v>1.6</v>
      </c>
      <c r="L837" s="5" t="s">
        <v>70</v>
      </c>
      <c r="N837" s="56">
        <v>15</v>
      </c>
      <c r="O837" s="61" t="s">
        <v>193</v>
      </c>
      <c r="P837" s="61" t="s">
        <v>200</v>
      </c>
      <c r="Q837" s="61" t="s">
        <v>201</v>
      </c>
      <c r="R837" s="61" t="s">
        <v>717</v>
      </c>
      <c r="S837" s="218">
        <v>100</v>
      </c>
      <c r="T837" s="61" t="s">
        <v>41</v>
      </c>
      <c r="U837" s="61" t="s">
        <v>43</v>
      </c>
      <c r="V837" s="63" t="s">
        <v>10</v>
      </c>
      <c r="W837" s="51">
        <v>0.34</v>
      </c>
      <c r="X837" s="6">
        <v>0.86</v>
      </c>
      <c r="Y837" s="6" t="s">
        <v>353</v>
      </c>
      <c r="Z837" s="5" t="s">
        <v>8</v>
      </c>
      <c r="AA837" s="112" t="s">
        <v>19</v>
      </c>
      <c r="AB837" s="108" t="s">
        <v>259</v>
      </c>
      <c r="AC837" s="57" t="s">
        <v>260</v>
      </c>
    </row>
    <row r="838" spans="1:29" x14ac:dyDescent="0.25">
      <c r="A838" s="329">
        <v>45924</v>
      </c>
      <c r="B838" s="5">
        <v>6</v>
      </c>
      <c r="D838" s="5" t="s">
        <v>193</v>
      </c>
      <c r="E838" s="6">
        <v>3.61</v>
      </c>
      <c r="G838" s="7">
        <v>3</v>
      </c>
      <c r="H838" s="7">
        <v>2</v>
      </c>
      <c r="J838" s="8">
        <v>1.6</v>
      </c>
      <c r="L838" s="5" t="s">
        <v>70</v>
      </c>
      <c r="N838" s="56">
        <v>32</v>
      </c>
      <c r="O838" s="26" t="s">
        <v>70</v>
      </c>
      <c r="P838" s="26" t="s">
        <v>76</v>
      </c>
      <c r="Q838" s="26" t="s">
        <v>77</v>
      </c>
      <c r="R838" s="26" t="s">
        <v>718</v>
      </c>
      <c r="S838" s="213">
        <v>66</v>
      </c>
      <c r="T838" s="26" t="s">
        <v>354</v>
      </c>
      <c r="U838" s="26" t="s">
        <v>43</v>
      </c>
      <c r="V838" s="43" t="s">
        <v>20</v>
      </c>
      <c r="W838" s="51">
        <v>0.01</v>
      </c>
      <c r="X838" s="6" t="s">
        <v>53</v>
      </c>
      <c r="Z838" s="5" t="s">
        <v>22</v>
      </c>
      <c r="AA838" s="112" t="s">
        <v>19</v>
      </c>
    </row>
    <row r="839" spans="1:29" x14ac:dyDescent="0.25">
      <c r="A839" s="329">
        <v>45924</v>
      </c>
      <c r="B839" s="5">
        <v>6</v>
      </c>
      <c r="D839" s="5" t="s">
        <v>193</v>
      </c>
      <c r="E839" s="6">
        <v>3.61</v>
      </c>
      <c r="G839" s="7">
        <v>3</v>
      </c>
      <c r="H839" s="7">
        <v>2</v>
      </c>
      <c r="J839" s="8">
        <v>1.6</v>
      </c>
      <c r="L839" s="5" t="s">
        <v>70</v>
      </c>
      <c r="N839" s="56">
        <v>35</v>
      </c>
      <c r="O839" s="26" t="s">
        <v>70</v>
      </c>
      <c r="P839" s="26" t="s">
        <v>53</v>
      </c>
      <c r="Q839" s="26" t="s">
        <v>405</v>
      </c>
      <c r="R839" s="26" t="s">
        <v>717</v>
      </c>
      <c r="S839" s="213">
        <v>58</v>
      </c>
      <c r="T839" s="26" t="s">
        <v>41</v>
      </c>
      <c r="U839" s="26" t="s">
        <v>42</v>
      </c>
      <c r="V839" s="43" t="s">
        <v>10</v>
      </c>
      <c r="W839" s="51">
        <v>0.6</v>
      </c>
      <c r="X839" s="6" t="s">
        <v>53</v>
      </c>
      <c r="Y839" s="6" t="s">
        <v>353</v>
      </c>
      <c r="Z839" s="5" t="s">
        <v>13</v>
      </c>
      <c r="AA839" s="112" t="s">
        <v>19</v>
      </c>
    </row>
    <row r="840" spans="1:29" x14ac:dyDescent="0.25">
      <c r="A840" s="329">
        <v>45924</v>
      </c>
      <c r="B840" s="5">
        <v>6</v>
      </c>
      <c r="D840" s="5" t="s">
        <v>193</v>
      </c>
      <c r="E840" s="6">
        <v>3.61</v>
      </c>
      <c r="G840" s="7">
        <v>3</v>
      </c>
      <c r="H840" s="7">
        <v>2</v>
      </c>
      <c r="J840" s="8">
        <v>1.6</v>
      </c>
      <c r="L840" s="5" t="s">
        <v>70</v>
      </c>
      <c r="N840" s="56">
        <v>39</v>
      </c>
      <c r="O840" s="61" t="s">
        <v>193</v>
      </c>
      <c r="P840" s="61" t="s">
        <v>200</v>
      </c>
      <c r="Q840" s="61" t="s">
        <v>201</v>
      </c>
      <c r="R840" s="61" t="s">
        <v>717</v>
      </c>
      <c r="S840" s="218">
        <v>100</v>
      </c>
      <c r="T840" s="61" t="s">
        <v>41</v>
      </c>
      <c r="U840" s="61" t="s">
        <v>43</v>
      </c>
      <c r="V840" s="63" t="s">
        <v>10</v>
      </c>
      <c r="W840" s="51">
        <v>0.52</v>
      </c>
      <c r="X840" s="6" t="s">
        <v>53</v>
      </c>
      <c r="Z840" s="5" t="s">
        <v>13</v>
      </c>
      <c r="AA840" s="112" t="s">
        <v>19</v>
      </c>
    </row>
    <row r="841" spans="1:29" x14ac:dyDescent="0.25">
      <c r="A841" s="329">
        <v>45924</v>
      </c>
      <c r="B841" s="5">
        <v>6</v>
      </c>
      <c r="D841" s="5" t="s">
        <v>193</v>
      </c>
      <c r="E841" s="6">
        <v>3.61</v>
      </c>
      <c r="G841" s="7">
        <v>3</v>
      </c>
      <c r="H841" s="7">
        <v>2</v>
      </c>
      <c r="J841" s="8">
        <v>1.6</v>
      </c>
      <c r="L841" s="5" t="s">
        <v>70</v>
      </c>
      <c r="N841" s="56" t="s">
        <v>68</v>
      </c>
      <c r="O841" s="26" t="s">
        <v>70</v>
      </c>
      <c r="P841" s="26" t="s">
        <v>80</v>
      </c>
      <c r="Q841" s="26" t="s">
        <v>81</v>
      </c>
      <c r="R841" s="26" t="s">
        <v>688</v>
      </c>
      <c r="S841" s="213">
        <v>79</v>
      </c>
      <c r="T841" s="26" t="s">
        <v>354</v>
      </c>
      <c r="U841" s="26" t="s">
        <v>43</v>
      </c>
      <c r="V841" s="43" t="s">
        <v>10</v>
      </c>
      <c r="W841" s="51">
        <v>0.01</v>
      </c>
      <c r="X841" s="6">
        <v>0.17</v>
      </c>
      <c r="Y841" s="6" t="s">
        <v>353</v>
      </c>
      <c r="Z841" s="5" t="s">
        <v>8</v>
      </c>
      <c r="AA841" s="112" t="s">
        <v>51</v>
      </c>
      <c r="AB841" s="108" t="s">
        <v>269</v>
      </c>
      <c r="AC841" s="57" t="s">
        <v>150</v>
      </c>
    </row>
    <row r="842" spans="1:29" x14ac:dyDescent="0.25">
      <c r="A842" s="329">
        <v>45924</v>
      </c>
      <c r="B842" s="5">
        <v>6</v>
      </c>
      <c r="D842" s="5" t="s">
        <v>193</v>
      </c>
      <c r="E842" s="6">
        <v>3.61</v>
      </c>
      <c r="G842" s="7">
        <v>3</v>
      </c>
      <c r="H842" s="7">
        <v>2</v>
      </c>
      <c r="J842" s="8">
        <v>1.6</v>
      </c>
      <c r="L842" s="5" t="s">
        <v>70</v>
      </c>
      <c r="N842" s="56">
        <v>50</v>
      </c>
      <c r="O842" s="61" t="s">
        <v>193</v>
      </c>
      <c r="P842" s="61" t="s">
        <v>259</v>
      </c>
      <c r="Q842" s="61" t="s">
        <v>260</v>
      </c>
      <c r="R842" s="61" t="s">
        <v>713</v>
      </c>
      <c r="S842" s="218">
        <v>70</v>
      </c>
      <c r="T842" s="61" t="s">
        <v>41</v>
      </c>
      <c r="U842" s="61" t="s">
        <v>43</v>
      </c>
      <c r="V842" s="63" t="s">
        <v>540</v>
      </c>
      <c r="W842" s="51">
        <v>0.1</v>
      </c>
      <c r="X842" s="6">
        <v>0.08</v>
      </c>
      <c r="Z842" s="5" t="s">
        <v>48</v>
      </c>
      <c r="AA842" s="112" t="s">
        <v>51</v>
      </c>
    </row>
    <row r="843" spans="1:29" x14ac:dyDescent="0.25">
      <c r="A843" s="329">
        <v>45924</v>
      </c>
      <c r="B843" s="5">
        <v>6</v>
      </c>
      <c r="D843" s="5" t="s">
        <v>193</v>
      </c>
      <c r="E843" s="6">
        <v>3.61</v>
      </c>
      <c r="G843" s="7">
        <v>3</v>
      </c>
      <c r="H843" s="7">
        <v>2</v>
      </c>
      <c r="J843" s="8">
        <v>1.6</v>
      </c>
      <c r="L843" s="5" t="s">
        <v>70</v>
      </c>
      <c r="N843" s="56">
        <v>53</v>
      </c>
      <c r="O843" s="26" t="s">
        <v>70</v>
      </c>
      <c r="P843" s="26" t="s">
        <v>76</v>
      </c>
      <c r="Q843" s="26" t="s">
        <v>77</v>
      </c>
      <c r="R843" s="26" t="s">
        <v>718</v>
      </c>
      <c r="S843" s="213">
        <v>66</v>
      </c>
      <c r="T843" s="26" t="s">
        <v>41</v>
      </c>
      <c r="U843" s="26" t="s">
        <v>43</v>
      </c>
      <c r="V843" s="43" t="s">
        <v>540</v>
      </c>
      <c r="W843" s="51">
        <v>0.32</v>
      </c>
      <c r="X843" s="6">
        <v>0.23</v>
      </c>
      <c r="Y843" s="6" t="s">
        <v>353</v>
      </c>
      <c r="Z843" s="5" t="s">
        <v>48</v>
      </c>
      <c r="AA843" s="112" t="s">
        <v>51</v>
      </c>
    </row>
    <row r="844" spans="1:29" x14ac:dyDescent="0.25">
      <c r="A844" s="329">
        <v>45924</v>
      </c>
      <c r="B844" s="5">
        <v>6</v>
      </c>
      <c r="D844" s="5" t="s">
        <v>193</v>
      </c>
      <c r="E844" s="6">
        <v>3.61</v>
      </c>
      <c r="G844" s="7">
        <v>3</v>
      </c>
      <c r="H844" s="7">
        <v>2</v>
      </c>
      <c r="J844" s="8">
        <v>1.6</v>
      </c>
      <c r="L844" s="5" t="s">
        <v>70</v>
      </c>
      <c r="N844" s="56">
        <v>59</v>
      </c>
      <c r="O844" s="61" t="s">
        <v>193</v>
      </c>
      <c r="P844" s="61" t="s">
        <v>96</v>
      </c>
      <c r="Q844" s="61" t="s">
        <v>327</v>
      </c>
      <c r="R844" s="61" t="s">
        <v>696</v>
      </c>
      <c r="S844" s="218">
        <v>65</v>
      </c>
      <c r="T844" s="61" t="s">
        <v>41</v>
      </c>
      <c r="U844" s="61" t="s">
        <v>45</v>
      </c>
      <c r="V844" s="63" t="s">
        <v>10</v>
      </c>
      <c r="W844" s="51">
        <v>0.18</v>
      </c>
      <c r="X844" s="6" t="s">
        <v>53</v>
      </c>
      <c r="Y844" s="6" t="s">
        <v>353</v>
      </c>
      <c r="Z844" s="5" t="s">
        <v>22</v>
      </c>
      <c r="AA844" s="112" t="s">
        <v>51</v>
      </c>
    </row>
    <row r="845" spans="1:29" x14ac:dyDescent="0.25">
      <c r="A845" s="329">
        <v>45924</v>
      </c>
      <c r="B845" s="5">
        <v>6</v>
      </c>
      <c r="D845" s="5" t="s">
        <v>193</v>
      </c>
      <c r="E845" s="6">
        <v>3.61</v>
      </c>
      <c r="G845" s="7">
        <v>3</v>
      </c>
      <c r="H845" s="7">
        <v>2</v>
      </c>
      <c r="J845" s="8">
        <v>1.6</v>
      </c>
      <c r="L845" s="5" t="s">
        <v>70</v>
      </c>
      <c r="N845" s="56">
        <v>67</v>
      </c>
      <c r="O845" s="61" t="s">
        <v>193</v>
      </c>
      <c r="P845" s="61" t="s">
        <v>204</v>
      </c>
      <c r="Q845" s="61" t="s">
        <v>205</v>
      </c>
      <c r="R845" s="61" t="s">
        <v>696</v>
      </c>
      <c r="S845" s="218">
        <v>66</v>
      </c>
      <c r="T845" s="61" t="s">
        <v>41</v>
      </c>
      <c r="U845" s="61" t="s">
        <v>42</v>
      </c>
      <c r="V845" s="63" t="s">
        <v>18</v>
      </c>
      <c r="W845" s="51">
        <v>0.2</v>
      </c>
      <c r="X845" s="6">
        <v>0.57999999999999996</v>
      </c>
      <c r="Z845" s="5" t="s">
        <v>48</v>
      </c>
      <c r="AA845" s="112" t="s">
        <v>51</v>
      </c>
    </row>
    <row r="846" spans="1:29" x14ac:dyDescent="0.25">
      <c r="A846" s="329">
        <v>45924</v>
      </c>
      <c r="B846" s="5">
        <v>6</v>
      </c>
      <c r="D846" s="5" t="s">
        <v>193</v>
      </c>
      <c r="E846" s="6">
        <v>3.61</v>
      </c>
      <c r="G846" s="7">
        <v>3</v>
      </c>
      <c r="H846" s="7">
        <v>2</v>
      </c>
      <c r="J846" s="8">
        <v>1.6</v>
      </c>
      <c r="L846" s="5" t="s">
        <v>70</v>
      </c>
      <c r="N846" s="56">
        <v>77</v>
      </c>
      <c r="O846" s="26" t="s">
        <v>70</v>
      </c>
      <c r="P846" s="26" t="s">
        <v>74</v>
      </c>
      <c r="Q846" s="26" t="s">
        <v>75</v>
      </c>
      <c r="R846" s="26" t="s">
        <v>696</v>
      </c>
      <c r="S846" s="213">
        <v>75</v>
      </c>
      <c r="T846" s="26" t="s">
        <v>41</v>
      </c>
      <c r="U846" s="26" t="s">
        <v>42</v>
      </c>
      <c r="V846" s="43" t="s">
        <v>18</v>
      </c>
      <c r="W846" s="51">
        <v>0.57999999999999996</v>
      </c>
      <c r="X846" s="6">
        <v>0.99</v>
      </c>
      <c r="Y846" s="6" t="s">
        <v>353</v>
      </c>
      <c r="Z846" s="5" t="s">
        <v>8</v>
      </c>
      <c r="AA846" s="112" t="s">
        <v>67</v>
      </c>
      <c r="AB846" s="108" t="s">
        <v>76</v>
      </c>
      <c r="AC846" s="57" t="s">
        <v>77</v>
      </c>
    </row>
    <row r="847" spans="1:29" x14ac:dyDescent="0.25">
      <c r="A847" s="329">
        <v>45924</v>
      </c>
      <c r="B847" s="5">
        <v>6</v>
      </c>
      <c r="D847" s="5" t="s">
        <v>193</v>
      </c>
      <c r="E847" s="6">
        <v>3.61</v>
      </c>
      <c r="G847" s="7">
        <v>3</v>
      </c>
      <c r="H847" s="7">
        <v>2</v>
      </c>
      <c r="J847" s="8">
        <v>1.6</v>
      </c>
      <c r="L847" s="5" t="s">
        <v>70</v>
      </c>
      <c r="N847" s="56">
        <v>80</v>
      </c>
      <c r="O847" s="61" t="s">
        <v>193</v>
      </c>
      <c r="P847" s="61" t="s">
        <v>204</v>
      </c>
      <c r="Q847" s="61" t="s">
        <v>205</v>
      </c>
      <c r="R847" s="61" t="s">
        <v>696</v>
      </c>
      <c r="S847" s="218">
        <v>66</v>
      </c>
      <c r="T847" s="61" t="s">
        <v>47</v>
      </c>
      <c r="U847" s="61" t="s">
        <v>45</v>
      </c>
      <c r="V847" s="63" t="s">
        <v>10</v>
      </c>
      <c r="W847" s="51">
        <v>0.06</v>
      </c>
      <c r="X847" s="6">
        <v>0.27</v>
      </c>
      <c r="Z847" s="5" t="s">
        <v>48</v>
      </c>
      <c r="AA847" s="112" t="s">
        <v>67</v>
      </c>
    </row>
    <row r="848" spans="1:29" x14ac:dyDescent="0.25">
      <c r="A848" s="329">
        <v>45924</v>
      </c>
      <c r="B848" s="5">
        <v>6</v>
      </c>
      <c r="D848" s="5" t="s">
        <v>193</v>
      </c>
      <c r="E848" s="6">
        <v>3.61</v>
      </c>
      <c r="G848" s="7">
        <v>3</v>
      </c>
      <c r="H848" s="7">
        <v>2</v>
      </c>
      <c r="J848" s="8">
        <v>1.6</v>
      </c>
      <c r="L848" s="5" t="s">
        <v>70</v>
      </c>
      <c r="N848" s="56">
        <v>80</v>
      </c>
      <c r="O848" s="61" t="s">
        <v>193</v>
      </c>
      <c r="P848" s="61" t="s">
        <v>200</v>
      </c>
      <c r="Q848" s="61" t="s">
        <v>201</v>
      </c>
      <c r="R848" s="61" t="s">
        <v>717</v>
      </c>
      <c r="S848" s="218">
        <v>100</v>
      </c>
      <c r="T848" s="61" t="s">
        <v>47</v>
      </c>
      <c r="U848" s="61" t="s">
        <v>42</v>
      </c>
      <c r="V848" s="63" t="s">
        <v>540</v>
      </c>
      <c r="W848" s="51">
        <v>0.27</v>
      </c>
      <c r="X848" s="6">
        <v>0.71</v>
      </c>
      <c r="Y848" s="6" t="s">
        <v>353</v>
      </c>
      <c r="Z848" s="5" t="s">
        <v>8</v>
      </c>
      <c r="AA848" s="112" t="s">
        <v>189</v>
      </c>
    </row>
    <row r="849" spans="1:29" x14ac:dyDescent="0.25">
      <c r="A849" s="329">
        <v>45924</v>
      </c>
      <c r="B849" s="5">
        <v>6</v>
      </c>
      <c r="D849" s="5" t="s">
        <v>193</v>
      </c>
      <c r="E849" s="6">
        <v>3.61</v>
      </c>
      <c r="G849" s="7">
        <v>3</v>
      </c>
      <c r="H849" s="7">
        <v>2</v>
      </c>
      <c r="J849" s="8">
        <v>1.6</v>
      </c>
      <c r="L849" s="5" t="s">
        <v>70</v>
      </c>
      <c r="N849" s="56">
        <v>83</v>
      </c>
      <c r="O849" s="61" t="s">
        <v>193</v>
      </c>
      <c r="P849" s="61" t="s">
        <v>204</v>
      </c>
      <c r="Q849" s="61" t="s">
        <v>205</v>
      </c>
      <c r="R849" s="61" t="s">
        <v>696</v>
      </c>
      <c r="S849" s="218">
        <v>66</v>
      </c>
      <c r="T849" s="61" t="s">
        <v>47</v>
      </c>
      <c r="U849" s="61" t="s">
        <v>42</v>
      </c>
      <c r="V849" s="63" t="s">
        <v>10</v>
      </c>
      <c r="W849" s="51">
        <v>0.43</v>
      </c>
      <c r="X849" s="6" t="s">
        <v>53</v>
      </c>
      <c r="Y849" s="6" t="s">
        <v>353</v>
      </c>
      <c r="Z849" s="5" t="s">
        <v>17</v>
      </c>
      <c r="AA849" s="112" t="s">
        <v>189</v>
      </c>
    </row>
    <row r="850" spans="1:29" x14ac:dyDescent="0.25">
      <c r="A850" s="329">
        <v>45924</v>
      </c>
      <c r="B850" s="5">
        <v>6</v>
      </c>
      <c r="D850" s="5" t="s">
        <v>193</v>
      </c>
      <c r="E850" s="6">
        <v>3.61</v>
      </c>
      <c r="G850" s="7">
        <v>3</v>
      </c>
      <c r="H850" s="7">
        <v>2</v>
      </c>
      <c r="J850" s="8">
        <v>1.6</v>
      </c>
      <c r="L850" s="5" t="s">
        <v>70</v>
      </c>
      <c r="N850" s="56">
        <v>83</v>
      </c>
      <c r="O850" s="61" t="s">
        <v>193</v>
      </c>
      <c r="P850" s="61" t="s">
        <v>316</v>
      </c>
      <c r="Q850" s="61" t="s">
        <v>317</v>
      </c>
      <c r="R850" s="61" t="s">
        <v>712</v>
      </c>
      <c r="S850" s="218">
        <v>68</v>
      </c>
      <c r="T850" s="61" t="s">
        <v>47</v>
      </c>
      <c r="U850" s="61" t="s">
        <v>45</v>
      </c>
      <c r="V850" s="63" t="s">
        <v>20</v>
      </c>
      <c r="W850" s="51">
        <v>0.18</v>
      </c>
      <c r="X850" s="6" t="s">
        <v>53</v>
      </c>
      <c r="Z850" s="5" t="s">
        <v>13</v>
      </c>
      <c r="AA850" s="112" t="s">
        <v>189</v>
      </c>
    </row>
    <row r="851" spans="1:29" x14ac:dyDescent="0.25">
      <c r="A851" s="329">
        <v>45924</v>
      </c>
      <c r="B851" s="5">
        <v>6</v>
      </c>
      <c r="D851" s="5" t="s">
        <v>193</v>
      </c>
      <c r="E851" s="6">
        <v>3.61</v>
      </c>
      <c r="G851" s="7">
        <v>3</v>
      </c>
      <c r="H851" s="7">
        <v>2</v>
      </c>
      <c r="J851" s="8">
        <v>1.6</v>
      </c>
      <c r="L851" s="5" t="s">
        <v>70</v>
      </c>
      <c r="N851" s="56">
        <v>84</v>
      </c>
      <c r="O851" s="61" t="s">
        <v>193</v>
      </c>
      <c r="P851" s="61" t="s">
        <v>318</v>
      </c>
      <c r="Q851" s="61" t="s">
        <v>319</v>
      </c>
      <c r="R851" s="61" t="s">
        <v>696</v>
      </c>
      <c r="S851" s="218">
        <v>70</v>
      </c>
      <c r="T851" s="61" t="s">
        <v>41</v>
      </c>
      <c r="U851" s="61" t="s">
        <v>42</v>
      </c>
      <c r="V851" s="63" t="s">
        <v>10</v>
      </c>
      <c r="W851" s="51">
        <v>0.38</v>
      </c>
      <c r="X851" s="6" t="s">
        <v>53</v>
      </c>
      <c r="Y851" s="6" t="s">
        <v>353</v>
      </c>
      <c r="Z851" s="5" t="s">
        <v>13</v>
      </c>
      <c r="AA851" s="112" t="s">
        <v>189</v>
      </c>
    </row>
    <row r="852" spans="1:29" x14ac:dyDescent="0.25">
      <c r="A852" s="329">
        <v>45924</v>
      </c>
      <c r="B852" s="5">
        <v>6</v>
      </c>
      <c r="D852" s="5" t="s">
        <v>193</v>
      </c>
      <c r="E852" s="6">
        <v>3.61</v>
      </c>
      <c r="G852" s="7">
        <v>3</v>
      </c>
      <c r="H852" s="7">
        <v>2</v>
      </c>
      <c r="J852" s="8">
        <v>1.6</v>
      </c>
      <c r="L852" s="5" t="s">
        <v>70</v>
      </c>
      <c r="N852" s="56">
        <v>88</v>
      </c>
      <c r="O852" s="61" t="s">
        <v>193</v>
      </c>
      <c r="P852" s="61" t="s">
        <v>200</v>
      </c>
      <c r="Q852" s="61" t="s">
        <v>201</v>
      </c>
      <c r="R852" s="61" t="s">
        <v>717</v>
      </c>
      <c r="S852" s="218">
        <v>100</v>
      </c>
      <c r="T852" s="61" t="s">
        <v>354</v>
      </c>
      <c r="U852" s="61" t="s">
        <v>43</v>
      </c>
      <c r="V852" s="63" t="s">
        <v>10</v>
      </c>
      <c r="W852" s="51">
        <v>0.04</v>
      </c>
      <c r="X852" s="6">
        <v>0.36</v>
      </c>
      <c r="Z852" s="5" t="s">
        <v>8</v>
      </c>
      <c r="AA852" s="112" t="s">
        <v>180</v>
      </c>
      <c r="AB852" s="108" t="s">
        <v>204</v>
      </c>
      <c r="AC852" s="57" t="s">
        <v>205</v>
      </c>
    </row>
    <row r="853" spans="1:29" ht="15.75" thickBot="1" x14ac:dyDescent="0.3">
      <c r="A853" s="330">
        <v>45924</v>
      </c>
      <c r="B853" s="9">
        <v>6</v>
      </c>
      <c r="C853" s="122"/>
      <c r="D853" s="9" t="s">
        <v>193</v>
      </c>
      <c r="E853" s="10">
        <v>3.61</v>
      </c>
      <c r="F853" s="10"/>
      <c r="G853" s="11">
        <v>3</v>
      </c>
      <c r="H853" s="11">
        <v>2</v>
      </c>
      <c r="I853" s="11"/>
      <c r="J853" s="12">
        <v>1.6</v>
      </c>
      <c r="K853" s="122"/>
      <c r="L853" s="9" t="s">
        <v>70</v>
      </c>
      <c r="M853" s="45"/>
      <c r="N853" s="97" t="s">
        <v>57</v>
      </c>
      <c r="O853" s="66" t="s">
        <v>193</v>
      </c>
      <c r="P853" s="66" t="s">
        <v>204</v>
      </c>
      <c r="Q853" s="66" t="s">
        <v>205</v>
      </c>
      <c r="R853" s="66" t="s">
        <v>696</v>
      </c>
      <c r="S853" s="219">
        <v>66</v>
      </c>
      <c r="T853" s="66" t="s">
        <v>41</v>
      </c>
      <c r="U853" s="66" t="s">
        <v>42</v>
      </c>
      <c r="V853" s="67" t="s">
        <v>10</v>
      </c>
      <c r="W853" s="52">
        <v>0.61</v>
      </c>
      <c r="X853" s="10" t="s">
        <v>53</v>
      </c>
      <c r="Y853" s="10" t="s">
        <v>353</v>
      </c>
      <c r="Z853" s="9" t="s">
        <v>13</v>
      </c>
      <c r="AA853" s="113" t="s">
        <v>180</v>
      </c>
      <c r="AB853" s="109"/>
      <c r="AC853" s="58"/>
    </row>
    <row r="854" spans="1:29" ht="15.75" thickBot="1" x14ac:dyDescent="0.3">
      <c r="A854" s="326">
        <v>45924</v>
      </c>
      <c r="B854" s="207">
        <v>6</v>
      </c>
      <c r="C854" s="208"/>
      <c r="D854" s="207" t="s">
        <v>193</v>
      </c>
      <c r="E854" s="209">
        <v>3.61</v>
      </c>
      <c r="F854" s="209"/>
      <c r="G854" s="210">
        <v>3</v>
      </c>
      <c r="H854" s="210">
        <v>2</v>
      </c>
      <c r="I854" s="210"/>
      <c r="J854" s="211">
        <v>1.6</v>
      </c>
      <c r="K854" s="208"/>
      <c r="L854" s="207" t="s">
        <v>70</v>
      </c>
      <c r="M854" s="235"/>
      <c r="N854" s="198"/>
      <c r="O854" s="199" t="s">
        <v>193</v>
      </c>
      <c r="P854" s="199" t="s">
        <v>580</v>
      </c>
      <c r="Q854" s="199" t="s">
        <v>581</v>
      </c>
      <c r="R854" s="199" t="s">
        <v>707</v>
      </c>
      <c r="S854" s="200">
        <v>62</v>
      </c>
      <c r="T854" s="199"/>
      <c r="U854" s="199"/>
      <c r="V854" s="201"/>
      <c r="W854" s="202"/>
      <c r="X854" s="203"/>
      <c r="Y854" s="203">
        <v>2</v>
      </c>
      <c r="Z854" s="199"/>
      <c r="AA854" s="204"/>
      <c r="AB854" s="205"/>
      <c r="AC854" s="201"/>
    </row>
    <row r="855" spans="1:29" ht="15.75" thickBot="1" x14ac:dyDescent="0.3">
      <c r="A855" s="326">
        <v>45924</v>
      </c>
      <c r="B855" s="207">
        <v>6</v>
      </c>
      <c r="C855" s="208"/>
      <c r="D855" s="207" t="s">
        <v>193</v>
      </c>
      <c r="E855" s="209">
        <v>3.61</v>
      </c>
      <c r="F855" s="209"/>
      <c r="G855" s="210">
        <v>3</v>
      </c>
      <c r="H855" s="210">
        <v>2</v>
      </c>
      <c r="I855" s="210"/>
      <c r="J855" s="211">
        <v>1.6</v>
      </c>
      <c r="K855" s="208"/>
      <c r="L855" s="207" t="s">
        <v>70</v>
      </c>
      <c r="M855" s="235"/>
      <c r="N855" s="198"/>
      <c r="O855" s="199" t="s">
        <v>70</v>
      </c>
      <c r="P855" s="199" t="s">
        <v>714</v>
      </c>
      <c r="Q855" s="199" t="s">
        <v>715</v>
      </c>
      <c r="R855" s="199" t="s">
        <v>707</v>
      </c>
      <c r="S855" s="200">
        <v>77</v>
      </c>
      <c r="T855" s="199"/>
      <c r="U855" s="199"/>
      <c r="V855" s="201"/>
      <c r="W855" s="202"/>
      <c r="X855" s="203"/>
      <c r="Y855" s="203">
        <v>3</v>
      </c>
      <c r="Z855" s="199"/>
      <c r="AA855" s="204"/>
      <c r="AB855" s="205"/>
      <c r="AC855" s="201"/>
    </row>
    <row r="856" spans="1:29" x14ac:dyDescent="0.25">
      <c r="A856" s="331">
        <v>45935</v>
      </c>
      <c r="B856" s="13">
        <v>8</v>
      </c>
      <c r="C856" s="124" t="s">
        <v>697</v>
      </c>
      <c r="D856" s="13" t="s">
        <v>146</v>
      </c>
      <c r="E856" s="14">
        <v>0.79</v>
      </c>
      <c r="F856" s="14"/>
      <c r="G856" s="15">
        <v>0</v>
      </c>
      <c r="H856" s="15">
        <v>1</v>
      </c>
      <c r="I856" s="15"/>
      <c r="J856" s="16">
        <v>0.8</v>
      </c>
      <c r="K856" s="124" t="s">
        <v>693</v>
      </c>
      <c r="L856" s="13" t="s">
        <v>70</v>
      </c>
      <c r="M856" s="47"/>
      <c r="N856" s="98">
        <v>37</v>
      </c>
      <c r="O856" s="79" t="s">
        <v>70</v>
      </c>
      <c r="P856" s="79" t="s">
        <v>458</v>
      </c>
      <c r="Q856" s="79" t="s">
        <v>73</v>
      </c>
      <c r="R856" s="79" t="s">
        <v>686</v>
      </c>
      <c r="S856" s="224">
        <v>67</v>
      </c>
      <c r="T856" s="79" t="s">
        <v>354</v>
      </c>
      <c r="U856" s="79" t="s">
        <v>42</v>
      </c>
      <c r="V856" s="80" t="s">
        <v>540</v>
      </c>
      <c r="W856" s="54">
        <v>0.1</v>
      </c>
      <c r="X856" s="14" t="s">
        <v>53</v>
      </c>
      <c r="Y856" s="14" t="s">
        <v>353</v>
      </c>
      <c r="Z856" s="13" t="s">
        <v>16</v>
      </c>
      <c r="AA856" s="115" t="s">
        <v>28</v>
      </c>
      <c r="AB856" s="110"/>
      <c r="AC856" s="60"/>
    </row>
    <row r="857" spans="1:29" x14ac:dyDescent="0.25">
      <c r="A857" s="329">
        <v>45935</v>
      </c>
      <c r="B857" s="5">
        <v>8</v>
      </c>
      <c r="D857" s="5" t="s">
        <v>146</v>
      </c>
      <c r="E857" s="6">
        <v>0.79</v>
      </c>
      <c r="G857" s="7">
        <v>0</v>
      </c>
      <c r="H857" s="7">
        <v>1</v>
      </c>
      <c r="J857" s="8">
        <v>0.8</v>
      </c>
      <c r="L857" s="5" t="s">
        <v>70</v>
      </c>
      <c r="N857" s="56">
        <v>49</v>
      </c>
      <c r="O857" s="61" t="s">
        <v>146</v>
      </c>
      <c r="P857" s="61" t="s">
        <v>159</v>
      </c>
      <c r="Q857" s="61" t="s">
        <v>160</v>
      </c>
      <c r="R857" s="61" t="s">
        <v>684</v>
      </c>
      <c r="S857" s="218">
        <v>68</v>
      </c>
      <c r="T857" s="61" t="s">
        <v>41</v>
      </c>
      <c r="U857" s="61" t="s">
        <v>43</v>
      </c>
      <c r="V857" s="63" t="s">
        <v>10</v>
      </c>
      <c r="W857" s="51">
        <v>0.12</v>
      </c>
      <c r="X857" s="6" t="s">
        <v>53</v>
      </c>
      <c r="Z857" s="5" t="s">
        <v>52</v>
      </c>
      <c r="AA857" s="112" t="s">
        <v>28</v>
      </c>
    </row>
    <row r="858" spans="1:29" x14ac:dyDescent="0.25">
      <c r="A858" s="329">
        <v>45935</v>
      </c>
      <c r="B858" s="5">
        <v>8</v>
      </c>
      <c r="D858" s="5" t="s">
        <v>146</v>
      </c>
      <c r="E858" s="6">
        <v>0.79</v>
      </c>
      <c r="G858" s="7">
        <v>0</v>
      </c>
      <c r="H858" s="7">
        <v>1</v>
      </c>
      <c r="J858" s="8">
        <v>0.8</v>
      </c>
      <c r="L858" s="5" t="s">
        <v>70</v>
      </c>
      <c r="N858" s="56">
        <v>49</v>
      </c>
      <c r="O858" s="61" t="s">
        <v>146</v>
      </c>
      <c r="P858" s="61" t="s">
        <v>298</v>
      </c>
      <c r="Q858" s="61" t="s">
        <v>422</v>
      </c>
      <c r="R858" s="61" t="s">
        <v>688</v>
      </c>
      <c r="S858" s="218">
        <v>68</v>
      </c>
      <c r="T858" s="61" t="s">
        <v>41</v>
      </c>
      <c r="U858" s="61" t="s">
        <v>43</v>
      </c>
      <c r="V858" s="63" t="s">
        <v>20</v>
      </c>
      <c r="W858" s="51">
        <v>0.13</v>
      </c>
      <c r="X858" s="6" t="s">
        <v>53</v>
      </c>
      <c r="Y858" s="6" t="s">
        <v>353</v>
      </c>
      <c r="Z858" s="5" t="s">
        <v>52</v>
      </c>
      <c r="AA858" s="112" t="s">
        <v>28</v>
      </c>
    </row>
    <row r="859" spans="1:29" x14ac:dyDescent="0.25">
      <c r="A859" s="329">
        <v>45935</v>
      </c>
      <c r="B859" s="5">
        <v>8</v>
      </c>
      <c r="D859" s="5" t="s">
        <v>146</v>
      </c>
      <c r="E859" s="6">
        <v>0.79</v>
      </c>
      <c r="G859" s="7">
        <v>0</v>
      </c>
      <c r="H859" s="7">
        <v>1</v>
      </c>
      <c r="J859" s="8">
        <v>0.8</v>
      </c>
      <c r="L859" s="5" t="s">
        <v>70</v>
      </c>
      <c r="N859" s="56">
        <v>53</v>
      </c>
      <c r="O859" s="61" t="s">
        <v>146</v>
      </c>
      <c r="P859" s="61" t="s">
        <v>159</v>
      </c>
      <c r="Q859" s="61" t="s">
        <v>160</v>
      </c>
      <c r="R859" s="61" t="s">
        <v>684</v>
      </c>
      <c r="S859" s="218">
        <v>68</v>
      </c>
      <c r="T859" s="61" t="s">
        <v>354</v>
      </c>
      <c r="U859" s="61" t="s">
        <v>43</v>
      </c>
      <c r="V859" s="63" t="s">
        <v>10</v>
      </c>
      <c r="W859" s="51">
        <v>0.03</v>
      </c>
      <c r="X859" s="6">
        <v>0.62</v>
      </c>
      <c r="Z859" s="5" t="s">
        <v>48</v>
      </c>
      <c r="AA859" s="112" t="s">
        <v>28</v>
      </c>
    </row>
    <row r="860" spans="1:29" x14ac:dyDescent="0.25">
      <c r="A860" s="329">
        <v>45935</v>
      </c>
      <c r="B860" s="5">
        <v>8</v>
      </c>
      <c r="D860" s="5" t="s">
        <v>146</v>
      </c>
      <c r="E860" s="6">
        <v>0.79</v>
      </c>
      <c r="G860" s="7">
        <v>0</v>
      </c>
      <c r="H860" s="7">
        <v>1</v>
      </c>
      <c r="J860" s="8">
        <v>0.8</v>
      </c>
      <c r="L860" s="5" t="s">
        <v>70</v>
      </c>
      <c r="N860" s="56">
        <v>57</v>
      </c>
      <c r="O860" s="26" t="s">
        <v>70</v>
      </c>
      <c r="P860" s="26" t="s">
        <v>80</v>
      </c>
      <c r="Q860" s="26" t="s">
        <v>81</v>
      </c>
      <c r="R860" s="26" t="s">
        <v>688</v>
      </c>
      <c r="S860" s="213">
        <v>72</v>
      </c>
      <c r="T860" s="26" t="s">
        <v>41</v>
      </c>
      <c r="U860" s="26" t="s">
        <v>43</v>
      </c>
      <c r="V860" s="43" t="s">
        <v>10</v>
      </c>
      <c r="W860" s="51">
        <v>0.12</v>
      </c>
      <c r="X860" s="6" t="s">
        <v>53</v>
      </c>
      <c r="Y860" s="6" t="s">
        <v>353</v>
      </c>
      <c r="Z860" s="5" t="s">
        <v>52</v>
      </c>
      <c r="AA860" s="112" t="s">
        <v>28</v>
      </c>
    </row>
    <row r="861" spans="1:29" x14ac:dyDescent="0.25">
      <c r="A861" s="329">
        <v>45935</v>
      </c>
      <c r="B861" s="5">
        <v>8</v>
      </c>
      <c r="D861" s="5" t="s">
        <v>146</v>
      </c>
      <c r="E861" s="6">
        <v>0.79</v>
      </c>
      <c r="G861" s="7">
        <v>0</v>
      </c>
      <c r="H861" s="7">
        <v>1</v>
      </c>
      <c r="J861" s="8">
        <v>0.8</v>
      </c>
      <c r="L861" s="5" t="s">
        <v>70</v>
      </c>
      <c r="N861" s="56">
        <v>68</v>
      </c>
      <c r="O861" s="61" t="s">
        <v>146</v>
      </c>
      <c r="P861" s="61" t="s">
        <v>159</v>
      </c>
      <c r="Q861" s="61" t="s">
        <v>160</v>
      </c>
      <c r="R861" s="61" t="s">
        <v>684</v>
      </c>
      <c r="S861" s="218">
        <v>68</v>
      </c>
      <c r="T861" s="61" t="s">
        <v>47</v>
      </c>
      <c r="U861" s="61" t="s">
        <v>42</v>
      </c>
      <c r="V861" s="63" t="s">
        <v>18</v>
      </c>
      <c r="W861" s="51">
        <v>0.11</v>
      </c>
      <c r="X861" s="6" t="s">
        <v>53</v>
      </c>
      <c r="Z861" s="5" t="s">
        <v>52</v>
      </c>
      <c r="AA861" s="112" t="s">
        <v>28</v>
      </c>
    </row>
    <row r="862" spans="1:29" x14ac:dyDescent="0.25">
      <c r="A862" s="329">
        <v>45935</v>
      </c>
      <c r="B862" s="5">
        <v>8</v>
      </c>
      <c r="D862" s="5" t="s">
        <v>146</v>
      </c>
      <c r="E862" s="6">
        <v>0.79</v>
      </c>
      <c r="G862" s="7">
        <v>0</v>
      </c>
      <c r="H862" s="7">
        <v>1</v>
      </c>
      <c r="J862" s="8">
        <v>0.8</v>
      </c>
      <c r="L862" s="5" t="s">
        <v>70</v>
      </c>
      <c r="N862" s="56">
        <v>81</v>
      </c>
      <c r="O862" s="26" t="s">
        <v>70</v>
      </c>
      <c r="P862" s="26" t="s">
        <v>457</v>
      </c>
      <c r="Q862" s="26" t="s">
        <v>138</v>
      </c>
      <c r="R862" s="26" t="s">
        <v>696</v>
      </c>
      <c r="S862" s="213">
        <v>64</v>
      </c>
      <c r="T862" s="26" t="s">
        <v>354</v>
      </c>
      <c r="U862" s="26" t="s">
        <v>42</v>
      </c>
      <c r="V862" s="43" t="s">
        <v>33</v>
      </c>
      <c r="W862" s="51">
        <v>0.01</v>
      </c>
      <c r="X862" s="6">
        <v>0.23</v>
      </c>
      <c r="Z862" s="5" t="s">
        <v>48</v>
      </c>
      <c r="AA862" s="112" t="s">
        <v>28</v>
      </c>
    </row>
    <row r="863" spans="1:29" x14ac:dyDescent="0.25">
      <c r="A863" s="329">
        <v>45935</v>
      </c>
      <c r="B863" s="5">
        <v>8</v>
      </c>
      <c r="D863" s="5" t="s">
        <v>146</v>
      </c>
      <c r="E863" s="6">
        <v>0.79</v>
      </c>
      <c r="G863" s="7">
        <v>0</v>
      </c>
      <c r="H863" s="7">
        <v>1</v>
      </c>
      <c r="J863" s="8">
        <v>0.8</v>
      </c>
      <c r="L863" s="5" t="s">
        <v>70</v>
      </c>
      <c r="N863" s="56">
        <v>82</v>
      </c>
      <c r="O863" s="26" t="s">
        <v>70</v>
      </c>
      <c r="P863" s="26" t="s">
        <v>578</v>
      </c>
      <c r="Q863" s="26" t="s">
        <v>579</v>
      </c>
      <c r="R863" s="26" t="s">
        <v>696</v>
      </c>
      <c r="S863" s="213">
        <v>64</v>
      </c>
      <c r="T863" s="26" t="s">
        <v>41</v>
      </c>
      <c r="U863" s="26" t="s">
        <v>45</v>
      </c>
      <c r="V863" s="43" t="s">
        <v>20</v>
      </c>
      <c r="W863" s="51">
        <v>0.04</v>
      </c>
      <c r="X863" s="6" t="s">
        <v>53</v>
      </c>
      <c r="Z863" s="5" t="s">
        <v>16</v>
      </c>
      <c r="AA863" s="112" t="s">
        <v>28</v>
      </c>
    </row>
    <row r="864" spans="1:29" x14ac:dyDescent="0.25">
      <c r="A864" s="329">
        <v>45935</v>
      </c>
      <c r="B864" s="5">
        <v>8</v>
      </c>
      <c r="D864" s="5" t="s">
        <v>146</v>
      </c>
      <c r="E864" s="6">
        <v>0.79</v>
      </c>
      <c r="G864" s="7">
        <v>0</v>
      </c>
      <c r="H864" s="7">
        <v>1</v>
      </c>
      <c r="J864" s="8">
        <v>0.8</v>
      </c>
      <c r="L864" s="5" t="s">
        <v>70</v>
      </c>
      <c r="N864" s="56">
        <v>84</v>
      </c>
      <c r="O864" s="26" t="s">
        <v>70</v>
      </c>
      <c r="P864" s="26" t="s">
        <v>575</v>
      </c>
      <c r="Q864" s="26" t="s">
        <v>576</v>
      </c>
      <c r="R864" s="26" t="s">
        <v>696</v>
      </c>
      <c r="S864" s="213">
        <v>76</v>
      </c>
      <c r="T864" s="26" t="s">
        <v>41</v>
      </c>
      <c r="U864" s="26" t="s">
        <v>43</v>
      </c>
      <c r="V864" s="43" t="s">
        <v>18</v>
      </c>
      <c r="W864" s="51">
        <v>0.43</v>
      </c>
      <c r="X864" s="6">
        <v>0.39</v>
      </c>
      <c r="Y864" s="6" t="s">
        <v>353</v>
      </c>
      <c r="Z864" s="5" t="s">
        <v>8</v>
      </c>
      <c r="AA864" s="112" t="s">
        <v>9</v>
      </c>
      <c r="AB864" s="108" t="s">
        <v>349</v>
      </c>
      <c r="AC864" s="57" t="s">
        <v>350</v>
      </c>
    </row>
    <row r="865" spans="1:29" ht="15.75" thickBot="1" x14ac:dyDescent="0.3">
      <c r="A865" s="330">
        <v>45935</v>
      </c>
      <c r="B865" s="9">
        <v>8</v>
      </c>
      <c r="C865" s="122"/>
      <c r="D865" s="9" t="s">
        <v>146</v>
      </c>
      <c r="E865" s="10">
        <v>0.79</v>
      </c>
      <c r="F865" s="10"/>
      <c r="G865" s="11">
        <v>0</v>
      </c>
      <c r="H865" s="11">
        <v>1</v>
      </c>
      <c r="I865" s="11"/>
      <c r="J865" s="12">
        <v>0.8</v>
      </c>
      <c r="K865" s="122"/>
      <c r="L865" s="9" t="s">
        <v>70</v>
      </c>
      <c r="M865" s="45"/>
      <c r="N865" s="97" t="s">
        <v>57</v>
      </c>
      <c r="O865" s="66" t="s">
        <v>146</v>
      </c>
      <c r="P865" s="66" t="s">
        <v>419</v>
      </c>
      <c r="Q865" s="66" t="s">
        <v>577</v>
      </c>
      <c r="R865" s="66" t="s">
        <v>696</v>
      </c>
      <c r="S865" s="219">
        <v>64</v>
      </c>
      <c r="T865" s="66" t="s">
        <v>41</v>
      </c>
      <c r="U865" s="66" t="s">
        <v>43</v>
      </c>
      <c r="V865" s="67" t="s">
        <v>10</v>
      </c>
      <c r="W865" s="52">
        <v>0.16</v>
      </c>
      <c r="X865" s="10">
        <v>0.37</v>
      </c>
      <c r="Y865" s="10"/>
      <c r="Z865" s="9" t="s">
        <v>48</v>
      </c>
      <c r="AA865" s="113" t="s">
        <v>9</v>
      </c>
      <c r="AB865" s="109"/>
      <c r="AC865" s="58"/>
    </row>
    <row r="866" spans="1:29" ht="15.75" thickBot="1" x14ac:dyDescent="0.3">
      <c r="A866" s="326">
        <v>45935</v>
      </c>
      <c r="B866" s="207">
        <v>8</v>
      </c>
      <c r="C866" s="208"/>
      <c r="D866" s="207" t="s">
        <v>146</v>
      </c>
      <c r="E866" s="209">
        <v>0.79</v>
      </c>
      <c r="F866" s="209"/>
      <c r="G866" s="210">
        <v>0</v>
      </c>
      <c r="H866" s="210">
        <v>1</v>
      </c>
      <c r="I866" s="210"/>
      <c r="J866" s="211">
        <v>0.8</v>
      </c>
      <c r="K866" s="208"/>
      <c r="L866" s="207" t="s">
        <v>70</v>
      </c>
      <c r="M866" s="235"/>
      <c r="N866" s="198"/>
      <c r="O866" s="199" t="s">
        <v>146</v>
      </c>
      <c r="P866" s="199" t="s">
        <v>176</v>
      </c>
      <c r="Q866" s="199" t="s">
        <v>423</v>
      </c>
      <c r="R866" s="199" t="s">
        <v>707</v>
      </c>
      <c r="S866" s="200">
        <v>69</v>
      </c>
      <c r="T866" s="199"/>
      <c r="U866" s="199"/>
      <c r="V866" s="201"/>
      <c r="W866" s="202"/>
      <c r="X866" s="203"/>
      <c r="Y866" s="203">
        <v>1</v>
      </c>
      <c r="Z866" s="199"/>
      <c r="AA866" s="204"/>
      <c r="AB866" s="205"/>
      <c r="AC866" s="201"/>
    </row>
    <row r="867" spans="1:29" ht="15.75" thickBot="1" x14ac:dyDescent="0.3">
      <c r="A867" s="326">
        <v>45935</v>
      </c>
      <c r="B867" s="207">
        <v>8</v>
      </c>
      <c r="C867" s="208"/>
      <c r="D867" s="207" t="s">
        <v>146</v>
      </c>
      <c r="E867" s="209">
        <v>0.79</v>
      </c>
      <c r="F867" s="209"/>
      <c r="G867" s="210">
        <v>0</v>
      </c>
      <c r="H867" s="210">
        <v>1</v>
      </c>
      <c r="I867" s="210"/>
      <c r="J867" s="211">
        <v>0.8</v>
      </c>
      <c r="K867" s="208"/>
      <c r="L867" s="207" t="s">
        <v>70</v>
      </c>
      <c r="M867" s="235"/>
      <c r="N867" s="198"/>
      <c r="O867" s="199" t="s">
        <v>70</v>
      </c>
      <c r="P867" s="199" t="s">
        <v>714</v>
      </c>
      <c r="Q867" s="199" t="s">
        <v>715</v>
      </c>
      <c r="R867" s="199" t="s">
        <v>707</v>
      </c>
      <c r="S867" s="200">
        <v>75</v>
      </c>
      <c r="T867" s="199"/>
      <c r="U867" s="199"/>
      <c r="V867" s="201"/>
      <c r="W867" s="202"/>
      <c r="X867" s="203"/>
      <c r="Y867" s="203">
        <v>0</v>
      </c>
      <c r="Z867" s="199"/>
      <c r="AA867" s="204"/>
      <c r="AB867" s="205"/>
      <c r="AC867" s="201"/>
    </row>
    <row r="868" spans="1:29" x14ac:dyDescent="0.25">
      <c r="A868" s="323">
        <v>45913</v>
      </c>
      <c r="B868" s="136">
        <v>4</v>
      </c>
      <c r="C868" s="137" t="s">
        <v>701</v>
      </c>
      <c r="D868" s="136" t="s">
        <v>161</v>
      </c>
      <c r="E868" s="138">
        <v>0.75</v>
      </c>
      <c r="F868" s="138"/>
      <c r="G868" s="139">
        <v>2</v>
      </c>
      <c r="H868" s="139">
        <v>0</v>
      </c>
      <c r="I868" s="139"/>
      <c r="J868" s="140">
        <v>0.46</v>
      </c>
      <c r="K868" s="137" t="s">
        <v>693</v>
      </c>
      <c r="L868" s="136" t="s">
        <v>92</v>
      </c>
      <c r="M868" s="141" t="s">
        <v>369</v>
      </c>
      <c r="N868" s="142">
        <v>22</v>
      </c>
      <c r="O868" s="77" t="s">
        <v>92</v>
      </c>
      <c r="P868" s="77" t="s">
        <v>176</v>
      </c>
      <c r="Q868" s="77" t="s">
        <v>368</v>
      </c>
      <c r="R868" s="77" t="s">
        <v>684</v>
      </c>
      <c r="S868" s="220">
        <v>65</v>
      </c>
      <c r="T868" s="77" t="s">
        <v>41</v>
      </c>
      <c r="U868" s="77" t="s">
        <v>42</v>
      </c>
      <c r="V868" s="78" t="s">
        <v>18</v>
      </c>
      <c r="W868" s="167">
        <v>0.22</v>
      </c>
      <c r="X868" s="138" t="s">
        <v>53</v>
      </c>
      <c r="Y868" s="138"/>
      <c r="Z868" s="136" t="s">
        <v>52</v>
      </c>
      <c r="AA868" s="168" t="s">
        <v>28</v>
      </c>
      <c r="AB868" s="169"/>
      <c r="AC868" s="170"/>
    </row>
    <row r="869" spans="1:29" x14ac:dyDescent="0.25">
      <c r="A869" s="324">
        <v>45913</v>
      </c>
      <c r="B869" s="144">
        <v>4</v>
      </c>
      <c r="C869" s="145"/>
      <c r="D869" s="144" t="s">
        <v>161</v>
      </c>
      <c r="E869" s="146">
        <v>0.75</v>
      </c>
      <c r="F869" s="146"/>
      <c r="G869" s="147">
        <v>2</v>
      </c>
      <c r="H869" s="147">
        <v>0</v>
      </c>
      <c r="I869" s="147"/>
      <c r="J869" s="148">
        <v>0.46</v>
      </c>
      <c r="K869" s="145"/>
      <c r="L869" s="144" t="s">
        <v>92</v>
      </c>
      <c r="M869" s="165" t="s">
        <v>369</v>
      </c>
      <c r="N869" s="150">
        <v>28</v>
      </c>
      <c r="O869" s="61" t="s">
        <v>161</v>
      </c>
      <c r="P869" s="61" t="s">
        <v>168</v>
      </c>
      <c r="Q869" s="61" t="s">
        <v>169</v>
      </c>
      <c r="R869" s="61" t="s">
        <v>718</v>
      </c>
      <c r="S869" s="218">
        <v>61</v>
      </c>
      <c r="T869" s="61" t="s">
        <v>41</v>
      </c>
      <c r="U869" s="61" t="s">
        <v>43</v>
      </c>
      <c r="V869" s="63" t="s">
        <v>10</v>
      </c>
      <c r="W869" s="171">
        <v>0.04</v>
      </c>
      <c r="X869" s="146" t="s">
        <v>53</v>
      </c>
      <c r="Y869" s="146"/>
      <c r="Z869" s="144" t="s">
        <v>22</v>
      </c>
      <c r="AA869" s="172" t="s">
        <v>28</v>
      </c>
      <c r="AB869" s="173"/>
      <c r="AC869" s="174"/>
    </row>
    <row r="870" spans="1:29" x14ac:dyDescent="0.25">
      <c r="A870" s="332"/>
      <c r="B870" s="237"/>
      <c r="C870" s="238"/>
      <c r="D870" s="237"/>
      <c r="E870" s="239"/>
      <c r="F870" s="239"/>
      <c r="G870" s="240"/>
      <c r="H870" s="240"/>
      <c r="I870" s="240"/>
      <c r="J870" s="241"/>
      <c r="K870" s="238"/>
      <c r="L870" s="237"/>
      <c r="M870" s="268"/>
      <c r="N870" s="243"/>
      <c r="O870" s="237"/>
      <c r="P870" s="237"/>
      <c r="Q870" s="237"/>
      <c r="R870" s="237"/>
      <c r="S870" s="240"/>
      <c r="T870" s="237"/>
      <c r="U870" s="237"/>
      <c r="V870" s="244"/>
      <c r="W870" s="245"/>
      <c r="X870" s="239"/>
      <c r="Y870" s="239" t="s">
        <v>741</v>
      </c>
      <c r="Z870" s="237"/>
      <c r="AA870" s="246"/>
      <c r="AB870" s="247"/>
      <c r="AC870" s="244"/>
    </row>
    <row r="871" spans="1:29" x14ac:dyDescent="0.25">
      <c r="A871" s="324">
        <v>45913</v>
      </c>
      <c r="B871" s="144">
        <v>4</v>
      </c>
      <c r="C871" s="145"/>
      <c r="D871" s="144" t="s">
        <v>161</v>
      </c>
      <c r="E871" s="146">
        <v>0.75</v>
      </c>
      <c r="F871" s="146"/>
      <c r="G871" s="147">
        <v>2</v>
      </c>
      <c r="H871" s="147">
        <v>0</v>
      </c>
      <c r="I871" s="147"/>
      <c r="J871" s="148">
        <v>0.46</v>
      </c>
      <c r="K871" s="145"/>
      <c r="L871" s="144" t="s">
        <v>92</v>
      </c>
      <c r="M871" s="165" t="s">
        <v>369</v>
      </c>
      <c r="N871" s="150" t="s">
        <v>63</v>
      </c>
      <c r="O871" s="61" t="s">
        <v>161</v>
      </c>
      <c r="P871" s="61" t="s">
        <v>364</v>
      </c>
      <c r="Q871" s="61" t="s">
        <v>365</v>
      </c>
      <c r="R871" s="61" t="s">
        <v>695</v>
      </c>
      <c r="S871" s="218">
        <v>74</v>
      </c>
      <c r="T871" s="61" t="s">
        <v>47</v>
      </c>
      <c r="U871" s="61" t="s">
        <v>45</v>
      </c>
      <c r="V871" s="63" t="s">
        <v>33</v>
      </c>
      <c r="W871" s="171">
        <v>0.23</v>
      </c>
      <c r="X871" s="146">
        <v>0.64</v>
      </c>
      <c r="Y871" s="146" t="s">
        <v>353</v>
      </c>
      <c r="Z871" s="144" t="s">
        <v>8</v>
      </c>
      <c r="AA871" s="172" t="s">
        <v>19</v>
      </c>
      <c r="AB871" s="173" t="s">
        <v>315</v>
      </c>
      <c r="AC871" s="174" t="s">
        <v>199</v>
      </c>
    </row>
    <row r="872" spans="1:29" x14ac:dyDescent="0.25">
      <c r="A872" s="324">
        <v>45913</v>
      </c>
      <c r="B872" s="144">
        <v>4</v>
      </c>
      <c r="C872" s="145"/>
      <c r="D872" s="144" t="s">
        <v>161</v>
      </c>
      <c r="E872" s="146">
        <v>0.75</v>
      </c>
      <c r="F872" s="146"/>
      <c r="G872" s="147">
        <v>2</v>
      </c>
      <c r="H872" s="147">
        <v>0</v>
      </c>
      <c r="I872" s="147"/>
      <c r="J872" s="148">
        <v>0.46</v>
      </c>
      <c r="K872" s="145"/>
      <c r="L872" s="144" t="s">
        <v>92</v>
      </c>
      <c r="M872" s="165" t="s">
        <v>369</v>
      </c>
      <c r="N872" s="150" t="s">
        <v>266</v>
      </c>
      <c r="O872" s="26" t="s">
        <v>92</v>
      </c>
      <c r="P872" s="26" t="s">
        <v>332</v>
      </c>
      <c r="Q872" s="26" t="s">
        <v>370</v>
      </c>
      <c r="R872" s="26" t="s">
        <v>687</v>
      </c>
      <c r="S872" s="213">
        <v>70</v>
      </c>
      <c r="T872" s="26" t="s">
        <v>354</v>
      </c>
      <c r="U872" s="26" t="s">
        <v>42</v>
      </c>
      <c r="V872" s="43" t="s">
        <v>10</v>
      </c>
      <c r="W872" s="171">
        <v>0.03</v>
      </c>
      <c r="X872" s="146" t="s">
        <v>53</v>
      </c>
      <c r="Y872" s="146"/>
      <c r="Z872" s="144" t="s">
        <v>17</v>
      </c>
      <c r="AA872" s="172" t="s">
        <v>19</v>
      </c>
      <c r="AB872" s="173"/>
      <c r="AC872" s="174"/>
    </row>
    <row r="873" spans="1:29" x14ac:dyDescent="0.25">
      <c r="A873" s="324">
        <v>45913</v>
      </c>
      <c r="B873" s="144">
        <v>4</v>
      </c>
      <c r="C873" s="145"/>
      <c r="D873" s="144" t="s">
        <v>161</v>
      </c>
      <c r="E873" s="146">
        <v>0.75</v>
      </c>
      <c r="F873" s="146"/>
      <c r="G873" s="147">
        <v>2</v>
      </c>
      <c r="H873" s="147">
        <v>0</v>
      </c>
      <c r="I873" s="147"/>
      <c r="J873" s="148">
        <v>0.46</v>
      </c>
      <c r="K873" s="145"/>
      <c r="L873" s="144" t="s">
        <v>92</v>
      </c>
      <c r="M873" s="165" t="s">
        <v>369</v>
      </c>
      <c r="N873" s="150" t="s">
        <v>366</v>
      </c>
      <c r="O873" s="61" t="s">
        <v>161</v>
      </c>
      <c r="P873" s="61" t="s">
        <v>26</v>
      </c>
      <c r="Q873" s="61" t="s">
        <v>302</v>
      </c>
      <c r="R873" s="61" t="s">
        <v>695</v>
      </c>
      <c r="S873" s="218">
        <v>67</v>
      </c>
      <c r="T873" s="61" t="s">
        <v>354</v>
      </c>
      <c r="U873" s="61" t="s">
        <v>42</v>
      </c>
      <c r="V873" s="63" t="s">
        <v>540</v>
      </c>
      <c r="W873" s="171">
        <v>0.02</v>
      </c>
      <c r="X873" s="146">
        <v>0.16</v>
      </c>
      <c r="Y873" s="146"/>
      <c r="Z873" s="144" t="s">
        <v>48</v>
      </c>
      <c r="AA873" s="172" t="s">
        <v>19</v>
      </c>
      <c r="AB873" s="173"/>
      <c r="AC873" s="174"/>
    </row>
    <row r="874" spans="1:29" x14ac:dyDescent="0.25">
      <c r="A874" s="324">
        <v>45913</v>
      </c>
      <c r="B874" s="144">
        <v>4</v>
      </c>
      <c r="C874" s="145"/>
      <c r="D874" s="144" t="s">
        <v>161</v>
      </c>
      <c r="E874" s="146">
        <v>0.75</v>
      </c>
      <c r="F874" s="146"/>
      <c r="G874" s="147">
        <v>2</v>
      </c>
      <c r="H874" s="147">
        <v>0</v>
      </c>
      <c r="I874" s="147"/>
      <c r="J874" s="148">
        <v>0.46</v>
      </c>
      <c r="K874" s="145"/>
      <c r="L874" s="144" t="s">
        <v>92</v>
      </c>
      <c r="M874" s="149" t="s">
        <v>369</v>
      </c>
      <c r="N874" s="150" t="s">
        <v>367</v>
      </c>
      <c r="O874" s="61" t="s">
        <v>161</v>
      </c>
      <c r="P874" s="61" t="s">
        <v>313</v>
      </c>
      <c r="Q874" s="61" t="s">
        <v>314</v>
      </c>
      <c r="R874" s="61" t="s">
        <v>717</v>
      </c>
      <c r="S874" s="218">
        <v>78</v>
      </c>
      <c r="T874" s="61" t="s">
        <v>47</v>
      </c>
      <c r="U874" s="61" t="s">
        <v>45</v>
      </c>
      <c r="V874" s="63" t="s">
        <v>20</v>
      </c>
      <c r="W874" s="171">
        <v>0.13</v>
      </c>
      <c r="X874" s="146">
        <v>0.87</v>
      </c>
      <c r="Y874" s="146" t="s">
        <v>353</v>
      </c>
      <c r="Z874" s="144" t="s">
        <v>8</v>
      </c>
      <c r="AA874" s="172" t="s">
        <v>24</v>
      </c>
      <c r="AB874" s="173" t="s">
        <v>315</v>
      </c>
      <c r="AC874" s="174" t="s">
        <v>199</v>
      </c>
    </row>
    <row r="875" spans="1:29" x14ac:dyDescent="0.25">
      <c r="A875" s="324">
        <v>45913</v>
      </c>
      <c r="B875" s="144">
        <v>4</v>
      </c>
      <c r="C875" s="145"/>
      <c r="D875" s="144" t="s">
        <v>161</v>
      </c>
      <c r="E875" s="146">
        <v>0.75</v>
      </c>
      <c r="F875" s="146"/>
      <c r="G875" s="147">
        <v>2</v>
      </c>
      <c r="H875" s="147">
        <v>0</v>
      </c>
      <c r="I875" s="147"/>
      <c r="J875" s="148">
        <v>0.46</v>
      </c>
      <c r="K875" s="145"/>
      <c r="L875" s="144" t="s">
        <v>92</v>
      </c>
      <c r="M875" s="149" t="s">
        <v>369</v>
      </c>
      <c r="N875" s="150">
        <v>47</v>
      </c>
      <c r="O875" s="61" t="s">
        <v>161</v>
      </c>
      <c r="P875" s="61" t="s">
        <v>364</v>
      </c>
      <c r="Q875" s="61" t="s">
        <v>365</v>
      </c>
      <c r="R875" s="61" t="s">
        <v>695</v>
      </c>
      <c r="S875" s="218">
        <v>74</v>
      </c>
      <c r="T875" s="61" t="s">
        <v>41</v>
      </c>
      <c r="U875" s="61" t="s">
        <v>42</v>
      </c>
      <c r="V875" s="63" t="s">
        <v>540</v>
      </c>
      <c r="W875" s="171">
        <v>0.16</v>
      </c>
      <c r="X875" s="146" t="s">
        <v>53</v>
      </c>
      <c r="Y875" s="146"/>
      <c r="Z875" s="144" t="s">
        <v>52</v>
      </c>
      <c r="AA875" s="172" t="s">
        <v>24</v>
      </c>
      <c r="AB875" s="173"/>
      <c r="AC875" s="174"/>
    </row>
    <row r="876" spans="1:29" ht="15.75" thickBot="1" x14ac:dyDescent="0.3">
      <c r="A876" s="325">
        <v>45913</v>
      </c>
      <c r="B876" s="152">
        <v>4</v>
      </c>
      <c r="C876" s="153"/>
      <c r="D876" s="152" t="s">
        <v>161</v>
      </c>
      <c r="E876" s="154">
        <v>0.75</v>
      </c>
      <c r="F876" s="154"/>
      <c r="G876" s="155">
        <v>2</v>
      </c>
      <c r="H876" s="155">
        <v>0</v>
      </c>
      <c r="I876" s="155"/>
      <c r="J876" s="156">
        <v>0.46</v>
      </c>
      <c r="K876" s="153"/>
      <c r="L876" s="152" t="s">
        <v>92</v>
      </c>
      <c r="M876" s="157" t="s">
        <v>369</v>
      </c>
      <c r="N876" s="158" t="s">
        <v>31</v>
      </c>
      <c r="O876" s="74" t="s">
        <v>92</v>
      </c>
      <c r="P876" s="74" t="s">
        <v>419</v>
      </c>
      <c r="Q876" s="74" t="s">
        <v>420</v>
      </c>
      <c r="R876" s="74" t="s">
        <v>699</v>
      </c>
      <c r="S876" s="221">
        <v>61</v>
      </c>
      <c r="T876" s="74" t="s">
        <v>44</v>
      </c>
      <c r="U876" s="74" t="s">
        <v>45</v>
      </c>
      <c r="V876" s="76" t="s">
        <v>540</v>
      </c>
      <c r="W876" s="175">
        <v>0.03</v>
      </c>
      <c r="X876" s="154">
        <v>0.05</v>
      </c>
      <c r="Y876" s="154" t="s">
        <v>353</v>
      </c>
      <c r="Z876" s="152" t="s">
        <v>48</v>
      </c>
      <c r="AA876" s="176" t="s">
        <v>24</v>
      </c>
      <c r="AB876" s="177"/>
      <c r="AC876" s="178"/>
    </row>
    <row r="877" spans="1:29" ht="15.75" thickBot="1" x14ac:dyDescent="0.3">
      <c r="A877" s="326">
        <v>45913</v>
      </c>
      <c r="B877" s="207">
        <v>4</v>
      </c>
      <c r="C877" s="208"/>
      <c r="D877" s="207" t="s">
        <v>161</v>
      </c>
      <c r="E877" s="209">
        <v>0.75</v>
      </c>
      <c r="F877" s="209"/>
      <c r="G877" s="210">
        <v>2</v>
      </c>
      <c r="H877" s="210">
        <v>0</v>
      </c>
      <c r="I877" s="210"/>
      <c r="J877" s="211">
        <v>0.46</v>
      </c>
      <c r="K877" s="208"/>
      <c r="L877" s="207" t="s">
        <v>92</v>
      </c>
      <c r="M877" s="235"/>
      <c r="N877" s="198"/>
      <c r="O877" s="199" t="s">
        <v>161</v>
      </c>
      <c r="P877" s="199" t="s">
        <v>316</v>
      </c>
      <c r="Q877" s="199" t="s">
        <v>721</v>
      </c>
      <c r="R877" s="199" t="s">
        <v>707</v>
      </c>
      <c r="S877" s="200">
        <v>71</v>
      </c>
      <c r="T877" s="199"/>
      <c r="U877" s="199"/>
      <c r="V877" s="201"/>
      <c r="W877" s="202"/>
      <c r="X877" s="203"/>
      <c r="Y877" s="203">
        <v>0</v>
      </c>
      <c r="Z877" s="199"/>
      <c r="AA877" s="204"/>
      <c r="AB877" s="205"/>
      <c r="AC877" s="201"/>
    </row>
    <row r="878" spans="1:29" ht="15.75" thickBot="1" x14ac:dyDescent="0.3">
      <c r="A878" s="326">
        <v>45913</v>
      </c>
      <c r="B878" s="207">
        <v>4</v>
      </c>
      <c r="C878" s="208"/>
      <c r="D878" s="207" t="s">
        <v>161</v>
      </c>
      <c r="E878" s="209">
        <v>0.75</v>
      </c>
      <c r="F878" s="209"/>
      <c r="G878" s="210">
        <v>2</v>
      </c>
      <c r="H878" s="210">
        <v>0</v>
      </c>
      <c r="I878" s="210"/>
      <c r="J878" s="211">
        <v>0.46</v>
      </c>
      <c r="K878" s="208"/>
      <c r="L878" s="207" t="s">
        <v>92</v>
      </c>
      <c r="M878" s="235"/>
      <c r="N878" s="198"/>
      <c r="O878" s="199" t="s">
        <v>92</v>
      </c>
      <c r="P878" s="199" t="s">
        <v>432</v>
      </c>
      <c r="Q878" s="199" t="s">
        <v>472</v>
      </c>
      <c r="R878" s="199" t="s">
        <v>707</v>
      </c>
      <c r="S878" s="200">
        <v>55</v>
      </c>
      <c r="T878" s="199"/>
      <c r="U878" s="199"/>
      <c r="V878" s="201"/>
      <c r="W878" s="202"/>
      <c r="X878" s="203"/>
      <c r="Y878" s="203">
        <v>2</v>
      </c>
      <c r="Z878" s="199"/>
      <c r="AA878" s="204"/>
      <c r="AB878" s="205"/>
      <c r="AC878" s="201"/>
    </row>
    <row r="879" spans="1:29" x14ac:dyDescent="0.25">
      <c r="A879" s="327">
        <v>45924</v>
      </c>
      <c r="B879" s="160">
        <v>6</v>
      </c>
      <c r="C879" s="161" t="s">
        <v>708</v>
      </c>
      <c r="D879" s="160" t="s">
        <v>161</v>
      </c>
      <c r="E879" s="162">
        <v>0.24</v>
      </c>
      <c r="F879" s="162"/>
      <c r="G879" s="163">
        <v>1</v>
      </c>
      <c r="H879" s="163">
        <v>1</v>
      </c>
      <c r="I879" s="163"/>
      <c r="J879" s="164">
        <v>0.56999999999999995</v>
      </c>
      <c r="K879" s="161" t="s">
        <v>694</v>
      </c>
      <c r="L879" s="160" t="s">
        <v>128</v>
      </c>
      <c r="M879" s="165"/>
      <c r="N879" s="166">
        <v>38</v>
      </c>
      <c r="O879" s="79" t="s">
        <v>128</v>
      </c>
      <c r="P879" s="79" t="s">
        <v>497</v>
      </c>
      <c r="Q879" s="79" t="s">
        <v>498</v>
      </c>
      <c r="R879" s="79" t="s">
        <v>685</v>
      </c>
      <c r="S879" s="224">
        <v>57</v>
      </c>
      <c r="T879" s="79" t="s">
        <v>41</v>
      </c>
      <c r="U879" s="79" t="s">
        <v>42</v>
      </c>
      <c r="V879" s="80" t="s">
        <v>10</v>
      </c>
      <c r="W879" s="179">
        <v>0.2</v>
      </c>
      <c r="X879" s="162">
        <v>0.2</v>
      </c>
      <c r="Y879" s="162" t="s">
        <v>353</v>
      </c>
      <c r="Z879" s="160" t="s">
        <v>48</v>
      </c>
      <c r="AA879" s="180" t="s">
        <v>28</v>
      </c>
      <c r="AB879" s="169"/>
      <c r="AC879" s="170"/>
    </row>
    <row r="880" spans="1:29" x14ac:dyDescent="0.25">
      <c r="A880" s="324">
        <v>45924</v>
      </c>
      <c r="B880" s="144">
        <v>6</v>
      </c>
      <c r="C880" s="145"/>
      <c r="D880" s="144" t="s">
        <v>161</v>
      </c>
      <c r="E880" s="146">
        <v>0.24</v>
      </c>
      <c r="F880" s="146"/>
      <c r="G880" s="147">
        <v>1</v>
      </c>
      <c r="H880" s="147">
        <v>1</v>
      </c>
      <c r="I880" s="147"/>
      <c r="J880" s="148">
        <v>0.56999999999999995</v>
      </c>
      <c r="K880" s="145"/>
      <c r="L880" s="144" t="s">
        <v>128</v>
      </c>
      <c r="M880" s="149"/>
      <c r="N880" s="150">
        <v>63</v>
      </c>
      <c r="O880" s="61" t="s">
        <v>161</v>
      </c>
      <c r="P880" s="61" t="s">
        <v>26</v>
      </c>
      <c r="Q880" s="61" t="s">
        <v>302</v>
      </c>
      <c r="R880" s="61" t="s">
        <v>695</v>
      </c>
      <c r="S880" s="218">
        <v>76</v>
      </c>
      <c r="T880" s="61" t="s">
        <v>41</v>
      </c>
      <c r="U880" s="61" t="s">
        <v>42</v>
      </c>
      <c r="V880" s="63" t="s">
        <v>10</v>
      </c>
      <c r="W880" s="171">
        <v>0.09</v>
      </c>
      <c r="X880" s="146">
        <v>0.46</v>
      </c>
      <c r="Y880" s="146" t="s">
        <v>353</v>
      </c>
      <c r="Z880" s="144" t="s">
        <v>8</v>
      </c>
      <c r="AA880" s="172" t="s">
        <v>19</v>
      </c>
      <c r="AB880" s="173" t="s">
        <v>313</v>
      </c>
      <c r="AC880" s="174" t="s">
        <v>314</v>
      </c>
    </row>
    <row r="881" spans="1:29" x14ac:dyDescent="0.25">
      <c r="A881" s="324">
        <v>45924</v>
      </c>
      <c r="B881" s="144">
        <v>6</v>
      </c>
      <c r="C881" s="145"/>
      <c r="D881" s="144" t="s">
        <v>161</v>
      </c>
      <c r="E881" s="146">
        <v>0.24</v>
      </c>
      <c r="F881" s="146"/>
      <c r="G881" s="147">
        <v>1</v>
      </c>
      <c r="H881" s="147">
        <v>1</v>
      </c>
      <c r="I881" s="147"/>
      <c r="J881" s="148">
        <v>0.56999999999999995</v>
      </c>
      <c r="K881" s="145"/>
      <c r="L881" s="144" t="s">
        <v>128</v>
      </c>
      <c r="M881" s="149"/>
      <c r="N881" s="150">
        <v>68</v>
      </c>
      <c r="O881" s="26" t="s">
        <v>128</v>
      </c>
      <c r="P881" s="26" t="s">
        <v>130</v>
      </c>
      <c r="Q881" s="26" t="s">
        <v>131</v>
      </c>
      <c r="R881" s="26" t="s">
        <v>718</v>
      </c>
      <c r="S881" s="213">
        <v>69</v>
      </c>
      <c r="T881" s="26" t="s">
        <v>44</v>
      </c>
      <c r="U881" s="26" t="s">
        <v>42</v>
      </c>
      <c r="V881" s="43" t="s">
        <v>10</v>
      </c>
      <c r="W881" s="171">
        <v>0.03</v>
      </c>
      <c r="X881" s="146">
        <v>0.27</v>
      </c>
      <c r="Y881" s="146"/>
      <c r="Z881" s="144" t="s">
        <v>48</v>
      </c>
      <c r="AA881" s="172" t="s">
        <v>19</v>
      </c>
      <c r="AB881" s="173"/>
      <c r="AC881" s="174"/>
    </row>
    <row r="882" spans="1:29" x14ac:dyDescent="0.25">
      <c r="A882" s="324">
        <v>45924</v>
      </c>
      <c r="B882" s="144">
        <v>6</v>
      </c>
      <c r="C882" s="145"/>
      <c r="D882" s="144" t="s">
        <v>161</v>
      </c>
      <c r="E882" s="146">
        <v>0.24</v>
      </c>
      <c r="F882" s="146"/>
      <c r="G882" s="147">
        <v>1</v>
      </c>
      <c r="H882" s="147">
        <v>1</v>
      </c>
      <c r="I882" s="147"/>
      <c r="J882" s="148">
        <v>0.56999999999999995</v>
      </c>
      <c r="K882" s="145"/>
      <c r="L882" s="144" t="s">
        <v>128</v>
      </c>
      <c r="M882" s="149"/>
      <c r="N882" s="150">
        <v>71</v>
      </c>
      <c r="O882" s="26" t="s">
        <v>128</v>
      </c>
      <c r="P882" s="26" t="s">
        <v>274</v>
      </c>
      <c r="Q882" s="26" t="s">
        <v>499</v>
      </c>
      <c r="R882" s="26" t="s">
        <v>695</v>
      </c>
      <c r="S882" s="213">
        <v>69</v>
      </c>
      <c r="T882" s="26" t="s">
        <v>41</v>
      </c>
      <c r="U882" s="26" t="s">
        <v>43</v>
      </c>
      <c r="V882" s="43" t="s">
        <v>20</v>
      </c>
      <c r="W882" s="171">
        <v>0.11</v>
      </c>
      <c r="X882" s="146">
        <v>0.15</v>
      </c>
      <c r="Y882" s="146" t="s">
        <v>353</v>
      </c>
      <c r="Z882" s="144" t="s">
        <v>8</v>
      </c>
      <c r="AA882" s="172" t="s">
        <v>51</v>
      </c>
      <c r="AB882" s="173" t="s">
        <v>130</v>
      </c>
      <c r="AC882" s="174" t="s">
        <v>131</v>
      </c>
    </row>
    <row r="883" spans="1:29" ht="15.75" thickBot="1" x14ac:dyDescent="0.3">
      <c r="A883" s="325">
        <v>45924</v>
      </c>
      <c r="B883" s="152">
        <v>6</v>
      </c>
      <c r="C883" s="153"/>
      <c r="D883" s="152" t="s">
        <v>161</v>
      </c>
      <c r="E883" s="154">
        <v>0.24</v>
      </c>
      <c r="F883" s="154"/>
      <c r="G883" s="155">
        <v>1</v>
      </c>
      <c r="H883" s="155">
        <v>1</v>
      </c>
      <c r="I883" s="155"/>
      <c r="J883" s="156">
        <v>0.56999999999999995</v>
      </c>
      <c r="K883" s="153"/>
      <c r="L883" s="152" t="s">
        <v>128</v>
      </c>
      <c r="M883" s="157"/>
      <c r="N883" s="158">
        <v>73</v>
      </c>
      <c r="O883" s="66" t="s">
        <v>161</v>
      </c>
      <c r="P883" s="66" t="s">
        <v>26</v>
      </c>
      <c r="Q883" s="66" t="s">
        <v>302</v>
      </c>
      <c r="R883" s="66" t="s">
        <v>695</v>
      </c>
      <c r="S883" s="219">
        <v>76</v>
      </c>
      <c r="T883" s="66" t="s">
        <v>41</v>
      </c>
      <c r="U883" s="66" t="s">
        <v>45</v>
      </c>
      <c r="V883" s="67" t="s">
        <v>20</v>
      </c>
      <c r="W883" s="175">
        <v>0.05</v>
      </c>
      <c r="X883" s="154" t="s">
        <v>53</v>
      </c>
      <c r="Y883" s="154"/>
      <c r="Z883" s="152" t="s">
        <v>16</v>
      </c>
      <c r="AA883" s="176" t="s">
        <v>51</v>
      </c>
      <c r="AB883" s="177"/>
      <c r="AC883" s="178"/>
    </row>
    <row r="884" spans="1:29" ht="15.75" thickBot="1" x14ac:dyDescent="0.3">
      <c r="A884" s="326">
        <v>45924</v>
      </c>
      <c r="B884" s="207">
        <v>6</v>
      </c>
      <c r="C884" s="208"/>
      <c r="D884" s="207" t="s">
        <v>161</v>
      </c>
      <c r="E884" s="209">
        <v>0.24</v>
      </c>
      <c r="F884" s="209"/>
      <c r="G884" s="210">
        <v>1</v>
      </c>
      <c r="H884" s="210">
        <v>1</v>
      </c>
      <c r="I884" s="210"/>
      <c r="J884" s="211">
        <v>0.56999999999999995</v>
      </c>
      <c r="K884" s="208"/>
      <c r="L884" s="207" t="s">
        <v>128</v>
      </c>
      <c r="M884" s="235"/>
      <c r="N884" s="198"/>
      <c r="O884" s="199" t="s">
        <v>161</v>
      </c>
      <c r="P884" s="199" t="s">
        <v>316</v>
      </c>
      <c r="Q884" s="199" t="s">
        <v>721</v>
      </c>
      <c r="R884" s="199" t="s">
        <v>707</v>
      </c>
      <c r="S884" s="200">
        <v>73</v>
      </c>
      <c r="T884" s="199"/>
      <c r="U884" s="199"/>
      <c r="V884" s="201"/>
      <c r="W884" s="202"/>
      <c r="X884" s="203"/>
      <c r="Y884" s="203">
        <v>1</v>
      </c>
      <c r="Z884" s="199"/>
      <c r="AA884" s="204"/>
      <c r="AB884" s="205"/>
      <c r="AC884" s="201"/>
    </row>
    <row r="885" spans="1:29" ht="15.75" thickBot="1" x14ac:dyDescent="0.3">
      <c r="A885" s="326">
        <v>45924</v>
      </c>
      <c r="B885" s="207">
        <v>6</v>
      </c>
      <c r="C885" s="208"/>
      <c r="D885" s="207" t="s">
        <v>161</v>
      </c>
      <c r="E885" s="209">
        <v>0.24</v>
      </c>
      <c r="F885" s="209"/>
      <c r="G885" s="210">
        <v>1</v>
      </c>
      <c r="H885" s="210">
        <v>1</v>
      </c>
      <c r="I885" s="210"/>
      <c r="J885" s="211">
        <v>0.56999999999999995</v>
      </c>
      <c r="K885" s="208"/>
      <c r="L885" s="207" t="s">
        <v>128</v>
      </c>
      <c r="M885" s="235"/>
      <c r="N885" s="198"/>
      <c r="O885" s="199" t="s">
        <v>128</v>
      </c>
      <c r="P885" s="199" t="s">
        <v>127</v>
      </c>
      <c r="Q885" s="199" t="s">
        <v>476</v>
      </c>
      <c r="R885" s="199" t="s">
        <v>707</v>
      </c>
      <c r="S885" s="200">
        <v>66</v>
      </c>
      <c r="T885" s="199"/>
      <c r="U885" s="199"/>
      <c r="V885" s="201"/>
      <c r="W885" s="202"/>
      <c r="X885" s="203"/>
      <c r="Y885" s="203">
        <v>1</v>
      </c>
      <c r="Z885" s="199"/>
      <c r="AA885" s="204"/>
      <c r="AB885" s="205"/>
      <c r="AC885" s="201"/>
    </row>
    <row r="886" spans="1:29" x14ac:dyDescent="0.25">
      <c r="A886" s="323">
        <v>45927</v>
      </c>
      <c r="B886" s="136">
        <v>7</v>
      </c>
      <c r="C886" s="137" t="s">
        <v>701</v>
      </c>
      <c r="D886" s="136" t="s">
        <v>161</v>
      </c>
      <c r="E886" s="138">
        <v>0.55000000000000004</v>
      </c>
      <c r="F886" s="138"/>
      <c r="G886" s="139">
        <v>1</v>
      </c>
      <c r="H886" s="139">
        <v>1</v>
      </c>
      <c r="I886" s="139"/>
      <c r="J886" s="140">
        <v>0.59</v>
      </c>
      <c r="K886" s="137" t="s">
        <v>694</v>
      </c>
      <c r="L886" s="136" t="s">
        <v>129</v>
      </c>
      <c r="M886" s="141"/>
      <c r="N886" s="142">
        <v>13</v>
      </c>
      <c r="O886" s="77" t="s">
        <v>129</v>
      </c>
      <c r="P886" s="77" t="s">
        <v>59</v>
      </c>
      <c r="Q886" s="77" t="s">
        <v>191</v>
      </c>
      <c r="R886" s="77" t="s">
        <v>717</v>
      </c>
      <c r="S886" s="220">
        <v>77</v>
      </c>
      <c r="T886" s="77" t="s">
        <v>41</v>
      </c>
      <c r="U886" s="77" t="s">
        <v>42</v>
      </c>
      <c r="V886" s="78" t="s">
        <v>540</v>
      </c>
      <c r="W886" s="167">
        <v>0.18</v>
      </c>
      <c r="X886" s="138">
        <v>0.4</v>
      </c>
      <c r="Y886" s="138" t="s">
        <v>353</v>
      </c>
      <c r="Z886" s="136" t="s">
        <v>48</v>
      </c>
      <c r="AA886" s="168" t="s">
        <v>28</v>
      </c>
      <c r="AB886" s="169"/>
      <c r="AC886" s="170"/>
    </row>
    <row r="887" spans="1:29" x14ac:dyDescent="0.25">
      <c r="A887" s="324">
        <v>45927</v>
      </c>
      <c r="B887" s="144">
        <v>7</v>
      </c>
      <c r="C887" s="145"/>
      <c r="D887" s="144" t="s">
        <v>161</v>
      </c>
      <c r="E887" s="146">
        <v>0.55000000000000004</v>
      </c>
      <c r="F887" s="146"/>
      <c r="G887" s="147">
        <v>1</v>
      </c>
      <c r="H887" s="147">
        <v>1</v>
      </c>
      <c r="I887" s="147"/>
      <c r="J887" s="148">
        <v>0.59</v>
      </c>
      <c r="K887" s="145"/>
      <c r="L887" s="144" t="s">
        <v>129</v>
      </c>
      <c r="M887" s="149"/>
      <c r="N887" s="150">
        <v>26</v>
      </c>
      <c r="O887" s="26" t="s">
        <v>129</v>
      </c>
      <c r="P887" s="26" t="s">
        <v>59</v>
      </c>
      <c r="Q887" s="26" t="s">
        <v>191</v>
      </c>
      <c r="R887" s="26" t="s">
        <v>717</v>
      </c>
      <c r="S887" s="213">
        <v>77</v>
      </c>
      <c r="T887" s="26" t="s">
        <v>41</v>
      </c>
      <c r="U887" s="26" t="s">
        <v>42</v>
      </c>
      <c r="V887" s="43" t="s">
        <v>10</v>
      </c>
      <c r="W887" s="171">
        <v>0.05</v>
      </c>
      <c r="X887" s="146">
        <v>0.82</v>
      </c>
      <c r="Y887" s="146" t="s">
        <v>353</v>
      </c>
      <c r="Z887" s="144" t="s">
        <v>8</v>
      </c>
      <c r="AA887" s="172" t="s">
        <v>9</v>
      </c>
      <c r="AB887" s="173" t="s">
        <v>141</v>
      </c>
      <c r="AC887" s="174" t="s">
        <v>142</v>
      </c>
    </row>
    <row r="888" spans="1:29" x14ac:dyDescent="0.25">
      <c r="A888" s="324">
        <v>45927</v>
      </c>
      <c r="B888" s="144">
        <v>7</v>
      </c>
      <c r="C888" s="145"/>
      <c r="D888" s="144" t="s">
        <v>161</v>
      </c>
      <c r="E888" s="146">
        <v>0.55000000000000004</v>
      </c>
      <c r="F888" s="146"/>
      <c r="G888" s="147">
        <v>1</v>
      </c>
      <c r="H888" s="147">
        <v>1</v>
      </c>
      <c r="I888" s="147"/>
      <c r="J888" s="148">
        <v>0.59</v>
      </c>
      <c r="K888" s="145"/>
      <c r="L888" s="144" t="s">
        <v>129</v>
      </c>
      <c r="M888" s="149"/>
      <c r="N888" s="150">
        <v>45</v>
      </c>
      <c r="O888" s="26" t="s">
        <v>129</v>
      </c>
      <c r="P888" s="26" t="s">
        <v>104</v>
      </c>
      <c r="Q888" s="26" t="s">
        <v>105</v>
      </c>
      <c r="R888" s="26" t="s">
        <v>717</v>
      </c>
      <c r="S888" s="213">
        <v>77</v>
      </c>
      <c r="T888" s="26" t="s">
        <v>41</v>
      </c>
      <c r="U888" s="26" t="s">
        <v>42</v>
      </c>
      <c r="V888" s="43" t="s">
        <v>10</v>
      </c>
      <c r="W888" s="171">
        <v>0.19</v>
      </c>
      <c r="X888" s="146" t="s">
        <v>53</v>
      </c>
      <c r="Y888" s="146" t="s">
        <v>353</v>
      </c>
      <c r="Z888" s="144" t="s">
        <v>13</v>
      </c>
      <c r="AA888" s="172" t="s">
        <v>9</v>
      </c>
      <c r="AB888" s="173"/>
      <c r="AC888" s="174"/>
    </row>
    <row r="889" spans="1:29" ht="15.75" thickBot="1" x14ac:dyDescent="0.3">
      <c r="A889" s="325">
        <v>45927</v>
      </c>
      <c r="B889" s="152">
        <v>7</v>
      </c>
      <c r="C889" s="153"/>
      <c r="D889" s="152" t="s">
        <v>161</v>
      </c>
      <c r="E889" s="154">
        <v>0.55000000000000004</v>
      </c>
      <c r="F889" s="154"/>
      <c r="G889" s="155">
        <v>1</v>
      </c>
      <c r="H889" s="155">
        <v>1</v>
      </c>
      <c r="I889" s="155"/>
      <c r="J889" s="156">
        <v>0.59</v>
      </c>
      <c r="K889" s="153"/>
      <c r="L889" s="152" t="s">
        <v>129</v>
      </c>
      <c r="M889" s="157"/>
      <c r="N889" s="158">
        <v>57</v>
      </c>
      <c r="O889" s="66" t="s">
        <v>161</v>
      </c>
      <c r="P889" s="66" t="s">
        <v>65</v>
      </c>
      <c r="Q889" s="66" t="s">
        <v>301</v>
      </c>
      <c r="R889" s="66" t="s">
        <v>689</v>
      </c>
      <c r="S889" s="219">
        <v>76</v>
      </c>
      <c r="T889" s="66" t="s">
        <v>47</v>
      </c>
      <c r="U889" s="66" t="s">
        <v>42</v>
      </c>
      <c r="V889" s="67" t="s">
        <v>20</v>
      </c>
      <c r="W889" s="175">
        <v>0.23</v>
      </c>
      <c r="X889" s="154">
        <v>0.74</v>
      </c>
      <c r="Y889" s="154" t="s">
        <v>353</v>
      </c>
      <c r="Z889" s="152" t="s">
        <v>8</v>
      </c>
      <c r="AA889" s="176" t="s">
        <v>51</v>
      </c>
      <c r="AB889" s="177" t="s">
        <v>672</v>
      </c>
      <c r="AC889" s="178" t="s">
        <v>546</v>
      </c>
    </row>
    <row r="890" spans="1:29" ht="15.75" thickBot="1" x14ac:dyDescent="0.3">
      <c r="A890" s="326">
        <v>45927</v>
      </c>
      <c r="B890" s="207">
        <v>7</v>
      </c>
      <c r="C890" s="208"/>
      <c r="D890" s="207" t="s">
        <v>161</v>
      </c>
      <c r="E890" s="209">
        <v>0.55000000000000004</v>
      </c>
      <c r="F890" s="209"/>
      <c r="G890" s="210">
        <v>1</v>
      </c>
      <c r="H890" s="210">
        <v>1</v>
      </c>
      <c r="I890" s="210"/>
      <c r="J890" s="211">
        <v>0.59</v>
      </c>
      <c r="K890" s="208"/>
      <c r="L890" s="207" t="s">
        <v>129</v>
      </c>
      <c r="M890" s="235"/>
      <c r="N890" s="198"/>
      <c r="O890" s="199" t="s">
        <v>161</v>
      </c>
      <c r="P890" s="199" t="s">
        <v>316</v>
      </c>
      <c r="Q890" s="199" t="s">
        <v>721</v>
      </c>
      <c r="R890" s="199" t="s">
        <v>707</v>
      </c>
      <c r="S890" s="200">
        <v>69</v>
      </c>
      <c r="T890" s="199"/>
      <c r="U890" s="199"/>
      <c r="V890" s="201"/>
      <c r="W890" s="202"/>
      <c r="X890" s="203"/>
      <c r="Y890" s="203">
        <v>1</v>
      </c>
      <c r="Z890" s="199"/>
      <c r="AA890" s="204"/>
      <c r="AB890" s="205"/>
      <c r="AC890" s="201"/>
    </row>
    <row r="891" spans="1:29" ht="15.75" thickBot="1" x14ac:dyDescent="0.3">
      <c r="A891" s="326">
        <v>45927</v>
      </c>
      <c r="B891" s="207">
        <v>7</v>
      </c>
      <c r="C891" s="208"/>
      <c r="D891" s="207" t="s">
        <v>161</v>
      </c>
      <c r="E891" s="209">
        <v>0.55000000000000004</v>
      </c>
      <c r="F891" s="209"/>
      <c r="G891" s="210">
        <v>1</v>
      </c>
      <c r="H891" s="210">
        <v>1</v>
      </c>
      <c r="I891" s="210"/>
      <c r="J891" s="211">
        <v>0.59</v>
      </c>
      <c r="K891" s="208"/>
      <c r="L891" s="207" t="s">
        <v>129</v>
      </c>
      <c r="M891" s="235"/>
      <c r="N891" s="198"/>
      <c r="O891" s="199" t="s">
        <v>129</v>
      </c>
      <c r="P891" s="199" t="s">
        <v>731</v>
      </c>
      <c r="Q891" s="199" t="s">
        <v>732</v>
      </c>
      <c r="R891" s="199" t="s">
        <v>707</v>
      </c>
      <c r="S891" s="200">
        <v>63</v>
      </c>
      <c r="T891" s="199"/>
      <c r="U891" s="199"/>
      <c r="V891" s="201"/>
      <c r="W891" s="202"/>
      <c r="X891" s="203"/>
      <c r="Y891" s="203">
        <v>1</v>
      </c>
      <c r="Z891" s="199"/>
      <c r="AA891" s="204"/>
      <c r="AB891" s="205"/>
      <c r="AC891" s="201"/>
    </row>
    <row r="892" spans="1:29" x14ac:dyDescent="0.25">
      <c r="A892" s="328">
        <v>45893</v>
      </c>
      <c r="B892" s="17">
        <v>2</v>
      </c>
      <c r="C892" s="123" t="s">
        <v>700</v>
      </c>
      <c r="D892" s="17" t="s">
        <v>92</v>
      </c>
      <c r="E892" s="18">
        <v>0.5</v>
      </c>
      <c r="F892" s="18"/>
      <c r="G892" s="19">
        <v>0</v>
      </c>
      <c r="H892" s="19">
        <v>3</v>
      </c>
      <c r="I892" s="19"/>
      <c r="J892" s="20">
        <v>2.68</v>
      </c>
      <c r="K892" s="123" t="s">
        <v>693</v>
      </c>
      <c r="L892" s="17" t="s">
        <v>226</v>
      </c>
      <c r="M892" s="46"/>
      <c r="N892" s="96">
        <v>3</v>
      </c>
      <c r="O892" s="77" t="s">
        <v>226</v>
      </c>
      <c r="P892" s="77" t="s">
        <v>53</v>
      </c>
      <c r="Q892" s="77" t="s">
        <v>286</v>
      </c>
      <c r="R892" s="77" t="s">
        <v>685</v>
      </c>
      <c r="S892" s="220">
        <v>69</v>
      </c>
      <c r="T892" s="77" t="s">
        <v>41</v>
      </c>
      <c r="U892" s="77" t="s">
        <v>42</v>
      </c>
      <c r="V892" s="78" t="s">
        <v>10</v>
      </c>
      <c r="W892" s="53">
        <v>0.04</v>
      </c>
      <c r="X892" s="18">
        <v>0.27</v>
      </c>
      <c r="Y892" s="18"/>
      <c r="Z892" s="17" t="s">
        <v>48</v>
      </c>
      <c r="AA892" s="114" t="s">
        <v>28</v>
      </c>
      <c r="AB892" s="110"/>
      <c r="AC892" s="60"/>
    </row>
    <row r="893" spans="1:29" x14ac:dyDescent="0.25">
      <c r="A893" s="329">
        <v>45893</v>
      </c>
      <c r="B893" s="5">
        <v>2</v>
      </c>
      <c r="D893" s="5" t="s">
        <v>92</v>
      </c>
      <c r="E893" s="6">
        <v>0.5</v>
      </c>
      <c r="G893" s="7">
        <v>0</v>
      </c>
      <c r="H893" s="7">
        <v>3</v>
      </c>
      <c r="J893" s="8">
        <v>2.68</v>
      </c>
      <c r="L893" s="5" t="s">
        <v>226</v>
      </c>
      <c r="N893" s="56">
        <v>32</v>
      </c>
      <c r="O893" s="26" t="s">
        <v>226</v>
      </c>
      <c r="P893" s="26" t="s">
        <v>56</v>
      </c>
      <c r="Q893" s="26" t="s">
        <v>235</v>
      </c>
      <c r="R893" s="26" t="s">
        <v>699</v>
      </c>
      <c r="S893" s="213">
        <v>73</v>
      </c>
      <c r="T893" s="26" t="s">
        <v>354</v>
      </c>
      <c r="U893" s="26" t="s">
        <v>43</v>
      </c>
      <c r="V893" s="43" t="s">
        <v>10</v>
      </c>
      <c r="W893" s="51">
        <v>0.03</v>
      </c>
      <c r="X893" s="6">
        <v>0.14000000000000001</v>
      </c>
      <c r="Z893" s="5" t="s">
        <v>48</v>
      </c>
      <c r="AA893" s="112" t="s">
        <v>28</v>
      </c>
    </row>
    <row r="894" spans="1:29" x14ac:dyDescent="0.25">
      <c r="A894" s="329">
        <v>45893</v>
      </c>
      <c r="B894" s="5">
        <v>2</v>
      </c>
      <c r="D894" s="5" t="s">
        <v>92</v>
      </c>
      <c r="E894" s="6">
        <v>0.5</v>
      </c>
      <c r="G894" s="7">
        <v>0</v>
      </c>
      <c r="H894" s="7">
        <v>3</v>
      </c>
      <c r="J894" s="8">
        <v>2.68</v>
      </c>
      <c r="L894" s="5" t="s">
        <v>226</v>
      </c>
      <c r="N894" s="56">
        <v>34</v>
      </c>
      <c r="O894" s="26" t="s">
        <v>226</v>
      </c>
      <c r="P894" s="26" t="s">
        <v>236</v>
      </c>
      <c r="Q894" s="26" t="s">
        <v>237</v>
      </c>
      <c r="R894" s="26" t="s">
        <v>686</v>
      </c>
      <c r="S894" s="213">
        <v>63</v>
      </c>
      <c r="T894" s="26" t="s">
        <v>47</v>
      </c>
      <c r="U894" s="26" t="s">
        <v>42</v>
      </c>
      <c r="V894" s="43" t="s">
        <v>20</v>
      </c>
      <c r="W894" s="51">
        <v>0.2</v>
      </c>
      <c r="X894" s="6" t="s">
        <v>53</v>
      </c>
      <c r="Y894" s="6" t="s">
        <v>353</v>
      </c>
      <c r="Z894" s="5" t="s">
        <v>22</v>
      </c>
      <c r="AA894" s="112" t="s">
        <v>28</v>
      </c>
    </row>
    <row r="895" spans="1:29" x14ac:dyDescent="0.25">
      <c r="A895" s="329">
        <v>45893</v>
      </c>
      <c r="B895" s="5">
        <v>2</v>
      </c>
      <c r="D895" s="5" t="s">
        <v>92</v>
      </c>
      <c r="E895" s="6">
        <v>0.5</v>
      </c>
      <c r="G895" s="7">
        <v>0</v>
      </c>
      <c r="H895" s="7">
        <v>3</v>
      </c>
      <c r="J895" s="8">
        <v>2.68</v>
      </c>
      <c r="L895" s="5" t="s">
        <v>226</v>
      </c>
      <c r="N895" s="56">
        <v>36</v>
      </c>
      <c r="O895" s="26" t="s">
        <v>226</v>
      </c>
      <c r="P895" s="26" t="s">
        <v>236</v>
      </c>
      <c r="Q895" s="26" t="s">
        <v>237</v>
      </c>
      <c r="R895" s="26" t="s">
        <v>686</v>
      </c>
      <c r="S895" s="213">
        <v>63</v>
      </c>
      <c r="T895" s="26" t="s">
        <v>41</v>
      </c>
      <c r="U895" s="26" t="s">
        <v>43</v>
      </c>
      <c r="V895" s="43" t="s">
        <v>540</v>
      </c>
      <c r="W895" s="51">
        <v>0.12</v>
      </c>
      <c r="X895" s="6" t="s">
        <v>53</v>
      </c>
      <c r="Z895" s="5" t="s">
        <v>52</v>
      </c>
      <c r="AA895" s="112" t="s">
        <v>28</v>
      </c>
    </row>
    <row r="896" spans="1:29" x14ac:dyDescent="0.25">
      <c r="A896" s="329">
        <v>45893</v>
      </c>
      <c r="B896" s="5">
        <v>2</v>
      </c>
      <c r="D896" s="5" t="s">
        <v>92</v>
      </c>
      <c r="E896" s="6">
        <v>0.5</v>
      </c>
      <c r="G896" s="7">
        <v>0</v>
      </c>
      <c r="H896" s="7">
        <v>3</v>
      </c>
      <c r="J896" s="8">
        <v>2.68</v>
      </c>
      <c r="L896" s="5" t="s">
        <v>226</v>
      </c>
      <c r="N896" s="56">
        <v>36</v>
      </c>
      <c r="O896" s="26" t="s">
        <v>226</v>
      </c>
      <c r="P896" s="26" t="s">
        <v>56</v>
      </c>
      <c r="Q896" s="26" t="s">
        <v>235</v>
      </c>
      <c r="R896" s="26" t="s">
        <v>699</v>
      </c>
      <c r="S896" s="213">
        <v>73</v>
      </c>
      <c r="T896" s="26" t="s">
        <v>41</v>
      </c>
      <c r="U896" s="26" t="s">
        <v>43</v>
      </c>
      <c r="V896" s="43" t="s">
        <v>540</v>
      </c>
      <c r="W896" s="51">
        <v>0.14000000000000001</v>
      </c>
      <c r="X896" s="6" t="s">
        <v>53</v>
      </c>
      <c r="Y896" s="6" t="s">
        <v>353</v>
      </c>
      <c r="Z896" s="5" t="s">
        <v>52</v>
      </c>
      <c r="AA896" s="112" t="s">
        <v>28</v>
      </c>
    </row>
    <row r="897" spans="1:29" x14ac:dyDescent="0.25">
      <c r="A897" s="329">
        <v>45893</v>
      </c>
      <c r="B897" s="5">
        <v>2</v>
      </c>
      <c r="D897" s="5" t="s">
        <v>92</v>
      </c>
      <c r="E897" s="6">
        <v>0.5</v>
      </c>
      <c r="G897" s="7">
        <v>0</v>
      </c>
      <c r="H897" s="7">
        <v>3</v>
      </c>
      <c r="J897" s="8">
        <v>2.68</v>
      </c>
      <c r="L897" s="5" t="s">
        <v>226</v>
      </c>
      <c r="N897" s="56">
        <v>37</v>
      </c>
      <c r="O897" s="26" t="s">
        <v>226</v>
      </c>
      <c r="P897" s="26" t="s">
        <v>231</v>
      </c>
      <c r="Q897" s="26" t="s">
        <v>232</v>
      </c>
      <c r="R897" s="26" t="s">
        <v>684</v>
      </c>
      <c r="S897" s="213">
        <v>92</v>
      </c>
      <c r="T897" s="26" t="s">
        <v>41</v>
      </c>
      <c r="U897" s="26" t="s">
        <v>42</v>
      </c>
      <c r="V897" s="43" t="s">
        <v>10</v>
      </c>
      <c r="W897" s="51">
        <v>0.37</v>
      </c>
      <c r="X897" s="6">
        <v>0.75</v>
      </c>
      <c r="Z897" s="5" t="s">
        <v>8</v>
      </c>
      <c r="AA897" s="112" t="s">
        <v>9</v>
      </c>
      <c r="AB897" s="108" t="s">
        <v>56</v>
      </c>
      <c r="AC897" s="57" t="s">
        <v>235</v>
      </c>
    </row>
    <row r="898" spans="1:29" x14ac:dyDescent="0.25">
      <c r="A898" s="329">
        <v>45893</v>
      </c>
      <c r="B898" s="5">
        <v>2</v>
      </c>
      <c r="D898" s="5" t="s">
        <v>92</v>
      </c>
      <c r="E898" s="6">
        <v>0.5</v>
      </c>
      <c r="G898" s="7">
        <v>0</v>
      </c>
      <c r="H898" s="7">
        <v>3</v>
      </c>
      <c r="J898" s="8">
        <v>2.68</v>
      </c>
      <c r="L898" s="5" t="s">
        <v>226</v>
      </c>
      <c r="N898" s="56">
        <v>66</v>
      </c>
      <c r="O898" s="26" t="s">
        <v>226</v>
      </c>
      <c r="P898" s="26" t="s">
        <v>287</v>
      </c>
      <c r="Q898" s="26" t="s">
        <v>288</v>
      </c>
      <c r="R898" s="26" t="s">
        <v>687</v>
      </c>
      <c r="S898" s="213">
        <v>72</v>
      </c>
      <c r="T898" s="26" t="s">
        <v>41</v>
      </c>
      <c r="U898" s="26" t="s">
        <v>43</v>
      </c>
      <c r="V898" s="43" t="s">
        <v>18</v>
      </c>
      <c r="W898" s="51">
        <v>0.56999999999999995</v>
      </c>
      <c r="X898" s="6">
        <v>0.45</v>
      </c>
      <c r="Y898" s="6" t="s">
        <v>353</v>
      </c>
      <c r="Z898" s="5" t="s">
        <v>48</v>
      </c>
      <c r="AA898" s="112" t="s">
        <v>9</v>
      </c>
    </row>
    <row r="899" spans="1:29" x14ac:dyDescent="0.25">
      <c r="A899" s="329">
        <v>45893</v>
      </c>
      <c r="B899" s="5">
        <v>2</v>
      </c>
      <c r="D899" s="5" t="s">
        <v>92</v>
      </c>
      <c r="E899" s="6">
        <v>0.5</v>
      </c>
      <c r="G899" s="7">
        <v>0</v>
      </c>
      <c r="H899" s="7">
        <v>3</v>
      </c>
      <c r="J899" s="8">
        <v>2.68</v>
      </c>
      <c r="L899" s="5" t="s">
        <v>226</v>
      </c>
      <c r="N899" s="56">
        <v>82</v>
      </c>
      <c r="O899" s="61" t="s">
        <v>92</v>
      </c>
      <c r="P899" s="61" t="s">
        <v>290</v>
      </c>
      <c r="Q899" s="61" t="s">
        <v>291</v>
      </c>
      <c r="R899" s="61" t="s">
        <v>695</v>
      </c>
      <c r="S899" s="218">
        <v>61</v>
      </c>
      <c r="T899" s="61" t="s">
        <v>44</v>
      </c>
      <c r="U899" s="61" t="s">
        <v>42</v>
      </c>
      <c r="V899" s="63" t="s">
        <v>10</v>
      </c>
      <c r="W899" s="51">
        <v>0.1</v>
      </c>
      <c r="X899" s="6" t="s">
        <v>53</v>
      </c>
      <c r="Z899" s="5" t="s">
        <v>17</v>
      </c>
      <c r="AA899" s="112" t="s">
        <v>11</v>
      </c>
    </row>
    <row r="900" spans="1:29" x14ac:dyDescent="0.25">
      <c r="A900" s="329">
        <v>45893</v>
      </c>
      <c r="B900" s="5">
        <v>2</v>
      </c>
      <c r="D900" s="5" t="s">
        <v>92</v>
      </c>
      <c r="E900" s="6">
        <v>0.5</v>
      </c>
      <c r="G900" s="7">
        <v>0</v>
      </c>
      <c r="H900" s="7">
        <v>3</v>
      </c>
      <c r="J900" s="8">
        <v>2.68</v>
      </c>
      <c r="L900" s="5" t="s">
        <v>226</v>
      </c>
      <c r="N900" s="56">
        <v>83</v>
      </c>
      <c r="O900" s="26" t="s">
        <v>226</v>
      </c>
      <c r="P900" s="26" t="s">
        <v>231</v>
      </c>
      <c r="Q900" s="26" t="s">
        <v>232</v>
      </c>
      <c r="R900" s="26" t="s">
        <v>684</v>
      </c>
      <c r="S900" s="213">
        <v>92</v>
      </c>
      <c r="T900" s="26" t="s">
        <v>41</v>
      </c>
      <c r="U900" s="26" t="s">
        <v>42</v>
      </c>
      <c r="V900" s="43" t="s">
        <v>10</v>
      </c>
      <c r="W900" s="51">
        <v>0.32</v>
      </c>
      <c r="X900" s="6">
        <v>0.34</v>
      </c>
      <c r="Y900" s="6" t="s">
        <v>353</v>
      </c>
      <c r="Z900" s="5" t="s">
        <v>8</v>
      </c>
      <c r="AA900" s="112" t="s">
        <v>11</v>
      </c>
      <c r="AB900" s="108" t="s">
        <v>289</v>
      </c>
      <c r="AC900" s="57" t="s">
        <v>54</v>
      </c>
    </row>
    <row r="901" spans="1:29" x14ac:dyDescent="0.25">
      <c r="A901" s="329">
        <v>45893</v>
      </c>
      <c r="B901" s="5">
        <v>2</v>
      </c>
      <c r="D901" s="5" t="s">
        <v>92</v>
      </c>
      <c r="E901" s="6">
        <v>0.5</v>
      </c>
      <c r="G901" s="7">
        <v>0</v>
      </c>
      <c r="H901" s="7">
        <v>3</v>
      </c>
      <c r="J901" s="8">
        <v>2.68</v>
      </c>
      <c r="L901" s="5" t="s">
        <v>226</v>
      </c>
      <c r="N901" s="56">
        <v>85</v>
      </c>
      <c r="O901" s="26" t="s">
        <v>226</v>
      </c>
      <c r="P901" s="26" t="s">
        <v>231</v>
      </c>
      <c r="Q901" s="26" t="s">
        <v>232</v>
      </c>
      <c r="R901" s="26" t="s">
        <v>684</v>
      </c>
      <c r="S901" s="213">
        <v>92</v>
      </c>
      <c r="T901" s="26" t="s">
        <v>44</v>
      </c>
      <c r="U901" s="26" t="s">
        <v>42</v>
      </c>
      <c r="V901" s="43" t="s">
        <v>540</v>
      </c>
      <c r="W901" s="51">
        <v>0.09</v>
      </c>
      <c r="X901" s="6">
        <v>0.22</v>
      </c>
      <c r="Z901" s="5" t="s">
        <v>48</v>
      </c>
      <c r="AA901" s="112" t="s">
        <v>11</v>
      </c>
    </row>
    <row r="902" spans="1:29" x14ac:dyDescent="0.25">
      <c r="A902" s="329">
        <v>45893</v>
      </c>
      <c r="B902" s="5">
        <v>2</v>
      </c>
      <c r="D902" s="5" t="s">
        <v>92</v>
      </c>
      <c r="E902" s="6">
        <v>0.5</v>
      </c>
      <c r="G902" s="7">
        <v>0</v>
      </c>
      <c r="H902" s="7">
        <v>3</v>
      </c>
      <c r="J902" s="8">
        <v>2.68</v>
      </c>
      <c r="L902" s="5" t="s">
        <v>226</v>
      </c>
      <c r="N902" s="56">
        <v>89</v>
      </c>
      <c r="O902" s="61" t="s">
        <v>92</v>
      </c>
      <c r="P902" s="61" t="s">
        <v>292</v>
      </c>
      <c r="Q902" s="61" t="s">
        <v>293</v>
      </c>
      <c r="R902" s="61" t="s">
        <v>696</v>
      </c>
      <c r="S902" s="218">
        <v>63</v>
      </c>
      <c r="T902" s="61" t="s">
        <v>41</v>
      </c>
      <c r="U902" s="61" t="s">
        <v>43</v>
      </c>
      <c r="V902" s="63" t="s">
        <v>10</v>
      </c>
      <c r="W902" s="51">
        <v>0.08</v>
      </c>
      <c r="X902" s="6">
        <v>0.24</v>
      </c>
      <c r="Z902" s="5" t="s">
        <v>48</v>
      </c>
      <c r="AA902" s="112" t="s">
        <v>11</v>
      </c>
    </row>
    <row r="903" spans="1:29" x14ac:dyDescent="0.25">
      <c r="A903" s="329">
        <v>45893</v>
      </c>
      <c r="B903" s="5">
        <v>2</v>
      </c>
      <c r="D903" s="5" t="s">
        <v>92</v>
      </c>
      <c r="E903" s="6">
        <v>0.5</v>
      </c>
      <c r="G903" s="7">
        <v>0</v>
      </c>
      <c r="H903" s="7">
        <v>3</v>
      </c>
      <c r="J903" s="8">
        <v>2.68</v>
      </c>
      <c r="L903" s="5" t="s">
        <v>226</v>
      </c>
      <c r="N903" s="56">
        <v>89</v>
      </c>
      <c r="O903" s="61" t="s">
        <v>92</v>
      </c>
      <c r="P903" s="61" t="s">
        <v>287</v>
      </c>
      <c r="Q903" s="61" t="s">
        <v>294</v>
      </c>
      <c r="R903" s="61" t="s">
        <v>696</v>
      </c>
      <c r="S903" s="218">
        <v>66</v>
      </c>
      <c r="T903" s="61" t="s">
        <v>41</v>
      </c>
      <c r="U903" s="61" t="s">
        <v>43</v>
      </c>
      <c r="V903" s="63" t="s">
        <v>540</v>
      </c>
      <c r="W903" s="51">
        <v>0.25</v>
      </c>
      <c r="X903" s="6" t="s">
        <v>53</v>
      </c>
      <c r="Z903" s="5" t="s">
        <v>13</v>
      </c>
      <c r="AA903" s="112" t="s">
        <v>11</v>
      </c>
    </row>
    <row r="904" spans="1:29" ht="15.75" thickBot="1" x14ac:dyDescent="0.3">
      <c r="A904" s="330">
        <v>45893</v>
      </c>
      <c r="B904" s="9">
        <v>2</v>
      </c>
      <c r="C904" s="122"/>
      <c r="D904" s="9" t="s">
        <v>92</v>
      </c>
      <c r="E904" s="10">
        <v>0.5</v>
      </c>
      <c r="F904" s="10"/>
      <c r="G904" s="11">
        <v>0</v>
      </c>
      <c r="H904" s="11">
        <v>3</v>
      </c>
      <c r="I904" s="11"/>
      <c r="J904" s="12">
        <v>2.68</v>
      </c>
      <c r="K904" s="122"/>
      <c r="L904" s="9" t="s">
        <v>226</v>
      </c>
      <c r="M904" s="45"/>
      <c r="N904" s="97" t="s">
        <v>31</v>
      </c>
      <c r="O904" s="74" t="s">
        <v>226</v>
      </c>
      <c r="P904" s="74" t="s">
        <v>289</v>
      </c>
      <c r="Q904" s="74" t="s">
        <v>54</v>
      </c>
      <c r="R904" s="74" t="s">
        <v>696</v>
      </c>
      <c r="S904" s="221">
        <v>84</v>
      </c>
      <c r="T904" s="74" t="s">
        <v>41</v>
      </c>
      <c r="U904" s="74" t="s">
        <v>42</v>
      </c>
      <c r="V904" s="76" t="s">
        <v>18</v>
      </c>
      <c r="W904" s="52">
        <v>0.22</v>
      </c>
      <c r="X904" s="10">
        <v>0.57999999999999996</v>
      </c>
      <c r="Y904" s="10"/>
      <c r="Z904" s="9" t="s">
        <v>8</v>
      </c>
      <c r="AA904" s="113" t="s">
        <v>14</v>
      </c>
      <c r="AB904" s="109" t="s">
        <v>657</v>
      </c>
      <c r="AC904" s="58" t="s">
        <v>138</v>
      </c>
    </row>
    <row r="905" spans="1:29" ht="15.75" thickBot="1" x14ac:dyDescent="0.3">
      <c r="A905" s="326">
        <v>45893</v>
      </c>
      <c r="B905" s="207">
        <v>2</v>
      </c>
      <c r="C905" s="208"/>
      <c r="D905" s="207" t="s">
        <v>92</v>
      </c>
      <c r="E905" s="209">
        <v>0.5</v>
      </c>
      <c r="F905" s="209"/>
      <c r="G905" s="210">
        <v>0</v>
      </c>
      <c r="H905" s="210">
        <v>3</v>
      </c>
      <c r="I905" s="210"/>
      <c r="J905" s="211">
        <v>2.68</v>
      </c>
      <c r="K905" s="208"/>
      <c r="L905" s="207" t="s">
        <v>226</v>
      </c>
      <c r="M905" s="197"/>
      <c r="N905" s="198"/>
      <c r="O905" s="199" t="s">
        <v>92</v>
      </c>
      <c r="P905" s="199" t="s">
        <v>432</v>
      </c>
      <c r="Q905" s="199" t="s">
        <v>472</v>
      </c>
      <c r="R905" s="199" t="s">
        <v>707</v>
      </c>
      <c r="S905" s="200">
        <v>76</v>
      </c>
      <c r="T905" s="199"/>
      <c r="U905" s="199"/>
      <c r="V905" s="201"/>
      <c r="W905" s="202"/>
      <c r="X905" s="203"/>
      <c r="Y905" s="203">
        <v>3</v>
      </c>
      <c r="Z905" s="199"/>
      <c r="AA905" s="204"/>
      <c r="AB905" s="205"/>
      <c r="AC905" s="201"/>
    </row>
    <row r="906" spans="1:29" ht="15.75" thickBot="1" x14ac:dyDescent="0.3">
      <c r="A906" s="326">
        <v>45893</v>
      </c>
      <c r="B906" s="207">
        <v>2</v>
      </c>
      <c r="C906" s="208"/>
      <c r="D906" s="207" t="s">
        <v>92</v>
      </c>
      <c r="E906" s="209">
        <v>0.5</v>
      </c>
      <c r="F906" s="209"/>
      <c r="G906" s="210">
        <v>0</v>
      </c>
      <c r="H906" s="210">
        <v>3</v>
      </c>
      <c r="I906" s="210"/>
      <c r="J906" s="211">
        <v>2.68</v>
      </c>
      <c r="K906" s="208"/>
      <c r="L906" s="207" t="s">
        <v>226</v>
      </c>
      <c r="M906" s="197"/>
      <c r="N906" s="198"/>
      <c r="O906" s="199" t="s">
        <v>226</v>
      </c>
      <c r="P906" s="199" t="s">
        <v>726</v>
      </c>
      <c r="Q906" s="199" t="s">
        <v>727</v>
      </c>
      <c r="R906" s="199" t="s">
        <v>707</v>
      </c>
      <c r="S906" s="200">
        <v>75</v>
      </c>
      <c r="T906" s="199"/>
      <c r="U906" s="199"/>
      <c r="V906" s="201"/>
      <c r="W906" s="202"/>
      <c r="X906" s="203"/>
      <c r="Y906" s="203">
        <v>0</v>
      </c>
      <c r="Z906" s="199"/>
      <c r="AA906" s="204"/>
      <c r="AB906" s="205"/>
      <c r="AC906" s="201"/>
    </row>
    <row r="907" spans="1:29" x14ac:dyDescent="0.25">
      <c r="A907" s="331">
        <v>45913</v>
      </c>
      <c r="B907" s="13">
        <v>4</v>
      </c>
      <c r="C907" s="124" t="s">
        <v>693</v>
      </c>
      <c r="D907" s="13" t="s">
        <v>146</v>
      </c>
      <c r="E907" s="14">
        <v>2.23</v>
      </c>
      <c r="F907" s="14"/>
      <c r="G907" s="15">
        <v>1</v>
      </c>
      <c r="H907" s="15">
        <v>2</v>
      </c>
      <c r="I907" s="15"/>
      <c r="J907" s="16">
        <v>2.42</v>
      </c>
      <c r="K907" s="124" t="s">
        <v>693</v>
      </c>
      <c r="L907" s="13" t="s">
        <v>226</v>
      </c>
      <c r="M907" s="47" t="s">
        <v>371</v>
      </c>
      <c r="N907" s="98">
        <v>9</v>
      </c>
      <c r="O907" s="79" t="s">
        <v>226</v>
      </c>
      <c r="P907" s="79" t="s">
        <v>231</v>
      </c>
      <c r="Q907" s="79" t="s">
        <v>232</v>
      </c>
      <c r="R907" s="79" t="s">
        <v>684</v>
      </c>
      <c r="S907" s="224">
        <v>84</v>
      </c>
      <c r="T907" s="79" t="s">
        <v>47</v>
      </c>
      <c r="U907" s="79" t="s">
        <v>42</v>
      </c>
      <c r="V907" s="80" t="s">
        <v>10</v>
      </c>
      <c r="W907" s="54">
        <v>0.48</v>
      </c>
      <c r="X907" s="14">
        <v>0.11</v>
      </c>
      <c r="Y907" s="14" t="s">
        <v>353</v>
      </c>
      <c r="Z907" s="13" t="s">
        <v>48</v>
      </c>
      <c r="AA907" s="115" t="s">
        <v>28</v>
      </c>
      <c r="AB907" s="110"/>
      <c r="AC907" s="60"/>
    </row>
    <row r="908" spans="1:29" x14ac:dyDescent="0.25">
      <c r="A908" s="329">
        <v>45913</v>
      </c>
      <c r="B908" s="5">
        <v>4</v>
      </c>
      <c r="D908" s="5" t="s">
        <v>146</v>
      </c>
      <c r="E908" s="6">
        <v>2.23</v>
      </c>
      <c r="G908" s="7">
        <v>1</v>
      </c>
      <c r="H908" s="7">
        <v>2</v>
      </c>
      <c r="J908" s="8">
        <v>2.42</v>
      </c>
      <c r="L908" s="5" t="s">
        <v>226</v>
      </c>
      <c r="M908" s="44" t="s">
        <v>371</v>
      </c>
      <c r="N908" s="56">
        <v>12</v>
      </c>
      <c r="O908" s="26" t="s">
        <v>226</v>
      </c>
      <c r="P908" s="26" t="s">
        <v>231</v>
      </c>
      <c r="Q908" s="26" t="s">
        <v>232</v>
      </c>
      <c r="R908" s="26" t="s">
        <v>684</v>
      </c>
      <c r="S908" s="213">
        <v>84</v>
      </c>
      <c r="T908" s="26" t="s">
        <v>44</v>
      </c>
      <c r="U908" s="26" t="s">
        <v>42</v>
      </c>
      <c r="V908" s="43" t="s">
        <v>540</v>
      </c>
      <c r="W908" s="51">
        <v>0.15</v>
      </c>
      <c r="X908" s="6">
        <v>0.08</v>
      </c>
      <c r="Y908" s="6" t="s">
        <v>353</v>
      </c>
      <c r="Z908" s="5" t="s">
        <v>8</v>
      </c>
      <c r="AA908" s="112" t="s">
        <v>9</v>
      </c>
    </row>
    <row r="909" spans="1:29" x14ac:dyDescent="0.25">
      <c r="A909" s="329">
        <v>45913</v>
      </c>
      <c r="B909" s="5">
        <v>4</v>
      </c>
      <c r="D909" s="5" t="s">
        <v>146</v>
      </c>
      <c r="E909" s="6">
        <v>2.23</v>
      </c>
      <c r="G909" s="7">
        <v>1</v>
      </c>
      <c r="H909" s="7">
        <v>2</v>
      </c>
      <c r="J909" s="8">
        <v>2.42</v>
      </c>
      <c r="L909" s="5" t="s">
        <v>226</v>
      </c>
      <c r="M909" s="44" t="s">
        <v>371</v>
      </c>
      <c r="N909" s="56">
        <v>15</v>
      </c>
      <c r="O909" s="26" t="s">
        <v>226</v>
      </c>
      <c r="P909" s="26" t="s">
        <v>231</v>
      </c>
      <c r="Q909" s="26" t="s">
        <v>232</v>
      </c>
      <c r="R909" s="26" t="s">
        <v>684</v>
      </c>
      <c r="S909" s="213">
        <v>84</v>
      </c>
      <c r="T909" s="26" t="s">
        <v>47</v>
      </c>
      <c r="U909" s="26" t="s">
        <v>42</v>
      </c>
      <c r="V909" s="43" t="s">
        <v>10</v>
      </c>
      <c r="W909" s="51">
        <v>0.08</v>
      </c>
      <c r="X909" s="6" t="s">
        <v>53</v>
      </c>
      <c r="Z909" s="5" t="s">
        <v>17</v>
      </c>
      <c r="AA909" s="112" t="s">
        <v>9</v>
      </c>
    </row>
    <row r="910" spans="1:29" x14ac:dyDescent="0.25">
      <c r="A910" s="329">
        <v>45913</v>
      </c>
      <c r="B910" s="5">
        <v>4</v>
      </c>
      <c r="D910" s="5" t="s">
        <v>146</v>
      </c>
      <c r="E910" s="6">
        <v>2.23</v>
      </c>
      <c r="G910" s="7">
        <v>1</v>
      </c>
      <c r="H910" s="7">
        <v>2</v>
      </c>
      <c r="J910" s="8">
        <v>2.42</v>
      </c>
      <c r="L910" s="5" t="s">
        <v>226</v>
      </c>
      <c r="M910" s="44" t="s">
        <v>371</v>
      </c>
      <c r="N910" s="56">
        <v>18</v>
      </c>
      <c r="O910" s="61" t="s">
        <v>146</v>
      </c>
      <c r="P910" s="61" t="s">
        <v>274</v>
      </c>
      <c r="Q910" s="61" t="s">
        <v>275</v>
      </c>
      <c r="R910" s="61" t="s">
        <v>685</v>
      </c>
      <c r="S910" s="218">
        <v>70</v>
      </c>
      <c r="T910" s="61" t="s">
        <v>354</v>
      </c>
      <c r="U910" s="61" t="s">
        <v>42</v>
      </c>
      <c r="V910" s="63" t="s">
        <v>10</v>
      </c>
      <c r="W910" s="51">
        <v>0.02</v>
      </c>
      <c r="X910" s="6" t="s">
        <v>53</v>
      </c>
      <c r="Z910" s="5" t="s">
        <v>16</v>
      </c>
      <c r="AA910" s="112" t="s">
        <v>9</v>
      </c>
    </row>
    <row r="911" spans="1:29" x14ac:dyDescent="0.25">
      <c r="A911" s="329">
        <v>45913</v>
      </c>
      <c r="B911" s="5">
        <v>4</v>
      </c>
      <c r="D911" s="5" t="s">
        <v>146</v>
      </c>
      <c r="E911" s="6">
        <v>2.23</v>
      </c>
      <c r="G911" s="7">
        <v>1</v>
      </c>
      <c r="H911" s="7">
        <v>2</v>
      </c>
      <c r="J911" s="8">
        <v>2.42</v>
      </c>
      <c r="L911" s="5" t="s">
        <v>226</v>
      </c>
      <c r="M911" s="44" t="s">
        <v>371</v>
      </c>
      <c r="N911" s="56">
        <v>26</v>
      </c>
      <c r="O911" s="26" t="s">
        <v>226</v>
      </c>
      <c r="P911" s="26" t="s">
        <v>372</v>
      </c>
      <c r="Q911" s="26" t="s">
        <v>373</v>
      </c>
      <c r="R911" s="26" t="s">
        <v>713</v>
      </c>
      <c r="S911" s="213">
        <v>74</v>
      </c>
      <c r="T911" s="26" t="s">
        <v>47</v>
      </c>
      <c r="U911" s="26" t="s">
        <v>45</v>
      </c>
      <c r="V911" s="43" t="s">
        <v>33</v>
      </c>
      <c r="W911" s="51">
        <v>0.18</v>
      </c>
      <c r="X911" s="6">
        <v>0.65</v>
      </c>
      <c r="Z911" s="5" t="s">
        <v>48</v>
      </c>
      <c r="AA911" s="112" t="s">
        <v>9</v>
      </c>
    </row>
    <row r="912" spans="1:29" x14ac:dyDescent="0.25">
      <c r="A912" s="329">
        <v>45913</v>
      </c>
      <c r="B912" s="5">
        <v>4</v>
      </c>
      <c r="D912" s="5" t="s">
        <v>146</v>
      </c>
      <c r="E912" s="6">
        <v>2.23</v>
      </c>
      <c r="G912" s="7">
        <v>1</v>
      </c>
      <c r="H912" s="7">
        <v>2</v>
      </c>
      <c r="J912" s="8">
        <v>2.42</v>
      </c>
      <c r="L912" s="5" t="s">
        <v>226</v>
      </c>
      <c r="M912" s="44" t="s">
        <v>371</v>
      </c>
      <c r="N912" s="56">
        <v>26</v>
      </c>
      <c r="O912" s="26" t="s">
        <v>226</v>
      </c>
      <c r="P912" s="26" t="s">
        <v>231</v>
      </c>
      <c r="Q912" s="26" t="s">
        <v>232</v>
      </c>
      <c r="R912" s="26" t="s">
        <v>684</v>
      </c>
      <c r="S912" s="213">
        <v>84</v>
      </c>
      <c r="T912" s="26" t="s">
        <v>47</v>
      </c>
      <c r="U912" s="26" t="s">
        <v>43</v>
      </c>
      <c r="V912" s="43" t="s">
        <v>33</v>
      </c>
      <c r="W912" s="51">
        <v>0.15</v>
      </c>
      <c r="X912" s="6" t="s">
        <v>53</v>
      </c>
      <c r="Z912" s="5" t="s">
        <v>52</v>
      </c>
      <c r="AA912" s="112" t="s">
        <v>9</v>
      </c>
    </row>
    <row r="913" spans="1:29" x14ac:dyDescent="0.25">
      <c r="A913" s="329">
        <v>45913</v>
      </c>
      <c r="B913" s="5">
        <v>4</v>
      </c>
      <c r="D913" s="5" t="s">
        <v>146</v>
      </c>
      <c r="E913" s="6">
        <v>2.23</v>
      </c>
      <c r="G913" s="7">
        <v>1</v>
      </c>
      <c r="H913" s="7">
        <v>2</v>
      </c>
      <c r="J913" s="8">
        <v>2.42</v>
      </c>
      <c r="L913" s="5" t="s">
        <v>226</v>
      </c>
      <c r="M913" s="44" t="s">
        <v>371</v>
      </c>
      <c r="N913" s="56">
        <v>30</v>
      </c>
      <c r="O913" s="26" t="s">
        <v>226</v>
      </c>
      <c r="P913" s="26" t="s">
        <v>372</v>
      </c>
      <c r="Q913" s="26" t="s">
        <v>373</v>
      </c>
      <c r="R913" s="26" t="s">
        <v>713</v>
      </c>
      <c r="S913" s="213">
        <v>74</v>
      </c>
      <c r="T913" s="26" t="s">
        <v>47</v>
      </c>
      <c r="U913" s="26" t="s">
        <v>45</v>
      </c>
      <c r="V913" s="43" t="s">
        <v>20</v>
      </c>
      <c r="W913" s="51">
        <v>0.12</v>
      </c>
      <c r="X913" s="6">
        <v>0.37</v>
      </c>
      <c r="Z913" s="5" t="s">
        <v>48</v>
      </c>
      <c r="AA913" s="112" t="s">
        <v>9</v>
      </c>
    </row>
    <row r="914" spans="1:29" x14ac:dyDescent="0.25">
      <c r="A914" s="329">
        <v>45913</v>
      </c>
      <c r="B914" s="5">
        <v>4</v>
      </c>
      <c r="D914" s="5" t="s">
        <v>146</v>
      </c>
      <c r="E914" s="6">
        <v>2.23</v>
      </c>
      <c r="G914" s="7">
        <v>1</v>
      </c>
      <c r="H914" s="7">
        <v>2</v>
      </c>
      <c r="J914" s="8">
        <v>2.42</v>
      </c>
      <c r="L914" s="5" t="s">
        <v>226</v>
      </c>
      <c r="M914" s="44" t="s">
        <v>371</v>
      </c>
      <c r="N914" s="56">
        <v>40</v>
      </c>
      <c r="O914" s="26" t="s">
        <v>226</v>
      </c>
      <c r="P914" s="26" t="s">
        <v>372</v>
      </c>
      <c r="Q914" s="26" t="s">
        <v>373</v>
      </c>
      <c r="R914" s="26" t="s">
        <v>713</v>
      </c>
      <c r="S914" s="213">
        <v>74</v>
      </c>
      <c r="T914" s="26" t="s">
        <v>44</v>
      </c>
      <c r="U914" s="26" t="s">
        <v>42</v>
      </c>
      <c r="V914" s="43" t="s">
        <v>33</v>
      </c>
      <c r="W914" s="51">
        <v>7.0000000000000007E-2</v>
      </c>
      <c r="X914" s="6" t="s">
        <v>53</v>
      </c>
      <c r="Z914" s="5" t="s">
        <v>22</v>
      </c>
      <c r="AA914" s="112" t="s">
        <v>9</v>
      </c>
    </row>
    <row r="915" spans="1:29" x14ac:dyDescent="0.25">
      <c r="A915" s="329">
        <v>45913</v>
      </c>
      <c r="B915" s="5">
        <v>4</v>
      </c>
      <c r="D915" s="5" t="s">
        <v>146</v>
      </c>
      <c r="E915" s="6">
        <v>2.23</v>
      </c>
      <c r="G915" s="7">
        <v>1</v>
      </c>
      <c r="H915" s="7">
        <v>2</v>
      </c>
      <c r="J915" s="8">
        <v>2.42</v>
      </c>
      <c r="L915" s="5" t="s">
        <v>226</v>
      </c>
      <c r="M915" s="44" t="s">
        <v>371</v>
      </c>
      <c r="N915" s="56">
        <v>43</v>
      </c>
      <c r="O915" s="26" t="s">
        <v>226</v>
      </c>
      <c r="P915" s="26" t="s">
        <v>374</v>
      </c>
      <c r="Q915" s="26" t="s">
        <v>375</v>
      </c>
      <c r="R915" s="26" t="s">
        <v>689</v>
      </c>
      <c r="S915" s="213">
        <v>68</v>
      </c>
      <c r="T915" s="26" t="s">
        <v>41</v>
      </c>
      <c r="U915" s="26" t="s">
        <v>45</v>
      </c>
      <c r="V915" s="43" t="s">
        <v>33</v>
      </c>
      <c r="W915" s="51">
        <v>0.03</v>
      </c>
      <c r="X915" s="6" t="s">
        <v>53</v>
      </c>
      <c r="Z915" s="5" t="s">
        <v>17</v>
      </c>
      <c r="AA915" s="112" t="s">
        <v>9</v>
      </c>
    </row>
    <row r="916" spans="1:29" x14ac:dyDescent="0.25">
      <c r="A916" s="329">
        <v>45913</v>
      </c>
      <c r="B916" s="5">
        <v>4</v>
      </c>
      <c r="D916" s="5" t="s">
        <v>146</v>
      </c>
      <c r="E916" s="6">
        <v>2.23</v>
      </c>
      <c r="G916" s="7">
        <v>1</v>
      </c>
      <c r="H916" s="7">
        <v>2</v>
      </c>
      <c r="J916" s="8">
        <v>2.42</v>
      </c>
      <c r="L916" s="5" t="s">
        <v>226</v>
      </c>
      <c r="M916" s="44" t="s">
        <v>371</v>
      </c>
      <c r="N916" s="56">
        <v>44</v>
      </c>
      <c r="O916" s="26" t="s">
        <v>226</v>
      </c>
      <c r="P916" s="26" t="s">
        <v>56</v>
      </c>
      <c r="Q916" s="26" t="s">
        <v>235</v>
      </c>
      <c r="R916" s="26" t="s">
        <v>699</v>
      </c>
      <c r="S916" s="213">
        <v>86</v>
      </c>
      <c r="T916" s="26" t="s">
        <v>47</v>
      </c>
      <c r="U916" s="26" t="s">
        <v>43</v>
      </c>
      <c r="V916" s="43" t="s">
        <v>10</v>
      </c>
      <c r="W916" s="51">
        <v>0.71</v>
      </c>
      <c r="X916" s="6">
        <v>0.97</v>
      </c>
      <c r="Y916" s="6" t="s">
        <v>353</v>
      </c>
      <c r="Z916" s="5" t="s">
        <v>8</v>
      </c>
      <c r="AA916" s="112" t="s">
        <v>11</v>
      </c>
      <c r="AB916" s="108" t="s">
        <v>231</v>
      </c>
      <c r="AC916" s="57" t="s">
        <v>232</v>
      </c>
    </row>
    <row r="917" spans="1:29" x14ac:dyDescent="0.25">
      <c r="A917" s="329">
        <v>45913</v>
      </c>
      <c r="B917" s="5">
        <v>4</v>
      </c>
      <c r="D917" s="5" t="s">
        <v>146</v>
      </c>
      <c r="E917" s="6">
        <v>2.23</v>
      </c>
      <c r="G917" s="7">
        <v>1</v>
      </c>
      <c r="H917" s="7">
        <v>2</v>
      </c>
      <c r="J917" s="8">
        <v>2.42</v>
      </c>
      <c r="L917" s="5" t="s">
        <v>226</v>
      </c>
      <c r="M917" s="44" t="s">
        <v>371</v>
      </c>
      <c r="N917" s="56">
        <v>50</v>
      </c>
      <c r="O917" s="61" t="s">
        <v>146</v>
      </c>
      <c r="P917" s="61" t="s">
        <v>241</v>
      </c>
      <c r="Q917" s="61" t="s">
        <v>284</v>
      </c>
      <c r="R917" s="61" t="s">
        <v>687</v>
      </c>
      <c r="S917" s="218">
        <v>62</v>
      </c>
      <c r="T917" s="61" t="s">
        <v>41</v>
      </c>
      <c r="U917" s="61" t="s">
        <v>43</v>
      </c>
      <c r="V917" s="63" t="s">
        <v>10</v>
      </c>
      <c r="W917" s="51">
        <v>0.19</v>
      </c>
      <c r="X917" s="6" t="s">
        <v>53</v>
      </c>
      <c r="Y917" s="6" t="s">
        <v>353</v>
      </c>
      <c r="Z917" s="5" t="s">
        <v>52</v>
      </c>
      <c r="AA917" s="112" t="s">
        <v>11</v>
      </c>
    </row>
    <row r="918" spans="1:29" x14ac:dyDescent="0.25">
      <c r="A918" s="329">
        <v>45913</v>
      </c>
      <c r="B918" s="5">
        <v>4</v>
      </c>
      <c r="D918" s="5" t="s">
        <v>146</v>
      </c>
      <c r="E918" s="6">
        <v>2.23</v>
      </c>
      <c r="G918" s="7">
        <v>1</v>
      </c>
      <c r="H918" s="7">
        <v>2</v>
      </c>
      <c r="J918" s="8">
        <v>2.42</v>
      </c>
      <c r="L918" s="5" t="s">
        <v>226</v>
      </c>
      <c r="M918" s="44" t="s">
        <v>371</v>
      </c>
      <c r="N918" s="56">
        <v>50</v>
      </c>
      <c r="O918" s="26" t="s">
        <v>226</v>
      </c>
      <c r="P918" s="26" t="s">
        <v>289</v>
      </c>
      <c r="Q918" s="26" t="s">
        <v>54</v>
      </c>
      <c r="R918" s="26" t="s">
        <v>685</v>
      </c>
      <c r="S918" s="213">
        <v>65</v>
      </c>
      <c r="T918" s="26" t="s">
        <v>41</v>
      </c>
      <c r="U918" s="26" t="s">
        <v>42</v>
      </c>
      <c r="V918" s="43" t="s">
        <v>10</v>
      </c>
      <c r="W918" s="51">
        <v>0.03</v>
      </c>
      <c r="X918" s="6" t="s">
        <v>53</v>
      </c>
      <c r="Z918" s="5" t="s">
        <v>22</v>
      </c>
      <c r="AA918" s="112" t="s">
        <v>11</v>
      </c>
    </row>
    <row r="919" spans="1:29" x14ac:dyDescent="0.25">
      <c r="A919" s="329">
        <v>45913</v>
      </c>
      <c r="B919" s="5">
        <v>4</v>
      </c>
      <c r="D919" s="5" t="s">
        <v>146</v>
      </c>
      <c r="E919" s="6">
        <v>2.23</v>
      </c>
      <c r="G919" s="7">
        <v>1</v>
      </c>
      <c r="H919" s="7">
        <v>2</v>
      </c>
      <c r="J919" s="8">
        <v>2.42</v>
      </c>
      <c r="L919" s="5" t="s">
        <v>226</v>
      </c>
      <c r="M919" s="44" t="s">
        <v>371</v>
      </c>
      <c r="N919" s="56">
        <v>56</v>
      </c>
      <c r="O919" s="61" t="s">
        <v>146</v>
      </c>
      <c r="P919" s="61" t="s">
        <v>159</v>
      </c>
      <c r="Q919" s="61" t="s">
        <v>160</v>
      </c>
      <c r="R919" s="61" t="s">
        <v>684</v>
      </c>
      <c r="S919" s="218">
        <v>74</v>
      </c>
      <c r="T919" s="61" t="s">
        <v>41</v>
      </c>
      <c r="U919" s="61" t="s">
        <v>43</v>
      </c>
      <c r="V919" s="63" t="s">
        <v>7</v>
      </c>
      <c r="W919" s="51">
        <v>0.79</v>
      </c>
      <c r="X919" s="6">
        <v>0.77</v>
      </c>
      <c r="Y919" s="6" t="s">
        <v>353</v>
      </c>
      <c r="Z919" s="5" t="s">
        <v>8</v>
      </c>
      <c r="AA919" s="112" t="s">
        <v>67</v>
      </c>
    </row>
    <row r="920" spans="1:29" x14ac:dyDescent="0.25">
      <c r="A920" s="329">
        <v>45913</v>
      </c>
      <c r="B920" s="5">
        <v>4</v>
      </c>
      <c r="D920" s="5" t="s">
        <v>146</v>
      </c>
      <c r="E920" s="6">
        <v>2.23</v>
      </c>
      <c r="G920" s="7">
        <v>1</v>
      </c>
      <c r="H920" s="7">
        <v>2</v>
      </c>
      <c r="J920" s="8">
        <v>2.42</v>
      </c>
      <c r="L920" s="5" t="s">
        <v>226</v>
      </c>
      <c r="M920" s="44" t="s">
        <v>371</v>
      </c>
      <c r="N920" s="56">
        <v>60</v>
      </c>
      <c r="O920" s="26" t="s">
        <v>226</v>
      </c>
      <c r="P920" s="26" t="s">
        <v>231</v>
      </c>
      <c r="Q920" s="26" t="s">
        <v>232</v>
      </c>
      <c r="R920" s="26" t="s">
        <v>684</v>
      </c>
      <c r="S920" s="213">
        <v>84</v>
      </c>
      <c r="T920" s="26" t="s">
        <v>41</v>
      </c>
      <c r="U920" s="26" t="s">
        <v>42</v>
      </c>
      <c r="V920" s="43" t="s">
        <v>18</v>
      </c>
      <c r="W920" s="51">
        <v>0.17</v>
      </c>
      <c r="X920" s="6" t="s">
        <v>53</v>
      </c>
      <c r="Z920" s="5" t="s">
        <v>16</v>
      </c>
      <c r="AA920" s="112" t="s">
        <v>67</v>
      </c>
      <c r="AB920" s="111"/>
      <c r="AC920" s="90"/>
    </row>
    <row r="921" spans="1:29" x14ac:dyDescent="0.25">
      <c r="A921" s="329">
        <v>45913</v>
      </c>
      <c r="B921" s="5">
        <v>4</v>
      </c>
      <c r="D921" s="5" t="s">
        <v>146</v>
      </c>
      <c r="E921" s="6">
        <v>2.23</v>
      </c>
      <c r="G921" s="7">
        <v>1</v>
      </c>
      <c r="H921" s="7">
        <v>2</v>
      </c>
      <c r="J921" s="8">
        <v>2.42</v>
      </c>
      <c r="L921" s="5" t="s">
        <v>226</v>
      </c>
      <c r="M921" s="44" t="s">
        <v>371</v>
      </c>
      <c r="N921" s="56">
        <v>65</v>
      </c>
      <c r="O921" s="61" t="s">
        <v>146</v>
      </c>
      <c r="P921" s="61" t="s">
        <v>159</v>
      </c>
      <c r="Q921" s="61" t="s">
        <v>160</v>
      </c>
      <c r="R921" s="61" t="s">
        <v>684</v>
      </c>
      <c r="S921" s="218">
        <v>74</v>
      </c>
      <c r="T921" s="61" t="s">
        <v>47</v>
      </c>
      <c r="U921" s="61" t="s">
        <v>42</v>
      </c>
      <c r="V921" s="63" t="s">
        <v>10</v>
      </c>
      <c r="W921" s="51">
        <v>0.11</v>
      </c>
      <c r="X921" s="6">
        <v>0.15</v>
      </c>
      <c r="Y921" s="6" t="s">
        <v>353</v>
      </c>
      <c r="Z921" s="5" t="s">
        <v>48</v>
      </c>
      <c r="AA921" s="112" t="s">
        <v>67</v>
      </c>
    </row>
    <row r="922" spans="1:29" x14ac:dyDescent="0.25">
      <c r="A922" s="329">
        <v>45913</v>
      </c>
      <c r="B922" s="5">
        <v>4</v>
      </c>
      <c r="D922" s="5" t="s">
        <v>146</v>
      </c>
      <c r="E922" s="6">
        <v>2.23</v>
      </c>
      <c r="G922" s="7">
        <v>1</v>
      </c>
      <c r="H922" s="7">
        <v>2</v>
      </c>
      <c r="J922" s="8">
        <v>2.42</v>
      </c>
      <c r="L922" s="5" t="s">
        <v>226</v>
      </c>
      <c r="M922" s="44" t="s">
        <v>371</v>
      </c>
      <c r="N922" s="56">
        <v>67</v>
      </c>
      <c r="O922" s="61" t="s">
        <v>146</v>
      </c>
      <c r="P922" s="61" t="s">
        <v>46</v>
      </c>
      <c r="Q922" s="61" t="s">
        <v>376</v>
      </c>
      <c r="R922" s="61" t="s">
        <v>696</v>
      </c>
      <c r="S922" s="218">
        <v>70</v>
      </c>
      <c r="T922" s="61" t="s">
        <v>41</v>
      </c>
      <c r="U922" s="61" t="s">
        <v>42</v>
      </c>
      <c r="V922" s="63" t="s">
        <v>33</v>
      </c>
      <c r="W922" s="51">
        <v>0.18</v>
      </c>
      <c r="X922" s="6" t="s">
        <v>53</v>
      </c>
      <c r="Z922" s="5" t="s">
        <v>13</v>
      </c>
      <c r="AA922" s="112" t="s">
        <v>67</v>
      </c>
    </row>
    <row r="923" spans="1:29" x14ac:dyDescent="0.25">
      <c r="A923" s="329">
        <v>45913</v>
      </c>
      <c r="B923" s="5">
        <v>4</v>
      </c>
      <c r="D923" s="5" t="s">
        <v>146</v>
      </c>
      <c r="E923" s="6">
        <v>2.23</v>
      </c>
      <c r="G923" s="7">
        <v>1</v>
      </c>
      <c r="H923" s="7">
        <v>2</v>
      </c>
      <c r="J923" s="8">
        <v>2.42</v>
      </c>
      <c r="L923" s="5" t="s">
        <v>226</v>
      </c>
      <c r="M923" s="44" t="s">
        <v>371</v>
      </c>
      <c r="N923" s="56">
        <v>67</v>
      </c>
      <c r="O923" s="61" t="s">
        <v>146</v>
      </c>
      <c r="P923" s="61" t="s">
        <v>377</v>
      </c>
      <c r="Q923" s="61" t="s">
        <v>378</v>
      </c>
      <c r="R923" s="61" t="s">
        <v>712</v>
      </c>
      <c r="S923" s="218">
        <v>68</v>
      </c>
      <c r="T923" s="61" t="s">
        <v>41</v>
      </c>
      <c r="U923" s="61" t="s">
        <v>43</v>
      </c>
      <c r="V923" s="63" t="s">
        <v>33</v>
      </c>
      <c r="W923" s="51">
        <v>0.13</v>
      </c>
      <c r="X923" s="6" t="s">
        <v>53</v>
      </c>
      <c r="Y923" s="6" t="s">
        <v>353</v>
      </c>
      <c r="Z923" s="5" t="s">
        <v>22</v>
      </c>
      <c r="AA923" s="112" t="s">
        <v>67</v>
      </c>
    </row>
    <row r="924" spans="1:29" ht="15.75" thickBot="1" x14ac:dyDescent="0.3">
      <c r="A924" s="330">
        <v>45913</v>
      </c>
      <c r="B924" s="9">
        <v>4</v>
      </c>
      <c r="C924" s="122"/>
      <c r="D924" s="9" t="s">
        <v>146</v>
      </c>
      <c r="E924" s="10">
        <v>2.23</v>
      </c>
      <c r="F924" s="10"/>
      <c r="G924" s="11">
        <v>1</v>
      </c>
      <c r="H924" s="11">
        <v>2</v>
      </c>
      <c r="I924" s="11"/>
      <c r="J924" s="12">
        <v>2.42</v>
      </c>
      <c r="K924" s="122"/>
      <c r="L924" s="9" t="s">
        <v>226</v>
      </c>
      <c r="M924" s="45" t="s">
        <v>371</v>
      </c>
      <c r="N924" s="97">
        <v>84</v>
      </c>
      <c r="O924" s="66" t="s">
        <v>146</v>
      </c>
      <c r="P924" s="66" t="s">
        <v>159</v>
      </c>
      <c r="Q924" s="66" t="s">
        <v>160</v>
      </c>
      <c r="R924" s="66" t="s">
        <v>684</v>
      </c>
      <c r="S924" s="219">
        <v>74</v>
      </c>
      <c r="T924" s="66" t="s">
        <v>41</v>
      </c>
      <c r="U924" s="66" t="s">
        <v>43</v>
      </c>
      <c r="V924" s="67" t="s">
        <v>10</v>
      </c>
      <c r="W924" s="52">
        <v>0.12</v>
      </c>
      <c r="X924" s="10">
        <v>0.03</v>
      </c>
      <c r="Y924" s="10" t="s">
        <v>353</v>
      </c>
      <c r="Z924" s="9" t="s">
        <v>48</v>
      </c>
      <c r="AA924" s="113" t="s">
        <v>67</v>
      </c>
      <c r="AB924" s="109"/>
      <c r="AC924" s="58"/>
    </row>
    <row r="925" spans="1:29" ht="15.75" thickBot="1" x14ac:dyDescent="0.3">
      <c r="A925" s="326">
        <v>45913</v>
      </c>
      <c r="B925" s="207">
        <v>4</v>
      </c>
      <c r="C925" s="208"/>
      <c r="D925" s="207" t="s">
        <v>146</v>
      </c>
      <c r="E925" s="209">
        <v>2.23</v>
      </c>
      <c r="F925" s="209"/>
      <c r="G925" s="210">
        <v>1</v>
      </c>
      <c r="H925" s="210">
        <v>2</v>
      </c>
      <c r="I925" s="210"/>
      <c r="J925" s="211">
        <v>2.42</v>
      </c>
      <c r="K925" s="208"/>
      <c r="L925" s="207" t="s">
        <v>226</v>
      </c>
      <c r="M925" s="235"/>
      <c r="N925" s="198"/>
      <c r="O925" s="199" t="s">
        <v>146</v>
      </c>
      <c r="P925" s="199" t="s">
        <v>176</v>
      </c>
      <c r="Q925" s="199" t="s">
        <v>423</v>
      </c>
      <c r="R925" s="199" t="s">
        <v>707</v>
      </c>
      <c r="S925" s="200">
        <v>70</v>
      </c>
      <c r="T925" s="199"/>
      <c r="U925" s="199"/>
      <c r="V925" s="201"/>
      <c r="W925" s="202"/>
      <c r="X925" s="203"/>
      <c r="Y925" s="203">
        <v>2</v>
      </c>
      <c r="Z925" s="199"/>
      <c r="AA925" s="204"/>
      <c r="AB925" s="205"/>
      <c r="AC925" s="201"/>
    </row>
    <row r="926" spans="1:29" ht="15.75" thickBot="1" x14ac:dyDescent="0.3">
      <c r="A926" s="326">
        <v>45913</v>
      </c>
      <c r="B926" s="207">
        <v>4</v>
      </c>
      <c r="C926" s="208"/>
      <c r="D926" s="207" t="s">
        <v>146</v>
      </c>
      <c r="E926" s="209">
        <v>2.23</v>
      </c>
      <c r="F926" s="209"/>
      <c r="G926" s="210">
        <v>1</v>
      </c>
      <c r="H926" s="210">
        <v>2</v>
      </c>
      <c r="I926" s="210"/>
      <c r="J926" s="211">
        <v>2.42</v>
      </c>
      <c r="K926" s="208"/>
      <c r="L926" s="207" t="s">
        <v>226</v>
      </c>
      <c r="M926" s="235"/>
      <c r="N926" s="198"/>
      <c r="O926" s="199" t="s">
        <v>226</v>
      </c>
      <c r="P926" s="199" t="s">
        <v>726</v>
      </c>
      <c r="Q926" s="199" t="s">
        <v>727</v>
      </c>
      <c r="R926" s="199" t="s">
        <v>707</v>
      </c>
      <c r="S926" s="200">
        <v>72</v>
      </c>
      <c r="T926" s="199"/>
      <c r="U926" s="199"/>
      <c r="V926" s="201"/>
      <c r="W926" s="202"/>
      <c r="X926" s="203"/>
      <c r="Y926" s="203">
        <v>1</v>
      </c>
      <c r="Z926" s="199"/>
      <c r="AA926" s="204"/>
      <c r="AB926" s="205"/>
      <c r="AC926" s="201"/>
    </row>
    <row r="927" spans="1:29" x14ac:dyDescent="0.25">
      <c r="A927" s="331">
        <v>45923</v>
      </c>
      <c r="B927" s="13">
        <v>6</v>
      </c>
      <c r="C927" s="124" t="s">
        <v>694</v>
      </c>
      <c r="D927" s="13" t="s">
        <v>129</v>
      </c>
      <c r="E927" s="14">
        <v>1.8</v>
      </c>
      <c r="F927" s="14"/>
      <c r="G927" s="15">
        <v>1</v>
      </c>
      <c r="H927" s="15">
        <v>4</v>
      </c>
      <c r="I927" s="15"/>
      <c r="J927" s="16">
        <v>3.94</v>
      </c>
      <c r="K927" s="124" t="s">
        <v>702</v>
      </c>
      <c r="L927" s="13" t="s">
        <v>226</v>
      </c>
      <c r="M927" s="47"/>
      <c r="N927" s="98">
        <v>4</v>
      </c>
      <c r="O927" s="70" t="s">
        <v>129</v>
      </c>
      <c r="P927" s="70" t="s">
        <v>59</v>
      </c>
      <c r="Q927" s="70" t="s">
        <v>191</v>
      </c>
      <c r="R927" s="70" t="s">
        <v>717</v>
      </c>
      <c r="S927" s="227">
        <v>64</v>
      </c>
      <c r="T927" s="70" t="s">
        <v>41</v>
      </c>
      <c r="U927" s="70" t="s">
        <v>42</v>
      </c>
      <c r="V927" s="71" t="s">
        <v>10</v>
      </c>
      <c r="W927" s="54">
        <v>0.24</v>
      </c>
      <c r="X927" s="14" t="s">
        <v>53</v>
      </c>
      <c r="Y927" s="14" t="s">
        <v>353</v>
      </c>
      <c r="Z927" s="13" t="s">
        <v>16</v>
      </c>
      <c r="AA927" s="115" t="s">
        <v>28</v>
      </c>
      <c r="AB927" s="110"/>
      <c r="AC927" s="60"/>
    </row>
    <row r="928" spans="1:29" x14ac:dyDescent="0.25">
      <c r="A928" s="329">
        <v>45923</v>
      </c>
      <c r="B928" s="5">
        <v>6</v>
      </c>
      <c r="D928" s="5" t="s">
        <v>129</v>
      </c>
      <c r="E928" s="6">
        <v>1.8</v>
      </c>
      <c r="G928" s="7">
        <v>1</v>
      </c>
      <c r="H928" s="7">
        <v>4</v>
      </c>
      <c r="J928" s="8">
        <v>3.94</v>
      </c>
      <c r="L928" s="5" t="s">
        <v>226</v>
      </c>
      <c r="N928" s="56">
        <v>8</v>
      </c>
      <c r="O928" s="26" t="s">
        <v>226</v>
      </c>
      <c r="P928" s="26" t="s">
        <v>236</v>
      </c>
      <c r="Q928" s="26" t="s">
        <v>237</v>
      </c>
      <c r="R928" s="26" t="s">
        <v>689</v>
      </c>
      <c r="S928" s="213">
        <v>73</v>
      </c>
      <c r="T928" s="26" t="s">
        <v>44</v>
      </c>
      <c r="U928" s="26" t="s">
        <v>43</v>
      </c>
      <c r="V928" s="43" t="s">
        <v>20</v>
      </c>
      <c r="W928" s="51">
        <v>0.03</v>
      </c>
      <c r="X928" s="6" t="s">
        <v>53</v>
      </c>
      <c r="Z928" s="5" t="s">
        <v>16</v>
      </c>
      <c r="AA928" s="112" t="s">
        <v>28</v>
      </c>
    </row>
    <row r="929" spans="1:29" x14ac:dyDescent="0.25">
      <c r="A929" s="329">
        <v>45923</v>
      </c>
      <c r="B929" s="5">
        <v>6</v>
      </c>
      <c r="D929" s="5" t="s">
        <v>129</v>
      </c>
      <c r="E929" s="6">
        <v>1.8</v>
      </c>
      <c r="G929" s="7">
        <v>1</v>
      </c>
      <c r="H929" s="7">
        <v>4</v>
      </c>
      <c r="J929" s="8">
        <v>3.94</v>
      </c>
      <c r="L929" s="5" t="s">
        <v>226</v>
      </c>
      <c r="N929" s="56">
        <v>13</v>
      </c>
      <c r="O929" s="61" t="s">
        <v>129</v>
      </c>
      <c r="P929" s="61" t="s">
        <v>168</v>
      </c>
      <c r="Q929" s="61" t="s">
        <v>263</v>
      </c>
      <c r="R929" s="61" t="s">
        <v>712</v>
      </c>
      <c r="S929" s="218">
        <v>66</v>
      </c>
      <c r="T929" s="61" t="s">
        <v>41</v>
      </c>
      <c r="U929" s="61" t="s">
        <v>45</v>
      </c>
      <c r="V929" s="63" t="s">
        <v>20</v>
      </c>
      <c r="W929" s="51">
        <v>0.15</v>
      </c>
      <c r="X929" s="6" t="s">
        <v>53</v>
      </c>
      <c r="Y929" s="6" t="s">
        <v>353</v>
      </c>
      <c r="Z929" s="5" t="s">
        <v>22</v>
      </c>
      <c r="AA929" s="112" t="s">
        <v>28</v>
      </c>
    </row>
    <row r="930" spans="1:29" x14ac:dyDescent="0.25">
      <c r="A930" s="329">
        <v>45923</v>
      </c>
      <c r="B930" s="5">
        <v>6</v>
      </c>
      <c r="D930" s="5" t="s">
        <v>129</v>
      </c>
      <c r="E930" s="6">
        <v>1.8</v>
      </c>
      <c r="G930" s="7">
        <v>1</v>
      </c>
      <c r="H930" s="7">
        <v>4</v>
      </c>
      <c r="J930" s="8">
        <v>3.94</v>
      </c>
      <c r="L930" s="5" t="s">
        <v>226</v>
      </c>
      <c r="N930" s="56">
        <v>18</v>
      </c>
      <c r="O930" s="26" t="s">
        <v>226</v>
      </c>
      <c r="P930" s="26" t="s">
        <v>124</v>
      </c>
      <c r="Q930" s="26" t="s">
        <v>484</v>
      </c>
      <c r="R930" s="26" t="s">
        <v>695</v>
      </c>
      <c r="S930" s="213">
        <v>82</v>
      </c>
      <c r="T930" s="26" t="s">
        <v>44</v>
      </c>
      <c r="U930" s="26" t="s">
        <v>42</v>
      </c>
      <c r="V930" s="43" t="s">
        <v>20</v>
      </c>
      <c r="W930" s="51">
        <v>0.02</v>
      </c>
      <c r="X930" s="6" t="s">
        <v>53</v>
      </c>
      <c r="Z930" s="5" t="s">
        <v>22</v>
      </c>
      <c r="AA930" s="112" t="s">
        <v>28</v>
      </c>
    </row>
    <row r="931" spans="1:29" x14ac:dyDescent="0.25">
      <c r="A931" s="329">
        <v>45923</v>
      </c>
      <c r="B931" s="5">
        <v>6</v>
      </c>
      <c r="D931" s="5" t="s">
        <v>129</v>
      </c>
      <c r="E931" s="6">
        <v>1.8</v>
      </c>
      <c r="G931" s="7">
        <v>1</v>
      </c>
      <c r="H931" s="7">
        <v>4</v>
      </c>
      <c r="J931" s="8">
        <v>3.94</v>
      </c>
      <c r="L931" s="5" t="s">
        <v>226</v>
      </c>
      <c r="N931" s="56">
        <v>21</v>
      </c>
      <c r="O931" s="26" t="s">
        <v>226</v>
      </c>
      <c r="P931" s="26" t="s">
        <v>289</v>
      </c>
      <c r="Q931" s="26" t="s">
        <v>54</v>
      </c>
      <c r="R931" s="26" t="s">
        <v>685</v>
      </c>
      <c r="S931" s="213">
        <v>84</v>
      </c>
      <c r="T931" s="26" t="s">
        <v>354</v>
      </c>
      <c r="U931" s="26" t="s">
        <v>42</v>
      </c>
      <c r="V931" s="43" t="s">
        <v>10</v>
      </c>
      <c r="W931" s="51">
        <v>0.02</v>
      </c>
      <c r="X931" s="6">
        <v>0.12</v>
      </c>
      <c r="Z931" s="5" t="s">
        <v>48</v>
      </c>
      <c r="AA931" s="112" t="s">
        <v>28</v>
      </c>
    </row>
    <row r="932" spans="1:29" x14ac:dyDescent="0.25">
      <c r="A932" s="329">
        <v>45923</v>
      </c>
      <c r="B932" s="5">
        <v>6</v>
      </c>
      <c r="D932" s="5" t="s">
        <v>129</v>
      </c>
      <c r="E932" s="6">
        <v>1.8</v>
      </c>
      <c r="G932" s="7">
        <v>1</v>
      </c>
      <c r="H932" s="7">
        <v>4</v>
      </c>
      <c r="J932" s="8">
        <v>3.94</v>
      </c>
      <c r="L932" s="5" t="s">
        <v>226</v>
      </c>
      <c r="N932" s="56">
        <v>21</v>
      </c>
      <c r="O932" s="26" t="s">
        <v>226</v>
      </c>
      <c r="P932" s="26" t="s">
        <v>236</v>
      </c>
      <c r="Q932" s="26" t="s">
        <v>237</v>
      </c>
      <c r="R932" s="26" t="s">
        <v>689</v>
      </c>
      <c r="S932" s="213">
        <v>73</v>
      </c>
      <c r="T932" s="26" t="s">
        <v>41</v>
      </c>
      <c r="U932" s="26" t="s">
        <v>42</v>
      </c>
      <c r="V932" s="43" t="s">
        <v>540</v>
      </c>
      <c r="W932" s="51">
        <v>0.55000000000000004</v>
      </c>
      <c r="X932" s="6" t="s">
        <v>53</v>
      </c>
      <c r="Y932" s="6" t="s">
        <v>353</v>
      </c>
      <c r="Z932" s="5" t="s">
        <v>17</v>
      </c>
      <c r="AA932" s="112" t="s">
        <v>28</v>
      </c>
    </row>
    <row r="933" spans="1:29" x14ac:dyDescent="0.25">
      <c r="A933" s="329">
        <v>45923</v>
      </c>
      <c r="B933" s="5">
        <v>6</v>
      </c>
      <c r="D933" s="5" t="s">
        <v>129</v>
      </c>
      <c r="E933" s="6">
        <v>1.8</v>
      </c>
      <c r="G933" s="7">
        <v>1</v>
      </c>
      <c r="H933" s="7">
        <v>4</v>
      </c>
      <c r="J933" s="8">
        <v>3.94</v>
      </c>
      <c r="L933" s="5" t="s">
        <v>226</v>
      </c>
      <c r="N933" s="56">
        <v>23</v>
      </c>
      <c r="O933" s="26" t="s">
        <v>226</v>
      </c>
      <c r="P933" s="26" t="s">
        <v>289</v>
      </c>
      <c r="Q933" s="26" t="s">
        <v>54</v>
      </c>
      <c r="R933" s="26" t="s">
        <v>685</v>
      </c>
      <c r="S933" s="213">
        <v>84</v>
      </c>
      <c r="T933" s="26" t="s">
        <v>41</v>
      </c>
      <c r="U933" s="26" t="s">
        <v>42</v>
      </c>
      <c r="V933" s="43" t="s">
        <v>10</v>
      </c>
      <c r="W933" s="51">
        <v>0.08</v>
      </c>
      <c r="X933" s="6">
        <v>0.28999999999999998</v>
      </c>
      <c r="Z933" s="5" t="s">
        <v>48</v>
      </c>
      <c r="AA933" s="112" t="s">
        <v>28</v>
      </c>
    </row>
    <row r="934" spans="1:29" x14ac:dyDescent="0.25">
      <c r="A934" s="329">
        <v>45923</v>
      </c>
      <c r="B934" s="5">
        <v>6</v>
      </c>
      <c r="D934" s="5" t="s">
        <v>129</v>
      </c>
      <c r="E934" s="6">
        <v>1.8</v>
      </c>
      <c r="G934" s="7">
        <v>1</v>
      </c>
      <c r="H934" s="7">
        <v>4</v>
      </c>
      <c r="J934" s="8">
        <v>3.94</v>
      </c>
      <c r="L934" s="5" t="s">
        <v>226</v>
      </c>
      <c r="N934" s="56">
        <v>28</v>
      </c>
      <c r="O934" s="26" t="s">
        <v>226</v>
      </c>
      <c r="P934" s="26" t="s">
        <v>289</v>
      </c>
      <c r="Q934" s="26" t="s">
        <v>54</v>
      </c>
      <c r="R934" s="26" t="s">
        <v>685</v>
      </c>
      <c r="S934" s="213">
        <v>84</v>
      </c>
      <c r="T934" s="26" t="s">
        <v>41</v>
      </c>
      <c r="U934" s="26" t="s">
        <v>42</v>
      </c>
      <c r="V934" s="43" t="s">
        <v>10</v>
      </c>
      <c r="W934" s="51">
        <v>0.03</v>
      </c>
      <c r="X934" s="6">
        <v>0.16</v>
      </c>
      <c r="Z934" s="5" t="s">
        <v>8</v>
      </c>
      <c r="AA934" s="112" t="s">
        <v>9</v>
      </c>
      <c r="AB934" s="108" t="s">
        <v>287</v>
      </c>
      <c r="AC934" s="57" t="s">
        <v>288</v>
      </c>
    </row>
    <row r="935" spans="1:29" x14ac:dyDescent="0.25">
      <c r="A935" s="329">
        <v>45923</v>
      </c>
      <c r="B935" s="5">
        <v>6</v>
      </c>
      <c r="D935" s="5" t="s">
        <v>129</v>
      </c>
      <c r="E935" s="6">
        <v>1.8</v>
      </c>
      <c r="G935" s="7">
        <v>1</v>
      </c>
      <c r="H935" s="7">
        <v>4</v>
      </c>
      <c r="J935" s="8">
        <v>3.94</v>
      </c>
      <c r="L935" s="5" t="s">
        <v>226</v>
      </c>
      <c r="N935" s="56">
        <v>32</v>
      </c>
      <c r="O935" s="26" t="s">
        <v>226</v>
      </c>
      <c r="P935" s="26" t="s">
        <v>236</v>
      </c>
      <c r="Q935" s="26" t="s">
        <v>237</v>
      </c>
      <c r="R935" s="26" t="s">
        <v>689</v>
      </c>
      <c r="S935" s="213">
        <v>73</v>
      </c>
      <c r="T935" s="26" t="s">
        <v>44</v>
      </c>
      <c r="U935" s="26" t="s">
        <v>43</v>
      </c>
      <c r="V935" s="43" t="s">
        <v>10</v>
      </c>
      <c r="W935" s="51">
        <v>0.02</v>
      </c>
      <c r="X935" s="6" t="s">
        <v>53</v>
      </c>
      <c r="Z935" s="5" t="s">
        <v>22</v>
      </c>
      <c r="AA935" s="112" t="s">
        <v>9</v>
      </c>
    </row>
    <row r="936" spans="1:29" x14ac:dyDescent="0.25">
      <c r="A936" s="329">
        <v>45923</v>
      </c>
      <c r="B936" s="5">
        <v>6</v>
      </c>
      <c r="D936" s="5" t="s">
        <v>129</v>
      </c>
      <c r="E936" s="6">
        <v>1.8</v>
      </c>
      <c r="G936" s="7">
        <v>1</v>
      </c>
      <c r="H936" s="7">
        <v>4</v>
      </c>
      <c r="J936" s="8">
        <v>3.94</v>
      </c>
      <c r="L936" s="5" t="s">
        <v>226</v>
      </c>
      <c r="N936" s="56">
        <v>38</v>
      </c>
      <c r="O936" s="26" t="s">
        <v>226</v>
      </c>
      <c r="P936" s="26" t="s">
        <v>236</v>
      </c>
      <c r="Q936" s="26" t="s">
        <v>237</v>
      </c>
      <c r="R936" s="26" t="s">
        <v>689</v>
      </c>
      <c r="S936" s="213">
        <v>73</v>
      </c>
      <c r="T936" s="26" t="s">
        <v>41</v>
      </c>
      <c r="U936" s="26" t="s">
        <v>42</v>
      </c>
      <c r="V936" s="43" t="s">
        <v>18</v>
      </c>
      <c r="W936" s="51">
        <v>0.12</v>
      </c>
      <c r="X936" s="6">
        <v>0.73</v>
      </c>
      <c r="Z936" s="5" t="s">
        <v>8</v>
      </c>
      <c r="AA936" s="112" t="s">
        <v>11</v>
      </c>
      <c r="AB936" s="108" t="s">
        <v>289</v>
      </c>
      <c r="AC936" s="57" t="s">
        <v>54</v>
      </c>
    </row>
    <row r="937" spans="1:29" x14ac:dyDescent="0.25">
      <c r="A937" s="329">
        <v>45923</v>
      </c>
      <c r="B937" s="5">
        <v>6</v>
      </c>
      <c r="D937" s="5" t="s">
        <v>129</v>
      </c>
      <c r="E937" s="6">
        <v>1.8</v>
      </c>
      <c r="G937" s="7">
        <v>1</v>
      </c>
      <c r="H937" s="7">
        <v>4</v>
      </c>
      <c r="J937" s="8">
        <v>3.94</v>
      </c>
      <c r="L937" s="5" t="s">
        <v>226</v>
      </c>
      <c r="N937" s="56">
        <v>41</v>
      </c>
      <c r="O937" s="26" t="s">
        <v>226</v>
      </c>
      <c r="P937" s="26" t="s">
        <v>289</v>
      </c>
      <c r="Q937" s="26" t="s">
        <v>54</v>
      </c>
      <c r="R937" s="26" t="s">
        <v>685</v>
      </c>
      <c r="S937" s="213">
        <v>84</v>
      </c>
      <c r="T937" s="26" t="s">
        <v>41</v>
      </c>
      <c r="U937" s="26" t="s">
        <v>42</v>
      </c>
      <c r="V937" s="43" t="s">
        <v>10</v>
      </c>
      <c r="W937" s="51">
        <v>0.28000000000000003</v>
      </c>
      <c r="X937" s="6">
        <v>0.34</v>
      </c>
      <c r="Y937" s="6" t="s">
        <v>353</v>
      </c>
      <c r="Z937" s="5" t="s">
        <v>48</v>
      </c>
      <c r="AA937" s="112" t="s">
        <v>11</v>
      </c>
    </row>
    <row r="938" spans="1:29" x14ac:dyDescent="0.25">
      <c r="A938" s="329">
        <v>45923</v>
      </c>
      <c r="B938" s="5">
        <v>6</v>
      </c>
      <c r="D938" s="5" t="s">
        <v>129</v>
      </c>
      <c r="E938" s="6">
        <v>1.8</v>
      </c>
      <c r="G938" s="7">
        <v>1</v>
      </c>
      <c r="H938" s="7">
        <v>4</v>
      </c>
      <c r="J938" s="8">
        <v>3.94</v>
      </c>
      <c r="L938" s="5" t="s">
        <v>226</v>
      </c>
      <c r="N938" s="56">
        <v>41</v>
      </c>
      <c r="O938" s="26" t="s">
        <v>226</v>
      </c>
      <c r="P938" s="26" t="s">
        <v>236</v>
      </c>
      <c r="Q938" s="26" t="s">
        <v>237</v>
      </c>
      <c r="R938" s="26" t="s">
        <v>689</v>
      </c>
      <c r="S938" s="213">
        <v>73</v>
      </c>
      <c r="T938" s="26" t="s">
        <v>41</v>
      </c>
      <c r="U938" s="26" t="s">
        <v>43</v>
      </c>
      <c r="V938" s="43" t="s">
        <v>540</v>
      </c>
      <c r="W938" s="51">
        <v>0.11</v>
      </c>
      <c r="X938" s="6" t="s">
        <v>53</v>
      </c>
      <c r="Z938" s="5" t="s">
        <v>52</v>
      </c>
      <c r="AA938" s="112" t="s">
        <v>11</v>
      </c>
    </row>
    <row r="939" spans="1:29" x14ac:dyDescent="0.25">
      <c r="A939" s="329">
        <v>45923</v>
      </c>
      <c r="B939" s="5">
        <v>6</v>
      </c>
      <c r="D939" s="5" t="s">
        <v>129</v>
      </c>
      <c r="E939" s="6">
        <v>1.8</v>
      </c>
      <c r="G939" s="7">
        <v>1</v>
      </c>
      <c r="H939" s="7">
        <v>4</v>
      </c>
      <c r="J939" s="8">
        <v>3.94</v>
      </c>
      <c r="L939" s="5" t="s">
        <v>226</v>
      </c>
      <c r="N939" s="56">
        <v>54</v>
      </c>
      <c r="O939" s="61" t="s">
        <v>129</v>
      </c>
      <c r="P939" s="61" t="s">
        <v>104</v>
      </c>
      <c r="Q939" s="61" t="s">
        <v>105</v>
      </c>
      <c r="R939" s="61" t="s">
        <v>718</v>
      </c>
      <c r="S939" s="218">
        <v>80</v>
      </c>
      <c r="T939" s="61" t="s">
        <v>47</v>
      </c>
      <c r="U939" s="61" t="s">
        <v>45</v>
      </c>
      <c r="V939" s="63" t="s">
        <v>540</v>
      </c>
      <c r="W939" s="51">
        <v>0.78</v>
      </c>
      <c r="X939" s="6">
        <v>0.99</v>
      </c>
      <c r="Y939" s="6" t="s">
        <v>353</v>
      </c>
      <c r="Z939" s="5" t="s">
        <v>8</v>
      </c>
      <c r="AA939" s="112" t="s">
        <v>67</v>
      </c>
    </row>
    <row r="940" spans="1:29" x14ac:dyDescent="0.25">
      <c r="A940" s="329">
        <v>45923</v>
      </c>
      <c r="B940" s="5">
        <v>6</v>
      </c>
      <c r="D940" s="5" t="s">
        <v>129</v>
      </c>
      <c r="E940" s="6">
        <v>1.8</v>
      </c>
      <c r="G940" s="7">
        <v>1</v>
      </c>
      <c r="H940" s="7">
        <v>4</v>
      </c>
      <c r="J940" s="8">
        <v>3.94</v>
      </c>
      <c r="L940" s="5" t="s">
        <v>226</v>
      </c>
      <c r="N940" s="56">
        <v>57</v>
      </c>
      <c r="O940" s="61" t="s">
        <v>129</v>
      </c>
      <c r="P940" s="61" t="s">
        <v>46</v>
      </c>
      <c r="Q940" s="61" t="s">
        <v>201</v>
      </c>
      <c r="R940" s="61" t="s">
        <v>686</v>
      </c>
      <c r="S940" s="218">
        <v>62</v>
      </c>
      <c r="T940" s="61" t="s">
        <v>41</v>
      </c>
      <c r="U940" s="61" t="s">
        <v>45</v>
      </c>
      <c r="V940" s="63" t="s">
        <v>33</v>
      </c>
      <c r="W940" s="51">
        <v>0.11</v>
      </c>
      <c r="X940" s="6">
        <v>0.1</v>
      </c>
      <c r="Z940" s="5" t="s">
        <v>48</v>
      </c>
      <c r="AA940" s="112" t="s">
        <v>67</v>
      </c>
    </row>
    <row r="941" spans="1:29" x14ac:dyDescent="0.25">
      <c r="A941" s="329">
        <v>45923</v>
      </c>
      <c r="B941" s="5">
        <v>6</v>
      </c>
      <c r="D941" s="5" t="s">
        <v>129</v>
      </c>
      <c r="E941" s="6">
        <v>1.8</v>
      </c>
      <c r="G941" s="7">
        <v>1</v>
      </c>
      <c r="H941" s="7">
        <v>4</v>
      </c>
      <c r="J941" s="8">
        <v>3.94</v>
      </c>
      <c r="L941" s="5" t="s">
        <v>226</v>
      </c>
      <c r="N941" s="56">
        <v>62</v>
      </c>
      <c r="O941" s="61" t="s">
        <v>129</v>
      </c>
      <c r="P941" s="61" t="s">
        <v>46</v>
      </c>
      <c r="Q941" s="61" t="s">
        <v>201</v>
      </c>
      <c r="R941" s="61" t="s">
        <v>686</v>
      </c>
      <c r="S941" s="218">
        <v>62</v>
      </c>
      <c r="T941" s="61" t="s">
        <v>41</v>
      </c>
      <c r="U941" s="61" t="s">
        <v>43</v>
      </c>
      <c r="V941" s="63" t="s">
        <v>10</v>
      </c>
      <c r="W941" s="51">
        <v>0.1</v>
      </c>
      <c r="X941" s="6" t="s">
        <v>53</v>
      </c>
      <c r="Y941" s="5"/>
      <c r="Z941" s="5" t="s">
        <v>52</v>
      </c>
      <c r="AA941" s="112" t="s">
        <v>67</v>
      </c>
    </row>
    <row r="942" spans="1:29" x14ac:dyDescent="0.25">
      <c r="A942" s="329">
        <v>45923</v>
      </c>
      <c r="B942" s="5">
        <v>6</v>
      </c>
      <c r="D942" s="5" t="s">
        <v>129</v>
      </c>
      <c r="E942" s="6">
        <v>1.8</v>
      </c>
      <c r="G942" s="7">
        <v>1</v>
      </c>
      <c r="H942" s="7">
        <v>4</v>
      </c>
      <c r="J942" s="8">
        <v>3.94</v>
      </c>
      <c r="L942" s="5" t="s">
        <v>226</v>
      </c>
      <c r="N942" s="56">
        <v>64</v>
      </c>
      <c r="O942" s="26" t="s">
        <v>226</v>
      </c>
      <c r="P942" s="26" t="s">
        <v>231</v>
      </c>
      <c r="Q942" s="26" t="s">
        <v>232</v>
      </c>
      <c r="R942" s="26" t="s">
        <v>684</v>
      </c>
      <c r="S942" s="213">
        <v>87</v>
      </c>
      <c r="T942" s="26" t="s">
        <v>41</v>
      </c>
      <c r="U942" s="26" t="s">
        <v>42</v>
      </c>
      <c r="V942" s="43" t="s">
        <v>7</v>
      </c>
      <c r="W942" s="51">
        <v>0.79</v>
      </c>
      <c r="X942" s="6">
        <v>0.94</v>
      </c>
      <c r="Y942" s="6" t="s">
        <v>353</v>
      </c>
      <c r="Z942" s="5" t="s">
        <v>8</v>
      </c>
      <c r="AA942" s="112" t="s">
        <v>58</v>
      </c>
    </row>
    <row r="943" spans="1:29" x14ac:dyDescent="0.25">
      <c r="A943" s="329">
        <v>45923</v>
      </c>
      <c r="B943" s="5">
        <v>6</v>
      </c>
      <c r="D943" s="5" t="s">
        <v>129</v>
      </c>
      <c r="E943" s="6">
        <v>1.8</v>
      </c>
      <c r="G943" s="7">
        <v>1</v>
      </c>
      <c r="H943" s="7">
        <v>4</v>
      </c>
      <c r="J943" s="8">
        <v>3.94</v>
      </c>
      <c r="L943" s="5" t="s">
        <v>226</v>
      </c>
      <c r="N943" s="56">
        <v>66</v>
      </c>
      <c r="O943" s="26" t="s">
        <v>226</v>
      </c>
      <c r="P943" s="26" t="s">
        <v>231</v>
      </c>
      <c r="Q943" s="26" t="s">
        <v>232</v>
      </c>
      <c r="R943" s="26" t="s">
        <v>684</v>
      </c>
      <c r="S943" s="213">
        <v>87</v>
      </c>
      <c r="T943" s="26" t="s">
        <v>41</v>
      </c>
      <c r="U943" s="26" t="s">
        <v>42</v>
      </c>
      <c r="V943" s="43" t="s">
        <v>10</v>
      </c>
      <c r="W943" s="51">
        <v>0.83</v>
      </c>
      <c r="X943" s="6">
        <v>0.87</v>
      </c>
      <c r="Y943" s="6" t="s">
        <v>353</v>
      </c>
      <c r="Z943" s="5" t="s">
        <v>8</v>
      </c>
      <c r="AA943" s="112" t="s">
        <v>485</v>
      </c>
      <c r="AB943" s="108" t="s">
        <v>56</v>
      </c>
      <c r="AC943" s="57" t="s">
        <v>235</v>
      </c>
    </row>
    <row r="944" spans="1:29" x14ac:dyDescent="0.25">
      <c r="A944" s="329">
        <v>45923</v>
      </c>
      <c r="B944" s="5">
        <v>6</v>
      </c>
      <c r="D944" s="5" t="s">
        <v>129</v>
      </c>
      <c r="E944" s="6">
        <v>1.8</v>
      </c>
      <c r="G944" s="7">
        <v>1</v>
      </c>
      <c r="H944" s="7">
        <v>4</v>
      </c>
      <c r="J944" s="8">
        <v>3.94</v>
      </c>
      <c r="L944" s="5" t="s">
        <v>226</v>
      </c>
      <c r="N944" s="56">
        <v>79</v>
      </c>
      <c r="O944" s="26" t="s">
        <v>226</v>
      </c>
      <c r="P944" s="26" t="s">
        <v>486</v>
      </c>
      <c r="Q944" s="26" t="s">
        <v>487</v>
      </c>
      <c r="R944" s="26" t="s">
        <v>696</v>
      </c>
      <c r="S944" s="213">
        <v>68</v>
      </c>
      <c r="T944" s="26" t="s">
        <v>41</v>
      </c>
      <c r="U944" s="26" t="s">
        <v>43</v>
      </c>
      <c r="V944" s="43" t="s">
        <v>10</v>
      </c>
      <c r="W944" s="51">
        <v>0.25</v>
      </c>
      <c r="X944" s="6" t="s">
        <v>53</v>
      </c>
      <c r="Y944" s="6" t="s">
        <v>353</v>
      </c>
      <c r="Z944" s="5" t="s">
        <v>13</v>
      </c>
      <c r="AA944" s="112" t="s">
        <v>485</v>
      </c>
    </row>
    <row r="945" spans="1:29" x14ac:dyDescent="0.25">
      <c r="A945" s="329">
        <v>45923</v>
      </c>
      <c r="B945" s="5">
        <v>6</v>
      </c>
      <c r="D945" s="5" t="s">
        <v>129</v>
      </c>
      <c r="E945" s="6">
        <v>1.8</v>
      </c>
      <c r="G945" s="7">
        <v>1</v>
      </c>
      <c r="H945" s="7">
        <v>4</v>
      </c>
      <c r="J945" s="8">
        <v>3.94</v>
      </c>
      <c r="L945" s="5" t="s">
        <v>226</v>
      </c>
      <c r="N945" s="56" t="s">
        <v>35</v>
      </c>
      <c r="O945" s="26" t="s">
        <v>226</v>
      </c>
      <c r="P945" s="26" t="s">
        <v>289</v>
      </c>
      <c r="Q945" s="26" t="s">
        <v>54</v>
      </c>
      <c r="R945" s="26" t="s">
        <v>685</v>
      </c>
      <c r="S945" s="213">
        <v>84</v>
      </c>
      <c r="T945" s="26" t="s">
        <v>41</v>
      </c>
      <c r="U945" s="26" t="s">
        <v>42</v>
      </c>
      <c r="V945" s="43" t="s">
        <v>10</v>
      </c>
      <c r="W945" s="51">
        <v>0.34</v>
      </c>
      <c r="X945" s="6">
        <v>0.53</v>
      </c>
      <c r="Y945" s="6" t="s">
        <v>353</v>
      </c>
      <c r="Z945" s="5" t="s">
        <v>48</v>
      </c>
      <c r="AA945" s="112" t="s">
        <v>485</v>
      </c>
    </row>
    <row r="946" spans="1:29" ht="15.75" thickBot="1" x14ac:dyDescent="0.3">
      <c r="A946" s="330">
        <v>45923</v>
      </c>
      <c r="B946" s="9">
        <v>6</v>
      </c>
      <c r="C946" s="122"/>
      <c r="D946" s="9" t="s">
        <v>129</v>
      </c>
      <c r="E946" s="10">
        <v>1.8</v>
      </c>
      <c r="F946" s="10"/>
      <c r="G946" s="11">
        <v>1</v>
      </c>
      <c r="H946" s="11">
        <v>4</v>
      </c>
      <c r="I946" s="11"/>
      <c r="J946" s="12">
        <v>3.94</v>
      </c>
      <c r="K946" s="122"/>
      <c r="L946" s="9" t="s">
        <v>226</v>
      </c>
      <c r="M946" s="45"/>
      <c r="N946" s="97" t="s">
        <v>36</v>
      </c>
      <c r="O946" s="74" t="s">
        <v>226</v>
      </c>
      <c r="P946" s="74" t="s">
        <v>53</v>
      </c>
      <c r="Q946" s="74" t="s">
        <v>286</v>
      </c>
      <c r="R946" s="74" t="s">
        <v>696</v>
      </c>
      <c r="S946" s="221">
        <v>64</v>
      </c>
      <c r="T946" s="74" t="s">
        <v>41</v>
      </c>
      <c r="U946" s="74" t="s">
        <v>42</v>
      </c>
      <c r="V946" s="76" t="s">
        <v>10</v>
      </c>
      <c r="W946" s="52">
        <v>0.1</v>
      </c>
      <c r="X946" s="10" t="s">
        <v>53</v>
      </c>
      <c r="Y946" s="10"/>
      <c r="Z946" s="9" t="s">
        <v>13</v>
      </c>
      <c r="AA946" s="113" t="s">
        <v>485</v>
      </c>
      <c r="AB946" s="109"/>
      <c r="AC946" s="58"/>
    </row>
    <row r="947" spans="1:29" ht="15.75" thickBot="1" x14ac:dyDescent="0.3">
      <c r="A947" s="326">
        <v>45923</v>
      </c>
      <c r="B947" s="207">
        <v>6</v>
      </c>
      <c r="C947" s="208"/>
      <c r="D947" s="207" t="s">
        <v>129</v>
      </c>
      <c r="E947" s="209">
        <v>1.8</v>
      </c>
      <c r="F947" s="209"/>
      <c r="G947" s="210">
        <v>1</v>
      </c>
      <c r="H947" s="210">
        <v>4</v>
      </c>
      <c r="I947" s="210"/>
      <c r="J947" s="211">
        <v>3.94</v>
      </c>
      <c r="K947" s="208"/>
      <c r="L947" s="207" t="s">
        <v>226</v>
      </c>
      <c r="M947" s="235"/>
      <c r="N947" s="198"/>
      <c r="O947" s="199" t="s">
        <v>129</v>
      </c>
      <c r="P947" s="199" t="s">
        <v>731</v>
      </c>
      <c r="Q947" s="199" t="s">
        <v>732</v>
      </c>
      <c r="R947" s="199" t="s">
        <v>707</v>
      </c>
      <c r="S947" s="200">
        <v>75</v>
      </c>
      <c r="T947" s="199"/>
      <c r="U947" s="199"/>
      <c r="V947" s="201"/>
      <c r="W947" s="202"/>
      <c r="X947" s="203"/>
      <c r="Y947" s="203">
        <v>4</v>
      </c>
      <c r="Z947" s="199"/>
      <c r="AA947" s="204"/>
      <c r="AB947" s="205"/>
      <c r="AC947" s="201"/>
    </row>
    <row r="948" spans="1:29" ht="15.75" thickBot="1" x14ac:dyDescent="0.3">
      <c r="A948" s="326">
        <v>45923</v>
      </c>
      <c r="B948" s="207">
        <v>6</v>
      </c>
      <c r="C948" s="208"/>
      <c r="D948" s="207" t="s">
        <v>129</v>
      </c>
      <c r="E948" s="209">
        <v>1.8</v>
      </c>
      <c r="F948" s="209"/>
      <c r="G948" s="210">
        <v>1</v>
      </c>
      <c r="H948" s="210">
        <v>4</v>
      </c>
      <c r="I948" s="210"/>
      <c r="J948" s="211">
        <v>3.94</v>
      </c>
      <c r="K948" s="208"/>
      <c r="L948" s="207" t="s">
        <v>226</v>
      </c>
      <c r="M948" s="235"/>
      <c r="N948" s="198"/>
      <c r="O948" s="199" t="s">
        <v>226</v>
      </c>
      <c r="P948" s="199" t="s">
        <v>726</v>
      </c>
      <c r="Q948" s="199" t="s">
        <v>727</v>
      </c>
      <c r="R948" s="199" t="s">
        <v>707</v>
      </c>
      <c r="S948" s="200">
        <v>68</v>
      </c>
      <c r="T948" s="199"/>
      <c r="U948" s="199"/>
      <c r="V948" s="201"/>
      <c r="W948" s="202"/>
      <c r="X948" s="203"/>
      <c r="Y948" s="203">
        <v>1</v>
      </c>
      <c r="Z948" s="199"/>
      <c r="AA948" s="204"/>
      <c r="AB948" s="205"/>
      <c r="AC948" s="201"/>
    </row>
    <row r="949" spans="1:29" x14ac:dyDescent="0.25">
      <c r="A949" s="328">
        <v>45927</v>
      </c>
      <c r="B949" s="17">
        <v>7</v>
      </c>
      <c r="C949" s="123" t="s">
        <v>694</v>
      </c>
      <c r="D949" s="17" t="s">
        <v>193</v>
      </c>
      <c r="E949" s="18">
        <v>2.34</v>
      </c>
      <c r="F949" s="18"/>
      <c r="G949" s="19">
        <v>5</v>
      </c>
      <c r="H949" s="19">
        <v>2</v>
      </c>
      <c r="I949" s="19"/>
      <c r="J949" s="20">
        <v>0.66</v>
      </c>
      <c r="K949" s="123" t="s">
        <v>693</v>
      </c>
      <c r="L949" s="17" t="s">
        <v>226</v>
      </c>
      <c r="M949" s="46"/>
      <c r="N949" s="96">
        <v>14</v>
      </c>
      <c r="O949" s="64" t="s">
        <v>193</v>
      </c>
      <c r="P949" s="64" t="s">
        <v>513</v>
      </c>
      <c r="Q949" s="64" t="s">
        <v>514</v>
      </c>
      <c r="R949" s="64" t="s">
        <v>713</v>
      </c>
      <c r="S949" s="217">
        <v>66</v>
      </c>
      <c r="T949" s="64" t="s">
        <v>47</v>
      </c>
      <c r="U949" s="64" t="s">
        <v>45</v>
      </c>
      <c r="V949" s="65" t="s">
        <v>33</v>
      </c>
      <c r="W949" s="53">
        <v>0.26</v>
      </c>
      <c r="X949" s="18">
        <v>0.16</v>
      </c>
      <c r="Y949" s="18" t="s">
        <v>353</v>
      </c>
      <c r="Z949" s="17" t="s">
        <v>8</v>
      </c>
      <c r="AA949" s="114" t="s">
        <v>19</v>
      </c>
      <c r="AB949" s="110" t="s">
        <v>204</v>
      </c>
      <c r="AC949" s="60" t="s">
        <v>205</v>
      </c>
    </row>
    <row r="950" spans="1:29" x14ac:dyDescent="0.25">
      <c r="A950" s="329">
        <v>45927</v>
      </c>
      <c r="B950" s="5">
        <v>7</v>
      </c>
      <c r="D950" s="5" t="s">
        <v>193</v>
      </c>
      <c r="E950" s="6">
        <v>2.34</v>
      </c>
      <c r="G950" s="7">
        <v>5</v>
      </c>
      <c r="H950" s="7">
        <v>2</v>
      </c>
      <c r="J950" s="8">
        <v>0.66</v>
      </c>
      <c r="L950" s="5" t="s">
        <v>226</v>
      </c>
      <c r="N950" s="56">
        <v>25</v>
      </c>
      <c r="O950" s="26" t="s">
        <v>226</v>
      </c>
      <c r="P950" s="26" t="s">
        <v>231</v>
      </c>
      <c r="Q950" s="26" t="s">
        <v>232</v>
      </c>
      <c r="R950" s="26" t="s">
        <v>684</v>
      </c>
      <c r="S950" s="213">
        <v>83</v>
      </c>
      <c r="T950" s="26" t="s">
        <v>41</v>
      </c>
      <c r="U950" s="26" t="s">
        <v>42</v>
      </c>
      <c r="V950" s="43" t="s">
        <v>10</v>
      </c>
      <c r="W950" s="51">
        <v>0.17</v>
      </c>
      <c r="X950" s="6">
        <v>0.44</v>
      </c>
      <c r="Y950" s="6" t="s">
        <v>353</v>
      </c>
      <c r="Z950" s="5" t="s">
        <v>8</v>
      </c>
      <c r="AA950" s="112" t="s">
        <v>51</v>
      </c>
      <c r="AB950" s="108" t="s">
        <v>56</v>
      </c>
      <c r="AC950" s="57" t="s">
        <v>235</v>
      </c>
    </row>
    <row r="951" spans="1:29" x14ac:dyDescent="0.25">
      <c r="A951" s="329">
        <v>45927</v>
      </c>
      <c r="B951" s="5">
        <v>7</v>
      </c>
      <c r="D951" s="5" t="s">
        <v>193</v>
      </c>
      <c r="E951" s="6">
        <v>2.34</v>
      </c>
      <c r="G951" s="7">
        <v>5</v>
      </c>
      <c r="H951" s="7">
        <v>2</v>
      </c>
      <c r="J951" s="8">
        <v>0.66</v>
      </c>
      <c r="L951" s="5" t="s">
        <v>226</v>
      </c>
      <c r="N951" s="56">
        <v>36</v>
      </c>
      <c r="O951" s="26" t="s">
        <v>226</v>
      </c>
      <c r="P951" s="26" t="s">
        <v>56</v>
      </c>
      <c r="Q951" s="26" t="s">
        <v>235</v>
      </c>
      <c r="R951" s="26" t="s">
        <v>686</v>
      </c>
      <c r="S951" s="213">
        <v>71</v>
      </c>
      <c r="T951" s="26" t="s">
        <v>41</v>
      </c>
      <c r="U951" s="26" t="s">
        <v>43</v>
      </c>
      <c r="V951" s="43" t="s">
        <v>18</v>
      </c>
      <c r="W951" s="51">
        <v>0.32</v>
      </c>
      <c r="X951" s="6">
        <v>0.26</v>
      </c>
      <c r="Y951" s="6" t="s">
        <v>353</v>
      </c>
      <c r="Z951" s="5" t="s">
        <v>8</v>
      </c>
      <c r="AA951" s="112" t="s">
        <v>67</v>
      </c>
      <c r="AB951" s="108" t="s">
        <v>289</v>
      </c>
      <c r="AC951" s="57" t="s">
        <v>54</v>
      </c>
    </row>
    <row r="952" spans="1:29" x14ac:dyDescent="0.25">
      <c r="A952" s="329">
        <v>45927</v>
      </c>
      <c r="B952" s="5">
        <v>7</v>
      </c>
      <c r="D952" s="5" t="s">
        <v>193</v>
      </c>
      <c r="E952" s="6">
        <v>2.34</v>
      </c>
      <c r="G952" s="7">
        <v>5</v>
      </c>
      <c r="H952" s="7">
        <v>2</v>
      </c>
      <c r="J952" s="8">
        <v>0.66</v>
      </c>
      <c r="L952" s="5" t="s">
        <v>226</v>
      </c>
      <c r="N952" s="56">
        <v>39</v>
      </c>
      <c r="O952" s="61" t="s">
        <v>193</v>
      </c>
      <c r="P952" s="61" t="s">
        <v>200</v>
      </c>
      <c r="Q952" s="61" t="s">
        <v>201</v>
      </c>
      <c r="R952" s="61" t="s">
        <v>717</v>
      </c>
      <c r="S952" s="218">
        <v>89</v>
      </c>
      <c r="T952" s="61" t="s">
        <v>354</v>
      </c>
      <c r="U952" s="61" t="s">
        <v>42</v>
      </c>
      <c r="V952" s="63" t="s">
        <v>10</v>
      </c>
      <c r="W952" s="51">
        <v>0.02</v>
      </c>
      <c r="X952" s="6" t="s">
        <v>53</v>
      </c>
      <c r="Z952" s="5" t="s">
        <v>17</v>
      </c>
      <c r="AA952" s="112" t="s">
        <v>67</v>
      </c>
    </row>
    <row r="953" spans="1:29" x14ac:dyDescent="0.25">
      <c r="A953" s="329">
        <v>45927</v>
      </c>
      <c r="B953" s="5">
        <v>7</v>
      </c>
      <c r="D953" s="5" t="s">
        <v>193</v>
      </c>
      <c r="E953" s="6">
        <v>2.34</v>
      </c>
      <c r="G953" s="7">
        <v>5</v>
      </c>
      <c r="H953" s="7">
        <v>2</v>
      </c>
      <c r="J953" s="8">
        <v>0.66</v>
      </c>
      <c r="L953" s="5" t="s">
        <v>226</v>
      </c>
      <c r="N953" s="56" t="s">
        <v>428</v>
      </c>
      <c r="O953" s="61" t="s">
        <v>193</v>
      </c>
      <c r="P953" s="61" t="s">
        <v>257</v>
      </c>
      <c r="Q953" s="61" t="s">
        <v>258</v>
      </c>
      <c r="R953" s="61" t="s">
        <v>718</v>
      </c>
      <c r="S953" s="218">
        <v>68</v>
      </c>
      <c r="T953" s="61" t="s">
        <v>41</v>
      </c>
      <c r="U953" s="61" t="s">
        <v>45</v>
      </c>
      <c r="V953" s="63" t="s">
        <v>29</v>
      </c>
      <c r="W953" s="51">
        <v>0.23</v>
      </c>
      <c r="X953" s="6">
        <v>0.64</v>
      </c>
      <c r="Y953" s="6" t="s">
        <v>353</v>
      </c>
      <c r="Z953" s="5" t="s">
        <v>8</v>
      </c>
      <c r="AA953" s="112" t="s">
        <v>189</v>
      </c>
      <c r="AB953" s="108" t="s">
        <v>53</v>
      </c>
      <c r="AC953" s="57" t="s">
        <v>477</v>
      </c>
    </row>
    <row r="954" spans="1:29" x14ac:dyDescent="0.25">
      <c r="A954" s="329">
        <v>45927</v>
      </c>
      <c r="B954" s="5">
        <v>7</v>
      </c>
      <c r="D954" s="5" t="s">
        <v>193</v>
      </c>
      <c r="E954" s="6">
        <v>2.34</v>
      </c>
      <c r="G954" s="7">
        <v>5</v>
      </c>
      <c r="H954" s="7">
        <v>2</v>
      </c>
      <c r="J954" s="8">
        <v>0.66</v>
      </c>
      <c r="L954" s="5" t="s">
        <v>226</v>
      </c>
      <c r="N954" s="56">
        <v>51</v>
      </c>
      <c r="O954" s="61" t="s">
        <v>193</v>
      </c>
      <c r="P954" s="61" t="s">
        <v>200</v>
      </c>
      <c r="Q954" s="61" t="s">
        <v>201</v>
      </c>
      <c r="R954" s="61" t="s">
        <v>717</v>
      </c>
      <c r="S954" s="218">
        <v>89</v>
      </c>
      <c r="T954" s="61" t="s">
        <v>41</v>
      </c>
      <c r="U954" s="61" t="s">
        <v>42</v>
      </c>
      <c r="V954" s="63" t="s">
        <v>7</v>
      </c>
      <c r="W954" s="51">
        <v>0.79</v>
      </c>
      <c r="X954" s="6">
        <v>0.6</v>
      </c>
      <c r="Y954" s="6" t="s">
        <v>353</v>
      </c>
      <c r="Z954" s="5" t="s">
        <v>8</v>
      </c>
      <c r="AA954" s="112" t="s">
        <v>180</v>
      </c>
    </row>
    <row r="955" spans="1:29" x14ac:dyDescent="0.25">
      <c r="A955" s="329">
        <v>45927</v>
      </c>
      <c r="B955" s="5">
        <v>7</v>
      </c>
      <c r="D955" s="5" t="s">
        <v>193</v>
      </c>
      <c r="E955" s="6">
        <v>2.34</v>
      </c>
      <c r="G955" s="7">
        <v>5</v>
      </c>
      <c r="H955" s="7">
        <v>2</v>
      </c>
      <c r="J955" s="8">
        <v>0.66</v>
      </c>
      <c r="L955" s="5" t="s">
        <v>226</v>
      </c>
      <c r="N955" s="56">
        <v>59</v>
      </c>
      <c r="O955" s="61" t="s">
        <v>193</v>
      </c>
      <c r="P955" s="61" t="s">
        <v>200</v>
      </c>
      <c r="Q955" s="61" t="s">
        <v>201</v>
      </c>
      <c r="R955" s="61" t="s">
        <v>717</v>
      </c>
      <c r="S955" s="218">
        <v>89</v>
      </c>
      <c r="T955" s="61" t="s">
        <v>44</v>
      </c>
      <c r="U955" s="61" t="s">
        <v>42</v>
      </c>
      <c r="V955" s="63" t="s">
        <v>15</v>
      </c>
      <c r="W955" s="51">
        <v>0.05</v>
      </c>
      <c r="X955" s="6" t="s">
        <v>53</v>
      </c>
      <c r="Z955" s="5" t="s">
        <v>55</v>
      </c>
      <c r="AA955" s="112" t="s">
        <v>180</v>
      </c>
    </row>
    <row r="956" spans="1:29" x14ac:dyDescent="0.25">
      <c r="A956" s="329">
        <v>45927</v>
      </c>
      <c r="B956" s="5">
        <v>7</v>
      </c>
      <c r="D956" s="5" t="s">
        <v>193</v>
      </c>
      <c r="E956" s="6">
        <v>2.34</v>
      </c>
      <c r="G956" s="7">
        <v>5</v>
      </c>
      <c r="H956" s="7">
        <v>2</v>
      </c>
      <c r="J956" s="8">
        <v>0.66</v>
      </c>
      <c r="L956" s="5" t="s">
        <v>226</v>
      </c>
      <c r="N956" s="56">
        <v>62</v>
      </c>
      <c r="O956" s="61" t="s">
        <v>193</v>
      </c>
      <c r="P956" s="61" t="s">
        <v>257</v>
      </c>
      <c r="Q956" s="61" t="s">
        <v>258</v>
      </c>
      <c r="R956" s="61" t="s">
        <v>718</v>
      </c>
      <c r="S956" s="218">
        <v>68</v>
      </c>
      <c r="T956" s="61" t="s">
        <v>41</v>
      </c>
      <c r="U956" s="61" t="s">
        <v>43</v>
      </c>
      <c r="V956" s="63" t="s">
        <v>10</v>
      </c>
      <c r="W956" s="51">
        <v>0.25</v>
      </c>
      <c r="X956" s="6">
        <v>0.17</v>
      </c>
      <c r="Y956" s="6" t="s">
        <v>353</v>
      </c>
      <c r="Z956" s="5" t="s">
        <v>48</v>
      </c>
      <c r="AA956" s="112" t="s">
        <v>180</v>
      </c>
    </row>
    <row r="957" spans="1:29" x14ac:dyDescent="0.25">
      <c r="A957" s="329">
        <v>45927</v>
      </c>
      <c r="B957" s="5">
        <v>7</v>
      </c>
      <c r="D957" s="5" t="s">
        <v>193</v>
      </c>
      <c r="E957" s="6">
        <v>2.34</v>
      </c>
      <c r="G957" s="7">
        <v>5</v>
      </c>
      <c r="H957" s="7">
        <v>2</v>
      </c>
      <c r="J957" s="8">
        <v>0.66</v>
      </c>
      <c r="L957" s="5" t="s">
        <v>226</v>
      </c>
      <c r="N957" s="56">
        <v>64</v>
      </c>
      <c r="O957" s="61" t="s">
        <v>193</v>
      </c>
      <c r="P957" s="61" t="s">
        <v>200</v>
      </c>
      <c r="Q957" s="61" t="s">
        <v>201</v>
      </c>
      <c r="R957" s="61" t="s">
        <v>717</v>
      </c>
      <c r="S957" s="218">
        <v>89</v>
      </c>
      <c r="T957" s="61" t="s">
        <v>354</v>
      </c>
      <c r="U957" s="61" t="s">
        <v>42</v>
      </c>
      <c r="V957" s="63" t="s">
        <v>15</v>
      </c>
      <c r="W957" s="51">
        <v>0.05</v>
      </c>
      <c r="X957" s="6">
        <v>0.06</v>
      </c>
      <c r="Z957" s="5" t="s">
        <v>8</v>
      </c>
      <c r="AA957" s="112" t="s">
        <v>515</v>
      </c>
    </row>
    <row r="958" spans="1:29" ht="15.75" thickBot="1" x14ac:dyDescent="0.3">
      <c r="A958" s="330">
        <v>45927</v>
      </c>
      <c r="B958" s="9">
        <v>7</v>
      </c>
      <c r="C958" s="122"/>
      <c r="D958" s="9" t="s">
        <v>193</v>
      </c>
      <c r="E958" s="10">
        <v>2.34</v>
      </c>
      <c r="F958" s="10"/>
      <c r="G958" s="11">
        <v>5</v>
      </c>
      <c r="H958" s="11">
        <v>2</v>
      </c>
      <c r="I958" s="11"/>
      <c r="J958" s="12">
        <v>0.66</v>
      </c>
      <c r="K958" s="122"/>
      <c r="L958" s="9" t="s">
        <v>226</v>
      </c>
      <c r="M958" s="45"/>
      <c r="N958" s="97" t="s">
        <v>31</v>
      </c>
      <c r="O958" s="66" t="s">
        <v>193</v>
      </c>
      <c r="P958" s="66" t="s">
        <v>206</v>
      </c>
      <c r="Q958" s="66" t="s">
        <v>207</v>
      </c>
      <c r="R958" s="66" t="s">
        <v>696</v>
      </c>
      <c r="S958" s="219">
        <v>74</v>
      </c>
      <c r="T958" s="66" t="s">
        <v>41</v>
      </c>
      <c r="U958" s="66" t="s">
        <v>42</v>
      </c>
      <c r="V958" s="67" t="s">
        <v>10</v>
      </c>
      <c r="W958" s="52">
        <v>0.47</v>
      </c>
      <c r="X958" s="10">
        <v>0.38</v>
      </c>
      <c r="Y958" s="10" t="s">
        <v>353</v>
      </c>
      <c r="Z958" s="9" t="s">
        <v>8</v>
      </c>
      <c r="AA958" s="113" t="s">
        <v>516</v>
      </c>
      <c r="AB958" s="109" t="s">
        <v>176</v>
      </c>
      <c r="AC958" s="58" t="s">
        <v>673</v>
      </c>
    </row>
    <row r="959" spans="1:29" ht="15.75" thickBot="1" x14ac:dyDescent="0.3">
      <c r="A959" s="326">
        <v>45927</v>
      </c>
      <c r="B959" s="207">
        <v>7</v>
      </c>
      <c r="C959" s="208"/>
      <c r="D959" s="207" t="s">
        <v>193</v>
      </c>
      <c r="E959" s="209">
        <v>2.34</v>
      </c>
      <c r="F959" s="209"/>
      <c r="G959" s="210">
        <v>5</v>
      </c>
      <c r="H959" s="210">
        <v>2</v>
      </c>
      <c r="I959" s="210"/>
      <c r="J959" s="211">
        <v>0.66</v>
      </c>
      <c r="K959" s="208"/>
      <c r="L959" s="207" t="s">
        <v>226</v>
      </c>
      <c r="M959" s="235"/>
      <c r="N959" s="198"/>
      <c r="O959" s="199" t="s">
        <v>193</v>
      </c>
      <c r="P959" s="199" t="s">
        <v>580</v>
      </c>
      <c r="Q959" s="199" t="s">
        <v>581</v>
      </c>
      <c r="R959" s="199" t="s">
        <v>707</v>
      </c>
      <c r="S959" s="200">
        <v>55</v>
      </c>
      <c r="T959" s="199"/>
      <c r="U959" s="199"/>
      <c r="V959" s="201"/>
      <c r="W959" s="202"/>
      <c r="X959" s="203"/>
      <c r="Y959" s="203">
        <v>2</v>
      </c>
      <c r="Z959" s="199"/>
      <c r="AA959" s="204"/>
      <c r="AB959" s="205"/>
      <c r="AC959" s="201"/>
    </row>
    <row r="960" spans="1:29" ht="15.75" thickBot="1" x14ac:dyDescent="0.3">
      <c r="A960" s="326">
        <v>45927</v>
      </c>
      <c r="B960" s="207">
        <v>7</v>
      </c>
      <c r="C960" s="208"/>
      <c r="D960" s="207" t="s">
        <v>193</v>
      </c>
      <c r="E960" s="209">
        <v>2.34</v>
      </c>
      <c r="F960" s="209"/>
      <c r="G960" s="210">
        <v>5</v>
      </c>
      <c r="H960" s="210">
        <v>2</v>
      </c>
      <c r="I960" s="210"/>
      <c r="J960" s="211">
        <v>0.66</v>
      </c>
      <c r="K960" s="208"/>
      <c r="L960" s="207" t="s">
        <v>226</v>
      </c>
      <c r="M960" s="235"/>
      <c r="N960" s="198"/>
      <c r="O960" s="199" t="s">
        <v>226</v>
      </c>
      <c r="P960" s="199" t="s">
        <v>726</v>
      </c>
      <c r="Q960" s="199" t="s">
        <v>727</v>
      </c>
      <c r="R960" s="199" t="s">
        <v>707</v>
      </c>
      <c r="S960" s="200">
        <v>58</v>
      </c>
      <c r="T960" s="199"/>
      <c r="U960" s="199"/>
      <c r="V960" s="201"/>
      <c r="W960" s="202"/>
      <c r="X960" s="203"/>
      <c r="Y960" s="203">
        <v>5</v>
      </c>
      <c r="Z960" s="199"/>
      <c r="AA960" s="204"/>
      <c r="AB960" s="205"/>
      <c r="AC960" s="201"/>
    </row>
    <row r="961" spans="1:29" x14ac:dyDescent="0.25">
      <c r="A961" s="323">
        <v>45885</v>
      </c>
      <c r="B961" s="136">
        <v>1</v>
      </c>
      <c r="C961" s="137" t="s">
        <v>697</v>
      </c>
      <c r="D961" s="136" t="s">
        <v>128</v>
      </c>
      <c r="E961" s="138">
        <v>1.29</v>
      </c>
      <c r="F961" s="138"/>
      <c r="G961" s="139">
        <v>2</v>
      </c>
      <c r="H961" s="139">
        <v>1</v>
      </c>
      <c r="I961" s="139"/>
      <c r="J961" s="140">
        <v>0.87</v>
      </c>
      <c r="K961" s="137" t="s">
        <v>698</v>
      </c>
      <c r="L961" s="136" t="s">
        <v>129</v>
      </c>
      <c r="M961" s="141"/>
      <c r="N961" s="187">
        <v>26</v>
      </c>
      <c r="O961" s="68" t="s">
        <v>128</v>
      </c>
      <c r="P961" s="68" t="s">
        <v>130</v>
      </c>
      <c r="Q961" s="68" t="s">
        <v>131</v>
      </c>
      <c r="R961" s="68" t="s">
        <v>684</v>
      </c>
      <c r="S961" s="222">
        <v>77</v>
      </c>
      <c r="T961" s="68" t="s">
        <v>41</v>
      </c>
      <c r="U961" s="68" t="s">
        <v>45</v>
      </c>
      <c r="V961" s="92" t="s">
        <v>33</v>
      </c>
      <c r="W961" s="167">
        <v>0.11</v>
      </c>
      <c r="X961" s="138" t="s">
        <v>53</v>
      </c>
      <c r="Y961" s="138"/>
      <c r="Z961" s="136" t="s">
        <v>13</v>
      </c>
      <c r="AA961" s="168" t="s">
        <v>28</v>
      </c>
      <c r="AB961" s="169"/>
      <c r="AC961" s="170"/>
    </row>
    <row r="962" spans="1:29" x14ac:dyDescent="0.25">
      <c r="A962" s="340"/>
      <c r="B962" s="299"/>
      <c r="C962" s="302"/>
      <c r="D962" s="299"/>
      <c r="E962" s="303"/>
      <c r="F962" s="303"/>
      <c r="G962" s="300"/>
      <c r="H962" s="300"/>
      <c r="I962" s="300"/>
      <c r="J962" s="304"/>
      <c r="K962" s="302"/>
      <c r="L962" s="299"/>
      <c r="M962" s="305"/>
      <c r="N962" s="298"/>
      <c r="O962" s="299"/>
      <c r="P962" s="299"/>
      <c r="Q962" s="299"/>
      <c r="R962" s="299"/>
      <c r="S962" s="300"/>
      <c r="T962" s="299"/>
      <c r="U962" s="299"/>
      <c r="V962" s="301"/>
      <c r="W962" s="306"/>
      <c r="X962" s="303"/>
      <c r="Y962" s="303" t="s">
        <v>741</v>
      </c>
      <c r="Z962" s="299"/>
      <c r="AA962" s="307"/>
      <c r="AB962" s="308"/>
      <c r="AC962" s="301"/>
    </row>
    <row r="963" spans="1:29" x14ac:dyDescent="0.25">
      <c r="A963" s="327">
        <v>45885</v>
      </c>
      <c r="B963" s="160">
        <v>1</v>
      </c>
      <c r="C963" s="161"/>
      <c r="D963" s="160" t="s">
        <v>128</v>
      </c>
      <c r="E963" s="162">
        <v>1.29</v>
      </c>
      <c r="F963" s="162"/>
      <c r="G963" s="163">
        <v>2</v>
      </c>
      <c r="H963" s="163">
        <v>1</v>
      </c>
      <c r="I963" s="163"/>
      <c r="J963" s="164">
        <v>0.87</v>
      </c>
      <c r="K963" s="161"/>
      <c r="L963" s="160" t="s">
        <v>129</v>
      </c>
      <c r="M963" s="149"/>
      <c r="N963" s="188">
        <v>36</v>
      </c>
      <c r="O963" s="62" t="s">
        <v>128</v>
      </c>
      <c r="P963" s="62" t="s">
        <v>130</v>
      </c>
      <c r="Q963" s="62" t="s">
        <v>131</v>
      </c>
      <c r="R963" s="62" t="s">
        <v>684</v>
      </c>
      <c r="S963" s="215">
        <v>77</v>
      </c>
      <c r="T963" s="62" t="s">
        <v>47</v>
      </c>
      <c r="U963" s="62" t="s">
        <v>45</v>
      </c>
      <c r="V963" s="93" t="s">
        <v>20</v>
      </c>
      <c r="W963" s="171">
        <v>0.25</v>
      </c>
      <c r="X963" s="146">
        <v>0.91</v>
      </c>
      <c r="Y963" s="146" t="s">
        <v>353</v>
      </c>
      <c r="Z963" s="144" t="s">
        <v>8</v>
      </c>
      <c r="AA963" s="172" t="s">
        <v>19</v>
      </c>
      <c r="AB963" s="173" t="s">
        <v>518</v>
      </c>
      <c r="AC963" s="174" t="s">
        <v>519</v>
      </c>
    </row>
    <row r="964" spans="1:29" x14ac:dyDescent="0.25">
      <c r="A964" s="327">
        <v>45885</v>
      </c>
      <c r="B964" s="160">
        <v>1</v>
      </c>
      <c r="C964" s="161"/>
      <c r="D964" s="160" t="s">
        <v>128</v>
      </c>
      <c r="E964" s="162">
        <v>1.29</v>
      </c>
      <c r="F964" s="162"/>
      <c r="G964" s="163">
        <v>2</v>
      </c>
      <c r="H964" s="163">
        <v>1</v>
      </c>
      <c r="I964" s="163"/>
      <c r="J964" s="164">
        <v>0.87</v>
      </c>
      <c r="K964" s="161"/>
      <c r="L964" s="160" t="s">
        <v>129</v>
      </c>
      <c r="M964" s="149"/>
      <c r="N964" s="188">
        <v>43</v>
      </c>
      <c r="O964" s="62" t="s">
        <v>128</v>
      </c>
      <c r="P964" s="62" t="s">
        <v>46</v>
      </c>
      <c r="Q964" s="62" t="s">
        <v>132</v>
      </c>
      <c r="R964" s="62" t="s">
        <v>686</v>
      </c>
      <c r="S964" s="215">
        <v>66</v>
      </c>
      <c r="T964" s="62" t="s">
        <v>41</v>
      </c>
      <c r="U964" s="62" t="s">
        <v>43</v>
      </c>
      <c r="V964" s="93" t="s">
        <v>10</v>
      </c>
      <c r="W964" s="171">
        <v>7.0000000000000007E-2</v>
      </c>
      <c r="X964" s="146" t="s">
        <v>53</v>
      </c>
      <c r="Y964" s="146"/>
      <c r="Z964" s="144" t="s">
        <v>16</v>
      </c>
      <c r="AA964" s="172" t="s">
        <v>19</v>
      </c>
      <c r="AB964" s="173"/>
      <c r="AC964" s="174"/>
    </row>
    <row r="965" spans="1:29" x14ac:dyDescent="0.25">
      <c r="A965" s="327">
        <v>45885</v>
      </c>
      <c r="B965" s="160">
        <v>1</v>
      </c>
      <c r="C965" s="161"/>
      <c r="D965" s="160" t="s">
        <v>128</v>
      </c>
      <c r="E965" s="162">
        <v>1.29</v>
      </c>
      <c r="F965" s="162"/>
      <c r="G965" s="163">
        <v>2</v>
      </c>
      <c r="H965" s="163">
        <v>1</v>
      </c>
      <c r="I965" s="163"/>
      <c r="J965" s="164">
        <v>0.87</v>
      </c>
      <c r="K965" s="161"/>
      <c r="L965" s="160" t="s">
        <v>129</v>
      </c>
      <c r="M965" s="149"/>
      <c r="N965" s="188">
        <v>50</v>
      </c>
      <c r="O965" s="62" t="s">
        <v>128</v>
      </c>
      <c r="P965" s="62" t="s">
        <v>133</v>
      </c>
      <c r="Q965" s="62" t="s">
        <v>134</v>
      </c>
      <c r="R965" s="62" t="s">
        <v>713</v>
      </c>
      <c r="S965" s="215">
        <v>65</v>
      </c>
      <c r="T965" s="62" t="s">
        <v>41</v>
      </c>
      <c r="U965" s="62" t="s">
        <v>45</v>
      </c>
      <c r="V965" s="93" t="s">
        <v>20</v>
      </c>
      <c r="W965" s="171">
        <v>0.01</v>
      </c>
      <c r="X965" s="146" t="s">
        <v>53</v>
      </c>
      <c r="Y965" s="146"/>
      <c r="Z965" s="144" t="s">
        <v>16</v>
      </c>
      <c r="AA965" s="172" t="s">
        <v>19</v>
      </c>
      <c r="AB965" s="173"/>
      <c r="AC965" s="174"/>
    </row>
    <row r="966" spans="1:29" x14ac:dyDescent="0.25">
      <c r="A966" s="327">
        <v>45885</v>
      </c>
      <c r="B966" s="160">
        <v>1</v>
      </c>
      <c r="C966" s="161"/>
      <c r="D966" s="160" t="s">
        <v>128</v>
      </c>
      <c r="E966" s="162">
        <v>1.29</v>
      </c>
      <c r="F966" s="162"/>
      <c r="G966" s="163">
        <v>2</v>
      </c>
      <c r="H966" s="163">
        <v>1</v>
      </c>
      <c r="I966" s="163"/>
      <c r="J966" s="164">
        <v>0.87</v>
      </c>
      <c r="K966" s="161"/>
      <c r="L966" s="160" t="s">
        <v>129</v>
      </c>
      <c r="M966" s="149"/>
      <c r="N966" s="150">
        <v>68</v>
      </c>
      <c r="O966" s="73" t="s">
        <v>129</v>
      </c>
      <c r="P966" s="73" t="s">
        <v>141</v>
      </c>
      <c r="Q966" s="73" t="s">
        <v>142</v>
      </c>
      <c r="R966" s="73" t="s">
        <v>685</v>
      </c>
      <c r="S966" s="214">
        <v>60</v>
      </c>
      <c r="T966" s="26" t="s">
        <v>41</v>
      </c>
      <c r="U966" s="26" t="s">
        <v>43</v>
      </c>
      <c r="V966" s="43" t="s">
        <v>540</v>
      </c>
      <c r="W966" s="171">
        <v>0.06</v>
      </c>
      <c r="X966" s="146">
        <v>0.35399999999999998</v>
      </c>
      <c r="Y966" s="146"/>
      <c r="Z966" s="144" t="s">
        <v>48</v>
      </c>
      <c r="AA966" s="172" t="s">
        <v>19</v>
      </c>
      <c r="AB966" s="173"/>
      <c r="AC966" s="174"/>
    </row>
    <row r="967" spans="1:29" x14ac:dyDescent="0.25">
      <c r="A967" s="327">
        <v>45885</v>
      </c>
      <c r="B967" s="160">
        <v>1</v>
      </c>
      <c r="C967" s="161"/>
      <c r="D967" s="160" t="s">
        <v>128</v>
      </c>
      <c r="E967" s="162">
        <v>1.29</v>
      </c>
      <c r="F967" s="162"/>
      <c r="G967" s="163">
        <v>2</v>
      </c>
      <c r="H967" s="163">
        <v>1</v>
      </c>
      <c r="I967" s="163"/>
      <c r="J967" s="164">
        <v>0.87</v>
      </c>
      <c r="K967" s="161"/>
      <c r="L967" s="160" t="s">
        <v>129</v>
      </c>
      <c r="M967" s="149"/>
      <c r="N967" s="150">
        <v>68</v>
      </c>
      <c r="O967" s="73" t="s">
        <v>129</v>
      </c>
      <c r="P967" s="73" t="s">
        <v>143</v>
      </c>
      <c r="Q967" s="73" t="s">
        <v>144</v>
      </c>
      <c r="R967" s="73" t="s">
        <v>689</v>
      </c>
      <c r="S967" s="214">
        <v>65</v>
      </c>
      <c r="T967" s="26" t="s">
        <v>47</v>
      </c>
      <c r="U967" s="26" t="s">
        <v>42</v>
      </c>
      <c r="V967" s="43" t="s">
        <v>540</v>
      </c>
      <c r="W967" s="171">
        <v>0.7</v>
      </c>
      <c r="X967" s="146">
        <v>0.96</v>
      </c>
      <c r="Y967" s="146" t="s">
        <v>353</v>
      </c>
      <c r="Z967" s="144" t="s">
        <v>8</v>
      </c>
      <c r="AA967" s="172" t="s">
        <v>51</v>
      </c>
      <c r="AB967" s="173"/>
      <c r="AC967" s="174"/>
    </row>
    <row r="968" spans="1:29" x14ac:dyDescent="0.25">
      <c r="A968" s="327">
        <v>45885</v>
      </c>
      <c r="B968" s="160">
        <v>1</v>
      </c>
      <c r="C968" s="161"/>
      <c r="D968" s="160" t="s">
        <v>128</v>
      </c>
      <c r="E968" s="162">
        <v>1.29</v>
      </c>
      <c r="F968" s="162"/>
      <c r="G968" s="163">
        <v>2</v>
      </c>
      <c r="H968" s="163">
        <v>1</v>
      </c>
      <c r="I968" s="163"/>
      <c r="J968" s="164">
        <v>0.87</v>
      </c>
      <c r="K968" s="161"/>
      <c r="L968" s="160" t="s">
        <v>129</v>
      </c>
      <c r="M968" s="149"/>
      <c r="N968" s="188">
        <v>70</v>
      </c>
      <c r="O968" s="62" t="s">
        <v>128</v>
      </c>
      <c r="P968" s="62" t="s">
        <v>130</v>
      </c>
      <c r="Q968" s="62" t="s">
        <v>131</v>
      </c>
      <c r="R968" s="62" t="s">
        <v>684</v>
      </c>
      <c r="S968" s="215">
        <v>77</v>
      </c>
      <c r="T968" s="62" t="s">
        <v>41</v>
      </c>
      <c r="U968" s="62" t="s">
        <v>42</v>
      </c>
      <c r="V968" s="93" t="s">
        <v>18</v>
      </c>
      <c r="W968" s="171">
        <v>0.15</v>
      </c>
      <c r="X968" s="146" t="s">
        <v>53</v>
      </c>
      <c r="Y968" s="146"/>
      <c r="Z968" s="144" t="s">
        <v>52</v>
      </c>
      <c r="AA968" s="172" t="s">
        <v>51</v>
      </c>
      <c r="AB968" s="173"/>
      <c r="AC968" s="174"/>
    </row>
    <row r="969" spans="1:29" x14ac:dyDescent="0.25">
      <c r="A969" s="327">
        <v>45885</v>
      </c>
      <c r="B969" s="160">
        <v>1</v>
      </c>
      <c r="C969" s="161"/>
      <c r="D969" s="160" t="s">
        <v>128</v>
      </c>
      <c r="E969" s="162">
        <v>1.29</v>
      </c>
      <c r="F969" s="162"/>
      <c r="G969" s="163">
        <v>2</v>
      </c>
      <c r="H969" s="163">
        <v>1</v>
      </c>
      <c r="I969" s="163"/>
      <c r="J969" s="164">
        <v>0.87</v>
      </c>
      <c r="K969" s="161"/>
      <c r="L969" s="160" t="s">
        <v>129</v>
      </c>
      <c r="M969" s="149"/>
      <c r="N969" s="188">
        <v>71</v>
      </c>
      <c r="O969" s="62" t="s">
        <v>128</v>
      </c>
      <c r="P969" s="62" t="s">
        <v>135</v>
      </c>
      <c r="Q969" s="62" t="s">
        <v>136</v>
      </c>
      <c r="R969" s="62" t="s">
        <v>695</v>
      </c>
      <c r="S969" s="215">
        <v>67</v>
      </c>
      <c r="T969" s="62" t="s">
        <v>41</v>
      </c>
      <c r="U969" s="62" t="s">
        <v>43</v>
      </c>
      <c r="V969" s="93" t="s">
        <v>18</v>
      </c>
      <c r="W969" s="171">
        <v>0.17</v>
      </c>
      <c r="X969" s="146" t="s">
        <v>53</v>
      </c>
      <c r="Y969" s="146"/>
      <c r="Z969" s="144" t="s">
        <v>52</v>
      </c>
      <c r="AA969" s="172" t="s">
        <v>51</v>
      </c>
      <c r="AB969" s="173"/>
      <c r="AC969" s="174"/>
    </row>
    <row r="970" spans="1:29" x14ac:dyDescent="0.25">
      <c r="A970" s="327">
        <v>45885</v>
      </c>
      <c r="B970" s="160">
        <v>1</v>
      </c>
      <c r="C970" s="161"/>
      <c r="D970" s="160" t="s">
        <v>128</v>
      </c>
      <c r="E970" s="162">
        <v>1.29</v>
      </c>
      <c r="F970" s="162"/>
      <c r="G970" s="163">
        <v>2</v>
      </c>
      <c r="H970" s="163">
        <v>1</v>
      </c>
      <c r="I970" s="163"/>
      <c r="J970" s="164">
        <v>0.87</v>
      </c>
      <c r="K970" s="161"/>
      <c r="L970" s="160" t="s">
        <v>129</v>
      </c>
      <c r="M970" s="149"/>
      <c r="N970" s="188">
        <v>81</v>
      </c>
      <c r="O970" s="62" t="s">
        <v>128</v>
      </c>
      <c r="P970" s="62" t="s">
        <v>137</v>
      </c>
      <c r="Q970" s="62" t="s">
        <v>138</v>
      </c>
      <c r="R970" s="62" t="s">
        <v>696</v>
      </c>
      <c r="S970" s="215">
        <v>65</v>
      </c>
      <c r="T970" s="62" t="s">
        <v>41</v>
      </c>
      <c r="U970" s="62" t="s">
        <v>42</v>
      </c>
      <c r="V970" s="93" t="s">
        <v>10</v>
      </c>
      <c r="W970" s="171">
        <v>0.08</v>
      </c>
      <c r="X970" s="146">
        <v>0.32</v>
      </c>
      <c r="Y970" s="146"/>
      <c r="Z970" s="144" t="s">
        <v>48</v>
      </c>
      <c r="AA970" s="172" t="s">
        <v>51</v>
      </c>
      <c r="AB970" s="173"/>
      <c r="AC970" s="174"/>
    </row>
    <row r="971" spans="1:29" ht="15.75" thickBot="1" x14ac:dyDescent="0.3">
      <c r="A971" s="333">
        <v>45885</v>
      </c>
      <c r="B971" s="182">
        <v>1</v>
      </c>
      <c r="C971" s="183"/>
      <c r="D971" s="182" t="s">
        <v>128</v>
      </c>
      <c r="E971" s="184">
        <v>1.29</v>
      </c>
      <c r="F971" s="184"/>
      <c r="G971" s="185">
        <v>2</v>
      </c>
      <c r="H971" s="185">
        <v>1</v>
      </c>
      <c r="I971" s="185"/>
      <c r="J971" s="186">
        <v>0.87</v>
      </c>
      <c r="K971" s="183"/>
      <c r="L971" s="182" t="s">
        <v>129</v>
      </c>
      <c r="M971" s="157"/>
      <c r="N971" s="189" t="s">
        <v>35</v>
      </c>
      <c r="O971" s="69" t="s">
        <v>128</v>
      </c>
      <c r="P971" s="69" t="s">
        <v>139</v>
      </c>
      <c r="Q971" s="69" t="s">
        <v>140</v>
      </c>
      <c r="R971" s="69" t="s">
        <v>712</v>
      </c>
      <c r="S971" s="223">
        <v>81</v>
      </c>
      <c r="T971" s="69" t="s">
        <v>47</v>
      </c>
      <c r="U971" s="69" t="s">
        <v>43</v>
      </c>
      <c r="V971" s="94" t="s">
        <v>33</v>
      </c>
      <c r="W971" s="175">
        <v>0.23</v>
      </c>
      <c r="X971" s="154">
        <v>0.93</v>
      </c>
      <c r="Y971" s="154" t="s">
        <v>353</v>
      </c>
      <c r="Z971" s="152" t="s">
        <v>8</v>
      </c>
      <c r="AA971" s="176" t="s">
        <v>34</v>
      </c>
      <c r="AB971" s="177"/>
      <c r="AC971" s="178"/>
    </row>
    <row r="972" spans="1:29" ht="15.75" thickBot="1" x14ac:dyDescent="0.3">
      <c r="A972" s="334">
        <v>45885</v>
      </c>
      <c r="B972" s="192">
        <v>1</v>
      </c>
      <c r="C972" s="193"/>
      <c r="D972" s="192" t="s">
        <v>128</v>
      </c>
      <c r="E972" s="194">
        <v>1.29</v>
      </c>
      <c r="F972" s="194"/>
      <c r="G972" s="195">
        <v>2</v>
      </c>
      <c r="H972" s="195">
        <v>1</v>
      </c>
      <c r="I972" s="195"/>
      <c r="J972" s="196">
        <v>0.87</v>
      </c>
      <c r="K972" s="193"/>
      <c r="L972" s="192" t="s">
        <v>129</v>
      </c>
      <c r="M972" s="197"/>
      <c r="N972" s="198"/>
      <c r="O972" s="199" t="s">
        <v>128</v>
      </c>
      <c r="P972" s="199" t="s">
        <v>127</v>
      </c>
      <c r="Q972" s="199" t="s">
        <v>476</v>
      </c>
      <c r="R972" s="199" t="s">
        <v>707</v>
      </c>
      <c r="S972" s="200">
        <v>64</v>
      </c>
      <c r="T972" s="199"/>
      <c r="U972" s="199"/>
      <c r="V972" s="201"/>
      <c r="W972" s="202"/>
      <c r="X972" s="203"/>
      <c r="Y972" s="203">
        <v>1</v>
      </c>
      <c r="Z972" s="199"/>
      <c r="AA972" s="204"/>
      <c r="AB972" s="205"/>
      <c r="AC972" s="201"/>
    </row>
    <row r="973" spans="1:29" ht="15.75" thickBot="1" x14ac:dyDescent="0.3">
      <c r="A973" s="334">
        <v>45885</v>
      </c>
      <c r="B973" s="192">
        <v>1</v>
      </c>
      <c r="C973" s="193"/>
      <c r="D973" s="192" t="s">
        <v>128</v>
      </c>
      <c r="E973" s="194">
        <v>1.29</v>
      </c>
      <c r="F973" s="194"/>
      <c r="G973" s="195">
        <v>2</v>
      </c>
      <c r="H973" s="195">
        <v>1</v>
      </c>
      <c r="I973" s="195"/>
      <c r="J973" s="196">
        <v>0.87</v>
      </c>
      <c r="K973" s="193"/>
      <c r="L973" s="192" t="s">
        <v>129</v>
      </c>
      <c r="M973" s="197"/>
      <c r="N973" s="198"/>
      <c r="O973" s="199" t="s">
        <v>129</v>
      </c>
      <c r="P973" s="199" t="s">
        <v>241</v>
      </c>
      <c r="Q973" s="199" t="s">
        <v>716</v>
      </c>
      <c r="R973" s="199" t="s">
        <v>707</v>
      </c>
      <c r="S973" s="200">
        <v>72</v>
      </c>
      <c r="T973" s="199"/>
      <c r="U973" s="199"/>
      <c r="V973" s="201"/>
      <c r="W973" s="202"/>
      <c r="X973" s="203"/>
      <c r="Y973" s="203">
        <v>2</v>
      </c>
      <c r="Z973" s="199"/>
      <c r="AA973" s="204"/>
      <c r="AB973" s="205"/>
      <c r="AC973" s="201"/>
    </row>
    <row r="974" spans="1:29" x14ac:dyDescent="0.25">
      <c r="A974" s="323">
        <v>45899</v>
      </c>
      <c r="B974" s="136">
        <v>3</v>
      </c>
      <c r="C974" s="137" t="s">
        <v>694</v>
      </c>
      <c r="D974" s="136" t="s">
        <v>128</v>
      </c>
      <c r="E974" s="138">
        <v>0.91</v>
      </c>
      <c r="F974" s="138"/>
      <c r="G974" s="139">
        <v>1</v>
      </c>
      <c r="H974" s="139">
        <v>1</v>
      </c>
      <c r="I974" s="139"/>
      <c r="J974" s="140">
        <v>1.06</v>
      </c>
      <c r="K974" s="137" t="s">
        <v>694</v>
      </c>
      <c r="L974" s="136" t="s">
        <v>193</v>
      </c>
      <c r="M974" s="141"/>
      <c r="N974" s="142">
        <v>7</v>
      </c>
      <c r="O974" s="77" t="s">
        <v>193</v>
      </c>
      <c r="P974" s="77" t="s">
        <v>202</v>
      </c>
      <c r="Q974" s="77" t="s">
        <v>203</v>
      </c>
      <c r="R974" s="77" t="s">
        <v>685</v>
      </c>
      <c r="S974" s="220">
        <v>70</v>
      </c>
      <c r="T974" s="77" t="s">
        <v>41</v>
      </c>
      <c r="U974" s="77" t="s">
        <v>42</v>
      </c>
      <c r="V974" s="78" t="s">
        <v>18</v>
      </c>
      <c r="W974" s="167">
        <v>0.16</v>
      </c>
      <c r="X974" s="138">
        <v>0.16</v>
      </c>
      <c r="Y974" s="138"/>
      <c r="Z974" s="136" t="s">
        <v>48</v>
      </c>
      <c r="AA974" s="168" t="s">
        <v>28</v>
      </c>
      <c r="AB974" s="169"/>
      <c r="AC974" s="170"/>
    </row>
    <row r="975" spans="1:29" x14ac:dyDescent="0.25">
      <c r="A975" s="324">
        <v>45899</v>
      </c>
      <c r="B975" s="144">
        <v>3</v>
      </c>
      <c r="C975" s="145"/>
      <c r="D975" s="144" t="s">
        <v>128</v>
      </c>
      <c r="E975" s="146">
        <v>0.91</v>
      </c>
      <c r="F975" s="146"/>
      <c r="G975" s="147">
        <v>1</v>
      </c>
      <c r="H975" s="147">
        <v>1</v>
      </c>
      <c r="I975" s="147"/>
      <c r="J975" s="148">
        <v>1.06</v>
      </c>
      <c r="K975" s="145"/>
      <c r="L975" s="144" t="s">
        <v>193</v>
      </c>
      <c r="M975" s="149"/>
      <c r="N975" s="150">
        <v>7</v>
      </c>
      <c r="O975" s="26" t="s">
        <v>193</v>
      </c>
      <c r="P975" s="26" t="s">
        <v>204</v>
      </c>
      <c r="Q975" s="26" t="s">
        <v>205</v>
      </c>
      <c r="R975" s="26" t="s">
        <v>686</v>
      </c>
      <c r="S975" s="213">
        <v>82</v>
      </c>
      <c r="T975" s="26" t="s">
        <v>41</v>
      </c>
      <c r="U975" s="26" t="s">
        <v>43</v>
      </c>
      <c r="V975" s="43" t="s">
        <v>18</v>
      </c>
      <c r="W975" s="171">
        <v>0.15</v>
      </c>
      <c r="X975" s="146">
        <v>0.42</v>
      </c>
      <c r="Y975" s="146"/>
      <c r="Z975" s="144" t="s">
        <v>8</v>
      </c>
      <c r="AA975" s="172" t="s">
        <v>9</v>
      </c>
      <c r="AB975" s="173"/>
      <c r="AC975" s="174"/>
    </row>
    <row r="976" spans="1:29" x14ac:dyDescent="0.25">
      <c r="A976" s="324">
        <v>45899</v>
      </c>
      <c r="B976" s="144">
        <v>3</v>
      </c>
      <c r="C976" s="145"/>
      <c r="D976" s="144" t="s">
        <v>128</v>
      </c>
      <c r="E976" s="146">
        <v>0.91</v>
      </c>
      <c r="F976" s="146"/>
      <c r="G976" s="147">
        <v>1</v>
      </c>
      <c r="H976" s="147">
        <v>1</v>
      </c>
      <c r="I976" s="147"/>
      <c r="J976" s="148">
        <v>1.06</v>
      </c>
      <c r="K976" s="145"/>
      <c r="L976" s="144" t="s">
        <v>193</v>
      </c>
      <c r="M976" s="149"/>
      <c r="N976" s="188">
        <v>14</v>
      </c>
      <c r="O976" s="62" t="s">
        <v>128</v>
      </c>
      <c r="P976" s="62" t="s">
        <v>46</v>
      </c>
      <c r="Q976" s="62" t="s">
        <v>132</v>
      </c>
      <c r="R976" s="62" t="s">
        <v>686</v>
      </c>
      <c r="S976" s="215">
        <v>72</v>
      </c>
      <c r="T976" s="62" t="s">
        <v>41</v>
      </c>
      <c r="U976" s="62" t="s">
        <v>42</v>
      </c>
      <c r="V976" s="93" t="s">
        <v>7</v>
      </c>
      <c r="W976" s="171">
        <v>0.79</v>
      </c>
      <c r="X976" s="146">
        <v>0.74</v>
      </c>
      <c r="Y976" s="146" t="s">
        <v>353</v>
      </c>
      <c r="Z976" s="144" t="s">
        <v>8</v>
      </c>
      <c r="AA976" s="172" t="s">
        <v>51</v>
      </c>
      <c r="AB976" s="173"/>
      <c r="AC976" s="174"/>
    </row>
    <row r="977" spans="1:29" x14ac:dyDescent="0.25">
      <c r="A977" s="324">
        <v>45899</v>
      </c>
      <c r="B977" s="144">
        <v>3</v>
      </c>
      <c r="C977" s="145"/>
      <c r="D977" s="144" t="s">
        <v>128</v>
      </c>
      <c r="E977" s="146">
        <v>0.91</v>
      </c>
      <c r="F977" s="146"/>
      <c r="G977" s="147">
        <v>1</v>
      </c>
      <c r="H977" s="147">
        <v>1</v>
      </c>
      <c r="I977" s="147"/>
      <c r="J977" s="148">
        <v>1.06</v>
      </c>
      <c r="K977" s="145"/>
      <c r="L977" s="144" t="s">
        <v>193</v>
      </c>
      <c r="M977" s="149"/>
      <c r="N977" s="150">
        <v>20</v>
      </c>
      <c r="O977" s="26" t="s">
        <v>193</v>
      </c>
      <c r="P977" s="26" t="s">
        <v>316</v>
      </c>
      <c r="Q977" s="26" t="s">
        <v>317</v>
      </c>
      <c r="R977" s="26" t="s">
        <v>688</v>
      </c>
      <c r="S977" s="213">
        <v>63</v>
      </c>
      <c r="T977" s="26" t="s">
        <v>41</v>
      </c>
      <c r="U977" s="26" t="s">
        <v>43</v>
      </c>
      <c r="V977" s="43" t="s">
        <v>10</v>
      </c>
      <c r="W977" s="171">
        <v>0.03</v>
      </c>
      <c r="X977" s="146" t="s">
        <v>53</v>
      </c>
      <c r="Y977" s="146"/>
      <c r="Z977" s="144" t="s">
        <v>16</v>
      </c>
      <c r="AA977" s="172" t="s">
        <v>51</v>
      </c>
      <c r="AB977" s="173"/>
      <c r="AC977" s="174"/>
    </row>
    <row r="978" spans="1:29" x14ac:dyDescent="0.25">
      <c r="A978" s="324">
        <v>45899</v>
      </c>
      <c r="B978" s="144">
        <v>3</v>
      </c>
      <c r="C978" s="145"/>
      <c r="D978" s="144" t="s">
        <v>128</v>
      </c>
      <c r="E978" s="146">
        <v>0.91</v>
      </c>
      <c r="F978" s="146"/>
      <c r="G978" s="147">
        <v>1</v>
      </c>
      <c r="H978" s="147">
        <v>1</v>
      </c>
      <c r="I978" s="147"/>
      <c r="J978" s="148">
        <v>1.06</v>
      </c>
      <c r="K978" s="145"/>
      <c r="L978" s="144" t="s">
        <v>193</v>
      </c>
      <c r="M978" s="149"/>
      <c r="N978" s="150">
        <v>76</v>
      </c>
      <c r="O978" s="26" t="s">
        <v>193</v>
      </c>
      <c r="P978" s="26" t="s">
        <v>257</v>
      </c>
      <c r="Q978" s="26" t="s">
        <v>258</v>
      </c>
      <c r="R978" s="26" t="s">
        <v>718</v>
      </c>
      <c r="S978" s="213">
        <v>59</v>
      </c>
      <c r="T978" s="26" t="s">
        <v>41</v>
      </c>
      <c r="U978" s="26" t="s">
        <v>45</v>
      </c>
      <c r="V978" s="43" t="s">
        <v>10</v>
      </c>
      <c r="W978" s="171">
        <v>7.0000000000000007E-2</v>
      </c>
      <c r="X978" s="146">
        <v>0.24</v>
      </c>
      <c r="Y978" s="146"/>
      <c r="Z978" s="144" t="s">
        <v>48</v>
      </c>
      <c r="AA978" s="172" t="s">
        <v>51</v>
      </c>
      <c r="AB978" s="173"/>
      <c r="AC978" s="174"/>
    </row>
    <row r="979" spans="1:29" x14ac:dyDescent="0.25">
      <c r="A979" s="324">
        <v>45899</v>
      </c>
      <c r="B979" s="144">
        <v>3</v>
      </c>
      <c r="C979" s="145"/>
      <c r="D979" s="144" t="s">
        <v>128</v>
      </c>
      <c r="E979" s="146">
        <v>0.91</v>
      </c>
      <c r="F979" s="146"/>
      <c r="G979" s="147">
        <v>1</v>
      </c>
      <c r="H979" s="147">
        <v>1</v>
      </c>
      <c r="I979" s="147"/>
      <c r="J979" s="148">
        <v>1.06</v>
      </c>
      <c r="K979" s="145"/>
      <c r="L979" s="144" t="s">
        <v>193</v>
      </c>
      <c r="M979" s="149"/>
      <c r="N979" s="150">
        <v>77</v>
      </c>
      <c r="O979" s="26" t="s">
        <v>193</v>
      </c>
      <c r="P979" s="26" t="s">
        <v>206</v>
      </c>
      <c r="Q979" s="26" t="s">
        <v>207</v>
      </c>
      <c r="R979" s="26" t="s">
        <v>696</v>
      </c>
      <c r="S979" s="213">
        <v>62</v>
      </c>
      <c r="T979" s="26" t="s">
        <v>47</v>
      </c>
      <c r="U979" s="26" t="s">
        <v>43</v>
      </c>
      <c r="V979" s="43" t="s">
        <v>20</v>
      </c>
      <c r="W979" s="171">
        <v>0.17</v>
      </c>
      <c r="X979" s="146" t="s">
        <v>53</v>
      </c>
      <c r="Y979" s="146" t="s">
        <v>353</v>
      </c>
      <c r="Z979" s="144" t="s">
        <v>17</v>
      </c>
      <c r="AA979" s="172" t="s">
        <v>51</v>
      </c>
      <c r="AB979" s="173"/>
      <c r="AC979" s="174"/>
    </row>
    <row r="980" spans="1:29" x14ac:dyDescent="0.25">
      <c r="A980" s="324">
        <v>45899</v>
      </c>
      <c r="B980" s="144">
        <v>3</v>
      </c>
      <c r="C980" s="145"/>
      <c r="D980" s="144" t="s">
        <v>128</v>
      </c>
      <c r="E980" s="146">
        <v>0.91</v>
      </c>
      <c r="F980" s="146"/>
      <c r="G980" s="147">
        <v>1</v>
      </c>
      <c r="H980" s="147">
        <v>1</v>
      </c>
      <c r="I980" s="147"/>
      <c r="J980" s="148">
        <v>1.06</v>
      </c>
      <c r="K980" s="145"/>
      <c r="L980" s="144" t="s">
        <v>193</v>
      </c>
      <c r="M980" s="149"/>
      <c r="N980" s="150" t="s">
        <v>57</v>
      </c>
      <c r="O980" s="26" t="s">
        <v>193</v>
      </c>
      <c r="P980" s="26" t="s">
        <v>259</v>
      </c>
      <c r="Q980" s="26" t="s">
        <v>260</v>
      </c>
      <c r="R980" s="26" t="s">
        <v>689</v>
      </c>
      <c r="S980" s="213">
        <v>62</v>
      </c>
      <c r="T980" s="26" t="s">
        <v>41</v>
      </c>
      <c r="U980" s="26" t="s">
        <v>43</v>
      </c>
      <c r="V980" s="43" t="s">
        <v>10</v>
      </c>
      <c r="W980" s="171">
        <v>0.17</v>
      </c>
      <c r="X980" s="146">
        <v>0.61</v>
      </c>
      <c r="Y980" s="146"/>
      <c r="Z980" s="144" t="s">
        <v>48</v>
      </c>
      <c r="AA980" s="172" t="s">
        <v>51</v>
      </c>
      <c r="AB980" s="173"/>
      <c r="AC980" s="174"/>
    </row>
    <row r="981" spans="1:29" ht="15.75" thickBot="1" x14ac:dyDescent="0.3">
      <c r="A981" s="325">
        <v>45899</v>
      </c>
      <c r="B981" s="152">
        <v>3</v>
      </c>
      <c r="C981" s="153"/>
      <c r="D981" s="152" t="s">
        <v>128</v>
      </c>
      <c r="E981" s="154">
        <v>0.91</v>
      </c>
      <c r="F981" s="154"/>
      <c r="G981" s="155">
        <v>1</v>
      </c>
      <c r="H981" s="155">
        <v>1</v>
      </c>
      <c r="I981" s="155"/>
      <c r="J981" s="156">
        <v>1.06</v>
      </c>
      <c r="K981" s="153"/>
      <c r="L981" s="152" t="s">
        <v>193</v>
      </c>
      <c r="M981" s="157"/>
      <c r="N981" s="158" t="s">
        <v>82</v>
      </c>
      <c r="O981" s="74" t="s">
        <v>193</v>
      </c>
      <c r="P981" s="74" t="s">
        <v>318</v>
      </c>
      <c r="Q981" s="74" t="s">
        <v>319</v>
      </c>
      <c r="R981" s="74" t="s">
        <v>696</v>
      </c>
      <c r="S981" s="221">
        <v>62</v>
      </c>
      <c r="T981" s="74" t="s">
        <v>41</v>
      </c>
      <c r="U981" s="74" t="s">
        <v>42</v>
      </c>
      <c r="V981" s="76" t="s">
        <v>20</v>
      </c>
      <c r="W981" s="175">
        <v>0.05</v>
      </c>
      <c r="X981" s="154">
        <v>0.84</v>
      </c>
      <c r="Y981" s="154"/>
      <c r="Z981" s="152" t="s">
        <v>48</v>
      </c>
      <c r="AA981" s="176" t="s">
        <v>51</v>
      </c>
      <c r="AB981" s="177"/>
      <c r="AC981" s="178"/>
    </row>
    <row r="982" spans="1:29" ht="15.75" thickBot="1" x14ac:dyDescent="0.3">
      <c r="A982" s="326">
        <v>45899</v>
      </c>
      <c r="B982" s="207">
        <v>3</v>
      </c>
      <c r="C982" s="208"/>
      <c r="D982" s="207" t="s">
        <v>128</v>
      </c>
      <c r="E982" s="209">
        <v>0.91</v>
      </c>
      <c r="F982" s="209"/>
      <c r="G982" s="210">
        <v>1</v>
      </c>
      <c r="H982" s="210">
        <v>1</v>
      </c>
      <c r="I982" s="210"/>
      <c r="J982" s="211">
        <v>1.06</v>
      </c>
      <c r="K982" s="208"/>
      <c r="L982" s="207" t="s">
        <v>193</v>
      </c>
      <c r="M982" s="235"/>
      <c r="N982" s="198"/>
      <c r="O982" s="199" t="s">
        <v>128</v>
      </c>
      <c r="P982" s="199" t="s">
        <v>127</v>
      </c>
      <c r="Q982" s="199" t="s">
        <v>476</v>
      </c>
      <c r="R982" s="199" t="s">
        <v>707</v>
      </c>
      <c r="S982" s="200">
        <v>75</v>
      </c>
      <c r="T982" s="199"/>
      <c r="U982" s="199"/>
      <c r="V982" s="201"/>
      <c r="W982" s="202"/>
      <c r="X982" s="203"/>
      <c r="Y982" s="203">
        <v>1</v>
      </c>
      <c r="Z982" s="199"/>
      <c r="AA982" s="204"/>
      <c r="AB982" s="205"/>
      <c r="AC982" s="201"/>
    </row>
    <row r="983" spans="1:29" ht="15.75" thickBot="1" x14ac:dyDescent="0.3">
      <c r="A983" s="326">
        <v>45899</v>
      </c>
      <c r="B983" s="207">
        <v>3</v>
      </c>
      <c r="C983" s="208"/>
      <c r="D983" s="207" t="s">
        <v>128</v>
      </c>
      <c r="E983" s="209">
        <v>0.91</v>
      </c>
      <c r="F983" s="209"/>
      <c r="G983" s="210">
        <v>1</v>
      </c>
      <c r="H983" s="210">
        <v>1</v>
      </c>
      <c r="I983" s="210"/>
      <c r="J983" s="211">
        <v>1.06</v>
      </c>
      <c r="K983" s="208"/>
      <c r="L983" s="207" t="s">
        <v>193</v>
      </c>
      <c r="M983" s="235"/>
      <c r="N983" s="198"/>
      <c r="O983" s="199" t="s">
        <v>193</v>
      </c>
      <c r="P983" s="199" t="s">
        <v>580</v>
      </c>
      <c r="Q983" s="199" t="s">
        <v>581</v>
      </c>
      <c r="R983" s="199" t="s">
        <v>707</v>
      </c>
      <c r="S983" s="200">
        <v>69</v>
      </c>
      <c r="T983" s="199"/>
      <c r="U983" s="199"/>
      <c r="V983" s="201"/>
      <c r="W983" s="202"/>
      <c r="X983" s="203"/>
      <c r="Y983" s="203">
        <v>1</v>
      </c>
      <c r="Z983" s="199"/>
      <c r="AA983" s="204"/>
      <c r="AB983" s="205"/>
      <c r="AC983" s="201"/>
    </row>
    <row r="984" spans="1:29" x14ac:dyDescent="0.25">
      <c r="A984" s="327">
        <v>45920</v>
      </c>
      <c r="B984" s="160">
        <v>5</v>
      </c>
      <c r="C984" s="161" t="s">
        <v>692</v>
      </c>
      <c r="D984" s="160" t="s">
        <v>128</v>
      </c>
      <c r="E984" s="162">
        <v>0.95</v>
      </c>
      <c r="F984" s="162"/>
      <c r="G984" s="163">
        <v>1</v>
      </c>
      <c r="H984" s="163">
        <v>2</v>
      </c>
      <c r="I984" s="163"/>
      <c r="J984" s="164">
        <v>0.48</v>
      </c>
      <c r="K984" s="161" t="s">
        <v>702</v>
      </c>
      <c r="L984" s="160" t="s">
        <v>171</v>
      </c>
      <c r="M984" s="165"/>
      <c r="N984" s="166">
        <v>8</v>
      </c>
      <c r="O984" s="79" t="s">
        <v>171</v>
      </c>
      <c r="P984" s="79" t="s">
        <v>326</v>
      </c>
      <c r="Q984" s="79" t="s">
        <v>327</v>
      </c>
      <c r="R984" s="79" t="s">
        <v>685</v>
      </c>
      <c r="S984" s="224">
        <v>67</v>
      </c>
      <c r="T984" s="79" t="s">
        <v>41</v>
      </c>
      <c r="U984" s="79" t="s">
        <v>42</v>
      </c>
      <c r="V984" s="80" t="s">
        <v>10</v>
      </c>
      <c r="W984" s="179">
        <v>7.0000000000000007E-2</v>
      </c>
      <c r="X984" s="162">
        <v>0.54</v>
      </c>
      <c r="Y984" s="162" t="s">
        <v>353</v>
      </c>
      <c r="Z984" s="160" t="s">
        <v>48</v>
      </c>
      <c r="AA984" s="180" t="s">
        <v>28</v>
      </c>
      <c r="AB984" s="169"/>
      <c r="AC984" s="170"/>
    </row>
    <row r="985" spans="1:29" x14ac:dyDescent="0.25">
      <c r="A985" s="324">
        <v>45920</v>
      </c>
      <c r="B985" s="144">
        <v>5</v>
      </c>
      <c r="C985" s="145"/>
      <c r="D985" s="144" t="s">
        <v>128</v>
      </c>
      <c r="E985" s="146">
        <v>0.95</v>
      </c>
      <c r="F985" s="146"/>
      <c r="G985" s="147">
        <v>1</v>
      </c>
      <c r="H985" s="147">
        <v>2</v>
      </c>
      <c r="I985" s="147"/>
      <c r="J985" s="148">
        <v>0.48</v>
      </c>
      <c r="K985" s="145"/>
      <c r="L985" s="144" t="s">
        <v>171</v>
      </c>
      <c r="M985" s="149"/>
      <c r="N985" s="150">
        <v>10</v>
      </c>
      <c r="O985" s="26" t="s">
        <v>171</v>
      </c>
      <c r="P985" s="26" t="s">
        <v>328</v>
      </c>
      <c r="Q985" s="26" t="s">
        <v>329</v>
      </c>
      <c r="R985" s="26" t="s">
        <v>686</v>
      </c>
      <c r="S985" s="213">
        <v>75</v>
      </c>
      <c r="T985" s="26" t="s">
        <v>44</v>
      </c>
      <c r="U985" s="26" t="s">
        <v>43</v>
      </c>
      <c r="V985" s="43" t="s">
        <v>18</v>
      </c>
      <c r="W985" s="171">
        <v>0.11</v>
      </c>
      <c r="X985" s="146">
        <v>0.52</v>
      </c>
      <c r="Y985" s="146"/>
      <c r="Z985" s="144" t="s">
        <v>8</v>
      </c>
      <c r="AA985" s="172" t="s">
        <v>9</v>
      </c>
      <c r="AB985" s="173"/>
      <c r="AC985" s="174"/>
    </row>
    <row r="986" spans="1:29" x14ac:dyDescent="0.25">
      <c r="A986" s="324">
        <v>45920</v>
      </c>
      <c r="B986" s="144">
        <v>5</v>
      </c>
      <c r="C986" s="145"/>
      <c r="D986" s="144" t="s">
        <v>128</v>
      </c>
      <c r="E986" s="146">
        <v>0.95</v>
      </c>
      <c r="F986" s="146"/>
      <c r="G986" s="147">
        <v>1</v>
      </c>
      <c r="H986" s="147">
        <v>2</v>
      </c>
      <c r="I986" s="147"/>
      <c r="J986" s="148">
        <v>0.48</v>
      </c>
      <c r="K986" s="145"/>
      <c r="L986" s="144" t="s">
        <v>171</v>
      </c>
      <c r="M986" s="149"/>
      <c r="N986" s="188">
        <v>17</v>
      </c>
      <c r="O986" s="62" t="s">
        <v>128</v>
      </c>
      <c r="P986" s="62" t="s">
        <v>46</v>
      </c>
      <c r="Q986" s="62" t="s">
        <v>132</v>
      </c>
      <c r="R986" s="62" t="s">
        <v>686</v>
      </c>
      <c r="S986" s="215">
        <v>78</v>
      </c>
      <c r="T986" s="62" t="s">
        <v>41</v>
      </c>
      <c r="U986" s="62" t="s">
        <v>42</v>
      </c>
      <c r="V986" s="93" t="s">
        <v>7</v>
      </c>
      <c r="W986" s="171">
        <v>0.79</v>
      </c>
      <c r="X986" s="146">
        <v>0.77</v>
      </c>
      <c r="Y986" s="146" t="s">
        <v>353</v>
      </c>
      <c r="Z986" s="144" t="s">
        <v>8</v>
      </c>
      <c r="AA986" s="172" t="s">
        <v>51</v>
      </c>
      <c r="AB986" s="173"/>
      <c r="AC986" s="174"/>
    </row>
    <row r="987" spans="1:29" x14ac:dyDescent="0.25">
      <c r="A987" s="324">
        <v>45920</v>
      </c>
      <c r="B987" s="144">
        <v>5</v>
      </c>
      <c r="C987" s="145"/>
      <c r="D987" s="144" t="s">
        <v>128</v>
      </c>
      <c r="E987" s="146">
        <v>0.95</v>
      </c>
      <c r="F987" s="146"/>
      <c r="G987" s="147">
        <v>1</v>
      </c>
      <c r="H987" s="147">
        <v>2</v>
      </c>
      <c r="I987" s="147"/>
      <c r="J987" s="148">
        <v>0.48</v>
      </c>
      <c r="K987" s="145"/>
      <c r="L987" s="144" t="s">
        <v>171</v>
      </c>
      <c r="M987" s="149"/>
      <c r="N987" s="150">
        <v>57</v>
      </c>
      <c r="O987" s="26" t="s">
        <v>171</v>
      </c>
      <c r="P987" s="26" t="s">
        <v>441</v>
      </c>
      <c r="Q987" s="26" t="s">
        <v>442</v>
      </c>
      <c r="R987" s="26" t="s">
        <v>689</v>
      </c>
      <c r="S987" s="213">
        <v>72</v>
      </c>
      <c r="T987" s="26" t="s">
        <v>41</v>
      </c>
      <c r="U987" s="26" t="s">
        <v>42</v>
      </c>
      <c r="V987" s="43" t="s">
        <v>10</v>
      </c>
      <c r="W987" s="171">
        <v>0.03</v>
      </c>
      <c r="X987" s="146" t="s">
        <v>53</v>
      </c>
      <c r="Y987" s="146" t="s">
        <v>353</v>
      </c>
      <c r="Z987" s="144" t="s">
        <v>52</v>
      </c>
      <c r="AA987" s="172" t="s">
        <v>51</v>
      </c>
      <c r="AB987" s="173"/>
      <c r="AC987" s="174"/>
    </row>
    <row r="988" spans="1:29" ht="15.75" thickBot="1" x14ac:dyDescent="0.3">
      <c r="A988" s="325">
        <v>45920</v>
      </c>
      <c r="B988" s="152">
        <v>5</v>
      </c>
      <c r="C988" s="153"/>
      <c r="D988" s="152" t="s">
        <v>128</v>
      </c>
      <c r="E988" s="154">
        <v>0.95</v>
      </c>
      <c r="F988" s="154"/>
      <c r="G988" s="155">
        <v>1</v>
      </c>
      <c r="H988" s="155">
        <v>2</v>
      </c>
      <c r="I988" s="155"/>
      <c r="J988" s="156">
        <v>0.48</v>
      </c>
      <c r="K988" s="153"/>
      <c r="L988" s="152" t="s">
        <v>171</v>
      </c>
      <c r="M988" s="157"/>
      <c r="N988" s="158">
        <v>67</v>
      </c>
      <c r="O988" s="74" t="s">
        <v>171</v>
      </c>
      <c r="P988" s="74" t="s">
        <v>440</v>
      </c>
      <c r="Q988" s="74" t="s">
        <v>21</v>
      </c>
      <c r="R988" s="74" t="s">
        <v>696</v>
      </c>
      <c r="S988" s="221">
        <v>72</v>
      </c>
      <c r="T988" s="74" t="s">
        <v>41</v>
      </c>
      <c r="U988" s="74" t="s">
        <v>42</v>
      </c>
      <c r="V988" s="76" t="s">
        <v>10</v>
      </c>
      <c r="W988" s="175">
        <v>0.12</v>
      </c>
      <c r="X988" s="154">
        <v>0.46</v>
      </c>
      <c r="Y988" s="154"/>
      <c r="Z988" s="152" t="s">
        <v>8</v>
      </c>
      <c r="AA988" s="176" t="s">
        <v>67</v>
      </c>
      <c r="AB988" s="177" t="s">
        <v>441</v>
      </c>
      <c r="AC988" s="178" t="s">
        <v>442</v>
      </c>
    </row>
    <row r="989" spans="1:29" ht="15.75" thickBot="1" x14ac:dyDescent="0.3">
      <c r="A989" s="326">
        <v>45920</v>
      </c>
      <c r="B989" s="207">
        <v>5</v>
      </c>
      <c r="C989" s="208"/>
      <c r="D989" s="207" t="s">
        <v>128</v>
      </c>
      <c r="E989" s="209">
        <v>0.95</v>
      </c>
      <c r="F989" s="209"/>
      <c r="G989" s="210">
        <v>1</v>
      </c>
      <c r="H989" s="210">
        <v>2</v>
      </c>
      <c r="I989" s="210"/>
      <c r="J989" s="211">
        <v>0.48</v>
      </c>
      <c r="K989" s="208"/>
      <c r="L989" s="207" t="s">
        <v>171</v>
      </c>
      <c r="M989" s="235"/>
      <c r="N989" s="198"/>
      <c r="O989" s="199" t="s">
        <v>128</v>
      </c>
      <c r="P989" s="199" t="s">
        <v>127</v>
      </c>
      <c r="Q989" s="199" t="s">
        <v>476</v>
      </c>
      <c r="R989" s="199" t="s">
        <v>707</v>
      </c>
      <c r="S989" s="200">
        <v>68</v>
      </c>
      <c r="T989" s="199"/>
      <c r="U989" s="199"/>
      <c r="V989" s="201"/>
      <c r="W989" s="202"/>
      <c r="X989" s="203"/>
      <c r="Y989" s="203">
        <v>2</v>
      </c>
      <c r="Z989" s="199"/>
      <c r="AA989" s="204"/>
      <c r="AB989" s="205"/>
      <c r="AC989" s="201"/>
    </row>
    <row r="990" spans="1:29" ht="15.75" thickBot="1" x14ac:dyDescent="0.3">
      <c r="A990" s="326">
        <v>45920</v>
      </c>
      <c r="B990" s="207">
        <v>5</v>
      </c>
      <c r="C990" s="208"/>
      <c r="D990" s="207" t="s">
        <v>128</v>
      </c>
      <c r="E990" s="209">
        <v>0.95</v>
      </c>
      <c r="F990" s="209"/>
      <c r="G990" s="210">
        <v>1</v>
      </c>
      <c r="H990" s="210">
        <v>2</v>
      </c>
      <c r="I990" s="210"/>
      <c r="J990" s="211">
        <v>0.48</v>
      </c>
      <c r="K990" s="208"/>
      <c r="L990" s="207" t="s">
        <v>171</v>
      </c>
      <c r="M990" s="235"/>
      <c r="N990" s="198"/>
      <c r="O990" s="199" t="s">
        <v>171</v>
      </c>
      <c r="P990" s="199" t="s">
        <v>524</v>
      </c>
      <c r="Q990" s="199" t="s">
        <v>525</v>
      </c>
      <c r="R990" s="199" t="s">
        <v>707</v>
      </c>
      <c r="S990" s="200">
        <v>70</v>
      </c>
      <c r="T990" s="199"/>
      <c r="U990" s="199"/>
      <c r="V990" s="201"/>
      <c r="W990" s="202"/>
      <c r="X990" s="203"/>
      <c r="Y990" s="203">
        <v>1</v>
      </c>
      <c r="Z990" s="199"/>
      <c r="AA990" s="204"/>
      <c r="AB990" s="205"/>
      <c r="AC990" s="201"/>
    </row>
    <row r="991" spans="1:29" x14ac:dyDescent="0.25">
      <c r="A991" s="327">
        <v>45935</v>
      </c>
      <c r="B991" s="160">
        <v>8</v>
      </c>
      <c r="C991" s="161" t="s">
        <v>693</v>
      </c>
      <c r="D991" s="160" t="s">
        <v>128</v>
      </c>
      <c r="E991" s="162">
        <v>2.42</v>
      </c>
      <c r="F991" s="162"/>
      <c r="G991" s="163">
        <v>3</v>
      </c>
      <c r="H991" s="163">
        <v>1</v>
      </c>
      <c r="I991" s="163"/>
      <c r="J991" s="164">
        <v>0.38</v>
      </c>
      <c r="K991" s="161" t="s">
        <v>706</v>
      </c>
      <c r="L991" s="160" t="s">
        <v>208</v>
      </c>
      <c r="M991" s="160" t="s">
        <v>564</v>
      </c>
      <c r="N991" s="190">
        <v>11</v>
      </c>
      <c r="O991" s="72" t="s">
        <v>128</v>
      </c>
      <c r="P991" s="72" t="s">
        <v>504</v>
      </c>
      <c r="Q991" s="72" t="s">
        <v>520</v>
      </c>
      <c r="R991" s="72" t="s">
        <v>699</v>
      </c>
      <c r="S991" s="228">
        <v>72</v>
      </c>
      <c r="T991" s="72" t="s">
        <v>41</v>
      </c>
      <c r="U991" s="72" t="s">
        <v>45</v>
      </c>
      <c r="V991" s="95" t="s">
        <v>10</v>
      </c>
      <c r="W991" s="179">
        <v>0.02</v>
      </c>
      <c r="X991" s="162" t="s">
        <v>53</v>
      </c>
      <c r="Y991" s="162"/>
      <c r="Z991" s="160" t="s">
        <v>55</v>
      </c>
      <c r="AA991" s="180" t="s">
        <v>28</v>
      </c>
      <c r="AB991" s="169"/>
      <c r="AC991" s="170"/>
    </row>
    <row r="992" spans="1:29" x14ac:dyDescent="0.25">
      <c r="A992" s="324">
        <v>45935</v>
      </c>
      <c r="B992" s="144">
        <v>8</v>
      </c>
      <c r="C992" s="145"/>
      <c r="D992" s="144" t="s">
        <v>128</v>
      </c>
      <c r="E992" s="146">
        <v>2.42</v>
      </c>
      <c r="F992" s="146"/>
      <c r="G992" s="147">
        <v>3</v>
      </c>
      <c r="H992" s="147">
        <v>1</v>
      </c>
      <c r="I992" s="147"/>
      <c r="J992" s="148">
        <v>0.38</v>
      </c>
      <c r="K992" s="145"/>
      <c r="L992" s="144" t="s">
        <v>208</v>
      </c>
      <c r="M992" s="144" t="s">
        <v>564</v>
      </c>
      <c r="N992" s="188">
        <v>15</v>
      </c>
      <c r="O992" s="62" t="s">
        <v>128</v>
      </c>
      <c r="P992" s="62" t="s">
        <v>565</v>
      </c>
      <c r="Q992" s="62" t="s">
        <v>566</v>
      </c>
      <c r="R992" s="62" t="s">
        <v>689</v>
      </c>
      <c r="S992" s="215">
        <v>69</v>
      </c>
      <c r="T992" s="62" t="s">
        <v>354</v>
      </c>
      <c r="U992" s="62" t="s">
        <v>43</v>
      </c>
      <c r="V992" s="93" t="s">
        <v>20</v>
      </c>
      <c r="W992" s="171">
        <v>0.03</v>
      </c>
      <c r="X992" s="146">
        <v>0.1</v>
      </c>
      <c r="Y992" s="146"/>
      <c r="Z992" s="144" t="s">
        <v>48</v>
      </c>
      <c r="AA992" s="172" t="s">
        <v>28</v>
      </c>
      <c r="AB992" s="173"/>
      <c r="AC992" s="174"/>
    </row>
    <row r="993" spans="1:29" x14ac:dyDescent="0.25">
      <c r="A993" s="324">
        <v>45935</v>
      </c>
      <c r="B993" s="144">
        <v>8</v>
      </c>
      <c r="C993" s="145"/>
      <c r="D993" s="144" t="s">
        <v>128</v>
      </c>
      <c r="E993" s="146">
        <v>2.42</v>
      </c>
      <c r="F993" s="146"/>
      <c r="G993" s="147">
        <v>3</v>
      </c>
      <c r="H993" s="147">
        <v>1</v>
      </c>
      <c r="I993" s="147"/>
      <c r="J993" s="148">
        <v>0.38</v>
      </c>
      <c r="K993" s="145"/>
      <c r="L993" s="144" t="s">
        <v>208</v>
      </c>
      <c r="M993" s="144" t="s">
        <v>564</v>
      </c>
      <c r="N993" s="188">
        <v>21</v>
      </c>
      <c r="O993" s="62" t="s">
        <v>128</v>
      </c>
      <c r="P993" s="62" t="s">
        <v>241</v>
      </c>
      <c r="Q993" s="62" t="s">
        <v>567</v>
      </c>
      <c r="R993" s="62" t="s">
        <v>687</v>
      </c>
      <c r="S993" s="215">
        <v>66</v>
      </c>
      <c r="T993" s="62" t="s">
        <v>41</v>
      </c>
      <c r="U993" s="62" t="s">
        <v>42</v>
      </c>
      <c r="V993" s="93" t="s">
        <v>540</v>
      </c>
      <c r="W993" s="171">
        <v>0.14000000000000001</v>
      </c>
      <c r="X993" s="146" t="s">
        <v>53</v>
      </c>
      <c r="Y993" s="146"/>
      <c r="Z993" s="144" t="s">
        <v>52</v>
      </c>
      <c r="AA993" s="172" t="s">
        <v>28</v>
      </c>
      <c r="AB993" s="173"/>
      <c r="AC993" s="174"/>
    </row>
    <row r="994" spans="1:29" x14ac:dyDescent="0.25">
      <c r="A994" s="324">
        <v>45935</v>
      </c>
      <c r="B994" s="144">
        <v>8</v>
      </c>
      <c r="C994" s="145"/>
      <c r="D994" s="144" t="s">
        <v>128</v>
      </c>
      <c r="E994" s="146">
        <v>2.42</v>
      </c>
      <c r="F994" s="146"/>
      <c r="G994" s="147">
        <v>3</v>
      </c>
      <c r="H994" s="147">
        <v>1</v>
      </c>
      <c r="I994" s="147"/>
      <c r="J994" s="148">
        <v>0.38</v>
      </c>
      <c r="K994" s="145"/>
      <c r="L994" s="144" t="s">
        <v>208</v>
      </c>
      <c r="M994" s="144" t="s">
        <v>564</v>
      </c>
      <c r="N994" s="188" t="s">
        <v>122</v>
      </c>
      <c r="O994" s="62" t="s">
        <v>128</v>
      </c>
      <c r="P994" s="62" t="s">
        <v>497</v>
      </c>
      <c r="Q994" s="62" t="s">
        <v>498</v>
      </c>
      <c r="R994" s="62" t="s">
        <v>685</v>
      </c>
      <c r="S994" s="215">
        <v>69</v>
      </c>
      <c r="T994" s="62" t="s">
        <v>44</v>
      </c>
      <c r="U994" s="62" t="s">
        <v>42</v>
      </c>
      <c r="V994" s="93" t="s">
        <v>540</v>
      </c>
      <c r="W994" s="171">
        <v>0.12</v>
      </c>
      <c r="X994" s="146" t="s">
        <v>53</v>
      </c>
      <c r="Y994" s="146"/>
      <c r="Z994" s="144" t="s">
        <v>52</v>
      </c>
      <c r="AA994" s="172" t="s">
        <v>28</v>
      </c>
      <c r="AB994" s="173"/>
      <c r="AC994" s="174"/>
    </row>
    <row r="995" spans="1:29" x14ac:dyDescent="0.25">
      <c r="A995" s="324">
        <v>45935</v>
      </c>
      <c r="B995" s="144">
        <v>8</v>
      </c>
      <c r="C995" s="145"/>
      <c r="D995" s="144" t="s">
        <v>128</v>
      </c>
      <c r="E995" s="146">
        <v>2.42</v>
      </c>
      <c r="F995" s="146"/>
      <c r="G995" s="147">
        <v>3</v>
      </c>
      <c r="H995" s="147">
        <v>1</v>
      </c>
      <c r="I995" s="147"/>
      <c r="J995" s="148">
        <v>0.38</v>
      </c>
      <c r="K995" s="145"/>
      <c r="L995" s="144" t="s">
        <v>208</v>
      </c>
      <c r="M995" s="144" t="s">
        <v>564</v>
      </c>
      <c r="N995" s="188">
        <v>48</v>
      </c>
      <c r="O995" s="62" t="s">
        <v>128</v>
      </c>
      <c r="P995" s="62" t="s">
        <v>127</v>
      </c>
      <c r="Q995" s="62" t="s">
        <v>568</v>
      </c>
      <c r="R995" s="62" t="s">
        <v>687</v>
      </c>
      <c r="S995" s="215">
        <v>67</v>
      </c>
      <c r="T995" s="62" t="s">
        <v>44</v>
      </c>
      <c r="U995" s="62" t="s">
        <v>43</v>
      </c>
      <c r="V995" s="93" t="s">
        <v>20</v>
      </c>
      <c r="W995" s="171">
        <v>0.04</v>
      </c>
      <c r="X995" s="146">
        <v>0.27</v>
      </c>
      <c r="Y995" s="146"/>
      <c r="Z995" s="144" t="s">
        <v>48</v>
      </c>
      <c r="AA995" s="172" t="s">
        <v>28</v>
      </c>
      <c r="AB995" s="173"/>
      <c r="AC995" s="174"/>
    </row>
    <row r="996" spans="1:29" x14ac:dyDescent="0.25">
      <c r="A996" s="324">
        <v>45935</v>
      </c>
      <c r="B996" s="144">
        <v>8</v>
      </c>
      <c r="C996" s="145"/>
      <c r="D996" s="144" t="s">
        <v>128</v>
      </c>
      <c r="E996" s="146">
        <v>2.42</v>
      </c>
      <c r="F996" s="146"/>
      <c r="G996" s="147">
        <v>3</v>
      </c>
      <c r="H996" s="147">
        <v>1</v>
      </c>
      <c r="I996" s="147"/>
      <c r="J996" s="148">
        <v>0.38</v>
      </c>
      <c r="K996" s="145"/>
      <c r="L996" s="144" t="s">
        <v>208</v>
      </c>
      <c r="M996" s="144" t="s">
        <v>564</v>
      </c>
      <c r="N996" s="188">
        <v>63</v>
      </c>
      <c r="O996" s="62" t="s">
        <v>128</v>
      </c>
      <c r="P996" s="62" t="s">
        <v>139</v>
      </c>
      <c r="Q996" s="62" t="s">
        <v>140</v>
      </c>
      <c r="R996" s="62" t="s">
        <v>713</v>
      </c>
      <c r="S996" s="215">
        <v>64</v>
      </c>
      <c r="T996" s="62" t="s">
        <v>41</v>
      </c>
      <c r="U996" s="62" t="s">
        <v>45</v>
      </c>
      <c r="V996" s="93" t="s">
        <v>33</v>
      </c>
      <c r="W996" s="171">
        <v>0.03</v>
      </c>
      <c r="X996" s="146" t="s">
        <v>53</v>
      </c>
      <c r="Y996" s="146" t="s">
        <v>353</v>
      </c>
      <c r="Z996" s="144" t="s">
        <v>16</v>
      </c>
      <c r="AA996" s="172" t="s">
        <v>28</v>
      </c>
      <c r="AB996" s="173"/>
      <c r="AC996" s="174"/>
    </row>
    <row r="997" spans="1:29" x14ac:dyDescent="0.25">
      <c r="A997" s="324">
        <v>45935</v>
      </c>
      <c r="B997" s="144">
        <v>8</v>
      </c>
      <c r="C997" s="145"/>
      <c r="D997" s="144" t="s">
        <v>128</v>
      </c>
      <c r="E997" s="146">
        <v>2.42</v>
      </c>
      <c r="F997" s="146"/>
      <c r="G997" s="147">
        <v>3</v>
      </c>
      <c r="H997" s="147">
        <v>1</v>
      </c>
      <c r="I997" s="147"/>
      <c r="J997" s="148">
        <v>0.38</v>
      </c>
      <c r="K997" s="145"/>
      <c r="L997" s="144" t="s">
        <v>208</v>
      </c>
      <c r="M997" s="144" t="s">
        <v>564</v>
      </c>
      <c r="N997" s="188">
        <v>66</v>
      </c>
      <c r="O997" s="62" t="s">
        <v>128</v>
      </c>
      <c r="P997" s="62" t="s">
        <v>130</v>
      </c>
      <c r="Q997" s="62" t="s">
        <v>131</v>
      </c>
      <c r="R997" s="62" t="s">
        <v>684</v>
      </c>
      <c r="S997" s="215">
        <v>78</v>
      </c>
      <c r="T997" s="62" t="s">
        <v>47</v>
      </c>
      <c r="U997" s="62" t="s">
        <v>42</v>
      </c>
      <c r="V997" s="93" t="s">
        <v>540</v>
      </c>
      <c r="W997" s="171">
        <v>0.12</v>
      </c>
      <c r="X997" s="146" t="s">
        <v>53</v>
      </c>
      <c r="Y997" s="146"/>
      <c r="Z997" s="144" t="s">
        <v>13</v>
      </c>
      <c r="AA997" s="172" t="s">
        <v>28</v>
      </c>
      <c r="AB997" s="173"/>
      <c r="AC997" s="174"/>
    </row>
    <row r="998" spans="1:29" x14ac:dyDescent="0.25">
      <c r="A998" s="324">
        <v>45935</v>
      </c>
      <c r="B998" s="144">
        <v>8</v>
      </c>
      <c r="C998" s="145"/>
      <c r="D998" s="144" t="s">
        <v>128</v>
      </c>
      <c r="E998" s="146">
        <v>2.42</v>
      </c>
      <c r="F998" s="146"/>
      <c r="G998" s="147">
        <v>3</v>
      </c>
      <c r="H998" s="147">
        <v>1</v>
      </c>
      <c r="I998" s="147"/>
      <c r="J998" s="148">
        <v>0.38</v>
      </c>
      <c r="K998" s="145"/>
      <c r="L998" s="144" t="s">
        <v>208</v>
      </c>
      <c r="M998" s="144" t="s">
        <v>564</v>
      </c>
      <c r="N998" s="188">
        <v>73</v>
      </c>
      <c r="O998" s="62" t="s">
        <v>128</v>
      </c>
      <c r="P998" s="62" t="s">
        <v>518</v>
      </c>
      <c r="Q998" s="62" t="s">
        <v>519</v>
      </c>
      <c r="R998" s="62" t="s">
        <v>696</v>
      </c>
      <c r="S998" s="215">
        <v>68</v>
      </c>
      <c r="T998" s="62" t="s">
        <v>41</v>
      </c>
      <c r="U998" s="62" t="s">
        <v>43</v>
      </c>
      <c r="V998" s="93" t="s">
        <v>10</v>
      </c>
      <c r="W998" s="171">
        <v>0.19</v>
      </c>
      <c r="X998" s="146" t="s">
        <v>53</v>
      </c>
      <c r="Y998" s="146"/>
      <c r="Z998" s="144" t="s">
        <v>52</v>
      </c>
      <c r="AA998" s="172" t="s">
        <v>28</v>
      </c>
      <c r="AB998" s="173"/>
      <c r="AC998" s="174"/>
    </row>
    <row r="999" spans="1:29" x14ac:dyDescent="0.25">
      <c r="A999" s="324">
        <v>45935</v>
      </c>
      <c r="B999" s="144">
        <v>8</v>
      </c>
      <c r="C999" s="145"/>
      <c r="D999" s="144" t="s">
        <v>128</v>
      </c>
      <c r="E999" s="146">
        <v>2.42</v>
      </c>
      <c r="F999" s="146"/>
      <c r="G999" s="147">
        <v>3</v>
      </c>
      <c r="H999" s="147">
        <v>1</v>
      </c>
      <c r="I999" s="147"/>
      <c r="J999" s="148">
        <v>0.38</v>
      </c>
      <c r="K999" s="145"/>
      <c r="L999" s="144" t="s">
        <v>208</v>
      </c>
      <c r="M999" s="144" t="s">
        <v>564</v>
      </c>
      <c r="N999" s="188">
        <v>76</v>
      </c>
      <c r="O999" s="62" t="s">
        <v>128</v>
      </c>
      <c r="P999" s="62" t="s">
        <v>46</v>
      </c>
      <c r="Q999" s="62" t="s">
        <v>132</v>
      </c>
      <c r="R999" s="62" t="s">
        <v>696</v>
      </c>
      <c r="S999" s="215">
        <v>74</v>
      </c>
      <c r="T999" s="62" t="s">
        <v>41</v>
      </c>
      <c r="U999" s="62" t="s">
        <v>42</v>
      </c>
      <c r="V999" s="93" t="s">
        <v>7</v>
      </c>
      <c r="W999" s="171">
        <v>0.79</v>
      </c>
      <c r="X999" s="146">
        <v>0.99</v>
      </c>
      <c r="Y999" s="146" t="s">
        <v>353</v>
      </c>
      <c r="Z999" s="144" t="s">
        <v>8</v>
      </c>
      <c r="AA999" s="172" t="s">
        <v>19</v>
      </c>
      <c r="AB999" s="173"/>
      <c r="AC999" s="174"/>
    </row>
    <row r="1000" spans="1:29" x14ac:dyDescent="0.25">
      <c r="A1000" s="324">
        <v>45935</v>
      </c>
      <c r="B1000" s="144">
        <v>8</v>
      </c>
      <c r="C1000" s="145"/>
      <c r="D1000" s="144" t="s">
        <v>128</v>
      </c>
      <c r="E1000" s="146">
        <v>2.42</v>
      </c>
      <c r="F1000" s="146"/>
      <c r="G1000" s="147">
        <v>3</v>
      </c>
      <c r="H1000" s="147">
        <v>1</v>
      </c>
      <c r="I1000" s="147"/>
      <c r="J1000" s="148">
        <v>0.38</v>
      </c>
      <c r="K1000" s="145"/>
      <c r="L1000" s="144" t="s">
        <v>208</v>
      </c>
      <c r="M1000" s="144" t="s">
        <v>564</v>
      </c>
      <c r="N1000" s="150">
        <v>78</v>
      </c>
      <c r="O1000" s="26" t="s">
        <v>208</v>
      </c>
      <c r="P1000" s="26" t="s">
        <v>362</v>
      </c>
      <c r="Q1000" s="26" t="s">
        <v>363</v>
      </c>
      <c r="R1000" s="26" t="s">
        <v>696</v>
      </c>
      <c r="S1000" s="213">
        <v>73</v>
      </c>
      <c r="T1000" s="26" t="s">
        <v>47</v>
      </c>
      <c r="U1000" s="26" t="s">
        <v>42</v>
      </c>
      <c r="V1000" s="43" t="s">
        <v>10</v>
      </c>
      <c r="W1000" s="171">
        <v>0.15</v>
      </c>
      <c r="X1000" s="146" t="s">
        <v>53</v>
      </c>
      <c r="Y1000" s="146" t="s">
        <v>353</v>
      </c>
      <c r="Z1000" s="144" t="s">
        <v>13</v>
      </c>
      <c r="AA1000" s="172" t="s">
        <v>19</v>
      </c>
      <c r="AB1000" s="173"/>
      <c r="AC1000" s="174"/>
    </row>
    <row r="1001" spans="1:29" x14ac:dyDescent="0.25">
      <c r="A1001" s="324">
        <v>45935</v>
      </c>
      <c r="B1001" s="144">
        <v>8</v>
      </c>
      <c r="C1001" s="145"/>
      <c r="D1001" s="144" t="s">
        <v>128</v>
      </c>
      <c r="E1001" s="146">
        <v>2.42</v>
      </c>
      <c r="F1001" s="146"/>
      <c r="G1001" s="147">
        <v>3</v>
      </c>
      <c r="H1001" s="147">
        <v>1</v>
      </c>
      <c r="I1001" s="147"/>
      <c r="J1001" s="148">
        <v>0.38</v>
      </c>
      <c r="K1001" s="145"/>
      <c r="L1001" s="144" t="s">
        <v>208</v>
      </c>
      <c r="M1001" s="144" t="s">
        <v>564</v>
      </c>
      <c r="N1001" s="188">
        <v>81</v>
      </c>
      <c r="O1001" s="62" t="s">
        <v>128</v>
      </c>
      <c r="P1001" s="62" t="s">
        <v>130</v>
      </c>
      <c r="Q1001" s="62" t="s">
        <v>131</v>
      </c>
      <c r="R1001" s="62" t="s">
        <v>684</v>
      </c>
      <c r="S1001" s="215">
        <v>78</v>
      </c>
      <c r="T1001" s="62" t="s">
        <v>44</v>
      </c>
      <c r="U1001" s="62" t="s">
        <v>42</v>
      </c>
      <c r="V1001" s="93" t="s">
        <v>18</v>
      </c>
      <c r="W1001" s="171">
        <v>0.13</v>
      </c>
      <c r="X1001" s="146">
        <v>0.6</v>
      </c>
      <c r="Y1001" s="146"/>
      <c r="Z1001" s="144" t="s">
        <v>8</v>
      </c>
      <c r="AA1001" s="172" t="s">
        <v>24</v>
      </c>
      <c r="AB1001" s="173" t="s">
        <v>518</v>
      </c>
      <c r="AC1001" s="174" t="s">
        <v>519</v>
      </c>
    </row>
    <row r="1002" spans="1:29" x14ac:dyDescent="0.25">
      <c r="A1002" s="324">
        <v>45935</v>
      </c>
      <c r="B1002" s="144">
        <v>8</v>
      </c>
      <c r="C1002" s="145"/>
      <c r="D1002" s="144" t="s">
        <v>128</v>
      </c>
      <c r="E1002" s="146">
        <v>2.42</v>
      </c>
      <c r="F1002" s="146"/>
      <c r="G1002" s="147">
        <v>3</v>
      </c>
      <c r="H1002" s="147">
        <v>1</v>
      </c>
      <c r="I1002" s="147"/>
      <c r="J1002" s="148">
        <v>0.38</v>
      </c>
      <c r="K1002" s="145"/>
      <c r="L1002" s="144" t="s">
        <v>208</v>
      </c>
      <c r="M1002" s="144" t="s">
        <v>564</v>
      </c>
      <c r="N1002" s="150" t="s">
        <v>31</v>
      </c>
      <c r="O1002" s="26" t="s">
        <v>208</v>
      </c>
      <c r="P1002" s="26" t="s">
        <v>362</v>
      </c>
      <c r="Q1002" s="26" t="s">
        <v>363</v>
      </c>
      <c r="R1002" s="26" t="s">
        <v>696</v>
      </c>
      <c r="S1002" s="213">
        <v>73</v>
      </c>
      <c r="T1002" s="26" t="s">
        <v>41</v>
      </c>
      <c r="U1002" s="26" t="s">
        <v>42</v>
      </c>
      <c r="V1002" s="43" t="s">
        <v>10</v>
      </c>
      <c r="W1002" s="171">
        <v>0.18</v>
      </c>
      <c r="X1002" s="146">
        <v>0.11</v>
      </c>
      <c r="Y1002" s="146" t="s">
        <v>353</v>
      </c>
      <c r="Z1002" s="144" t="s">
        <v>8</v>
      </c>
      <c r="AA1002" s="172" t="s">
        <v>34</v>
      </c>
      <c r="AB1002" s="173" t="s">
        <v>212</v>
      </c>
      <c r="AC1002" s="174" t="s">
        <v>213</v>
      </c>
    </row>
    <row r="1003" spans="1:29" x14ac:dyDescent="0.25">
      <c r="A1003" s="324">
        <v>45935</v>
      </c>
      <c r="B1003" s="144">
        <v>8</v>
      </c>
      <c r="C1003" s="145"/>
      <c r="D1003" s="144" t="s">
        <v>128</v>
      </c>
      <c r="E1003" s="146">
        <v>2.42</v>
      </c>
      <c r="F1003" s="146"/>
      <c r="G1003" s="147">
        <v>3</v>
      </c>
      <c r="H1003" s="147">
        <v>1</v>
      </c>
      <c r="I1003" s="147"/>
      <c r="J1003" s="148">
        <v>0.38</v>
      </c>
      <c r="K1003" s="145"/>
      <c r="L1003" s="144" t="s">
        <v>208</v>
      </c>
      <c r="M1003" s="144" t="s">
        <v>564</v>
      </c>
      <c r="N1003" s="188" t="s">
        <v>415</v>
      </c>
      <c r="O1003" s="62" t="s">
        <v>128</v>
      </c>
      <c r="P1003" s="62" t="s">
        <v>504</v>
      </c>
      <c r="Q1003" s="62" t="s">
        <v>520</v>
      </c>
      <c r="R1003" s="62" t="s">
        <v>699</v>
      </c>
      <c r="S1003" s="215">
        <v>72</v>
      </c>
      <c r="T1003" s="62" t="s">
        <v>41</v>
      </c>
      <c r="U1003" s="62" t="s">
        <v>42</v>
      </c>
      <c r="V1003" s="93" t="s">
        <v>10</v>
      </c>
      <c r="W1003" s="171">
        <v>0.23</v>
      </c>
      <c r="X1003" s="146">
        <v>0.67</v>
      </c>
      <c r="Y1003" s="146" t="s">
        <v>353</v>
      </c>
      <c r="Z1003" s="144" t="s">
        <v>8</v>
      </c>
      <c r="AA1003" s="172" t="s">
        <v>427</v>
      </c>
      <c r="AB1003" s="173" t="s">
        <v>518</v>
      </c>
      <c r="AC1003" s="174" t="s">
        <v>519</v>
      </c>
    </row>
    <row r="1004" spans="1:29" ht="15.75" thickBot="1" x14ac:dyDescent="0.3">
      <c r="A1004" s="325">
        <v>45935</v>
      </c>
      <c r="B1004" s="152">
        <v>8</v>
      </c>
      <c r="C1004" s="153"/>
      <c r="D1004" s="152" t="s">
        <v>128</v>
      </c>
      <c r="E1004" s="154">
        <v>2.42</v>
      </c>
      <c r="F1004" s="154"/>
      <c r="G1004" s="155">
        <v>3</v>
      </c>
      <c r="H1004" s="155">
        <v>1</v>
      </c>
      <c r="I1004" s="155"/>
      <c r="J1004" s="156">
        <v>0.38</v>
      </c>
      <c r="K1004" s="153"/>
      <c r="L1004" s="152" t="s">
        <v>208</v>
      </c>
      <c r="M1004" s="152" t="s">
        <v>564</v>
      </c>
      <c r="N1004" s="189" t="s">
        <v>312</v>
      </c>
      <c r="O1004" s="69" t="s">
        <v>128</v>
      </c>
      <c r="P1004" s="69" t="s">
        <v>569</v>
      </c>
      <c r="Q1004" s="69" t="s">
        <v>570</v>
      </c>
      <c r="R1004" s="69" t="s">
        <v>688</v>
      </c>
      <c r="S1004" s="223">
        <v>73</v>
      </c>
      <c r="T1004" s="69" t="s">
        <v>41</v>
      </c>
      <c r="U1004" s="69" t="s">
        <v>43</v>
      </c>
      <c r="V1004" s="94" t="s">
        <v>18</v>
      </c>
      <c r="W1004" s="175">
        <v>0.13</v>
      </c>
      <c r="X1004" s="154" t="s">
        <v>53</v>
      </c>
      <c r="Y1004" s="154"/>
      <c r="Z1004" s="152" t="s">
        <v>52</v>
      </c>
      <c r="AA1004" s="176" t="s">
        <v>427</v>
      </c>
      <c r="AB1004" s="177"/>
      <c r="AC1004" s="178"/>
    </row>
    <row r="1005" spans="1:29" ht="15.75" thickBot="1" x14ac:dyDescent="0.3">
      <c r="A1005" s="326">
        <v>45935</v>
      </c>
      <c r="B1005" s="207">
        <v>8</v>
      </c>
      <c r="C1005" s="208"/>
      <c r="D1005" s="207" t="s">
        <v>128</v>
      </c>
      <c r="E1005" s="209">
        <v>2.42</v>
      </c>
      <c r="F1005" s="209"/>
      <c r="G1005" s="210">
        <v>3</v>
      </c>
      <c r="H1005" s="210">
        <v>1</v>
      </c>
      <c r="I1005" s="210"/>
      <c r="J1005" s="211">
        <v>0.38</v>
      </c>
      <c r="K1005" s="208"/>
      <c r="L1005" s="207" t="s">
        <v>208</v>
      </c>
      <c r="M1005" s="235"/>
      <c r="N1005" s="198"/>
      <c r="O1005" s="199" t="s">
        <v>128</v>
      </c>
      <c r="P1005" s="199" t="s">
        <v>127</v>
      </c>
      <c r="Q1005" s="199" t="s">
        <v>476</v>
      </c>
      <c r="R1005" s="199" t="s">
        <v>707</v>
      </c>
      <c r="S1005" s="200">
        <v>64</v>
      </c>
      <c r="T1005" s="199"/>
      <c r="U1005" s="199"/>
      <c r="V1005" s="201"/>
      <c r="W1005" s="202"/>
      <c r="X1005" s="203"/>
      <c r="Y1005" s="203">
        <v>1</v>
      </c>
      <c r="Z1005" s="199"/>
      <c r="AA1005" s="204"/>
      <c r="AB1005" s="205"/>
      <c r="AC1005" s="201"/>
    </row>
    <row r="1006" spans="1:29" ht="15.75" thickBot="1" x14ac:dyDescent="0.3">
      <c r="A1006" s="326">
        <v>45935</v>
      </c>
      <c r="B1006" s="207">
        <v>8</v>
      </c>
      <c r="C1006" s="208"/>
      <c r="D1006" s="207" t="s">
        <v>128</v>
      </c>
      <c r="E1006" s="209">
        <v>2.42</v>
      </c>
      <c r="F1006" s="209"/>
      <c r="G1006" s="210">
        <v>3</v>
      </c>
      <c r="H1006" s="210">
        <v>1</v>
      </c>
      <c r="I1006" s="210"/>
      <c r="J1006" s="211">
        <v>0.38</v>
      </c>
      <c r="K1006" s="208"/>
      <c r="L1006" s="207" t="s">
        <v>208</v>
      </c>
      <c r="M1006" s="235"/>
      <c r="N1006" s="198"/>
      <c r="O1006" s="199" t="s">
        <v>208</v>
      </c>
      <c r="P1006" s="199" t="s">
        <v>295</v>
      </c>
      <c r="Q1006" s="199" t="s">
        <v>735</v>
      </c>
      <c r="R1006" s="199" t="s">
        <v>707</v>
      </c>
      <c r="S1006" s="200">
        <v>60</v>
      </c>
      <c r="T1006" s="199"/>
      <c r="U1006" s="199"/>
      <c r="V1006" s="201"/>
      <c r="W1006" s="202"/>
      <c r="X1006" s="203"/>
      <c r="Y1006" s="203">
        <v>3</v>
      </c>
      <c r="Z1006" s="199"/>
      <c r="AA1006" s="204"/>
      <c r="AB1006" s="205"/>
      <c r="AC1006" s="201"/>
    </row>
    <row r="1007" spans="1:29" x14ac:dyDescent="0.25">
      <c r="A1007" s="328">
        <v>45893</v>
      </c>
      <c r="B1007" s="17">
        <v>2</v>
      </c>
      <c r="C1007" s="123" t="s">
        <v>702</v>
      </c>
      <c r="D1007" s="17" t="s">
        <v>227</v>
      </c>
      <c r="E1007" s="18">
        <v>0.83</v>
      </c>
      <c r="F1007" s="18"/>
      <c r="G1007" s="19">
        <v>1</v>
      </c>
      <c r="H1007" s="19">
        <v>0</v>
      </c>
      <c r="I1007" s="19"/>
      <c r="J1007" s="20">
        <v>0.41</v>
      </c>
      <c r="K1007" s="123" t="s">
        <v>694</v>
      </c>
      <c r="L1007" s="17" t="s">
        <v>145</v>
      </c>
      <c r="M1007" s="46" t="s">
        <v>356</v>
      </c>
      <c r="N1007" s="96">
        <v>9</v>
      </c>
      <c r="O1007" s="64" t="s">
        <v>227</v>
      </c>
      <c r="P1007" s="64" t="s">
        <v>238</v>
      </c>
      <c r="Q1007" s="64" t="s">
        <v>239</v>
      </c>
      <c r="R1007" s="64" t="s">
        <v>684</v>
      </c>
      <c r="S1007" s="217">
        <v>75</v>
      </c>
      <c r="T1007" s="64" t="s">
        <v>41</v>
      </c>
      <c r="U1007" s="64" t="s">
        <v>45</v>
      </c>
      <c r="V1007" s="65" t="s">
        <v>10</v>
      </c>
      <c r="W1007" s="53">
        <v>0.23</v>
      </c>
      <c r="X1007" s="18">
        <v>0.42</v>
      </c>
      <c r="Y1007" s="18" t="s">
        <v>353</v>
      </c>
      <c r="Z1007" s="17" t="s">
        <v>8</v>
      </c>
      <c r="AA1007" s="114" t="s">
        <v>19</v>
      </c>
      <c r="AB1007" s="110" t="s">
        <v>421</v>
      </c>
      <c r="AC1007" s="60" t="s">
        <v>656</v>
      </c>
    </row>
    <row r="1008" spans="1:29" x14ac:dyDescent="0.25">
      <c r="A1008" s="329">
        <v>45893</v>
      </c>
      <c r="B1008" s="5">
        <v>2</v>
      </c>
      <c r="D1008" s="5" t="s">
        <v>227</v>
      </c>
      <c r="E1008" s="6">
        <v>0.83</v>
      </c>
      <c r="G1008" s="7">
        <v>1</v>
      </c>
      <c r="H1008" s="7">
        <v>0</v>
      </c>
      <c r="J1008" s="8">
        <v>0.41</v>
      </c>
      <c r="L1008" s="5" t="s">
        <v>145</v>
      </c>
      <c r="M1008" s="44" t="s">
        <v>356</v>
      </c>
      <c r="N1008" s="56">
        <v>44</v>
      </c>
      <c r="O1008" s="61" t="s">
        <v>227</v>
      </c>
      <c r="P1008" s="61" t="s">
        <v>238</v>
      </c>
      <c r="Q1008" s="61" t="s">
        <v>239</v>
      </c>
      <c r="R1008" s="61" t="s">
        <v>684</v>
      </c>
      <c r="S1008" s="218">
        <v>75</v>
      </c>
      <c r="T1008" s="61" t="s">
        <v>41</v>
      </c>
      <c r="U1008" s="61" t="s">
        <v>43</v>
      </c>
      <c r="V1008" s="63" t="s">
        <v>10</v>
      </c>
      <c r="W1008" s="51">
        <v>0.04</v>
      </c>
      <c r="X1008" s="6">
        <v>0.14000000000000001</v>
      </c>
      <c r="Z1008" s="5" t="s">
        <v>48</v>
      </c>
      <c r="AA1008" s="112" t="s">
        <v>19</v>
      </c>
    </row>
    <row r="1009" spans="1:29" ht="15.75" thickBot="1" x14ac:dyDescent="0.3">
      <c r="A1009" s="330">
        <v>45893</v>
      </c>
      <c r="B1009" s="9">
        <v>2</v>
      </c>
      <c r="C1009" s="122"/>
      <c r="D1009" s="9" t="s">
        <v>227</v>
      </c>
      <c r="E1009" s="10">
        <v>0.83</v>
      </c>
      <c r="F1009" s="10"/>
      <c r="G1009" s="11">
        <v>1</v>
      </c>
      <c r="H1009" s="11">
        <v>0</v>
      </c>
      <c r="I1009" s="11"/>
      <c r="J1009" s="12">
        <v>0.41</v>
      </c>
      <c r="K1009" s="122"/>
      <c r="L1009" s="9" t="s">
        <v>145</v>
      </c>
      <c r="M1009" s="45" t="s">
        <v>356</v>
      </c>
      <c r="N1009" s="97" t="s">
        <v>122</v>
      </c>
      <c r="O1009" s="74" t="s">
        <v>145</v>
      </c>
      <c r="P1009" s="74" t="s">
        <v>271</v>
      </c>
      <c r="Q1009" s="74" t="s">
        <v>272</v>
      </c>
      <c r="R1009" s="74" t="s">
        <v>718</v>
      </c>
      <c r="S1009" s="221">
        <v>62</v>
      </c>
      <c r="T1009" s="74" t="s">
        <v>41</v>
      </c>
      <c r="U1009" s="74" t="s">
        <v>42</v>
      </c>
      <c r="V1009" s="76" t="s">
        <v>10</v>
      </c>
      <c r="W1009" s="52">
        <v>0.35</v>
      </c>
      <c r="X1009" s="10" t="s">
        <v>53</v>
      </c>
      <c r="Y1009" s="10" t="s">
        <v>353</v>
      </c>
      <c r="Z1009" s="9" t="s">
        <v>13</v>
      </c>
      <c r="AA1009" s="113" t="s">
        <v>19</v>
      </c>
      <c r="AB1009" s="109"/>
      <c r="AC1009" s="58"/>
    </row>
    <row r="1010" spans="1:29" ht="15.75" thickBot="1" x14ac:dyDescent="0.3">
      <c r="A1010" s="326">
        <v>45893</v>
      </c>
      <c r="B1010" s="207">
        <v>2</v>
      </c>
      <c r="C1010" s="208"/>
      <c r="D1010" s="207" t="s">
        <v>227</v>
      </c>
      <c r="E1010" s="209">
        <v>0.83</v>
      </c>
      <c r="F1010" s="209"/>
      <c r="G1010" s="210">
        <v>1</v>
      </c>
      <c r="H1010" s="210">
        <v>0</v>
      </c>
      <c r="I1010" s="210"/>
      <c r="J1010" s="211">
        <v>0.41</v>
      </c>
      <c r="K1010" s="208"/>
      <c r="L1010" s="207" t="s">
        <v>145</v>
      </c>
      <c r="M1010" s="197"/>
      <c r="N1010" s="198"/>
      <c r="O1010" s="199" t="s">
        <v>227</v>
      </c>
      <c r="P1010" s="199" t="s">
        <v>298</v>
      </c>
      <c r="Q1010" s="199" t="s">
        <v>86</v>
      </c>
      <c r="R1010" s="199" t="s">
        <v>707</v>
      </c>
      <c r="S1010" s="200">
        <v>68</v>
      </c>
      <c r="T1010" s="199"/>
      <c r="U1010" s="199"/>
      <c r="V1010" s="201"/>
      <c r="W1010" s="202"/>
      <c r="X1010" s="203"/>
      <c r="Y1010" s="203">
        <v>0</v>
      </c>
      <c r="Z1010" s="199"/>
      <c r="AA1010" s="204"/>
      <c r="AB1010" s="205"/>
      <c r="AC1010" s="201"/>
    </row>
    <row r="1011" spans="1:29" ht="15.75" thickBot="1" x14ac:dyDescent="0.3">
      <c r="A1011" s="326">
        <v>45893</v>
      </c>
      <c r="B1011" s="207">
        <v>2</v>
      </c>
      <c r="C1011" s="208"/>
      <c r="D1011" s="207" t="s">
        <v>227</v>
      </c>
      <c r="E1011" s="209">
        <v>0.83</v>
      </c>
      <c r="F1011" s="209"/>
      <c r="G1011" s="210">
        <v>1</v>
      </c>
      <c r="H1011" s="210">
        <v>0</v>
      </c>
      <c r="I1011" s="210"/>
      <c r="J1011" s="211">
        <v>0.41</v>
      </c>
      <c r="K1011" s="208"/>
      <c r="L1011" s="207" t="s">
        <v>145</v>
      </c>
      <c r="M1011" s="197"/>
      <c r="N1011" s="198"/>
      <c r="O1011" s="199" t="s">
        <v>145</v>
      </c>
      <c r="P1011" s="199" t="s">
        <v>482</v>
      </c>
      <c r="Q1011" s="199" t="s">
        <v>483</v>
      </c>
      <c r="R1011" s="199" t="s">
        <v>707</v>
      </c>
      <c r="S1011" s="200">
        <v>65</v>
      </c>
      <c r="T1011" s="199"/>
      <c r="U1011" s="199"/>
      <c r="V1011" s="201"/>
      <c r="W1011" s="202"/>
      <c r="X1011" s="203"/>
      <c r="Y1011" s="203">
        <v>1</v>
      </c>
      <c r="Z1011" s="199"/>
      <c r="AA1011" s="204"/>
      <c r="AB1011" s="205"/>
      <c r="AC1011" s="201"/>
    </row>
    <row r="1012" spans="1:29" x14ac:dyDescent="0.25">
      <c r="A1012" s="328">
        <v>45914</v>
      </c>
      <c r="B1012" s="17">
        <v>4</v>
      </c>
      <c r="C1012" s="123" t="s">
        <v>693</v>
      </c>
      <c r="D1012" s="17" t="s">
        <v>113</v>
      </c>
      <c r="E1012" s="18">
        <v>4.0199999999999996</v>
      </c>
      <c r="F1012" s="18"/>
      <c r="G1012" s="19">
        <v>6</v>
      </c>
      <c r="H1012" s="19">
        <v>0</v>
      </c>
      <c r="I1012" s="19"/>
      <c r="J1012" s="20">
        <v>0.18</v>
      </c>
      <c r="K1012" s="123" t="s">
        <v>701</v>
      </c>
      <c r="L1012" s="17" t="s">
        <v>145</v>
      </c>
      <c r="M1012" s="46"/>
      <c r="N1012" s="96">
        <v>5</v>
      </c>
      <c r="O1012" s="64" t="s">
        <v>113</v>
      </c>
      <c r="P1012" s="64" t="s">
        <v>267</v>
      </c>
      <c r="Q1012" s="64" t="s">
        <v>75</v>
      </c>
      <c r="R1012" s="64" t="s">
        <v>713</v>
      </c>
      <c r="S1012" s="217">
        <v>75</v>
      </c>
      <c r="T1012" s="64" t="s">
        <v>47</v>
      </c>
      <c r="U1012" s="64" t="s">
        <v>45</v>
      </c>
      <c r="V1012" s="65" t="s">
        <v>20</v>
      </c>
      <c r="W1012" s="53">
        <v>0.1</v>
      </c>
      <c r="X1012" s="18" t="s">
        <v>53</v>
      </c>
      <c r="Y1012" s="18"/>
      <c r="Z1012" s="17" t="s">
        <v>13</v>
      </c>
      <c r="AA1012" s="114" t="s">
        <v>28</v>
      </c>
      <c r="AB1012" s="110"/>
      <c r="AC1012" s="60"/>
    </row>
    <row r="1013" spans="1:29" x14ac:dyDescent="0.25">
      <c r="A1013" s="329">
        <v>45914</v>
      </c>
      <c r="B1013" s="5">
        <v>4</v>
      </c>
      <c r="D1013" s="5" t="s">
        <v>113</v>
      </c>
      <c r="E1013" s="6">
        <v>4.0199999999999996</v>
      </c>
      <c r="G1013" s="7">
        <v>6</v>
      </c>
      <c r="H1013" s="7">
        <v>0</v>
      </c>
      <c r="J1013" s="8">
        <v>0.18</v>
      </c>
      <c r="L1013" s="5" t="s">
        <v>145</v>
      </c>
      <c r="N1013" s="56">
        <v>10</v>
      </c>
      <c r="O1013" s="61" t="s">
        <v>113</v>
      </c>
      <c r="P1013" s="61" t="s">
        <v>118</v>
      </c>
      <c r="Q1013" s="61" t="s">
        <v>119</v>
      </c>
      <c r="R1013" s="61" t="s">
        <v>684</v>
      </c>
      <c r="S1013" s="218">
        <v>63</v>
      </c>
      <c r="T1013" s="61" t="s">
        <v>41</v>
      </c>
      <c r="U1013" s="61" t="s">
        <v>42</v>
      </c>
      <c r="V1013" s="63" t="s">
        <v>10</v>
      </c>
      <c r="W1013" s="51">
        <v>0.68</v>
      </c>
      <c r="X1013" s="6" t="s">
        <v>53</v>
      </c>
      <c r="Y1013" s="6" t="s">
        <v>353</v>
      </c>
      <c r="Z1013" s="5" t="s">
        <v>55</v>
      </c>
      <c r="AA1013" s="112" t="s">
        <v>28</v>
      </c>
    </row>
    <row r="1014" spans="1:29" x14ac:dyDescent="0.25">
      <c r="A1014" s="329">
        <v>45914</v>
      </c>
      <c r="B1014" s="5">
        <v>4</v>
      </c>
      <c r="D1014" s="5" t="s">
        <v>113</v>
      </c>
      <c r="E1014" s="6">
        <v>4.0199999999999996</v>
      </c>
      <c r="G1014" s="7">
        <v>6</v>
      </c>
      <c r="H1014" s="7">
        <v>0</v>
      </c>
      <c r="J1014" s="8">
        <v>0.18</v>
      </c>
      <c r="L1014" s="5" t="s">
        <v>145</v>
      </c>
      <c r="N1014" s="56">
        <v>19</v>
      </c>
      <c r="O1014" s="61" t="s">
        <v>113</v>
      </c>
      <c r="P1014" s="61" t="s">
        <v>118</v>
      </c>
      <c r="Q1014" s="61" t="s">
        <v>119</v>
      </c>
      <c r="R1014" s="61" t="s">
        <v>684</v>
      </c>
      <c r="S1014" s="218">
        <v>63</v>
      </c>
      <c r="T1014" s="61" t="s">
        <v>41</v>
      </c>
      <c r="U1014" s="61" t="s">
        <v>42</v>
      </c>
      <c r="V1014" s="63" t="s">
        <v>10</v>
      </c>
      <c r="W1014" s="51">
        <v>0.12</v>
      </c>
      <c r="X1014" s="6" t="s">
        <v>53</v>
      </c>
      <c r="Z1014" s="5" t="s">
        <v>52</v>
      </c>
      <c r="AA1014" s="112" t="s">
        <v>28</v>
      </c>
    </row>
    <row r="1015" spans="1:29" x14ac:dyDescent="0.25">
      <c r="A1015" s="329">
        <v>45914</v>
      </c>
      <c r="B1015" s="5">
        <v>4</v>
      </c>
      <c r="D1015" s="5" t="s">
        <v>113</v>
      </c>
      <c r="E1015" s="6">
        <v>4.0199999999999996</v>
      </c>
      <c r="G1015" s="7">
        <v>6</v>
      </c>
      <c r="H1015" s="7">
        <v>0</v>
      </c>
      <c r="J1015" s="8">
        <v>0.18</v>
      </c>
      <c r="L1015" s="5" t="s">
        <v>145</v>
      </c>
      <c r="N1015" s="56">
        <v>29</v>
      </c>
      <c r="O1015" s="61" t="s">
        <v>113</v>
      </c>
      <c r="P1015" s="61" t="s">
        <v>406</v>
      </c>
      <c r="Q1015" s="61" t="s">
        <v>150</v>
      </c>
      <c r="R1015" s="61" t="s">
        <v>699</v>
      </c>
      <c r="S1015" s="218">
        <v>95</v>
      </c>
      <c r="T1015" s="61" t="s">
        <v>41</v>
      </c>
      <c r="U1015" s="61" t="s">
        <v>42</v>
      </c>
      <c r="V1015" s="63" t="s">
        <v>10</v>
      </c>
      <c r="W1015" s="51">
        <v>0.13</v>
      </c>
      <c r="X1015" s="6">
        <v>0.13</v>
      </c>
      <c r="Z1015" s="5" t="s">
        <v>8</v>
      </c>
      <c r="AA1015" s="112" t="s">
        <v>19</v>
      </c>
      <c r="AB1015" s="108" t="s">
        <v>118</v>
      </c>
      <c r="AC1015" s="57" t="s">
        <v>119</v>
      </c>
    </row>
    <row r="1016" spans="1:29" x14ac:dyDescent="0.25">
      <c r="A1016" s="329">
        <v>45914</v>
      </c>
      <c r="B1016" s="5">
        <v>4</v>
      </c>
      <c r="D1016" s="5" t="s">
        <v>113</v>
      </c>
      <c r="E1016" s="6">
        <v>4.0199999999999996</v>
      </c>
      <c r="G1016" s="7">
        <v>6</v>
      </c>
      <c r="H1016" s="7">
        <v>0</v>
      </c>
      <c r="J1016" s="8">
        <v>0.18</v>
      </c>
      <c r="L1016" s="5" t="s">
        <v>145</v>
      </c>
      <c r="N1016" s="56">
        <v>48</v>
      </c>
      <c r="O1016" s="61" t="s">
        <v>113</v>
      </c>
      <c r="P1016" s="61" t="s">
        <v>118</v>
      </c>
      <c r="Q1016" s="61" t="s">
        <v>119</v>
      </c>
      <c r="R1016" s="61" t="s">
        <v>684</v>
      </c>
      <c r="S1016" s="218">
        <v>63</v>
      </c>
      <c r="T1016" s="61" t="s">
        <v>41</v>
      </c>
      <c r="U1016" s="61" t="s">
        <v>42</v>
      </c>
      <c r="V1016" s="63" t="s">
        <v>10</v>
      </c>
      <c r="W1016" s="51">
        <v>0.41</v>
      </c>
      <c r="X1016" s="6" t="s">
        <v>53</v>
      </c>
      <c r="Y1016" s="6" t="s">
        <v>353</v>
      </c>
      <c r="Z1016" s="5" t="s">
        <v>17</v>
      </c>
      <c r="AA1016" s="112" t="s">
        <v>19</v>
      </c>
    </row>
    <row r="1017" spans="1:29" x14ac:dyDescent="0.25">
      <c r="A1017" s="329">
        <v>45914</v>
      </c>
      <c r="B1017" s="5">
        <v>4</v>
      </c>
      <c r="D1017" s="5" t="s">
        <v>113</v>
      </c>
      <c r="E1017" s="6">
        <v>4.0199999999999996</v>
      </c>
      <c r="G1017" s="7">
        <v>6</v>
      </c>
      <c r="H1017" s="7">
        <v>0</v>
      </c>
      <c r="J1017" s="8">
        <v>0.18</v>
      </c>
      <c r="L1017" s="5" t="s">
        <v>145</v>
      </c>
      <c r="N1017" s="56">
        <v>53</v>
      </c>
      <c r="O1017" s="61" t="s">
        <v>113</v>
      </c>
      <c r="P1017" s="61" t="s">
        <v>118</v>
      </c>
      <c r="Q1017" s="61" t="s">
        <v>119</v>
      </c>
      <c r="R1017" s="61" t="s">
        <v>684</v>
      </c>
      <c r="S1017" s="218">
        <v>63</v>
      </c>
      <c r="T1017" s="61" t="s">
        <v>41</v>
      </c>
      <c r="U1017" s="61" t="s">
        <v>43</v>
      </c>
      <c r="V1017" s="63" t="s">
        <v>10</v>
      </c>
      <c r="W1017" s="51">
        <v>0.23</v>
      </c>
      <c r="X1017" s="6">
        <v>0.24</v>
      </c>
      <c r="Y1017" s="6" t="s">
        <v>353</v>
      </c>
      <c r="Z1017" s="5" t="s">
        <v>48</v>
      </c>
      <c r="AA1017" s="112" t="s">
        <v>19</v>
      </c>
    </row>
    <row r="1018" spans="1:29" x14ac:dyDescent="0.25">
      <c r="A1018" s="329">
        <v>45914</v>
      </c>
      <c r="B1018" s="5">
        <v>4</v>
      </c>
      <c r="D1018" s="5" t="s">
        <v>113</v>
      </c>
      <c r="E1018" s="6">
        <v>4.0199999999999996</v>
      </c>
      <c r="G1018" s="7">
        <v>6</v>
      </c>
      <c r="H1018" s="7">
        <v>0</v>
      </c>
      <c r="J1018" s="8">
        <v>0.18</v>
      </c>
      <c r="L1018" s="5" t="s">
        <v>145</v>
      </c>
      <c r="N1018" s="56">
        <v>53</v>
      </c>
      <c r="O1018" s="61" t="s">
        <v>113</v>
      </c>
      <c r="P1018" s="61" t="s">
        <v>53</v>
      </c>
      <c r="Q1018" s="61" t="s">
        <v>117</v>
      </c>
      <c r="R1018" s="61" t="s">
        <v>696</v>
      </c>
      <c r="S1018" s="218">
        <v>88</v>
      </c>
      <c r="T1018" s="61" t="s">
        <v>47</v>
      </c>
      <c r="U1018" s="61" t="s">
        <v>42</v>
      </c>
      <c r="V1018" s="63" t="s">
        <v>10</v>
      </c>
      <c r="W1018" s="51">
        <v>0.56000000000000005</v>
      </c>
      <c r="X1018" s="6">
        <v>0.78</v>
      </c>
      <c r="Y1018" s="6" t="s">
        <v>353</v>
      </c>
      <c r="Z1018" s="5" t="s">
        <v>8</v>
      </c>
      <c r="AA1018" s="112" t="s">
        <v>24</v>
      </c>
      <c r="AB1018" s="108" t="s">
        <v>468</v>
      </c>
      <c r="AC1018" s="57" t="s">
        <v>469</v>
      </c>
    </row>
    <row r="1019" spans="1:29" x14ac:dyDescent="0.25">
      <c r="A1019" s="329">
        <v>45914</v>
      </c>
      <c r="B1019" s="5">
        <v>4</v>
      </c>
      <c r="D1019" s="5" t="s">
        <v>113</v>
      </c>
      <c r="E1019" s="6">
        <v>4.0199999999999996</v>
      </c>
      <c r="G1019" s="7">
        <v>6</v>
      </c>
      <c r="H1019" s="7">
        <v>0</v>
      </c>
      <c r="J1019" s="8">
        <v>0.18</v>
      </c>
      <c r="L1019" s="5" t="s">
        <v>145</v>
      </c>
      <c r="N1019" s="56">
        <v>56</v>
      </c>
      <c r="O1019" s="61" t="s">
        <v>113</v>
      </c>
      <c r="P1019" s="61" t="s">
        <v>406</v>
      </c>
      <c r="Q1019" s="61" t="s">
        <v>150</v>
      </c>
      <c r="R1019" s="61" t="s">
        <v>699</v>
      </c>
      <c r="S1019" s="218">
        <v>95</v>
      </c>
      <c r="T1019" s="61" t="s">
        <v>354</v>
      </c>
      <c r="U1019" s="61" t="s">
        <v>43</v>
      </c>
      <c r="V1019" s="63" t="s">
        <v>10</v>
      </c>
      <c r="W1019" s="51">
        <v>0.02</v>
      </c>
      <c r="X1019" s="6">
        <v>0.04</v>
      </c>
      <c r="Z1019" s="5" t="s">
        <v>8</v>
      </c>
      <c r="AA1019" s="112" t="s">
        <v>27</v>
      </c>
      <c r="AB1019" s="108" t="s">
        <v>337</v>
      </c>
      <c r="AC1019" s="57" t="s">
        <v>662</v>
      </c>
    </row>
    <row r="1020" spans="1:29" x14ac:dyDescent="0.25">
      <c r="A1020" s="329">
        <v>45914</v>
      </c>
      <c r="B1020" s="5">
        <v>4</v>
      </c>
      <c r="D1020" s="5" t="s">
        <v>113</v>
      </c>
      <c r="E1020" s="6">
        <v>4.0199999999999996</v>
      </c>
      <c r="G1020" s="7">
        <v>6</v>
      </c>
      <c r="H1020" s="7">
        <v>0</v>
      </c>
      <c r="J1020" s="8">
        <v>0.18</v>
      </c>
      <c r="L1020" s="5" t="s">
        <v>145</v>
      </c>
      <c r="N1020" s="56">
        <v>66</v>
      </c>
      <c r="O1020" s="61" t="s">
        <v>113</v>
      </c>
      <c r="P1020" s="61" t="s">
        <v>53</v>
      </c>
      <c r="Q1020" s="61" t="s">
        <v>117</v>
      </c>
      <c r="R1020" s="61" t="s">
        <v>696</v>
      </c>
      <c r="S1020" s="218">
        <v>88</v>
      </c>
      <c r="T1020" s="61" t="s">
        <v>41</v>
      </c>
      <c r="U1020" s="61" t="s">
        <v>43</v>
      </c>
      <c r="V1020" s="63" t="s">
        <v>540</v>
      </c>
      <c r="W1020" s="51">
        <v>0.05</v>
      </c>
      <c r="X1020" s="6">
        <v>7.0000000000000007E-2</v>
      </c>
      <c r="Z1020" s="5" t="s">
        <v>8</v>
      </c>
      <c r="AA1020" s="112" t="s">
        <v>32</v>
      </c>
    </row>
    <row r="1021" spans="1:29" x14ac:dyDescent="0.25">
      <c r="A1021" s="329">
        <v>45914</v>
      </c>
      <c r="B1021" s="5">
        <v>4</v>
      </c>
      <c r="D1021" s="5" t="s">
        <v>113</v>
      </c>
      <c r="E1021" s="6">
        <v>4.0199999999999996</v>
      </c>
      <c r="G1021" s="7">
        <v>6</v>
      </c>
      <c r="H1021" s="7">
        <v>0</v>
      </c>
      <c r="J1021" s="8">
        <v>0.18</v>
      </c>
      <c r="L1021" s="5" t="s">
        <v>145</v>
      </c>
      <c r="N1021" s="56">
        <v>70</v>
      </c>
      <c r="O1021" s="61" t="s">
        <v>113</v>
      </c>
      <c r="P1021" s="61" t="s">
        <v>53</v>
      </c>
      <c r="Q1021" s="61" t="s">
        <v>117</v>
      </c>
      <c r="R1021" s="61" t="s">
        <v>696</v>
      </c>
      <c r="S1021" s="218">
        <v>88</v>
      </c>
      <c r="T1021" s="61" t="s">
        <v>41</v>
      </c>
      <c r="U1021" s="61" t="s">
        <v>43</v>
      </c>
      <c r="V1021" s="63" t="s">
        <v>10</v>
      </c>
      <c r="W1021" s="51">
        <v>0.11</v>
      </c>
      <c r="X1021" s="6" t="s">
        <v>53</v>
      </c>
      <c r="Z1021" s="5" t="s">
        <v>13</v>
      </c>
      <c r="AA1021" s="112" t="s">
        <v>32</v>
      </c>
    </row>
    <row r="1022" spans="1:29" x14ac:dyDescent="0.25">
      <c r="A1022" s="329">
        <v>45914</v>
      </c>
      <c r="B1022" s="5">
        <v>4</v>
      </c>
      <c r="D1022" s="5" t="s">
        <v>113</v>
      </c>
      <c r="E1022" s="6">
        <v>4.0199999999999996</v>
      </c>
      <c r="G1022" s="7">
        <v>6</v>
      </c>
      <c r="H1022" s="7">
        <v>0</v>
      </c>
      <c r="J1022" s="8">
        <v>0.18</v>
      </c>
      <c r="L1022" s="5" t="s">
        <v>145</v>
      </c>
      <c r="N1022" s="56">
        <v>71</v>
      </c>
      <c r="O1022" s="26" t="s">
        <v>145</v>
      </c>
      <c r="P1022" s="26" t="s">
        <v>315</v>
      </c>
      <c r="Q1022" s="26" t="s">
        <v>409</v>
      </c>
      <c r="R1022" s="26" t="s">
        <v>696</v>
      </c>
      <c r="S1022" s="213">
        <v>64</v>
      </c>
      <c r="T1022" s="26" t="s">
        <v>41</v>
      </c>
      <c r="U1022" s="26" t="s">
        <v>43</v>
      </c>
      <c r="V1022" s="43" t="s">
        <v>10</v>
      </c>
      <c r="W1022" s="51">
        <v>0.11</v>
      </c>
      <c r="X1022" s="6">
        <v>0.28999999999999998</v>
      </c>
      <c r="Z1022" s="5" t="s">
        <v>48</v>
      </c>
      <c r="AA1022" s="112" t="s">
        <v>32</v>
      </c>
    </row>
    <row r="1023" spans="1:29" x14ac:dyDescent="0.25">
      <c r="A1023" s="329">
        <v>45914</v>
      </c>
      <c r="B1023" s="5">
        <v>4</v>
      </c>
      <c r="D1023" s="5" t="s">
        <v>113</v>
      </c>
      <c r="E1023" s="6">
        <v>4.0199999999999996</v>
      </c>
      <c r="G1023" s="7">
        <v>6</v>
      </c>
      <c r="H1023" s="7">
        <v>0</v>
      </c>
      <c r="J1023" s="8">
        <v>0.18</v>
      </c>
      <c r="L1023" s="5" t="s">
        <v>145</v>
      </c>
      <c r="N1023" s="56">
        <v>76</v>
      </c>
      <c r="O1023" s="61" t="s">
        <v>113</v>
      </c>
      <c r="P1023" s="61" t="s">
        <v>178</v>
      </c>
      <c r="Q1023" s="61" t="s">
        <v>407</v>
      </c>
      <c r="R1023" s="61" t="s">
        <v>696</v>
      </c>
      <c r="S1023" s="218">
        <v>88</v>
      </c>
      <c r="T1023" s="61" t="s">
        <v>41</v>
      </c>
      <c r="U1023" s="61" t="s">
        <v>42</v>
      </c>
      <c r="V1023" s="63" t="s">
        <v>10</v>
      </c>
      <c r="W1023" s="51">
        <v>0.62</v>
      </c>
      <c r="X1023" s="6">
        <v>0.86</v>
      </c>
      <c r="Y1023" s="6" t="s">
        <v>353</v>
      </c>
      <c r="Z1023" s="5" t="s">
        <v>8</v>
      </c>
      <c r="AA1023" s="112" t="s">
        <v>285</v>
      </c>
      <c r="AB1023" s="108" t="s">
        <v>124</v>
      </c>
      <c r="AC1023" s="57" t="s">
        <v>125</v>
      </c>
    </row>
    <row r="1024" spans="1:29" ht="15.75" thickBot="1" x14ac:dyDescent="0.3">
      <c r="A1024" s="330">
        <v>45914</v>
      </c>
      <c r="B1024" s="9">
        <v>4</v>
      </c>
      <c r="C1024" s="122"/>
      <c r="D1024" s="9" t="s">
        <v>113</v>
      </c>
      <c r="E1024" s="10">
        <v>4.0199999999999996</v>
      </c>
      <c r="F1024" s="10"/>
      <c r="G1024" s="11">
        <v>6</v>
      </c>
      <c r="H1024" s="11">
        <v>0</v>
      </c>
      <c r="I1024" s="11"/>
      <c r="J1024" s="12">
        <v>0.18</v>
      </c>
      <c r="K1024" s="122"/>
      <c r="L1024" s="9" t="s">
        <v>145</v>
      </c>
      <c r="M1024" s="45"/>
      <c r="N1024" s="97">
        <v>86</v>
      </c>
      <c r="O1024" s="66" t="s">
        <v>113</v>
      </c>
      <c r="P1024" s="66" t="s">
        <v>178</v>
      </c>
      <c r="Q1024" s="66" t="s">
        <v>407</v>
      </c>
      <c r="R1024" s="66" t="s">
        <v>696</v>
      </c>
      <c r="S1024" s="219">
        <v>88</v>
      </c>
      <c r="T1024" s="66" t="s">
        <v>41</v>
      </c>
      <c r="U1024" s="66" t="s">
        <v>42</v>
      </c>
      <c r="V1024" s="67" t="s">
        <v>10</v>
      </c>
      <c r="W1024" s="52">
        <v>0.57999999999999996</v>
      </c>
      <c r="X1024" s="10">
        <v>0.37</v>
      </c>
      <c r="Y1024" s="10" t="s">
        <v>353</v>
      </c>
      <c r="Z1024" s="9" t="s">
        <v>8</v>
      </c>
      <c r="AA1024" s="113" t="s">
        <v>408</v>
      </c>
      <c r="AB1024" s="109" t="s">
        <v>337</v>
      </c>
      <c r="AC1024" s="58" t="s">
        <v>663</v>
      </c>
    </row>
    <row r="1025" spans="1:29" ht="15.75" thickBot="1" x14ac:dyDescent="0.3">
      <c r="A1025" s="326">
        <v>45914</v>
      </c>
      <c r="B1025" s="207">
        <v>4</v>
      </c>
      <c r="C1025" s="208"/>
      <c r="D1025" s="207" t="s">
        <v>113</v>
      </c>
      <c r="E1025" s="209">
        <v>4.0199999999999996</v>
      </c>
      <c r="F1025" s="209"/>
      <c r="G1025" s="210">
        <v>6</v>
      </c>
      <c r="H1025" s="210">
        <v>0</v>
      </c>
      <c r="I1025" s="210"/>
      <c r="J1025" s="211">
        <v>0.18</v>
      </c>
      <c r="K1025" s="208"/>
      <c r="L1025" s="207" t="s">
        <v>145</v>
      </c>
      <c r="M1025" s="235"/>
      <c r="N1025" s="198"/>
      <c r="O1025" s="199" t="s">
        <v>113</v>
      </c>
      <c r="P1025" s="199" t="s">
        <v>475</v>
      </c>
      <c r="Q1025" s="199" t="s">
        <v>75</v>
      </c>
      <c r="R1025" s="199" t="s">
        <v>707</v>
      </c>
      <c r="S1025" s="200">
        <v>74</v>
      </c>
      <c r="T1025" s="199"/>
      <c r="U1025" s="199"/>
      <c r="V1025" s="201"/>
      <c r="W1025" s="202"/>
      <c r="X1025" s="203"/>
      <c r="Y1025" s="203">
        <v>0</v>
      </c>
      <c r="Z1025" s="199"/>
      <c r="AA1025" s="204"/>
      <c r="AB1025" s="205"/>
      <c r="AC1025" s="201"/>
    </row>
    <row r="1026" spans="1:29" ht="15.75" thickBot="1" x14ac:dyDescent="0.3">
      <c r="A1026" s="326">
        <v>45914</v>
      </c>
      <c r="B1026" s="207">
        <v>4</v>
      </c>
      <c r="C1026" s="208"/>
      <c r="D1026" s="207" t="s">
        <v>113</v>
      </c>
      <c r="E1026" s="209">
        <v>4.0199999999999996</v>
      </c>
      <c r="F1026" s="209"/>
      <c r="G1026" s="210">
        <v>6</v>
      </c>
      <c r="H1026" s="210">
        <v>0</v>
      </c>
      <c r="I1026" s="210"/>
      <c r="J1026" s="211">
        <v>0.18</v>
      </c>
      <c r="K1026" s="208"/>
      <c r="L1026" s="207" t="s">
        <v>145</v>
      </c>
      <c r="M1026" s="235"/>
      <c r="N1026" s="198"/>
      <c r="O1026" s="199" t="s">
        <v>145</v>
      </c>
      <c r="P1026" s="199" t="s">
        <v>482</v>
      </c>
      <c r="Q1026" s="199" t="s">
        <v>483</v>
      </c>
      <c r="R1026" s="199" t="s">
        <v>707</v>
      </c>
      <c r="S1026" s="200">
        <v>45</v>
      </c>
      <c r="T1026" s="199"/>
      <c r="U1026" s="199"/>
      <c r="V1026" s="201"/>
      <c r="W1026" s="202"/>
      <c r="X1026" s="203"/>
      <c r="Y1026" s="203">
        <v>6</v>
      </c>
      <c r="Z1026" s="199"/>
      <c r="AA1026" s="204"/>
      <c r="AB1026" s="205"/>
      <c r="AC1026" s="201"/>
    </row>
    <row r="1027" spans="1:29" x14ac:dyDescent="0.25">
      <c r="A1027" s="331">
        <v>45923</v>
      </c>
      <c r="B1027" s="13">
        <v>6</v>
      </c>
      <c r="C1027" s="124" t="s">
        <v>693</v>
      </c>
      <c r="D1027" s="13" t="s">
        <v>192</v>
      </c>
      <c r="E1027" s="14">
        <v>2.57</v>
      </c>
      <c r="F1027" s="14"/>
      <c r="G1027" s="15">
        <v>2</v>
      </c>
      <c r="H1027" s="15">
        <v>2</v>
      </c>
      <c r="I1027" s="15"/>
      <c r="J1027" s="16">
        <v>0.74</v>
      </c>
      <c r="K1027" s="124" t="s">
        <v>694</v>
      </c>
      <c r="L1027" s="13" t="s">
        <v>145</v>
      </c>
      <c r="M1027" s="47"/>
      <c r="N1027" s="98">
        <v>15</v>
      </c>
      <c r="O1027" s="79" t="s">
        <v>145</v>
      </c>
      <c r="P1027" s="79" t="s">
        <v>271</v>
      </c>
      <c r="Q1027" s="79" t="s">
        <v>272</v>
      </c>
      <c r="R1027" s="79" t="s">
        <v>684</v>
      </c>
      <c r="S1027" s="224">
        <v>80</v>
      </c>
      <c r="T1027" s="79" t="s">
        <v>47</v>
      </c>
      <c r="U1027" s="79" t="s">
        <v>42</v>
      </c>
      <c r="V1027" s="80" t="s">
        <v>10</v>
      </c>
      <c r="W1027" s="54">
        <v>0.56999999999999995</v>
      </c>
      <c r="X1027" s="14">
        <v>0.98</v>
      </c>
      <c r="Y1027" s="14" t="s">
        <v>353</v>
      </c>
      <c r="Z1027" s="13" t="s">
        <v>8</v>
      </c>
      <c r="AA1027" s="115" t="s">
        <v>9</v>
      </c>
      <c r="AB1027" s="110" t="s">
        <v>315</v>
      </c>
      <c r="AC1027" s="60" t="s">
        <v>409</v>
      </c>
    </row>
    <row r="1028" spans="1:29" x14ac:dyDescent="0.25">
      <c r="A1028" s="331">
        <v>45923</v>
      </c>
      <c r="B1028" s="5">
        <v>6</v>
      </c>
      <c r="D1028" s="5" t="s">
        <v>192</v>
      </c>
      <c r="E1028" s="6">
        <v>2.57</v>
      </c>
      <c r="G1028" s="7">
        <v>2</v>
      </c>
      <c r="H1028" s="7">
        <v>2</v>
      </c>
      <c r="J1028" s="8">
        <v>0.74</v>
      </c>
      <c r="L1028" s="5" t="s">
        <v>145</v>
      </c>
      <c r="N1028" s="56">
        <v>32</v>
      </c>
      <c r="O1028" s="61" t="s">
        <v>192</v>
      </c>
      <c r="P1028" s="61" t="s">
        <v>196</v>
      </c>
      <c r="Q1028" s="61" t="s">
        <v>75</v>
      </c>
      <c r="R1028" s="61" t="s">
        <v>684</v>
      </c>
      <c r="S1028" s="218">
        <v>68</v>
      </c>
      <c r="T1028" s="61" t="s">
        <v>47</v>
      </c>
      <c r="U1028" s="61" t="s">
        <v>43</v>
      </c>
      <c r="V1028" s="63" t="s">
        <v>540</v>
      </c>
      <c r="W1028" s="51">
        <v>7.0000000000000007E-2</v>
      </c>
      <c r="X1028" s="6">
        <v>0.14000000000000001</v>
      </c>
      <c r="Z1028" s="5" t="s">
        <v>48</v>
      </c>
      <c r="AA1028" s="112" t="s">
        <v>9</v>
      </c>
    </row>
    <row r="1029" spans="1:29" x14ac:dyDescent="0.25">
      <c r="A1029" s="331">
        <v>45923</v>
      </c>
      <c r="B1029" s="5">
        <v>6</v>
      </c>
      <c r="D1029" s="5" t="s">
        <v>192</v>
      </c>
      <c r="E1029" s="6">
        <v>2.57</v>
      </c>
      <c r="G1029" s="7">
        <v>2</v>
      </c>
      <c r="H1029" s="7">
        <v>2</v>
      </c>
      <c r="J1029" s="8">
        <v>0.74</v>
      </c>
      <c r="L1029" s="5" t="s">
        <v>145</v>
      </c>
      <c r="N1029" s="56">
        <v>37</v>
      </c>
      <c r="O1029" s="61" t="s">
        <v>192</v>
      </c>
      <c r="P1029" s="61" t="s">
        <v>278</v>
      </c>
      <c r="Q1029" s="61" t="s">
        <v>279</v>
      </c>
      <c r="R1029" s="61" t="s">
        <v>685</v>
      </c>
      <c r="S1029" s="218">
        <v>72</v>
      </c>
      <c r="T1029" s="61" t="s">
        <v>41</v>
      </c>
      <c r="U1029" s="61" t="s">
        <v>43</v>
      </c>
      <c r="V1029" s="63" t="s">
        <v>20</v>
      </c>
      <c r="W1029" s="51">
        <v>0.23</v>
      </c>
      <c r="X1029" s="6" t="s">
        <v>53</v>
      </c>
      <c r="Y1029" s="6" t="s">
        <v>353</v>
      </c>
      <c r="Z1029" s="5" t="s">
        <v>52</v>
      </c>
      <c r="AA1029" s="112" t="s">
        <v>9</v>
      </c>
    </row>
    <row r="1030" spans="1:29" x14ac:dyDescent="0.25">
      <c r="A1030" s="331">
        <v>45923</v>
      </c>
      <c r="B1030" s="5">
        <v>6</v>
      </c>
      <c r="D1030" s="5" t="s">
        <v>192</v>
      </c>
      <c r="E1030" s="6">
        <v>2.57</v>
      </c>
      <c r="G1030" s="7">
        <v>2</v>
      </c>
      <c r="H1030" s="7">
        <v>2</v>
      </c>
      <c r="J1030" s="8">
        <v>0.74</v>
      </c>
      <c r="L1030" s="5" t="s">
        <v>145</v>
      </c>
      <c r="N1030" s="56">
        <v>37</v>
      </c>
      <c r="O1030" s="61" t="s">
        <v>192</v>
      </c>
      <c r="P1030" s="61" t="s">
        <v>278</v>
      </c>
      <c r="Q1030" s="61" t="s">
        <v>279</v>
      </c>
      <c r="R1030" s="61" t="s">
        <v>685</v>
      </c>
      <c r="S1030" s="218">
        <v>72</v>
      </c>
      <c r="T1030" s="61" t="s">
        <v>41</v>
      </c>
      <c r="U1030" s="61" t="s">
        <v>43</v>
      </c>
      <c r="V1030" s="63" t="s">
        <v>20</v>
      </c>
      <c r="W1030" s="51">
        <v>0.32</v>
      </c>
      <c r="X1030" s="6" t="s">
        <v>53</v>
      </c>
      <c r="Y1030" s="6" t="s">
        <v>353</v>
      </c>
      <c r="Z1030" s="5" t="s">
        <v>22</v>
      </c>
      <c r="AA1030" s="112" t="s">
        <v>9</v>
      </c>
    </row>
    <row r="1031" spans="1:29" x14ac:dyDescent="0.25">
      <c r="A1031" s="331">
        <v>45923</v>
      </c>
      <c r="B1031" s="5">
        <v>6</v>
      </c>
      <c r="D1031" s="5" t="s">
        <v>192</v>
      </c>
      <c r="E1031" s="6">
        <v>2.57</v>
      </c>
      <c r="G1031" s="7">
        <v>2</v>
      </c>
      <c r="H1031" s="7">
        <v>2</v>
      </c>
      <c r="J1031" s="8">
        <v>0.74</v>
      </c>
      <c r="L1031" s="5" t="s">
        <v>145</v>
      </c>
      <c r="N1031" s="56">
        <v>37</v>
      </c>
      <c r="O1031" s="61" t="s">
        <v>192</v>
      </c>
      <c r="P1031" s="61" t="s">
        <v>411</v>
      </c>
      <c r="Q1031" s="61" t="s">
        <v>412</v>
      </c>
      <c r="R1031" s="61" t="s">
        <v>699</v>
      </c>
      <c r="S1031" s="218">
        <v>62</v>
      </c>
      <c r="T1031" s="61" t="s">
        <v>47</v>
      </c>
      <c r="U1031" s="61" t="s">
        <v>45</v>
      </c>
      <c r="V1031" s="63" t="s">
        <v>20</v>
      </c>
      <c r="W1031" s="51">
        <v>0.09</v>
      </c>
      <c r="X1031" s="6" t="s">
        <v>53</v>
      </c>
      <c r="Y1031" s="6" t="s">
        <v>353</v>
      </c>
      <c r="Z1031" s="5" t="s">
        <v>52</v>
      </c>
      <c r="AA1031" s="112" t="s">
        <v>9</v>
      </c>
    </row>
    <row r="1032" spans="1:29" x14ac:dyDescent="0.25">
      <c r="A1032" s="331">
        <v>45923</v>
      </c>
      <c r="B1032" s="5">
        <v>6</v>
      </c>
      <c r="D1032" s="5" t="s">
        <v>192</v>
      </c>
      <c r="E1032" s="6">
        <v>2.57</v>
      </c>
      <c r="G1032" s="7">
        <v>2</v>
      </c>
      <c r="H1032" s="7">
        <v>2</v>
      </c>
      <c r="J1032" s="8">
        <v>0.74</v>
      </c>
      <c r="L1032" s="5" t="s">
        <v>145</v>
      </c>
      <c r="N1032" s="56">
        <v>39</v>
      </c>
      <c r="O1032" s="61" t="s">
        <v>192</v>
      </c>
      <c r="P1032" s="61" t="s">
        <v>194</v>
      </c>
      <c r="Q1032" s="61" t="s">
        <v>195</v>
      </c>
      <c r="R1032" s="61" t="s">
        <v>712</v>
      </c>
      <c r="S1032" s="218">
        <v>79</v>
      </c>
      <c r="T1032" s="61" t="s">
        <v>41</v>
      </c>
      <c r="U1032" s="61" t="s">
        <v>45</v>
      </c>
      <c r="V1032" s="63" t="s">
        <v>20</v>
      </c>
      <c r="W1032" s="51">
        <v>0.03</v>
      </c>
      <c r="X1032" s="6" t="s">
        <v>53</v>
      </c>
      <c r="Z1032" s="5" t="s">
        <v>55</v>
      </c>
      <c r="AA1032" s="112" t="s">
        <v>9</v>
      </c>
    </row>
    <row r="1033" spans="1:29" x14ac:dyDescent="0.25">
      <c r="A1033" s="331">
        <v>45923</v>
      </c>
      <c r="B1033" s="5">
        <v>6</v>
      </c>
      <c r="D1033" s="5" t="s">
        <v>192</v>
      </c>
      <c r="E1033" s="6">
        <v>2.57</v>
      </c>
      <c r="G1033" s="7">
        <v>2</v>
      </c>
      <c r="H1033" s="7">
        <v>2</v>
      </c>
      <c r="J1033" s="8">
        <v>0.74</v>
      </c>
      <c r="L1033" s="5" t="s">
        <v>145</v>
      </c>
      <c r="N1033" s="56">
        <v>41</v>
      </c>
      <c r="O1033" s="61" t="s">
        <v>192</v>
      </c>
      <c r="P1033" s="61" t="s">
        <v>280</v>
      </c>
      <c r="Q1033" s="61" t="s">
        <v>281</v>
      </c>
      <c r="R1033" s="61" t="s">
        <v>686</v>
      </c>
      <c r="S1033" s="218">
        <v>60</v>
      </c>
      <c r="T1033" s="61" t="s">
        <v>41</v>
      </c>
      <c r="U1033" s="61" t="s">
        <v>42</v>
      </c>
      <c r="V1033" s="63" t="s">
        <v>10</v>
      </c>
      <c r="W1033" s="51">
        <v>0.02</v>
      </c>
      <c r="X1033" s="6">
        <v>0.12</v>
      </c>
      <c r="Z1033" s="5" t="s">
        <v>48</v>
      </c>
      <c r="AA1033" s="112" t="s">
        <v>9</v>
      </c>
    </row>
    <row r="1034" spans="1:29" x14ac:dyDescent="0.25">
      <c r="A1034" s="331">
        <v>45923</v>
      </c>
      <c r="B1034" s="5">
        <v>6</v>
      </c>
      <c r="D1034" s="5" t="s">
        <v>192</v>
      </c>
      <c r="E1034" s="6">
        <v>2.57</v>
      </c>
      <c r="G1034" s="7">
        <v>2</v>
      </c>
      <c r="H1034" s="7">
        <v>2</v>
      </c>
      <c r="J1034" s="8">
        <v>0.74</v>
      </c>
      <c r="L1034" s="5" t="s">
        <v>145</v>
      </c>
      <c r="N1034" s="56">
        <v>45</v>
      </c>
      <c r="O1034" s="61" t="s">
        <v>192</v>
      </c>
      <c r="P1034" s="61" t="s">
        <v>194</v>
      </c>
      <c r="Q1034" s="61" t="s">
        <v>195</v>
      </c>
      <c r="R1034" s="61" t="s">
        <v>712</v>
      </c>
      <c r="S1034" s="218">
        <v>79</v>
      </c>
      <c r="T1034" s="61" t="s">
        <v>41</v>
      </c>
      <c r="U1034" s="61" t="s">
        <v>45</v>
      </c>
      <c r="V1034" s="63" t="s">
        <v>20</v>
      </c>
      <c r="W1034" s="51">
        <v>0.03</v>
      </c>
      <c r="X1034" s="6" t="s">
        <v>53</v>
      </c>
      <c r="Z1034" s="5" t="s">
        <v>55</v>
      </c>
      <c r="AA1034" s="112" t="s">
        <v>9</v>
      </c>
    </row>
    <row r="1035" spans="1:29" x14ac:dyDescent="0.25">
      <c r="A1035" s="331">
        <v>45923</v>
      </c>
      <c r="B1035" s="5">
        <v>6</v>
      </c>
      <c r="D1035" s="5" t="s">
        <v>192</v>
      </c>
      <c r="E1035" s="6">
        <v>2.57</v>
      </c>
      <c r="G1035" s="7">
        <v>2</v>
      </c>
      <c r="H1035" s="7">
        <v>2</v>
      </c>
      <c r="J1035" s="8">
        <v>0.74</v>
      </c>
      <c r="L1035" s="5" t="s">
        <v>145</v>
      </c>
      <c r="N1035" s="56">
        <v>59</v>
      </c>
      <c r="O1035" s="61" t="s">
        <v>192</v>
      </c>
      <c r="P1035" s="61" t="s">
        <v>194</v>
      </c>
      <c r="Q1035" s="61" t="s">
        <v>195</v>
      </c>
      <c r="R1035" s="61" t="s">
        <v>712</v>
      </c>
      <c r="S1035" s="218">
        <v>79</v>
      </c>
      <c r="T1035" s="61" t="s">
        <v>47</v>
      </c>
      <c r="U1035" s="61" t="s">
        <v>45</v>
      </c>
      <c r="V1035" s="63" t="s">
        <v>20</v>
      </c>
      <c r="W1035" s="51">
        <v>0.16</v>
      </c>
      <c r="X1035" s="6">
        <v>0.65</v>
      </c>
      <c r="Z1035" s="5" t="s">
        <v>8</v>
      </c>
      <c r="AA1035" s="112" t="s">
        <v>51</v>
      </c>
      <c r="AB1035" s="108" t="s">
        <v>276</v>
      </c>
      <c r="AC1035" s="57" t="s">
        <v>277</v>
      </c>
    </row>
    <row r="1036" spans="1:29" x14ac:dyDescent="0.25">
      <c r="A1036" s="331">
        <v>45923</v>
      </c>
      <c r="B1036" s="5">
        <v>6</v>
      </c>
      <c r="D1036" s="5" t="s">
        <v>192</v>
      </c>
      <c r="E1036" s="6">
        <v>2.57</v>
      </c>
      <c r="G1036" s="7">
        <v>2</v>
      </c>
      <c r="H1036" s="7">
        <v>2</v>
      </c>
      <c r="J1036" s="8">
        <v>0.74</v>
      </c>
      <c r="L1036" s="5" t="s">
        <v>145</v>
      </c>
      <c r="N1036" s="56">
        <v>62</v>
      </c>
      <c r="O1036" s="26" t="s">
        <v>145</v>
      </c>
      <c r="P1036" s="26" t="s">
        <v>147</v>
      </c>
      <c r="Q1036" s="26" t="s">
        <v>148</v>
      </c>
      <c r="R1036" s="26" t="s">
        <v>684</v>
      </c>
      <c r="S1036" s="213">
        <v>80</v>
      </c>
      <c r="T1036" s="26" t="s">
        <v>41</v>
      </c>
      <c r="U1036" s="26" t="s">
        <v>45</v>
      </c>
      <c r="V1036" s="43" t="s">
        <v>20</v>
      </c>
      <c r="W1036" s="51">
        <v>0.19</v>
      </c>
      <c r="X1036" s="6">
        <v>0.44</v>
      </c>
      <c r="Y1036" s="6" t="s">
        <v>353</v>
      </c>
      <c r="Z1036" s="5" t="s">
        <v>8</v>
      </c>
      <c r="AA1036" s="112" t="s">
        <v>67</v>
      </c>
      <c r="AB1036" s="108" t="s">
        <v>667</v>
      </c>
      <c r="AC1036" s="57" t="s">
        <v>668</v>
      </c>
    </row>
    <row r="1037" spans="1:29" x14ac:dyDescent="0.25">
      <c r="A1037" s="331">
        <v>45923</v>
      </c>
      <c r="B1037" s="5">
        <v>6</v>
      </c>
      <c r="D1037" s="5" t="s">
        <v>192</v>
      </c>
      <c r="E1037" s="6">
        <v>2.57</v>
      </c>
      <c r="G1037" s="7">
        <v>2</v>
      </c>
      <c r="H1037" s="7">
        <v>2</v>
      </c>
      <c r="J1037" s="8">
        <v>0.74</v>
      </c>
      <c r="L1037" s="5" t="s">
        <v>145</v>
      </c>
      <c r="N1037" s="56">
        <v>66</v>
      </c>
      <c r="O1037" s="61" t="s">
        <v>192</v>
      </c>
      <c r="P1037" s="61" t="s">
        <v>280</v>
      </c>
      <c r="Q1037" s="61" t="s">
        <v>281</v>
      </c>
      <c r="R1037" s="61" t="s">
        <v>686</v>
      </c>
      <c r="S1037" s="218">
        <v>60</v>
      </c>
      <c r="T1037" s="61" t="s">
        <v>41</v>
      </c>
      <c r="U1037" s="61" t="s">
        <v>43</v>
      </c>
      <c r="V1037" s="63" t="s">
        <v>10</v>
      </c>
      <c r="W1037" s="51">
        <v>0.16</v>
      </c>
      <c r="X1037" s="6" t="s">
        <v>53</v>
      </c>
      <c r="Z1037" s="5" t="s">
        <v>52</v>
      </c>
      <c r="AA1037" s="112" t="s">
        <v>67</v>
      </c>
    </row>
    <row r="1038" spans="1:29" x14ac:dyDescent="0.25">
      <c r="A1038" s="331">
        <v>45923</v>
      </c>
      <c r="B1038" s="5">
        <v>6</v>
      </c>
      <c r="D1038" s="5" t="s">
        <v>192</v>
      </c>
      <c r="E1038" s="6">
        <v>2.57</v>
      </c>
      <c r="G1038" s="7">
        <v>2</v>
      </c>
      <c r="H1038" s="7">
        <v>2</v>
      </c>
      <c r="J1038" s="8">
        <v>0.74</v>
      </c>
      <c r="L1038" s="5" t="s">
        <v>145</v>
      </c>
      <c r="N1038" s="56">
        <v>66</v>
      </c>
      <c r="O1038" s="61" t="s">
        <v>192</v>
      </c>
      <c r="P1038" s="61" t="s">
        <v>410</v>
      </c>
      <c r="Q1038" s="61" t="s">
        <v>361</v>
      </c>
      <c r="R1038" s="61" t="s">
        <v>696</v>
      </c>
      <c r="S1038" s="218">
        <v>76</v>
      </c>
      <c r="T1038" s="61" t="s">
        <v>47</v>
      </c>
      <c r="U1038" s="61" t="s">
        <v>43</v>
      </c>
      <c r="V1038" s="63" t="s">
        <v>540</v>
      </c>
      <c r="W1038" s="51">
        <v>0.11</v>
      </c>
      <c r="X1038" s="6" t="s">
        <v>53</v>
      </c>
      <c r="Z1038" s="5" t="s">
        <v>52</v>
      </c>
      <c r="AA1038" s="112" t="s">
        <v>67</v>
      </c>
    </row>
    <row r="1039" spans="1:29" x14ac:dyDescent="0.25">
      <c r="A1039" s="331">
        <v>45923</v>
      </c>
      <c r="B1039" s="5">
        <v>6</v>
      </c>
      <c r="D1039" s="5" t="s">
        <v>192</v>
      </c>
      <c r="E1039" s="6">
        <v>2.57</v>
      </c>
      <c r="G1039" s="7">
        <v>2</v>
      </c>
      <c r="H1039" s="7">
        <v>2</v>
      </c>
      <c r="J1039" s="8">
        <v>0.74</v>
      </c>
      <c r="L1039" s="5" t="s">
        <v>145</v>
      </c>
      <c r="N1039" s="56">
        <v>69</v>
      </c>
      <c r="O1039" s="61" t="s">
        <v>192</v>
      </c>
      <c r="P1039" s="61" t="s">
        <v>276</v>
      </c>
      <c r="Q1039" s="61" t="s">
        <v>277</v>
      </c>
      <c r="R1039" s="61" t="s">
        <v>687</v>
      </c>
      <c r="S1039" s="218">
        <v>73</v>
      </c>
      <c r="T1039" s="61" t="s">
        <v>44</v>
      </c>
      <c r="U1039" s="61" t="s">
        <v>42</v>
      </c>
      <c r="V1039" s="63" t="s">
        <v>540</v>
      </c>
      <c r="W1039" s="51">
        <v>0.02</v>
      </c>
      <c r="X1039" s="6">
        <v>0.11</v>
      </c>
      <c r="Z1039" s="5" t="s">
        <v>48</v>
      </c>
      <c r="AA1039" s="112" t="s">
        <v>67</v>
      </c>
    </row>
    <row r="1040" spans="1:29" x14ac:dyDescent="0.25">
      <c r="A1040" s="331">
        <v>45923</v>
      </c>
      <c r="B1040" s="5">
        <v>6</v>
      </c>
      <c r="D1040" s="5" t="s">
        <v>192</v>
      </c>
      <c r="E1040" s="6">
        <v>2.57</v>
      </c>
      <c r="G1040" s="7">
        <v>2</v>
      </c>
      <c r="H1040" s="7">
        <v>2</v>
      </c>
      <c r="J1040" s="8">
        <v>0.74</v>
      </c>
      <c r="L1040" s="5" t="s">
        <v>145</v>
      </c>
      <c r="N1040" s="56">
        <v>69</v>
      </c>
      <c r="O1040" s="61" t="s">
        <v>192</v>
      </c>
      <c r="P1040" s="61" t="s">
        <v>276</v>
      </c>
      <c r="Q1040" s="61" t="s">
        <v>277</v>
      </c>
      <c r="R1040" s="61" t="s">
        <v>687</v>
      </c>
      <c r="S1040" s="218">
        <v>73</v>
      </c>
      <c r="T1040" s="61" t="s">
        <v>44</v>
      </c>
      <c r="U1040" s="61" t="s">
        <v>42</v>
      </c>
      <c r="V1040" s="63" t="s">
        <v>10</v>
      </c>
      <c r="W1040" s="51">
        <v>0.06</v>
      </c>
      <c r="X1040" s="6">
        <v>0.11</v>
      </c>
      <c r="Z1040" s="5" t="s">
        <v>48</v>
      </c>
      <c r="AA1040" s="112" t="s">
        <v>67</v>
      </c>
    </row>
    <row r="1041" spans="1:29" x14ac:dyDescent="0.25">
      <c r="A1041" s="331">
        <v>45923</v>
      </c>
      <c r="B1041" s="5">
        <v>6</v>
      </c>
      <c r="D1041" s="5" t="s">
        <v>192</v>
      </c>
      <c r="E1041" s="6">
        <v>2.57</v>
      </c>
      <c r="G1041" s="7">
        <v>2</v>
      </c>
      <c r="H1041" s="7">
        <v>2</v>
      </c>
      <c r="J1041" s="8">
        <v>0.74</v>
      </c>
      <c r="L1041" s="5" t="s">
        <v>145</v>
      </c>
      <c r="N1041" s="56">
        <v>77</v>
      </c>
      <c r="O1041" s="61" t="s">
        <v>192</v>
      </c>
      <c r="P1041" s="61" t="s">
        <v>196</v>
      </c>
      <c r="Q1041" s="61" t="s">
        <v>75</v>
      </c>
      <c r="R1041" s="61" t="s">
        <v>684</v>
      </c>
      <c r="S1041" s="218">
        <v>68</v>
      </c>
      <c r="T1041" s="61" t="s">
        <v>41</v>
      </c>
      <c r="U1041" s="61" t="s">
        <v>43</v>
      </c>
      <c r="V1041" s="63" t="s">
        <v>10</v>
      </c>
      <c r="W1041" s="51">
        <v>0.31</v>
      </c>
      <c r="X1041" s="6" t="s">
        <v>53</v>
      </c>
      <c r="Y1041" s="6" t="s">
        <v>353</v>
      </c>
      <c r="Z1041" s="5" t="s">
        <v>22</v>
      </c>
      <c r="AA1041" s="112" t="s">
        <v>67</v>
      </c>
    </row>
    <row r="1042" spans="1:29" x14ac:dyDescent="0.25">
      <c r="A1042" s="331">
        <v>45923</v>
      </c>
      <c r="B1042" s="5">
        <v>6</v>
      </c>
      <c r="D1042" s="5" t="s">
        <v>192</v>
      </c>
      <c r="E1042" s="6">
        <v>2.57</v>
      </c>
      <c r="G1042" s="7">
        <v>2</v>
      </c>
      <c r="H1042" s="7">
        <v>2</v>
      </c>
      <c r="J1042" s="8">
        <v>0.74</v>
      </c>
      <c r="L1042" s="5" t="s">
        <v>145</v>
      </c>
      <c r="N1042" s="56">
        <v>85</v>
      </c>
      <c r="O1042" s="61" t="s">
        <v>192</v>
      </c>
      <c r="P1042" s="61" t="s">
        <v>276</v>
      </c>
      <c r="Q1042" s="61" t="s">
        <v>277</v>
      </c>
      <c r="R1042" s="61" t="s">
        <v>687</v>
      </c>
      <c r="S1042" s="218">
        <v>73</v>
      </c>
      <c r="T1042" s="61" t="s">
        <v>47</v>
      </c>
      <c r="U1042" s="61" t="s">
        <v>42</v>
      </c>
      <c r="V1042" s="63" t="s">
        <v>10</v>
      </c>
      <c r="W1042" s="51">
        <v>0.24</v>
      </c>
      <c r="X1042" s="6" t="s">
        <v>53</v>
      </c>
      <c r="Y1042" s="6" t="s">
        <v>353</v>
      </c>
      <c r="Z1042" s="5" t="s">
        <v>13</v>
      </c>
      <c r="AA1042" s="112" t="s">
        <v>67</v>
      </c>
    </row>
    <row r="1043" spans="1:29" x14ac:dyDescent="0.25">
      <c r="A1043" s="331">
        <v>45923</v>
      </c>
      <c r="B1043" s="5">
        <v>6</v>
      </c>
      <c r="D1043" s="5" t="s">
        <v>192</v>
      </c>
      <c r="E1043" s="6">
        <v>2.57</v>
      </c>
      <c r="G1043" s="7">
        <v>2</v>
      </c>
      <c r="H1043" s="7">
        <v>2</v>
      </c>
      <c r="J1043" s="8">
        <v>0.74</v>
      </c>
      <c r="L1043" s="5" t="s">
        <v>145</v>
      </c>
      <c r="N1043" s="56" t="s">
        <v>35</v>
      </c>
      <c r="O1043" s="61" t="s">
        <v>192</v>
      </c>
      <c r="P1043" s="61" t="s">
        <v>278</v>
      </c>
      <c r="Q1043" s="61" t="s">
        <v>279</v>
      </c>
      <c r="R1043" s="61" t="s">
        <v>685</v>
      </c>
      <c r="S1043" s="218">
        <v>72</v>
      </c>
      <c r="T1043" s="61" t="s">
        <v>41</v>
      </c>
      <c r="U1043" s="61" t="s">
        <v>43</v>
      </c>
      <c r="V1043" s="63" t="s">
        <v>10</v>
      </c>
      <c r="W1043" s="51">
        <v>0.54</v>
      </c>
      <c r="X1043" s="6">
        <v>0.48</v>
      </c>
      <c r="Y1043" s="6" t="s">
        <v>353</v>
      </c>
      <c r="Z1043" s="5" t="s">
        <v>48</v>
      </c>
      <c r="AA1043" s="112" t="s">
        <v>67</v>
      </c>
    </row>
    <row r="1044" spans="1:29" ht="15.75" thickBot="1" x14ac:dyDescent="0.3">
      <c r="A1044" s="330">
        <v>45923</v>
      </c>
      <c r="B1044" s="9">
        <v>6</v>
      </c>
      <c r="C1044" s="122"/>
      <c r="D1044" s="9" t="s">
        <v>192</v>
      </c>
      <c r="E1044" s="10">
        <v>2.57</v>
      </c>
      <c r="F1044" s="10"/>
      <c r="G1044" s="11">
        <v>2</v>
      </c>
      <c r="H1044" s="11">
        <v>2</v>
      </c>
      <c r="I1044" s="11"/>
      <c r="J1044" s="12">
        <v>0.74</v>
      </c>
      <c r="K1044" s="122"/>
      <c r="L1044" s="9" t="s">
        <v>145</v>
      </c>
      <c r="M1044" s="45"/>
      <c r="N1044" s="97" t="s">
        <v>57</v>
      </c>
      <c r="O1044" s="66" t="s">
        <v>192</v>
      </c>
      <c r="P1044" s="66" t="s">
        <v>278</v>
      </c>
      <c r="Q1044" s="66" t="s">
        <v>279</v>
      </c>
      <c r="R1044" s="66" t="s">
        <v>685</v>
      </c>
      <c r="S1044" s="219">
        <v>72</v>
      </c>
      <c r="T1044" s="66" t="s">
        <v>47</v>
      </c>
      <c r="U1044" s="66" t="s">
        <v>45</v>
      </c>
      <c r="V1044" s="67" t="s">
        <v>33</v>
      </c>
      <c r="W1044" s="52">
        <v>0.17</v>
      </c>
      <c r="X1044" s="10">
        <v>0.8</v>
      </c>
      <c r="Y1044" s="10" t="s">
        <v>353</v>
      </c>
      <c r="Z1044" s="9" t="s">
        <v>8</v>
      </c>
      <c r="AA1044" s="113" t="s">
        <v>189</v>
      </c>
      <c r="AB1044" s="109" t="s">
        <v>410</v>
      </c>
      <c r="AC1044" s="58" t="s">
        <v>361</v>
      </c>
    </row>
    <row r="1045" spans="1:29" ht="15.75" thickBot="1" x14ac:dyDescent="0.3">
      <c r="A1045" s="326">
        <v>45923</v>
      </c>
      <c r="B1045" s="207">
        <v>6</v>
      </c>
      <c r="C1045" s="208"/>
      <c r="D1045" s="207" t="s">
        <v>192</v>
      </c>
      <c r="E1045" s="209">
        <v>2.57</v>
      </c>
      <c r="F1045" s="209"/>
      <c r="G1045" s="210">
        <v>2</v>
      </c>
      <c r="H1045" s="210">
        <v>2</v>
      </c>
      <c r="I1045" s="210"/>
      <c r="J1045" s="211">
        <v>0.74</v>
      </c>
      <c r="K1045" s="208"/>
      <c r="L1045" s="207" t="s">
        <v>145</v>
      </c>
      <c r="M1045" s="235"/>
      <c r="N1045" s="198"/>
      <c r="O1045" s="199" t="s">
        <v>192</v>
      </c>
      <c r="P1045" s="199" t="s">
        <v>723</v>
      </c>
      <c r="Q1045" s="199" t="s">
        <v>724</v>
      </c>
      <c r="R1045" s="199" t="s">
        <v>707</v>
      </c>
      <c r="S1045" s="200">
        <v>65</v>
      </c>
      <c r="T1045" s="199"/>
      <c r="U1045" s="199"/>
      <c r="V1045" s="201"/>
      <c r="W1045" s="202"/>
      <c r="X1045" s="203"/>
      <c r="Y1045" s="203">
        <v>2</v>
      </c>
      <c r="Z1045" s="199"/>
      <c r="AA1045" s="204"/>
      <c r="AB1045" s="205"/>
      <c r="AC1045" s="201"/>
    </row>
    <row r="1046" spans="1:29" ht="15.75" thickBot="1" x14ac:dyDescent="0.3">
      <c r="A1046" s="326">
        <v>45923</v>
      </c>
      <c r="B1046" s="207">
        <v>6</v>
      </c>
      <c r="C1046" s="208"/>
      <c r="D1046" s="207" t="s">
        <v>192</v>
      </c>
      <c r="E1046" s="209">
        <v>2.57</v>
      </c>
      <c r="F1046" s="209"/>
      <c r="G1046" s="210">
        <v>2</v>
      </c>
      <c r="H1046" s="210">
        <v>2</v>
      </c>
      <c r="I1046" s="210"/>
      <c r="J1046" s="211">
        <v>0.74</v>
      </c>
      <c r="K1046" s="208"/>
      <c r="L1046" s="207" t="s">
        <v>145</v>
      </c>
      <c r="M1046" s="235"/>
      <c r="N1046" s="198"/>
      <c r="O1046" s="199" t="s">
        <v>145</v>
      </c>
      <c r="P1046" s="199" t="s">
        <v>482</v>
      </c>
      <c r="Q1046" s="199" t="s">
        <v>483</v>
      </c>
      <c r="R1046" s="199" t="s">
        <v>707</v>
      </c>
      <c r="S1046" s="200">
        <v>86</v>
      </c>
      <c r="T1046" s="199"/>
      <c r="U1046" s="199"/>
      <c r="V1046" s="201"/>
      <c r="W1046" s="202"/>
      <c r="X1046" s="203"/>
      <c r="Y1046" s="203">
        <v>2</v>
      </c>
      <c r="Z1046" s="199"/>
      <c r="AA1046" s="204"/>
      <c r="AB1046" s="205"/>
      <c r="AC1046" s="201"/>
    </row>
    <row r="1047" spans="1:29" x14ac:dyDescent="0.25">
      <c r="A1047" s="331">
        <v>45934</v>
      </c>
      <c r="B1047" s="13">
        <v>8</v>
      </c>
      <c r="C1047" s="124" t="s">
        <v>700</v>
      </c>
      <c r="D1047" s="13" t="s">
        <v>69</v>
      </c>
      <c r="E1047" s="14">
        <v>1.02</v>
      </c>
      <c r="F1047" s="14"/>
      <c r="G1047" s="15">
        <v>2</v>
      </c>
      <c r="H1047" s="15">
        <v>1</v>
      </c>
      <c r="I1047" s="15"/>
      <c r="J1047" s="16">
        <v>1.1399999999999999</v>
      </c>
      <c r="K1047" s="124" t="s">
        <v>694</v>
      </c>
      <c r="L1047" s="13" t="s">
        <v>145</v>
      </c>
      <c r="M1047" s="5" t="s">
        <v>557</v>
      </c>
      <c r="N1047" s="98">
        <v>3</v>
      </c>
      <c r="O1047" s="70" t="s">
        <v>69</v>
      </c>
      <c r="P1047" s="70" t="s">
        <v>53</v>
      </c>
      <c r="Q1047" s="70" t="s">
        <v>324</v>
      </c>
      <c r="R1047" s="70" t="s">
        <v>685</v>
      </c>
      <c r="S1047" s="227">
        <v>64</v>
      </c>
      <c r="T1047" s="70" t="s">
        <v>41</v>
      </c>
      <c r="U1047" s="70" t="s">
        <v>42</v>
      </c>
      <c r="V1047" s="71" t="s">
        <v>10</v>
      </c>
      <c r="W1047" s="54">
        <v>0.25</v>
      </c>
      <c r="X1047" s="14">
        <v>0.54</v>
      </c>
      <c r="Y1047" s="14" t="s">
        <v>353</v>
      </c>
      <c r="Z1047" s="13" t="s">
        <v>48</v>
      </c>
      <c r="AA1047" s="115" t="s">
        <v>28</v>
      </c>
      <c r="AB1047" s="110"/>
      <c r="AC1047" s="60"/>
    </row>
    <row r="1048" spans="1:29" x14ac:dyDescent="0.25">
      <c r="A1048" s="329">
        <v>45934</v>
      </c>
      <c r="B1048" s="5">
        <v>8</v>
      </c>
      <c r="D1048" s="5" t="s">
        <v>69</v>
      </c>
      <c r="E1048" s="6">
        <v>1.02</v>
      </c>
      <c r="G1048" s="7">
        <v>2</v>
      </c>
      <c r="H1048" s="7">
        <v>1</v>
      </c>
      <c r="J1048" s="8">
        <v>1.1399999999999999</v>
      </c>
      <c r="L1048" s="5" t="s">
        <v>145</v>
      </c>
      <c r="M1048" s="5" t="s">
        <v>557</v>
      </c>
      <c r="N1048" s="56">
        <v>18</v>
      </c>
      <c r="O1048" s="61" t="s">
        <v>69</v>
      </c>
      <c r="P1048" s="61" t="s">
        <v>389</v>
      </c>
      <c r="Q1048" s="61" t="s">
        <v>390</v>
      </c>
      <c r="R1048" s="61" t="s">
        <v>684</v>
      </c>
      <c r="S1048" s="218">
        <v>75</v>
      </c>
      <c r="T1048" s="61" t="s">
        <v>44</v>
      </c>
      <c r="U1048" s="61" t="s">
        <v>42</v>
      </c>
      <c r="V1048" s="63" t="s">
        <v>540</v>
      </c>
      <c r="W1048" s="51">
        <v>0.09</v>
      </c>
      <c r="X1048" s="6">
        <v>0.72</v>
      </c>
      <c r="Z1048" s="5" t="s">
        <v>8</v>
      </c>
      <c r="AA1048" s="112" t="s">
        <v>19</v>
      </c>
    </row>
    <row r="1049" spans="1:29" x14ac:dyDescent="0.25">
      <c r="A1049" s="329">
        <v>45934</v>
      </c>
      <c r="B1049" s="5">
        <v>8</v>
      </c>
      <c r="D1049" s="5" t="s">
        <v>69</v>
      </c>
      <c r="E1049" s="6">
        <v>1.02</v>
      </c>
      <c r="G1049" s="7">
        <v>2</v>
      </c>
      <c r="H1049" s="7">
        <v>1</v>
      </c>
      <c r="J1049" s="8">
        <v>1.1399999999999999</v>
      </c>
      <c r="L1049" s="5" t="s">
        <v>145</v>
      </c>
      <c r="M1049" s="5" t="s">
        <v>557</v>
      </c>
      <c r="N1049" s="56">
        <v>32</v>
      </c>
      <c r="O1049" s="26" t="s">
        <v>145</v>
      </c>
      <c r="P1049" s="26" t="s">
        <v>306</v>
      </c>
      <c r="Q1049" s="26" t="s">
        <v>307</v>
      </c>
      <c r="R1049" s="26" t="s">
        <v>688</v>
      </c>
      <c r="S1049" s="213">
        <v>71</v>
      </c>
      <c r="T1049" s="26" t="s">
        <v>44</v>
      </c>
      <c r="U1049" s="26" t="s">
        <v>43</v>
      </c>
      <c r="V1049" s="43" t="s">
        <v>29</v>
      </c>
      <c r="W1049" s="51">
        <v>0.08</v>
      </c>
      <c r="X1049" s="6">
        <v>0.12</v>
      </c>
      <c r="Z1049" s="5" t="s">
        <v>48</v>
      </c>
      <c r="AA1049" s="112" t="s">
        <v>19</v>
      </c>
    </row>
    <row r="1050" spans="1:29" x14ac:dyDescent="0.25">
      <c r="A1050" s="329">
        <v>45934</v>
      </c>
      <c r="B1050" s="5">
        <v>8</v>
      </c>
      <c r="D1050" s="5" t="s">
        <v>69</v>
      </c>
      <c r="E1050" s="6">
        <v>1.02</v>
      </c>
      <c r="G1050" s="7">
        <v>2</v>
      </c>
      <c r="H1050" s="7">
        <v>1</v>
      </c>
      <c r="J1050" s="8">
        <v>1.1399999999999999</v>
      </c>
      <c r="L1050" s="5" t="s">
        <v>145</v>
      </c>
      <c r="M1050" s="5" t="s">
        <v>557</v>
      </c>
      <c r="N1050" s="56">
        <v>42</v>
      </c>
      <c r="O1050" s="26" t="s">
        <v>145</v>
      </c>
      <c r="P1050" s="26" t="s">
        <v>271</v>
      </c>
      <c r="Q1050" s="26" t="s">
        <v>272</v>
      </c>
      <c r="R1050" s="26" t="s">
        <v>718</v>
      </c>
      <c r="S1050" s="213">
        <v>67</v>
      </c>
      <c r="T1050" s="26" t="s">
        <v>41</v>
      </c>
      <c r="U1050" s="26" t="s">
        <v>43</v>
      </c>
      <c r="V1050" s="43" t="s">
        <v>18</v>
      </c>
      <c r="W1050" s="51">
        <v>0.04</v>
      </c>
      <c r="X1050" s="6" t="s">
        <v>53</v>
      </c>
      <c r="Z1050" s="5" t="s">
        <v>16</v>
      </c>
      <c r="AA1050" s="112" t="s">
        <v>19</v>
      </c>
    </row>
    <row r="1051" spans="1:29" x14ac:dyDescent="0.25">
      <c r="A1051" s="329">
        <v>45934</v>
      </c>
      <c r="B1051" s="5">
        <v>8</v>
      </c>
      <c r="D1051" s="5" t="s">
        <v>69</v>
      </c>
      <c r="E1051" s="6">
        <v>1.02</v>
      </c>
      <c r="G1051" s="7">
        <v>2</v>
      </c>
      <c r="H1051" s="7">
        <v>1</v>
      </c>
      <c r="J1051" s="8">
        <v>1.1399999999999999</v>
      </c>
      <c r="L1051" s="5" t="s">
        <v>145</v>
      </c>
      <c r="M1051" s="5" t="s">
        <v>557</v>
      </c>
      <c r="N1051" s="56" t="s">
        <v>122</v>
      </c>
      <c r="O1051" s="26" t="s">
        <v>145</v>
      </c>
      <c r="P1051" s="26" t="s">
        <v>53</v>
      </c>
      <c r="Q1051" s="26" t="s">
        <v>554</v>
      </c>
      <c r="R1051" s="26" t="s">
        <v>695</v>
      </c>
      <c r="S1051" s="213">
        <v>70</v>
      </c>
      <c r="T1051" s="26" t="s">
        <v>44</v>
      </c>
      <c r="U1051" s="26" t="s">
        <v>42</v>
      </c>
      <c r="V1051" s="43" t="s">
        <v>15</v>
      </c>
      <c r="W1051" s="51">
        <v>0.1</v>
      </c>
      <c r="X1051" s="6" t="s">
        <v>53</v>
      </c>
      <c r="Z1051" s="5" t="s">
        <v>13</v>
      </c>
      <c r="AA1051" s="112" t="s">
        <v>19</v>
      </c>
    </row>
    <row r="1052" spans="1:29" x14ac:dyDescent="0.25">
      <c r="A1052" s="329">
        <v>45934</v>
      </c>
      <c r="B1052" s="5">
        <v>8</v>
      </c>
      <c r="D1052" s="5" t="s">
        <v>69</v>
      </c>
      <c r="E1052" s="6">
        <v>1.02</v>
      </c>
      <c r="G1052" s="7">
        <v>2</v>
      </c>
      <c r="H1052" s="7">
        <v>1</v>
      </c>
      <c r="J1052" s="8">
        <v>1.1399999999999999</v>
      </c>
      <c r="L1052" s="5" t="s">
        <v>145</v>
      </c>
      <c r="M1052" s="5" t="s">
        <v>557</v>
      </c>
      <c r="N1052" s="56">
        <v>55</v>
      </c>
      <c r="O1052" s="26" t="s">
        <v>145</v>
      </c>
      <c r="P1052" s="26" t="s">
        <v>149</v>
      </c>
      <c r="Q1052" s="26" t="s">
        <v>150</v>
      </c>
      <c r="R1052" s="26" t="s">
        <v>685</v>
      </c>
      <c r="S1052" s="213">
        <v>71</v>
      </c>
      <c r="T1052" s="26" t="s">
        <v>44</v>
      </c>
      <c r="U1052" s="26" t="s">
        <v>43</v>
      </c>
      <c r="V1052" s="43" t="s">
        <v>10</v>
      </c>
      <c r="W1052" s="51">
        <v>0.03</v>
      </c>
      <c r="X1052" s="6" t="s">
        <v>53</v>
      </c>
      <c r="Z1052" s="5" t="s">
        <v>17</v>
      </c>
      <c r="AA1052" s="112" t="s">
        <v>19</v>
      </c>
    </row>
    <row r="1053" spans="1:29" x14ac:dyDescent="0.25">
      <c r="A1053" s="329">
        <v>45934</v>
      </c>
      <c r="B1053" s="5">
        <v>8</v>
      </c>
      <c r="D1053" s="5" t="s">
        <v>69</v>
      </c>
      <c r="E1053" s="6">
        <v>1.02</v>
      </c>
      <c r="G1053" s="7">
        <v>2</v>
      </c>
      <c r="H1053" s="7">
        <v>1</v>
      </c>
      <c r="J1053" s="8">
        <v>1.1399999999999999</v>
      </c>
      <c r="L1053" s="5" t="s">
        <v>145</v>
      </c>
      <c r="M1053" s="5" t="s">
        <v>557</v>
      </c>
      <c r="N1053" s="56">
        <v>57</v>
      </c>
      <c r="O1053" s="26" t="s">
        <v>145</v>
      </c>
      <c r="P1053" s="26" t="s">
        <v>149</v>
      </c>
      <c r="Q1053" s="26" t="s">
        <v>150</v>
      </c>
      <c r="R1053" s="26" t="s">
        <v>685</v>
      </c>
      <c r="S1053" s="213">
        <v>71</v>
      </c>
      <c r="T1053" s="26" t="s">
        <v>47</v>
      </c>
      <c r="U1053" s="26" t="s">
        <v>42</v>
      </c>
      <c r="V1053" s="43" t="s">
        <v>10</v>
      </c>
      <c r="W1053" s="51">
        <v>0.24</v>
      </c>
      <c r="X1053" s="6">
        <v>0.21</v>
      </c>
      <c r="Y1053" s="6" t="s">
        <v>353</v>
      </c>
      <c r="Z1053" s="5" t="s">
        <v>8</v>
      </c>
      <c r="AA1053" s="112" t="s">
        <v>51</v>
      </c>
      <c r="AB1053" s="108" t="s">
        <v>271</v>
      </c>
      <c r="AC1053" s="57" t="s">
        <v>272</v>
      </c>
    </row>
    <row r="1054" spans="1:29" x14ac:dyDescent="0.25">
      <c r="A1054" s="329">
        <v>45934</v>
      </c>
      <c r="B1054" s="5">
        <v>8</v>
      </c>
      <c r="D1054" s="5" t="s">
        <v>69</v>
      </c>
      <c r="E1054" s="6">
        <v>1.02</v>
      </c>
      <c r="G1054" s="7">
        <v>2</v>
      </c>
      <c r="H1054" s="7">
        <v>1</v>
      </c>
      <c r="J1054" s="8">
        <v>1.1399999999999999</v>
      </c>
      <c r="L1054" s="5" t="s">
        <v>145</v>
      </c>
      <c r="M1054" s="5" t="s">
        <v>557</v>
      </c>
      <c r="N1054" s="56">
        <v>60</v>
      </c>
      <c r="O1054" s="26" t="s">
        <v>145</v>
      </c>
      <c r="P1054" s="26" t="s">
        <v>555</v>
      </c>
      <c r="Q1054" s="26" t="s">
        <v>556</v>
      </c>
      <c r="R1054" s="26" t="s">
        <v>713</v>
      </c>
      <c r="S1054" s="213">
        <v>62</v>
      </c>
      <c r="T1054" s="26" t="s">
        <v>41</v>
      </c>
      <c r="U1054" s="26" t="s">
        <v>43</v>
      </c>
      <c r="V1054" s="43" t="s">
        <v>20</v>
      </c>
      <c r="W1054" s="51">
        <v>0.03</v>
      </c>
      <c r="X1054" s="6">
        <v>0.21</v>
      </c>
      <c r="Z1054" s="5" t="s">
        <v>48</v>
      </c>
      <c r="AA1054" s="112" t="s">
        <v>51</v>
      </c>
    </row>
    <row r="1055" spans="1:29" x14ac:dyDescent="0.25">
      <c r="A1055" s="329">
        <v>45934</v>
      </c>
      <c r="B1055" s="5">
        <v>8</v>
      </c>
      <c r="D1055" s="5" t="s">
        <v>69</v>
      </c>
      <c r="E1055" s="6">
        <v>1.02</v>
      </c>
      <c r="G1055" s="7">
        <v>2</v>
      </c>
      <c r="H1055" s="7">
        <v>1</v>
      </c>
      <c r="J1055" s="8">
        <v>1.1399999999999999</v>
      </c>
      <c r="L1055" s="5" t="s">
        <v>145</v>
      </c>
      <c r="M1055" s="5" t="s">
        <v>557</v>
      </c>
      <c r="N1055" s="56">
        <v>61</v>
      </c>
      <c r="O1055" s="26" t="s">
        <v>145</v>
      </c>
      <c r="P1055" s="26" t="s">
        <v>151</v>
      </c>
      <c r="Q1055" s="26" t="s">
        <v>152</v>
      </c>
      <c r="R1055" s="26" t="s">
        <v>696</v>
      </c>
      <c r="S1055" s="213">
        <v>63</v>
      </c>
      <c r="T1055" s="26" t="s">
        <v>41</v>
      </c>
      <c r="U1055" s="26" t="s">
        <v>42</v>
      </c>
      <c r="V1055" s="43" t="s">
        <v>20</v>
      </c>
      <c r="W1055" s="51">
        <v>0.09</v>
      </c>
      <c r="X1055" s="6" t="s">
        <v>53</v>
      </c>
      <c r="Y1055" s="6" t="s">
        <v>353</v>
      </c>
      <c r="Z1055" s="5" t="s">
        <v>13</v>
      </c>
      <c r="AA1055" s="112" t="s">
        <v>51</v>
      </c>
    </row>
    <row r="1056" spans="1:29" x14ac:dyDescent="0.25">
      <c r="A1056" s="329">
        <v>45934</v>
      </c>
      <c r="B1056" s="5">
        <v>8</v>
      </c>
      <c r="D1056" s="5" t="s">
        <v>69</v>
      </c>
      <c r="E1056" s="6">
        <v>1.02</v>
      </c>
      <c r="G1056" s="7">
        <v>2</v>
      </c>
      <c r="H1056" s="7">
        <v>1</v>
      </c>
      <c r="J1056" s="8">
        <v>1.1399999999999999</v>
      </c>
      <c r="L1056" s="5" t="s">
        <v>145</v>
      </c>
      <c r="M1056" s="5" t="s">
        <v>557</v>
      </c>
      <c r="N1056" s="56">
        <v>63</v>
      </c>
      <c r="O1056" s="61" t="s">
        <v>69</v>
      </c>
      <c r="P1056" s="61" t="s">
        <v>389</v>
      </c>
      <c r="Q1056" s="61" t="s">
        <v>390</v>
      </c>
      <c r="R1056" s="61" t="s">
        <v>684</v>
      </c>
      <c r="S1056" s="218">
        <v>75</v>
      </c>
      <c r="T1056" s="61" t="s">
        <v>47</v>
      </c>
      <c r="U1056" s="61" t="s">
        <v>43</v>
      </c>
      <c r="V1056" s="63" t="s">
        <v>33</v>
      </c>
      <c r="W1056" s="51">
        <v>0.51</v>
      </c>
      <c r="X1056" s="6">
        <v>0.25</v>
      </c>
      <c r="Y1056" s="6" t="s">
        <v>353</v>
      </c>
      <c r="Z1056" s="5" t="s">
        <v>48</v>
      </c>
      <c r="AA1056" s="112" t="s">
        <v>51</v>
      </c>
    </row>
    <row r="1057" spans="1:29" x14ac:dyDescent="0.25">
      <c r="A1057" s="329">
        <v>45934</v>
      </c>
      <c r="B1057" s="5">
        <v>8</v>
      </c>
      <c r="D1057" s="5" t="s">
        <v>69</v>
      </c>
      <c r="E1057" s="6">
        <v>1.02</v>
      </c>
      <c r="G1057" s="7">
        <v>2</v>
      </c>
      <c r="H1057" s="7">
        <v>1</v>
      </c>
      <c r="J1057" s="8">
        <v>1.1399999999999999</v>
      </c>
      <c r="L1057" s="5" t="s">
        <v>145</v>
      </c>
      <c r="M1057" s="5" t="s">
        <v>557</v>
      </c>
      <c r="N1057" s="56">
        <v>63</v>
      </c>
      <c r="O1057" s="61" t="s">
        <v>69</v>
      </c>
      <c r="P1057" s="61" t="s">
        <v>553</v>
      </c>
      <c r="Q1057" s="61" t="s">
        <v>131</v>
      </c>
      <c r="R1057" s="61" t="s">
        <v>689</v>
      </c>
      <c r="S1057" s="218">
        <v>76</v>
      </c>
      <c r="T1057" s="61" t="s">
        <v>47</v>
      </c>
      <c r="U1057" s="61" t="s">
        <v>42</v>
      </c>
      <c r="V1057" s="63" t="s">
        <v>33</v>
      </c>
      <c r="W1057" s="51">
        <v>0.31</v>
      </c>
      <c r="X1057" s="6">
        <v>0.86</v>
      </c>
      <c r="Y1057" s="6" t="s">
        <v>353</v>
      </c>
      <c r="Z1057" s="5" t="s">
        <v>8</v>
      </c>
      <c r="AA1057" s="112" t="s">
        <v>34</v>
      </c>
    </row>
    <row r="1058" spans="1:29" x14ac:dyDescent="0.25">
      <c r="A1058" s="329">
        <v>45934</v>
      </c>
      <c r="B1058" s="5">
        <v>8</v>
      </c>
      <c r="D1058" s="5" t="s">
        <v>69</v>
      </c>
      <c r="E1058" s="6">
        <v>1.02</v>
      </c>
      <c r="G1058" s="7">
        <v>2</v>
      </c>
      <c r="H1058" s="7">
        <v>1</v>
      </c>
      <c r="J1058" s="8">
        <v>1.1399999999999999</v>
      </c>
      <c r="L1058" s="5" t="s">
        <v>145</v>
      </c>
      <c r="M1058" s="5" t="s">
        <v>557</v>
      </c>
      <c r="N1058" s="56">
        <v>79</v>
      </c>
      <c r="O1058" s="26" t="s">
        <v>145</v>
      </c>
      <c r="P1058" s="26" t="s">
        <v>453</v>
      </c>
      <c r="Q1058" s="26" t="s">
        <v>454</v>
      </c>
      <c r="R1058" s="26" t="s">
        <v>696</v>
      </c>
      <c r="S1058" s="213">
        <v>69</v>
      </c>
      <c r="T1058" s="26" t="s">
        <v>41</v>
      </c>
      <c r="U1058" s="26" t="s">
        <v>42</v>
      </c>
      <c r="V1058" s="43" t="s">
        <v>10</v>
      </c>
      <c r="W1058" s="51">
        <v>0.08</v>
      </c>
      <c r="X1058" s="6">
        <v>0.22</v>
      </c>
      <c r="Z1058" s="5" t="s">
        <v>48</v>
      </c>
      <c r="AA1058" s="112" t="s">
        <v>34</v>
      </c>
    </row>
    <row r="1059" spans="1:29" x14ac:dyDescent="0.25">
      <c r="A1059" s="329">
        <v>45934</v>
      </c>
      <c r="B1059" s="5">
        <v>8</v>
      </c>
      <c r="D1059" s="5" t="s">
        <v>69</v>
      </c>
      <c r="E1059" s="6">
        <v>1.02</v>
      </c>
      <c r="G1059" s="7">
        <v>2</v>
      </c>
      <c r="H1059" s="7">
        <v>1</v>
      </c>
      <c r="J1059" s="8">
        <v>1.1399999999999999</v>
      </c>
      <c r="L1059" s="5" t="s">
        <v>145</v>
      </c>
      <c r="M1059" s="5" t="s">
        <v>557</v>
      </c>
      <c r="N1059" s="56">
        <v>79</v>
      </c>
      <c r="O1059" s="26" t="s">
        <v>145</v>
      </c>
      <c r="P1059" s="26" t="s">
        <v>151</v>
      </c>
      <c r="Q1059" s="26" t="s">
        <v>152</v>
      </c>
      <c r="R1059" s="26" t="s">
        <v>696</v>
      </c>
      <c r="S1059" s="213">
        <v>63</v>
      </c>
      <c r="T1059" s="26" t="s">
        <v>47</v>
      </c>
      <c r="U1059" s="26" t="s">
        <v>43</v>
      </c>
      <c r="V1059" s="43" t="s">
        <v>20</v>
      </c>
      <c r="W1059" s="51">
        <v>0.18</v>
      </c>
      <c r="X1059" s="6" t="s">
        <v>53</v>
      </c>
      <c r="Y1059" s="6" t="s">
        <v>353</v>
      </c>
      <c r="Z1059" s="5" t="s">
        <v>52</v>
      </c>
      <c r="AA1059" s="112" t="s">
        <v>34</v>
      </c>
    </row>
    <row r="1060" spans="1:29" ht="15.75" thickBot="1" x14ac:dyDescent="0.3">
      <c r="A1060" s="330">
        <v>45934</v>
      </c>
      <c r="B1060" s="9">
        <v>8</v>
      </c>
      <c r="C1060" s="122"/>
      <c r="D1060" s="9" t="s">
        <v>69</v>
      </c>
      <c r="E1060" s="10">
        <v>1.02</v>
      </c>
      <c r="F1060" s="10"/>
      <c r="G1060" s="11">
        <v>2</v>
      </c>
      <c r="H1060" s="11">
        <v>1</v>
      </c>
      <c r="I1060" s="11"/>
      <c r="J1060" s="12">
        <v>1.1399999999999999</v>
      </c>
      <c r="K1060" s="122"/>
      <c r="L1060" s="9" t="s">
        <v>145</v>
      </c>
      <c r="M1060" s="9" t="s">
        <v>557</v>
      </c>
      <c r="N1060" s="97">
        <v>85</v>
      </c>
      <c r="O1060" s="74" t="s">
        <v>145</v>
      </c>
      <c r="P1060" s="74" t="s">
        <v>453</v>
      </c>
      <c r="Q1060" s="74" t="s">
        <v>454</v>
      </c>
      <c r="R1060" s="74" t="s">
        <v>696</v>
      </c>
      <c r="S1060" s="221">
        <v>69</v>
      </c>
      <c r="T1060" s="74" t="s">
        <v>354</v>
      </c>
      <c r="U1060" s="74" t="s">
        <v>42</v>
      </c>
      <c r="V1060" s="76" t="s">
        <v>20</v>
      </c>
      <c r="W1060" s="52">
        <v>0.2</v>
      </c>
      <c r="X1060" s="10" t="s">
        <v>53</v>
      </c>
      <c r="Y1060" s="10"/>
      <c r="Z1060" s="9" t="s">
        <v>22</v>
      </c>
      <c r="AA1060" s="113" t="s">
        <v>34</v>
      </c>
      <c r="AB1060" s="109"/>
      <c r="AC1060" s="58"/>
    </row>
    <row r="1061" spans="1:29" ht="15.75" thickBot="1" x14ac:dyDescent="0.3">
      <c r="A1061" s="326">
        <v>45934</v>
      </c>
      <c r="B1061" s="207">
        <v>8</v>
      </c>
      <c r="C1061" s="208"/>
      <c r="D1061" s="207" t="s">
        <v>69</v>
      </c>
      <c r="E1061" s="209">
        <v>1.02</v>
      </c>
      <c r="F1061" s="209"/>
      <c r="G1061" s="210">
        <v>2</v>
      </c>
      <c r="H1061" s="210">
        <v>1</v>
      </c>
      <c r="I1061" s="210"/>
      <c r="J1061" s="211">
        <v>1.1399999999999999</v>
      </c>
      <c r="K1061" s="208"/>
      <c r="L1061" s="207" t="s">
        <v>145</v>
      </c>
      <c r="M1061" s="235"/>
      <c r="N1061" s="198"/>
      <c r="O1061" s="199" t="s">
        <v>69</v>
      </c>
      <c r="P1061" s="199" t="s">
        <v>478</v>
      </c>
      <c r="Q1061" s="199" t="s">
        <v>479</v>
      </c>
      <c r="R1061" s="199" t="s">
        <v>707</v>
      </c>
      <c r="S1061" s="200">
        <v>80</v>
      </c>
      <c r="T1061" s="199"/>
      <c r="U1061" s="199"/>
      <c r="V1061" s="201"/>
      <c r="W1061" s="202"/>
      <c r="X1061" s="203"/>
      <c r="Y1061" s="203">
        <v>1</v>
      </c>
      <c r="Z1061" s="199"/>
      <c r="AA1061" s="204"/>
      <c r="AB1061" s="205"/>
      <c r="AC1061" s="201"/>
    </row>
    <row r="1062" spans="1:29" ht="15.75" thickBot="1" x14ac:dyDescent="0.3">
      <c r="A1062" s="326">
        <v>45934</v>
      </c>
      <c r="B1062" s="207">
        <v>8</v>
      </c>
      <c r="C1062" s="208"/>
      <c r="D1062" s="207" t="s">
        <v>69</v>
      </c>
      <c r="E1062" s="209">
        <v>1.02</v>
      </c>
      <c r="F1062" s="209"/>
      <c r="G1062" s="210">
        <v>2</v>
      </c>
      <c r="H1062" s="210">
        <v>1</v>
      </c>
      <c r="I1062" s="210"/>
      <c r="J1062" s="211">
        <v>1.1399999999999999</v>
      </c>
      <c r="K1062" s="208"/>
      <c r="L1062" s="207" t="s">
        <v>145</v>
      </c>
      <c r="M1062" s="235"/>
      <c r="N1062" s="198"/>
      <c r="O1062" s="199" t="s">
        <v>145</v>
      </c>
      <c r="P1062" s="199" t="s">
        <v>482</v>
      </c>
      <c r="Q1062" s="199" t="s">
        <v>483</v>
      </c>
      <c r="R1062" s="199" t="s">
        <v>707</v>
      </c>
      <c r="S1062" s="200">
        <v>72</v>
      </c>
      <c r="T1062" s="199"/>
      <c r="U1062" s="199"/>
      <c r="V1062" s="201"/>
      <c r="W1062" s="202"/>
      <c r="X1062" s="203"/>
      <c r="Y1062" s="203">
        <v>2</v>
      </c>
      <c r="Z1062" s="199"/>
      <c r="AA1062" s="204"/>
      <c r="AB1062" s="205"/>
      <c r="AC1062" s="201"/>
    </row>
    <row r="1063" spans="1:29" x14ac:dyDescent="0.25">
      <c r="A1063" s="332"/>
      <c r="B1063" s="237"/>
      <c r="C1063" s="238"/>
      <c r="D1063" s="237"/>
      <c r="E1063" s="239"/>
      <c r="F1063" s="239"/>
      <c r="G1063" s="240"/>
      <c r="H1063" s="240"/>
      <c r="I1063" s="240"/>
      <c r="J1063" s="241"/>
      <c r="K1063" s="238"/>
      <c r="L1063" s="237"/>
      <c r="M1063" s="242"/>
      <c r="N1063" s="243"/>
      <c r="O1063" s="237"/>
      <c r="P1063" s="237"/>
      <c r="Q1063" s="237"/>
      <c r="R1063" s="237"/>
      <c r="S1063" s="240"/>
      <c r="T1063" s="237"/>
      <c r="U1063" s="237"/>
      <c r="V1063" s="244"/>
      <c r="W1063" s="245"/>
      <c r="X1063" s="239"/>
      <c r="Y1063" s="239" t="s">
        <v>741</v>
      </c>
      <c r="Z1063" s="237"/>
      <c r="AA1063" s="246"/>
      <c r="AB1063" s="247"/>
      <c r="AC1063" s="244"/>
    </row>
  </sheetData>
  <autoFilter ref="A1:AC1063" xr:uid="{253DC5B8-6CA1-4D72-AA46-59BCFE3EC16D}"/>
  <conditionalFormatting sqref="S1:S14 S17:S24 S27:S42 S45:S59">
    <cfRule type="cellIs" dxfId="1000" priority="1046" operator="between">
      <formula>80</formula>
      <formula>110</formula>
    </cfRule>
    <cfRule type="cellIs" dxfId="999" priority="1047" operator="between">
      <formula>70</formula>
      <formula>79</formula>
    </cfRule>
    <cfRule type="cellIs" dxfId="998" priority="1048" operator="between">
      <formula>65</formula>
      <formula>69</formula>
    </cfRule>
    <cfRule type="cellIs" dxfId="997" priority="1049" operator="between">
      <formula>10</formula>
      <formula>64</formula>
    </cfRule>
  </conditionalFormatting>
  <conditionalFormatting sqref="S15:S16">
    <cfRule type="cellIs" dxfId="996" priority="1038" operator="between">
      <formula>80</formula>
      <formula>105</formula>
    </cfRule>
    <cfRule type="cellIs" dxfId="995" priority="1039" operator="between">
      <formula>70</formula>
      <formula>79</formula>
    </cfRule>
    <cfRule type="cellIs" dxfId="994" priority="1040" operator="between">
      <formula>65</formula>
      <formula>69</formula>
    </cfRule>
    <cfRule type="cellIs" dxfId="993" priority="1041" operator="between">
      <formula>10</formula>
      <formula>64</formula>
    </cfRule>
  </conditionalFormatting>
  <conditionalFormatting sqref="S25:S26">
    <cfRule type="cellIs" dxfId="992" priority="1027" operator="between">
      <formula>80</formula>
      <formula>105</formula>
    </cfRule>
    <cfRule type="cellIs" dxfId="991" priority="1028" operator="between">
      <formula>70</formula>
      <formula>79</formula>
    </cfRule>
    <cfRule type="cellIs" dxfId="990" priority="1029" operator="between">
      <formula>65</formula>
      <formula>69</formula>
    </cfRule>
    <cfRule type="cellIs" dxfId="989" priority="1030" operator="between">
      <formula>10</formula>
      <formula>64</formula>
    </cfRule>
  </conditionalFormatting>
  <conditionalFormatting sqref="S43:S44">
    <cfRule type="cellIs" dxfId="988" priority="1016" operator="between">
      <formula>80</formula>
      <formula>105</formula>
    </cfRule>
    <cfRule type="cellIs" dxfId="987" priority="1017" operator="between">
      <formula>70</formula>
      <formula>79</formula>
    </cfRule>
    <cfRule type="cellIs" dxfId="986" priority="1018" operator="between">
      <formula>65</formula>
      <formula>69</formula>
    </cfRule>
    <cfRule type="cellIs" dxfId="985" priority="1019" operator="between">
      <formula>10</formula>
      <formula>64</formula>
    </cfRule>
  </conditionalFormatting>
  <conditionalFormatting sqref="S60:S61">
    <cfRule type="cellIs" dxfId="984" priority="1005" operator="between">
      <formula>80</formula>
      <formula>105</formula>
    </cfRule>
    <cfRule type="cellIs" dxfId="983" priority="1006" operator="between">
      <formula>70</formula>
      <formula>79</formula>
    </cfRule>
    <cfRule type="cellIs" dxfId="982" priority="1007" operator="between">
      <formula>65</formula>
      <formula>69</formula>
    </cfRule>
    <cfRule type="cellIs" dxfId="981" priority="1008" operator="between">
      <formula>10</formula>
      <formula>64</formula>
    </cfRule>
  </conditionalFormatting>
  <conditionalFormatting sqref="S62:S72 S75:S87 S90:S100">
    <cfRule type="cellIs" dxfId="980" priority="991" operator="between">
      <formula>80</formula>
      <formula>110</formula>
    </cfRule>
    <cfRule type="cellIs" dxfId="979" priority="992" operator="between">
      <formula>70</formula>
      <formula>79</formula>
    </cfRule>
    <cfRule type="cellIs" dxfId="978" priority="993" operator="between">
      <formula>65</formula>
      <formula>69</formula>
    </cfRule>
    <cfRule type="cellIs" dxfId="977" priority="994" operator="between">
      <formula>10</formula>
      <formula>64</formula>
    </cfRule>
  </conditionalFormatting>
  <conditionalFormatting sqref="S73:S74">
    <cfRule type="cellIs" dxfId="976" priority="983" operator="between">
      <formula>80</formula>
      <formula>105</formula>
    </cfRule>
    <cfRule type="cellIs" dxfId="975" priority="984" operator="between">
      <formula>70</formula>
      <formula>79</formula>
    </cfRule>
    <cfRule type="cellIs" dxfId="974" priority="985" operator="between">
      <formula>65</formula>
      <formula>69</formula>
    </cfRule>
    <cfRule type="cellIs" dxfId="973" priority="986" operator="between">
      <formula>10</formula>
      <formula>64</formula>
    </cfRule>
  </conditionalFormatting>
  <conditionalFormatting sqref="S88:S89">
    <cfRule type="cellIs" dxfId="972" priority="972" operator="between">
      <formula>80</formula>
      <formula>105</formula>
    </cfRule>
    <cfRule type="cellIs" dxfId="971" priority="973" operator="between">
      <formula>70</formula>
      <formula>79</formula>
    </cfRule>
    <cfRule type="cellIs" dxfId="970" priority="974" operator="between">
      <formula>65</formula>
      <formula>69</formula>
    </cfRule>
    <cfRule type="cellIs" dxfId="969" priority="975" operator="between">
      <formula>10</formula>
      <formula>64</formula>
    </cfRule>
  </conditionalFormatting>
  <conditionalFormatting sqref="S101:S102">
    <cfRule type="cellIs" dxfId="968" priority="961" operator="between">
      <formula>80</formula>
      <formula>105</formula>
    </cfRule>
    <cfRule type="cellIs" dxfId="967" priority="962" operator="between">
      <formula>70</formula>
      <formula>79</formula>
    </cfRule>
    <cfRule type="cellIs" dxfId="966" priority="963" operator="between">
      <formula>65</formula>
      <formula>69</formula>
    </cfRule>
    <cfRule type="cellIs" dxfId="965" priority="964" operator="between">
      <formula>10</formula>
      <formula>64</formula>
    </cfRule>
  </conditionalFormatting>
  <conditionalFormatting sqref="S103:S112 S115:S121 S124:S136 S139:S153">
    <cfRule type="cellIs" dxfId="964" priority="947" operator="between">
      <formula>80</formula>
      <formula>110</formula>
    </cfRule>
    <cfRule type="cellIs" dxfId="963" priority="948" operator="between">
      <formula>70</formula>
      <formula>79</formula>
    </cfRule>
    <cfRule type="cellIs" dxfId="962" priority="949" operator="between">
      <formula>65</formula>
      <formula>69</formula>
    </cfRule>
    <cfRule type="cellIs" dxfId="961" priority="950" operator="between">
      <formula>10</formula>
      <formula>64</formula>
    </cfRule>
  </conditionalFormatting>
  <conditionalFormatting sqref="S113:S114">
    <cfRule type="cellIs" dxfId="960" priority="939" operator="between">
      <formula>80</formula>
      <formula>105</formula>
    </cfRule>
    <cfRule type="cellIs" dxfId="959" priority="940" operator="between">
      <formula>70</formula>
      <formula>79</formula>
    </cfRule>
    <cfRule type="cellIs" dxfId="958" priority="941" operator="between">
      <formula>65</formula>
      <formula>69</formula>
    </cfRule>
    <cfRule type="cellIs" dxfId="957" priority="942" operator="between">
      <formula>10</formula>
      <formula>64</formula>
    </cfRule>
  </conditionalFormatting>
  <conditionalFormatting sqref="S122:S123">
    <cfRule type="cellIs" dxfId="956" priority="928" operator="between">
      <formula>80</formula>
      <formula>105</formula>
    </cfRule>
    <cfRule type="cellIs" dxfId="955" priority="929" operator="between">
      <formula>70</formula>
      <formula>79</formula>
    </cfRule>
    <cfRule type="cellIs" dxfId="954" priority="930" operator="between">
      <formula>65</formula>
      <formula>69</formula>
    </cfRule>
    <cfRule type="cellIs" dxfId="953" priority="931" operator="between">
      <formula>10</formula>
      <formula>64</formula>
    </cfRule>
  </conditionalFormatting>
  <conditionalFormatting sqref="S137:S138">
    <cfRule type="cellIs" dxfId="952" priority="917" operator="between">
      <formula>80</formula>
      <formula>105</formula>
    </cfRule>
    <cfRule type="cellIs" dxfId="951" priority="918" operator="between">
      <formula>70</formula>
      <formula>79</formula>
    </cfRule>
    <cfRule type="cellIs" dxfId="950" priority="919" operator="between">
      <formula>65</formula>
      <formula>69</formula>
    </cfRule>
    <cfRule type="cellIs" dxfId="949" priority="920" operator="between">
      <formula>10</formula>
      <formula>64</formula>
    </cfRule>
  </conditionalFormatting>
  <conditionalFormatting sqref="S154:S155">
    <cfRule type="cellIs" dxfId="948" priority="906" operator="between">
      <formula>80</formula>
      <formula>105</formula>
    </cfRule>
    <cfRule type="cellIs" dxfId="947" priority="907" operator="between">
      <formula>70</formula>
      <formula>79</formula>
    </cfRule>
    <cfRule type="cellIs" dxfId="946" priority="908" operator="between">
      <formula>65</formula>
      <formula>69</formula>
    </cfRule>
    <cfRule type="cellIs" dxfId="945" priority="909" operator="between">
      <formula>10</formula>
      <formula>64</formula>
    </cfRule>
  </conditionalFormatting>
  <conditionalFormatting sqref="S156:S164 S167:S180 S183:S193 S196:S205">
    <cfRule type="cellIs" dxfId="944" priority="892" operator="between">
      <formula>80</formula>
      <formula>110</formula>
    </cfRule>
    <cfRule type="cellIs" dxfId="943" priority="893" operator="between">
      <formula>70</formula>
      <formula>79</formula>
    </cfRule>
    <cfRule type="cellIs" dxfId="942" priority="894" operator="between">
      <formula>65</formula>
      <formula>69</formula>
    </cfRule>
    <cfRule type="cellIs" dxfId="941" priority="895" operator="between">
      <formula>10</formula>
      <formula>64</formula>
    </cfRule>
  </conditionalFormatting>
  <conditionalFormatting sqref="S165:S166">
    <cfRule type="cellIs" dxfId="940" priority="884" operator="between">
      <formula>80</formula>
      <formula>105</formula>
    </cfRule>
    <cfRule type="cellIs" dxfId="939" priority="885" operator="between">
      <formula>70</formula>
      <formula>79</formula>
    </cfRule>
    <cfRule type="cellIs" dxfId="938" priority="886" operator="between">
      <formula>65</formula>
      <formula>69</formula>
    </cfRule>
    <cfRule type="cellIs" dxfId="937" priority="887" operator="between">
      <formula>10</formula>
      <formula>64</formula>
    </cfRule>
  </conditionalFormatting>
  <conditionalFormatting sqref="S181:S182">
    <cfRule type="cellIs" dxfId="936" priority="873" operator="between">
      <formula>80</formula>
      <formula>105</formula>
    </cfRule>
    <cfRule type="cellIs" dxfId="935" priority="874" operator="between">
      <formula>70</formula>
      <formula>79</formula>
    </cfRule>
    <cfRule type="cellIs" dxfId="934" priority="875" operator="between">
      <formula>65</formula>
      <formula>69</formula>
    </cfRule>
    <cfRule type="cellIs" dxfId="933" priority="876" operator="between">
      <formula>10</formula>
      <formula>64</formula>
    </cfRule>
  </conditionalFormatting>
  <conditionalFormatting sqref="S194:S195">
    <cfRule type="cellIs" dxfId="932" priority="862" operator="between">
      <formula>80</formula>
      <formula>105</formula>
    </cfRule>
    <cfRule type="cellIs" dxfId="931" priority="863" operator="between">
      <formula>70</formula>
      <formula>79</formula>
    </cfRule>
    <cfRule type="cellIs" dxfId="930" priority="864" operator="between">
      <formula>65</formula>
      <formula>69</formula>
    </cfRule>
    <cfRule type="cellIs" dxfId="929" priority="865" operator="between">
      <formula>10</formula>
      <formula>64</formula>
    </cfRule>
  </conditionalFormatting>
  <conditionalFormatting sqref="S206:S207">
    <cfRule type="cellIs" dxfId="928" priority="851" operator="between">
      <formula>80</formula>
      <formula>105</formula>
    </cfRule>
    <cfRule type="cellIs" dxfId="927" priority="852" operator="between">
      <formula>70</formula>
      <formula>79</formula>
    </cfRule>
    <cfRule type="cellIs" dxfId="926" priority="853" operator="between">
      <formula>65</formula>
      <formula>69</formula>
    </cfRule>
    <cfRule type="cellIs" dxfId="925" priority="854" operator="between">
      <formula>10</formula>
      <formula>64</formula>
    </cfRule>
  </conditionalFormatting>
  <conditionalFormatting sqref="S208:S221 S224:S234 S237:S247">
    <cfRule type="cellIs" dxfId="924" priority="837" operator="between">
      <formula>80</formula>
      <formula>110</formula>
    </cfRule>
    <cfRule type="cellIs" dxfId="923" priority="838" operator="between">
      <formula>70</formula>
      <formula>79</formula>
    </cfRule>
    <cfRule type="cellIs" dxfId="922" priority="839" operator="between">
      <formula>65</formula>
      <formula>69</formula>
    </cfRule>
    <cfRule type="cellIs" dxfId="921" priority="840" operator="between">
      <formula>10</formula>
      <formula>64</formula>
    </cfRule>
  </conditionalFormatting>
  <conditionalFormatting sqref="S222:S223">
    <cfRule type="cellIs" dxfId="920" priority="829" operator="between">
      <formula>80</formula>
      <formula>105</formula>
    </cfRule>
    <cfRule type="cellIs" dxfId="919" priority="830" operator="between">
      <formula>70</formula>
      <formula>79</formula>
    </cfRule>
    <cfRule type="cellIs" dxfId="918" priority="831" operator="between">
      <formula>65</formula>
      <formula>69</formula>
    </cfRule>
    <cfRule type="cellIs" dxfId="917" priority="832" operator="between">
      <formula>10</formula>
      <formula>64</formula>
    </cfRule>
  </conditionalFormatting>
  <conditionalFormatting sqref="S235:S236">
    <cfRule type="cellIs" dxfId="916" priority="818" operator="between">
      <formula>80</formula>
      <formula>105</formula>
    </cfRule>
    <cfRule type="cellIs" dxfId="915" priority="819" operator="between">
      <formula>70</formula>
      <formula>79</formula>
    </cfRule>
    <cfRule type="cellIs" dxfId="914" priority="820" operator="between">
      <formula>65</formula>
      <formula>69</formula>
    </cfRule>
    <cfRule type="cellIs" dxfId="913" priority="821" operator="between">
      <formula>10</formula>
      <formula>64</formula>
    </cfRule>
  </conditionalFormatting>
  <conditionalFormatting sqref="S248:S249">
    <cfRule type="cellIs" dxfId="912" priority="807" operator="between">
      <formula>80</formula>
      <formula>105</formula>
    </cfRule>
    <cfRule type="cellIs" dxfId="911" priority="808" operator="between">
      <formula>70</formula>
      <formula>79</formula>
    </cfRule>
    <cfRule type="cellIs" dxfId="910" priority="809" operator="between">
      <formula>65</formula>
      <formula>69</formula>
    </cfRule>
    <cfRule type="cellIs" dxfId="909" priority="810" operator="between">
      <formula>10</formula>
      <formula>64</formula>
    </cfRule>
  </conditionalFormatting>
  <conditionalFormatting sqref="S250:S258 S261:S276 S279:S288">
    <cfRule type="cellIs" dxfId="908" priority="793" operator="between">
      <formula>80</formula>
      <formula>110</formula>
    </cfRule>
    <cfRule type="cellIs" dxfId="907" priority="794" operator="between">
      <formula>70</formula>
      <formula>79</formula>
    </cfRule>
    <cfRule type="cellIs" dxfId="906" priority="795" operator="between">
      <formula>65</formula>
      <formula>69</formula>
    </cfRule>
    <cfRule type="cellIs" dxfId="905" priority="796" operator="between">
      <formula>10</formula>
      <formula>64</formula>
    </cfRule>
  </conditionalFormatting>
  <conditionalFormatting sqref="S259:S260">
    <cfRule type="cellIs" dxfId="904" priority="785" operator="between">
      <formula>80</formula>
      <formula>105</formula>
    </cfRule>
    <cfRule type="cellIs" dxfId="903" priority="786" operator="between">
      <formula>70</formula>
      <formula>79</formula>
    </cfRule>
    <cfRule type="cellIs" dxfId="902" priority="787" operator="between">
      <formula>65</formula>
      <formula>69</formula>
    </cfRule>
    <cfRule type="cellIs" dxfId="901" priority="788" operator="between">
      <formula>10</formula>
      <formula>64</formula>
    </cfRule>
  </conditionalFormatting>
  <conditionalFormatting sqref="S277:S278">
    <cfRule type="cellIs" dxfId="900" priority="774" operator="between">
      <formula>80</formula>
      <formula>105</formula>
    </cfRule>
    <cfRule type="cellIs" dxfId="899" priority="775" operator="between">
      <formula>70</formula>
      <formula>79</formula>
    </cfRule>
    <cfRule type="cellIs" dxfId="898" priority="776" operator="between">
      <formula>65</formula>
      <formula>69</formula>
    </cfRule>
    <cfRule type="cellIs" dxfId="897" priority="777" operator="between">
      <formula>10</formula>
      <formula>64</formula>
    </cfRule>
  </conditionalFormatting>
  <conditionalFormatting sqref="S289:S291">
    <cfRule type="cellIs" dxfId="896" priority="763" operator="between">
      <formula>80</formula>
      <formula>105</formula>
    </cfRule>
    <cfRule type="cellIs" dxfId="895" priority="764" operator="between">
      <formula>70</formula>
      <formula>79</formula>
    </cfRule>
    <cfRule type="cellIs" dxfId="894" priority="765" operator="between">
      <formula>65</formula>
      <formula>69</formula>
    </cfRule>
    <cfRule type="cellIs" dxfId="893" priority="766" operator="between">
      <formula>10</formula>
      <formula>64</formula>
    </cfRule>
  </conditionalFormatting>
  <conditionalFormatting sqref="S292:S308 S311:S319 S322:S339 S342:S356">
    <cfRule type="cellIs" dxfId="892" priority="749" operator="between">
      <formula>80</formula>
      <formula>110</formula>
    </cfRule>
    <cfRule type="cellIs" dxfId="891" priority="750" operator="between">
      <formula>70</formula>
      <formula>79</formula>
    </cfRule>
    <cfRule type="cellIs" dxfId="890" priority="751" operator="between">
      <formula>65</formula>
      <formula>69</formula>
    </cfRule>
    <cfRule type="cellIs" dxfId="889" priority="752" operator="between">
      <formula>10</formula>
      <formula>64</formula>
    </cfRule>
  </conditionalFormatting>
  <conditionalFormatting sqref="S309:S310">
    <cfRule type="cellIs" dxfId="888" priority="741" operator="between">
      <formula>80</formula>
      <formula>105</formula>
    </cfRule>
    <cfRule type="cellIs" dxfId="887" priority="742" operator="between">
      <formula>70</formula>
      <formula>79</formula>
    </cfRule>
    <cfRule type="cellIs" dxfId="886" priority="743" operator="between">
      <formula>65</formula>
      <formula>69</formula>
    </cfRule>
    <cfRule type="cellIs" dxfId="885" priority="744" operator="between">
      <formula>10</formula>
      <formula>64</formula>
    </cfRule>
  </conditionalFormatting>
  <conditionalFormatting sqref="S320:S321">
    <cfRule type="cellIs" dxfId="884" priority="730" operator="between">
      <formula>80</formula>
      <formula>105</formula>
    </cfRule>
    <cfRule type="cellIs" dxfId="883" priority="731" operator="between">
      <formula>70</formula>
      <formula>79</formula>
    </cfRule>
    <cfRule type="cellIs" dxfId="882" priority="732" operator="between">
      <formula>65</formula>
      <formula>69</formula>
    </cfRule>
    <cfRule type="cellIs" dxfId="881" priority="733" operator="between">
      <formula>10</formula>
      <formula>64</formula>
    </cfRule>
  </conditionalFormatting>
  <conditionalFormatting sqref="S340:S341">
    <cfRule type="cellIs" dxfId="880" priority="719" operator="between">
      <formula>80</formula>
      <formula>105</formula>
    </cfRule>
    <cfRule type="cellIs" dxfId="879" priority="720" operator="between">
      <formula>70</formula>
      <formula>79</formula>
    </cfRule>
    <cfRule type="cellIs" dxfId="878" priority="721" operator="between">
      <formula>65</formula>
      <formula>69</formula>
    </cfRule>
    <cfRule type="cellIs" dxfId="877" priority="722" operator="between">
      <formula>10</formula>
      <formula>64</formula>
    </cfRule>
  </conditionalFormatting>
  <conditionalFormatting sqref="S357:S358">
    <cfRule type="cellIs" dxfId="876" priority="708" operator="between">
      <formula>80</formula>
      <formula>105</formula>
    </cfRule>
    <cfRule type="cellIs" dxfId="875" priority="709" operator="between">
      <formula>70</formula>
      <formula>79</formula>
    </cfRule>
    <cfRule type="cellIs" dxfId="874" priority="710" operator="between">
      <formula>65</formula>
      <formula>69</formula>
    </cfRule>
    <cfRule type="cellIs" dxfId="873" priority="711" operator="between">
      <formula>10</formula>
      <formula>64</formula>
    </cfRule>
  </conditionalFormatting>
  <conditionalFormatting sqref="S359:S368 S371:S377 S380:S394 S397:S414">
    <cfRule type="cellIs" dxfId="872" priority="694" operator="between">
      <formula>80</formula>
      <formula>110</formula>
    </cfRule>
    <cfRule type="cellIs" dxfId="871" priority="695" operator="between">
      <formula>70</formula>
      <formula>79</formula>
    </cfRule>
    <cfRule type="cellIs" dxfId="870" priority="696" operator="between">
      <formula>65</formula>
      <formula>69</formula>
    </cfRule>
    <cfRule type="cellIs" dxfId="869" priority="697" operator="between">
      <formula>10</formula>
      <formula>64</formula>
    </cfRule>
  </conditionalFormatting>
  <conditionalFormatting sqref="S369:S370">
    <cfRule type="cellIs" dxfId="868" priority="686" operator="between">
      <formula>80</formula>
      <formula>105</formula>
    </cfRule>
    <cfRule type="cellIs" dxfId="867" priority="687" operator="between">
      <formula>70</formula>
      <formula>79</formula>
    </cfRule>
    <cfRule type="cellIs" dxfId="866" priority="688" operator="between">
      <formula>65</formula>
      <formula>69</formula>
    </cfRule>
    <cfRule type="cellIs" dxfId="865" priority="689" operator="between">
      <formula>10</formula>
      <formula>64</formula>
    </cfRule>
  </conditionalFormatting>
  <conditionalFormatting sqref="S378:S379">
    <cfRule type="cellIs" dxfId="864" priority="675" operator="between">
      <formula>80</formula>
      <formula>105</formula>
    </cfRule>
    <cfRule type="cellIs" dxfId="863" priority="676" operator="between">
      <formula>70</formula>
      <formula>79</formula>
    </cfRule>
    <cfRule type="cellIs" dxfId="862" priority="677" operator="between">
      <formula>65</formula>
      <formula>69</formula>
    </cfRule>
    <cfRule type="cellIs" dxfId="861" priority="678" operator="between">
      <formula>10</formula>
      <formula>64</formula>
    </cfRule>
  </conditionalFormatting>
  <conditionalFormatting sqref="S395:S396">
    <cfRule type="cellIs" dxfId="860" priority="664" operator="between">
      <formula>80</formula>
      <formula>105</formula>
    </cfRule>
    <cfRule type="cellIs" dxfId="859" priority="665" operator="between">
      <formula>70</formula>
      <formula>79</formula>
    </cfRule>
    <cfRule type="cellIs" dxfId="858" priority="666" operator="between">
      <formula>65</formula>
      <formula>69</formula>
    </cfRule>
    <cfRule type="cellIs" dxfId="857" priority="667" operator="between">
      <formula>10</formula>
      <formula>64</formula>
    </cfRule>
  </conditionalFormatting>
  <conditionalFormatting sqref="S415:S417">
    <cfRule type="cellIs" dxfId="856" priority="653" operator="between">
      <formula>80</formula>
      <formula>105</formula>
    </cfRule>
    <cfRule type="cellIs" dxfId="855" priority="654" operator="between">
      <formula>70</formula>
      <formula>79</formula>
    </cfRule>
    <cfRule type="cellIs" dxfId="854" priority="655" operator="between">
      <formula>65</formula>
      <formula>69</formula>
    </cfRule>
    <cfRule type="cellIs" dxfId="853" priority="656" operator="between">
      <formula>10</formula>
      <formula>64</formula>
    </cfRule>
  </conditionalFormatting>
  <conditionalFormatting sqref="S418:S423 S426:S433 S436:S453 S456:S465">
    <cfRule type="cellIs" dxfId="852" priority="639" operator="between">
      <formula>80</formula>
      <formula>110</formula>
    </cfRule>
    <cfRule type="cellIs" dxfId="851" priority="640" operator="between">
      <formula>70</formula>
      <formula>79</formula>
    </cfRule>
    <cfRule type="cellIs" dxfId="850" priority="641" operator="between">
      <formula>65</formula>
      <formula>69</formula>
    </cfRule>
    <cfRule type="cellIs" dxfId="849" priority="642" operator="between">
      <formula>10</formula>
      <formula>64</formula>
    </cfRule>
  </conditionalFormatting>
  <conditionalFormatting sqref="S424:S425">
    <cfRule type="cellIs" dxfId="848" priority="631" operator="between">
      <formula>80</formula>
      <formula>105</formula>
    </cfRule>
    <cfRule type="cellIs" dxfId="847" priority="632" operator="between">
      <formula>70</formula>
      <formula>79</formula>
    </cfRule>
    <cfRule type="cellIs" dxfId="846" priority="633" operator="between">
      <formula>65</formula>
      <formula>69</formula>
    </cfRule>
    <cfRule type="cellIs" dxfId="845" priority="634" operator="between">
      <formula>10</formula>
      <formula>64</formula>
    </cfRule>
  </conditionalFormatting>
  <conditionalFormatting sqref="S434:S435">
    <cfRule type="cellIs" dxfId="844" priority="620" operator="between">
      <formula>80</formula>
      <formula>105</formula>
    </cfRule>
    <cfRule type="cellIs" dxfId="843" priority="621" operator="between">
      <formula>70</formula>
      <formula>79</formula>
    </cfRule>
    <cfRule type="cellIs" dxfId="842" priority="622" operator="between">
      <formula>65</formula>
      <formula>69</formula>
    </cfRule>
    <cfRule type="cellIs" dxfId="841" priority="623" operator="between">
      <formula>10</formula>
      <formula>64</formula>
    </cfRule>
  </conditionalFormatting>
  <conditionalFormatting sqref="S454:S455">
    <cfRule type="cellIs" dxfId="840" priority="609" operator="between">
      <formula>80</formula>
      <formula>105</formula>
    </cfRule>
    <cfRule type="cellIs" dxfId="839" priority="610" operator="between">
      <formula>70</formula>
      <formula>79</formula>
    </cfRule>
    <cfRule type="cellIs" dxfId="838" priority="611" operator="between">
      <formula>65</formula>
      <formula>69</formula>
    </cfRule>
    <cfRule type="cellIs" dxfId="837" priority="612" operator="between">
      <formula>10</formula>
      <formula>64</formula>
    </cfRule>
  </conditionalFormatting>
  <conditionalFormatting sqref="S466:S467">
    <cfRule type="cellIs" dxfId="836" priority="598" operator="between">
      <formula>80</formula>
      <formula>105</formula>
    </cfRule>
    <cfRule type="cellIs" dxfId="835" priority="599" operator="between">
      <formula>70</formula>
      <formula>79</formula>
    </cfRule>
    <cfRule type="cellIs" dxfId="834" priority="600" operator="between">
      <formula>65</formula>
      <formula>69</formula>
    </cfRule>
    <cfRule type="cellIs" dxfId="833" priority="601" operator="between">
      <formula>10</formula>
      <formula>64</formula>
    </cfRule>
  </conditionalFormatting>
  <conditionalFormatting sqref="S468:S477 S480:S491 S494:S511 S514:S520">
    <cfRule type="cellIs" dxfId="832" priority="584" operator="between">
      <formula>80</formula>
      <formula>110</formula>
    </cfRule>
    <cfRule type="cellIs" dxfId="831" priority="585" operator="between">
      <formula>70</formula>
      <formula>79</formula>
    </cfRule>
    <cfRule type="cellIs" dxfId="830" priority="586" operator="between">
      <formula>65</formula>
      <formula>69</formula>
    </cfRule>
    <cfRule type="cellIs" dxfId="829" priority="587" operator="between">
      <formula>10</formula>
      <formula>64</formula>
    </cfRule>
  </conditionalFormatting>
  <conditionalFormatting sqref="S478:S479">
    <cfRule type="cellIs" dxfId="828" priority="576" operator="between">
      <formula>80</formula>
      <formula>105</formula>
    </cfRule>
    <cfRule type="cellIs" dxfId="827" priority="577" operator="between">
      <formula>70</formula>
      <formula>79</formula>
    </cfRule>
    <cfRule type="cellIs" dxfId="826" priority="578" operator="between">
      <formula>65</formula>
      <formula>69</formula>
    </cfRule>
    <cfRule type="cellIs" dxfId="825" priority="579" operator="between">
      <formula>10</formula>
      <formula>64</formula>
    </cfRule>
  </conditionalFormatting>
  <conditionalFormatting sqref="S492:S493">
    <cfRule type="cellIs" dxfId="824" priority="565" operator="between">
      <formula>80</formula>
      <formula>105</formula>
    </cfRule>
    <cfRule type="cellIs" dxfId="823" priority="566" operator="between">
      <formula>70</formula>
      <formula>79</formula>
    </cfRule>
    <cfRule type="cellIs" dxfId="822" priority="567" operator="between">
      <formula>65</formula>
      <formula>69</formula>
    </cfRule>
    <cfRule type="cellIs" dxfId="821" priority="568" operator="between">
      <formula>10</formula>
      <formula>64</formula>
    </cfRule>
  </conditionalFormatting>
  <conditionalFormatting sqref="S512:S513">
    <cfRule type="cellIs" dxfId="820" priority="554" operator="between">
      <formula>80</formula>
      <formula>105</formula>
    </cfRule>
    <cfRule type="cellIs" dxfId="819" priority="555" operator="between">
      <formula>70</formula>
      <formula>79</formula>
    </cfRule>
    <cfRule type="cellIs" dxfId="818" priority="556" operator="between">
      <formula>65</formula>
      <formula>69</formula>
    </cfRule>
    <cfRule type="cellIs" dxfId="817" priority="557" operator="between">
      <formula>10</formula>
      <formula>64</formula>
    </cfRule>
  </conditionalFormatting>
  <conditionalFormatting sqref="S521:S523">
    <cfRule type="cellIs" dxfId="816" priority="543" operator="between">
      <formula>80</formula>
      <formula>105</formula>
    </cfRule>
    <cfRule type="cellIs" dxfId="815" priority="544" operator="between">
      <formula>70</formula>
      <formula>79</formula>
    </cfRule>
    <cfRule type="cellIs" dxfId="814" priority="545" operator="between">
      <formula>65</formula>
      <formula>69</formula>
    </cfRule>
    <cfRule type="cellIs" dxfId="813" priority="546" operator="between">
      <formula>10</formula>
      <formula>64</formula>
    </cfRule>
  </conditionalFormatting>
  <conditionalFormatting sqref="S524:S533 S536:S544 S547:S561 S564:S577">
    <cfRule type="cellIs" dxfId="812" priority="529" operator="between">
      <formula>80</formula>
      <formula>110</formula>
    </cfRule>
    <cfRule type="cellIs" dxfId="811" priority="530" operator="between">
      <formula>70</formula>
      <formula>79</formula>
    </cfRule>
    <cfRule type="cellIs" dxfId="810" priority="531" operator="between">
      <formula>65</formula>
      <formula>69</formula>
    </cfRule>
    <cfRule type="cellIs" dxfId="809" priority="532" operator="between">
      <formula>10</formula>
      <formula>64</formula>
    </cfRule>
  </conditionalFormatting>
  <conditionalFormatting sqref="S534:S535">
    <cfRule type="cellIs" dxfId="808" priority="521" operator="between">
      <formula>80</formula>
      <formula>105</formula>
    </cfRule>
    <cfRule type="cellIs" dxfId="807" priority="522" operator="between">
      <formula>70</formula>
      <formula>79</formula>
    </cfRule>
    <cfRule type="cellIs" dxfId="806" priority="523" operator="between">
      <formula>65</formula>
      <formula>69</formula>
    </cfRule>
    <cfRule type="cellIs" dxfId="805" priority="524" operator="between">
      <formula>10</formula>
      <formula>64</formula>
    </cfRule>
  </conditionalFormatting>
  <conditionalFormatting sqref="S545:S546">
    <cfRule type="cellIs" dxfId="804" priority="510" operator="between">
      <formula>80</formula>
      <formula>105</formula>
    </cfRule>
    <cfRule type="cellIs" dxfId="803" priority="511" operator="between">
      <formula>70</formula>
      <formula>79</formula>
    </cfRule>
    <cfRule type="cellIs" dxfId="802" priority="512" operator="between">
      <formula>65</formula>
      <formula>69</formula>
    </cfRule>
    <cfRule type="cellIs" dxfId="801" priority="513" operator="between">
      <formula>10</formula>
      <formula>64</formula>
    </cfRule>
  </conditionalFormatting>
  <conditionalFormatting sqref="S562:S563">
    <cfRule type="cellIs" dxfId="800" priority="499" operator="between">
      <formula>80</formula>
      <formula>105</formula>
    </cfRule>
    <cfRule type="cellIs" dxfId="799" priority="500" operator="between">
      <formula>70</formula>
      <formula>79</formula>
    </cfRule>
    <cfRule type="cellIs" dxfId="798" priority="501" operator="between">
      <formula>65</formula>
      <formula>69</formula>
    </cfRule>
    <cfRule type="cellIs" dxfId="797" priority="502" operator="between">
      <formula>10</formula>
      <formula>64</formula>
    </cfRule>
  </conditionalFormatting>
  <conditionalFormatting sqref="S578:S579">
    <cfRule type="cellIs" dxfId="796" priority="488" operator="between">
      <formula>80</formula>
      <formula>105</formula>
    </cfRule>
    <cfRule type="cellIs" dxfId="795" priority="489" operator="between">
      <formula>70</formula>
      <formula>79</formula>
    </cfRule>
    <cfRule type="cellIs" dxfId="794" priority="490" operator="between">
      <formula>65</formula>
      <formula>69</formula>
    </cfRule>
    <cfRule type="cellIs" dxfId="793" priority="491" operator="between">
      <formula>10</formula>
      <formula>64</formula>
    </cfRule>
  </conditionalFormatting>
  <conditionalFormatting sqref="S580:S588 S591:S599 S602:S616">
    <cfRule type="cellIs" dxfId="792" priority="474" operator="between">
      <formula>80</formula>
      <formula>110</formula>
    </cfRule>
    <cfRule type="cellIs" dxfId="791" priority="475" operator="between">
      <formula>70</formula>
      <formula>79</formula>
    </cfRule>
    <cfRule type="cellIs" dxfId="790" priority="476" operator="between">
      <formula>65</formula>
      <formula>69</formula>
    </cfRule>
    <cfRule type="cellIs" dxfId="789" priority="477" operator="between">
      <formula>10</formula>
      <formula>64</formula>
    </cfRule>
  </conditionalFormatting>
  <conditionalFormatting sqref="S589:S590">
    <cfRule type="cellIs" dxfId="788" priority="466" operator="between">
      <formula>80</formula>
      <formula>105</formula>
    </cfRule>
    <cfRule type="cellIs" dxfId="787" priority="467" operator="between">
      <formula>70</formula>
      <formula>79</formula>
    </cfRule>
    <cfRule type="cellIs" dxfId="786" priority="468" operator="between">
      <formula>65</formula>
      <formula>69</formula>
    </cfRule>
    <cfRule type="cellIs" dxfId="785" priority="469" operator="between">
      <formula>10</formula>
      <formula>64</formula>
    </cfRule>
  </conditionalFormatting>
  <conditionalFormatting sqref="S600:S601">
    <cfRule type="cellIs" dxfId="784" priority="455" operator="between">
      <formula>80</formula>
      <formula>105</formula>
    </cfRule>
    <cfRule type="cellIs" dxfId="783" priority="456" operator="between">
      <formula>70</formula>
      <formula>79</formula>
    </cfRule>
    <cfRule type="cellIs" dxfId="782" priority="457" operator="between">
      <formula>65</formula>
      <formula>69</formula>
    </cfRule>
    <cfRule type="cellIs" dxfId="781" priority="458" operator="between">
      <formula>10</formula>
      <formula>64</formula>
    </cfRule>
  </conditionalFormatting>
  <conditionalFormatting sqref="S617:S619">
    <cfRule type="cellIs" dxfId="780" priority="444" operator="between">
      <formula>80</formula>
      <formula>105</formula>
    </cfRule>
    <cfRule type="cellIs" dxfId="779" priority="445" operator="between">
      <formula>70</formula>
      <formula>79</formula>
    </cfRule>
    <cfRule type="cellIs" dxfId="778" priority="446" operator="between">
      <formula>65</formula>
      <formula>69</formula>
    </cfRule>
    <cfRule type="cellIs" dxfId="777" priority="447" operator="between">
      <formula>10</formula>
      <formula>64</formula>
    </cfRule>
  </conditionalFormatting>
  <conditionalFormatting sqref="S620:S624 S627:S633 S636:S644 S647:S662 S665:S676">
    <cfRule type="cellIs" dxfId="776" priority="430" operator="between">
      <formula>80</formula>
      <formula>110</formula>
    </cfRule>
    <cfRule type="cellIs" dxfId="775" priority="431" operator="between">
      <formula>70</formula>
      <formula>79</formula>
    </cfRule>
    <cfRule type="cellIs" dxfId="774" priority="432" operator="between">
      <formula>65</formula>
      <formula>69</formula>
    </cfRule>
    <cfRule type="cellIs" dxfId="773" priority="433" operator="between">
      <formula>10</formula>
      <formula>64</formula>
    </cfRule>
  </conditionalFormatting>
  <conditionalFormatting sqref="S625:S626">
    <cfRule type="cellIs" dxfId="772" priority="422" operator="between">
      <formula>80</formula>
      <formula>105</formula>
    </cfRule>
    <cfRule type="cellIs" dxfId="771" priority="423" operator="between">
      <formula>70</formula>
      <formula>79</formula>
    </cfRule>
    <cfRule type="cellIs" dxfId="770" priority="424" operator="between">
      <formula>65</formula>
      <formula>69</formula>
    </cfRule>
    <cfRule type="cellIs" dxfId="769" priority="425" operator="between">
      <formula>10</formula>
      <formula>64</formula>
    </cfRule>
  </conditionalFormatting>
  <conditionalFormatting sqref="S634:S635">
    <cfRule type="cellIs" dxfId="768" priority="411" operator="between">
      <formula>80</formula>
      <formula>105</formula>
    </cfRule>
    <cfRule type="cellIs" dxfId="767" priority="412" operator="between">
      <formula>70</formula>
      <formula>79</formula>
    </cfRule>
    <cfRule type="cellIs" dxfId="766" priority="413" operator="between">
      <formula>65</formula>
      <formula>69</formula>
    </cfRule>
    <cfRule type="cellIs" dxfId="765" priority="414" operator="between">
      <formula>10</formula>
      <formula>64</formula>
    </cfRule>
  </conditionalFormatting>
  <conditionalFormatting sqref="S645:S646">
    <cfRule type="cellIs" dxfId="764" priority="400" operator="between">
      <formula>80</formula>
      <formula>105</formula>
    </cfRule>
    <cfRule type="cellIs" dxfId="763" priority="401" operator="between">
      <formula>70</formula>
      <formula>79</formula>
    </cfRule>
    <cfRule type="cellIs" dxfId="762" priority="402" operator="between">
      <formula>65</formula>
      <formula>69</formula>
    </cfRule>
    <cfRule type="cellIs" dxfId="761" priority="403" operator="between">
      <formula>10</formula>
      <formula>64</formula>
    </cfRule>
  </conditionalFormatting>
  <conditionalFormatting sqref="S663:S664">
    <cfRule type="cellIs" dxfId="760" priority="389" operator="between">
      <formula>80</formula>
      <formula>105</formula>
    </cfRule>
    <cfRule type="cellIs" dxfId="759" priority="390" operator="between">
      <formula>70</formula>
      <formula>79</formula>
    </cfRule>
    <cfRule type="cellIs" dxfId="758" priority="391" operator="between">
      <formula>65</formula>
      <formula>69</formula>
    </cfRule>
    <cfRule type="cellIs" dxfId="757" priority="392" operator="between">
      <formula>10</formula>
      <formula>64</formula>
    </cfRule>
  </conditionalFormatting>
  <conditionalFormatting sqref="S677:S678">
    <cfRule type="cellIs" dxfId="756" priority="378" operator="between">
      <formula>80</formula>
      <formula>105</formula>
    </cfRule>
    <cfRule type="cellIs" dxfId="755" priority="379" operator="between">
      <formula>70</formula>
      <formula>79</formula>
    </cfRule>
    <cfRule type="cellIs" dxfId="754" priority="380" operator="between">
      <formula>65</formula>
      <formula>69</formula>
    </cfRule>
    <cfRule type="cellIs" dxfId="753" priority="381" operator="between">
      <formula>10</formula>
      <formula>64</formula>
    </cfRule>
  </conditionalFormatting>
  <conditionalFormatting sqref="S679:S687 S690:S697 S700:S720 S723:S733">
    <cfRule type="cellIs" dxfId="752" priority="364" operator="between">
      <formula>80</formula>
      <formula>110</formula>
    </cfRule>
    <cfRule type="cellIs" dxfId="751" priority="365" operator="between">
      <formula>70</formula>
      <formula>79</formula>
    </cfRule>
    <cfRule type="cellIs" dxfId="750" priority="366" operator="between">
      <formula>65</formula>
      <formula>69</formula>
    </cfRule>
    <cfRule type="cellIs" dxfId="749" priority="367" operator="between">
      <formula>10</formula>
      <formula>64</formula>
    </cfRule>
  </conditionalFormatting>
  <conditionalFormatting sqref="S688:S689">
    <cfRule type="cellIs" dxfId="748" priority="356" operator="between">
      <formula>80</formula>
      <formula>105</formula>
    </cfRule>
    <cfRule type="cellIs" dxfId="747" priority="357" operator="between">
      <formula>70</formula>
      <formula>79</formula>
    </cfRule>
    <cfRule type="cellIs" dxfId="746" priority="358" operator="between">
      <formula>65</formula>
      <formula>69</formula>
    </cfRule>
    <cfRule type="cellIs" dxfId="745" priority="359" operator="between">
      <formula>10</formula>
      <formula>64</formula>
    </cfRule>
  </conditionalFormatting>
  <conditionalFormatting sqref="S698:S699">
    <cfRule type="cellIs" dxfId="744" priority="345" operator="between">
      <formula>80</formula>
      <formula>105</formula>
    </cfRule>
    <cfRule type="cellIs" dxfId="743" priority="346" operator="between">
      <formula>70</formula>
      <formula>79</formula>
    </cfRule>
    <cfRule type="cellIs" dxfId="742" priority="347" operator="between">
      <formula>65</formula>
      <formula>69</formula>
    </cfRule>
    <cfRule type="cellIs" dxfId="741" priority="348" operator="between">
      <formula>10</formula>
      <formula>64</formula>
    </cfRule>
  </conditionalFormatting>
  <conditionalFormatting sqref="S721:S722">
    <cfRule type="cellIs" dxfId="740" priority="334" operator="between">
      <formula>80</formula>
      <formula>105</formula>
    </cfRule>
    <cfRule type="cellIs" dxfId="739" priority="335" operator="between">
      <formula>70</formula>
      <formula>79</formula>
    </cfRule>
    <cfRule type="cellIs" dxfId="738" priority="336" operator="between">
      <formula>65</formula>
      <formula>69</formula>
    </cfRule>
    <cfRule type="cellIs" dxfId="737" priority="337" operator="between">
      <formula>10</formula>
      <formula>64</formula>
    </cfRule>
  </conditionalFormatting>
  <conditionalFormatting sqref="S734:S736">
    <cfRule type="cellIs" dxfId="736" priority="323" operator="between">
      <formula>80</formula>
      <formula>105</formula>
    </cfRule>
    <cfRule type="cellIs" dxfId="735" priority="324" operator="between">
      <formula>70</formula>
      <formula>79</formula>
    </cfRule>
    <cfRule type="cellIs" dxfId="734" priority="325" operator="between">
      <formula>65</formula>
      <formula>69</formula>
    </cfRule>
    <cfRule type="cellIs" dxfId="733" priority="326" operator="between">
      <formula>10</formula>
      <formula>64</formula>
    </cfRule>
  </conditionalFormatting>
  <conditionalFormatting sqref="S737:S754 S757:S771 S774:S793">
    <cfRule type="cellIs" dxfId="732" priority="309" operator="between">
      <formula>80</formula>
      <formula>110</formula>
    </cfRule>
    <cfRule type="cellIs" dxfId="731" priority="310" operator="between">
      <formula>70</formula>
      <formula>79</formula>
    </cfRule>
    <cfRule type="cellIs" dxfId="730" priority="311" operator="between">
      <formula>65</formula>
      <formula>69</formula>
    </cfRule>
    <cfRule type="cellIs" dxfId="729" priority="312" operator="between">
      <formula>10</formula>
      <formula>64</formula>
    </cfRule>
  </conditionalFormatting>
  <conditionalFormatting sqref="S755:S756">
    <cfRule type="cellIs" dxfId="728" priority="301" operator="between">
      <formula>80</formula>
      <formula>105</formula>
    </cfRule>
    <cfRule type="cellIs" dxfId="727" priority="302" operator="between">
      <formula>70</formula>
      <formula>79</formula>
    </cfRule>
    <cfRule type="cellIs" dxfId="726" priority="303" operator="between">
      <formula>65</formula>
      <formula>69</formula>
    </cfRule>
    <cfRule type="cellIs" dxfId="725" priority="304" operator="between">
      <formula>10</formula>
      <formula>64</formula>
    </cfRule>
  </conditionalFormatting>
  <conditionalFormatting sqref="S772:S773">
    <cfRule type="cellIs" dxfId="724" priority="290" operator="between">
      <formula>80</formula>
      <formula>105</formula>
    </cfRule>
    <cfRule type="cellIs" dxfId="723" priority="291" operator="between">
      <formula>70</formula>
      <formula>79</formula>
    </cfRule>
    <cfRule type="cellIs" dxfId="722" priority="292" operator="between">
      <formula>65</formula>
      <formula>69</formula>
    </cfRule>
    <cfRule type="cellIs" dxfId="721" priority="293" operator="between">
      <formula>10</formula>
      <formula>64</formula>
    </cfRule>
  </conditionalFormatting>
  <conditionalFormatting sqref="S794:S795">
    <cfRule type="cellIs" dxfId="720" priority="279" operator="between">
      <formula>80</formula>
      <formula>105</formula>
    </cfRule>
    <cfRule type="cellIs" dxfId="719" priority="280" operator="between">
      <formula>70</formula>
      <formula>79</formula>
    </cfRule>
    <cfRule type="cellIs" dxfId="718" priority="281" operator="between">
      <formula>65</formula>
      <formula>69</formula>
    </cfRule>
    <cfRule type="cellIs" dxfId="717" priority="282" operator="between">
      <formula>10</formula>
      <formula>64</formula>
    </cfRule>
  </conditionalFormatting>
  <conditionalFormatting sqref="S796:S806 S809:S816 S819:S833 S836:S853 S856:S865">
    <cfRule type="cellIs" dxfId="716" priority="265" operator="between">
      <formula>80</formula>
      <formula>110</formula>
    </cfRule>
    <cfRule type="cellIs" dxfId="715" priority="266" operator="between">
      <formula>70</formula>
      <formula>79</formula>
    </cfRule>
    <cfRule type="cellIs" dxfId="714" priority="267" operator="between">
      <formula>65</formula>
      <formula>69</formula>
    </cfRule>
    <cfRule type="cellIs" dxfId="713" priority="268" operator="between">
      <formula>10</formula>
      <formula>64</formula>
    </cfRule>
  </conditionalFormatting>
  <conditionalFormatting sqref="S807:S808">
    <cfRule type="cellIs" dxfId="712" priority="257" operator="between">
      <formula>80</formula>
      <formula>105</formula>
    </cfRule>
    <cfRule type="cellIs" dxfId="711" priority="258" operator="between">
      <formula>70</formula>
      <formula>79</formula>
    </cfRule>
    <cfRule type="cellIs" dxfId="710" priority="259" operator="between">
      <formula>65</formula>
      <formula>69</formula>
    </cfRule>
    <cfRule type="cellIs" dxfId="709" priority="260" operator="between">
      <formula>10</formula>
      <formula>64</formula>
    </cfRule>
  </conditionalFormatting>
  <conditionalFormatting sqref="S817:S818">
    <cfRule type="cellIs" dxfId="708" priority="246" operator="between">
      <formula>80</formula>
      <formula>105</formula>
    </cfRule>
    <cfRule type="cellIs" dxfId="707" priority="247" operator="between">
      <formula>70</formula>
      <formula>79</formula>
    </cfRule>
    <cfRule type="cellIs" dxfId="706" priority="248" operator="between">
      <formula>65</formula>
      <formula>69</formula>
    </cfRule>
    <cfRule type="cellIs" dxfId="705" priority="249" operator="between">
      <formula>10</formula>
      <formula>64</formula>
    </cfRule>
  </conditionalFormatting>
  <conditionalFormatting sqref="S834:S835">
    <cfRule type="cellIs" dxfId="704" priority="235" operator="between">
      <formula>80</formula>
      <formula>105</formula>
    </cfRule>
    <cfRule type="cellIs" dxfId="703" priority="236" operator="between">
      <formula>70</formula>
      <formula>79</formula>
    </cfRule>
    <cfRule type="cellIs" dxfId="702" priority="237" operator="between">
      <formula>65</formula>
      <formula>69</formula>
    </cfRule>
    <cfRule type="cellIs" dxfId="701" priority="238" operator="between">
      <formula>10</formula>
      <formula>64</formula>
    </cfRule>
  </conditionalFormatting>
  <conditionalFormatting sqref="S854:S855">
    <cfRule type="cellIs" dxfId="700" priority="224" operator="between">
      <formula>80</formula>
      <formula>105</formula>
    </cfRule>
    <cfRule type="cellIs" dxfId="699" priority="225" operator="between">
      <formula>70</formula>
      <formula>79</formula>
    </cfRule>
    <cfRule type="cellIs" dxfId="698" priority="226" operator="between">
      <formula>65</formula>
      <formula>69</formula>
    </cfRule>
    <cfRule type="cellIs" dxfId="697" priority="227" operator="between">
      <formula>10</formula>
      <formula>64</formula>
    </cfRule>
  </conditionalFormatting>
  <conditionalFormatting sqref="S866:S867">
    <cfRule type="cellIs" dxfId="696" priority="213" operator="between">
      <formula>80</formula>
      <formula>105</formula>
    </cfRule>
    <cfRule type="cellIs" dxfId="695" priority="214" operator="between">
      <formula>70</formula>
      <formula>79</formula>
    </cfRule>
    <cfRule type="cellIs" dxfId="694" priority="215" operator="between">
      <formula>65</formula>
      <formula>69</formula>
    </cfRule>
    <cfRule type="cellIs" dxfId="693" priority="216" operator="between">
      <formula>10</formula>
      <formula>64</formula>
    </cfRule>
  </conditionalFormatting>
  <conditionalFormatting sqref="S868:S876 S879:S883 S886:S889">
    <cfRule type="cellIs" dxfId="692" priority="199" operator="between">
      <formula>80</formula>
      <formula>110</formula>
    </cfRule>
    <cfRule type="cellIs" dxfId="691" priority="200" operator="between">
      <formula>70</formula>
      <formula>79</formula>
    </cfRule>
    <cfRule type="cellIs" dxfId="690" priority="201" operator="between">
      <formula>65</formula>
      <formula>69</formula>
    </cfRule>
    <cfRule type="cellIs" dxfId="689" priority="202" operator="between">
      <formula>10</formula>
      <formula>64</formula>
    </cfRule>
  </conditionalFormatting>
  <conditionalFormatting sqref="S877:S878">
    <cfRule type="cellIs" dxfId="688" priority="191" operator="between">
      <formula>80</formula>
      <formula>105</formula>
    </cfRule>
    <cfRule type="cellIs" dxfId="687" priority="192" operator="between">
      <formula>70</formula>
      <formula>79</formula>
    </cfRule>
    <cfRule type="cellIs" dxfId="686" priority="193" operator="between">
      <formula>65</formula>
      <formula>69</formula>
    </cfRule>
    <cfRule type="cellIs" dxfId="685" priority="194" operator="between">
      <formula>10</formula>
      <formula>64</formula>
    </cfRule>
  </conditionalFormatting>
  <conditionalFormatting sqref="S884:S885">
    <cfRule type="cellIs" dxfId="684" priority="180" operator="between">
      <formula>80</formula>
      <formula>105</formula>
    </cfRule>
    <cfRule type="cellIs" dxfId="683" priority="181" operator="between">
      <formula>70</formula>
      <formula>79</formula>
    </cfRule>
    <cfRule type="cellIs" dxfId="682" priority="182" operator="between">
      <formula>65</formula>
      <formula>69</formula>
    </cfRule>
    <cfRule type="cellIs" dxfId="681" priority="183" operator="between">
      <formula>10</formula>
      <formula>64</formula>
    </cfRule>
  </conditionalFormatting>
  <conditionalFormatting sqref="S890:S891">
    <cfRule type="cellIs" dxfId="680" priority="169" operator="between">
      <formula>80</formula>
      <formula>105</formula>
    </cfRule>
    <cfRule type="cellIs" dxfId="679" priority="170" operator="between">
      <formula>70</formula>
      <formula>79</formula>
    </cfRule>
    <cfRule type="cellIs" dxfId="678" priority="171" operator="between">
      <formula>65</formula>
      <formula>69</formula>
    </cfRule>
    <cfRule type="cellIs" dxfId="677" priority="172" operator="between">
      <formula>10</formula>
      <formula>64</formula>
    </cfRule>
  </conditionalFormatting>
  <conditionalFormatting sqref="S892:S904 S907:S924 S927:S946 S949:S958">
    <cfRule type="cellIs" dxfId="676" priority="155" operator="between">
      <formula>80</formula>
      <formula>110</formula>
    </cfRule>
    <cfRule type="cellIs" dxfId="675" priority="156" operator="between">
      <formula>70</formula>
      <formula>79</formula>
    </cfRule>
    <cfRule type="cellIs" dxfId="674" priority="157" operator="between">
      <formula>65</formula>
      <formula>69</formula>
    </cfRule>
    <cfRule type="cellIs" dxfId="673" priority="158" operator="between">
      <formula>10</formula>
      <formula>64</formula>
    </cfRule>
  </conditionalFormatting>
  <conditionalFormatting sqref="S905:S906">
    <cfRule type="cellIs" dxfId="672" priority="147" operator="between">
      <formula>80</formula>
      <formula>105</formula>
    </cfRule>
    <cfRule type="cellIs" dxfId="671" priority="148" operator="between">
      <formula>70</formula>
      <formula>79</formula>
    </cfRule>
    <cfRule type="cellIs" dxfId="670" priority="149" operator="between">
      <formula>65</formula>
      <formula>69</formula>
    </cfRule>
    <cfRule type="cellIs" dxfId="669" priority="150" operator="between">
      <formula>10</formula>
      <formula>64</formula>
    </cfRule>
  </conditionalFormatting>
  <conditionalFormatting sqref="S925:S926">
    <cfRule type="cellIs" dxfId="668" priority="136" operator="between">
      <formula>80</formula>
      <formula>105</formula>
    </cfRule>
    <cfRule type="cellIs" dxfId="667" priority="137" operator="between">
      <formula>70</formula>
      <formula>79</formula>
    </cfRule>
    <cfRule type="cellIs" dxfId="666" priority="138" operator="between">
      <formula>65</formula>
      <formula>69</formula>
    </cfRule>
    <cfRule type="cellIs" dxfId="665" priority="139" operator="between">
      <formula>10</formula>
      <formula>64</formula>
    </cfRule>
  </conditionalFormatting>
  <conditionalFormatting sqref="S947:S948">
    <cfRule type="cellIs" dxfId="664" priority="125" operator="between">
      <formula>80</formula>
      <formula>105</formula>
    </cfRule>
    <cfRule type="cellIs" dxfId="663" priority="126" operator="between">
      <formula>70</formula>
      <formula>79</formula>
    </cfRule>
    <cfRule type="cellIs" dxfId="662" priority="127" operator="between">
      <formula>65</formula>
      <formula>69</formula>
    </cfRule>
    <cfRule type="cellIs" dxfId="661" priority="128" operator="between">
      <formula>10</formula>
      <formula>64</formula>
    </cfRule>
  </conditionalFormatting>
  <conditionalFormatting sqref="S959:S960">
    <cfRule type="cellIs" dxfId="660" priority="114" operator="between">
      <formula>80</formula>
      <formula>105</formula>
    </cfRule>
    <cfRule type="cellIs" dxfId="659" priority="115" operator="between">
      <formula>70</formula>
      <formula>79</formula>
    </cfRule>
    <cfRule type="cellIs" dxfId="658" priority="116" operator="between">
      <formula>65</formula>
      <formula>69</formula>
    </cfRule>
    <cfRule type="cellIs" dxfId="657" priority="117" operator="between">
      <formula>10</formula>
      <formula>64</formula>
    </cfRule>
  </conditionalFormatting>
  <conditionalFormatting sqref="S961:S971 S974:S981 S984:S988 S991:S1004">
    <cfRule type="cellIs" dxfId="656" priority="100" operator="between">
      <formula>80</formula>
      <formula>110</formula>
    </cfRule>
    <cfRule type="cellIs" dxfId="655" priority="101" operator="between">
      <formula>70</formula>
      <formula>79</formula>
    </cfRule>
    <cfRule type="cellIs" dxfId="654" priority="102" operator="between">
      <formula>65</formula>
      <formula>69</formula>
    </cfRule>
    <cfRule type="cellIs" dxfId="653" priority="103" operator="between">
      <formula>10</formula>
      <formula>64</formula>
    </cfRule>
  </conditionalFormatting>
  <conditionalFormatting sqref="S972:S973">
    <cfRule type="cellIs" dxfId="652" priority="92" operator="between">
      <formula>80</formula>
      <formula>105</formula>
    </cfRule>
    <cfRule type="cellIs" dxfId="651" priority="93" operator="between">
      <formula>70</formula>
      <formula>79</formula>
    </cfRule>
    <cfRule type="cellIs" dxfId="650" priority="94" operator="between">
      <formula>65</formula>
      <formula>69</formula>
    </cfRule>
    <cfRule type="cellIs" dxfId="649" priority="95" operator="between">
      <formula>10</formula>
      <formula>64</formula>
    </cfRule>
  </conditionalFormatting>
  <conditionalFormatting sqref="S982:S983">
    <cfRule type="cellIs" dxfId="648" priority="81" operator="between">
      <formula>80</formula>
      <formula>105</formula>
    </cfRule>
    <cfRule type="cellIs" dxfId="647" priority="82" operator="between">
      <formula>70</formula>
      <formula>79</formula>
    </cfRule>
    <cfRule type="cellIs" dxfId="646" priority="83" operator="between">
      <formula>65</formula>
      <formula>69</formula>
    </cfRule>
    <cfRule type="cellIs" dxfId="645" priority="84" operator="between">
      <formula>10</formula>
      <formula>64</formula>
    </cfRule>
  </conditionalFormatting>
  <conditionalFormatting sqref="S989:S990">
    <cfRule type="cellIs" dxfId="644" priority="70" operator="between">
      <formula>80</formula>
      <formula>105</formula>
    </cfRule>
    <cfRule type="cellIs" dxfId="643" priority="71" operator="between">
      <formula>70</formula>
      <formula>79</formula>
    </cfRule>
    <cfRule type="cellIs" dxfId="642" priority="72" operator="between">
      <formula>65</formula>
      <formula>69</formula>
    </cfRule>
    <cfRule type="cellIs" dxfId="641" priority="73" operator="between">
      <formula>10</formula>
      <formula>64</formula>
    </cfRule>
  </conditionalFormatting>
  <conditionalFormatting sqref="S1005:S1006">
    <cfRule type="cellIs" dxfId="640" priority="59" operator="between">
      <formula>80</formula>
      <formula>105</formula>
    </cfRule>
    <cfRule type="cellIs" dxfId="639" priority="60" operator="between">
      <formula>70</formula>
      <formula>79</formula>
    </cfRule>
    <cfRule type="cellIs" dxfId="638" priority="61" operator="between">
      <formula>65</formula>
      <formula>69</formula>
    </cfRule>
    <cfRule type="cellIs" dxfId="637" priority="62" operator="between">
      <formula>10</formula>
      <formula>64</formula>
    </cfRule>
  </conditionalFormatting>
  <conditionalFormatting sqref="S1007:S1009 S1012:S1024 S1027:S1044 S1047:S1060">
    <cfRule type="cellIs" dxfId="636" priority="45" operator="between">
      <formula>80</formula>
      <formula>110</formula>
    </cfRule>
    <cfRule type="cellIs" dxfId="635" priority="46" operator="between">
      <formula>70</formula>
      <formula>79</formula>
    </cfRule>
    <cfRule type="cellIs" dxfId="634" priority="47" operator="between">
      <formula>65</formula>
      <formula>69</formula>
    </cfRule>
    <cfRule type="cellIs" dxfId="633" priority="48" operator="between">
      <formula>10</formula>
      <formula>64</formula>
    </cfRule>
  </conditionalFormatting>
  <conditionalFormatting sqref="S1010:S1011">
    <cfRule type="cellIs" dxfId="632" priority="37" operator="between">
      <formula>80</formula>
      <formula>105</formula>
    </cfRule>
    <cfRule type="cellIs" dxfId="631" priority="38" operator="between">
      <formula>70</formula>
      <formula>79</formula>
    </cfRule>
    <cfRule type="cellIs" dxfId="630" priority="39" operator="between">
      <formula>65</formula>
      <formula>69</formula>
    </cfRule>
    <cfRule type="cellIs" dxfId="629" priority="40" operator="between">
      <formula>10</formula>
      <formula>64</formula>
    </cfRule>
  </conditionalFormatting>
  <conditionalFormatting sqref="S1025:S1026">
    <cfRule type="cellIs" dxfId="628" priority="26" operator="between">
      <formula>80</formula>
      <formula>105</formula>
    </cfRule>
    <cfRule type="cellIs" dxfId="627" priority="27" operator="between">
      <formula>70</formula>
      <formula>79</formula>
    </cfRule>
    <cfRule type="cellIs" dxfId="626" priority="28" operator="between">
      <formula>65</formula>
      <formula>69</formula>
    </cfRule>
    <cfRule type="cellIs" dxfId="625" priority="29" operator="between">
      <formula>10</formula>
      <formula>64</formula>
    </cfRule>
  </conditionalFormatting>
  <conditionalFormatting sqref="S1045:S1046">
    <cfRule type="cellIs" dxfId="624" priority="15" operator="between">
      <formula>80</formula>
      <formula>105</formula>
    </cfRule>
    <cfRule type="cellIs" dxfId="623" priority="16" operator="between">
      <formula>70</formula>
      <formula>79</formula>
    </cfRule>
    <cfRule type="cellIs" dxfId="622" priority="17" operator="between">
      <formula>65</formula>
      <formula>69</formula>
    </cfRule>
    <cfRule type="cellIs" dxfId="621" priority="18" operator="between">
      <formula>10</formula>
      <formula>64</formula>
    </cfRule>
  </conditionalFormatting>
  <conditionalFormatting sqref="S1061:S1062">
    <cfRule type="cellIs" dxfId="620" priority="4" operator="between">
      <formula>80</formula>
      <formula>105</formula>
    </cfRule>
    <cfRule type="cellIs" dxfId="619" priority="5" operator="between">
      <formula>70</formula>
      <formula>79</formula>
    </cfRule>
    <cfRule type="cellIs" dxfId="618" priority="6" operator="between">
      <formula>65</formula>
      <formula>69</formula>
    </cfRule>
    <cfRule type="cellIs" dxfId="617" priority="7" operator="between">
      <formula>10</formula>
      <formula>64</formula>
    </cfRule>
  </conditionalFormatting>
  <conditionalFormatting sqref="S1063:S1048576">
    <cfRule type="cellIs" dxfId="616" priority="1937" operator="between">
      <formula>80</formula>
      <formula>110</formula>
    </cfRule>
    <cfRule type="cellIs" dxfId="615" priority="1938" operator="between">
      <formula>70</formula>
      <formula>79</formula>
    </cfRule>
    <cfRule type="cellIs" dxfId="614" priority="1939" operator="between">
      <formula>65</formula>
      <formula>69</formula>
    </cfRule>
    <cfRule type="cellIs" dxfId="613" priority="1940" operator="between">
      <formula>10</formula>
      <formula>64</formula>
    </cfRule>
  </conditionalFormatting>
  <conditionalFormatting sqref="V1:V14 V17:V24 V27:V42 V45:V59">
    <cfRule type="containsText" dxfId="612" priority="1052" operator="containsText" text="penaltı">
      <formula>NOT(ISERROR(SEARCH("penaltı",V1)))</formula>
    </cfRule>
  </conditionalFormatting>
  <conditionalFormatting sqref="V15:V16">
    <cfRule type="cellIs" dxfId="611" priority="1045" operator="equal">
      <formula>"Penaltı"</formula>
    </cfRule>
  </conditionalFormatting>
  <conditionalFormatting sqref="V25:V26">
    <cfRule type="cellIs" dxfId="610" priority="1034" operator="equal">
      <formula>"Penaltı"</formula>
    </cfRule>
  </conditionalFormatting>
  <conditionalFormatting sqref="V43:V44">
    <cfRule type="cellIs" dxfId="609" priority="1023" operator="equal">
      <formula>"Penaltı"</formula>
    </cfRule>
  </conditionalFormatting>
  <conditionalFormatting sqref="V60:V61">
    <cfRule type="cellIs" dxfId="608" priority="1012" operator="equal">
      <formula>"Penaltı"</formula>
    </cfRule>
  </conditionalFormatting>
  <conditionalFormatting sqref="V62:V72 V75:V87 V90:V100">
    <cfRule type="containsText" dxfId="607" priority="997" operator="containsText" text="penaltı">
      <formula>NOT(ISERROR(SEARCH("penaltı",V62)))</formula>
    </cfRule>
  </conditionalFormatting>
  <conditionalFormatting sqref="V73:V74">
    <cfRule type="cellIs" dxfId="606" priority="990" operator="equal">
      <formula>"Penaltı"</formula>
    </cfRule>
  </conditionalFormatting>
  <conditionalFormatting sqref="V88:V89">
    <cfRule type="cellIs" dxfId="605" priority="979" operator="equal">
      <formula>"Penaltı"</formula>
    </cfRule>
  </conditionalFormatting>
  <conditionalFormatting sqref="V101:V102">
    <cfRule type="cellIs" dxfId="604" priority="968" operator="equal">
      <formula>"Penaltı"</formula>
    </cfRule>
  </conditionalFormatting>
  <conditionalFormatting sqref="V103:V112 V115:V121 V124:V136 V139:V153">
    <cfRule type="containsText" dxfId="603" priority="953" operator="containsText" text="penaltı">
      <formula>NOT(ISERROR(SEARCH("penaltı",V103)))</formula>
    </cfRule>
  </conditionalFormatting>
  <conditionalFormatting sqref="V113:V114">
    <cfRule type="cellIs" dxfId="602" priority="946" operator="equal">
      <formula>"Penaltı"</formula>
    </cfRule>
  </conditionalFormatting>
  <conditionalFormatting sqref="V122:V123">
    <cfRule type="cellIs" dxfId="601" priority="935" operator="equal">
      <formula>"Penaltı"</formula>
    </cfRule>
  </conditionalFormatting>
  <conditionalFormatting sqref="V137:V138">
    <cfRule type="cellIs" dxfId="600" priority="924" operator="equal">
      <formula>"Penaltı"</formula>
    </cfRule>
  </conditionalFormatting>
  <conditionalFormatting sqref="V154:V155">
    <cfRule type="cellIs" dxfId="599" priority="913" operator="equal">
      <formula>"Penaltı"</formula>
    </cfRule>
  </conditionalFormatting>
  <conditionalFormatting sqref="V156:V164 V167:V180 V183:V193 V196:V205">
    <cfRule type="containsText" dxfId="598" priority="898" operator="containsText" text="penaltı">
      <formula>NOT(ISERROR(SEARCH("penaltı",V156)))</formula>
    </cfRule>
  </conditionalFormatting>
  <conditionalFormatting sqref="V165:V166">
    <cfRule type="cellIs" dxfId="597" priority="891" operator="equal">
      <formula>"Penaltı"</formula>
    </cfRule>
  </conditionalFormatting>
  <conditionalFormatting sqref="V181:V182">
    <cfRule type="cellIs" dxfId="596" priority="880" operator="equal">
      <formula>"Penaltı"</formula>
    </cfRule>
  </conditionalFormatting>
  <conditionalFormatting sqref="V194:V195">
    <cfRule type="cellIs" dxfId="595" priority="869" operator="equal">
      <formula>"Penaltı"</formula>
    </cfRule>
  </conditionalFormatting>
  <conditionalFormatting sqref="V206:V207">
    <cfRule type="cellIs" dxfId="594" priority="858" operator="equal">
      <formula>"Penaltı"</formula>
    </cfRule>
  </conditionalFormatting>
  <conditionalFormatting sqref="V208:V221 V224:V234 V237:V247">
    <cfRule type="containsText" dxfId="593" priority="843" operator="containsText" text="penaltı">
      <formula>NOT(ISERROR(SEARCH("penaltı",V208)))</formula>
    </cfRule>
  </conditionalFormatting>
  <conditionalFormatting sqref="V222:V223">
    <cfRule type="cellIs" dxfId="592" priority="836" operator="equal">
      <formula>"Penaltı"</formula>
    </cfRule>
  </conditionalFormatting>
  <conditionalFormatting sqref="V235:V236">
    <cfRule type="cellIs" dxfId="591" priority="825" operator="equal">
      <formula>"Penaltı"</formula>
    </cfRule>
  </conditionalFormatting>
  <conditionalFormatting sqref="V248:V249">
    <cfRule type="cellIs" dxfId="590" priority="814" operator="equal">
      <formula>"Penaltı"</formula>
    </cfRule>
  </conditionalFormatting>
  <conditionalFormatting sqref="V250:V258 V261:V276 V279:V288">
    <cfRule type="containsText" dxfId="589" priority="799" operator="containsText" text="penaltı">
      <formula>NOT(ISERROR(SEARCH("penaltı",V250)))</formula>
    </cfRule>
  </conditionalFormatting>
  <conditionalFormatting sqref="V259:V260">
    <cfRule type="cellIs" dxfId="588" priority="792" operator="equal">
      <formula>"Penaltı"</formula>
    </cfRule>
  </conditionalFormatting>
  <conditionalFormatting sqref="V277:V278">
    <cfRule type="cellIs" dxfId="587" priority="781" operator="equal">
      <formula>"Penaltı"</formula>
    </cfRule>
  </conditionalFormatting>
  <conditionalFormatting sqref="V289:V291">
    <cfRule type="cellIs" dxfId="586" priority="770" operator="equal">
      <formula>"Penaltı"</formula>
    </cfRule>
  </conditionalFormatting>
  <conditionalFormatting sqref="V292:V308 V311:V319 V322:V339 V342:V356">
    <cfRule type="containsText" dxfId="585" priority="755" operator="containsText" text="penaltı">
      <formula>NOT(ISERROR(SEARCH("penaltı",V292)))</formula>
    </cfRule>
  </conditionalFormatting>
  <conditionalFormatting sqref="V309:V310">
    <cfRule type="cellIs" dxfId="584" priority="748" operator="equal">
      <formula>"Penaltı"</formula>
    </cfRule>
  </conditionalFormatting>
  <conditionalFormatting sqref="V320:V321">
    <cfRule type="cellIs" dxfId="583" priority="737" operator="equal">
      <formula>"Penaltı"</formula>
    </cfRule>
  </conditionalFormatting>
  <conditionalFormatting sqref="V340:V341">
    <cfRule type="cellIs" dxfId="582" priority="726" operator="equal">
      <formula>"Penaltı"</formula>
    </cfRule>
  </conditionalFormatting>
  <conditionalFormatting sqref="V357:V358">
    <cfRule type="cellIs" dxfId="581" priority="715" operator="equal">
      <formula>"Penaltı"</formula>
    </cfRule>
  </conditionalFormatting>
  <conditionalFormatting sqref="V359:V368 V371:V377 V380:V394 V397:V414">
    <cfRule type="containsText" dxfId="580" priority="700" operator="containsText" text="penaltı">
      <formula>NOT(ISERROR(SEARCH("penaltı",V359)))</formula>
    </cfRule>
  </conditionalFormatting>
  <conditionalFormatting sqref="V369:V370">
    <cfRule type="cellIs" dxfId="579" priority="693" operator="equal">
      <formula>"Penaltı"</formula>
    </cfRule>
  </conditionalFormatting>
  <conditionalFormatting sqref="V378:V379">
    <cfRule type="cellIs" dxfId="578" priority="682" operator="equal">
      <formula>"Penaltı"</formula>
    </cfRule>
  </conditionalFormatting>
  <conditionalFormatting sqref="V395:V396">
    <cfRule type="cellIs" dxfId="577" priority="671" operator="equal">
      <formula>"Penaltı"</formula>
    </cfRule>
  </conditionalFormatting>
  <conditionalFormatting sqref="V415:V417">
    <cfRule type="cellIs" dxfId="576" priority="660" operator="equal">
      <formula>"Penaltı"</formula>
    </cfRule>
  </conditionalFormatting>
  <conditionalFormatting sqref="V418:V423 V426:V433 V436:V453 V456:V465">
    <cfRule type="containsText" dxfId="575" priority="645" operator="containsText" text="penaltı">
      <formula>NOT(ISERROR(SEARCH("penaltı",V418)))</formula>
    </cfRule>
  </conditionalFormatting>
  <conditionalFormatting sqref="V424:V425">
    <cfRule type="cellIs" dxfId="574" priority="638" operator="equal">
      <formula>"Penaltı"</formula>
    </cfRule>
  </conditionalFormatting>
  <conditionalFormatting sqref="V434:V435">
    <cfRule type="cellIs" dxfId="573" priority="627" operator="equal">
      <formula>"Penaltı"</formula>
    </cfRule>
  </conditionalFormatting>
  <conditionalFormatting sqref="V454:V455">
    <cfRule type="cellIs" dxfId="572" priority="616" operator="equal">
      <formula>"Penaltı"</formula>
    </cfRule>
  </conditionalFormatting>
  <conditionalFormatting sqref="V466:V467">
    <cfRule type="cellIs" dxfId="571" priority="605" operator="equal">
      <formula>"Penaltı"</formula>
    </cfRule>
  </conditionalFormatting>
  <conditionalFormatting sqref="V468:V477 V480:V491 V494:V511 V514:V520">
    <cfRule type="containsText" dxfId="570" priority="590" operator="containsText" text="penaltı">
      <formula>NOT(ISERROR(SEARCH("penaltı",V468)))</formula>
    </cfRule>
  </conditionalFormatting>
  <conditionalFormatting sqref="V478:V479">
    <cfRule type="cellIs" dxfId="569" priority="583" operator="equal">
      <formula>"Penaltı"</formula>
    </cfRule>
  </conditionalFormatting>
  <conditionalFormatting sqref="V492:V493">
    <cfRule type="cellIs" dxfId="568" priority="572" operator="equal">
      <formula>"Penaltı"</formula>
    </cfRule>
  </conditionalFormatting>
  <conditionalFormatting sqref="V512:V513">
    <cfRule type="cellIs" dxfId="567" priority="561" operator="equal">
      <formula>"Penaltı"</formula>
    </cfRule>
  </conditionalFormatting>
  <conditionalFormatting sqref="V521:V523">
    <cfRule type="cellIs" dxfId="566" priority="550" operator="equal">
      <formula>"Penaltı"</formula>
    </cfRule>
  </conditionalFormatting>
  <conditionalFormatting sqref="V524:V533 V536:V544 V547:V561 V564:V577">
    <cfRule type="containsText" dxfId="565" priority="535" operator="containsText" text="penaltı">
      <formula>NOT(ISERROR(SEARCH("penaltı",V524)))</formula>
    </cfRule>
  </conditionalFormatting>
  <conditionalFormatting sqref="V534:V535">
    <cfRule type="cellIs" dxfId="564" priority="528" operator="equal">
      <formula>"Penaltı"</formula>
    </cfRule>
  </conditionalFormatting>
  <conditionalFormatting sqref="V545:V546">
    <cfRule type="cellIs" dxfId="563" priority="517" operator="equal">
      <formula>"Penaltı"</formula>
    </cfRule>
  </conditionalFormatting>
  <conditionalFormatting sqref="V562:V563">
    <cfRule type="cellIs" dxfId="562" priority="506" operator="equal">
      <formula>"Penaltı"</formula>
    </cfRule>
  </conditionalFormatting>
  <conditionalFormatting sqref="V578:V579">
    <cfRule type="cellIs" dxfId="561" priority="495" operator="equal">
      <formula>"Penaltı"</formula>
    </cfRule>
  </conditionalFormatting>
  <conditionalFormatting sqref="V580:V588 V591:V599 V602:V616">
    <cfRule type="containsText" dxfId="560" priority="480" operator="containsText" text="penaltı">
      <formula>NOT(ISERROR(SEARCH("penaltı",V580)))</formula>
    </cfRule>
  </conditionalFormatting>
  <conditionalFormatting sqref="V589:V590">
    <cfRule type="cellIs" dxfId="559" priority="473" operator="equal">
      <formula>"Penaltı"</formula>
    </cfRule>
  </conditionalFormatting>
  <conditionalFormatting sqref="V600:V601">
    <cfRule type="cellIs" dxfId="558" priority="462" operator="equal">
      <formula>"Penaltı"</formula>
    </cfRule>
  </conditionalFormatting>
  <conditionalFormatting sqref="V617:V619">
    <cfRule type="cellIs" dxfId="557" priority="451" operator="equal">
      <formula>"Penaltı"</formula>
    </cfRule>
  </conditionalFormatting>
  <conditionalFormatting sqref="V620:V624 V627:V633 V636:V644 V647:V662 V665:V676">
    <cfRule type="containsText" dxfId="556" priority="436" operator="containsText" text="penaltı">
      <formula>NOT(ISERROR(SEARCH("penaltı",V620)))</formula>
    </cfRule>
  </conditionalFormatting>
  <conditionalFormatting sqref="V625:V626">
    <cfRule type="cellIs" dxfId="555" priority="429" operator="equal">
      <formula>"Penaltı"</formula>
    </cfRule>
  </conditionalFormatting>
  <conditionalFormatting sqref="V634:V635">
    <cfRule type="cellIs" dxfId="554" priority="418" operator="equal">
      <formula>"Penaltı"</formula>
    </cfRule>
  </conditionalFormatting>
  <conditionalFormatting sqref="V645:V646">
    <cfRule type="cellIs" dxfId="553" priority="407" operator="equal">
      <formula>"Penaltı"</formula>
    </cfRule>
  </conditionalFormatting>
  <conditionalFormatting sqref="V663:V664">
    <cfRule type="cellIs" dxfId="552" priority="396" operator="equal">
      <formula>"Penaltı"</formula>
    </cfRule>
  </conditionalFormatting>
  <conditionalFormatting sqref="V677:V678">
    <cfRule type="cellIs" dxfId="551" priority="385" operator="equal">
      <formula>"Penaltı"</formula>
    </cfRule>
  </conditionalFormatting>
  <conditionalFormatting sqref="V679:V687 V690:V697 V700:V720 V723:V733">
    <cfRule type="containsText" dxfId="550" priority="370" operator="containsText" text="penaltı">
      <formula>NOT(ISERROR(SEARCH("penaltı",V679)))</formula>
    </cfRule>
  </conditionalFormatting>
  <conditionalFormatting sqref="V688:V689">
    <cfRule type="cellIs" dxfId="549" priority="363" operator="equal">
      <formula>"Penaltı"</formula>
    </cfRule>
  </conditionalFormatting>
  <conditionalFormatting sqref="V698:V699">
    <cfRule type="cellIs" dxfId="548" priority="352" operator="equal">
      <formula>"Penaltı"</formula>
    </cfRule>
  </conditionalFormatting>
  <conditionalFormatting sqref="V721:V722">
    <cfRule type="cellIs" dxfId="547" priority="341" operator="equal">
      <formula>"Penaltı"</formula>
    </cfRule>
  </conditionalFormatting>
  <conditionalFormatting sqref="V734:V736">
    <cfRule type="cellIs" dxfId="546" priority="330" operator="equal">
      <formula>"Penaltı"</formula>
    </cfRule>
  </conditionalFormatting>
  <conditionalFormatting sqref="V737:V754 V757:V771 V774:V793">
    <cfRule type="containsText" dxfId="545" priority="315" operator="containsText" text="penaltı">
      <formula>NOT(ISERROR(SEARCH("penaltı",V737)))</formula>
    </cfRule>
  </conditionalFormatting>
  <conditionalFormatting sqref="V755:V756">
    <cfRule type="cellIs" dxfId="544" priority="308" operator="equal">
      <formula>"Penaltı"</formula>
    </cfRule>
  </conditionalFormatting>
  <conditionalFormatting sqref="V772:V773">
    <cfRule type="cellIs" dxfId="543" priority="297" operator="equal">
      <formula>"Penaltı"</formula>
    </cfRule>
  </conditionalFormatting>
  <conditionalFormatting sqref="V794:V795">
    <cfRule type="cellIs" dxfId="542" priority="286" operator="equal">
      <formula>"Penaltı"</formula>
    </cfRule>
  </conditionalFormatting>
  <conditionalFormatting sqref="V796:V806 V809:V816 V819:V833 V836:V853 V856:V865">
    <cfRule type="containsText" dxfId="541" priority="271" operator="containsText" text="penaltı">
      <formula>NOT(ISERROR(SEARCH("penaltı",V796)))</formula>
    </cfRule>
  </conditionalFormatting>
  <conditionalFormatting sqref="V807:V808">
    <cfRule type="cellIs" dxfId="540" priority="264" operator="equal">
      <formula>"Penaltı"</formula>
    </cfRule>
  </conditionalFormatting>
  <conditionalFormatting sqref="V817:V818">
    <cfRule type="cellIs" dxfId="539" priority="253" operator="equal">
      <formula>"Penaltı"</formula>
    </cfRule>
  </conditionalFormatting>
  <conditionalFormatting sqref="V834:V835">
    <cfRule type="cellIs" dxfId="538" priority="242" operator="equal">
      <formula>"Penaltı"</formula>
    </cfRule>
  </conditionalFormatting>
  <conditionalFormatting sqref="V854:V855">
    <cfRule type="cellIs" dxfId="537" priority="231" operator="equal">
      <formula>"Penaltı"</formula>
    </cfRule>
  </conditionalFormatting>
  <conditionalFormatting sqref="V866:V867">
    <cfRule type="cellIs" dxfId="536" priority="220" operator="equal">
      <formula>"Penaltı"</formula>
    </cfRule>
  </conditionalFormatting>
  <conditionalFormatting sqref="V868:V876 V879:V883 V886:V889">
    <cfRule type="containsText" dxfId="535" priority="205" operator="containsText" text="penaltı">
      <formula>NOT(ISERROR(SEARCH("penaltı",V868)))</formula>
    </cfRule>
  </conditionalFormatting>
  <conditionalFormatting sqref="V877:V878">
    <cfRule type="cellIs" dxfId="534" priority="198" operator="equal">
      <formula>"Penaltı"</formula>
    </cfRule>
  </conditionalFormatting>
  <conditionalFormatting sqref="V884:V885">
    <cfRule type="cellIs" dxfId="533" priority="187" operator="equal">
      <formula>"Penaltı"</formula>
    </cfRule>
  </conditionalFormatting>
  <conditionalFormatting sqref="V890:V891">
    <cfRule type="cellIs" dxfId="532" priority="176" operator="equal">
      <formula>"Penaltı"</formula>
    </cfRule>
  </conditionalFormatting>
  <conditionalFormatting sqref="V892:V904 V907:V924 V927:V946 V949:V958">
    <cfRule type="containsText" dxfId="531" priority="161" operator="containsText" text="penaltı">
      <formula>NOT(ISERROR(SEARCH("penaltı",V892)))</formula>
    </cfRule>
  </conditionalFormatting>
  <conditionalFormatting sqref="V905:V906">
    <cfRule type="cellIs" dxfId="530" priority="154" operator="equal">
      <formula>"Penaltı"</formula>
    </cfRule>
  </conditionalFormatting>
  <conditionalFormatting sqref="V925:V926">
    <cfRule type="cellIs" dxfId="529" priority="143" operator="equal">
      <formula>"Penaltı"</formula>
    </cfRule>
  </conditionalFormatting>
  <conditionalFormatting sqref="V947:V948">
    <cfRule type="cellIs" dxfId="528" priority="132" operator="equal">
      <formula>"Penaltı"</formula>
    </cfRule>
  </conditionalFormatting>
  <conditionalFormatting sqref="V959:V960">
    <cfRule type="cellIs" dxfId="527" priority="121" operator="equal">
      <formula>"Penaltı"</formula>
    </cfRule>
  </conditionalFormatting>
  <conditionalFormatting sqref="V961:V971 V974:V981 V984:V988 V991:V1004">
    <cfRule type="containsText" dxfId="526" priority="106" operator="containsText" text="penaltı">
      <formula>NOT(ISERROR(SEARCH("penaltı",V961)))</formula>
    </cfRule>
  </conditionalFormatting>
  <conditionalFormatting sqref="V972:V973">
    <cfRule type="cellIs" dxfId="525" priority="99" operator="equal">
      <formula>"Penaltı"</formula>
    </cfRule>
  </conditionalFormatting>
  <conditionalFormatting sqref="V982:V983">
    <cfRule type="cellIs" dxfId="524" priority="88" operator="equal">
      <formula>"Penaltı"</formula>
    </cfRule>
  </conditionalFormatting>
  <conditionalFormatting sqref="V989:V990">
    <cfRule type="cellIs" dxfId="523" priority="77" operator="equal">
      <formula>"Penaltı"</formula>
    </cfRule>
  </conditionalFormatting>
  <conditionalFormatting sqref="V1005:V1006">
    <cfRule type="cellIs" dxfId="522" priority="66" operator="equal">
      <formula>"Penaltı"</formula>
    </cfRule>
  </conditionalFormatting>
  <conditionalFormatting sqref="V1007:V1009 V1012:V1024 V1027:V1044 V1047:V1060">
    <cfRule type="containsText" dxfId="521" priority="51" operator="containsText" text="penaltı">
      <formula>NOT(ISERROR(SEARCH("penaltı",V1007)))</formula>
    </cfRule>
  </conditionalFormatting>
  <conditionalFormatting sqref="V1010:V1011">
    <cfRule type="cellIs" dxfId="520" priority="44" operator="equal">
      <formula>"Penaltı"</formula>
    </cfRule>
  </conditionalFormatting>
  <conditionalFormatting sqref="V1025:V1026">
    <cfRule type="cellIs" dxfId="519" priority="33" operator="equal">
      <formula>"Penaltı"</formula>
    </cfRule>
  </conditionalFormatting>
  <conditionalFormatting sqref="V1045:V1046">
    <cfRule type="cellIs" dxfId="518" priority="22" operator="equal">
      <formula>"Penaltı"</formula>
    </cfRule>
  </conditionalFormatting>
  <conditionalFormatting sqref="V1061:V1062">
    <cfRule type="cellIs" dxfId="517" priority="11" operator="equal">
      <formula>"Penaltı"</formula>
    </cfRule>
  </conditionalFormatting>
  <conditionalFormatting sqref="V1063:V1048576">
    <cfRule type="containsText" dxfId="516" priority="1943" operator="containsText" text="penaltı">
      <formula>NOT(ISERROR(SEARCH("penaltı",V1063)))</formula>
    </cfRule>
  </conditionalFormatting>
  <conditionalFormatting sqref="W788:X788">
    <cfRule type="cellIs" dxfId="515" priority="317" operator="between">
      <formula>0.6</formula>
      <formula>0.99</formula>
    </cfRule>
    <cfRule type="cellIs" dxfId="514" priority="318" operator="between">
      <formula>0.3</formula>
      <formula>0.6</formula>
    </cfRule>
    <cfRule type="cellIs" dxfId="513" priority="319" operator="between">
      <formula>0.1</formula>
      <formula>0.3</formula>
    </cfRule>
  </conditionalFormatting>
  <conditionalFormatting sqref="W941:X941">
    <cfRule type="cellIs" dxfId="512" priority="163" operator="between">
      <formula>0.6</formula>
      <formula>0.99</formula>
    </cfRule>
    <cfRule type="cellIs" dxfId="511" priority="164" operator="between">
      <formula>0.3</formula>
      <formula>0.6</formula>
    </cfRule>
    <cfRule type="cellIs" dxfId="510" priority="165" operator="between">
      <formula>0.1</formula>
      <formula>0.3</formula>
    </cfRule>
  </conditionalFormatting>
  <conditionalFormatting sqref="W1:Y787">
    <cfRule type="cellIs" dxfId="509" priority="287" operator="between">
      <formula>0.6</formula>
      <formula>0.99</formula>
    </cfRule>
    <cfRule type="cellIs" dxfId="508" priority="288" operator="between">
      <formula>0.3</formula>
      <formula>0.6</formula>
    </cfRule>
    <cfRule type="cellIs" dxfId="507" priority="289" operator="between">
      <formula>0.1</formula>
      <formula>0.3</formula>
    </cfRule>
  </conditionalFormatting>
  <conditionalFormatting sqref="W789:Y940">
    <cfRule type="cellIs" dxfId="506" priority="133" operator="between">
      <formula>0.6</formula>
      <formula>0.99</formula>
    </cfRule>
    <cfRule type="cellIs" dxfId="505" priority="134" operator="between">
      <formula>0.3</formula>
      <formula>0.6</formula>
    </cfRule>
    <cfRule type="cellIs" dxfId="504" priority="135" operator="between">
      <formula>0.1</formula>
      <formula>0.3</formula>
    </cfRule>
  </conditionalFormatting>
  <conditionalFormatting sqref="W942:Y1048576">
    <cfRule type="cellIs" dxfId="503" priority="1" operator="between">
      <formula>0.6</formula>
      <formula>0.99</formula>
    </cfRule>
    <cfRule type="cellIs" dxfId="502" priority="2" operator="between">
      <formula>0.3</formula>
      <formula>0.6</formula>
    </cfRule>
    <cfRule type="cellIs" dxfId="501" priority="3" operator="between">
      <formula>0.1</formula>
      <formula>0.3</formula>
    </cfRule>
  </conditionalFormatting>
  <conditionalFormatting sqref="Z1:Z1048576">
    <cfRule type="cellIs" dxfId="500" priority="8" operator="equal">
      <formula>"Kendi Kalesine Gol"</formula>
    </cfRule>
    <cfRule type="cellIs" dxfId="499" priority="9" operator="equal">
      <formula>"Direkten Döndü"</formula>
    </cfRule>
    <cfRule type="cellIs" dxfId="498" priority="10" operator="equal">
      <formula>"Gol"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0F9A-F80F-4046-B552-998F746729F2}">
  <dimension ref="A1:AB515"/>
  <sheetViews>
    <sheetView workbookViewId="0">
      <pane ySplit="1" topLeftCell="A65" activePane="bottomLeft" state="frozen"/>
      <selection pane="bottomLeft" activeCell="A44" sqref="A44:XFD81"/>
    </sheetView>
  </sheetViews>
  <sheetFormatPr defaultRowHeight="15" x14ac:dyDescent="0.25"/>
  <cols>
    <col min="1" max="1" width="15" style="29" bestFit="1" customWidth="1"/>
    <col min="2" max="2" width="3.7109375" style="5" customWidth="1"/>
    <col min="3" max="3" width="7.7109375" style="121" customWidth="1"/>
    <col min="4" max="4" width="12.7109375" style="5" customWidth="1"/>
    <col min="5" max="5" width="4.7109375" style="6" customWidth="1"/>
    <col min="6" max="7" width="4.7109375" style="7" customWidth="1"/>
    <col min="8" max="8" width="4.7109375" style="8" customWidth="1"/>
    <col min="9" max="9" width="7.7109375" style="121" customWidth="1"/>
    <col min="10" max="10" width="12.7109375" style="5" customWidth="1"/>
    <col min="11" max="11" width="7.7109375" style="44" customWidth="1"/>
    <col min="12" max="12" width="5.7109375" style="56" customWidth="1"/>
    <col min="13" max="13" width="14.7109375" style="5" customWidth="1"/>
    <col min="14" max="15" width="12.7109375" style="5" customWidth="1"/>
    <col min="16" max="16" width="14.7109375" style="5" customWidth="1"/>
    <col min="17" max="17" width="4.7109375" style="7" customWidth="1"/>
    <col min="18" max="18" width="11.7109375" style="5" customWidth="1"/>
    <col min="19" max="19" width="10.7109375" style="5" customWidth="1"/>
    <col min="20" max="20" width="10.7109375" style="57" customWidth="1"/>
    <col min="21" max="21" width="5.7109375" style="51" customWidth="1"/>
    <col min="22" max="22" width="5.7109375" style="6" customWidth="1"/>
    <col min="23" max="23" width="10.7109375" style="6" customWidth="1"/>
    <col min="24" max="24" width="30.7109375" style="5" customWidth="1"/>
    <col min="25" max="25" width="4.7109375" style="112" customWidth="1"/>
    <col min="26" max="26" width="11.7109375" style="108" customWidth="1"/>
    <col min="27" max="27" width="11.7109375" style="57" customWidth="1"/>
    <col min="28" max="28" width="9.140625" style="38"/>
    <col min="29" max="16384" width="9.140625" style="5"/>
  </cols>
  <sheetData>
    <row r="1" spans="1:28" x14ac:dyDescent="0.25">
      <c r="A1" s="28" t="s">
        <v>37</v>
      </c>
      <c r="B1" s="24" t="s">
        <v>38</v>
      </c>
      <c r="C1" s="120" t="s">
        <v>682</v>
      </c>
      <c r="D1" s="1" t="s">
        <v>635</v>
      </c>
      <c r="E1" s="2" t="s">
        <v>589</v>
      </c>
      <c r="F1" s="3" t="s">
        <v>636</v>
      </c>
      <c r="G1" s="3" t="s">
        <v>637</v>
      </c>
      <c r="H1" s="4" t="s">
        <v>590</v>
      </c>
      <c r="I1" s="126" t="s">
        <v>683</v>
      </c>
      <c r="J1" s="1" t="s">
        <v>638</v>
      </c>
      <c r="K1" s="1" t="s">
        <v>586</v>
      </c>
      <c r="L1" s="55" t="s">
        <v>0</v>
      </c>
      <c r="M1" s="39" t="s">
        <v>1</v>
      </c>
      <c r="N1" s="39" t="s">
        <v>2</v>
      </c>
      <c r="O1" s="39" t="s">
        <v>645</v>
      </c>
      <c r="P1" s="39" t="s">
        <v>681</v>
      </c>
      <c r="Q1" s="212" t="s">
        <v>711</v>
      </c>
      <c r="R1" s="39" t="s">
        <v>39</v>
      </c>
      <c r="S1" s="39" t="s">
        <v>40</v>
      </c>
      <c r="T1" s="41" t="s">
        <v>3</v>
      </c>
      <c r="U1" s="48" t="s">
        <v>4</v>
      </c>
      <c r="V1" s="49" t="s">
        <v>64</v>
      </c>
      <c r="W1" s="49" t="s">
        <v>353</v>
      </c>
      <c r="X1" s="39" t="s">
        <v>5</v>
      </c>
      <c r="Y1" s="50" t="s">
        <v>6</v>
      </c>
      <c r="Z1" s="116" t="s">
        <v>646</v>
      </c>
      <c r="AA1" s="117" t="s">
        <v>647</v>
      </c>
      <c r="AB1" s="5"/>
    </row>
    <row r="2" spans="1:28" x14ac:dyDescent="0.25">
      <c r="A2" s="143">
        <v>45893</v>
      </c>
      <c r="B2" s="144">
        <v>2</v>
      </c>
      <c r="C2" s="145"/>
      <c r="D2" s="144" t="s">
        <v>92</v>
      </c>
      <c r="E2" s="146">
        <v>0.5</v>
      </c>
      <c r="F2" s="147">
        <v>0</v>
      </c>
      <c r="G2" s="147">
        <v>3</v>
      </c>
      <c r="H2" s="148">
        <v>2.68</v>
      </c>
      <c r="I2" s="145"/>
      <c r="J2" s="144" t="s">
        <v>226</v>
      </c>
      <c r="K2" s="149"/>
      <c r="L2" s="150">
        <v>34</v>
      </c>
      <c r="M2" s="26" t="s">
        <v>226</v>
      </c>
      <c r="N2" s="26" t="s">
        <v>236</v>
      </c>
      <c r="O2" s="26" t="s">
        <v>237</v>
      </c>
      <c r="P2" s="26" t="s">
        <v>686</v>
      </c>
      <c r="Q2" s="213">
        <v>63</v>
      </c>
      <c r="R2" s="26" t="s">
        <v>47</v>
      </c>
      <c r="S2" s="26" t="s">
        <v>42</v>
      </c>
      <c r="T2" s="43" t="s">
        <v>20</v>
      </c>
      <c r="U2" s="51">
        <v>0.2</v>
      </c>
      <c r="V2" s="146" t="s">
        <v>53</v>
      </c>
      <c r="W2" s="146" t="s">
        <v>353</v>
      </c>
      <c r="X2" s="144" t="s">
        <v>22</v>
      </c>
      <c r="Y2" s="172" t="s">
        <v>28</v>
      </c>
      <c r="Z2" s="173"/>
      <c r="AA2" s="174"/>
    </row>
    <row r="3" spans="1:28" x14ac:dyDescent="0.25">
      <c r="A3" s="143">
        <v>45893</v>
      </c>
      <c r="B3" s="144">
        <v>2</v>
      </c>
      <c r="C3" s="145"/>
      <c r="D3" s="144" t="s">
        <v>92</v>
      </c>
      <c r="E3" s="146">
        <v>0.5</v>
      </c>
      <c r="F3" s="147">
        <v>0</v>
      </c>
      <c r="G3" s="147">
        <v>3</v>
      </c>
      <c r="H3" s="148">
        <v>2.68</v>
      </c>
      <c r="I3" s="145"/>
      <c r="J3" s="144" t="s">
        <v>226</v>
      </c>
      <c r="K3" s="149"/>
      <c r="L3" s="150">
        <v>36</v>
      </c>
      <c r="M3" s="26" t="s">
        <v>226</v>
      </c>
      <c r="N3" s="26" t="s">
        <v>56</v>
      </c>
      <c r="O3" s="26" t="s">
        <v>235</v>
      </c>
      <c r="P3" s="26" t="s">
        <v>699</v>
      </c>
      <c r="Q3" s="213">
        <v>73</v>
      </c>
      <c r="R3" s="26" t="s">
        <v>41</v>
      </c>
      <c r="S3" s="26" t="s">
        <v>43</v>
      </c>
      <c r="T3" s="43" t="s">
        <v>540</v>
      </c>
      <c r="U3" s="51">
        <v>0.14000000000000001</v>
      </c>
      <c r="V3" s="146" t="s">
        <v>53</v>
      </c>
      <c r="W3" s="146" t="s">
        <v>353</v>
      </c>
      <c r="X3" s="144" t="s">
        <v>52</v>
      </c>
      <c r="Y3" s="172" t="s">
        <v>28</v>
      </c>
      <c r="Z3" s="173"/>
      <c r="AA3" s="174"/>
    </row>
    <row r="4" spans="1:28" x14ac:dyDescent="0.25">
      <c r="A4" s="143">
        <v>45893</v>
      </c>
      <c r="B4" s="144">
        <v>2</v>
      </c>
      <c r="C4" s="145"/>
      <c r="D4" s="144" t="s">
        <v>92</v>
      </c>
      <c r="E4" s="146">
        <v>0.5</v>
      </c>
      <c r="F4" s="147">
        <v>0</v>
      </c>
      <c r="G4" s="147">
        <v>3</v>
      </c>
      <c r="H4" s="148">
        <v>2.68</v>
      </c>
      <c r="I4" s="145"/>
      <c r="J4" s="144" t="s">
        <v>226</v>
      </c>
      <c r="K4" s="149"/>
      <c r="L4" s="150">
        <v>66</v>
      </c>
      <c r="M4" s="26" t="s">
        <v>226</v>
      </c>
      <c r="N4" s="26" t="s">
        <v>287</v>
      </c>
      <c r="O4" s="26" t="s">
        <v>288</v>
      </c>
      <c r="P4" s="26" t="s">
        <v>687</v>
      </c>
      <c r="Q4" s="213">
        <v>72</v>
      </c>
      <c r="R4" s="26" t="s">
        <v>41</v>
      </c>
      <c r="S4" s="26" t="s">
        <v>43</v>
      </c>
      <c r="T4" s="43" t="s">
        <v>18</v>
      </c>
      <c r="U4" s="51">
        <v>0.56999999999999995</v>
      </c>
      <c r="V4" s="146">
        <v>0.45</v>
      </c>
      <c r="W4" s="146" t="s">
        <v>353</v>
      </c>
      <c r="X4" s="144" t="s">
        <v>48</v>
      </c>
      <c r="Y4" s="172" t="s">
        <v>9</v>
      </c>
      <c r="Z4" s="173"/>
      <c r="AA4" s="174"/>
    </row>
    <row r="5" spans="1:28" x14ac:dyDescent="0.25">
      <c r="A5" s="143">
        <v>45893</v>
      </c>
      <c r="B5" s="144">
        <v>2</v>
      </c>
      <c r="C5" s="145"/>
      <c r="D5" s="144" t="s">
        <v>92</v>
      </c>
      <c r="E5" s="146">
        <v>0.5</v>
      </c>
      <c r="F5" s="147">
        <v>0</v>
      </c>
      <c r="G5" s="147">
        <v>3</v>
      </c>
      <c r="H5" s="148">
        <v>2.68</v>
      </c>
      <c r="I5" s="145"/>
      <c r="J5" s="144" t="s">
        <v>226</v>
      </c>
      <c r="K5" s="149"/>
      <c r="L5" s="150">
        <v>83</v>
      </c>
      <c r="M5" s="26" t="s">
        <v>226</v>
      </c>
      <c r="N5" s="26" t="s">
        <v>231</v>
      </c>
      <c r="O5" s="26" t="s">
        <v>232</v>
      </c>
      <c r="P5" s="26" t="s">
        <v>684</v>
      </c>
      <c r="Q5" s="213">
        <v>92</v>
      </c>
      <c r="R5" s="26" t="s">
        <v>41</v>
      </c>
      <c r="S5" s="26" t="s">
        <v>42</v>
      </c>
      <c r="T5" s="43" t="s">
        <v>10</v>
      </c>
      <c r="U5" s="51">
        <v>0.32</v>
      </c>
      <c r="V5" s="146">
        <v>0.34</v>
      </c>
      <c r="W5" s="146" t="s">
        <v>353</v>
      </c>
      <c r="X5" s="144" t="s">
        <v>8</v>
      </c>
      <c r="Y5" s="172" t="s">
        <v>11</v>
      </c>
      <c r="Z5" s="173" t="s">
        <v>289</v>
      </c>
      <c r="AA5" s="174" t="s">
        <v>54</v>
      </c>
    </row>
    <row r="6" spans="1:28" ht="15.75" thickBot="1" x14ac:dyDescent="0.3">
      <c r="A6" s="206">
        <v>45893</v>
      </c>
      <c r="B6" s="207">
        <v>2</v>
      </c>
      <c r="C6" s="208"/>
      <c r="D6" s="207" t="s">
        <v>92</v>
      </c>
      <c r="E6" s="209">
        <v>0.5</v>
      </c>
      <c r="F6" s="210">
        <v>0</v>
      </c>
      <c r="G6" s="210">
        <v>3</v>
      </c>
      <c r="H6" s="211">
        <v>2.68</v>
      </c>
      <c r="I6" s="208"/>
      <c r="J6" s="207" t="s">
        <v>226</v>
      </c>
      <c r="K6" s="197"/>
      <c r="L6" s="198"/>
      <c r="M6" s="199" t="s">
        <v>92</v>
      </c>
      <c r="N6" s="199" t="s">
        <v>432</v>
      </c>
      <c r="O6" s="199" t="s">
        <v>472</v>
      </c>
      <c r="P6" s="199" t="s">
        <v>707</v>
      </c>
      <c r="Q6" s="200">
        <v>76</v>
      </c>
      <c r="R6" s="199"/>
      <c r="S6" s="199"/>
      <c r="T6" s="201"/>
      <c r="U6" s="202"/>
      <c r="V6" s="203"/>
      <c r="W6" s="203">
        <v>3</v>
      </c>
      <c r="X6" s="199"/>
      <c r="Y6" s="204"/>
      <c r="Z6" s="205"/>
      <c r="AA6" s="201"/>
    </row>
    <row r="7" spans="1:28" ht="15.75" thickBot="1" x14ac:dyDescent="0.3">
      <c r="A7" s="206">
        <v>45893</v>
      </c>
      <c r="B7" s="207">
        <v>2</v>
      </c>
      <c r="C7" s="208"/>
      <c r="D7" s="207" t="s">
        <v>92</v>
      </c>
      <c r="E7" s="209">
        <v>0.5</v>
      </c>
      <c r="F7" s="210">
        <v>0</v>
      </c>
      <c r="G7" s="210">
        <v>3</v>
      </c>
      <c r="H7" s="211">
        <v>2.68</v>
      </c>
      <c r="I7" s="208"/>
      <c r="J7" s="207" t="s">
        <v>226</v>
      </c>
      <c r="K7" s="197"/>
      <c r="L7" s="198"/>
      <c r="M7" s="199" t="s">
        <v>226</v>
      </c>
      <c r="N7" s="199" t="s">
        <v>726</v>
      </c>
      <c r="O7" s="199" t="s">
        <v>727</v>
      </c>
      <c r="P7" s="199" t="s">
        <v>707</v>
      </c>
      <c r="Q7" s="200">
        <v>75</v>
      </c>
      <c r="R7" s="199"/>
      <c r="S7" s="199"/>
      <c r="T7" s="201"/>
      <c r="U7" s="202"/>
      <c r="V7" s="203"/>
      <c r="W7" s="203">
        <v>0</v>
      </c>
      <c r="X7" s="199"/>
      <c r="Y7" s="204"/>
      <c r="Z7" s="205"/>
      <c r="AA7" s="201"/>
    </row>
    <row r="8" spans="1:28" ht="15.75" thickBot="1" x14ac:dyDescent="0.3">
      <c r="A8" s="206">
        <v>45899</v>
      </c>
      <c r="B8" s="207">
        <v>3</v>
      </c>
      <c r="C8" s="208"/>
      <c r="D8" s="207" t="s">
        <v>92</v>
      </c>
      <c r="E8" s="209">
        <v>0.5</v>
      </c>
      <c r="F8" s="210">
        <v>1</v>
      </c>
      <c r="G8" s="210">
        <v>0</v>
      </c>
      <c r="H8" s="211">
        <v>1.07</v>
      </c>
      <c r="I8" s="208"/>
      <c r="J8" s="207" t="s">
        <v>146</v>
      </c>
      <c r="K8" s="235"/>
      <c r="L8" s="198"/>
      <c r="M8" s="199" t="s">
        <v>92</v>
      </c>
      <c r="N8" s="199" t="s">
        <v>432</v>
      </c>
      <c r="O8" s="199" t="s">
        <v>472</v>
      </c>
      <c r="P8" s="199" t="s">
        <v>707</v>
      </c>
      <c r="Q8" s="200">
        <v>86</v>
      </c>
      <c r="R8" s="199"/>
      <c r="S8" s="199"/>
      <c r="T8" s="201"/>
      <c r="U8" s="202"/>
      <c r="V8" s="203"/>
      <c r="W8" s="203">
        <v>0</v>
      </c>
      <c r="X8" s="199"/>
      <c r="Y8" s="204"/>
      <c r="Z8" s="205"/>
      <c r="AA8" s="201"/>
    </row>
    <row r="9" spans="1:28" ht="15.75" thickBot="1" x14ac:dyDescent="0.3">
      <c r="A9" s="206">
        <v>45899</v>
      </c>
      <c r="B9" s="207">
        <v>3</v>
      </c>
      <c r="C9" s="208"/>
      <c r="D9" s="207" t="s">
        <v>92</v>
      </c>
      <c r="E9" s="209">
        <v>0.5</v>
      </c>
      <c r="F9" s="210">
        <v>1</v>
      </c>
      <c r="G9" s="210">
        <v>0</v>
      </c>
      <c r="H9" s="211">
        <v>1.07</v>
      </c>
      <c r="I9" s="208"/>
      <c r="J9" s="207" t="s">
        <v>146</v>
      </c>
      <c r="K9" s="235"/>
      <c r="L9" s="198"/>
      <c r="M9" s="199" t="s">
        <v>146</v>
      </c>
      <c r="N9" s="199" t="s">
        <v>176</v>
      </c>
      <c r="O9" s="199" t="s">
        <v>423</v>
      </c>
      <c r="P9" s="199" t="s">
        <v>707</v>
      </c>
      <c r="Q9" s="200">
        <v>63</v>
      </c>
      <c r="R9" s="199"/>
      <c r="S9" s="199"/>
      <c r="T9" s="201"/>
      <c r="U9" s="202"/>
      <c r="V9" s="203"/>
      <c r="W9" s="203">
        <v>1</v>
      </c>
      <c r="X9" s="199"/>
      <c r="Y9" s="204"/>
      <c r="Z9" s="205"/>
      <c r="AA9" s="201"/>
    </row>
    <row r="10" spans="1:28" x14ac:dyDescent="0.25">
      <c r="A10" s="143">
        <v>45925</v>
      </c>
      <c r="B10" s="144">
        <v>6</v>
      </c>
      <c r="C10" s="145"/>
      <c r="D10" s="144" t="s">
        <v>92</v>
      </c>
      <c r="E10" s="146">
        <v>1.04</v>
      </c>
      <c r="F10" s="147">
        <v>1</v>
      </c>
      <c r="G10" s="147">
        <v>3</v>
      </c>
      <c r="H10" s="148">
        <v>2.0699999999999998</v>
      </c>
      <c r="I10" s="145"/>
      <c r="J10" s="144" t="s">
        <v>113</v>
      </c>
      <c r="K10" s="149"/>
      <c r="L10" s="150">
        <v>24</v>
      </c>
      <c r="M10" s="61" t="s">
        <v>92</v>
      </c>
      <c r="N10" s="61" t="s">
        <v>108</v>
      </c>
      <c r="O10" s="61" t="s">
        <v>109</v>
      </c>
      <c r="P10" s="61" t="s">
        <v>684</v>
      </c>
      <c r="Q10" s="218">
        <v>62</v>
      </c>
      <c r="R10" s="61" t="s">
        <v>47</v>
      </c>
      <c r="S10" s="61" t="s">
        <v>42</v>
      </c>
      <c r="T10" s="63" t="s">
        <v>29</v>
      </c>
      <c r="U10" s="171">
        <v>0.16</v>
      </c>
      <c r="V10" s="146" t="s">
        <v>53</v>
      </c>
      <c r="W10" s="146" t="s">
        <v>353</v>
      </c>
      <c r="X10" s="144" t="s">
        <v>52</v>
      </c>
      <c r="Y10" s="172" t="s">
        <v>28</v>
      </c>
      <c r="Z10" s="173"/>
      <c r="AA10" s="174"/>
    </row>
    <row r="11" spans="1:28" x14ac:dyDescent="0.25">
      <c r="A11" s="143">
        <v>45925</v>
      </c>
      <c r="B11" s="144">
        <v>6</v>
      </c>
      <c r="C11" s="145"/>
      <c r="D11" s="144" t="s">
        <v>92</v>
      </c>
      <c r="E11" s="146">
        <v>1.04</v>
      </c>
      <c r="F11" s="147">
        <v>1</v>
      </c>
      <c r="G11" s="147">
        <v>3</v>
      </c>
      <c r="H11" s="148">
        <v>2.0699999999999998</v>
      </c>
      <c r="I11" s="145"/>
      <c r="J11" s="144" t="s">
        <v>113</v>
      </c>
      <c r="K11" s="149"/>
      <c r="L11" s="150">
        <v>56</v>
      </c>
      <c r="M11" s="26" t="s">
        <v>113</v>
      </c>
      <c r="N11" s="26" t="s">
        <v>267</v>
      </c>
      <c r="O11" s="26" t="s">
        <v>75</v>
      </c>
      <c r="P11" s="26" t="s">
        <v>689</v>
      </c>
      <c r="Q11" s="213">
        <v>75</v>
      </c>
      <c r="R11" s="26" t="s">
        <v>47</v>
      </c>
      <c r="S11" s="26" t="s">
        <v>43</v>
      </c>
      <c r="T11" s="43" t="s">
        <v>20</v>
      </c>
      <c r="U11" s="171">
        <v>0.79</v>
      </c>
      <c r="V11" s="146">
        <v>0.97</v>
      </c>
      <c r="W11" s="146" t="s">
        <v>353</v>
      </c>
      <c r="X11" s="144" t="s">
        <v>8</v>
      </c>
      <c r="Y11" s="172" t="s">
        <v>51</v>
      </c>
      <c r="Z11" s="173"/>
      <c r="AA11" s="174"/>
    </row>
    <row r="12" spans="1:28" x14ac:dyDescent="0.25">
      <c r="A12" s="143">
        <v>45925</v>
      </c>
      <c r="B12" s="144">
        <v>6</v>
      </c>
      <c r="C12" s="145"/>
      <c r="D12" s="144" t="s">
        <v>92</v>
      </c>
      <c r="E12" s="146">
        <v>1.04</v>
      </c>
      <c r="F12" s="147">
        <v>1</v>
      </c>
      <c r="G12" s="147">
        <v>3</v>
      </c>
      <c r="H12" s="148">
        <v>2.0699999999999998</v>
      </c>
      <c r="I12" s="145"/>
      <c r="J12" s="144" t="s">
        <v>113</v>
      </c>
      <c r="K12" s="149"/>
      <c r="L12" s="150">
        <v>88</v>
      </c>
      <c r="M12" s="26" t="s">
        <v>113</v>
      </c>
      <c r="N12" s="26" t="s">
        <v>500</v>
      </c>
      <c r="O12" s="26" t="s">
        <v>501</v>
      </c>
      <c r="P12" s="26" t="s">
        <v>713</v>
      </c>
      <c r="Q12" s="213">
        <v>85</v>
      </c>
      <c r="R12" s="26" t="s">
        <v>41</v>
      </c>
      <c r="S12" s="26" t="s">
        <v>45</v>
      </c>
      <c r="T12" s="43" t="s">
        <v>20</v>
      </c>
      <c r="U12" s="171">
        <v>0.1</v>
      </c>
      <c r="V12" s="146">
        <v>0.49</v>
      </c>
      <c r="W12" s="146" t="s">
        <v>353</v>
      </c>
      <c r="X12" s="144" t="s">
        <v>8</v>
      </c>
      <c r="Y12" s="172" t="s">
        <v>58</v>
      </c>
      <c r="Z12" s="173" t="s">
        <v>468</v>
      </c>
      <c r="AA12" s="174" t="s">
        <v>469</v>
      </c>
    </row>
    <row r="13" spans="1:28" ht="15.75" thickBot="1" x14ac:dyDescent="0.3">
      <c r="A13" s="151">
        <v>45925</v>
      </c>
      <c r="B13" s="152">
        <v>6</v>
      </c>
      <c r="C13" s="153"/>
      <c r="D13" s="152" t="s">
        <v>92</v>
      </c>
      <c r="E13" s="154">
        <v>1.04</v>
      </c>
      <c r="F13" s="155">
        <v>1</v>
      </c>
      <c r="G13" s="155">
        <v>3</v>
      </c>
      <c r="H13" s="156">
        <v>2.0699999999999998</v>
      </c>
      <c r="I13" s="153"/>
      <c r="J13" s="152" t="s">
        <v>113</v>
      </c>
      <c r="K13" s="157"/>
      <c r="L13" s="158">
        <v>90</v>
      </c>
      <c r="M13" s="66" t="s">
        <v>92</v>
      </c>
      <c r="N13" s="66" t="s">
        <v>504</v>
      </c>
      <c r="O13" s="66" t="s">
        <v>512</v>
      </c>
      <c r="P13" s="66" t="s">
        <v>689</v>
      </c>
      <c r="Q13" s="219">
        <v>66</v>
      </c>
      <c r="R13" s="66" t="s">
        <v>47</v>
      </c>
      <c r="S13" s="66" t="s">
        <v>42</v>
      </c>
      <c r="T13" s="67" t="s">
        <v>18</v>
      </c>
      <c r="U13" s="175">
        <v>0.14000000000000001</v>
      </c>
      <c r="V13" s="154">
        <v>0.12</v>
      </c>
      <c r="W13" s="154" t="s">
        <v>353</v>
      </c>
      <c r="X13" s="152" t="s">
        <v>48</v>
      </c>
      <c r="Y13" s="176" t="s">
        <v>58</v>
      </c>
      <c r="Z13" s="177"/>
      <c r="AA13" s="178"/>
    </row>
    <row r="14" spans="1:28" ht="15.75" thickBot="1" x14ac:dyDescent="0.3">
      <c r="A14" s="206">
        <v>45925</v>
      </c>
      <c r="B14" s="207">
        <v>6</v>
      </c>
      <c r="C14" s="208"/>
      <c r="D14" s="207" t="s">
        <v>92</v>
      </c>
      <c r="E14" s="209">
        <v>1.04</v>
      </c>
      <c r="F14" s="210">
        <v>1</v>
      </c>
      <c r="G14" s="210">
        <v>3</v>
      </c>
      <c r="H14" s="211">
        <v>2.0699999999999998</v>
      </c>
      <c r="I14" s="208"/>
      <c r="J14" s="207" t="s">
        <v>113</v>
      </c>
      <c r="K14" s="235"/>
      <c r="L14" s="198"/>
      <c r="M14" s="199" t="s">
        <v>92</v>
      </c>
      <c r="N14" s="199" t="s">
        <v>432</v>
      </c>
      <c r="O14" s="199" t="s">
        <v>472</v>
      </c>
      <c r="P14" s="199" t="s">
        <v>707</v>
      </c>
      <c r="Q14" s="200">
        <v>72</v>
      </c>
      <c r="R14" s="199"/>
      <c r="S14" s="199"/>
      <c r="T14" s="201"/>
      <c r="U14" s="202"/>
      <c r="V14" s="203"/>
      <c r="W14" s="203">
        <v>3</v>
      </c>
      <c r="X14" s="199"/>
      <c r="Y14" s="204"/>
      <c r="Z14" s="205"/>
      <c r="AA14" s="201"/>
    </row>
    <row r="15" spans="1:28" ht="15.75" thickBot="1" x14ac:dyDescent="0.3">
      <c r="A15" s="206">
        <v>45925</v>
      </c>
      <c r="B15" s="207">
        <v>6</v>
      </c>
      <c r="C15" s="208"/>
      <c r="D15" s="207" t="s">
        <v>92</v>
      </c>
      <c r="E15" s="209">
        <v>1.04</v>
      </c>
      <c r="F15" s="210">
        <v>1</v>
      </c>
      <c r="G15" s="210">
        <v>3</v>
      </c>
      <c r="H15" s="211">
        <v>2.0699999999999998</v>
      </c>
      <c r="I15" s="208"/>
      <c r="J15" s="207" t="s">
        <v>113</v>
      </c>
      <c r="K15" s="235"/>
      <c r="L15" s="198"/>
      <c r="M15" s="199" t="s">
        <v>113</v>
      </c>
      <c r="N15" s="199" t="s">
        <v>475</v>
      </c>
      <c r="O15" s="199" t="s">
        <v>75</v>
      </c>
      <c r="P15" s="199" t="s">
        <v>707</v>
      </c>
      <c r="Q15" s="200">
        <v>63</v>
      </c>
      <c r="R15" s="199"/>
      <c r="S15" s="199"/>
      <c r="T15" s="201"/>
      <c r="U15" s="202"/>
      <c r="V15" s="203"/>
      <c r="W15" s="203">
        <v>1</v>
      </c>
      <c r="X15" s="199"/>
      <c r="Y15" s="204"/>
      <c r="Z15" s="205"/>
      <c r="AA15" s="201"/>
    </row>
    <row r="16" spans="1:28" x14ac:dyDescent="0.25">
      <c r="A16" s="143">
        <v>45934</v>
      </c>
      <c r="B16" s="144">
        <v>8</v>
      </c>
      <c r="C16" s="145"/>
      <c r="D16" s="144" t="s">
        <v>92</v>
      </c>
      <c r="E16" s="146">
        <v>1.31</v>
      </c>
      <c r="F16" s="147">
        <v>0</v>
      </c>
      <c r="G16" s="147">
        <v>2</v>
      </c>
      <c r="H16" s="148">
        <v>1.94</v>
      </c>
      <c r="I16" s="145"/>
      <c r="J16" s="144" t="s">
        <v>129</v>
      </c>
      <c r="K16" s="149"/>
      <c r="L16" s="150">
        <v>61</v>
      </c>
      <c r="M16" s="61" t="s">
        <v>92</v>
      </c>
      <c r="N16" s="61" t="s">
        <v>287</v>
      </c>
      <c r="O16" s="61" t="s">
        <v>294</v>
      </c>
      <c r="P16" s="61" t="s">
        <v>696</v>
      </c>
      <c r="Q16" s="218">
        <v>63</v>
      </c>
      <c r="R16" s="61" t="s">
        <v>47</v>
      </c>
      <c r="S16" s="61" t="s">
        <v>45</v>
      </c>
      <c r="T16" s="63" t="s">
        <v>29</v>
      </c>
      <c r="U16" s="171">
        <v>0.18</v>
      </c>
      <c r="V16" s="146" t="s">
        <v>53</v>
      </c>
      <c r="W16" s="146" t="s">
        <v>353</v>
      </c>
      <c r="X16" s="144" t="s">
        <v>13</v>
      </c>
      <c r="Y16" s="172" t="s">
        <v>9</v>
      </c>
      <c r="Z16" s="173"/>
      <c r="AA16" s="174"/>
    </row>
    <row r="17" spans="1:27" x14ac:dyDescent="0.25">
      <c r="A17" s="143">
        <v>45934</v>
      </c>
      <c r="B17" s="144">
        <v>8</v>
      </c>
      <c r="C17" s="145"/>
      <c r="D17" s="144" t="s">
        <v>92</v>
      </c>
      <c r="E17" s="146">
        <v>1.31</v>
      </c>
      <c r="F17" s="147">
        <v>0</v>
      </c>
      <c r="G17" s="147">
        <v>2</v>
      </c>
      <c r="H17" s="148">
        <v>1.94</v>
      </c>
      <c r="I17" s="145"/>
      <c r="J17" s="144" t="s">
        <v>129</v>
      </c>
      <c r="K17" s="149"/>
      <c r="L17" s="150">
        <v>72</v>
      </c>
      <c r="M17" s="26" t="s">
        <v>129</v>
      </c>
      <c r="N17" s="26" t="s">
        <v>104</v>
      </c>
      <c r="O17" s="26" t="s">
        <v>105</v>
      </c>
      <c r="P17" s="26" t="s">
        <v>718</v>
      </c>
      <c r="Q17" s="213">
        <v>71</v>
      </c>
      <c r="R17" s="26" t="s">
        <v>47</v>
      </c>
      <c r="S17" s="26" t="s">
        <v>42</v>
      </c>
      <c r="T17" s="43" t="s">
        <v>20</v>
      </c>
      <c r="U17" s="171">
        <v>0.98</v>
      </c>
      <c r="V17" s="146">
        <v>0.99</v>
      </c>
      <c r="W17" s="146" t="s">
        <v>353</v>
      </c>
      <c r="X17" s="144" t="s">
        <v>8</v>
      </c>
      <c r="Y17" s="172" t="s">
        <v>11</v>
      </c>
      <c r="Z17" s="173"/>
      <c r="AA17" s="174"/>
    </row>
    <row r="18" spans="1:27" x14ac:dyDescent="0.25">
      <c r="A18" s="143">
        <v>45934</v>
      </c>
      <c r="B18" s="144">
        <v>8</v>
      </c>
      <c r="C18" s="145"/>
      <c r="D18" s="144" t="s">
        <v>92</v>
      </c>
      <c r="E18" s="146">
        <v>1.31</v>
      </c>
      <c r="F18" s="147">
        <v>0</v>
      </c>
      <c r="G18" s="147">
        <v>2</v>
      </c>
      <c r="H18" s="148">
        <v>1.94</v>
      </c>
      <c r="I18" s="145"/>
      <c r="J18" s="144" t="s">
        <v>129</v>
      </c>
      <c r="K18" s="149"/>
      <c r="L18" s="150" t="s">
        <v>31</v>
      </c>
      <c r="M18" s="61" t="s">
        <v>92</v>
      </c>
      <c r="N18" s="61" t="s">
        <v>110</v>
      </c>
      <c r="O18" s="61" t="s">
        <v>111</v>
      </c>
      <c r="P18" s="61" t="s">
        <v>696</v>
      </c>
      <c r="Q18" s="218">
        <v>66</v>
      </c>
      <c r="R18" s="61" t="s">
        <v>47</v>
      </c>
      <c r="S18" s="61" t="s">
        <v>42</v>
      </c>
      <c r="T18" s="63" t="s">
        <v>20</v>
      </c>
      <c r="U18" s="171">
        <v>0.41</v>
      </c>
      <c r="V18" s="146">
        <v>0.26</v>
      </c>
      <c r="W18" s="146" t="s">
        <v>353</v>
      </c>
      <c r="X18" s="144" t="s">
        <v>48</v>
      </c>
      <c r="Y18" s="172" t="s">
        <v>11</v>
      </c>
      <c r="Z18" s="173"/>
      <c r="AA18" s="174"/>
    </row>
    <row r="19" spans="1:27" ht="15.75" thickBot="1" x14ac:dyDescent="0.3">
      <c r="A19" s="151">
        <v>45934</v>
      </c>
      <c r="B19" s="152">
        <v>8</v>
      </c>
      <c r="C19" s="153"/>
      <c r="D19" s="152" t="s">
        <v>92</v>
      </c>
      <c r="E19" s="154">
        <v>1.31</v>
      </c>
      <c r="F19" s="155">
        <v>0</v>
      </c>
      <c r="G19" s="155">
        <v>2</v>
      </c>
      <c r="H19" s="156">
        <v>1.94</v>
      </c>
      <c r="I19" s="153"/>
      <c r="J19" s="152" t="s">
        <v>129</v>
      </c>
      <c r="K19" s="157"/>
      <c r="L19" s="158" t="s">
        <v>31</v>
      </c>
      <c r="M19" s="66" t="s">
        <v>92</v>
      </c>
      <c r="N19" s="66" t="s">
        <v>176</v>
      </c>
      <c r="O19" s="66" t="s">
        <v>368</v>
      </c>
      <c r="P19" s="66" t="s">
        <v>696</v>
      </c>
      <c r="Q19" s="219">
        <v>66</v>
      </c>
      <c r="R19" s="66" t="s">
        <v>41</v>
      </c>
      <c r="S19" s="66" t="s">
        <v>42</v>
      </c>
      <c r="T19" s="67" t="s">
        <v>20</v>
      </c>
      <c r="U19" s="175">
        <v>0.11</v>
      </c>
      <c r="V19" s="154" t="s">
        <v>53</v>
      </c>
      <c r="W19" s="154" t="s">
        <v>353</v>
      </c>
      <c r="X19" s="152" t="s">
        <v>52</v>
      </c>
      <c r="Y19" s="176" t="s">
        <v>11</v>
      </c>
      <c r="Z19" s="177"/>
      <c r="AA19" s="178"/>
    </row>
    <row r="20" spans="1:27" ht="15.75" thickBot="1" x14ac:dyDescent="0.3">
      <c r="A20" s="206">
        <v>45934</v>
      </c>
      <c r="B20" s="207">
        <v>8</v>
      </c>
      <c r="C20" s="208"/>
      <c r="D20" s="207" t="s">
        <v>92</v>
      </c>
      <c r="E20" s="209">
        <v>1.31</v>
      </c>
      <c r="F20" s="210">
        <v>0</v>
      </c>
      <c r="G20" s="210">
        <v>2</v>
      </c>
      <c r="H20" s="211">
        <v>1.94</v>
      </c>
      <c r="I20" s="208"/>
      <c r="J20" s="207" t="s">
        <v>129</v>
      </c>
      <c r="K20" s="235"/>
      <c r="L20" s="198"/>
      <c r="M20" s="199" t="s">
        <v>92</v>
      </c>
      <c r="N20" s="199" t="s">
        <v>432</v>
      </c>
      <c r="O20" s="199" t="s">
        <v>472</v>
      </c>
      <c r="P20" s="199" t="s">
        <v>707</v>
      </c>
      <c r="Q20" s="200">
        <v>69</v>
      </c>
      <c r="R20" s="199"/>
      <c r="S20" s="199"/>
      <c r="T20" s="201"/>
      <c r="U20" s="202"/>
      <c r="V20" s="203"/>
      <c r="W20" s="203">
        <v>2</v>
      </c>
      <c r="X20" s="199"/>
      <c r="Y20" s="204"/>
      <c r="Z20" s="205"/>
      <c r="AA20" s="201"/>
    </row>
    <row r="21" spans="1:27" ht="15.75" thickBot="1" x14ac:dyDescent="0.3">
      <c r="A21" s="206">
        <v>45934</v>
      </c>
      <c r="B21" s="207">
        <v>8</v>
      </c>
      <c r="C21" s="208"/>
      <c r="D21" s="207" t="s">
        <v>92</v>
      </c>
      <c r="E21" s="209">
        <v>1.31</v>
      </c>
      <c r="F21" s="210">
        <v>0</v>
      </c>
      <c r="G21" s="210">
        <v>2</v>
      </c>
      <c r="H21" s="211">
        <v>1.94</v>
      </c>
      <c r="I21" s="208"/>
      <c r="J21" s="207" t="s">
        <v>129</v>
      </c>
      <c r="K21" s="235"/>
      <c r="L21" s="198"/>
      <c r="M21" s="199" t="s">
        <v>129</v>
      </c>
      <c r="N21" s="199" t="s">
        <v>731</v>
      </c>
      <c r="O21" s="199" t="s">
        <v>732</v>
      </c>
      <c r="P21" s="199" t="s">
        <v>707</v>
      </c>
      <c r="Q21" s="200">
        <v>78</v>
      </c>
      <c r="R21" s="199"/>
      <c r="S21" s="199"/>
      <c r="T21" s="201"/>
      <c r="U21" s="202"/>
      <c r="V21" s="203"/>
      <c r="W21" s="203">
        <v>0</v>
      </c>
      <c r="X21" s="199"/>
      <c r="Y21" s="204"/>
      <c r="Z21" s="205"/>
      <c r="AA21" s="201"/>
    </row>
    <row r="22" spans="1:27" x14ac:dyDescent="0.25">
      <c r="A22" s="29">
        <v>45893</v>
      </c>
      <c r="B22" s="5">
        <v>2</v>
      </c>
      <c r="D22" s="5" t="s">
        <v>146</v>
      </c>
      <c r="E22" s="6">
        <v>1.0900000000000001</v>
      </c>
      <c r="F22" s="7">
        <v>2</v>
      </c>
      <c r="G22" s="7">
        <v>2</v>
      </c>
      <c r="H22" s="8">
        <v>1.81</v>
      </c>
      <c r="J22" s="5" t="s">
        <v>192</v>
      </c>
      <c r="L22" s="56">
        <v>10</v>
      </c>
      <c r="M22" s="26" t="s">
        <v>192</v>
      </c>
      <c r="N22" s="26" t="s">
        <v>198</v>
      </c>
      <c r="O22" s="26" t="s">
        <v>199</v>
      </c>
      <c r="P22" s="26" t="s">
        <v>699</v>
      </c>
      <c r="Q22" s="213">
        <v>79</v>
      </c>
      <c r="R22" s="26" t="s">
        <v>41</v>
      </c>
      <c r="S22" s="26" t="s">
        <v>45</v>
      </c>
      <c r="T22" s="43" t="s">
        <v>18</v>
      </c>
      <c r="U22" s="51">
        <v>0.28000000000000003</v>
      </c>
      <c r="V22" s="6">
        <v>0.74</v>
      </c>
      <c r="W22" s="6" t="s">
        <v>353</v>
      </c>
      <c r="X22" s="5" t="s">
        <v>8</v>
      </c>
      <c r="Y22" s="112" t="s">
        <v>9</v>
      </c>
      <c r="Z22" s="108" t="s">
        <v>410</v>
      </c>
      <c r="AA22" s="57" t="s">
        <v>361</v>
      </c>
    </row>
    <row r="23" spans="1:27" x14ac:dyDescent="0.25">
      <c r="A23" s="29">
        <v>45893</v>
      </c>
      <c r="B23" s="5">
        <v>2</v>
      </c>
      <c r="D23" s="5" t="s">
        <v>146</v>
      </c>
      <c r="E23" s="6">
        <v>1.0900000000000001</v>
      </c>
      <c r="F23" s="7">
        <v>2</v>
      </c>
      <c r="G23" s="7">
        <v>2</v>
      </c>
      <c r="H23" s="8">
        <v>1.81</v>
      </c>
      <c r="J23" s="5" t="s">
        <v>192</v>
      </c>
      <c r="L23" s="56">
        <v>30</v>
      </c>
      <c r="M23" s="61" t="s">
        <v>146</v>
      </c>
      <c r="N23" s="61" t="s">
        <v>159</v>
      </c>
      <c r="O23" s="61" t="s">
        <v>160</v>
      </c>
      <c r="P23" s="61" t="s">
        <v>684</v>
      </c>
      <c r="Q23" s="218">
        <v>66</v>
      </c>
      <c r="R23" s="61" t="s">
        <v>41</v>
      </c>
      <c r="S23" s="61" t="s">
        <v>45</v>
      </c>
      <c r="T23" s="63" t="s">
        <v>10</v>
      </c>
      <c r="U23" s="51">
        <v>0.06</v>
      </c>
      <c r="V23" s="6" t="s">
        <v>53</v>
      </c>
      <c r="W23" s="6" t="s">
        <v>353</v>
      </c>
      <c r="X23" s="5" t="s">
        <v>22</v>
      </c>
      <c r="Y23" s="112" t="s">
        <v>9</v>
      </c>
    </row>
    <row r="24" spans="1:27" x14ac:dyDescent="0.25">
      <c r="A24" s="29">
        <v>45893</v>
      </c>
      <c r="B24" s="5">
        <v>2</v>
      </c>
      <c r="D24" s="5" t="s">
        <v>146</v>
      </c>
      <c r="E24" s="6">
        <v>1.0900000000000001</v>
      </c>
      <c r="F24" s="7">
        <v>2</v>
      </c>
      <c r="G24" s="7">
        <v>2</v>
      </c>
      <c r="H24" s="8">
        <v>1.81</v>
      </c>
      <c r="J24" s="5" t="s">
        <v>192</v>
      </c>
      <c r="L24" s="56" t="s">
        <v>68</v>
      </c>
      <c r="M24" s="26" t="s">
        <v>192</v>
      </c>
      <c r="N24" s="26" t="s">
        <v>278</v>
      </c>
      <c r="O24" s="26" t="s">
        <v>279</v>
      </c>
      <c r="P24" s="26" t="s">
        <v>685</v>
      </c>
      <c r="Q24" s="213">
        <v>70</v>
      </c>
      <c r="R24" s="26" t="s">
        <v>41</v>
      </c>
      <c r="S24" s="26" t="s">
        <v>42</v>
      </c>
      <c r="T24" s="43" t="s">
        <v>7</v>
      </c>
      <c r="U24" s="51">
        <v>0.79</v>
      </c>
      <c r="V24" s="6">
        <v>0.93</v>
      </c>
      <c r="W24" s="6" t="s">
        <v>353</v>
      </c>
      <c r="X24" s="5" t="s">
        <v>8</v>
      </c>
      <c r="Y24" s="112" t="s">
        <v>11</v>
      </c>
    </row>
    <row r="25" spans="1:27" x14ac:dyDescent="0.25">
      <c r="A25" s="29">
        <v>45893</v>
      </c>
      <c r="B25" s="5">
        <v>2</v>
      </c>
      <c r="D25" s="5" t="s">
        <v>146</v>
      </c>
      <c r="E25" s="6">
        <v>1.0900000000000001</v>
      </c>
      <c r="F25" s="7">
        <v>2</v>
      </c>
      <c r="G25" s="7">
        <v>2</v>
      </c>
      <c r="H25" s="8">
        <v>1.81</v>
      </c>
      <c r="J25" s="5" t="s">
        <v>192</v>
      </c>
      <c r="L25" s="56">
        <v>69</v>
      </c>
      <c r="M25" s="61" t="s">
        <v>146</v>
      </c>
      <c r="N25" s="61" t="s">
        <v>157</v>
      </c>
      <c r="O25" s="61" t="s">
        <v>158</v>
      </c>
      <c r="P25" s="61" t="s">
        <v>696</v>
      </c>
      <c r="Q25" s="218">
        <v>74</v>
      </c>
      <c r="R25" s="61" t="s">
        <v>41</v>
      </c>
      <c r="S25" s="61" t="s">
        <v>42</v>
      </c>
      <c r="T25" s="63" t="s">
        <v>10</v>
      </c>
      <c r="U25" s="51">
        <v>0.21</v>
      </c>
      <c r="V25" s="6">
        <v>0.71</v>
      </c>
      <c r="W25" s="6" t="s">
        <v>353</v>
      </c>
      <c r="X25" s="5" t="s">
        <v>8</v>
      </c>
      <c r="Y25" s="112" t="s">
        <v>189</v>
      </c>
      <c r="Z25" s="108" t="s">
        <v>159</v>
      </c>
      <c r="AA25" s="57" t="s">
        <v>160</v>
      </c>
    </row>
    <row r="26" spans="1:27" ht="15.75" thickBot="1" x14ac:dyDescent="0.3">
      <c r="A26" s="30">
        <v>45893</v>
      </c>
      <c r="B26" s="9">
        <v>2</v>
      </c>
      <c r="C26" s="122"/>
      <c r="D26" s="9" t="s">
        <v>146</v>
      </c>
      <c r="E26" s="10">
        <v>1.0900000000000001</v>
      </c>
      <c r="F26" s="11">
        <v>2</v>
      </c>
      <c r="G26" s="11">
        <v>2</v>
      </c>
      <c r="H26" s="12">
        <v>1.81</v>
      </c>
      <c r="I26" s="122"/>
      <c r="J26" s="9" t="s">
        <v>192</v>
      </c>
      <c r="K26" s="45"/>
      <c r="L26" s="97">
        <v>73</v>
      </c>
      <c r="M26" s="66" t="s">
        <v>146</v>
      </c>
      <c r="N26" s="66" t="s">
        <v>153</v>
      </c>
      <c r="O26" s="66" t="s">
        <v>154</v>
      </c>
      <c r="P26" s="66" t="s">
        <v>696</v>
      </c>
      <c r="Q26" s="219">
        <v>71</v>
      </c>
      <c r="R26" s="66" t="s">
        <v>41</v>
      </c>
      <c r="S26" s="66" t="s">
        <v>43</v>
      </c>
      <c r="T26" s="67" t="s">
        <v>10</v>
      </c>
      <c r="U26" s="52">
        <v>0.27</v>
      </c>
      <c r="V26" s="10">
        <v>0.56000000000000005</v>
      </c>
      <c r="W26" s="10" t="s">
        <v>353</v>
      </c>
      <c r="X26" s="9" t="s">
        <v>48</v>
      </c>
      <c r="Y26" s="113" t="s">
        <v>189</v>
      </c>
      <c r="Z26" s="109"/>
      <c r="AA26" s="58"/>
    </row>
    <row r="27" spans="1:27" ht="15.75" thickBot="1" x14ac:dyDescent="0.3">
      <c r="A27" s="206">
        <v>45893</v>
      </c>
      <c r="B27" s="207">
        <v>2</v>
      </c>
      <c r="C27" s="208"/>
      <c r="D27" s="207" t="s">
        <v>146</v>
      </c>
      <c r="E27" s="209">
        <v>1.0900000000000001</v>
      </c>
      <c r="F27" s="210">
        <v>2</v>
      </c>
      <c r="G27" s="210">
        <v>2</v>
      </c>
      <c r="H27" s="211">
        <v>1.81</v>
      </c>
      <c r="I27" s="208"/>
      <c r="J27" s="207" t="s">
        <v>192</v>
      </c>
      <c r="K27" s="197"/>
      <c r="L27" s="198"/>
      <c r="M27" s="199" t="s">
        <v>146</v>
      </c>
      <c r="N27" s="199" t="s">
        <v>257</v>
      </c>
      <c r="O27" s="199" t="s">
        <v>423</v>
      </c>
      <c r="P27" s="199" t="s">
        <v>707</v>
      </c>
      <c r="Q27" s="200">
        <v>67</v>
      </c>
      <c r="R27" s="199"/>
      <c r="S27" s="199"/>
      <c r="T27" s="201"/>
      <c r="U27" s="202"/>
      <c r="V27" s="203"/>
      <c r="W27" s="203">
        <v>2</v>
      </c>
      <c r="X27" s="199"/>
      <c r="Y27" s="204"/>
      <c r="Z27" s="205"/>
      <c r="AA27" s="201"/>
    </row>
    <row r="28" spans="1:27" ht="15.75" thickBot="1" x14ac:dyDescent="0.3">
      <c r="A28" s="206">
        <v>45893</v>
      </c>
      <c r="B28" s="207">
        <v>2</v>
      </c>
      <c r="C28" s="208"/>
      <c r="D28" s="207" t="s">
        <v>146</v>
      </c>
      <c r="E28" s="209">
        <v>1.0900000000000001</v>
      </c>
      <c r="F28" s="210">
        <v>2</v>
      </c>
      <c r="G28" s="210">
        <v>2</v>
      </c>
      <c r="H28" s="211">
        <v>1.81</v>
      </c>
      <c r="I28" s="208"/>
      <c r="J28" s="207" t="s">
        <v>192</v>
      </c>
      <c r="K28" s="197"/>
      <c r="L28" s="198"/>
      <c r="M28" s="199" t="s">
        <v>192</v>
      </c>
      <c r="N28" s="199" t="s">
        <v>723</v>
      </c>
      <c r="O28" s="199" t="s">
        <v>724</v>
      </c>
      <c r="P28" s="199" t="s">
        <v>707</v>
      </c>
      <c r="Q28" s="200">
        <v>77</v>
      </c>
      <c r="R28" s="199"/>
      <c r="S28" s="199"/>
      <c r="T28" s="201"/>
      <c r="U28" s="202"/>
      <c r="V28" s="203"/>
      <c r="W28" s="203">
        <v>2</v>
      </c>
      <c r="X28" s="199"/>
      <c r="Y28" s="204"/>
      <c r="Z28" s="205"/>
      <c r="AA28" s="201"/>
    </row>
    <row r="29" spans="1:27" x14ac:dyDescent="0.25">
      <c r="A29" s="29">
        <v>45920</v>
      </c>
      <c r="B29" s="5">
        <v>5</v>
      </c>
      <c r="D29" s="5" t="s">
        <v>226</v>
      </c>
      <c r="E29" s="6">
        <v>1.18</v>
      </c>
      <c r="F29" s="7">
        <v>2</v>
      </c>
      <c r="G29" s="7">
        <v>0</v>
      </c>
      <c r="H29" s="8">
        <v>0.96</v>
      </c>
      <c r="J29" s="5" t="s">
        <v>192</v>
      </c>
      <c r="L29" s="56">
        <v>45</v>
      </c>
      <c r="M29" s="26" t="s">
        <v>192</v>
      </c>
      <c r="N29" s="26" t="s">
        <v>282</v>
      </c>
      <c r="O29" s="26" t="s">
        <v>283</v>
      </c>
      <c r="P29" s="26" t="s">
        <v>713</v>
      </c>
      <c r="Q29" s="213">
        <v>63</v>
      </c>
      <c r="R29" s="26" t="s">
        <v>47</v>
      </c>
      <c r="S29" s="26" t="s">
        <v>43</v>
      </c>
      <c r="T29" s="43" t="s">
        <v>33</v>
      </c>
      <c r="U29" s="51">
        <v>0.56000000000000005</v>
      </c>
      <c r="V29" s="6" t="s">
        <v>53</v>
      </c>
      <c r="W29" s="6" t="s">
        <v>353</v>
      </c>
      <c r="X29" s="5" t="s">
        <v>13</v>
      </c>
      <c r="Y29" s="112" t="s">
        <v>19</v>
      </c>
    </row>
    <row r="30" spans="1:27" x14ac:dyDescent="0.25">
      <c r="A30" s="29">
        <v>45920</v>
      </c>
      <c r="B30" s="5">
        <v>5</v>
      </c>
      <c r="D30" s="5" t="s">
        <v>226</v>
      </c>
      <c r="E30" s="6">
        <v>1.18</v>
      </c>
      <c r="F30" s="7">
        <v>2</v>
      </c>
      <c r="G30" s="7">
        <v>0</v>
      </c>
      <c r="H30" s="8">
        <v>0.96</v>
      </c>
      <c r="J30" s="5" t="s">
        <v>192</v>
      </c>
      <c r="L30" s="56" t="s">
        <v>122</v>
      </c>
      <c r="M30" s="61" t="s">
        <v>226</v>
      </c>
      <c r="N30" s="61" t="s">
        <v>231</v>
      </c>
      <c r="O30" s="61" t="s">
        <v>232</v>
      </c>
      <c r="P30" s="61" t="s">
        <v>717</v>
      </c>
      <c r="Q30" s="218">
        <v>80</v>
      </c>
      <c r="R30" s="61" t="s">
        <v>41</v>
      </c>
      <c r="S30" s="61" t="s">
        <v>42</v>
      </c>
      <c r="T30" s="63" t="s">
        <v>18</v>
      </c>
      <c r="U30" s="51">
        <v>0.28000000000000003</v>
      </c>
      <c r="V30" s="6" t="s">
        <v>53</v>
      </c>
      <c r="W30" s="6" t="s">
        <v>353</v>
      </c>
      <c r="X30" s="5" t="s">
        <v>22</v>
      </c>
      <c r="Y30" s="112" t="s">
        <v>19</v>
      </c>
    </row>
    <row r="31" spans="1:27" x14ac:dyDescent="0.25">
      <c r="A31" s="29">
        <v>45920</v>
      </c>
      <c r="B31" s="5">
        <v>5</v>
      </c>
      <c r="D31" s="5" t="s">
        <v>226</v>
      </c>
      <c r="E31" s="6">
        <v>1.18</v>
      </c>
      <c r="F31" s="7">
        <v>2</v>
      </c>
      <c r="G31" s="7">
        <v>0</v>
      </c>
      <c r="H31" s="8">
        <v>0.96</v>
      </c>
      <c r="J31" s="5" t="s">
        <v>192</v>
      </c>
      <c r="L31" s="56">
        <v>66</v>
      </c>
      <c r="M31" s="61" t="s">
        <v>226</v>
      </c>
      <c r="N31" s="61" t="s">
        <v>231</v>
      </c>
      <c r="O31" s="61" t="s">
        <v>232</v>
      </c>
      <c r="P31" s="61" t="s">
        <v>717</v>
      </c>
      <c r="Q31" s="218">
        <v>80</v>
      </c>
      <c r="R31" s="61" t="s">
        <v>47</v>
      </c>
      <c r="S31" s="61" t="s">
        <v>42</v>
      </c>
      <c r="T31" s="63" t="s">
        <v>540</v>
      </c>
      <c r="U31" s="51">
        <v>0.18</v>
      </c>
      <c r="V31" s="6">
        <v>0.5</v>
      </c>
      <c r="W31" s="6" t="s">
        <v>353</v>
      </c>
      <c r="X31" s="5" t="s">
        <v>48</v>
      </c>
      <c r="Y31" s="112" t="s">
        <v>24</v>
      </c>
    </row>
    <row r="32" spans="1:27" x14ac:dyDescent="0.25">
      <c r="A32" s="29">
        <v>45920</v>
      </c>
      <c r="B32" s="5">
        <v>5</v>
      </c>
      <c r="D32" s="5" t="s">
        <v>226</v>
      </c>
      <c r="E32" s="6">
        <v>1.18</v>
      </c>
      <c r="F32" s="7">
        <v>2</v>
      </c>
      <c r="G32" s="7">
        <v>0</v>
      </c>
      <c r="H32" s="8">
        <v>0.96</v>
      </c>
      <c r="J32" s="5" t="s">
        <v>192</v>
      </c>
      <c r="L32" s="56">
        <v>66</v>
      </c>
      <c r="M32" s="61" t="s">
        <v>226</v>
      </c>
      <c r="N32" s="61" t="s">
        <v>289</v>
      </c>
      <c r="O32" s="61" t="s">
        <v>54</v>
      </c>
      <c r="P32" s="61" t="s">
        <v>685</v>
      </c>
      <c r="Q32" s="218">
        <v>74</v>
      </c>
      <c r="R32" s="61" t="s">
        <v>47</v>
      </c>
      <c r="S32" s="61" t="s">
        <v>43</v>
      </c>
      <c r="T32" s="63" t="s">
        <v>540</v>
      </c>
      <c r="U32" s="51">
        <v>0.16</v>
      </c>
      <c r="V32" s="6" t="s">
        <v>53</v>
      </c>
      <c r="W32" s="6" t="s">
        <v>353</v>
      </c>
      <c r="X32" s="5" t="s">
        <v>17</v>
      </c>
      <c r="Y32" s="112" t="s">
        <v>24</v>
      </c>
    </row>
    <row r="33" spans="1:27" ht="15.75" thickBot="1" x14ac:dyDescent="0.3">
      <c r="A33" s="206">
        <v>45920</v>
      </c>
      <c r="B33" s="207">
        <v>5</v>
      </c>
      <c r="C33" s="208"/>
      <c r="D33" s="207" t="s">
        <v>226</v>
      </c>
      <c r="E33" s="209">
        <v>1.18</v>
      </c>
      <c r="F33" s="210">
        <v>2</v>
      </c>
      <c r="G33" s="210">
        <v>0</v>
      </c>
      <c r="H33" s="211">
        <v>0.96</v>
      </c>
      <c r="I33" s="208"/>
      <c r="J33" s="207" t="s">
        <v>192</v>
      </c>
      <c r="K33" s="235"/>
      <c r="L33" s="198"/>
      <c r="M33" s="199" t="s">
        <v>226</v>
      </c>
      <c r="N33" s="199" t="s">
        <v>726</v>
      </c>
      <c r="O33" s="199" t="s">
        <v>727</v>
      </c>
      <c r="P33" s="199" t="s">
        <v>707</v>
      </c>
      <c r="Q33" s="200">
        <v>70</v>
      </c>
      <c r="R33" s="199"/>
      <c r="S33" s="199"/>
      <c r="T33" s="201"/>
      <c r="U33" s="202"/>
      <c r="V33" s="203"/>
      <c r="W33" s="203">
        <v>0</v>
      </c>
      <c r="X33" s="199"/>
      <c r="Y33" s="204"/>
      <c r="Z33" s="205"/>
      <c r="AA33" s="201"/>
    </row>
    <row r="34" spans="1:27" ht="15.75" thickBot="1" x14ac:dyDescent="0.3">
      <c r="A34" s="206">
        <v>45920</v>
      </c>
      <c r="B34" s="207">
        <v>5</v>
      </c>
      <c r="C34" s="208"/>
      <c r="D34" s="207" t="s">
        <v>226</v>
      </c>
      <c r="E34" s="209">
        <v>1.18</v>
      </c>
      <c r="F34" s="210">
        <v>2</v>
      </c>
      <c r="G34" s="210">
        <v>0</v>
      </c>
      <c r="H34" s="211">
        <v>0.96</v>
      </c>
      <c r="I34" s="208"/>
      <c r="J34" s="207" t="s">
        <v>192</v>
      </c>
      <c r="K34" s="235"/>
      <c r="L34" s="198"/>
      <c r="M34" s="199" t="s">
        <v>192</v>
      </c>
      <c r="N34" s="199" t="s">
        <v>723</v>
      </c>
      <c r="O34" s="199" t="s">
        <v>724</v>
      </c>
      <c r="P34" s="199" t="s">
        <v>707</v>
      </c>
      <c r="Q34" s="200">
        <v>72</v>
      </c>
      <c r="R34" s="199"/>
      <c r="S34" s="199"/>
      <c r="T34" s="201"/>
      <c r="U34" s="202"/>
      <c r="V34" s="203"/>
      <c r="W34" s="203">
        <v>2</v>
      </c>
      <c r="X34" s="199"/>
      <c r="Y34" s="204"/>
      <c r="Z34" s="205"/>
      <c r="AA34" s="201"/>
    </row>
    <row r="35" spans="1:27" x14ac:dyDescent="0.25">
      <c r="A35" s="29">
        <v>45926</v>
      </c>
      <c r="B35" s="5">
        <v>7</v>
      </c>
      <c r="D35" s="5" t="s">
        <v>69</v>
      </c>
      <c r="E35" s="6">
        <v>1.0900000000000001</v>
      </c>
      <c r="F35" s="7">
        <v>0</v>
      </c>
      <c r="G35" s="7">
        <v>0</v>
      </c>
      <c r="H35" s="8">
        <v>1.17</v>
      </c>
      <c r="J35" s="5" t="s">
        <v>192</v>
      </c>
      <c r="L35" s="56">
        <v>52</v>
      </c>
      <c r="M35" s="61" t="s">
        <v>69</v>
      </c>
      <c r="N35" s="61" t="s">
        <v>389</v>
      </c>
      <c r="O35" s="61" t="s">
        <v>390</v>
      </c>
      <c r="P35" s="61" t="s">
        <v>717</v>
      </c>
      <c r="Q35" s="218">
        <v>68</v>
      </c>
      <c r="R35" s="61" t="s">
        <v>41</v>
      </c>
      <c r="S35" s="61" t="s">
        <v>43</v>
      </c>
      <c r="T35" s="63" t="s">
        <v>18</v>
      </c>
      <c r="U35" s="51">
        <v>0.55000000000000004</v>
      </c>
      <c r="V35" s="6">
        <v>0.68</v>
      </c>
      <c r="W35" s="6" t="s">
        <v>353</v>
      </c>
      <c r="X35" s="5" t="s">
        <v>48</v>
      </c>
      <c r="Y35" s="112" t="s">
        <v>28</v>
      </c>
    </row>
    <row r="36" spans="1:27" ht="15.75" thickBot="1" x14ac:dyDescent="0.3">
      <c r="A36" s="206">
        <v>45926</v>
      </c>
      <c r="B36" s="207">
        <v>7</v>
      </c>
      <c r="C36" s="208"/>
      <c r="D36" s="207" t="s">
        <v>69</v>
      </c>
      <c r="E36" s="209">
        <v>1.0900000000000001</v>
      </c>
      <c r="F36" s="210">
        <v>0</v>
      </c>
      <c r="G36" s="210">
        <v>0</v>
      </c>
      <c r="H36" s="211">
        <v>1.17</v>
      </c>
      <c r="I36" s="208"/>
      <c r="J36" s="207" t="s">
        <v>192</v>
      </c>
      <c r="K36" s="235"/>
      <c r="L36" s="198"/>
      <c r="M36" s="199" t="s">
        <v>69</v>
      </c>
      <c r="N36" s="199" t="s">
        <v>478</v>
      </c>
      <c r="O36" s="199" t="s">
        <v>479</v>
      </c>
      <c r="P36" s="199" t="s">
        <v>707</v>
      </c>
      <c r="Q36" s="200">
        <v>80</v>
      </c>
      <c r="R36" s="199"/>
      <c r="S36" s="199"/>
      <c r="T36" s="201"/>
      <c r="U36" s="202"/>
      <c r="V36" s="203"/>
      <c r="W36" s="203">
        <v>0</v>
      </c>
      <c r="X36" s="199"/>
      <c r="Y36" s="204"/>
      <c r="Z36" s="205"/>
      <c r="AA36" s="201"/>
    </row>
    <row r="37" spans="1:27" ht="15.75" thickBot="1" x14ac:dyDescent="0.3">
      <c r="A37" s="206">
        <v>45926</v>
      </c>
      <c r="B37" s="207">
        <v>7</v>
      </c>
      <c r="C37" s="208"/>
      <c r="D37" s="207" t="s">
        <v>69</v>
      </c>
      <c r="E37" s="209">
        <v>1.0900000000000001</v>
      </c>
      <c r="F37" s="210">
        <v>0</v>
      </c>
      <c r="G37" s="210">
        <v>0</v>
      </c>
      <c r="H37" s="211">
        <v>1.17</v>
      </c>
      <c r="I37" s="208"/>
      <c r="J37" s="207" t="s">
        <v>192</v>
      </c>
      <c r="K37" s="235"/>
      <c r="L37" s="198"/>
      <c r="M37" s="199" t="s">
        <v>192</v>
      </c>
      <c r="N37" s="199" t="s">
        <v>723</v>
      </c>
      <c r="O37" s="199" t="s">
        <v>724</v>
      </c>
      <c r="P37" s="199" t="s">
        <v>707</v>
      </c>
      <c r="Q37" s="200">
        <v>82</v>
      </c>
      <c r="R37" s="199"/>
      <c r="S37" s="199"/>
      <c r="T37" s="201"/>
      <c r="U37" s="202"/>
      <c r="V37" s="203"/>
      <c r="W37" s="203">
        <v>0</v>
      </c>
      <c r="X37" s="199"/>
      <c r="Y37" s="204"/>
      <c r="Z37" s="205"/>
      <c r="AA37" s="201"/>
    </row>
    <row r="38" spans="1:27" x14ac:dyDescent="0.25">
      <c r="A38" s="236"/>
      <c r="B38" s="237"/>
      <c r="C38" s="238"/>
      <c r="D38" s="237"/>
      <c r="E38" s="239"/>
      <c r="F38" s="240"/>
      <c r="G38" s="240"/>
      <c r="H38" s="241"/>
      <c r="I38" s="238"/>
      <c r="J38" s="237"/>
      <c r="K38" s="242"/>
      <c r="L38" s="243"/>
      <c r="M38" s="237"/>
      <c r="N38" s="237"/>
      <c r="O38" s="237"/>
      <c r="P38" s="237"/>
      <c r="Q38" s="240"/>
      <c r="R38" s="237"/>
      <c r="S38" s="237"/>
      <c r="T38" s="244"/>
      <c r="U38" s="245"/>
      <c r="V38" s="239"/>
      <c r="W38" s="239" t="s">
        <v>741</v>
      </c>
      <c r="X38" s="237"/>
      <c r="Y38" s="246"/>
      <c r="Z38" s="247"/>
      <c r="AA38" s="244"/>
    </row>
    <row r="39" spans="1:27" x14ac:dyDescent="0.25">
      <c r="A39" s="143">
        <v>45894</v>
      </c>
      <c r="B39" s="144">
        <v>2</v>
      </c>
      <c r="C39" s="145"/>
      <c r="D39" s="144" t="s">
        <v>171</v>
      </c>
      <c r="E39" s="146">
        <v>0.51</v>
      </c>
      <c r="F39" s="147">
        <v>1</v>
      </c>
      <c r="G39" s="147">
        <v>2</v>
      </c>
      <c r="H39" s="148">
        <v>0.71</v>
      </c>
      <c r="I39" s="145"/>
      <c r="J39" s="144" t="s">
        <v>161</v>
      </c>
      <c r="K39" s="149"/>
      <c r="L39" s="150">
        <v>39</v>
      </c>
      <c r="M39" s="61" t="s">
        <v>171</v>
      </c>
      <c r="N39" s="61" t="s">
        <v>181</v>
      </c>
      <c r="O39" s="61" t="s">
        <v>182</v>
      </c>
      <c r="P39" s="61" t="s">
        <v>684</v>
      </c>
      <c r="Q39" s="218">
        <v>62</v>
      </c>
      <c r="R39" s="61" t="s">
        <v>41</v>
      </c>
      <c r="S39" s="61" t="s">
        <v>45</v>
      </c>
      <c r="T39" s="63" t="s">
        <v>10</v>
      </c>
      <c r="U39" s="171">
        <v>0.11</v>
      </c>
      <c r="V39" s="146" t="s">
        <v>53</v>
      </c>
      <c r="W39" s="146" t="s">
        <v>353</v>
      </c>
      <c r="X39" s="144" t="s">
        <v>13</v>
      </c>
      <c r="Y39" s="172" t="s">
        <v>9</v>
      </c>
      <c r="Z39" s="173"/>
      <c r="AA39" s="174"/>
    </row>
    <row r="40" spans="1:27" x14ac:dyDescent="0.25">
      <c r="A40" s="143">
        <v>45894</v>
      </c>
      <c r="B40" s="144">
        <v>2</v>
      </c>
      <c r="C40" s="145"/>
      <c r="D40" s="144" t="s">
        <v>171</v>
      </c>
      <c r="E40" s="146">
        <v>0.51</v>
      </c>
      <c r="F40" s="147">
        <v>1</v>
      </c>
      <c r="G40" s="147">
        <v>2</v>
      </c>
      <c r="H40" s="148">
        <v>0.71</v>
      </c>
      <c r="I40" s="145"/>
      <c r="J40" s="144" t="s">
        <v>161</v>
      </c>
      <c r="K40" s="149"/>
      <c r="L40" s="150" t="s">
        <v>123</v>
      </c>
      <c r="M40" s="26" t="s">
        <v>161</v>
      </c>
      <c r="N40" s="26" t="s">
        <v>26</v>
      </c>
      <c r="O40" s="26" t="s">
        <v>302</v>
      </c>
      <c r="P40" s="26" t="s">
        <v>695</v>
      </c>
      <c r="Q40" s="213">
        <v>63</v>
      </c>
      <c r="R40" s="26" t="s">
        <v>41</v>
      </c>
      <c r="S40" s="26" t="s">
        <v>42</v>
      </c>
      <c r="T40" s="43" t="s">
        <v>540</v>
      </c>
      <c r="U40" s="171">
        <v>0.17</v>
      </c>
      <c r="V40" s="146">
        <v>0.24</v>
      </c>
      <c r="W40" s="146" t="s">
        <v>353</v>
      </c>
      <c r="X40" s="144" t="s">
        <v>48</v>
      </c>
      <c r="Y40" s="172" t="s">
        <v>51</v>
      </c>
      <c r="Z40" s="173"/>
      <c r="AA40" s="174"/>
    </row>
    <row r="41" spans="1:27" x14ac:dyDescent="0.25">
      <c r="A41" s="143">
        <v>45894</v>
      </c>
      <c r="B41" s="144">
        <v>2</v>
      </c>
      <c r="C41" s="145"/>
      <c r="D41" s="144" t="s">
        <v>171</v>
      </c>
      <c r="E41" s="146">
        <v>0.51</v>
      </c>
      <c r="F41" s="147">
        <v>1</v>
      </c>
      <c r="G41" s="147">
        <v>2</v>
      </c>
      <c r="H41" s="148">
        <v>0.71</v>
      </c>
      <c r="I41" s="145"/>
      <c r="J41" s="144" t="s">
        <v>161</v>
      </c>
      <c r="K41" s="149"/>
      <c r="L41" s="150" t="s">
        <v>123</v>
      </c>
      <c r="M41" s="26" t="s">
        <v>161</v>
      </c>
      <c r="N41" s="26" t="s">
        <v>167</v>
      </c>
      <c r="O41" s="26" t="s">
        <v>166</v>
      </c>
      <c r="P41" s="26" t="s">
        <v>717</v>
      </c>
      <c r="Q41" s="213">
        <v>61</v>
      </c>
      <c r="R41" s="26" t="s">
        <v>41</v>
      </c>
      <c r="S41" s="26" t="s">
        <v>42</v>
      </c>
      <c r="T41" s="43" t="s">
        <v>540</v>
      </c>
      <c r="U41" s="171">
        <v>0.23</v>
      </c>
      <c r="V41" s="146" t="s">
        <v>53</v>
      </c>
      <c r="W41" s="146" t="s">
        <v>353</v>
      </c>
      <c r="X41" s="144" t="s">
        <v>16</v>
      </c>
      <c r="Y41" s="172" t="s">
        <v>51</v>
      </c>
      <c r="Z41" s="173"/>
      <c r="AA41" s="174"/>
    </row>
    <row r="42" spans="1:27" x14ac:dyDescent="0.25">
      <c r="A42" s="143">
        <v>45894</v>
      </c>
      <c r="B42" s="144">
        <v>2</v>
      </c>
      <c r="C42" s="145"/>
      <c r="D42" s="144" t="s">
        <v>171</v>
      </c>
      <c r="E42" s="146">
        <v>0.51</v>
      </c>
      <c r="F42" s="147">
        <v>1</v>
      </c>
      <c r="G42" s="147">
        <v>2</v>
      </c>
      <c r="H42" s="148">
        <v>0.71</v>
      </c>
      <c r="I42" s="145"/>
      <c r="J42" s="144" t="s">
        <v>161</v>
      </c>
      <c r="K42" s="149"/>
      <c r="L42" s="150">
        <v>51</v>
      </c>
      <c r="M42" s="26" t="s">
        <v>161</v>
      </c>
      <c r="N42" s="26" t="s">
        <v>168</v>
      </c>
      <c r="O42" s="26" t="s">
        <v>169</v>
      </c>
      <c r="P42" s="26" t="s">
        <v>718</v>
      </c>
      <c r="Q42" s="213">
        <v>87</v>
      </c>
      <c r="R42" s="26" t="s">
        <v>44</v>
      </c>
      <c r="S42" s="26" t="s">
        <v>43</v>
      </c>
      <c r="T42" s="43" t="s">
        <v>18</v>
      </c>
      <c r="U42" s="171">
        <v>0.18</v>
      </c>
      <c r="V42" s="146">
        <v>0.28000000000000003</v>
      </c>
      <c r="W42" s="146" t="s">
        <v>353</v>
      </c>
      <c r="X42" s="144" t="s">
        <v>8</v>
      </c>
      <c r="Y42" s="172" t="s">
        <v>67</v>
      </c>
      <c r="Z42" s="173" t="s">
        <v>315</v>
      </c>
      <c r="AA42" s="174" t="s">
        <v>199</v>
      </c>
    </row>
    <row r="43" spans="1:27" ht="15.75" thickBot="1" x14ac:dyDescent="0.3">
      <c r="A43" s="206">
        <v>45894</v>
      </c>
      <c r="B43" s="207">
        <v>2</v>
      </c>
      <c r="C43" s="208"/>
      <c r="D43" s="207" t="s">
        <v>171</v>
      </c>
      <c r="E43" s="209">
        <v>0.51</v>
      </c>
      <c r="F43" s="210">
        <v>1</v>
      </c>
      <c r="G43" s="210">
        <v>2</v>
      </c>
      <c r="H43" s="211">
        <v>0.71</v>
      </c>
      <c r="I43" s="208"/>
      <c r="J43" s="207" t="s">
        <v>161</v>
      </c>
      <c r="K43" s="197"/>
      <c r="L43" s="198"/>
      <c r="M43" s="199" t="s">
        <v>171</v>
      </c>
      <c r="N43" s="199" t="s">
        <v>473</v>
      </c>
      <c r="O43" s="199" t="s">
        <v>474</v>
      </c>
      <c r="P43" s="199" t="s">
        <v>707</v>
      </c>
      <c r="Q43" s="200">
        <v>59</v>
      </c>
      <c r="R43" s="199"/>
      <c r="S43" s="199"/>
      <c r="T43" s="201"/>
      <c r="U43" s="202"/>
      <c r="V43" s="203"/>
      <c r="W43" s="203">
        <v>2</v>
      </c>
      <c r="X43" s="199"/>
      <c r="Y43" s="204"/>
      <c r="Z43" s="205"/>
      <c r="AA43" s="201"/>
    </row>
    <row r="44" spans="1:27" ht="15.75" thickBot="1" x14ac:dyDescent="0.3">
      <c r="A44" s="206">
        <v>45894</v>
      </c>
      <c r="B44" s="207">
        <v>2</v>
      </c>
      <c r="C44" s="208"/>
      <c r="D44" s="207" t="s">
        <v>171</v>
      </c>
      <c r="E44" s="209">
        <v>0.51</v>
      </c>
      <c r="F44" s="210">
        <v>1</v>
      </c>
      <c r="G44" s="210">
        <v>2</v>
      </c>
      <c r="H44" s="211">
        <v>0.71</v>
      </c>
      <c r="I44" s="208"/>
      <c r="J44" s="207" t="s">
        <v>161</v>
      </c>
      <c r="K44" s="197"/>
      <c r="L44" s="198"/>
      <c r="M44" s="199" t="s">
        <v>161</v>
      </c>
      <c r="N44" s="199" t="s">
        <v>316</v>
      </c>
      <c r="O44" s="199" t="s">
        <v>721</v>
      </c>
      <c r="P44" s="199" t="s">
        <v>707</v>
      </c>
      <c r="Q44" s="200">
        <v>62</v>
      </c>
      <c r="R44" s="199"/>
      <c r="S44" s="199"/>
      <c r="T44" s="201"/>
      <c r="U44" s="202"/>
      <c r="V44" s="203"/>
      <c r="W44" s="203">
        <v>1</v>
      </c>
      <c r="X44" s="199"/>
      <c r="Y44" s="204"/>
      <c r="Z44" s="205"/>
      <c r="AA44" s="201"/>
    </row>
    <row r="45" spans="1:27" x14ac:dyDescent="0.25">
      <c r="A45" s="159">
        <v>45912</v>
      </c>
      <c r="B45" s="160">
        <v>4</v>
      </c>
      <c r="C45" s="161"/>
      <c r="D45" s="160" t="s">
        <v>171</v>
      </c>
      <c r="E45" s="162">
        <v>0.4</v>
      </c>
      <c r="F45" s="163">
        <v>2</v>
      </c>
      <c r="G45" s="163">
        <v>2</v>
      </c>
      <c r="H45" s="164">
        <v>0.95</v>
      </c>
      <c r="I45" s="161"/>
      <c r="J45" s="160" t="s">
        <v>208</v>
      </c>
      <c r="K45" s="165"/>
      <c r="L45" s="166">
        <v>30</v>
      </c>
      <c r="M45" s="79" t="s">
        <v>208</v>
      </c>
      <c r="N45" s="79" t="s">
        <v>25</v>
      </c>
      <c r="O45" s="79" t="s">
        <v>262</v>
      </c>
      <c r="P45" s="79" t="s">
        <v>713</v>
      </c>
      <c r="Q45" s="224">
        <v>66</v>
      </c>
      <c r="R45" s="79" t="s">
        <v>41</v>
      </c>
      <c r="S45" s="79" t="s">
        <v>45</v>
      </c>
      <c r="T45" s="80" t="s">
        <v>33</v>
      </c>
      <c r="U45" s="179">
        <v>0.08</v>
      </c>
      <c r="V45" s="162" t="s">
        <v>53</v>
      </c>
      <c r="W45" s="162" t="s">
        <v>353</v>
      </c>
      <c r="X45" s="160" t="s">
        <v>13</v>
      </c>
      <c r="Y45" s="180" t="s">
        <v>19</v>
      </c>
      <c r="Z45" s="173"/>
      <c r="AA45" s="174"/>
    </row>
    <row r="46" spans="1:27" x14ac:dyDescent="0.25">
      <c r="A46" s="159">
        <v>45912</v>
      </c>
      <c r="B46" s="160">
        <v>4</v>
      </c>
      <c r="C46" s="161"/>
      <c r="D46" s="160" t="s">
        <v>171</v>
      </c>
      <c r="E46" s="162">
        <v>0.4</v>
      </c>
      <c r="F46" s="163">
        <v>2</v>
      </c>
      <c r="G46" s="163">
        <v>2</v>
      </c>
      <c r="H46" s="164">
        <v>0.95</v>
      </c>
      <c r="I46" s="161"/>
      <c r="J46" s="160" t="s">
        <v>208</v>
      </c>
      <c r="K46" s="149"/>
      <c r="L46" s="150">
        <v>54</v>
      </c>
      <c r="M46" s="26" t="s">
        <v>208</v>
      </c>
      <c r="N46" s="26" t="s">
        <v>362</v>
      </c>
      <c r="O46" s="26" t="s">
        <v>363</v>
      </c>
      <c r="P46" s="26" t="s">
        <v>717</v>
      </c>
      <c r="Q46" s="213">
        <v>79</v>
      </c>
      <c r="R46" s="26" t="s">
        <v>41</v>
      </c>
      <c r="S46" s="26" t="s">
        <v>43</v>
      </c>
      <c r="T46" s="43" t="s">
        <v>10</v>
      </c>
      <c r="U46" s="171">
        <v>0.79</v>
      </c>
      <c r="V46" s="146">
        <v>0.79</v>
      </c>
      <c r="W46" s="146" t="s">
        <v>353</v>
      </c>
      <c r="X46" s="144" t="s">
        <v>8</v>
      </c>
      <c r="Y46" s="172" t="s">
        <v>51</v>
      </c>
      <c r="Z46" s="173" t="s">
        <v>466</v>
      </c>
      <c r="AA46" s="174" t="s">
        <v>467</v>
      </c>
    </row>
    <row r="47" spans="1:27" ht="15.75" thickBot="1" x14ac:dyDescent="0.3">
      <c r="A47" s="191">
        <v>45912</v>
      </c>
      <c r="B47" s="192">
        <v>4</v>
      </c>
      <c r="C47" s="193"/>
      <c r="D47" s="192" t="s">
        <v>171</v>
      </c>
      <c r="E47" s="194">
        <v>0.4</v>
      </c>
      <c r="F47" s="195">
        <v>2</v>
      </c>
      <c r="G47" s="195">
        <v>2</v>
      </c>
      <c r="H47" s="196">
        <v>0.95</v>
      </c>
      <c r="I47" s="193"/>
      <c r="J47" s="192" t="s">
        <v>208</v>
      </c>
      <c r="K47" s="235"/>
      <c r="L47" s="198"/>
      <c r="M47" s="199" t="s">
        <v>171</v>
      </c>
      <c r="N47" s="199" t="s">
        <v>473</v>
      </c>
      <c r="O47" s="199" t="s">
        <v>474</v>
      </c>
      <c r="P47" s="199" t="s">
        <v>707</v>
      </c>
      <c r="Q47" s="200">
        <v>63</v>
      </c>
      <c r="R47" s="199"/>
      <c r="S47" s="199"/>
      <c r="T47" s="201"/>
      <c r="U47" s="202"/>
      <c r="V47" s="203"/>
      <c r="W47" s="203">
        <v>2</v>
      </c>
      <c r="X47" s="199"/>
      <c r="Y47" s="204"/>
      <c r="Z47" s="205"/>
      <c r="AA47" s="201"/>
    </row>
    <row r="48" spans="1:27" ht="15.75" thickBot="1" x14ac:dyDescent="0.3">
      <c r="A48" s="191">
        <v>45912</v>
      </c>
      <c r="B48" s="192">
        <v>4</v>
      </c>
      <c r="C48" s="193"/>
      <c r="D48" s="192" t="s">
        <v>171</v>
      </c>
      <c r="E48" s="194">
        <v>0.4</v>
      </c>
      <c r="F48" s="195">
        <v>2</v>
      </c>
      <c r="G48" s="195">
        <v>2</v>
      </c>
      <c r="H48" s="196">
        <v>0.95</v>
      </c>
      <c r="I48" s="193"/>
      <c r="J48" s="192" t="s">
        <v>208</v>
      </c>
      <c r="K48" s="235"/>
      <c r="L48" s="198"/>
      <c r="M48" s="199" t="s">
        <v>208</v>
      </c>
      <c r="N48" s="199" t="s">
        <v>433</v>
      </c>
      <c r="O48" s="199" t="s">
        <v>725</v>
      </c>
      <c r="P48" s="199" t="s">
        <v>707</v>
      </c>
      <c r="Q48" s="200">
        <v>68</v>
      </c>
      <c r="R48" s="199"/>
      <c r="S48" s="199"/>
      <c r="T48" s="201"/>
      <c r="U48" s="202"/>
      <c r="V48" s="203"/>
      <c r="W48" s="203">
        <v>2</v>
      </c>
      <c r="X48" s="199"/>
      <c r="Y48" s="204"/>
      <c r="Z48" s="205"/>
      <c r="AA48" s="201"/>
    </row>
    <row r="49" spans="1:27" x14ac:dyDescent="0.25">
      <c r="A49" s="143">
        <v>45923</v>
      </c>
      <c r="B49" s="144">
        <v>6</v>
      </c>
      <c r="C49" s="145"/>
      <c r="D49" s="144" t="s">
        <v>171</v>
      </c>
      <c r="E49" s="146">
        <v>0.97</v>
      </c>
      <c r="F49" s="147">
        <v>1</v>
      </c>
      <c r="G49" s="147">
        <v>2</v>
      </c>
      <c r="H49" s="148">
        <v>1.92</v>
      </c>
      <c r="I49" s="145"/>
      <c r="J49" s="144" t="s">
        <v>91</v>
      </c>
      <c r="K49" s="149"/>
      <c r="L49" s="150">
        <v>30</v>
      </c>
      <c r="M49" s="61" t="s">
        <v>171</v>
      </c>
      <c r="N49" s="61" t="s">
        <v>181</v>
      </c>
      <c r="O49" s="61" t="s">
        <v>182</v>
      </c>
      <c r="P49" s="61" t="s">
        <v>684</v>
      </c>
      <c r="Q49" s="218">
        <v>63</v>
      </c>
      <c r="R49" s="61" t="s">
        <v>41</v>
      </c>
      <c r="S49" s="61" t="s">
        <v>45</v>
      </c>
      <c r="T49" s="63" t="s">
        <v>10</v>
      </c>
      <c r="U49" s="171">
        <v>0.16</v>
      </c>
      <c r="V49" s="146" t="s">
        <v>53</v>
      </c>
      <c r="W49" s="146" t="s">
        <v>353</v>
      </c>
      <c r="X49" s="144" t="s">
        <v>13</v>
      </c>
      <c r="Y49" s="172" t="s">
        <v>9</v>
      </c>
      <c r="Z49" s="173"/>
      <c r="AA49" s="174"/>
    </row>
    <row r="50" spans="1:27" x14ac:dyDescent="0.25">
      <c r="A50" s="143">
        <v>45923</v>
      </c>
      <c r="B50" s="144">
        <v>6</v>
      </c>
      <c r="C50" s="145"/>
      <c r="D50" s="144" t="s">
        <v>171</v>
      </c>
      <c r="E50" s="146">
        <v>0.97</v>
      </c>
      <c r="F50" s="147">
        <v>1</v>
      </c>
      <c r="G50" s="147">
        <v>2</v>
      </c>
      <c r="H50" s="148">
        <v>1.92</v>
      </c>
      <c r="I50" s="145"/>
      <c r="J50" s="144" t="s">
        <v>91</v>
      </c>
      <c r="K50" s="149"/>
      <c r="L50" s="150">
        <v>12</v>
      </c>
      <c r="M50" s="26" t="s">
        <v>91</v>
      </c>
      <c r="N50" s="26" t="s">
        <v>448</v>
      </c>
      <c r="O50" s="26" t="s">
        <v>449</v>
      </c>
      <c r="P50" s="26" t="s">
        <v>684</v>
      </c>
      <c r="Q50" s="213">
        <v>76</v>
      </c>
      <c r="R50" s="26" t="s">
        <v>41</v>
      </c>
      <c r="S50" s="26" t="s">
        <v>43</v>
      </c>
      <c r="T50" s="43" t="s">
        <v>540</v>
      </c>
      <c r="U50" s="171">
        <v>0.28000000000000003</v>
      </c>
      <c r="V50" s="146">
        <v>0.51</v>
      </c>
      <c r="W50" s="146" t="s">
        <v>353</v>
      </c>
      <c r="X50" s="144" t="s">
        <v>48</v>
      </c>
      <c r="Y50" s="172" t="s">
        <v>28</v>
      </c>
      <c r="Z50" s="173"/>
      <c r="AA50" s="174"/>
    </row>
    <row r="51" spans="1:27" x14ac:dyDescent="0.25">
      <c r="A51" s="143">
        <v>45923</v>
      </c>
      <c r="B51" s="144">
        <v>6</v>
      </c>
      <c r="C51" s="145"/>
      <c r="D51" s="144" t="s">
        <v>171</v>
      </c>
      <c r="E51" s="146">
        <v>0.97</v>
      </c>
      <c r="F51" s="147">
        <v>1</v>
      </c>
      <c r="G51" s="147">
        <v>2</v>
      </c>
      <c r="H51" s="148">
        <v>1.92</v>
      </c>
      <c r="I51" s="145"/>
      <c r="J51" s="144" t="s">
        <v>91</v>
      </c>
      <c r="K51" s="149"/>
      <c r="L51" s="150">
        <v>17</v>
      </c>
      <c r="M51" s="26" t="s">
        <v>91</v>
      </c>
      <c r="N51" s="26" t="s">
        <v>448</v>
      </c>
      <c r="O51" s="26" t="s">
        <v>449</v>
      </c>
      <c r="P51" s="26" t="s">
        <v>684</v>
      </c>
      <c r="Q51" s="213">
        <v>76</v>
      </c>
      <c r="R51" s="26" t="s">
        <v>41</v>
      </c>
      <c r="S51" s="26" t="s">
        <v>42</v>
      </c>
      <c r="T51" s="43" t="s">
        <v>10</v>
      </c>
      <c r="U51" s="171">
        <v>0.39</v>
      </c>
      <c r="V51" s="146">
        <v>0.62</v>
      </c>
      <c r="W51" s="146" t="s">
        <v>353</v>
      </c>
      <c r="X51" s="144" t="s">
        <v>8</v>
      </c>
      <c r="Y51" s="172" t="s">
        <v>9</v>
      </c>
      <c r="Z51" s="173" t="s">
        <v>100</v>
      </c>
      <c r="AA51" s="174" t="s">
        <v>101</v>
      </c>
    </row>
    <row r="52" spans="1:27" x14ac:dyDescent="0.25">
      <c r="A52" s="143">
        <v>45923</v>
      </c>
      <c r="B52" s="144">
        <v>6</v>
      </c>
      <c r="C52" s="145"/>
      <c r="D52" s="144" t="s">
        <v>171</v>
      </c>
      <c r="E52" s="146">
        <v>0.97</v>
      </c>
      <c r="F52" s="147">
        <v>1</v>
      </c>
      <c r="G52" s="147">
        <v>2</v>
      </c>
      <c r="H52" s="148">
        <v>1.92</v>
      </c>
      <c r="I52" s="145"/>
      <c r="J52" s="144" t="s">
        <v>91</v>
      </c>
      <c r="K52" s="149"/>
      <c r="L52" s="150">
        <v>27</v>
      </c>
      <c r="M52" s="26" t="s">
        <v>91</v>
      </c>
      <c r="N52" s="26" t="s">
        <v>448</v>
      </c>
      <c r="O52" s="26" t="s">
        <v>449</v>
      </c>
      <c r="P52" s="26" t="s">
        <v>684</v>
      </c>
      <c r="Q52" s="213">
        <v>76</v>
      </c>
      <c r="R52" s="26" t="s">
        <v>41</v>
      </c>
      <c r="S52" s="26" t="s">
        <v>43</v>
      </c>
      <c r="T52" s="43" t="s">
        <v>18</v>
      </c>
      <c r="U52" s="171">
        <v>0.12</v>
      </c>
      <c r="V52" s="146" t="s">
        <v>53</v>
      </c>
      <c r="W52" s="146" t="s">
        <v>353</v>
      </c>
      <c r="X52" s="144" t="s">
        <v>55</v>
      </c>
      <c r="Y52" s="172" t="s">
        <v>9</v>
      </c>
      <c r="Z52" s="173"/>
      <c r="AA52" s="174"/>
    </row>
    <row r="53" spans="1:27" x14ac:dyDescent="0.25">
      <c r="A53" s="143">
        <v>45923</v>
      </c>
      <c r="B53" s="144">
        <v>6</v>
      </c>
      <c r="C53" s="145"/>
      <c r="D53" s="144" t="s">
        <v>171</v>
      </c>
      <c r="E53" s="146">
        <v>0.97</v>
      </c>
      <c r="F53" s="147">
        <v>1</v>
      </c>
      <c r="G53" s="147">
        <v>2</v>
      </c>
      <c r="H53" s="148">
        <v>1.92</v>
      </c>
      <c r="I53" s="145"/>
      <c r="J53" s="144" t="s">
        <v>91</v>
      </c>
      <c r="K53" s="149"/>
      <c r="L53" s="150">
        <v>75</v>
      </c>
      <c r="M53" s="26" t="s">
        <v>91</v>
      </c>
      <c r="N53" s="26" t="s">
        <v>96</v>
      </c>
      <c r="O53" s="26" t="s">
        <v>97</v>
      </c>
      <c r="P53" s="26" t="s">
        <v>696</v>
      </c>
      <c r="Q53" s="213">
        <v>68</v>
      </c>
      <c r="R53" s="26" t="s">
        <v>41</v>
      </c>
      <c r="S53" s="26" t="s">
        <v>43</v>
      </c>
      <c r="T53" s="43" t="s">
        <v>18</v>
      </c>
      <c r="U53" s="171">
        <v>0.36</v>
      </c>
      <c r="V53" s="146">
        <v>0.33</v>
      </c>
      <c r="W53" s="146" t="s">
        <v>353</v>
      </c>
      <c r="X53" s="144" t="s">
        <v>48</v>
      </c>
      <c r="Y53" s="172" t="s">
        <v>51</v>
      </c>
      <c r="Z53" s="173"/>
      <c r="AA53" s="174"/>
    </row>
    <row r="54" spans="1:27" x14ac:dyDescent="0.25">
      <c r="A54" s="143">
        <v>45923</v>
      </c>
      <c r="B54" s="144">
        <v>6</v>
      </c>
      <c r="C54" s="145"/>
      <c r="D54" s="144" t="s">
        <v>171</v>
      </c>
      <c r="E54" s="146">
        <v>0.97</v>
      </c>
      <c r="F54" s="147">
        <v>1</v>
      </c>
      <c r="G54" s="147">
        <v>2</v>
      </c>
      <c r="H54" s="148">
        <v>1.92</v>
      </c>
      <c r="I54" s="145"/>
      <c r="J54" s="144" t="s">
        <v>91</v>
      </c>
      <c r="K54" s="149"/>
      <c r="L54" s="150">
        <v>86</v>
      </c>
      <c r="M54" s="26" t="s">
        <v>91</v>
      </c>
      <c r="N54" s="26" t="s">
        <v>495</v>
      </c>
      <c r="O54" s="26" t="s">
        <v>496</v>
      </c>
      <c r="P54" s="26" t="s">
        <v>696</v>
      </c>
      <c r="Q54" s="213">
        <v>74</v>
      </c>
      <c r="R54" s="26" t="s">
        <v>41</v>
      </c>
      <c r="S54" s="26" t="s">
        <v>43</v>
      </c>
      <c r="T54" s="43" t="s">
        <v>18</v>
      </c>
      <c r="U54" s="171">
        <v>0.39</v>
      </c>
      <c r="V54" s="146">
        <v>0.24</v>
      </c>
      <c r="W54" s="146" t="s">
        <v>353</v>
      </c>
      <c r="X54" s="144" t="s">
        <v>8</v>
      </c>
      <c r="Y54" s="172" t="s">
        <v>67</v>
      </c>
      <c r="Z54" s="173" t="s">
        <v>443</v>
      </c>
      <c r="AA54" s="174" t="s">
        <v>444</v>
      </c>
    </row>
    <row r="55" spans="1:27" ht="15.75" thickBot="1" x14ac:dyDescent="0.3">
      <c r="A55" s="206">
        <v>45923</v>
      </c>
      <c r="B55" s="207">
        <v>6</v>
      </c>
      <c r="C55" s="208"/>
      <c r="D55" s="207" t="s">
        <v>171</v>
      </c>
      <c r="E55" s="209">
        <v>0.97</v>
      </c>
      <c r="F55" s="210">
        <v>1</v>
      </c>
      <c r="G55" s="210">
        <v>2</v>
      </c>
      <c r="H55" s="211">
        <v>1.92</v>
      </c>
      <c r="I55" s="208"/>
      <c r="J55" s="207" t="s">
        <v>91</v>
      </c>
      <c r="K55" s="235"/>
      <c r="L55" s="198"/>
      <c r="M55" s="199" t="s">
        <v>171</v>
      </c>
      <c r="N55" s="199" t="s">
        <v>524</v>
      </c>
      <c r="O55" s="199" t="s">
        <v>525</v>
      </c>
      <c r="P55" s="199" t="s">
        <v>707</v>
      </c>
      <c r="Q55" s="200">
        <v>67</v>
      </c>
      <c r="R55" s="199"/>
      <c r="S55" s="199"/>
      <c r="T55" s="201"/>
      <c r="U55" s="202"/>
      <c r="V55" s="203"/>
      <c r="W55" s="203">
        <v>2</v>
      </c>
      <c r="X55" s="199"/>
      <c r="Y55" s="204"/>
      <c r="Z55" s="205"/>
      <c r="AA55" s="201"/>
    </row>
    <row r="56" spans="1:27" ht="15.75" thickBot="1" x14ac:dyDescent="0.3">
      <c r="A56" s="206">
        <v>45923</v>
      </c>
      <c r="B56" s="207">
        <v>6</v>
      </c>
      <c r="C56" s="208"/>
      <c r="D56" s="207" t="s">
        <v>171</v>
      </c>
      <c r="E56" s="209">
        <v>0.97</v>
      </c>
      <c r="F56" s="210">
        <v>1</v>
      </c>
      <c r="G56" s="210">
        <v>2</v>
      </c>
      <c r="H56" s="211">
        <v>1.92</v>
      </c>
      <c r="I56" s="208"/>
      <c r="J56" s="207" t="s">
        <v>91</v>
      </c>
      <c r="K56" s="235"/>
      <c r="L56" s="198"/>
      <c r="M56" s="199" t="s">
        <v>91</v>
      </c>
      <c r="N56" s="199" t="s">
        <v>271</v>
      </c>
      <c r="O56" s="199" t="s">
        <v>737</v>
      </c>
      <c r="P56" s="199" t="s">
        <v>707</v>
      </c>
      <c r="Q56" s="200">
        <v>64</v>
      </c>
      <c r="R56" s="199"/>
      <c r="S56" s="199"/>
      <c r="T56" s="201"/>
      <c r="U56" s="202"/>
      <c r="V56" s="203"/>
      <c r="W56" s="203">
        <v>1</v>
      </c>
      <c r="X56" s="199"/>
      <c r="Y56" s="204"/>
      <c r="Z56" s="205"/>
      <c r="AA56" s="201"/>
    </row>
    <row r="57" spans="1:27" x14ac:dyDescent="0.25">
      <c r="A57" s="159">
        <v>45935</v>
      </c>
      <c r="B57" s="160">
        <v>8</v>
      </c>
      <c r="C57" s="161" t="s">
        <v>693</v>
      </c>
      <c r="D57" s="160" t="s">
        <v>171</v>
      </c>
      <c r="E57" s="162">
        <v>2.8</v>
      </c>
      <c r="F57" s="163">
        <v>4</v>
      </c>
      <c r="G57" s="163">
        <v>1</v>
      </c>
      <c r="H57" s="164">
        <v>2.25</v>
      </c>
      <c r="I57" s="161" t="s">
        <v>693</v>
      </c>
      <c r="J57" s="160" t="s">
        <v>113</v>
      </c>
      <c r="K57" s="165"/>
      <c r="L57" s="166">
        <v>13</v>
      </c>
      <c r="M57" s="70" t="s">
        <v>171</v>
      </c>
      <c r="N57" s="70" t="s">
        <v>440</v>
      </c>
      <c r="O57" s="70" t="s">
        <v>21</v>
      </c>
      <c r="P57" s="70" t="s">
        <v>686</v>
      </c>
      <c r="Q57" s="227">
        <v>71</v>
      </c>
      <c r="R57" s="70" t="s">
        <v>41</v>
      </c>
      <c r="S57" s="70" t="s">
        <v>42</v>
      </c>
      <c r="T57" s="71" t="s">
        <v>7</v>
      </c>
      <c r="U57" s="179">
        <v>0.79</v>
      </c>
      <c r="V57" s="162">
        <v>0.92</v>
      </c>
      <c r="W57" s="162" t="s">
        <v>353</v>
      </c>
      <c r="X57" s="160" t="s">
        <v>8</v>
      </c>
      <c r="Y57" s="180" t="s">
        <v>19</v>
      </c>
      <c r="Z57" s="169"/>
      <c r="AA57" s="170"/>
    </row>
    <row r="58" spans="1:27" x14ac:dyDescent="0.25">
      <c r="A58" s="143">
        <v>45935</v>
      </c>
      <c r="B58" s="144">
        <v>8</v>
      </c>
      <c r="C58" s="145"/>
      <c r="D58" s="144" t="s">
        <v>171</v>
      </c>
      <c r="E58" s="146">
        <v>2.8</v>
      </c>
      <c r="F58" s="147">
        <v>4</v>
      </c>
      <c r="G58" s="147">
        <v>1</v>
      </c>
      <c r="H58" s="148">
        <v>2.25</v>
      </c>
      <c r="I58" s="145"/>
      <c r="J58" s="144" t="s">
        <v>113</v>
      </c>
      <c r="K58" s="149"/>
      <c r="L58" s="150">
        <v>27</v>
      </c>
      <c r="M58" s="61" t="s">
        <v>171</v>
      </c>
      <c r="N58" s="61" t="s">
        <v>190</v>
      </c>
      <c r="O58" s="61" t="s">
        <v>191</v>
      </c>
      <c r="P58" s="61" t="s">
        <v>684</v>
      </c>
      <c r="Q58" s="218">
        <v>73</v>
      </c>
      <c r="R58" s="61" t="s">
        <v>41</v>
      </c>
      <c r="S58" s="61" t="s">
        <v>43</v>
      </c>
      <c r="T58" s="63" t="s">
        <v>10</v>
      </c>
      <c r="U58" s="171">
        <v>0.19</v>
      </c>
      <c r="V58" s="146">
        <v>0.39</v>
      </c>
      <c r="W58" s="146" t="s">
        <v>353</v>
      </c>
      <c r="X58" s="144" t="s">
        <v>48</v>
      </c>
      <c r="Y58" s="172" t="s">
        <v>19</v>
      </c>
      <c r="Z58" s="173"/>
      <c r="AA58" s="174"/>
    </row>
    <row r="59" spans="1:27" x14ac:dyDescent="0.25">
      <c r="A59" s="143">
        <v>45935</v>
      </c>
      <c r="B59" s="144">
        <v>8</v>
      </c>
      <c r="C59" s="145"/>
      <c r="D59" s="144" t="s">
        <v>171</v>
      </c>
      <c r="E59" s="146">
        <v>2.8</v>
      </c>
      <c r="F59" s="147">
        <v>4</v>
      </c>
      <c r="G59" s="147">
        <v>1</v>
      </c>
      <c r="H59" s="148">
        <v>2.25</v>
      </c>
      <c r="I59" s="145"/>
      <c r="J59" s="144" t="s">
        <v>113</v>
      </c>
      <c r="K59" s="149"/>
      <c r="L59" s="150">
        <v>35</v>
      </c>
      <c r="M59" s="61" t="s">
        <v>171</v>
      </c>
      <c r="N59" s="61" t="s">
        <v>190</v>
      </c>
      <c r="O59" s="61" t="s">
        <v>191</v>
      </c>
      <c r="P59" s="61" t="s">
        <v>684</v>
      </c>
      <c r="Q59" s="218">
        <v>73</v>
      </c>
      <c r="R59" s="61" t="s">
        <v>41</v>
      </c>
      <c r="S59" s="61" t="s">
        <v>43</v>
      </c>
      <c r="T59" s="63" t="s">
        <v>10</v>
      </c>
      <c r="U59" s="171">
        <v>0.25</v>
      </c>
      <c r="V59" s="146" t="s">
        <v>53</v>
      </c>
      <c r="W59" s="146" t="s">
        <v>353</v>
      </c>
      <c r="X59" s="144" t="s">
        <v>13</v>
      </c>
      <c r="Y59" s="172" t="s">
        <v>19</v>
      </c>
      <c r="Z59" s="173"/>
      <c r="AA59" s="174"/>
    </row>
    <row r="60" spans="1:27" x14ac:dyDescent="0.25">
      <c r="A60" s="143">
        <v>45935</v>
      </c>
      <c r="B60" s="144">
        <v>8</v>
      </c>
      <c r="C60" s="145"/>
      <c r="D60" s="144" t="s">
        <v>171</v>
      </c>
      <c r="E60" s="146">
        <v>2.8</v>
      </c>
      <c r="F60" s="147">
        <v>4</v>
      </c>
      <c r="G60" s="147">
        <v>1</v>
      </c>
      <c r="H60" s="148">
        <v>2.25</v>
      </c>
      <c r="I60" s="145"/>
      <c r="J60" s="144" t="s">
        <v>113</v>
      </c>
      <c r="K60" s="149"/>
      <c r="L60" s="150">
        <v>37</v>
      </c>
      <c r="M60" s="61" t="s">
        <v>171</v>
      </c>
      <c r="N60" s="61" t="s">
        <v>190</v>
      </c>
      <c r="O60" s="61" t="s">
        <v>191</v>
      </c>
      <c r="P60" s="61" t="s">
        <v>684</v>
      </c>
      <c r="Q60" s="218">
        <v>73</v>
      </c>
      <c r="R60" s="61" t="s">
        <v>41</v>
      </c>
      <c r="S60" s="61" t="s">
        <v>42</v>
      </c>
      <c r="T60" s="63" t="s">
        <v>18</v>
      </c>
      <c r="U60" s="171">
        <v>0.52</v>
      </c>
      <c r="V60" s="146">
        <v>0.88</v>
      </c>
      <c r="W60" s="146" t="s">
        <v>353</v>
      </c>
      <c r="X60" s="144" t="s">
        <v>8</v>
      </c>
      <c r="Y60" s="172" t="s">
        <v>24</v>
      </c>
      <c r="Z60" s="173" t="s">
        <v>328</v>
      </c>
      <c r="AA60" s="174" t="s">
        <v>329</v>
      </c>
    </row>
    <row r="61" spans="1:27" ht="15.75" thickBot="1" x14ac:dyDescent="0.3">
      <c r="A61" s="151">
        <v>45935</v>
      </c>
      <c r="B61" s="152">
        <v>8</v>
      </c>
      <c r="C61" s="153"/>
      <c r="D61" s="152" t="s">
        <v>171</v>
      </c>
      <c r="E61" s="154">
        <v>2.8</v>
      </c>
      <c r="F61" s="155">
        <v>4</v>
      </c>
      <c r="G61" s="155">
        <v>1</v>
      </c>
      <c r="H61" s="156">
        <v>2.25</v>
      </c>
      <c r="I61" s="153"/>
      <c r="J61" s="152" t="s">
        <v>113</v>
      </c>
      <c r="K61" s="157"/>
      <c r="L61" s="158" t="s">
        <v>57</v>
      </c>
      <c r="M61" s="66" t="s">
        <v>171</v>
      </c>
      <c r="N61" s="66" t="s">
        <v>181</v>
      </c>
      <c r="O61" s="66" t="s">
        <v>182</v>
      </c>
      <c r="P61" s="66" t="s">
        <v>696</v>
      </c>
      <c r="Q61" s="219">
        <v>74</v>
      </c>
      <c r="R61" s="66" t="s">
        <v>41</v>
      </c>
      <c r="S61" s="66" t="s">
        <v>42</v>
      </c>
      <c r="T61" s="67" t="s">
        <v>18</v>
      </c>
      <c r="U61" s="175">
        <v>0.61</v>
      </c>
      <c r="V61" s="154">
        <v>0.85</v>
      </c>
      <c r="W61" s="154" t="s">
        <v>353</v>
      </c>
      <c r="X61" s="152" t="s">
        <v>8</v>
      </c>
      <c r="Y61" s="176" t="s">
        <v>571</v>
      </c>
      <c r="Z61" s="177" t="s">
        <v>676</v>
      </c>
      <c r="AA61" s="178" t="s">
        <v>677</v>
      </c>
    </row>
    <row r="62" spans="1:27" x14ac:dyDescent="0.25">
      <c r="A62" s="143">
        <v>45935</v>
      </c>
      <c r="B62" s="144">
        <v>8</v>
      </c>
      <c r="C62" s="145"/>
      <c r="D62" s="144" t="s">
        <v>171</v>
      </c>
      <c r="E62" s="146">
        <v>2.8</v>
      </c>
      <c r="F62" s="147">
        <v>4</v>
      </c>
      <c r="G62" s="147">
        <v>1</v>
      </c>
      <c r="H62" s="148">
        <v>2.25</v>
      </c>
      <c r="I62" s="145"/>
      <c r="J62" s="144" t="s">
        <v>113</v>
      </c>
      <c r="K62" s="149"/>
      <c r="L62" s="150">
        <v>43</v>
      </c>
      <c r="M62" s="26" t="s">
        <v>113</v>
      </c>
      <c r="N62" s="26" t="s">
        <v>468</v>
      </c>
      <c r="O62" s="26" t="s">
        <v>469</v>
      </c>
      <c r="P62" s="26" t="s">
        <v>686</v>
      </c>
      <c r="Q62" s="213">
        <v>70</v>
      </c>
      <c r="R62" s="26" t="s">
        <v>41</v>
      </c>
      <c r="S62" s="26" t="s">
        <v>43</v>
      </c>
      <c r="T62" s="43" t="s">
        <v>10</v>
      </c>
      <c r="U62" s="171">
        <v>0.34</v>
      </c>
      <c r="V62" s="146">
        <v>0.46</v>
      </c>
      <c r="W62" s="146" t="s">
        <v>353</v>
      </c>
      <c r="X62" s="144" t="s">
        <v>48</v>
      </c>
      <c r="Y62" s="172" t="s">
        <v>24</v>
      </c>
      <c r="Z62" s="173"/>
      <c r="AA62" s="174"/>
    </row>
    <row r="63" spans="1:27" x14ac:dyDescent="0.25">
      <c r="A63" s="143">
        <v>45935</v>
      </c>
      <c r="B63" s="144">
        <v>8</v>
      </c>
      <c r="C63" s="145"/>
      <c r="D63" s="144" t="s">
        <v>171</v>
      </c>
      <c r="E63" s="146">
        <v>2.8</v>
      </c>
      <c r="F63" s="147">
        <v>4</v>
      </c>
      <c r="G63" s="147">
        <v>1</v>
      </c>
      <c r="H63" s="148">
        <v>2.25</v>
      </c>
      <c r="I63" s="145"/>
      <c r="J63" s="144" t="s">
        <v>113</v>
      </c>
      <c r="K63" s="149"/>
      <c r="L63" s="150" t="s">
        <v>266</v>
      </c>
      <c r="M63" s="26" t="s">
        <v>113</v>
      </c>
      <c r="N63" s="26" t="s">
        <v>468</v>
      </c>
      <c r="O63" s="26" t="s">
        <v>469</v>
      </c>
      <c r="P63" s="26" t="s">
        <v>686</v>
      </c>
      <c r="Q63" s="213">
        <v>70</v>
      </c>
      <c r="R63" s="26" t="s">
        <v>41</v>
      </c>
      <c r="S63" s="26" t="s">
        <v>43</v>
      </c>
      <c r="T63" s="43" t="s">
        <v>10</v>
      </c>
      <c r="U63" s="171">
        <v>0.21</v>
      </c>
      <c r="V63" s="146">
        <v>0.47</v>
      </c>
      <c r="W63" s="146" t="s">
        <v>353</v>
      </c>
      <c r="X63" s="144" t="s">
        <v>8</v>
      </c>
      <c r="Y63" s="172" t="s">
        <v>34</v>
      </c>
      <c r="Z63" s="173" t="s">
        <v>53</v>
      </c>
      <c r="AA63" s="174" t="s">
        <v>126</v>
      </c>
    </row>
    <row r="64" spans="1:27" x14ac:dyDescent="0.25">
      <c r="A64" s="143">
        <v>45935</v>
      </c>
      <c r="B64" s="144">
        <v>8</v>
      </c>
      <c r="C64" s="145"/>
      <c r="D64" s="144" t="s">
        <v>171</v>
      </c>
      <c r="E64" s="146">
        <v>2.8</v>
      </c>
      <c r="F64" s="147">
        <v>4</v>
      </c>
      <c r="G64" s="147">
        <v>1</v>
      </c>
      <c r="H64" s="148">
        <v>2.25</v>
      </c>
      <c r="I64" s="145"/>
      <c r="J64" s="144" t="s">
        <v>113</v>
      </c>
      <c r="K64" s="149"/>
      <c r="L64" s="150">
        <v>76</v>
      </c>
      <c r="M64" s="26" t="s">
        <v>113</v>
      </c>
      <c r="N64" s="26" t="s">
        <v>178</v>
      </c>
      <c r="O64" s="26" t="s">
        <v>407</v>
      </c>
      <c r="P64" s="26" t="s">
        <v>684</v>
      </c>
      <c r="Q64" s="213">
        <v>52</v>
      </c>
      <c r="R64" s="26" t="s">
        <v>41</v>
      </c>
      <c r="S64" s="26" t="s">
        <v>42</v>
      </c>
      <c r="T64" s="43" t="s">
        <v>7</v>
      </c>
      <c r="U64" s="171">
        <v>0.79</v>
      </c>
      <c r="V64" s="146" t="s">
        <v>53</v>
      </c>
      <c r="W64" s="146" t="s">
        <v>353</v>
      </c>
      <c r="X64" s="144" t="s">
        <v>16</v>
      </c>
      <c r="Y64" s="172" t="s">
        <v>34</v>
      </c>
      <c r="Z64" s="173"/>
      <c r="AA64" s="174"/>
    </row>
    <row r="65" spans="1:27" x14ac:dyDescent="0.25">
      <c r="A65" s="143">
        <v>45935</v>
      </c>
      <c r="B65" s="144">
        <v>8</v>
      </c>
      <c r="C65" s="145"/>
      <c r="D65" s="144" t="s">
        <v>171</v>
      </c>
      <c r="E65" s="146">
        <v>2.8</v>
      </c>
      <c r="F65" s="147">
        <v>4</v>
      </c>
      <c r="G65" s="147">
        <v>1</v>
      </c>
      <c r="H65" s="148">
        <v>2.25</v>
      </c>
      <c r="I65" s="145"/>
      <c r="J65" s="144" t="s">
        <v>113</v>
      </c>
      <c r="K65" s="149"/>
      <c r="L65" s="150">
        <v>81</v>
      </c>
      <c r="M65" s="26" t="s">
        <v>113</v>
      </c>
      <c r="N65" s="26" t="s">
        <v>529</v>
      </c>
      <c r="O65" s="26" t="s">
        <v>530</v>
      </c>
      <c r="P65" s="26" t="s">
        <v>696</v>
      </c>
      <c r="Q65" s="213">
        <v>68</v>
      </c>
      <c r="R65" s="26" t="s">
        <v>41</v>
      </c>
      <c r="S65" s="26" t="s">
        <v>43</v>
      </c>
      <c r="T65" s="43" t="s">
        <v>540</v>
      </c>
      <c r="U65" s="171">
        <v>0.25</v>
      </c>
      <c r="V65" s="146">
        <v>0.43</v>
      </c>
      <c r="W65" s="146" t="s">
        <v>353</v>
      </c>
      <c r="X65" s="144" t="s">
        <v>48</v>
      </c>
      <c r="Y65" s="172" t="s">
        <v>34</v>
      </c>
      <c r="Z65" s="173"/>
      <c r="AA65" s="174"/>
    </row>
    <row r="66" spans="1:27" x14ac:dyDescent="0.25">
      <c r="A66" s="143">
        <v>45935</v>
      </c>
      <c r="B66" s="144">
        <v>8</v>
      </c>
      <c r="C66" s="145"/>
      <c r="D66" s="144" t="s">
        <v>171</v>
      </c>
      <c r="E66" s="146">
        <v>2.8</v>
      </c>
      <c r="F66" s="147">
        <v>4</v>
      </c>
      <c r="G66" s="147">
        <v>1</v>
      </c>
      <c r="H66" s="148">
        <v>2.25</v>
      </c>
      <c r="I66" s="145"/>
      <c r="J66" s="144" t="s">
        <v>113</v>
      </c>
      <c r="K66" s="149"/>
      <c r="L66" s="150">
        <v>90</v>
      </c>
      <c r="M66" s="26" t="s">
        <v>113</v>
      </c>
      <c r="N66" s="26" t="s">
        <v>529</v>
      </c>
      <c r="O66" s="26" t="s">
        <v>530</v>
      </c>
      <c r="P66" s="26" t="s">
        <v>696</v>
      </c>
      <c r="Q66" s="213">
        <v>68</v>
      </c>
      <c r="R66" s="26" t="s">
        <v>41</v>
      </c>
      <c r="S66" s="26" t="s">
        <v>42</v>
      </c>
      <c r="T66" s="43" t="s">
        <v>10</v>
      </c>
      <c r="U66" s="171">
        <v>0.14000000000000001</v>
      </c>
      <c r="V66" s="146">
        <v>0.12</v>
      </c>
      <c r="W66" s="146" t="s">
        <v>353</v>
      </c>
      <c r="X66" s="144" t="s">
        <v>48</v>
      </c>
      <c r="Y66" s="172" t="s">
        <v>34</v>
      </c>
      <c r="Z66" s="173"/>
      <c r="AA66" s="174"/>
    </row>
    <row r="67" spans="1:27" ht="15.75" thickBot="1" x14ac:dyDescent="0.3">
      <c r="A67" s="206">
        <v>45935</v>
      </c>
      <c r="B67" s="207">
        <v>8</v>
      </c>
      <c r="C67" s="208"/>
      <c r="D67" s="207" t="s">
        <v>171</v>
      </c>
      <c r="E67" s="209">
        <v>2.8</v>
      </c>
      <c r="F67" s="210">
        <v>4</v>
      </c>
      <c r="G67" s="210">
        <v>1</v>
      </c>
      <c r="H67" s="211">
        <v>2.25</v>
      </c>
      <c r="I67" s="208"/>
      <c r="J67" s="207" t="s">
        <v>113</v>
      </c>
      <c r="K67" s="235"/>
      <c r="L67" s="198"/>
      <c r="M67" s="199" t="s">
        <v>171</v>
      </c>
      <c r="N67" s="199" t="s">
        <v>524</v>
      </c>
      <c r="O67" s="199" t="s">
        <v>525</v>
      </c>
      <c r="P67" s="199" t="s">
        <v>707</v>
      </c>
      <c r="Q67" s="200">
        <v>74</v>
      </c>
      <c r="R67" s="199"/>
      <c r="S67" s="199"/>
      <c r="T67" s="201"/>
      <c r="U67" s="202"/>
      <c r="V67" s="203"/>
      <c r="W67" s="203">
        <v>1</v>
      </c>
      <c r="X67" s="199"/>
      <c r="Y67" s="204"/>
      <c r="Z67" s="205"/>
      <c r="AA67" s="201"/>
    </row>
    <row r="68" spans="1:27" ht="15.75" thickBot="1" x14ac:dyDescent="0.3">
      <c r="A68" s="206">
        <v>45935</v>
      </c>
      <c r="B68" s="207">
        <v>8</v>
      </c>
      <c r="C68" s="208"/>
      <c r="D68" s="207" t="s">
        <v>171</v>
      </c>
      <c r="E68" s="209">
        <v>2.8</v>
      </c>
      <c r="F68" s="210">
        <v>4</v>
      </c>
      <c r="G68" s="210">
        <v>1</v>
      </c>
      <c r="H68" s="211">
        <v>2.25</v>
      </c>
      <c r="I68" s="208"/>
      <c r="J68" s="207" t="s">
        <v>113</v>
      </c>
      <c r="K68" s="235"/>
      <c r="L68" s="198"/>
      <c r="M68" s="199" t="s">
        <v>113</v>
      </c>
      <c r="N68" s="199" t="s">
        <v>738</v>
      </c>
      <c r="O68" s="199" t="s">
        <v>740</v>
      </c>
      <c r="P68" s="199" t="s">
        <v>707</v>
      </c>
      <c r="Q68" s="200">
        <v>65</v>
      </c>
      <c r="R68" s="199"/>
      <c r="S68" s="199"/>
      <c r="T68" s="201"/>
      <c r="U68" s="202"/>
      <c r="V68" s="203"/>
      <c r="W68" s="203">
        <v>4</v>
      </c>
      <c r="X68" s="199"/>
      <c r="Y68" s="204"/>
      <c r="Z68" s="205"/>
      <c r="AA68" s="201"/>
    </row>
    <row r="69" spans="1:27" ht="15.75" thickBot="1" x14ac:dyDescent="0.3">
      <c r="A69" s="30">
        <v>45899</v>
      </c>
      <c r="B69" s="9">
        <v>3</v>
      </c>
      <c r="C69" s="122"/>
      <c r="D69" s="9" t="s">
        <v>226</v>
      </c>
      <c r="E69" s="10">
        <v>1.82</v>
      </c>
      <c r="F69" s="11">
        <v>2</v>
      </c>
      <c r="G69" s="11">
        <v>1</v>
      </c>
      <c r="H69" s="12">
        <v>0.72</v>
      </c>
      <c r="I69" s="122"/>
      <c r="J69" s="9" t="s">
        <v>112</v>
      </c>
      <c r="K69" s="45"/>
      <c r="L69" s="97">
        <v>61</v>
      </c>
      <c r="M69" s="74" t="s">
        <v>112</v>
      </c>
      <c r="N69" s="74" t="s">
        <v>243</v>
      </c>
      <c r="O69" s="74" t="s">
        <v>244</v>
      </c>
      <c r="P69" s="74" t="s">
        <v>718</v>
      </c>
      <c r="Q69" s="221">
        <v>55</v>
      </c>
      <c r="R69" s="74" t="s">
        <v>47</v>
      </c>
      <c r="S69" s="74" t="s">
        <v>42</v>
      </c>
      <c r="T69" s="76" t="s">
        <v>10</v>
      </c>
      <c r="U69" s="52">
        <v>0.43</v>
      </c>
      <c r="V69" s="10" t="s">
        <v>53</v>
      </c>
      <c r="W69" s="10" t="s">
        <v>353</v>
      </c>
      <c r="X69" s="9" t="s">
        <v>48</v>
      </c>
      <c r="Y69" s="113" t="s">
        <v>34</v>
      </c>
      <c r="Z69" s="109"/>
      <c r="AA69" s="58"/>
    </row>
    <row r="70" spans="1:27" x14ac:dyDescent="0.25">
      <c r="A70" s="29">
        <v>45899</v>
      </c>
      <c r="B70" s="5">
        <v>3</v>
      </c>
      <c r="D70" s="5" t="s">
        <v>226</v>
      </c>
      <c r="E70" s="6">
        <v>1.82</v>
      </c>
      <c r="F70" s="7">
        <v>2</v>
      </c>
      <c r="G70" s="7">
        <v>1</v>
      </c>
      <c r="H70" s="8">
        <v>0.72</v>
      </c>
      <c r="J70" s="5" t="s">
        <v>112</v>
      </c>
      <c r="L70" s="56">
        <v>37</v>
      </c>
      <c r="M70" s="61" t="s">
        <v>226</v>
      </c>
      <c r="N70" s="61" t="s">
        <v>56</v>
      </c>
      <c r="O70" s="61" t="s">
        <v>235</v>
      </c>
      <c r="P70" s="61" t="s">
        <v>699</v>
      </c>
      <c r="Q70" s="218">
        <v>74</v>
      </c>
      <c r="R70" s="61" t="s">
        <v>47</v>
      </c>
      <c r="S70" s="61" t="s">
        <v>45</v>
      </c>
      <c r="T70" s="63" t="s">
        <v>20</v>
      </c>
      <c r="U70" s="51">
        <v>0.75</v>
      </c>
      <c r="V70" s="6">
        <v>0.99</v>
      </c>
      <c r="W70" s="6" t="s">
        <v>353</v>
      </c>
      <c r="X70" s="5" t="s">
        <v>8</v>
      </c>
      <c r="Y70" s="112" t="s">
        <v>51</v>
      </c>
      <c r="Z70" s="108" t="s">
        <v>229</v>
      </c>
      <c r="AA70" s="57" t="s">
        <v>230</v>
      </c>
    </row>
    <row r="71" spans="1:27" x14ac:dyDescent="0.25">
      <c r="A71" s="29">
        <v>45899</v>
      </c>
      <c r="B71" s="5">
        <v>3</v>
      </c>
      <c r="D71" s="5" t="s">
        <v>226</v>
      </c>
      <c r="E71" s="6">
        <v>1.82</v>
      </c>
      <c r="F71" s="7">
        <v>2</v>
      </c>
      <c r="G71" s="7">
        <v>1</v>
      </c>
      <c r="H71" s="8">
        <v>0.72</v>
      </c>
      <c r="J71" s="5" t="s">
        <v>112</v>
      </c>
      <c r="L71" s="56">
        <v>43</v>
      </c>
      <c r="M71" s="61" t="s">
        <v>226</v>
      </c>
      <c r="N71" s="61" t="s">
        <v>231</v>
      </c>
      <c r="O71" s="61" t="s">
        <v>232</v>
      </c>
      <c r="P71" s="61" t="s">
        <v>684</v>
      </c>
      <c r="Q71" s="218">
        <v>67</v>
      </c>
      <c r="R71" s="61" t="s">
        <v>41</v>
      </c>
      <c r="S71" s="61" t="s">
        <v>43</v>
      </c>
      <c r="T71" s="63" t="s">
        <v>540</v>
      </c>
      <c r="U71" s="51">
        <v>0.36</v>
      </c>
      <c r="V71" s="6" t="s">
        <v>53</v>
      </c>
      <c r="W71" s="6" t="s">
        <v>353</v>
      </c>
      <c r="X71" s="5" t="s">
        <v>16</v>
      </c>
      <c r="Y71" s="112" t="s">
        <v>34</v>
      </c>
    </row>
    <row r="72" spans="1:27" ht="15.75" thickBot="1" x14ac:dyDescent="0.3">
      <c r="A72" s="206">
        <v>45899</v>
      </c>
      <c r="B72" s="207">
        <v>3</v>
      </c>
      <c r="C72" s="208"/>
      <c r="D72" s="207" t="s">
        <v>226</v>
      </c>
      <c r="E72" s="209">
        <v>1.82</v>
      </c>
      <c r="F72" s="210">
        <v>2</v>
      </c>
      <c r="G72" s="210">
        <v>1</v>
      </c>
      <c r="H72" s="211">
        <v>0.72</v>
      </c>
      <c r="I72" s="208"/>
      <c r="J72" s="207" t="s">
        <v>112</v>
      </c>
      <c r="K72" s="235"/>
      <c r="L72" s="198"/>
      <c r="M72" s="199" t="s">
        <v>226</v>
      </c>
      <c r="N72" s="199" t="s">
        <v>726</v>
      </c>
      <c r="O72" s="199" t="s">
        <v>727</v>
      </c>
      <c r="P72" s="199" t="s">
        <v>707</v>
      </c>
      <c r="Q72" s="200">
        <v>67</v>
      </c>
      <c r="R72" s="199"/>
      <c r="S72" s="199"/>
      <c r="T72" s="201"/>
      <c r="U72" s="202"/>
      <c r="V72" s="203"/>
      <c r="W72" s="203">
        <v>1</v>
      </c>
      <c r="X72" s="199"/>
      <c r="Y72" s="204"/>
      <c r="Z72" s="205"/>
      <c r="AA72" s="201"/>
    </row>
    <row r="73" spans="1:27" ht="15.75" thickBot="1" x14ac:dyDescent="0.3">
      <c r="A73" s="206">
        <v>45899</v>
      </c>
      <c r="B73" s="207">
        <v>3</v>
      </c>
      <c r="C73" s="208"/>
      <c r="D73" s="207" t="s">
        <v>226</v>
      </c>
      <c r="E73" s="209">
        <v>1.82</v>
      </c>
      <c r="F73" s="210">
        <v>2</v>
      </c>
      <c r="G73" s="210">
        <v>1</v>
      </c>
      <c r="H73" s="211">
        <v>0.72</v>
      </c>
      <c r="I73" s="208"/>
      <c r="J73" s="207" t="s">
        <v>112</v>
      </c>
      <c r="K73" s="235"/>
      <c r="L73" s="198"/>
      <c r="M73" s="199" t="s">
        <v>112</v>
      </c>
      <c r="N73" s="199" t="s">
        <v>60</v>
      </c>
      <c r="O73" s="199" t="s">
        <v>464</v>
      </c>
      <c r="P73" s="199" t="s">
        <v>707</v>
      </c>
      <c r="Q73" s="200">
        <v>68</v>
      </c>
      <c r="R73" s="199"/>
      <c r="S73" s="199"/>
      <c r="T73" s="201"/>
      <c r="U73" s="202"/>
      <c r="V73" s="203"/>
      <c r="W73" s="203">
        <v>2</v>
      </c>
      <c r="X73" s="199"/>
      <c r="Y73" s="204"/>
      <c r="Z73" s="205"/>
      <c r="AA73" s="201"/>
    </row>
    <row r="74" spans="1:27" x14ac:dyDescent="0.25">
      <c r="A74" s="29">
        <v>45915</v>
      </c>
      <c r="B74" s="5">
        <v>4</v>
      </c>
      <c r="D74" s="5" t="s">
        <v>192</v>
      </c>
      <c r="E74" s="6">
        <v>2.46</v>
      </c>
      <c r="F74" s="7">
        <v>3</v>
      </c>
      <c r="G74" s="7">
        <v>2</v>
      </c>
      <c r="H74" s="8">
        <v>2.23</v>
      </c>
      <c r="J74" s="5" t="s">
        <v>112</v>
      </c>
      <c r="K74" s="47" t="s">
        <v>734</v>
      </c>
      <c r="L74" s="56">
        <v>45</v>
      </c>
      <c r="M74" s="26" t="s">
        <v>112</v>
      </c>
      <c r="N74" s="26" t="s">
        <v>114</v>
      </c>
      <c r="O74" s="26" t="s">
        <v>115</v>
      </c>
      <c r="P74" s="26" t="s">
        <v>718</v>
      </c>
      <c r="Q74" s="213">
        <v>85</v>
      </c>
      <c r="R74" s="26" t="s">
        <v>41</v>
      </c>
      <c r="S74" s="26" t="s">
        <v>43</v>
      </c>
      <c r="T74" s="43" t="s">
        <v>7</v>
      </c>
      <c r="U74" s="51">
        <v>0.79</v>
      </c>
      <c r="V74" s="6">
        <v>0.81</v>
      </c>
      <c r="W74" s="6" t="s">
        <v>353</v>
      </c>
      <c r="X74" s="5" t="s">
        <v>8</v>
      </c>
      <c r="Y74" s="112" t="s">
        <v>34</v>
      </c>
    </row>
    <row r="75" spans="1:27" x14ac:dyDescent="0.25">
      <c r="A75" s="29">
        <v>45915</v>
      </c>
      <c r="B75" s="5">
        <v>4</v>
      </c>
      <c r="D75" s="5" t="s">
        <v>192</v>
      </c>
      <c r="E75" s="6">
        <v>2.46</v>
      </c>
      <c r="F75" s="7">
        <v>3</v>
      </c>
      <c r="G75" s="7">
        <v>2</v>
      </c>
      <c r="H75" s="8">
        <v>2.23</v>
      </c>
      <c r="J75" s="5" t="s">
        <v>112</v>
      </c>
      <c r="K75" s="47" t="s">
        <v>734</v>
      </c>
      <c r="L75" s="56">
        <v>65</v>
      </c>
      <c r="M75" s="26" t="s">
        <v>112</v>
      </c>
      <c r="N75" s="26" t="s">
        <v>114</v>
      </c>
      <c r="O75" s="26" t="s">
        <v>115</v>
      </c>
      <c r="P75" s="26" t="s">
        <v>718</v>
      </c>
      <c r="Q75" s="213">
        <v>85</v>
      </c>
      <c r="R75" s="26" t="s">
        <v>47</v>
      </c>
      <c r="S75" s="26" t="s">
        <v>45</v>
      </c>
      <c r="T75" s="43" t="s">
        <v>10</v>
      </c>
      <c r="U75" s="51">
        <v>0.14000000000000001</v>
      </c>
      <c r="V75" s="6">
        <v>0.62</v>
      </c>
      <c r="W75" s="6" t="s">
        <v>353</v>
      </c>
      <c r="X75" s="5" t="s">
        <v>8</v>
      </c>
      <c r="Y75" s="112" t="s">
        <v>189</v>
      </c>
      <c r="Z75" s="108" t="s">
        <v>100</v>
      </c>
      <c r="AA75" s="57" t="s">
        <v>664</v>
      </c>
    </row>
    <row r="76" spans="1:27" x14ac:dyDescent="0.25">
      <c r="A76" s="32">
        <v>45915</v>
      </c>
      <c r="B76" s="13">
        <v>4</v>
      </c>
      <c r="C76" s="124" t="s">
        <v>704</v>
      </c>
      <c r="D76" s="13" t="s">
        <v>192</v>
      </c>
      <c r="E76" s="14">
        <v>2.46</v>
      </c>
      <c r="F76" s="15">
        <v>3</v>
      </c>
      <c r="G76" s="15">
        <v>2</v>
      </c>
      <c r="H76" s="16">
        <v>2.23</v>
      </c>
      <c r="I76" s="124" t="s">
        <v>701</v>
      </c>
      <c r="J76" s="13" t="s">
        <v>112</v>
      </c>
      <c r="K76" s="47" t="s">
        <v>734</v>
      </c>
      <c r="L76" s="98">
        <v>21</v>
      </c>
      <c r="M76" s="70" t="s">
        <v>192</v>
      </c>
      <c r="N76" s="70" t="s">
        <v>198</v>
      </c>
      <c r="O76" s="70" t="s">
        <v>199</v>
      </c>
      <c r="P76" s="70" t="s">
        <v>699</v>
      </c>
      <c r="Q76" s="227">
        <v>66</v>
      </c>
      <c r="R76" s="70" t="s">
        <v>47</v>
      </c>
      <c r="S76" s="70" t="s">
        <v>43</v>
      </c>
      <c r="T76" s="71" t="s">
        <v>10</v>
      </c>
      <c r="U76" s="54">
        <v>0.27</v>
      </c>
      <c r="V76" s="14">
        <v>0.56999999999999995</v>
      </c>
      <c r="W76" s="14" t="s">
        <v>353</v>
      </c>
      <c r="X76" s="13" t="s">
        <v>8</v>
      </c>
      <c r="Y76" s="115" t="s">
        <v>19</v>
      </c>
      <c r="Z76" s="110" t="s">
        <v>46</v>
      </c>
      <c r="AA76" s="60" t="s">
        <v>191</v>
      </c>
    </row>
    <row r="77" spans="1:27" x14ac:dyDescent="0.25">
      <c r="A77" s="29">
        <v>45915</v>
      </c>
      <c r="B77" s="5">
        <v>4</v>
      </c>
      <c r="D77" s="5" t="s">
        <v>192</v>
      </c>
      <c r="E77" s="6">
        <v>2.46</v>
      </c>
      <c r="F77" s="7">
        <v>3</v>
      </c>
      <c r="G77" s="7">
        <v>2</v>
      </c>
      <c r="H77" s="8">
        <v>2.23</v>
      </c>
      <c r="J77" s="5" t="s">
        <v>112</v>
      </c>
      <c r="K77" s="47" t="s">
        <v>734</v>
      </c>
      <c r="L77" s="56">
        <v>34</v>
      </c>
      <c r="M77" s="61" t="s">
        <v>192</v>
      </c>
      <c r="N77" s="61" t="s">
        <v>410</v>
      </c>
      <c r="O77" s="61" t="s">
        <v>361</v>
      </c>
      <c r="P77" s="61" t="s">
        <v>684</v>
      </c>
      <c r="Q77" s="218">
        <v>71</v>
      </c>
      <c r="R77" s="61" t="s">
        <v>47</v>
      </c>
      <c r="S77" s="61" t="s">
        <v>42</v>
      </c>
      <c r="T77" s="63" t="s">
        <v>10</v>
      </c>
      <c r="U77" s="51">
        <v>0.71</v>
      </c>
      <c r="V77" s="6">
        <v>0.99</v>
      </c>
      <c r="W77" s="6" t="s">
        <v>353</v>
      </c>
      <c r="X77" s="5" t="s">
        <v>8</v>
      </c>
      <c r="Y77" s="112" t="s">
        <v>24</v>
      </c>
      <c r="Z77" s="108" t="s">
        <v>280</v>
      </c>
      <c r="AA77" s="57" t="s">
        <v>281</v>
      </c>
    </row>
    <row r="78" spans="1:27" x14ac:dyDescent="0.25">
      <c r="A78" s="29">
        <v>45915</v>
      </c>
      <c r="B78" s="5">
        <v>4</v>
      </c>
      <c r="D78" s="5" t="s">
        <v>192</v>
      </c>
      <c r="E78" s="6">
        <v>2.46</v>
      </c>
      <c r="F78" s="7">
        <v>3</v>
      </c>
      <c r="G78" s="7">
        <v>2</v>
      </c>
      <c r="H78" s="8">
        <v>2.23</v>
      </c>
      <c r="J78" s="5" t="s">
        <v>112</v>
      </c>
      <c r="K78" s="47" t="s">
        <v>734</v>
      </c>
      <c r="L78" s="56">
        <v>69</v>
      </c>
      <c r="M78" s="61" t="s">
        <v>192</v>
      </c>
      <c r="N78" s="61" t="s">
        <v>194</v>
      </c>
      <c r="O78" s="61" t="s">
        <v>195</v>
      </c>
      <c r="P78" s="61" t="s">
        <v>712</v>
      </c>
      <c r="Q78" s="218">
        <v>69</v>
      </c>
      <c r="R78" s="61" t="s">
        <v>47</v>
      </c>
      <c r="S78" s="61" t="s">
        <v>45</v>
      </c>
      <c r="T78" s="63" t="s">
        <v>33</v>
      </c>
      <c r="U78" s="51">
        <v>0.45</v>
      </c>
      <c r="V78" s="6" t="s">
        <v>53</v>
      </c>
      <c r="W78" s="6" t="s">
        <v>353</v>
      </c>
      <c r="X78" s="5" t="s">
        <v>17</v>
      </c>
      <c r="Y78" s="112" t="s">
        <v>189</v>
      </c>
    </row>
    <row r="79" spans="1:27" x14ac:dyDescent="0.25">
      <c r="A79" s="29">
        <v>45915</v>
      </c>
      <c r="B79" s="5">
        <v>4</v>
      </c>
      <c r="D79" s="5" t="s">
        <v>192</v>
      </c>
      <c r="E79" s="6">
        <v>2.46</v>
      </c>
      <c r="F79" s="7">
        <v>3</v>
      </c>
      <c r="G79" s="7">
        <v>2</v>
      </c>
      <c r="H79" s="8">
        <v>2.23</v>
      </c>
      <c r="J79" s="5" t="s">
        <v>112</v>
      </c>
      <c r="K79" s="47" t="s">
        <v>734</v>
      </c>
      <c r="L79" s="56">
        <v>81</v>
      </c>
      <c r="M79" s="61" t="s">
        <v>192</v>
      </c>
      <c r="N79" s="61" t="s">
        <v>196</v>
      </c>
      <c r="O79" s="61" t="s">
        <v>75</v>
      </c>
      <c r="P79" s="61" t="s">
        <v>696</v>
      </c>
      <c r="Q79" s="218">
        <v>72</v>
      </c>
      <c r="R79" s="61" t="s">
        <v>41</v>
      </c>
      <c r="S79" s="61" t="s">
        <v>42</v>
      </c>
      <c r="T79" s="63" t="s">
        <v>7</v>
      </c>
      <c r="U79" s="51">
        <v>0.79</v>
      </c>
      <c r="V79" s="6">
        <v>0.63</v>
      </c>
      <c r="W79" s="6" t="s">
        <v>353</v>
      </c>
      <c r="X79" s="5" t="s">
        <v>8</v>
      </c>
      <c r="Y79" s="112" t="s">
        <v>180</v>
      </c>
    </row>
    <row r="80" spans="1:27" ht="15.75" thickBot="1" x14ac:dyDescent="0.3">
      <c r="A80" s="206">
        <v>45915</v>
      </c>
      <c r="B80" s="207">
        <v>4</v>
      </c>
      <c r="C80" s="208"/>
      <c r="D80" s="207" t="s">
        <v>192</v>
      </c>
      <c r="E80" s="209">
        <v>2.46</v>
      </c>
      <c r="F80" s="210">
        <v>3</v>
      </c>
      <c r="G80" s="210">
        <v>2</v>
      </c>
      <c r="H80" s="211">
        <v>2.23</v>
      </c>
      <c r="I80" s="208"/>
      <c r="J80" s="207" t="s">
        <v>112</v>
      </c>
      <c r="K80" s="235"/>
      <c r="L80" s="198"/>
      <c r="M80" s="199" t="s">
        <v>192</v>
      </c>
      <c r="N80" s="199" t="s">
        <v>723</v>
      </c>
      <c r="O80" s="199" t="s">
        <v>724</v>
      </c>
      <c r="P80" s="199" t="s">
        <v>707</v>
      </c>
      <c r="Q80" s="200">
        <v>77</v>
      </c>
      <c r="R80" s="199"/>
      <c r="S80" s="199"/>
      <c r="T80" s="201"/>
      <c r="U80" s="202"/>
      <c r="V80" s="203"/>
      <c r="W80" s="203">
        <v>2</v>
      </c>
      <c r="X80" s="199"/>
      <c r="Y80" s="204"/>
      <c r="Z80" s="205"/>
      <c r="AA80" s="201"/>
    </row>
    <row r="81" spans="1:27" ht="15.75" thickBot="1" x14ac:dyDescent="0.3">
      <c r="A81" s="206">
        <v>45915</v>
      </c>
      <c r="B81" s="207">
        <v>4</v>
      </c>
      <c r="C81" s="208"/>
      <c r="D81" s="207" t="s">
        <v>192</v>
      </c>
      <c r="E81" s="209">
        <v>2.46</v>
      </c>
      <c r="F81" s="210">
        <v>3</v>
      </c>
      <c r="G81" s="210">
        <v>2</v>
      </c>
      <c r="H81" s="211">
        <v>2.23</v>
      </c>
      <c r="I81" s="208"/>
      <c r="J81" s="207" t="s">
        <v>112</v>
      </c>
      <c r="K81" s="235"/>
      <c r="L81" s="198"/>
      <c r="M81" s="199" t="s">
        <v>112</v>
      </c>
      <c r="N81" s="199" t="s">
        <v>60</v>
      </c>
      <c r="O81" s="199" t="s">
        <v>464</v>
      </c>
      <c r="P81" s="199" t="s">
        <v>707</v>
      </c>
      <c r="Q81" s="200">
        <v>57</v>
      </c>
      <c r="R81" s="199"/>
      <c r="S81" s="199"/>
      <c r="T81" s="201"/>
      <c r="U81" s="202"/>
      <c r="V81" s="203"/>
      <c r="W81" s="203">
        <v>3</v>
      </c>
      <c r="X81" s="199"/>
      <c r="Y81" s="204"/>
      <c r="Z81" s="205"/>
      <c r="AA81" s="201"/>
    </row>
    <row r="82" spans="1:27" ht="15.75" thickBot="1" x14ac:dyDescent="0.3">
      <c r="A82" s="30">
        <v>45924</v>
      </c>
      <c r="B82" s="9">
        <v>6</v>
      </c>
      <c r="C82" s="122"/>
      <c r="D82" s="9" t="s">
        <v>146</v>
      </c>
      <c r="E82" s="10">
        <v>2.76</v>
      </c>
      <c r="F82" s="11">
        <v>1</v>
      </c>
      <c r="G82" s="11">
        <v>0</v>
      </c>
      <c r="H82" s="12">
        <v>0.76</v>
      </c>
      <c r="I82" s="122"/>
      <c r="J82" s="9" t="s">
        <v>112</v>
      </c>
      <c r="K82" s="45"/>
      <c r="L82" s="97">
        <v>69</v>
      </c>
      <c r="M82" s="74" t="s">
        <v>112</v>
      </c>
      <c r="N82" s="74" t="s">
        <v>243</v>
      </c>
      <c r="O82" s="74" t="s">
        <v>244</v>
      </c>
      <c r="P82" s="74" t="s">
        <v>717</v>
      </c>
      <c r="Q82" s="221">
        <v>64</v>
      </c>
      <c r="R82" s="74" t="s">
        <v>41</v>
      </c>
      <c r="S82" s="74" t="s">
        <v>43</v>
      </c>
      <c r="T82" s="76" t="s">
        <v>18</v>
      </c>
      <c r="U82" s="52">
        <v>0.47</v>
      </c>
      <c r="V82" s="10" t="s">
        <v>53</v>
      </c>
      <c r="W82" s="10" t="s">
        <v>353</v>
      </c>
      <c r="X82" s="9" t="s">
        <v>13</v>
      </c>
      <c r="Y82" s="113" t="s">
        <v>19</v>
      </c>
      <c r="Z82" s="109"/>
      <c r="AA82" s="58"/>
    </row>
    <row r="83" spans="1:27" x14ac:dyDescent="0.25">
      <c r="A83" s="29">
        <v>45924</v>
      </c>
      <c r="B83" s="5">
        <v>6</v>
      </c>
      <c r="D83" s="5" t="s">
        <v>146</v>
      </c>
      <c r="E83" s="6">
        <v>2.76</v>
      </c>
      <c r="F83" s="7">
        <v>1</v>
      </c>
      <c r="G83" s="7">
        <v>0</v>
      </c>
      <c r="H83" s="8">
        <v>0.76</v>
      </c>
      <c r="J83" s="5" t="s">
        <v>112</v>
      </c>
      <c r="L83" s="56">
        <v>19</v>
      </c>
      <c r="M83" s="61" t="s">
        <v>146</v>
      </c>
      <c r="N83" s="61" t="s">
        <v>135</v>
      </c>
      <c r="O83" s="61" t="s">
        <v>273</v>
      </c>
      <c r="P83" s="61" t="s">
        <v>689</v>
      </c>
      <c r="Q83" s="218">
        <v>73</v>
      </c>
      <c r="R83" s="61" t="s">
        <v>47</v>
      </c>
      <c r="S83" s="61" t="s">
        <v>45</v>
      </c>
      <c r="T83" s="63" t="s">
        <v>20</v>
      </c>
      <c r="U83" s="51">
        <v>0.53</v>
      </c>
      <c r="V83" s="6" t="s">
        <v>53</v>
      </c>
      <c r="W83" s="6" t="s">
        <v>353</v>
      </c>
      <c r="X83" s="5" t="s">
        <v>13</v>
      </c>
      <c r="Y83" s="112" t="s">
        <v>28</v>
      </c>
    </row>
    <row r="84" spans="1:27" x14ac:dyDescent="0.25">
      <c r="A84" s="29">
        <v>45924</v>
      </c>
      <c r="B84" s="5">
        <v>6</v>
      </c>
      <c r="D84" s="5" t="s">
        <v>146</v>
      </c>
      <c r="E84" s="6">
        <v>2.76</v>
      </c>
      <c r="F84" s="7">
        <v>1</v>
      </c>
      <c r="G84" s="7">
        <v>0</v>
      </c>
      <c r="H84" s="8">
        <v>0.76</v>
      </c>
      <c r="J84" s="5" t="s">
        <v>112</v>
      </c>
      <c r="L84" s="56">
        <v>41</v>
      </c>
      <c r="M84" s="61" t="s">
        <v>146</v>
      </c>
      <c r="N84" s="61" t="s">
        <v>274</v>
      </c>
      <c r="O84" s="61" t="s">
        <v>275</v>
      </c>
      <c r="P84" s="61" t="s">
        <v>685</v>
      </c>
      <c r="Q84" s="218">
        <v>83</v>
      </c>
      <c r="R84" s="61" t="s">
        <v>41</v>
      </c>
      <c r="S84" s="61" t="s">
        <v>42</v>
      </c>
      <c r="T84" s="63" t="s">
        <v>10</v>
      </c>
      <c r="U84" s="51">
        <v>0.24</v>
      </c>
      <c r="V84" s="6" t="s">
        <v>53</v>
      </c>
      <c r="W84" s="6" t="s">
        <v>353</v>
      </c>
      <c r="X84" s="5" t="s">
        <v>13</v>
      </c>
      <c r="Y84" s="112" t="s">
        <v>28</v>
      </c>
    </row>
    <row r="85" spans="1:27" x14ac:dyDescent="0.25">
      <c r="A85" s="29">
        <v>45924</v>
      </c>
      <c r="B85" s="5">
        <v>6</v>
      </c>
      <c r="D85" s="5" t="s">
        <v>146</v>
      </c>
      <c r="E85" s="6">
        <v>2.76</v>
      </c>
      <c r="F85" s="7">
        <v>1</v>
      </c>
      <c r="G85" s="7">
        <v>0</v>
      </c>
      <c r="H85" s="8">
        <v>0.76</v>
      </c>
      <c r="J85" s="5" t="s">
        <v>112</v>
      </c>
      <c r="L85" s="56">
        <v>49</v>
      </c>
      <c r="M85" s="61" t="s">
        <v>146</v>
      </c>
      <c r="N85" s="61" t="s">
        <v>159</v>
      </c>
      <c r="O85" s="61" t="s">
        <v>160</v>
      </c>
      <c r="P85" s="61" t="s">
        <v>684</v>
      </c>
      <c r="Q85" s="218">
        <v>71</v>
      </c>
      <c r="R85" s="61" t="s">
        <v>47</v>
      </c>
      <c r="S85" s="61" t="s">
        <v>42</v>
      </c>
      <c r="T85" s="63" t="s">
        <v>10</v>
      </c>
      <c r="U85" s="51">
        <v>0.9</v>
      </c>
      <c r="V85" s="6">
        <v>0.99</v>
      </c>
      <c r="W85" s="6" t="s">
        <v>353</v>
      </c>
      <c r="X85" s="5" t="s">
        <v>8</v>
      </c>
      <c r="Y85" s="112" t="s">
        <v>19</v>
      </c>
      <c r="Z85" s="108" t="s">
        <v>274</v>
      </c>
      <c r="AA85" s="57" t="s">
        <v>275</v>
      </c>
    </row>
    <row r="86" spans="1:27" x14ac:dyDescent="0.25">
      <c r="A86" s="29">
        <v>45924</v>
      </c>
      <c r="B86" s="5">
        <v>6</v>
      </c>
      <c r="D86" s="5" t="s">
        <v>146</v>
      </c>
      <c r="E86" s="6">
        <v>2.76</v>
      </c>
      <c r="F86" s="7">
        <v>1</v>
      </c>
      <c r="G86" s="7">
        <v>0</v>
      </c>
      <c r="H86" s="8">
        <v>0.76</v>
      </c>
      <c r="J86" s="5" t="s">
        <v>112</v>
      </c>
      <c r="L86" s="56">
        <v>69</v>
      </c>
      <c r="M86" s="61" t="s">
        <v>146</v>
      </c>
      <c r="N86" s="61" t="s">
        <v>155</v>
      </c>
      <c r="O86" s="61" t="s">
        <v>156</v>
      </c>
      <c r="P86" s="61" t="s">
        <v>686</v>
      </c>
      <c r="Q86" s="218">
        <v>74</v>
      </c>
      <c r="R86" s="61" t="s">
        <v>41</v>
      </c>
      <c r="S86" s="61" t="s">
        <v>43</v>
      </c>
      <c r="T86" s="63" t="s">
        <v>10</v>
      </c>
      <c r="U86" s="51">
        <v>0.15</v>
      </c>
      <c r="V86" s="6" t="s">
        <v>53</v>
      </c>
      <c r="W86" s="6" t="s">
        <v>353</v>
      </c>
      <c r="X86" s="5" t="s">
        <v>52</v>
      </c>
      <c r="Y86" s="112" t="s">
        <v>19</v>
      </c>
    </row>
    <row r="87" spans="1:27" ht="15.75" thickBot="1" x14ac:dyDescent="0.3">
      <c r="A87" s="206">
        <v>45924</v>
      </c>
      <c r="B87" s="207">
        <v>6</v>
      </c>
      <c r="C87" s="208"/>
      <c r="D87" s="207" t="s">
        <v>146</v>
      </c>
      <c r="E87" s="209">
        <v>2.76</v>
      </c>
      <c r="F87" s="210">
        <v>1</v>
      </c>
      <c r="G87" s="210">
        <v>0</v>
      </c>
      <c r="H87" s="211">
        <v>0.76</v>
      </c>
      <c r="I87" s="208"/>
      <c r="J87" s="207" t="s">
        <v>112</v>
      </c>
      <c r="K87" s="235"/>
      <c r="L87" s="198"/>
      <c r="M87" s="199" t="s">
        <v>146</v>
      </c>
      <c r="N87" s="199" t="s">
        <v>176</v>
      </c>
      <c r="O87" s="199" t="s">
        <v>423</v>
      </c>
      <c r="P87" s="199" t="s">
        <v>707</v>
      </c>
      <c r="Q87" s="200">
        <v>75</v>
      </c>
      <c r="R87" s="199"/>
      <c r="S87" s="199"/>
      <c r="T87" s="201"/>
      <c r="U87" s="202"/>
      <c r="V87" s="203"/>
      <c r="W87" s="203">
        <v>0</v>
      </c>
      <c r="X87" s="199"/>
      <c r="Y87" s="204"/>
      <c r="Z87" s="205"/>
      <c r="AA87" s="201"/>
    </row>
    <row r="88" spans="1:27" ht="15.75" thickBot="1" x14ac:dyDescent="0.3">
      <c r="A88" s="206">
        <v>45924</v>
      </c>
      <c r="B88" s="207">
        <v>6</v>
      </c>
      <c r="C88" s="208"/>
      <c r="D88" s="207" t="s">
        <v>146</v>
      </c>
      <c r="E88" s="209">
        <v>2.76</v>
      </c>
      <c r="F88" s="210">
        <v>1</v>
      </c>
      <c r="G88" s="210">
        <v>0</v>
      </c>
      <c r="H88" s="211">
        <v>0.76</v>
      </c>
      <c r="I88" s="208"/>
      <c r="J88" s="207" t="s">
        <v>112</v>
      </c>
      <c r="K88" s="235"/>
      <c r="L88" s="198"/>
      <c r="M88" s="199" t="s">
        <v>112</v>
      </c>
      <c r="N88" s="199" t="s">
        <v>60</v>
      </c>
      <c r="O88" s="199" t="s">
        <v>464</v>
      </c>
      <c r="P88" s="199" t="s">
        <v>707</v>
      </c>
      <c r="Q88" s="200">
        <v>71</v>
      </c>
      <c r="R88" s="199"/>
      <c r="S88" s="199"/>
      <c r="T88" s="201"/>
      <c r="U88" s="202"/>
      <c r="V88" s="203"/>
      <c r="W88" s="203">
        <v>1</v>
      </c>
      <c r="X88" s="199"/>
      <c r="Y88" s="204"/>
      <c r="Z88" s="205"/>
      <c r="AA88" s="201"/>
    </row>
    <row r="89" spans="1:27" x14ac:dyDescent="0.25">
      <c r="A89" s="29">
        <v>45934</v>
      </c>
      <c r="B89" s="5">
        <v>8</v>
      </c>
      <c r="D89" s="5" t="s">
        <v>170</v>
      </c>
      <c r="E89" s="6">
        <v>2.0499999999999998</v>
      </c>
      <c r="F89" s="7">
        <v>2</v>
      </c>
      <c r="G89" s="7">
        <v>1</v>
      </c>
      <c r="H89" s="8">
        <v>0.32</v>
      </c>
      <c r="J89" s="5" t="s">
        <v>112</v>
      </c>
      <c r="K89" s="44" t="s">
        <v>562</v>
      </c>
      <c r="L89" s="56">
        <v>72</v>
      </c>
      <c r="M89" s="26" t="s">
        <v>112</v>
      </c>
      <c r="N89" s="26" t="s">
        <v>114</v>
      </c>
      <c r="O89" s="26" t="s">
        <v>115</v>
      </c>
      <c r="P89" s="26" t="s">
        <v>684</v>
      </c>
      <c r="Q89" s="213">
        <v>65</v>
      </c>
      <c r="R89" s="26" t="s">
        <v>41</v>
      </c>
      <c r="S89" s="26" t="s">
        <v>45</v>
      </c>
      <c r="T89" s="43" t="s">
        <v>10</v>
      </c>
      <c r="U89" s="51">
        <v>0.25</v>
      </c>
      <c r="V89" s="6" t="s">
        <v>53</v>
      </c>
      <c r="W89" s="6" t="s">
        <v>353</v>
      </c>
      <c r="X89" s="5" t="s">
        <v>13</v>
      </c>
      <c r="Y89" s="112" t="s">
        <v>19</v>
      </c>
    </row>
    <row r="90" spans="1:27" x14ac:dyDescent="0.25">
      <c r="A90" s="29">
        <v>45934</v>
      </c>
      <c r="B90" s="5">
        <v>8</v>
      </c>
      <c r="D90" s="5" t="s">
        <v>170</v>
      </c>
      <c r="E90" s="6">
        <v>2.0499999999999998</v>
      </c>
      <c r="F90" s="7">
        <v>2</v>
      </c>
      <c r="G90" s="7">
        <v>1</v>
      </c>
      <c r="H90" s="8">
        <v>0.32</v>
      </c>
      <c r="J90" s="5" t="s">
        <v>112</v>
      </c>
      <c r="K90" s="44" t="s">
        <v>562</v>
      </c>
      <c r="L90" s="56">
        <v>9</v>
      </c>
      <c r="M90" s="61" t="s">
        <v>170</v>
      </c>
      <c r="N90" s="61" t="s">
        <v>295</v>
      </c>
      <c r="O90" s="61" t="s">
        <v>175</v>
      </c>
      <c r="P90" s="61" t="s">
        <v>684</v>
      </c>
      <c r="Q90" s="218">
        <v>78</v>
      </c>
      <c r="R90" s="61" t="s">
        <v>41</v>
      </c>
      <c r="S90" s="61" t="s">
        <v>42</v>
      </c>
      <c r="T90" s="63" t="s">
        <v>7</v>
      </c>
      <c r="U90" s="51">
        <v>0.79</v>
      </c>
      <c r="V90" s="6">
        <v>0.79</v>
      </c>
      <c r="W90" s="6" t="s">
        <v>353</v>
      </c>
      <c r="X90" s="5" t="s">
        <v>8</v>
      </c>
      <c r="Y90" s="112" t="s">
        <v>19</v>
      </c>
    </row>
    <row r="91" spans="1:27" ht="15.75" thickBot="1" x14ac:dyDescent="0.3">
      <c r="A91" s="30">
        <v>45934</v>
      </c>
      <c r="B91" s="9">
        <v>8</v>
      </c>
      <c r="C91" s="122"/>
      <c r="D91" s="9" t="s">
        <v>170</v>
      </c>
      <c r="E91" s="10">
        <v>2.0499999999999998</v>
      </c>
      <c r="F91" s="11">
        <v>2</v>
      </c>
      <c r="G91" s="11">
        <v>1</v>
      </c>
      <c r="H91" s="12">
        <v>0.32</v>
      </c>
      <c r="I91" s="122"/>
      <c r="J91" s="9" t="s">
        <v>112</v>
      </c>
      <c r="K91" s="45" t="s">
        <v>562</v>
      </c>
      <c r="L91" s="97">
        <v>82</v>
      </c>
      <c r="M91" s="66" t="s">
        <v>170</v>
      </c>
      <c r="N91" s="66" t="s">
        <v>347</v>
      </c>
      <c r="O91" s="66" t="s">
        <v>561</v>
      </c>
      <c r="P91" s="66" t="s">
        <v>696</v>
      </c>
      <c r="Q91" s="219">
        <v>75</v>
      </c>
      <c r="R91" s="66" t="s">
        <v>41</v>
      </c>
      <c r="S91" s="66" t="s">
        <v>42</v>
      </c>
      <c r="T91" s="67" t="s">
        <v>20</v>
      </c>
      <c r="U91" s="52">
        <v>0.13</v>
      </c>
      <c r="V91" s="10">
        <v>0.66</v>
      </c>
      <c r="W91" s="10" t="s">
        <v>353</v>
      </c>
      <c r="X91" s="9" t="s">
        <v>8</v>
      </c>
      <c r="Y91" s="113" t="s">
        <v>34</v>
      </c>
      <c r="Z91" s="109" t="s">
        <v>306</v>
      </c>
      <c r="AA91" s="58" t="s">
        <v>471</v>
      </c>
    </row>
    <row r="92" spans="1:27" ht="15.75" thickBot="1" x14ac:dyDescent="0.3">
      <c r="A92" s="206">
        <v>45934</v>
      </c>
      <c r="B92" s="207">
        <v>8</v>
      </c>
      <c r="C92" s="208"/>
      <c r="D92" s="207" t="s">
        <v>170</v>
      </c>
      <c r="E92" s="209">
        <v>2.0499999999999998</v>
      </c>
      <c r="F92" s="210">
        <v>2</v>
      </c>
      <c r="G92" s="210">
        <v>1</v>
      </c>
      <c r="H92" s="211">
        <v>0.32</v>
      </c>
      <c r="I92" s="208"/>
      <c r="J92" s="207" t="s">
        <v>112</v>
      </c>
      <c r="K92" s="235"/>
      <c r="L92" s="198"/>
      <c r="M92" s="199" t="s">
        <v>170</v>
      </c>
      <c r="N92" s="199" t="s">
        <v>269</v>
      </c>
      <c r="O92" s="199" t="s">
        <v>722</v>
      </c>
      <c r="P92" s="199" t="s">
        <v>707</v>
      </c>
      <c r="Q92" s="200">
        <v>67</v>
      </c>
      <c r="R92" s="199"/>
      <c r="S92" s="199"/>
      <c r="T92" s="201"/>
      <c r="U92" s="202"/>
      <c r="V92" s="203"/>
      <c r="W92" s="203">
        <v>1</v>
      </c>
      <c r="X92" s="199"/>
      <c r="Y92" s="204"/>
      <c r="Z92" s="205"/>
      <c r="AA92" s="201"/>
    </row>
    <row r="93" spans="1:27" ht="15.75" thickBot="1" x14ac:dyDescent="0.3">
      <c r="A93" s="206">
        <v>45934</v>
      </c>
      <c r="B93" s="207">
        <v>8</v>
      </c>
      <c r="C93" s="208"/>
      <c r="D93" s="207" t="s">
        <v>170</v>
      </c>
      <c r="E93" s="209">
        <v>2.0499999999999998</v>
      </c>
      <c r="F93" s="210">
        <v>2</v>
      </c>
      <c r="G93" s="210">
        <v>1</v>
      </c>
      <c r="H93" s="211">
        <v>0.32</v>
      </c>
      <c r="I93" s="208"/>
      <c r="J93" s="207" t="s">
        <v>112</v>
      </c>
      <c r="K93" s="235"/>
      <c r="L93" s="198"/>
      <c r="M93" s="199" t="s">
        <v>112</v>
      </c>
      <c r="N93" s="199" t="s">
        <v>60</v>
      </c>
      <c r="O93" s="199" t="s">
        <v>464</v>
      </c>
      <c r="P93" s="199" t="s">
        <v>707</v>
      </c>
      <c r="Q93" s="200">
        <v>74</v>
      </c>
      <c r="R93" s="199"/>
      <c r="S93" s="199"/>
      <c r="T93" s="201"/>
      <c r="U93" s="202"/>
      <c r="V93" s="203"/>
      <c r="W93" s="203">
        <v>2</v>
      </c>
      <c r="X93" s="199"/>
      <c r="Y93" s="204"/>
      <c r="Z93" s="205"/>
      <c r="AA93" s="201"/>
    </row>
    <row r="94" spans="1:27" x14ac:dyDescent="0.25">
      <c r="A94" s="236"/>
      <c r="B94" s="237"/>
      <c r="C94" s="238"/>
      <c r="D94" s="237"/>
      <c r="E94" s="239"/>
      <c r="F94" s="240"/>
      <c r="G94" s="240"/>
      <c r="H94" s="241"/>
      <c r="I94" s="238"/>
      <c r="J94" s="237"/>
      <c r="K94" s="242"/>
      <c r="L94" s="243"/>
      <c r="M94" s="237"/>
      <c r="N94" s="237"/>
      <c r="O94" s="237"/>
      <c r="P94" s="237"/>
      <c r="Q94" s="240"/>
      <c r="R94" s="237"/>
      <c r="S94" s="237"/>
      <c r="T94" s="244"/>
      <c r="U94" s="245"/>
      <c r="V94" s="239"/>
      <c r="W94" s="239" t="s">
        <v>741</v>
      </c>
      <c r="X94" s="237"/>
      <c r="Y94" s="246"/>
      <c r="Z94" s="247"/>
      <c r="AA94" s="244"/>
    </row>
    <row r="95" spans="1:27" x14ac:dyDescent="0.25">
      <c r="A95" s="143">
        <v>45914</v>
      </c>
      <c r="B95" s="144">
        <v>4</v>
      </c>
      <c r="C95" s="145"/>
      <c r="D95" s="144" t="s">
        <v>113</v>
      </c>
      <c r="E95" s="146">
        <v>4.0199999999999996</v>
      </c>
      <c r="F95" s="147">
        <v>6</v>
      </c>
      <c r="G95" s="147">
        <v>0</v>
      </c>
      <c r="H95" s="148">
        <v>0.18</v>
      </c>
      <c r="I95" s="145"/>
      <c r="J95" s="144" t="s">
        <v>145</v>
      </c>
      <c r="K95" s="149"/>
      <c r="L95" s="150">
        <v>10</v>
      </c>
      <c r="M95" s="61" t="s">
        <v>113</v>
      </c>
      <c r="N95" s="61" t="s">
        <v>118</v>
      </c>
      <c r="O95" s="61" t="s">
        <v>119</v>
      </c>
      <c r="P95" s="61" t="s">
        <v>684</v>
      </c>
      <c r="Q95" s="218">
        <v>63</v>
      </c>
      <c r="R95" s="61" t="s">
        <v>41</v>
      </c>
      <c r="S95" s="61" t="s">
        <v>42</v>
      </c>
      <c r="T95" s="63" t="s">
        <v>10</v>
      </c>
      <c r="U95" s="171">
        <v>0.68</v>
      </c>
      <c r="V95" s="146" t="s">
        <v>53</v>
      </c>
      <c r="W95" s="146" t="s">
        <v>353</v>
      </c>
      <c r="X95" s="144" t="s">
        <v>55</v>
      </c>
      <c r="Y95" s="172" t="s">
        <v>28</v>
      </c>
      <c r="Z95" s="173"/>
      <c r="AA95" s="174"/>
    </row>
    <row r="96" spans="1:27" x14ac:dyDescent="0.25">
      <c r="A96" s="143">
        <v>45914</v>
      </c>
      <c r="B96" s="144">
        <v>4</v>
      </c>
      <c r="C96" s="145"/>
      <c r="D96" s="144" t="s">
        <v>113</v>
      </c>
      <c r="E96" s="146">
        <v>4.0199999999999996</v>
      </c>
      <c r="F96" s="147">
        <v>6</v>
      </c>
      <c r="G96" s="147">
        <v>0</v>
      </c>
      <c r="H96" s="148">
        <v>0.18</v>
      </c>
      <c r="I96" s="145"/>
      <c r="J96" s="144" t="s">
        <v>145</v>
      </c>
      <c r="K96" s="149"/>
      <c r="L96" s="150">
        <v>48</v>
      </c>
      <c r="M96" s="61" t="s">
        <v>113</v>
      </c>
      <c r="N96" s="61" t="s">
        <v>118</v>
      </c>
      <c r="O96" s="61" t="s">
        <v>119</v>
      </c>
      <c r="P96" s="61" t="s">
        <v>684</v>
      </c>
      <c r="Q96" s="218">
        <v>63</v>
      </c>
      <c r="R96" s="61" t="s">
        <v>41</v>
      </c>
      <c r="S96" s="61" t="s">
        <v>42</v>
      </c>
      <c r="T96" s="63" t="s">
        <v>10</v>
      </c>
      <c r="U96" s="171">
        <v>0.41</v>
      </c>
      <c r="V96" s="146" t="s">
        <v>53</v>
      </c>
      <c r="W96" s="146" t="s">
        <v>353</v>
      </c>
      <c r="X96" s="144" t="s">
        <v>17</v>
      </c>
      <c r="Y96" s="172" t="s">
        <v>19</v>
      </c>
      <c r="Z96" s="173"/>
      <c r="AA96" s="174"/>
    </row>
    <row r="97" spans="1:27" x14ac:dyDescent="0.25">
      <c r="A97" s="143">
        <v>45914</v>
      </c>
      <c r="B97" s="144">
        <v>4</v>
      </c>
      <c r="C97" s="145"/>
      <c r="D97" s="144" t="s">
        <v>113</v>
      </c>
      <c r="E97" s="146">
        <v>4.0199999999999996</v>
      </c>
      <c r="F97" s="147">
        <v>6</v>
      </c>
      <c r="G97" s="147">
        <v>0</v>
      </c>
      <c r="H97" s="148">
        <v>0.18</v>
      </c>
      <c r="I97" s="145"/>
      <c r="J97" s="144" t="s">
        <v>145</v>
      </c>
      <c r="K97" s="149"/>
      <c r="L97" s="150">
        <v>53</v>
      </c>
      <c r="M97" s="61" t="s">
        <v>113</v>
      </c>
      <c r="N97" s="61" t="s">
        <v>118</v>
      </c>
      <c r="O97" s="61" t="s">
        <v>119</v>
      </c>
      <c r="P97" s="61" t="s">
        <v>684</v>
      </c>
      <c r="Q97" s="218">
        <v>63</v>
      </c>
      <c r="R97" s="61" t="s">
        <v>41</v>
      </c>
      <c r="S97" s="61" t="s">
        <v>43</v>
      </c>
      <c r="T97" s="63" t="s">
        <v>10</v>
      </c>
      <c r="U97" s="171">
        <v>0.23</v>
      </c>
      <c r="V97" s="146">
        <v>0.24</v>
      </c>
      <c r="W97" s="146" t="s">
        <v>353</v>
      </c>
      <c r="X97" s="144" t="s">
        <v>48</v>
      </c>
      <c r="Y97" s="172" t="s">
        <v>19</v>
      </c>
      <c r="Z97" s="173"/>
      <c r="AA97" s="174"/>
    </row>
    <row r="98" spans="1:27" x14ac:dyDescent="0.25">
      <c r="A98" s="143">
        <v>45914</v>
      </c>
      <c r="B98" s="144">
        <v>4</v>
      </c>
      <c r="C98" s="145"/>
      <c r="D98" s="144" t="s">
        <v>113</v>
      </c>
      <c r="E98" s="146">
        <v>4.0199999999999996</v>
      </c>
      <c r="F98" s="147">
        <v>6</v>
      </c>
      <c r="G98" s="147">
        <v>0</v>
      </c>
      <c r="H98" s="148">
        <v>0.18</v>
      </c>
      <c r="I98" s="145"/>
      <c r="J98" s="144" t="s">
        <v>145</v>
      </c>
      <c r="K98" s="149"/>
      <c r="L98" s="150">
        <v>53</v>
      </c>
      <c r="M98" s="61" t="s">
        <v>113</v>
      </c>
      <c r="N98" s="61" t="s">
        <v>53</v>
      </c>
      <c r="O98" s="61" t="s">
        <v>117</v>
      </c>
      <c r="P98" s="61" t="s">
        <v>696</v>
      </c>
      <c r="Q98" s="218">
        <v>88</v>
      </c>
      <c r="R98" s="61" t="s">
        <v>47</v>
      </c>
      <c r="S98" s="61" t="s">
        <v>42</v>
      </c>
      <c r="T98" s="63" t="s">
        <v>10</v>
      </c>
      <c r="U98" s="171">
        <v>0.56000000000000005</v>
      </c>
      <c r="V98" s="146">
        <v>0.78</v>
      </c>
      <c r="W98" s="146" t="s">
        <v>353</v>
      </c>
      <c r="X98" s="144" t="s">
        <v>8</v>
      </c>
      <c r="Y98" s="172" t="s">
        <v>24</v>
      </c>
      <c r="Z98" s="173" t="s">
        <v>468</v>
      </c>
      <c r="AA98" s="174" t="s">
        <v>469</v>
      </c>
    </row>
    <row r="99" spans="1:27" x14ac:dyDescent="0.25">
      <c r="A99" s="143">
        <v>45914</v>
      </c>
      <c r="B99" s="144">
        <v>4</v>
      </c>
      <c r="C99" s="145"/>
      <c r="D99" s="144" t="s">
        <v>113</v>
      </c>
      <c r="E99" s="146">
        <v>4.0199999999999996</v>
      </c>
      <c r="F99" s="147">
        <v>6</v>
      </c>
      <c r="G99" s="147">
        <v>0</v>
      </c>
      <c r="H99" s="148">
        <v>0.18</v>
      </c>
      <c r="I99" s="145"/>
      <c r="J99" s="144" t="s">
        <v>145</v>
      </c>
      <c r="K99" s="149"/>
      <c r="L99" s="150">
        <v>76</v>
      </c>
      <c r="M99" s="61" t="s">
        <v>113</v>
      </c>
      <c r="N99" s="61" t="s">
        <v>178</v>
      </c>
      <c r="O99" s="61" t="s">
        <v>407</v>
      </c>
      <c r="P99" s="61" t="s">
        <v>696</v>
      </c>
      <c r="Q99" s="218">
        <v>88</v>
      </c>
      <c r="R99" s="61" t="s">
        <v>41</v>
      </c>
      <c r="S99" s="61" t="s">
        <v>42</v>
      </c>
      <c r="T99" s="63" t="s">
        <v>10</v>
      </c>
      <c r="U99" s="171">
        <v>0.62</v>
      </c>
      <c r="V99" s="146">
        <v>0.86</v>
      </c>
      <c r="W99" s="146" t="s">
        <v>353</v>
      </c>
      <c r="X99" s="144" t="s">
        <v>8</v>
      </c>
      <c r="Y99" s="172" t="s">
        <v>285</v>
      </c>
      <c r="Z99" s="173" t="s">
        <v>124</v>
      </c>
      <c r="AA99" s="174" t="s">
        <v>125</v>
      </c>
    </row>
    <row r="100" spans="1:27" ht="15.75" thickBot="1" x14ac:dyDescent="0.3">
      <c r="A100" s="151">
        <v>45914</v>
      </c>
      <c r="B100" s="152">
        <v>4</v>
      </c>
      <c r="C100" s="153"/>
      <c r="D100" s="152" t="s">
        <v>113</v>
      </c>
      <c r="E100" s="154">
        <v>4.0199999999999996</v>
      </c>
      <c r="F100" s="155">
        <v>6</v>
      </c>
      <c r="G100" s="155">
        <v>0</v>
      </c>
      <c r="H100" s="156">
        <v>0.18</v>
      </c>
      <c r="I100" s="153"/>
      <c r="J100" s="152" t="s">
        <v>145</v>
      </c>
      <c r="K100" s="157"/>
      <c r="L100" s="158">
        <v>86</v>
      </c>
      <c r="M100" s="66" t="s">
        <v>113</v>
      </c>
      <c r="N100" s="66" t="s">
        <v>178</v>
      </c>
      <c r="O100" s="66" t="s">
        <v>407</v>
      </c>
      <c r="P100" s="66" t="s">
        <v>696</v>
      </c>
      <c r="Q100" s="219">
        <v>88</v>
      </c>
      <c r="R100" s="66" t="s">
        <v>41</v>
      </c>
      <c r="S100" s="66" t="s">
        <v>42</v>
      </c>
      <c r="T100" s="67" t="s">
        <v>10</v>
      </c>
      <c r="U100" s="175">
        <v>0.57999999999999996</v>
      </c>
      <c r="V100" s="154">
        <v>0.37</v>
      </c>
      <c r="W100" s="154" t="s">
        <v>353</v>
      </c>
      <c r="X100" s="152" t="s">
        <v>8</v>
      </c>
      <c r="Y100" s="176" t="s">
        <v>408</v>
      </c>
      <c r="Z100" s="177" t="s">
        <v>337</v>
      </c>
      <c r="AA100" s="178" t="s">
        <v>663</v>
      </c>
    </row>
    <row r="101" spans="1:27" ht="15.75" thickBot="1" x14ac:dyDescent="0.3">
      <c r="A101" s="206">
        <v>45914</v>
      </c>
      <c r="B101" s="207">
        <v>4</v>
      </c>
      <c r="C101" s="208"/>
      <c r="D101" s="207" t="s">
        <v>113</v>
      </c>
      <c r="E101" s="209">
        <v>4.0199999999999996</v>
      </c>
      <c r="F101" s="210">
        <v>6</v>
      </c>
      <c r="G101" s="210">
        <v>0</v>
      </c>
      <c r="H101" s="211">
        <v>0.18</v>
      </c>
      <c r="I101" s="208"/>
      <c r="J101" s="207" t="s">
        <v>145</v>
      </c>
      <c r="K101" s="235"/>
      <c r="L101" s="198"/>
      <c r="M101" s="199" t="s">
        <v>113</v>
      </c>
      <c r="N101" s="199" t="s">
        <v>475</v>
      </c>
      <c r="O101" s="199" t="s">
        <v>75</v>
      </c>
      <c r="P101" s="199" t="s">
        <v>707</v>
      </c>
      <c r="Q101" s="200">
        <v>74</v>
      </c>
      <c r="R101" s="199"/>
      <c r="S101" s="199"/>
      <c r="T101" s="201"/>
      <c r="U101" s="202"/>
      <c r="V101" s="203"/>
      <c r="W101" s="203">
        <v>0</v>
      </c>
      <c r="X101" s="199"/>
      <c r="Y101" s="204"/>
      <c r="Z101" s="205"/>
      <c r="AA101" s="201"/>
    </row>
    <row r="102" spans="1:27" ht="15.75" thickBot="1" x14ac:dyDescent="0.3">
      <c r="A102" s="206">
        <v>45914</v>
      </c>
      <c r="B102" s="207">
        <v>4</v>
      </c>
      <c r="C102" s="208"/>
      <c r="D102" s="207" t="s">
        <v>113</v>
      </c>
      <c r="E102" s="209">
        <v>4.0199999999999996</v>
      </c>
      <c r="F102" s="210">
        <v>6</v>
      </c>
      <c r="G102" s="210">
        <v>0</v>
      </c>
      <c r="H102" s="211">
        <v>0.18</v>
      </c>
      <c r="I102" s="208"/>
      <c r="J102" s="207" t="s">
        <v>145</v>
      </c>
      <c r="K102" s="235"/>
      <c r="L102" s="198"/>
      <c r="M102" s="199" t="s">
        <v>145</v>
      </c>
      <c r="N102" s="199" t="s">
        <v>482</v>
      </c>
      <c r="O102" s="199" t="s">
        <v>483</v>
      </c>
      <c r="P102" s="199" t="s">
        <v>707</v>
      </c>
      <c r="Q102" s="200">
        <v>45</v>
      </c>
      <c r="R102" s="199"/>
      <c r="S102" s="199"/>
      <c r="T102" s="201"/>
      <c r="U102" s="202"/>
      <c r="V102" s="203"/>
      <c r="W102" s="203">
        <v>6</v>
      </c>
      <c r="X102" s="199"/>
      <c r="Y102" s="204"/>
      <c r="Z102" s="205"/>
      <c r="AA102" s="201"/>
    </row>
    <row r="103" spans="1:27" x14ac:dyDescent="0.25">
      <c r="A103" s="135">
        <v>45921</v>
      </c>
      <c r="B103" s="136">
        <v>5</v>
      </c>
      <c r="C103" s="137" t="s">
        <v>692</v>
      </c>
      <c r="D103" s="136" t="s">
        <v>113</v>
      </c>
      <c r="E103" s="138">
        <v>1.97</v>
      </c>
      <c r="F103" s="139">
        <v>3</v>
      </c>
      <c r="G103" s="139">
        <v>0</v>
      </c>
      <c r="H103" s="140">
        <v>0.27</v>
      </c>
      <c r="I103" s="137" t="s">
        <v>701</v>
      </c>
      <c r="J103" s="136" t="s">
        <v>161</v>
      </c>
      <c r="K103" s="141"/>
      <c r="L103" s="142">
        <v>15</v>
      </c>
      <c r="M103" s="64" t="s">
        <v>113</v>
      </c>
      <c r="N103" s="64" t="s">
        <v>118</v>
      </c>
      <c r="O103" s="64" t="s">
        <v>119</v>
      </c>
      <c r="P103" s="64" t="s">
        <v>685</v>
      </c>
      <c r="Q103" s="217">
        <v>84</v>
      </c>
      <c r="R103" s="64" t="s">
        <v>41</v>
      </c>
      <c r="S103" s="64" t="s">
        <v>42</v>
      </c>
      <c r="T103" s="65" t="s">
        <v>10</v>
      </c>
      <c r="U103" s="167">
        <v>0.34</v>
      </c>
      <c r="V103" s="138">
        <v>0.8</v>
      </c>
      <c r="W103" s="138" t="s">
        <v>353</v>
      </c>
      <c r="X103" s="136" t="s">
        <v>8</v>
      </c>
      <c r="Y103" s="168" t="s">
        <v>19</v>
      </c>
      <c r="Z103" s="169" t="s">
        <v>124</v>
      </c>
      <c r="AA103" s="170" t="s">
        <v>125</v>
      </c>
    </row>
    <row r="104" spans="1:27" x14ac:dyDescent="0.25">
      <c r="A104" s="143">
        <v>45921</v>
      </c>
      <c r="B104" s="144">
        <v>5</v>
      </c>
      <c r="C104" s="145"/>
      <c r="D104" s="144" t="s">
        <v>113</v>
      </c>
      <c r="E104" s="146">
        <v>1.97</v>
      </c>
      <c r="F104" s="147">
        <v>3</v>
      </c>
      <c r="G104" s="147">
        <v>0</v>
      </c>
      <c r="H104" s="148">
        <v>0.27</v>
      </c>
      <c r="I104" s="145"/>
      <c r="J104" s="144" t="s">
        <v>161</v>
      </c>
      <c r="K104" s="149"/>
      <c r="L104" s="150">
        <v>28</v>
      </c>
      <c r="M104" s="61" t="s">
        <v>113</v>
      </c>
      <c r="N104" s="61" t="s">
        <v>178</v>
      </c>
      <c r="O104" s="61" t="s">
        <v>407</v>
      </c>
      <c r="P104" s="61" t="s">
        <v>684</v>
      </c>
      <c r="Q104" s="218">
        <v>60</v>
      </c>
      <c r="R104" s="61" t="s">
        <v>47</v>
      </c>
      <c r="S104" s="61" t="s">
        <v>42</v>
      </c>
      <c r="T104" s="63" t="s">
        <v>10</v>
      </c>
      <c r="U104" s="171">
        <v>0.4</v>
      </c>
      <c r="V104" s="146" t="s">
        <v>53</v>
      </c>
      <c r="W104" s="146" t="s">
        <v>353</v>
      </c>
      <c r="X104" s="144" t="s">
        <v>13</v>
      </c>
      <c r="Y104" s="172" t="s">
        <v>19</v>
      </c>
      <c r="Z104" s="173"/>
      <c r="AA104" s="174"/>
    </row>
    <row r="105" spans="1:27" x14ac:dyDescent="0.25">
      <c r="A105" s="143">
        <v>45921</v>
      </c>
      <c r="B105" s="144">
        <v>5</v>
      </c>
      <c r="C105" s="145"/>
      <c r="D105" s="144" t="s">
        <v>113</v>
      </c>
      <c r="E105" s="146">
        <v>1.97</v>
      </c>
      <c r="F105" s="147">
        <v>3</v>
      </c>
      <c r="G105" s="147">
        <v>0</v>
      </c>
      <c r="H105" s="148">
        <v>0.27</v>
      </c>
      <c r="I105" s="145"/>
      <c r="J105" s="144" t="s">
        <v>161</v>
      </c>
      <c r="K105" s="149"/>
      <c r="L105" s="150">
        <v>34</v>
      </c>
      <c r="M105" s="61" t="s">
        <v>113</v>
      </c>
      <c r="N105" s="61" t="s">
        <v>118</v>
      </c>
      <c r="O105" s="61" t="s">
        <v>119</v>
      </c>
      <c r="P105" s="61" t="s">
        <v>685</v>
      </c>
      <c r="Q105" s="218">
        <v>84</v>
      </c>
      <c r="R105" s="61" t="s">
        <v>44</v>
      </c>
      <c r="S105" s="61" t="s">
        <v>42</v>
      </c>
      <c r="T105" s="63" t="s">
        <v>18</v>
      </c>
      <c r="U105" s="171">
        <v>0.32</v>
      </c>
      <c r="V105" s="146">
        <v>0.79</v>
      </c>
      <c r="W105" s="146" t="s">
        <v>353</v>
      </c>
      <c r="X105" s="144" t="s">
        <v>8</v>
      </c>
      <c r="Y105" s="172" t="s">
        <v>24</v>
      </c>
      <c r="Z105" s="173" t="s">
        <v>53</v>
      </c>
      <c r="AA105" s="174" t="s">
        <v>117</v>
      </c>
    </row>
    <row r="106" spans="1:27" x14ac:dyDescent="0.25">
      <c r="A106" s="143">
        <v>45921</v>
      </c>
      <c r="B106" s="144">
        <v>5</v>
      </c>
      <c r="C106" s="145"/>
      <c r="D106" s="144" t="s">
        <v>113</v>
      </c>
      <c r="E106" s="146">
        <v>1.97</v>
      </c>
      <c r="F106" s="147">
        <v>3</v>
      </c>
      <c r="G106" s="147">
        <v>0</v>
      </c>
      <c r="H106" s="148">
        <v>0.27</v>
      </c>
      <c r="I106" s="145"/>
      <c r="J106" s="144" t="s">
        <v>161</v>
      </c>
      <c r="K106" s="149"/>
      <c r="L106" s="150">
        <v>43</v>
      </c>
      <c r="M106" s="61" t="s">
        <v>113</v>
      </c>
      <c r="N106" s="61" t="s">
        <v>118</v>
      </c>
      <c r="O106" s="61" t="s">
        <v>119</v>
      </c>
      <c r="P106" s="61" t="s">
        <v>685</v>
      </c>
      <c r="Q106" s="218">
        <v>84</v>
      </c>
      <c r="R106" s="61" t="s">
        <v>41</v>
      </c>
      <c r="S106" s="61" t="s">
        <v>42</v>
      </c>
      <c r="T106" s="63" t="s">
        <v>10</v>
      </c>
      <c r="U106" s="171">
        <v>0.26</v>
      </c>
      <c r="V106" s="146" t="s">
        <v>53</v>
      </c>
      <c r="W106" s="146" t="s">
        <v>353</v>
      </c>
      <c r="X106" s="144" t="s">
        <v>17</v>
      </c>
      <c r="Y106" s="172" t="s">
        <v>24</v>
      </c>
      <c r="Z106" s="173"/>
      <c r="AA106" s="174"/>
    </row>
    <row r="107" spans="1:27" x14ac:dyDescent="0.25">
      <c r="A107" s="143">
        <v>45921</v>
      </c>
      <c r="B107" s="144">
        <v>5</v>
      </c>
      <c r="C107" s="145"/>
      <c r="D107" s="144" t="s">
        <v>113</v>
      </c>
      <c r="E107" s="146">
        <v>1.97</v>
      </c>
      <c r="F107" s="147">
        <v>3</v>
      </c>
      <c r="G107" s="147">
        <v>0</v>
      </c>
      <c r="H107" s="148">
        <v>0.27</v>
      </c>
      <c r="I107" s="145"/>
      <c r="J107" s="144" t="s">
        <v>161</v>
      </c>
      <c r="K107" s="149"/>
      <c r="L107" s="150">
        <v>62</v>
      </c>
      <c r="M107" s="61" t="s">
        <v>113</v>
      </c>
      <c r="N107" s="61" t="s">
        <v>124</v>
      </c>
      <c r="O107" s="61" t="s">
        <v>125</v>
      </c>
      <c r="P107" s="61" t="s">
        <v>709</v>
      </c>
      <c r="Q107" s="218">
        <v>82</v>
      </c>
      <c r="R107" s="61" t="s">
        <v>41</v>
      </c>
      <c r="S107" s="61" t="s">
        <v>42</v>
      </c>
      <c r="T107" s="63" t="s">
        <v>540</v>
      </c>
      <c r="U107" s="171">
        <v>0.14000000000000001</v>
      </c>
      <c r="V107" s="146">
        <v>0.93</v>
      </c>
      <c r="W107" s="146" t="s">
        <v>353</v>
      </c>
      <c r="X107" s="144" t="s">
        <v>8</v>
      </c>
      <c r="Y107" s="172" t="s">
        <v>27</v>
      </c>
      <c r="Z107" s="173"/>
      <c r="AA107" s="174"/>
    </row>
    <row r="108" spans="1:27" ht="15.75" thickBot="1" x14ac:dyDescent="0.3">
      <c r="A108" s="206">
        <v>45921</v>
      </c>
      <c r="B108" s="207">
        <v>5</v>
      </c>
      <c r="C108" s="208"/>
      <c r="D108" s="207" t="s">
        <v>113</v>
      </c>
      <c r="E108" s="209">
        <v>1.97</v>
      </c>
      <c r="F108" s="210">
        <v>3</v>
      </c>
      <c r="G108" s="210">
        <v>0</v>
      </c>
      <c r="H108" s="211">
        <v>0.27</v>
      </c>
      <c r="I108" s="208"/>
      <c r="J108" s="207" t="s">
        <v>161</v>
      </c>
      <c r="K108" s="235"/>
      <c r="L108" s="198"/>
      <c r="M108" s="199" t="s">
        <v>736</v>
      </c>
      <c r="N108" s="199" t="s">
        <v>475</v>
      </c>
      <c r="O108" s="199" t="s">
        <v>75</v>
      </c>
      <c r="P108" s="199" t="s">
        <v>707</v>
      </c>
      <c r="Q108" s="200">
        <v>78</v>
      </c>
      <c r="R108" s="199"/>
      <c r="S108" s="199"/>
      <c r="T108" s="201"/>
      <c r="U108" s="202"/>
      <c r="V108" s="203"/>
      <c r="W108" s="203">
        <v>0</v>
      </c>
      <c r="X108" s="199"/>
      <c r="Y108" s="204"/>
      <c r="Z108" s="205"/>
      <c r="AA108" s="201"/>
    </row>
    <row r="109" spans="1:27" ht="15.75" thickBot="1" x14ac:dyDescent="0.3">
      <c r="A109" s="206">
        <v>45921</v>
      </c>
      <c r="B109" s="207">
        <v>5</v>
      </c>
      <c r="C109" s="208"/>
      <c r="D109" s="207" t="s">
        <v>113</v>
      </c>
      <c r="E109" s="209">
        <v>1.97</v>
      </c>
      <c r="F109" s="210">
        <v>3</v>
      </c>
      <c r="G109" s="210">
        <v>0</v>
      </c>
      <c r="H109" s="211">
        <v>0.27</v>
      </c>
      <c r="I109" s="208"/>
      <c r="J109" s="207" t="s">
        <v>161</v>
      </c>
      <c r="K109" s="235"/>
      <c r="L109" s="198"/>
      <c r="M109" s="199" t="s">
        <v>161</v>
      </c>
      <c r="N109" s="199" t="s">
        <v>316</v>
      </c>
      <c r="O109" s="199" t="s">
        <v>721</v>
      </c>
      <c r="P109" s="199" t="s">
        <v>707</v>
      </c>
      <c r="Q109" s="200">
        <v>65</v>
      </c>
      <c r="R109" s="199"/>
      <c r="S109" s="199"/>
      <c r="T109" s="201"/>
      <c r="U109" s="202"/>
      <c r="V109" s="203"/>
      <c r="W109" s="203">
        <v>3</v>
      </c>
      <c r="X109" s="199"/>
      <c r="Y109" s="204"/>
      <c r="Z109" s="205"/>
      <c r="AA109" s="201"/>
    </row>
    <row r="110" spans="1:27" x14ac:dyDescent="0.25">
      <c r="A110" s="135">
        <v>45928</v>
      </c>
      <c r="B110" s="136">
        <v>7</v>
      </c>
      <c r="C110" s="137" t="s">
        <v>693</v>
      </c>
      <c r="D110" s="136" t="s">
        <v>113</v>
      </c>
      <c r="E110" s="138">
        <v>2.21</v>
      </c>
      <c r="F110" s="139">
        <v>2</v>
      </c>
      <c r="G110" s="139">
        <v>1</v>
      </c>
      <c r="H110" s="140">
        <v>0.97</v>
      </c>
      <c r="I110" s="137" t="s">
        <v>697</v>
      </c>
      <c r="J110" s="136" t="s">
        <v>146</v>
      </c>
      <c r="K110" s="141"/>
      <c r="L110" s="142">
        <v>31</v>
      </c>
      <c r="M110" s="77" t="s">
        <v>146</v>
      </c>
      <c r="N110" s="77" t="s">
        <v>74</v>
      </c>
      <c r="O110" s="77" t="s">
        <v>533</v>
      </c>
      <c r="P110" s="77" t="s">
        <v>689</v>
      </c>
      <c r="Q110" s="220">
        <v>80</v>
      </c>
      <c r="R110" s="77" t="s">
        <v>41</v>
      </c>
      <c r="S110" s="77" t="s">
        <v>42</v>
      </c>
      <c r="T110" s="78" t="s">
        <v>10</v>
      </c>
      <c r="U110" s="167">
        <v>0.56000000000000005</v>
      </c>
      <c r="V110" s="138">
        <v>0.83</v>
      </c>
      <c r="W110" s="138" t="s">
        <v>353</v>
      </c>
      <c r="X110" s="136" t="s">
        <v>8</v>
      </c>
      <c r="Y110" s="168" t="s">
        <v>9</v>
      </c>
      <c r="Z110" s="169" t="s">
        <v>274</v>
      </c>
      <c r="AA110" s="170" t="s">
        <v>275</v>
      </c>
    </row>
    <row r="111" spans="1:27" x14ac:dyDescent="0.25">
      <c r="A111" s="143">
        <v>45928</v>
      </c>
      <c r="B111" s="144">
        <v>7</v>
      </c>
      <c r="C111" s="145"/>
      <c r="D111" s="144" t="s">
        <v>113</v>
      </c>
      <c r="E111" s="146">
        <v>2.21</v>
      </c>
      <c r="F111" s="147">
        <v>2</v>
      </c>
      <c r="G111" s="147">
        <v>1</v>
      </c>
      <c r="H111" s="148">
        <v>0.97</v>
      </c>
      <c r="I111" s="145"/>
      <c r="J111" s="144" t="s">
        <v>146</v>
      </c>
      <c r="K111" s="149"/>
      <c r="L111" s="150">
        <v>39</v>
      </c>
      <c r="M111" s="61" t="s">
        <v>113</v>
      </c>
      <c r="N111" s="61" t="s">
        <v>53</v>
      </c>
      <c r="O111" s="61" t="s">
        <v>126</v>
      </c>
      <c r="P111" s="61" t="s">
        <v>687</v>
      </c>
      <c r="Q111" s="218">
        <v>81</v>
      </c>
      <c r="R111" s="61" t="s">
        <v>47</v>
      </c>
      <c r="S111" s="61" t="s">
        <v>42</v>
      </c>
      <c r="T111" s="63" t="s">
        <v>540</v>
      </c>
      <c r="U111" s="171">
        <v>0.32</v>
      </c>
      <c r="V111" s="146" t="s">
        <v>53</v>
      </c>
      <c r="W111" s="146" t="s">
        <v>353</v>
      </c>
      <c r="X111" s="144" t="s">
        <v>52</v>
      </c>
      <c r="Y111" s="172" t="s">
        <v>9</v>
      </c>
      <c r="Z111" s="173"/>
      <c r="AA111" s="174"/>
    </row>
    <row r="112" spans="1:27" x14ac:dyDescent="0.25">
      <c r="A112" s="143">
        <v>45928</v>
      </c>
      <c r="B112" s="144">
        <v>7</v>
      </c>
      <c r="C112" s="145"/>
      <c r="D112" s="144" t="s">
        <v>113</v>
      </c>
      <c r="E112" s="146">
        <v>2.21</v>
      </c>
      <c r="F112" s="147">
        <v>2</v>
      </c>
      <c r="G112" s="147">
        <v>1</v>
      </c>
      <c r="H112" s="148">
        <v>0.97</v>
      </c>
      <c r="I112" s="145"/>
      <c r="J112" s="144" t="s">
        <v>146</v>
      </c>
      <c r="K112" s="149"/>
      <c r="L112" s="150">
        <v>59</v>
      </c>
      <c r="M112" s="61" t="s">
        <v>113</v>
      </c>
      <c r="N112" s="61" t="s">
        <v>178</v>
      </c>
      <c r="O112" s="61" t="s">
        <v>407</v>
      </c>
      <c r="P112" s="61" t="s">
        <v>684</v>
      </c>
      <c r="Q112" s="218">
        <v>71</v>
      </c>
      <c r="R112" s="61" t="s">
        <v>47</v>
      </c>
      <c r="S112" s="61" t="s">
        <v>45</v>
      </c>
      <c r="T112" s="63" t="s">
        <v>10</v>
      </c>
      <c r="U112" s="171">
        <v>0.3</v>
      </c>
      <c r="V112" s="146">
        <v>0.46</v>
      </c>
      <c r="W112" s="146" t="s">
        <v>353</v>
      </c>
      <c r="X112" s="144" t="s">
        <v>8</v>
      </c>
      <c r="Y112" s="172" t="s">
        <v>34</v>
      </c>
      <c r="Z112" s="173" t="s">
        <v>120</v>
      </c>
      <c r="AA112" s="174" t="s">
        <v>121</v>
      </c>
    </row>
    <row r="113" spans="1:27" x14ac:dyDescent="0.25">
      <c r="A113" s="143">
        <v>45928</v>
      </c>
      <c r="B113" s="144">
        <v>7</v>
      </c>
      <c r="C113" s="145"/>
      <c r="D113" s="144" t="s">
        <v>113</v>
      </c>
      <c r="E113" s="146">
        <v>2.21</v>
      </c>
      <c r="F113" s="147">
        <v>2</v>
      </c>
      <c r="G113" s="147">
        <v>1</v>
      </c>
      <c r="H113" s="148">
        <v>0.97</v>
      </c>
      <c r="I113" s="145"/>
      <c r="J113" s="144" t="s">
        <v>146</v>
      </c>
      <c r="K113" s="149"/>
      <c r="L113" s="150">
        <v>84</v>
      </c>
      <c r="M113" s="61" t="s">
        <v>113</v>
      </c>
      <c r="N113" s="61" t="s">
        <v>178</v>
      </c>
      <c r="O113" s="61" t="s">
        <v>407</v>
      </c>
      <c r="P113" s="61" t="s">
        <v>684</v>
      </c>
      <c r="Q113" s="218">
        <v>71</v>
      </c>
      <c r="R113" s="61" t="s">
        <v>41</v>
      </c>
      <c r="S113" s="61" t="s">
        <v>42</v>
      </c>
      <c r="T113" s="63" t="s">
        <v>18</v>
      </c>
      <c r="U113" s="171">
        <v>0.3</v>
      </c>
      <c r="V113" s="146" t="s">
        <v>53</v>
      </c>
      <c r="W113" s="146" t="s">
        <v>353</v>
      </c>
      <c r="X113" s="144" t="s">
        <v>17</v>
      </c>
      <c r="Y113" s="172" t="s">
        <v>34</v>
      </c>
      <c r="Z113" s="173"/>
      <c r="AA113" s="174"/>
    </row>
    <row r="114" spans="1:27" ht="15.75" thickBot="1" x14ac:dyDescent="0.3">
      <c r="A114" s="151">
        <v>45928</v>
      </c>
      <c r="B114" s="152">
        <v>7</v>
      </c>
      <c r="C114" s="153"/>
      <c r="D114" s="152" t="s">
        <v>113</v>
      </c>
      <c r="E114" s="154">
        <v>2.21</v>
      </c>
      <c r="F114" s="155">
        <v>2</v>
      </c>
      <c r="G114" s="155">
        <v>1</v>
      </c>
      <c r="H114" s="156">
        <v>0.97</v>
      </c>
      <c r="I114" s="153"/>
      <c r="J114" s="152" t="s">
        <v>146</v>
      </c>
      <c r="K114" s="157"/>
      <c r="L114" s="158">
        <v>85</v>
      </c>
      <c r="M114" s="66" t="s">
        <v>113</v>
      </c>
      <c r="N114" s="66" t="s">
        <v>178</v>
      </c>
      <c r="O114" s="66" t="s">
        <v>407</v>
      </c>
      <c r="P114" s="66" t="s">
        <v>684</v>
      </c>
      <c r="Q114" s="219">
        <v>71</v>
      </c>
      <c r="R114" s="66" t="s">
        <v>47</v>
      </c>
      <c r="S114" s="66" t="s">
        <v>42</v>
      </c>
      <c r="T114" s="67" t="s">
        <v>18</v>
      </c>
      <c r="U114" s="175">
        <v>0.61</v>
      </c>
      <c r="V114" s="154" t="s">
        <v>53</v>
      </c>
      <c r="W114" s="154" t="s">
        <v>353</v>
      </c>
      <c r="X114" s="152" t="s">
        <v>52</v>
      </c>
      <c r="Y114" s="176" t="s">
        <v>34</v>
      </c>
      <c r="Z114" s="177"/>
      <c r="AA114" s="178"/>
    </row>
    <row r="115" spans="1:27" ht="15.75" thickBot="1" x14ac:dyDescent="0.3">
      <c r="A115" s="206">
        <v>45928</v>
      </c>
      <c r="B115" s="207">
        <v>7</v>
      </c>
      <c r="C115" s="208"/>
      <c r="D115" s="207" t="s">
        <v>113</v>
      </c>
      <c r="E115" s="209">
        <v>2.21</v>
      </c>
      <c r="F115" s="210">
        <v>2</v>
      </c>
      <c r="G115" s="210">
        <v>1</v>
      </c>
      <c r="H115" s="211">
        <v>0.97</v>
      </c>
      <c r="I115" s="208"/>
      <c r="J115" s="207" t="s">
        <v>146</v>
      </c>
      <c r="K115" s="235"/>
      <c r="L115" s="198"/>
      <c r="M115" s="199" t="s">
        <v>113</v>
      </c>
      <c r="N115" s="199" t="s">
        <v>738</v>
      </c>
      <c r="O115" s="199" t="s">
        <v>739</v>
      </c>
      <c r="P115" s="199" t="s">
        <v>707</v>
      </c>
      <c r="Q115" s="200">
        <v>68</v>
      </c>
      <c r="R115" s="199"/>
      <c r="S115" s="199"/>
      <c r="T115" s="201"/>
      <c r="U115" s="202"/>
      <c r="V115" s="203"/>
      <c r="W115" s="203">
        <v>1</v>
      </c>
      <c r="X115" s="199"/>
      <c r="Y115" s="204"/>
      <c r="Z115" s="205"/>
      <c r="AA115" s="201"/>
    </row>
    <row r="116" spans="1:27" ht="15.75" thickBot="1" x14ac:dyDescent="0.3">
      <c r="A116" s="206">
        <v>45928</v>
      </c>
      <c r="B116" s="207">
        <v>7</v>
      </c>
      <c r="C116" s="208"/>
      <c r="D116" s="207" t="s">
        <v>113</v>
      </c>
      <c r="E116" s="209">
        <v>2.21</v>
      </c>
      <c r="F116" s="210">
        <v>2</v>
      </c>
      <c r="G116" s="210">
        <v>1</v>
      </c>
      <c r="H116" s="211">
        <v>0.97</v>
      </c>
      <c r="I116" s="208"/>
      <c r="J116" s="207" t="s">
        <v>146</v>
      </c>
      <c r="K116" s="235"/>
      <c r="L116" s="198"/>
      <c r="M116" s="199" t="s">
        <v>146</v>
      </c>
      <c r="N116" s="199" t="s">
        <v>176</v>
      </c>
      <c r="O116" s="199" t="s">
        <v>423</v>
      </c>
      <c r="P116" s="199" t="s">
        <v>707</v>
      </c>
      <c r="Q116" s="200">
        <v>75</v>
      </c>
      <c r="R116" s="199"/>
      <c r="S116" s="199"/>
      <c r="T116" s="201"/>
      <c r="U116" s="202"/>
      <c r="V116" s="203"/>
      <c r="W116" s="203">
        <v>2</v>
      </c>
      <c r="X116" s="199"/>
      <c r="Y116" s="204"/>
      <c r="Z116" s="205"/>
      <c r="AA116" s="201"/>
    </row>
    <row r="117" spans="1:27" x14ac:dyDescent="0.25">
      <c r="A117" s="31">
        <v>45893</v>
      </c>
      <c r="B117" s="17">
        <v>2</v>
      </c>
      <c r="C117" s="123" t="s">
        <v>694</v>
      </c>
      <c r="D117" s="17" t="s">
        <v>91</v>
      </c>
      <c r="E117" s="18">
        <v>2.2999999999999998</v>
      </c>
      <c r="F117" s="19">
        <v>5</v>
      </c>
      <c r="G117" s="19">
        <v>0</v>
      </c>
      <c r="H117" s="20">
        <v>0.14000000000000001</v>
      </c>
      <c r="I117" s="123" t="s">
        <v>704</v>
      </c>
      <c r="J117" s="17" t="s">
        <v>69</v>
      </c>
      <c r="K117" s="46"/>
      <c r="L117" s="96">
        <v>7</v>
      </c>
      <c r="M117" s="64" t="s">
        <v>91</v>
      </c>
      <c r="N117" s="64" t="s">
        <v>96</v>
      </c>
      <c r="O117" s="64" t="s">
        <v>97</v>
      </c>
      <c r="P117" s="64" t="s">
        <v>718</v>
      </c>
      <c r="Q117" s="217">
        <v>90</v>
      </c>
      <c r="R117" s="64" t="s">
        <v>41</v>
      </c>
      <c r="S117" s="64" t="s">
        <v>43</v>
      </c>
      <c r="T117" s="65" t="s">
        <v>540</v>
      </c>
      <c r="U117" s="53">
        <v>0.45</v>
      </c>
      <c r="V117" s="18">
        <v>0.52</v>
      </c>
      <c r="W117" s="18" t="s">
        <v>353</v>
      </c>
      <c r="X117" s="17" t="s">
        <v>8</v>
      </c>
      <c r="Y117" s="114" t="s">
        <v>19</v>
      </c>
      <c r="Z117" s="110"/>
      <c r="AA117" s="60"/>
    </row>
    <row r="118" spans="1:27" x14ac:dyDescent="0.25">
      <c r="A118" s="29">
        <v>45893</v>
      </c>
      <c r="B118" s="5">
        <v>2</v>
      </c>
      <c r="D118" s="5" t="s">
        <v>91</v>
      </c>
      <c r="E118" s="6">
        <v>2.2999999999999998</v>
      </c>
      <c r="F118" s="7">
        <v>5</v>
      </c>
      <c r="G118" s="7">
        <v>0</v>
      </c>
      <c r="H118" s="8">
        <v>0.14000000000000001</v>
      </c>
      <c r="J118" s="5" t="s">
        <v>69</v>
      </c>
      <c r="L118" s="56">
        <v>25</v>
      </c>
      <c r="M118" s="61" t="s">
        <v>91</v>
      </c>
      <c r="N118" s="61" t="s">
        <v>61</v>
      </c>
      <c r="O118" s="61" t="s">
        <v>284</v>
      </c>
      <c r="P118" s="61" t="s">
        <v>712</v>
      </c>
      <c r="Q118" s="218">
        <v>84</v>
      </c>
      <c r="R118" s="61" t="s">
        <v>47</v>
      </c>
      <c r="S118" s="61" t="s">
        <v>45</v>
      </c>
      <c r="T118" s="63" t="s">
        <v>20</v>
      </c>
      <c r="U118" s="51">
        <v>0.19</v>
      </c>
      <c r="V118" s="6">
        <v>0.55000000000000004</v>
      </c>
      <c r="W118" s="6" t="s">
        <v>353</v>
      </c>
      <c r="X118" s="5" t="s">
        <v>8</v>
      </c>
      <c r="Y118" s="112" t="s">
        <v>27</v>
      </c>
      <c r="Z118" s="108" t="s">
        <v>102</v>
      </c>
      <c r="AA118" s="57" t="s">
        <v>103</v>
      </c>
    </row>
    <row r="119" spans="1:27" x14ac:dyDescent="0.25">
      <c r="A119" s="29">
        <v>45893</v>
      </c>
      <c r="B119" s="5">
        <v>2</v>
      </c>
      <c r="D119" s="5" t="s">
        <v>91</v>
      </c>
      <c r="E119" s="6">
        <v>2.2999999999999998</v>
      </c>
      <c r="F119" s="7">
        <v>5</v>
      </c>
      <c r="G119" s="7">
        <v>0</v>
      </c>
      <c r="H119" s="8">
        <v>0.14000000000000001</v>
      </c>
      <c r="J119" s="5" t="s">
        <v>69</v>
      </c>
      <c r="L119" s="56">
        <v>28</v>
      </c>
      <c r="M119" s="61" t="s">
        <v>91</v>
      </c>
      <c r="N119" s="61" t="s">
        <v>106</v>
      </c>
      <c r="O119" s="61" t="s">
        <v>107</v>
      </c>
      <c r="P119" s="61" t="s">
        <v>686</v>
      </c>
      <c r="Q119" s="218">
        <v>100</v>
      </c>
      <c r="R119" s="61" t="s">
        <v>47</v>
      </c>
      <c r="S119" s="61" t="s">
        <v>42</v>
      </c>
      <c r="T119" s="63" t="s">
        <v>10</v>
      </c>
      <c r="U119" s="51">
        <v>0.33</v>
      </c>
      <c r="V119" s="6">
        <v>0.31</v>
      </c>
      <c r="W119" s="6" t="s">
        <v>353</v>
      </c>
      <c r="X119" s="5" t="s">
        <v>8</v>
      </c>
      <c r="Y119" s="112" t="s">
        <v>32</v>
      </c>
      <c r="Z119" s="108" t="s">
        <v>100</v>
      </c>
      <c r="AA119" s="57" t="s">
        <v>101</v>
      </c>
    </row>
    <row r="120" spans="1:27" x14ac:dyDescent="0.25">
      <c r="A120" s="29">
        <v>45893</v>
      </c>
      <c r="B120" s="5">
        <v>2</v>
      </c>
      <c r="D120" s="5" t="s">
        <v>91</v>
      </c>
      <c r="E120" s="6">
        <v>2.2999999999999998</v>
      </c>
      <c r="F120" s="7">
        <v>5</v>
      </c>
      <c r="G120" s="7">
        <v>0</v>
      </c>
      <c r="H120" s="8">
        <v>0.14000000000000001</v>
      </c>
      <c r="J120" s="5" t="s">
        <v>69</v>
      </c>
      <c r="L120" s="56">
        <v>33</v>
      </c>
      <c r="M120" s="61" t="s">
        <v>91</v>
      </c>
      <c r="N120" s="61" t="s">
        <v>104</v>
      </c>
      <c r="O120" s="61" t="s">
        <v>105</v>
      </c>
      <c r="P120" s="61" t="s">
        <v>717</v>
      </c>
      <c r="Q120" s="218">
        <v>68</v>
      </c>
      <c r="R120" s="61" t="s">
        <v>47</v>
      </c>
      <c r="S120" s="61" t="s">
        <v>43</v>
      </c>
      <c r="T120" s="63" t="s">
        <v>10</v>
      </c>
      <c r="U120" s="51">
        <v>0.31</v>
      </c>
      <c r="V120" s="6">
        <v>0.1</v>
      </c>
      <c r="W120" s="6" t="s">
        <v>353</v>
      </c>
      <c r="X120" s="5" t="s">
        <v>48</v>
      </c>
      <c r="Y120" s="112" t="s">
        <v>32</v>
      </c>
    </row>
    <row r="121" spans="1:27" ht="15.75" thickBot="1" x14ac:dyDescent="0.3">
      <c r="A121" s="206">
        <v>45893</v>
      </c>
      <c r="B121" s="207">
        <v>2</v>
      </c>
      <c r="C121" s="208"/>
      <c r="D121" s="207" t="s">
        <v>91</v>
      </c>
      <c r="E121" s="209">
        <v>2.2999999999999998</v>
      </c>
      <c r="F121" s="210">
        <v>5</v>
      </c>
      <c r="G121" s="210">
        <v>0</v>
      </c>
      <c r="H121" s="211">
        <v>0.14000000000000001</v>
      </c>
      <c r="I121" s="208"/>
      <c r="J121" s="207" t="s">
        <v>69</v>
      </c>
      <c r="K121" s="197"/>
      <c r="L121" s="198"/>
      <c r="M121" s="199" t="s">
        <v>91</v>
      </c>
      <c r="N121" s="199" t="s">
        <v>315</v>
      </c>
      <c r="O121" s="199" t="s">
        <v>54</v>
      </c>
      <c r="P121" s="199" t="s">
        <v>707</v>
      </c>
      <c r="Q121" s="200">
        <v>70</v>
      </c>
      <c r="R121" s="199"/>
      <c r="S121" s="199"/>
      <c r="T121" s="201"/>
      <c r="U121" s="202"/>
      <c r="V121" s="203"/>
      <c r="W121" s="203">
        <v>0</v>
      </c>
      <c r="X121" s="199"/>
      <c r="Y121" s="204"/>
      <c r="Z121" s="205"/>
      <c r="AA121" s="201"/>
    </row>
    <row r="122" spans="1:27" ht="15.75" thickBot="1" x14ac:dyDescent="0.3">
      <c r="A122" s="206">
        <v>45893</v>
      </c>
      <c r="B122" s="207">
        <v>2</v>
      </c>
      <c r="C122" s="208"/>
      <c r="D122" s="207" t="s">
        <v>91</v>
      </c>
      <c r="E122" s="209">
        <v>2.2999999999999998</v>
      </c>
      <c r="F122" s="210">
        <v>5</v>
      </c>
      <c r="G122" s="210">
        <v>0</v>
      </c>
      <c r="H122" s="211">
        <v>0.14000000000000001</v>
      </c>
      <c r="I122" s="208"/>
      <c r="J122" s="207" t="s">
        <v>69</v>
      </c>
      <c r="K122" s="197"/>
      <c r="L122" s="198"/>
      <c r="M122" s="199" t="s">
        <v>69</v>
      </c>
      <c r="N122" s="199" t="s">
        <v>389</v>
      </c>
      <c r="O122" s="199" t="s">
        <v>729</v>
      </c>
      <c r="P122" s="199" t="s">
        <v>707</v>
      </c>
      <c r="Q122" s="200">
        <v>68</v>
      </c>
      <c r="R122" s="199"/>
      <c r="S122" s="199"/>
      <c r="T122" s="201"/>
      <c r="U122" s="202"/>
      <c r="V122" s="203"/>
      <c r="W122" s="203">
        <v>5</v>
      </c>
      <c r="X122" s="199"/>
      <c r="Y122" s="204"/>
      <c r="Z122" s="205"/>
      <c r="AA122" s="201"/>
    </row>
    <row r="123" spans="1:27" x14ac:dyDescent="0.25">
      <c r="A123" s="29">
        <v>45914</v>
      </c>
      <c r="B123" s="5">
        <v>4</v>
      </c>
      <c r="D123" s="5" t="s">
        <v>456</v>
      </c>
      <c r="E123" s="6">
        <v>2.5</v>
      </c>
      <c r="F123" s="7">
        <v>1</v>
      </c>
      <c r="G123" s="7">
        <v>1</v>
      </c>
      <c r="H123" s="8">
        <v>0.64</v>
      </c>
      <c r="J123" s="5" t="s">
        <v>69</v>
      </c>
      <c r="L123" s="56">
        <v>39</v>
      </c>
      <c r="M123" s="26" t="s">
        <v>69</v>
      </c>
      <c r="N123" s="26" t="s">
        <v>59</v>
      </c>
      <c r="O123" s="26" t="s">
        <v>365</v>
      </c>
      <c r="P123" s="26" t="s">
        <v>690</v>
      </c>
      <c r="Q123" s="213">
        <v>71</v>
      </c>
      <c r="R123" s="26" t="s">
        <v>41</v>
      </c>
      <c r="S123" s="26" t="s">
        <v>45</v>
      </c>
      <c r="T123" s="43" t="s">
        <v>10</v>
      </c>
      <c r="U123" s="51">
        <v>0.05</v>
      </c>
      <c r="V123" s="6">
        <v>0.04</v>
      </c>
      <c r="W123" s="6" t="s">
        <v>353</v>
      </c>
      <c r="X123" s="5" t="s">
        <v>48</v>
      </c>
      <c r="Y123" s="112" t="s">
        <v>9</v>
      </c>
    </row>
    <row r="124" spans="1:27" x14ac:dyDescent="0.25">
      <c r="A124" s="29">
        <v>45914</v>
      </c>
      <c r="B124" s="5">
        <v>4</v>
      </c>
      <c r="D124" s="5" t="s">
        <v>456</v>
      </c>
      <c r="E124" s="6">
        <v>2.5</v>
      </c>
      <c r="F124" s="7">
        <v>1</v>
      </c>
      <c r="G124" s="7">
        <v>1</v>
      </c>
      <c r="H124" s="8">
        <v>0.64</v>
      </c>
      <c r="J124" s="5" t="s">
        <v>69</v>
      </c>
      <c r="L124" s="56">
        <v>75</v>
      </c>
      <c r="M124" s="61" t="s">
        <v>456</v>
      </c>
      <c r="N124" s="61" t="s">
        <v>387</v>
      </c>
      <c r="O124" s="61" t="s">
        <v>388</v>
      </c>
      <c r="P124" s="61" t="s">
        <v>696</v>
      </c>
      <c r="Q124" s="218">
        <v>68</v>
      </c>
      <c r="R124" s="61" t="s">
        <v>47</v>
      </c>
      <c r="S124" s="61" t="s">
        <v>45</v>
      </c>
      <c r="T124" s="63" t="s">
        <v>20</v>
      </c>
      <c r="U124" s="51">
        <v>0.11</v>
      </c>
      <c r="V124" s="6" t="s">
        <v>53</v>
      </c>
      <c r="W124" s="6" t="s">
        <v>353</v>
      </c>
      <c r="X124" s="5" t="s">
        <v>22</v>
      </c>
      <c r="Y124" s="112" t="s">
        <v>9</v>
      </c>
    </row>
    <row r="125" spans="1:27" x14ac:dyDescent="0.25">
      <c r="A125" s="29">
        <v>45914</v>
      </c>
      <c r="B125" s="5">
        <v>4</v>
      </c>
      <c r="D125" s="5" t="s">
        <v>456</v>
      </c>
      <c r="E125" s="6">
        <v>2.5</v>
      </c>
      <c r="F125" s="7">
        <v>1</v>
      </c>
      <c r="G125" s="7">
        <v>1</v>
      </c>
      <c r="H125" s="8">
        <v>0.64</v>
      </c>
      <c r="J125" s="5" t="s">
        <v>69</v>
      </c>
      <c r="L125" s="56">
        <v>83</v>
      </c>
      <c r="M125" s="26" t="s">
        <v>69</v>
      </c>
      <c r="N125" s="26" t="s">
        <v>53</v>
      </c>
      <c r="O125" s="26" t="s">
        <v>324</v>
      </c>
      <c r="P125" s="26" t="s">
        <v>696</v>
      </c>
      <c r="Q125" s="213">
        <v>64</v>
      </c>
      <c r="R125" s="26" t="s">
        <v>41</v>
      </c>
      <c r="S125" s="26" t="s">
        <v>42</v>
      </c>
      <c r="T125" s="43" t="s">
        <v>540</v>
      </c>
      <c r="U125" s="51">
        <v>0.11</v>
      </c>
      <c r="V125" s="6">
        <v>0.21</v>
      </c>
      <c r="W125" s="6" t="s">
        <v>353</v>
      </c>
      <c r="X125" s="5" t="s">
        <v>48</v>
      </c>
      <c r="Y125" s="112" t="s">
        <v>9</v>
      </c>
    </row>
    <row r="126" spans="1:27" ht="15.75" thickBot="1" x14ac:dyDescent="0.3">
      <c r="A126" s="30">
        <v>45914</v>
      </c>
      <c r="B126" s="9">
        <v>4</v>
      </c>
      <c r="C126" s="122"/>
      <c r="D126" s="9" t="s">
        <v>456</v>
      </c>
      <c r="E126" s="10">
        <v>2.5</v>
      </c>
      <c r="F126" s="11">
        <v>1</v>
      </c>
      <c r="G126" s="11">
        <v>1</v>
      </c>
      <c r="H126" s="12">
        <v>0.64</v>
      </c>
      <c r="I126" s="122"/>
      <c r="J126" s="9" t="s">
        <v>69</v>
      </c>
      <c r="K126" s="45"/>
      <c r="L126" s="97" t="s">
        <v>35</v>
      </c>
      <c r="M126" s="66" t="s">
        <v>456</v>
      </c>
      <c r="N126" s="66" t="s">
        <v>313</v>
      </c>
      <c r="O126" s="66" t="s">
        <v>301</v>
      </c>
      <c r="P126" s="66" t="s">
        <v>696</v>
      </c>
      <c r="Q126" s="219">
        <v>71</v>
      </c>
      <c r="R126" s="66" t="s">
        <v>41</v>
      </c>
      <c r="S126" s="66" t="s">
        <v>42</v>
      </c>
      <c r="T126" s="67" t="s">
        <v>7</v>
      </c>
      <c r="U126" s="52">
        <v>0.79</v>
      </c>
      <c r="V126" s="10">
        <v>0.9</v>
      </c>
      <c r="W126" s="10" t="s">
        <v>353</v>
      </c>
      <c r="X126" s="9" t="s">
        <v>8</v>
      </c>
      <c r="Y126" s="113" t="s">
        <v>51</v>
      </c>
      <c r="Z126" s="109"/>
      <c r="AA126" s="58"/>
    </row>
    <row r="127" spans="1:27" ht="15.75" thickBot="1" x14ac:dyDescent="0.3">
      <c r="A127" s="206">
        <v>45914</v>
      </c>
      <c r="B127" s="207">
        <v>4</v>
      </c>
      <c r="C127" s="208"/>
      <c r="D127" s="207" t="s">
        <v>456</v>
      </c>
      <c r="E127" s="209">
        <v>2.5</v>
      </c>
      <c r="F127" s="210">
        <v>1</v>
      </c>
      <c r="G127" s="210">
        <v>1</v>
      </c>
      <c r="H127" s="211">
        <v>0.64</v>
      </c>
      <c r="I127" s="208"/>
      <c r="J127" s="207" t="s">
        <v>69</v>
      </c>
      <c r="K127" s="235"/>
      <c r="L127" s="198"/>
      <c r="M127" s="199" t="s">
        <v>456</v>
      </c>
      <c r="N127" s="199" t="s">
        <v>719</v>
      </c>
      <c r="O127" s="199" t="s">
        <v>720</v>
      </c>
      <c r="P127" s="199" t="s">
        <v>707</v>
      </c>
      <c r="Q127" s="200">
        <v>76</v>
      </c>
      <c r="R127" s="199"/>
      <c r="S127" s="199"/>
      <c r="T127" s="201"/>
      <c r="U127" s="202"/>
      <c r="V127" s="203"/>
      <c r="W127" s="203">
        <v>1</v>
      </c>
      <c r="X127" s="199"/>
      <c r="Y127" s="204"/>
      <c r="Z127" s="205"/>
      <c r="AA127" s="201"/>
    </row>
    <row r="128" spans="1:27" ht="15.75" thickBot="1" x14ac:dyDescent="0.3">
      <c r="A128" s="206">
        <v>45914</v>
      </c>
      <c r="B128" s="207">
        <v>4</v>
      </c>
      <c r="C128" s="208"/>
      <c r="D128" s="207" t="s">
        <v>456</v>
      </c>
      <c r="E128" s="209">
        <v>2.5</v>
      </c>
      <c r="F128" s="210">
        <v>1</v>
      </c>
      <c r="G128" s="210">
        <v>1</v>
      </c>
      <c r="H128" s="211">
        <v>0.64</v>
      </c>
      <c r="I128" s="208"/>
      <c r="J128" s="207" t="s">
        <v>69</v>
      </c>
      <c r="K128" s="235"/>
      <c r="L128" s="198"/>
      <c r="M128" s="199" t="s">
        <v>69</v>
      </c>
      <c r="N128" s="199" t="s">
        <v>478</v>
      </c>
      <c r="O128" s="199" t="s">
        <v>479</v>
      </c>
      <c r="P128" s="199" t="s">
        <v>707</v>
      </c>
      <c r="Q128" s="200">
        <v>79</v>
      </c>
      <c r="R128" s="199"/>
      <c r="S128" s="199"/>
      <c r="T128" s="201"/>
      <c r="U128" s="202"/>
      <c r="V128" s="203"/>
      <c r="W128" s="203">
        <v>1</v>
      </c>
      <c r="X128" s="199"/>
      <c r="Y128" s="204"/>
      <c r="Z128" s="205"/>
      <c r="AA128" s="201"/>
    </row>
    <row r="129" spans="1:27" x14ac:dyDescent="0.25">
      <c r="A129" s="31">
        <v>45923</v>
      </c>
      <c r="B129" s="17">
        <v>6</v>
      </c>
      <c r="C129" s="123" t="s">
        <v>693</v>
      </c>
      <c r="D129" s="17" t="s">
        <v>170</v>
      </c>
      <c r="E129" s="18">
        <v>1.46</v>
      </c>
      <c r="F129" s="19">
        <v>1</v>
      </c>
      <c r="G129" s="19">
        <v>1</v>
      </c>
      <c r="H129" s="20">
        <v>0.76</v>
      </c>
      <c r="I129" s="123" t="s">
        <v>693</v>
      </c>
      <c r="J129" s="17" t="s">
        <v>69</v>
      </c>
      <c r="K129" s="46"/>
      <c r="L129" s="96">
        <v>8</v>
      </c>
      <c r="M129" s="77" t="s">
        <v>69</v>
      </c>
      <c r="N129" s="77" t="s">
        <v>389</v>
      </c>
      <c r="O129" s="77" t="s">
        <v>390</v>
      </c>
      <c r="P129" s="77" t="s">
        <v>684</v>
      </c>
      <c r="Q129" s="220">
        <v>62</v>
      </c>
      <c r="R129" s="77" t="s">
        <v>41</v>
      </c>
      <c r="S129" s="77" t="s">
        <v>43</v>
      </c>
      <c r="T129" s="78" t="s">
        <v>10</v>
      </c>
      <c r="U129" s="53">
        <v>0.5</v>
      </c>
      <c r="V129" s="18" t="s">
        <v>53</v>
      </c>
      <c r="W129" s="18" t="s">
        <v>353</v>
      </c>
      <c r="X129" s="17" t="s">
        <v>22</v>
      </c>
      <c r="Y129" s="114" t="s">
        <v>28</v>
      </c>
      <c r="Z129" s="110"/>
      <c r="AA129" s="60"/>
    </row>
    <row r="130" spans="1:27" x14ac:dyDescent="0.25">
      <c r="A130" s="32">
        <v>45923</v>
      </c>
      <c r="B130" s="5">
        <v>6</v>
      </c>
      <c r="D130" s="5" t="s">
        <v>170</v>
      </c>
      <c r="E130" s="6">
        <v>1.46</v>
      </c>
      <c r="F130" s="7">
        <v>1</v>
      </c>
      <c r="G130" s="7">
        <v>1</v>
      </c>
      <c r="H130" s="8">
        <v>0.76</v>
      </c>
      <c r="J130" s="5" t="s">
        <v>69</v>
      </c>
      <c r="L130" s="56">
        <v>9</v>
      </c>
      <c r="M130" s="26" t="s">
        <v>69</v>
      </c>
      <c r="N130" s="26" t="s">
        <v>480</v>
      </c>
      <c r="O130" s="26" t="s">
        <v>481</v>
      </c>
      <c r="P130" s="26" t="s">
        <v>685</v>
      </c>
      <c r="Q130" s="213">
        <v>84</v>
      </c>
      <c r="R130" s="26" t="s">
        <v>41</v>
      </c>
      <c r="S130" s="26" t="s">
        <v>42</v>
      </c>
      <c r="T130" s="43" t="s">
        <v>10</v>
      </c>
      <c r="U130" s="51">
        <v>0.05</v>
      </c>
      <c r="V130" s="6">
        <v>0.51</v>
      </c>
      <c r="W130" s="6" t="s">
        <v>353</v>
      </c>
      <c r="X130" s="5" t="s">
        <v>8</v>
      </c>
      <c r="Y130" s="112" t="s">
        <v>9</v>
      </c>
      <c r="Z130" s="108" t="s">
        <v>164</v>
      </c>
      <c r="AA130" s="57" t="s">
        <v>669</v>
      </c>
    </row>
    <row r="131" spans="1:27" x14ac:dyDescent="0.25">
      <c r="A131" s="32">
        <v>45923</v>
      </c>
      <c r="B131" s="5">
        <v>6</v>
      </c>
      <c r="D131" s="5" t="s">
        <v>170</v>
      </c>
      <c r="E131" s="6">
        <v>1.46</v>
      </c>
      <c r="F131" s="7">
        <v>1</v>
      </c>
      <c r="G131" s="7">
        <v>1</v>
      </c>
      <c r="H131" s="8">
        <v>0.76</v>
      </c>
      <c r="J131" s="5" t="s">
        <v>69</v>
      </c>
      <c r="L131" s="56">
        <v>26</v>
      </c>
      <c r="M131" s="61" t="s">
        <v>170</v>
      </c>
      <c r="N131" s="61" t="s">
        <v>379</v>
      </c>
      <c r="O131" s="61" t="s">
        <v>380</v>
      </c>
      <c r="P131" s="61" t="s">
        <v>684</v>
      </c>
      <c r="Q131" s="218">
        <v>61</v>
      </c>
      <c r="R131" s="61" t="s">
        <v>41</v>
      </c>
      <c r="S131" s="61" t="s">
        <v>42</v>
      </c>
      <c r="T131" s="63" t="s">
        <v>540</v>
      </c>
      <c r="U131" s="51">
        <v>7.0000000000000007E-2</v>
      </c>
      <c r="V131" s="6">
        <v>0.08</v>
      </c>
      <c r="W131" s="6" t="s">
        <v>353</v>
      </c>
      <c r="X131" s="5" t="s">
        <v>48</v>
      </c>
      <c r="Y131" s="112" t="s">
        <v>9</v>
      </c>
    </row>
    <row r="132" spans="1:27" x14ac:dyDescent="0.25">
      <c r="A132" s="32">
        <v>45923</v>
      </c>
      <c r="B132" s="5">
        <v>6</v>
      </c>
      <c r="D132" s="5" t="s">
        <v>170</v>
      </c>
      <c r="E132" s="6">
        <v>1.46</v>
      </c>
      <c r="F132" s="7">
        <v>1</v>
      </c>
      <c r="G132" s="7">
        <v>1</v>
      </c>
      <c r="H132" s="8">
        <v>0.76</v>
      </c>
      <c r="J132" s="5" t="s">
        <v>69</v>
      </c>
      <c r="L132" s="56">
        <v>69</v>
      </c>
      <c r="M132" s="61" t="s">
        <v>170</v>
      </c>
      <c r="N132" s="61" t="s">
        <v>379</v>
      </c>
      <c r="O132" s="61" t="s">
        <v>380</v>
      </c>
      <c r="P132" s="61" t="s">
        <v>684</v>
      </c>
      <c r="Q132" s="218">
        <v>61</v>
      </c>
      <c r="R132" s="61" t="s">
        <v>41</v>
      </c>
      <c r="S132" s="61" t="s">
        <v>42</v>
      </c>
      <c r="T132" s="63" t="s">
        <v>10</v>
      </c>
      <c r="U132" s="51">
        <v>0.27</v>
      </c>
      <c r="V132" s="6" t="s">
        <v>53</v>
      </c>
      <c r="W132" s="6" t="s">
        <v>353</v>
      </c>
      <c r="X132" s="5" t="s">
        <v>13</v>
      </c>
      <c r="Y132" s="112" t="s">
        <v>51</v>
      </c>
    </row>
    <row r="133" spans="1:27" x14ac:dyDescent="0.25">
      <c r="A133" s="32">
        <v>45923</v>
      </c>
      <c r="B133" s="5">
        <v>6</v>
      </c>
      <c r="D133" s="5" t="s">
        <v>170</v>
      </c>
      <c r="E133" s="6">
        <v>1.46</v>
      </c>
      <c r="F133" s="7">
        <v>1</v>
      </c>
      <c r="G133" s="7">
        <v>1</v>
      </c>
      <c r="H133" s="8">
        <v>0.76</v>
      </c>
      <c r="J133" s="5" t="s">
        <v>69</v>
      </c>
      <c r="L133" s="56">
        <v>70</v>
      </c>
      <c r="M133" s="61" t="s">
        <v>170</v>
      </c>
      <c r="N133" s="61" t="s">
        <v>214</v>
      </c>
      <c r="O133" s="61" t="s">
        <v>339</v>
      </c>
      <c r="P133" s="61" t="s">
        <v>713</v>
      </c>
      <c r="Q133" s="218">
        <v>74</v>
      </c>
      <c r="R133" s="61" t="s">
        <v>41</v>
      </c>
      <c r="S133" s="61" t="s">
        <v>45</v>
      </c>
      <c r="T133" s="63" t="s">
        <v>20</v>
      </c>
      <c r="U133" s="51">
        <v>0.1</v>
      </c>
      <c r="V133" s="6">
        <v>0.54</v>
      </c>
      <c r="W133" s="6" t="s">
        <v>353</v>
      </c>
      <c r="X133" s="5" t="s">
        <v>48</v>
      </c>
      <c r="Y133" s="112" t="s">
        <v>51</v>
      </c>
    </row>
    <row r="134" spans="1:27" x14ac:dyDescent="0.25">
      <c r="A134" s="32">
        <v>45923</v>
      </c>
      <c r="B134" s="5">
        <v>6</v>
      </c>
      <c r="D134" s="5" t="s">
        <v>170</v>
      </c>
      <c r="E134" s="6">
        <v>1.46</v>
      </c>
      <c r="F134" s="7">
        <v>1</v>
      </c>
      <c r="G134" s="7">
        <v>1</v>
      </c>
      <c r="H134" s="8">
        <v>0.76</v>
      </c>
      <c r="J134" s="5" t="s">
        <v>69</v>
      </c>
      <c r="L134" s="56">
        <v>74</v>
      </c>
      <c r="M134" s="61" t="s">
        <v>170</v>
      </c>
      <c r="N134" s="61" t="s">
        <v>176</v>
      </c>
      <c r="O134" s="61" t="s">
        <v>177</v>
      </c>
      <c r="P134" s="61" t="s">
        <v>696</v>
      </c>
      <c r="Q134" s="218">
        <v>74</v>
      </c>
      <c r="R134" s="61" t="s">
        <v>41</v>
      </c>
      <c r="S134" s="61" t="s">
        <v>43</v>
      </c>
      <c r="T134" s="63" t="s">
        <v>540</v>
      </c>
      <c r="U134" s="51">
        <v>0.35</v>
      </c>
      <c r="V134" s="6">
        <v>0.27</v>
      </c>
      <c r="W134" s="6" t="s">
        <v>353</v>
      </c>
      <c r="X134" s="5" t="s">
        <v>48</v>
      </c>
      <c r="Y134" s="112" t="s">
        <v>51</v>
      </c>
    </row>
    <row r="135" spans="1:27" ht="15.75" thickBot="1" x14ac:dyDescent="0.3">
      <c r="A135" s="191">
        <v>45923</v>
      </c>
      <c r="B135" s="207">
        <v>6</v>
      </c>
      <c r="C135" s="208"/>
      <c r="D135" s="207" t="s">
        <v>170</v>
      </c>
      <c r="E135" s="209">
        <v>1.46</v>
      </c>
      <c r="F135" s="210">
        <v>1</v>
      </c>
      <c r="G135" s="210">
        <v>1</v>
      </c>
      <c r="H135" s="211">
        <v>0.76</v>
      </c>
      <c r="I135" s="208"/>
      <c r="J135" s="207" t="s">
        <v>69</v>
      </c>
      <c r="K135" s="235"/>
      <c r="L135" s="198"/>
      <c r="M135" s="199" t="s">
        <v>170</v>
      </c>
      <c r="N135" s="199" t="s">
        <v>269</v>
      </c>
      <c r="O135" s="199" t="s">
        <v>722</v>
      </c>
      <c r="P135" s="199" t="s">
        <v>707</v>
      </c>
      <c r="Q135" s="200">
        <v>67</v>
      </c>
      <c r="R135" s="199"/>
      <c r="S135" s="199"/>
      <c r="T135" s="201"/>
      <c r="U135" s="202"/>
      <c r="V135" s="203"/>
      <c r="W135" s="203">
        <v>1</v>
      </c>
      <c r="X135" s="199"/>
      <c r="Y135" s="204"/>
      <c r="Z135" s="205"/>
      <c r="AA135" s="201"/>
    </row>
    <row r="136" spans="1:27" ht="15.75" thickBot="1" x14ac:dyDescent="0.3">
      <c r="A136" s="191">
        <v>45923</v>
      </c>
      <c r="B136" s="207">
        <v>6</v>
      </c>
      <c r="C136" s="208"/>
      <c r="D136" s="207" t="s">
        <v>170</v>
      </c>
      <c r="E136" s="209">
        <v>1.46</v>
      </c>
      <c r="F136" s="210">
        <v>1</v>
      </c>
      <c r="G136" s="210">
        <v>1</v>
      </c>
      <c r="H136" s="211">
        <v>0.76</v>
      </c>
      <c r="I136" s="208"/>
      <c r="J136" s="207" t="s">
        <v>69</v>
      </c>
      <c r="K136" s="235"/>
      <c r="L136" s="198"/>
      <c r="M136" s="199" t="s">
        <v>69</v>
      </c>
      <c r="N136" s="199" t="s">
        <v>478</v>
      </c>
      <c r="O136" s="199" t="s">
        <v>479</v>
      </c>
      <c r="P136" s="199" t="s">
        <v>707</v>
      </c>
      <c r="Q136" s="200">
        <v>75</v>
      </c>
      <c r="R136" s="199"/>
      <c r="S136" s="199"/>
      <c r="T136" s="201"/>
      <c r="U136" s="202"/>
      <c r="V136" s="203"/>
      <c r="W136" s="203">
        <v>1</v>
      </c>
      <c r="X136" s="199"/>
      <c r="Y136" s="204"/>
      <c r="Z136" s="205"/>
      <c r="AA136" s="201"/>
    </row>
    <row r="137" spans="1:27" ht="15.75" thickBot="1" x14ac:dyDescent="0.3">
      <c r="A137" s="236"/>
      <c r="B137" s="237"/>
      <c r="C137" s="238"/>
      <c r="D137" s="237"/>
      <c r="E137" s="239"/>
      <c r="F137" s="240"/>
      <c r="G137" s="240"/>
      <c r="H137" s="241"/>
      <c r="I137" s="238"/>
      <c r="J137" s="237"/>
      <c r="K137" s="242"/>
      <c r="L137" s="243"/>
      <c r="M137" s="237"/>
      <c r="N137" s="237"/>
      <c r="O137" s="237"/>
      <c r="P137" s="237"/>
      <c r="Q137" s="240"/>
      <c r="R137" s="237"/>
      <c r="S137" s="237"/>
      <c r="T137" s="244"/>
      <c r="U137" s="245"/>
      <c r="V137" s="239"/>
      <c r="W137" s="239" t="s">
        <v>741</v>
      </c>
      <c r="X137" s="237"/>
      <c r="Y137" s="246"/>
      <c r="Z137" s="247"/>
      <c r="AA137" s="244"/>
    </row>
    <row r="138" spans="1:27" x14ac:dyDescent="0.25">
      <c r="A138" s="135">
        <v>45884</v>
      </c>
      <c r="B138" s="136">
        <v>1</v>
      </c>
      <c r="C138" s="137" t="s">
        <v>694</v>
      </c>
      <c r="D138" s="136" t="s">
        <v>91</v>
      </c>
      <c r="E138" s="138">
        <v>2.44</v>
      </c>
      <c r="F138" s="139">
        <v>2</v>
      </c>
      <c r="G138" s="139">
        <v>0</v>
      </c>
      <c r="H138" s="140">
        <v>0.93</v>
      </c>
      <c r="I138" s="137" t="s">
        <v>693</v>
      </c>
      <c r="J138" s="136" t="s">
        <v>92</v>
      </c>
      <c r="K138" s="141" t="s">
        <v>93</v>
      </c>
      <c r="L138" s="142">
        <v>3</v>
      </c>
      <c r="M138" s="64" t="s">
        <v>91</v>
      </c>
      <c r="N138" s="64" t="s">
        <v>94</v>
      </c>
      <c r="O138" s="64" t="s">
        <v>95</v>
      </c>
      <c r="P138" s="64" t="s">
        <v>695</v>
      </c>
      <c r="Q138" s="217">
        <v>69</v>
      </c>
      <c r="R138" s="64" t="s">
        <v>41</v>
      </c>
      <c r="S138" s="64" t="s">
        <v>42</v>
      </c>
      <c r="T138" s="65" t="s">
        <v>10</v>
      </c>
      <c r="U138" s="167">
        <v>0.35</v>
      </c>
      <c r="V138" s="138" t="s">
        <v>53</v>
      </c>
      <c r="W138" s="138" t="s">
        <v>353</v>
      </c>
      <c r="X138" s="136" t="s">
        <v>13</v>
      </c>
      <c r="Y138" s="168" t="s">
        <v>28</v>
      </c>
      <c r="Z138" s="169"/>
      <c r="AA138" s="170"/>
    </row>
    <row r="139" spans="1:27" x14ac:dyDescent="0.25">
      <c r="A139" s="143">
        <v>45884</v>
      </c>
      <c r="B139" s="144">
        <v>1</v>
      </c>
      <c r="C139" s="145"/>
      <c r="D139" s="144" t="s">
        <v>91</v>
      </c>
      <c r="E139" s="146">
        <v>2.44</v>
      </c>
      <c r="F139" s="147">
        <v>2</v>
      </c>
      <c r="G139" s="147">
        <v>0</v>
      </c>
      <c r="H139" s="148">
        <v>0.93</v>
      </c>
      <c r="I139" s="145"/>
      <c r="J139" s="144" t="s">
        <v>92</v>
      </c>
      <c r="K139" s="149" t="s">
        <v>93</v>
      </c>
      <c r="L139" s="150">
        <v>14</v>
      </c>
      <c r="M139" s="26" t="s">
        <v>92</v>
      </c>
      <c r="N139" s="26" t="s">
        <v>108</v>
      </c>
      <c r="O139" s="26" t="s">
        <v>109</v>
      </c>
      <c r="P139" s="26" t="s">
        <v>684</v>
      </c>
      <c r="Q139" s="213">
        <v>60</v>
      </c>
      <c r="R139" s="26" t="s">
        <v>41</v>
      </c>
      <c r="S139" s="26" t="s">
        <v>42</v>
      </c>
      <c r="T139" s="43" t="s">
        <v>7</v>
      </c>
      <c r="U139" s="171">
        <v>0.79</v>
      </c>
      <c r="V139" s="146">
        <v>0.79</v>
      </c>
      <c r="W139" s="146" t="s">
        <v>353</v>
      </c>
      <c r="X139" s="144" t="s">
        <v>48</v>
      </c>
      <c r="Y139" s="172" t="s">
        <v>28</v>
      </c>
      <c r="Z139" s="173"/>
      <c r="AA139" s="174"/>
    </row>
    <row r="140" spans="1:27" x14ac:dyDescent="0.25">
      <c r="A140" s="143">
        <v>45884</v>
      </c>
      <c r="B140" s="144">
        <v>1</v>
      </c>
      <c r="C140" s="145"/>
      <c r="D140" s="144" t="s">
        <v>91</v>
      </c>
      <c r="E140" s="146">
        <v>2.44</v>
      </c>
      <c r="F140" s="147">
        <v>2</v>
      </c>
      <c r="G140" s="147">
        <v>0</v>
      </c>
      <c r="H140" s="148">
        <v>0.93</v>
      </c>
      <c r="I140" s="145"/>
      <c r="J140" s="144" t="s">
        <v>92</v>
      </c>
      <c r="K140" s="149" t="s">
        <v>93</v>
      </c>
      <c r="L140" s="150">
        <v>22</v>
      </c>
      <c r="M140" s="61" t="s">
        <v>91</v>
      </c>
      <c r="N140" s="61" t="s">
        <v>96</v>
      </c>
      <c r="O140" s="61" t="s">
        <v>97</v>
      </c>
      <c r="P140" s="61" t="s">
        <v>686</v>
      </c>
      <c r="Q140" s="218">
        <v>85</v>
      </c>
      <c r="R140" s="61" t="s">
        <v>41</v>
      </c>
      <c r="S140" s="61" t="s">
        <v>43</v>
      </c>
      <c r="T140" s="63" t="s">
        <v>18</v>
      </c>
      <c r="U140" s="171">
        <v>0.45</v>
      </c>
      <c r="V140" s="146">
        <v>0.31</v>
      </c>
      <c r="W140" s="146" t="s">
        <v>353</v>
      </c>
      <c r="X140" s="144" t="s">
        <v>48</v>
      </c>
      <c r="Y140" s="172" t="s">
        <v>28</v>
      </c>
      <c r="Z140" s="173"/>
      <c r="AA140" s="174"/>
    </row>
    <row r="141" spans="1:27" x14ac:dyDescent="0.25">
      <c r="A141" s="143">
        <v>45884</v>
      </c>
      <c r="B141" s="144">
        <v>1</v>
      </c>
      <c r="C141" s="145"/>
      <c r="D141" s="144" t="s">
        <v>91</v>
      </c>
      <c r="E141" s="146">
        <v>2.44</v>
      </c>
      <c r="F141" s="147">
        <v>2</v>
      </c>
      <c r="G141" s="147">
        <v>0</v>
      </c>
      <c r="H141" s="148">
        <v>0.93</v>
      </c>
      <c r="I141" s="145"/>
      <c r="J141" s="144" t="s">
        <v>92</v>
      </c>
      <c r="K141" s="149" t="s">
        <v>93</v>
      </c>
      <c r="L141" s="150">
        <v>35</v>
      </c>
      <c r="M141" s="61" t="s">
        <v>91</v>
      </c>
      <c r="N141" s="61" t="s">
        <v>104</v>
      </c>
      <c r="O141" s="61" t="s">
        <v>105</v>
      </c>
      <c r="P141" s="61" t="s">
        <v>684</v>
      </c>
      <c r="Q141" s="218">
        <v>65</v>
      </c>
      <c r="R141" s="61" t="s">
        <v>47</v>
      </c>
      <c r="S141" s="61" t="s">
        <v>42</v>
      </c>
      <c r="T141" s="63" t="s">
        <v>20</v>
      </c>
      <c r="U141" s="171">
        <v>0.25</v>
      </c>
      <c r="V141" s="146" t="s">
        <v>53</v>
      </c>
      <c r="W141" s="146" t="s">
        <v>353</v>
      </c>
      <c r="X141" s="144" t="s">
        <v>13</v>
      </c>
      <c r="Y141" s="172" t="s">
        <v>19</v>
      </c>
      <c r="Z141" s="173"/>
      <c r="AA141" s="174"/>
    </row>
    <row r="142" spans="1:27" ht="15.75" thickBot="1" x14ac:dyDescent="0.3">
      <c r="A142" s="206">
        <v>45884</v>
      </c>
      <c r="B142" s="207">
        <v>1</v>
      </c>
      <c r="C142" s="208"/>
      <c r="D142" s="207" t="s">
        <v>91</v>
      </c>
      <c r="E142" s="209">
        <v>2.44</v>
      </c>
      <c r="F142" s="210">
        <v>2</v>
      </c>
      <c r="G142" s="210">
        <v>0</v>
      </c>
      <c r="H142" s="211">
        <v>0.93</v>
      </c>
      <c r="I142" s="208"/>
      <c r="J142" s="207" t="s">
        <v>92</v>
      </c>
      <c r="K142" s="197"/>
      <c r="L142" s="198"/>
      <c r="M142" s="199" t="s">
        <v>91</v>
      </c>
      <c r="N142" s="199" t="s">
        <v>351</v>
      </c>
      <c r="O142" s="199" t="s">
        <v>54</v>
      </c>
      <c r="P142" s="199" t="s">
        <v>707</v>
      </c>
      <c r="Q142" s="200">
        <v>73</v>
      </c>
      <c r="R142" s="199"/>
      <c r="S142" s="199"/>
      <c r="T142" s="201"/>
      <c r="U142" s="202"/>
      <c r="V142" s="203"/>
      <c r="W142" s="203">
        <v>0</v>
      </c>
      <c r="X142" s="199"/>
      <c r="Y142" s="204"/>
      <c r="Z142" s="205"/>
      <c r="AA142" s="201"/>
    </row>
    <row r="143" spans="1:27" ht="15.75" thickBot="1" x14ac:dyDescent="0.3">
      <c r="A143" s="206">
        <v>45884</v>
      </c>
      <c r="B143" s="207">
        <v>1</v>
      </c>
      <c r="C143" s="208"/>
      <c r="D143" s="207" t="s">
        <v>91</v>
      </c>
      <c r="E143" s="209">
        <v>2.44</v>
      </c>
      <c r="F143" s="210">
        <v>2</v>
      </c>
      <c r="G143" s="210">
        <v>0</v>
      </c>
      <c r="H143" s="211">
        <v>0.93</v>
      </c>
      <c r="I143" s="208"/>
      <c r="J143" s="207" t="s">
        <v>92</v>
      </c>
      <c r="K143" s="197"/>
      <c r="L143" s="198"/>
      <c r="M143" s="199" t="s">
        <v>92</v>
      </c>
      <c r="N143" s="199" t="s">
        <v>432</v>
      </c>
      <c r="O143" s="199" t="s">
        <v>472</v>
      </c>
      <c r="P143" s="199" t="s">
        <v>707</v>
      </c>
      <c r="Q143" s="200">
        <v>86</v>
      </c>
      <c r="R143" s="199"/>
      <c r="S143" s="199"/>
      <c r="T143" s="201"/>
      <c r="U143" s="202"/>
      <c r="V143" s="203"/>
      <c r="W143" s="203">
        <v>2</v>
      </c>
      <c r="X143" s="199"/>
      <c r="Y143" s="204"/>
      <c r="Z143" s="205"/>
      <c r="AA143" s="201"/>
    </row>
    <row r="144" spans="1:27" x14ac:dyDescent="0.25">
      <c r="A144" s="135">
        <v>45893</v>
      </c>
      <c r="B144" s="136">
        <v>2</v>
      </c>
      <c r="C144" s="137" t="s">
        <v>694</v>
      </c>
      <c r="D144" s="136" t="s">
        <v>91</v>
      </c>
      <c r="E144" s="138">
        <v>2.2999999999999998</v>
      </c>
      <c r="F144" s="139">
        <v>5</v>
      </c>
      <c r="G144" s="139">
        <v>0</v>
      </c>
      <c r="H144" s="140">
        <v>0.14000000000000001</v>
      </c>
      <c r="I144" s="137" t="s">
        <v>704</v>
      </c>
      <c r="J144" s="136" t="s">
        <v>69</v>
      </c>
      <c r="K144" s="141"/>
      <c r="L144" s="142">
        <v>7</v>
      </c>
      <c r="M144" s="64" t="s">
        <v>91</v>
      </c>
      <c r="N144" s="64" t="s">
        <v>96</v>
      </c>
      <c r="O144" s="64" t="s">
        <v>97</v>
      </c>
      <c r="P144" s="64" t="s">
        <v>718</v>
      </c>
      <c r="Q144" s="217">
        <v>90</v>
      </c>
      <c r="R144" s="64" t="s">
        <v>41</v>
      </c>
      <c r="S144" s="64" t="s">
        <v>43</v>
      </c>
      <c r="T144" s="65" t="s">
        <v>540</v>
      </c>
      <c r="U144" s="167">
        <v>0.45</v>
      </c>
      <c r="V144" s="138">
        <v>0.52</v>
      </c>
      <c r="W144" s="138" t="s">
        <v>353</v>
      </c>
      <c r="X144" s="136" t="s">
        <v>8</v>
      </c>
      <c r="Y144" s="168" t="s">
        <v>19</v>
      </c>
      <c r="Z144" s="169"/>
      <c r="AA144" s="170"/>
    </row>
    <row r="145" spans="1:27" x14ac:dyDescent="0.25">
      <c r="A145" s="143">
        <v>45893</v>
      </c>
      <c r="B145" s="144">
        <v>2</v>
      </c>
      <c r="C145" s="145"/>
      <c r="D145" s="144" t="s">
        <v>91</v>
      </c>
      <c r="E145" s="146">
        <v>2.2999999999999998</v>
      </c>
      <c r="F145" s="147">
        <v>5</v>
      </c>
      <c r="G145" s="147">
        <v>0</v>
      </c>
      <c r="H145" s="148">
        <v>0.14000000000000001</v>
      </c>
      <c r="I145" s="145"/>
      <c r="J145" s="144" t="s">
        <v>69</v>
      </c>
      <c r="K145" s="149"/>
      <c r="L145" s="150">
        <v>25</v>
      </c>
      <c r="M145" s="61" t="s">
        <v>91</v>
      </c>
      <c r="N145" s="61" t="s">
        <v>61</v>
      </c>
      <c r="O145" s="61" t="s">
        <v>284</v>
      </c>
      <c r="P145" s="61" t="s">
        <v>712</v>
      </c>
      <c r="Q145" s="218">
        <v>84</v>
      </c>
      <c r="R145" s="61" t="s">
        <v>47</v>
      </c>
      <c r="S145" s="61" t="s">
        <v>45</v>
      </c>
      <c r="T145" s="63" t="s">
        <v>20</v>
      </c>
      <c r="U145" s="171">
        <v>0.19</v>
      </c>
      <c r="V145" s="146">
        <v>0.55000000000000004</v>
      </c>
      <c r="W145" s="146" t="s">
        <v>353</v>
      </c>
      <c r="X145" s="144" t="s">
        <v>8</v>
      </c>
      <c r="Y145" s="172" t="s">
        <v>27</v>
      </c>
      <c r="Z145" s="173" t="s">
        <v>102</v>
      </c>
      <c r="AA145" s="174" t="s">
        <v>103</v>
      </c>
    </row>
    <row r="146" spans="1:27" x14ac:dyDescent="0.25">
      <c r="A146" s="143">
        <v>45893</v>
      </c>
      <c r="B146" s="144">
        <v>2</v>
      </c>
      <c r="C146" s="145"/>
      <c r="D146" s="144" t="s">
        <v>91</v>
      </c>
      <c r="E146" s="146">
        <v>2.2999999999999998</v>
      </c>
      <c r="F146" s="147">
        <v>5</v>
      </c>
      <c r="G146" s="147">
        <v>0</v>
      </c>
      <c r="H146" s="148">
        <v>0.14000000000000001</v>
      </c>
      <c r="I146" s="145"/>
      <c r="J146" s="144" t="s">
        <v>69</v>
      </c>
      <c r="K146" s="149"/>
      <c r="L146" s="150">
        <v>28</v>
      </c>
      <c r="M146" s="61" t="s">
        <v>91</v>
      </c>
      <c r="N146" s="61" t="s">
        <v>106</v>
      </c>
      <c r="O146" s="61" t="s">
        <v>107</v>
      </c>
      <c r="P146" s="61" t="s">
        <v>686</v>
      </c>
      <c r="Q146" s="218">
        <v>100</v>
      </c>
      <c r="R146" s="61" t="s">
        <v>47</v>
      </c>
      <c r="S146" s="61" t="s">
        <v>42</v>
      </c>
      <c r="T146" s="63" t="s">
        <v>10</v>
      </c>
      <c r="U146" s="171">
        <v>0.33</v>
      </c>
      <c r="V146" s="146">
        <v>0.31</v>
      </c>
      <c r="W146" s="146" t="s">
        <v>353</v>
      </c>
      <c r="X146" s="144" t="s">
        <v>8</v>
      </c>
      <c r="Y146" s="172" t="s">
        <v>32</v>
      </c>
      <c r="Z146" s="173" t="s">
        <v>100</v>
      </c>
      <c r="AA146" s="174" t="s">
        <v>101</v>
      </c>
    </row>
    <row r="147" spans="1:27" x14ac:dyDescent="0.25">
      <c r="A147" s="143">
        <v>45893</v>
      </c>
      <c r="B147" s="144">
        <v>2</v>
      </c>
      <c r="C147" s="145"/>
      <c r="D147" s="144" t="s">
        <v>91</v>
      </c>
      <c r="E147" s="146">
        <v>2.2999999999999998</v>
      </c>
      <c r="F147" s="147">
        <v>5</v>
      </c>
      <c r="G147" s="147">
        <v>0</v>
      </c>
      <c r="H147" s="148">
        <v>0.14000000000000001</v>
      </c>
      <c r="I147" s="145"/>
      <c r="J147" s="144" t="s">
        <v>69</v>
      </c>
      <c r="K147" s="149"/>
      <c r="L147" s="150">
        <v>33</v>
      </c>
      <c r="M147" s="61" t="s">
        <v>91</v>
      </c>
      <c r="N147" s="61" t="s">
        <v>104</v>
      </c>
      <c r="O147" s="61" t="s">
        <v>105</v>
      </c>
      <c r="P147" s="61" t="s">
        <v>717</v>
      </c>
      <c r="Q147" s="218">
        <v>68</v>
      </c>
      <c r="R147" s="61" t="s">
        <v>47</v>
      </c>
      <c r="S147" s="61" t="s">
        <v>43</v>
      </c>
      <c r="T147" s="63" t="s">
        <v>10</v>
      </c>
      <c r="U147" s="171">
        <v>0.31</v>
      </c>
      <c r="V147" s="146">
        <v>0.1</v>
      </c>
      <c r="W147" s="146" t="s">
        <v>353</v>
      </c>
      <c r="X147" s="144" t="s">
        <v>48</v>
      </c>
      <c r="Y147" s="172" t="s">
        <v>32</v>
      </c>
      <c r="Z147" s="173"/>
      <c r="AA147" s="174"/>
    </row>
    <row r="148" spans="1:27" ht="15.75" thickBot="1" x14ac:dyDescent="0.3">
      <c r="A148" s="206">
        <v>45893</v>
      </c>
      <c r="B148" s="207">
        <v>2</v>
      </c>
      <c r="C148" s="208"/>
      <c r="D148" s="207" t="s">
        <v>91</v>
      </c>
      <c r="E148" s="209">
        <v>2.2999999999999998</v>
      </c>
      <c r="F148" s="210">
        <v>5</v>
      </c>
      <c r="G148" s="210">
        <v>0</v>
      </c>
      <c r="H148" s="211">
        <v>0.14000000000000001</v>
      </c>
      <c r="I148" s="208"/>
      <c r="J148" s="207" t="s">
        <v>69</v>
      </c>
      <c r="K148" s="197"/>
      <c r="L148" s="198"/>
      <c r="M148" s="199" t="s">
        <v>91</v>
      </c>
      <c r="N148" s="199" t="s">
        <v>315</v>
      </c>
      <c r="O148" s="199" t="s">
        <v>54</v>
      </c>
      <c r="P148" s="199" t="s">
        <v>707</v>
      </c>
      <c r="Q148" s="200">
        <v>70</v>
      </c>
      <c r="R148" s="199"/>
      <c r="S148" s="199"/>
      <c r="T148" s="201"/>
      <c r="U148" s="202"/>
      <c r="V148" s="203"/>
      <c r="W148" s="203">
        <v>0</v>
      </c>
      <c r="X148" s="199"/>
      <c r="Y148" s="204"/>
      <c r="Z148" s="205"/>
      <c r="AA148" s="201"/>
    </row>
    <row r="149" spans="1:27" ht="15.75" thickBot="1" x14ac:dyDescent="0.3">
      <c r="A149" s="206">
        <v>45893</v>
      </c>
      <c r="B149" s="207">
        <v>2</v>
      </c>
      <c r="C149" s="208"/>
      <c r="D149" s="207" t="s">
        <v>91</v>
      </c>
      <c r="E149" s="209">
        <v>2.2999999999999998</v>
      </c>
      <c r="F149" s="210">
        <v>5</v>
      </c>
      <c r="G149" s="210">
        <v>0</v>
      </c>
      <c r="H149" s="211">
        <v>0.14000000000000001</v>
      </c>
      <c r="I149" s="208"/>
      <c r="J149" s="207" t="s">
        <v>69</v>
      </c>
      <c r="K149" s="197"/>
      <c r="L149" s="198"/>
      <c r="M149" s="199" t="s">
        <v>69</v>
      </c>
      <c r="N149" s="199" t="s">
        <v>389</v>
      </c>
      <c r="O149" s="199" t="s">
        <v>729</v>
      </c>
      <c r="P149" s="199" t="s">
        <v>707</v>
      </c>
      <c r="Q149" s="200">
        <v>68</v>
      </c>
      <c r="R149" s="199"/>
      <c r="S149" s="199"/>
      <c r="T149" s="201"/>
      <c r="U149" s="202"/>
      <c r="V149" s="203"/>
      <c r="W149" s="203">
        <v>5</v>
      </c>
      <c r="X149" s="199"/>
      <c r="Y149" s="204"/>
      <c r="Z149" s="205"/>
      <c r="AA149" s="201"/>
    </row>
    <row r="150" spans="1:27" x14ac:dyDescent="0.25">
      <c r="A150" s="159">
        <v>45920</v>
      </c>
      <c r="B150" s="160">
        <v>5</v>
      </c>
      <c r="C150" s="161" t="s">
        <v>694</v>
      </c>
      <c r="D150" s="160" t="s">
        <v>91</v>
      </c>
      <c r="E150" s="162">
        <v>2.5499999999999998</v>
      </c>
      <c r="F150" s="163">
        <v>2</v>
      </c>
      <c r="G150" s="163">
        <v>1</v>
      </c>
      <c r="H150" s="164">
        <v>1.8</v>
      </c>
      <c r="I150" s="161" t="s">
        <v>700</v>
      </c>
      <c r="J150" s="160" t="s">
        <v>227</v>
      </c>
      <c r="K150" s="165" t="s">
        <v>451</v>
      </c>
      <c r="L150" s="166">
        <v>3</v>
      </c>
      <c r="M150" s="79" t="s">
        <v>227</v>
      </c>
      <c r="N150" s="79" t="s">
        <v>65</v>
      </c>
      <c r="O150" s="79" t="s">
        <v>450</v>
      </c>
      <c r="P150" s="79" t="s">
        <v>712</v>
      </c>
      <c r="Q150" s="224">
        <v>69</v>
      </c>
      <c r="R150" s="79" t="s">
        <v>41</v>
      </c>
      <c r="S150" s="79" t="s">
        <v>43</v>
      </c>
      <c r="T150" s="80" t="s">
        <v>33</v>
      </c>
      <c r="U150" s="179">
        <v>0.39</v>
      </c>
      <c r="V150" s="162" t="s">
        <v>53</v>
      </c>
      <c r="W150" s="162" t="s">
        <v>353</v>
      </c>
      <c r="X150" s="160" t="s">
        <v>13</v>
      </c>
      <c r="Y150" s="180" t="s">
        <v>28</v>
      </c>
      <c r="Z150" s="169"/>
      <c r="AA150" s="170"/>
    </row>
    <row r="151" spans="1:27" x14ac:dyDescent="0.25">
      <c r="A151" s="143">
        <v>45920</v>
      </c>
      <c r="B151" s="144">
        <v>5</v>
      </c>
      <c r="C151" s="145"/>
      <c r="D151" s="144" t="s">
        <v>91</v>
      </c>
      <c r="E151" s="146">
        <v>2.5499999999999998</v>
      </c>
      <c r="F151" s="147">
        <v>2</v>
      </c>
      <c r="G151" s="147">
        <v>1</v>
      </c>
      <c r="H151" s="148">
        <v>1.8</v>
      </c>
      <c r="I151" s="145"/>
      <c r="J151" s="144" t="s">
        <v>227</v>
      </c>
      <c r="K151" s="149" t="s">
        <v>451</v>
      </c>
      <c r="L151" s="150">
        <v>33</v>
      </c>
      <c r="M151" s="61" t="s">
        <v>91</v>
      </c>
      <c r="N151" s="61" t="s">
        <v>445</v>
      </c>
      <c r="O151" s="61" t="s">
        <v>446</v>
      </c>
      <c r="P151" s="61" t="s">
        <v>686</v>
      </c>
      <c r="Q151" s="218">
        <v>68</v>
      </c>
      <c r="R151" s="61" t="s">
        <v>41</v>
      </c>
      <c r="S151" s="61" t="s">
        <v>42</v>
      </c>
      <c r="T151" s="63" t="s">
        <v>10</v>
      </c>
      <c r="U151" s="171">
        <v>0.33</v>
      </c>
      <c r="V151" s="146">
        <v>0.49</v>
      </c>
      <c r="W151" s="146" t="s">
        <v>353</v>
      </c>
      <c r="X151" s="144" t="s">
        <v>48</v>
      </c>
      <c r="Y151" s="172" t="s">
        <v>28</v>
      </c>
      <c r="Z151" s="173"/>
      <c r="AA151" s="174"/>
    </row>
    <row r="152" spans="1:27" x14ac:dyDescent="0.25">
      <c r="A152" s="143">
        <v>45920</v>
      </c>
      <c r="B152" s="144">
        <v>5</v>
      </c>
      <c r="C152" s="145"/>
      <c r="D152" s="144" t="s">
        <v>91</v>
      </c>
      <c r="E152" s="146">
        <v>2.5499999999999998</v>
      </c>
      <c r="F152" s="147">
        <v>2</v>
      </c>
      <c r="G152" s="147">
        <v>1</v>
      </c>
      <c r="H152" s="148">
        <v>1.8</v>
      </c>
      <c r="I152" s="145"/>
      <c r="J152" s="144" t="s">
        <v>227</v>
      </c>
      <c r="K152" s="149" t="s">
        <v>451</v>
      </c>
      <c r="L152" s="150">
        <v>35</v>
      </c>
      <c r="M152" s="61" t="s">
        <v>91</v>
      </c>
      <c r="N152" s="61" t="s">
        <v>443</v>
      </c>
      <c r="O152" s="61" t="s">
        <v>444</v>
      </c>
      <c r="P152" s="61" t="s">
        <v>717</v>
      </c>
      <c r="Q152" s="218">
        <v>73</v>
      </c>
      <c r="R152" s="61" t="s">
        <v>41</v>
      </c>
      <c r="S152" s="61" t="s">
        <v>43</v>
      </c>
      <c r="T152" s="63" t="s">
        <v>33</v>
      </c>
      <c r="U152" s="171">
        <v>0.23</v>
      </c>
      <c r="V152" s="146">
        <v>0.83</v>
      </c>
      <c r="W152" s="146" t="s">
        <v>353</v>
      </c>
      <c r="X152" s="144" t="s">
        <v>48</v>
      </c>
      <c r="Y152" s="172" t="s">
        <v>28</v>
      </c>
      <c r="Z152" s="173"/>
      <c r="AA152" s="174"/>
    </row>
    <row r="153" spans="1:27" x14ac:dyDescent="0.25">
      <c r="A153" s="143">
        <v>45920</v>
      </c>
      <c r="B153" s="144">
        <v>5</v>
      </c>
      <c r="C153" s="145"/>
      <c r="D153" s="144" t="s">
        <v>91</v>
      </c>
      <c r="E153" s="146">
        <v>2.5499999999999998</v>
      </c>
      <c r="F153" s="147">
        <v>2</v>
      </c>
      <c r="G153" s="147">
        <v>1</v>
      </c>
      <c r="H153" s="148">
        <v>1.8</v>
      </c>
      <c r="I153" s="145"/>
      <c r="J153" s="144" t="s">
        <v>227</v>
      </c>
      <c r="K153" s="149" t="s">
        <v>451</v>
      </c>
      <c r="L153" s="150" t="s">
        <v>123</v>
      </c>
      <c r="M153" s="26" t="s">
        <v>227</v>
      </c>
      <c r="N153" s="26" t="s">
        <v>238</v>
      </c>
      <c r="O153" s="26" t="s">
        <v>239</v>
      </c>
      <c r="P153" s="26" t="s">
        <v>684</v>
      </c>
      <c r="Q153" s="213">
        <v>71</v>
      </c>
      <c r="R153" s="26" t="s">
        <v>41</v>
      </c>
      <c r="S153" s="26" t="s">
        <v>43</v>
      </c>
      <c r="T153" s="43" t="s">
        <v>7</v>
      </c>
      <c r="U153" s="171">
        <v>0.79</v>
      </c>
      <c r="V153" s="146">
        <v>0.81</v>
      </c>
      <c r="W153" s="146" t="s">
        <v>353</v>
      </c>
      <c r="X153" s="144" t="s">
        <v>8</v>
      </c>
      <c r="Y153" s="172" t="s">
        <v>9</v>
      </c>
      <c r="Z153" s="173"/>
      <c r="AA153" s="174"/>
    </row>
    <row r="154" spans="1:27" x14ac:dyDescent="0.25">
      <c r="A154" s="143">
        <v>45920</v>
      </c>
      <c r="B154" s="144">
        <v>5</v>
      </c>
      <c r="C154" s="145"/>
      <c r="D154" s="144" t="s">
        <v>91</v>
      </c>
      <c r="E154" s="146">
        <v>2.5499999999999998</v>
      </c>
      <c r="F154" s="147">
        <v>2</v>
      </c>
      <c r="G154" s="147">
        <v>1</v>
      </c>
      <c r="H154" s="148">
        <v>1.8</v>
      </c>
      <c r="I154" s="145"/>
      <c r="J154" s="144" t="s">
        <v>227</v>
      </c>
      <c r="K154" s="149" t="s">
        <v>451</v>
      </c>
      <c r="L154" s="150">
        <v>62</v>
      </c>
      <c r="M154" s="61" t="s">
        <v>91</v>
      </c>
      <c r="N154" s="61" t="s">
        <v>49</v>
      </c>
      <c r="O154" s="61" t="s">
        <v>50</v>
      </c>
      <c r="P154" s="61" t="s">
        <v>695</v>
      </c>
      <c r="Q154" s="218">
        <v>77</v>
      </c>
      <c r="R154" s="61" t="s">
        <v>41</v>
      </c>
      <c r="S154" s="61" t="s">
        <v>45</v>
      </c>
      <c r="T154" s="63" t="s">
        <v>10</v>
      </c>
      <c r="U154" s="171">
        <v>0.12</v>
      </c>
      <c r="V154" s="146" t="s">
        <v>53</v>
      </c>
      <c r="W154" s="146" t="s">
        <v>353</v>
      </c>
      <c r="X154" s="144" t="s">
        <v>55</v>
      </c>
      <c r="Y154" s="172" t="s">
        <v>9</v>
      </c>
      <c r="Z154" s="173"/>
      <c r="AA154" s="174"/>
    </row>
    <row r="155" spans="1:27" x14ac:dyDescent="0.25">
      <c r="A155" s="143">
        <v>45920</v>
      </c>
      <c r="B155" s="144">
        <v>5</v>
      </c>
      <c r="C155" s="145"/>
      <c r="D155" s="144" t="s">
        <v>91</v>
      </c>
      <c r="E155" s="146">
        <v>2.5499999999999998</v>
      </c>
      <c r="F155" s="147">
        <v>2</v>
      </c>
      <c r="G155" s="147">
        <v>1</v>
      </c>
      <c r="H155" s="148">
        <v>1.8</v>
      </c>
      <c r="I155" s="145"/>
      <c r="J155" s="144" t="s">
        <v>227</v>
      </c>
      <c r="K155" s="149" t="s">
        <v>451</v>
      </c>
      <c r="L155" s="150">
        <v>69</v>
      </c>
      <c r="M155" s="61" t="s">
        <v>91</v>
      </c>
      <c r="N155" s="61" t="s">
        <v>443</v>
      </c>
      <c r="O155" s="61" t="s">
        <v>444</v>
      </c>
      <c r="P155" s="61" t="s">
        <v>717</v>
      </c>
      <c r="Q155" s="218">
        <v>73</v>
      </c>
      <c r="R155" s="61" t="s">
        <v>41</v>
      </c>
      <c r="S155" s="61" t="s">
        <v>45</v>
      </c>
      <c r="T155" s="63" t="s">
        <v>10</v>
      </c>
      <c r="U155" s="171">
        <v>0.19</v>
      </c>
      <c r="V155" s="146">
        <v>0.68</v>
      </c>
      <c r="W155" s="146" t="s">
        <v>353</v>
      </c>
      <c r="X155" s="144" t="s">
        <v>8</v>
      </c>
      <c r="Y155" s="172" t="s">
        <v>51</v>
      </c>
      <c r="Z155" s="173" t="s">
        <v>495</v>
      </c>
      <c r="AA155" s="174" t="s">
        <v>496</v>
      </c>
    </row>
    <row r="156" spans="1:27" x14ac:dyDescent="0.25">
      <c r="A156" s="143">
        <v>45920</v>
      </c>
      <c r="B156" s="144">
        <v>5</v>
      </c>
      <c r="C156" s="145"/>
      <c r="D156" s="144" t="s">
        <v>91</v>
      </c>
      <c r="E156" s="146">
        <v>2.5499999999999998</v>
      </c>
      <c r="F156" s="147">
        <v>2</v>
      </c>
      <c r="G156" s="147">
        <v>1</v>
      </c>
      <c r="H156" s="148">
        <v>1.8</v>
      </c>
      <c r="I156" s="145"/>
      <c r="J156" s="144" t="s">
        <v>227</v>
      </c>
      <c r="K156" s="149" t="s">
        <v>451</v>
      </c>
      <c r="L156" s="150">
        <v>79</v>
      </c>
      <c r="M156" s="61" t="s">
        <v>91</v>
      </c>
      <c r="N156" s="61" t="s">
        <v>443</v>
      </c>
      <c r="O156" s="61" t="s">
        <v>444</v>
      </c>
      <c r="P156" s="61" t="s">
        <v>717</v>
      </c>
      <c r="Q156" s="218">
        <v>73</v>
      </c>
      <c r="R156" s="61" t="s">
        <v>47</v>
      </c>
      <c r="S156" s="61" t="s">
        <v>42</v>
      </c>
      <c r="T156" s="63" t="s">
        <v>10</v>
      </c>
      <c r="U156" s="171">
        <v>0.46</v>
      </c>
      <c r="V156" s="146" t="s">
        <v>53</v>
      </c>
      <c r="W156" s="146" t="s">
        <v>353</v>
      </c>
      <c r="X156" s="144" t="s">
        <v>55</v>
      </c>
      <c r="Y156" s="172" t="s">
        <v>51</v>
      </c>
      <c r="Z156" s="173"/>
      <c r="AA156" s="174"/>
    </row>
    <row r="157" spans="1:27" x14ac:dyDescent="0.25">
      <c r="A157" s="143">
        <v>45920</v>
      </c>
      <c r="B157" s="144">
        <v>5</v>
      </c>
      <c r="C157" s="145"/>
      <c r="D157" s="144" t="s">
        <v>91</v>
      </c>
      <c r="E157" s="146">
        <v>2.5499999999999998</v>
      </c>
      <c r="F157" s="147">
        <v>2</v>
      </c>
      <c r="G157" s="147">
        <v>1</v>
      </c>
      <c r="H157" s="148">
        <v>1.8</v>
      </c>
      <c r="I157" s="145"/>
      <c r="J157" s="144" t="s">
        <v>227</v>
      </c>
      <c r="K157" s="149" t="s">
        <v>451</v>
      </c>
      <c r="L157" s="150">
        <v>88</v>
      </c>
      <c r="M157" s="26" t="s">
        <v>227</v>
      </c>
      <c r="N157" s="26" t="s">
        <v>398</v>
      </c>
      <c r="O157" s="26" t="s">
        <v>399</v>
      </c>
      <c r="P157" s="26" t="s">
        <v>696</v>
      </c>
      <c r="Q157" s="213">
        <v>68</v>
      </c>
      <c r="R157" s="26" t="s">
        <v>47</v>
      </c>
      <c r="S157" s="26" t="s">
        <v>42</v>
      </c>
      <c r="T157" s="43" t="s">
        <v>33</v>
      </c>
      <c r="U157" s="171">
        <v>0.32</v>
      </c>
      <c r="V157" s="146">
        <v>0.74</v>
      </c>
      <c r="W157" s="146" t="s">
        <v>353</v>
      </c>
      <c r="X157" s="144" t="s">
        <v>48</v>
      </c>
      <c r="Y157" s="172" t="s">
        <v>34</v>
      </c>
      <c r="Z157" s="173"/>
      <c r="AA157" s="174"/>
    </row>
    <row r="158" spans="1:27" x14ac:dyDescent="0.25">
      <c r="A158" s="143">
        <v>45920</v>
      </c>
      <c r="B158" s="144">
        <v>5</v>
      </c>
      <c r="C158" s="145"/>
      <c r="D158" s="144" t="s">
        <v>91</v>
      </c>
      <c r="E158" s="146">
        <v>2.5499999999999998</v>
      </c>
      <c r="F158" s="147">
        <v>2</v>
      </c>
      <c r="G158" s="147">
        <v>1</v>
      </c>
      <c r="H158" s="148">
        <v>1.8</v>
      </c>
      <c r="I158" s="145"/>
      <c r="J158" s="144" t="s">
        <v>227</v>
      </c>
      <c r="K158" s="149" t="s">
        <v>451</v>
      </c>
      <c r="L158" s="150" t="s">
        <v>31</v>
      </c>
      <c r="M158" s="61" t="s">
        <v>91</v>
      </c>
      <c r="N158" s="61" t="s">
        <v>448</v>
      </c>
      <c r="O158" s="61" t="s">
        <v>449</v>
      </c>
      <c r="P158" s="61" t="s">
        <v>696</v>
      </c>
      <c r="Q158" s="218">
        <v>66</v>
      </c>
      <c r="R158" s="61" t="s">
        <v>41</v>
      </c>
      <c r="S158" s="61" t="s">
        <v>43</v>
      </c>
      <c r="T158" s="63" t="s">
        <v>10</v>
      </c>
      <c r="U158" s="171">
        <v>0.37</v>
      </c>
      <c r="V158" s="146">
        <v>0.83</v>
      </c>
      <c r="W158" s="146" t="s">
        <v>353</v>
      </c>
      <c r="X158" s="144" t="s">
        <v>48</v>
      </c>
      <c r="Y158" s="172" t="s">
        <v>34</v>
      </c>
      <c r="Z158" s="173"/>
      <c r="AA158" s="174"/>
    </row>
    <row r="159" spans="1:27" ht="15.75" thickBot="1" x14ac:dyDescent="0.3">
      <c r="A159" s="206">
        <v>45920</v>
      </c>
      <c r="B159" s="207">
        <v>5</v>
      </c>
      <c r="C159" s="208"/>
      <c r="D159" s="207" t="s">
        <v>91</v>
      </c>
      <c r="E159" s="209">
        <v>2.5499999999999998</v>
      </c>
      <c r="F159" s="210">
        <v>2</v>
      </c>
      <c r="G159" s="210">
        <v>1</v>
      </c>
      <c r="H159" s="211">
        <v>1.8</v>
      </c>
      <c r="I159" s="208"/>
      <c r="J159" s="207" t="s">
        <v>227</v>
      </c>
      <c r="K159" s="235"/>
      <c r="L159" s="198"/>
      <c r="M159" s="199" t="s">
        <v>91</v>
      </c>
      <c r="N159" s="199" t="s">
        <v>351</v>
      </c>
      <c r="O159" s="199" t="s">
        <v>54</v>
      </c>
      <c r="P159" s="199" t="s">
        <v>707</v>
      </c>
      <c r="Q159" s="200">
        <v>76</v>
      </c>
      <c r="R159" s="199"/>
      <c r="S159" s="199"/>
      <c r="T159" s="201"/>
      <c r="U159" s="202"/>
      <c r="V159" s="203"/>
      <c r="W159" s="203">
        <v>1</v>
      </c>
      <c r="X159" s="199"/>
      <c r="Y159" s="204"/>
      <c r="Z159" s="205"/>
      <c r="AA159" s="201"/>
    </row>
    <row r="160" spans="1:27" ht="15.75" thickBot="1" x14ac:dyDescent="0.3">
      <c r="A160" s="206">
        <v>45920</v>
      </c>
      <c r="B160" s="207">
        <v>5</v>
      </c>
      <c r="C160" s="208"/>
      <c r="D160" s="207" t="s">
        <v>91</v>
      </c>
      <c r="E160" s="209">
        <v>2.5499999999999998</v>
      </c>
      <c r="F160" s="210">
        <v>2</v>
      </c>
      <c r="G160" s="210">
        <v>1</v>
      </c>
      <c r="H160" s="211">
        <v>1.8</v>
      </c>
      <c r="I160" s="208"/>
      <c r="J160" s="207" t="s">
        <v>227</v>
      </c>
      <c r="K160" s="235"/>
      <c r="L160" s="198"/>
      <c r="M160" s="199" t="s">
        <v>227</v>
      </c>
      <c r="N160" s="199" t="s">
        <v>298</v>
      </c>
      <c r="O160" s="199" t="s">
        <v>86</v>
      </c>
      <c r="P160" s="199" t="s">
        <v>707</v>
      </c>
      <c r="Q160" s="200">
        <v>87</v>
      </c>
      <c r="R160" s="199"/>
      <c r="S160" s="199"/>
      <c r="T160" s="201"/>
      <c r="U160" s="202"/>
      <c r="V160" s="203"/>
      <c r="W160" s="203">
        <v>2</v>
      </c>
      <c r="X160" s="199"/>
      <c r="Y160" s="204"/>
      <c r="Z160" s="205"/>
      <c r="AA160" s="201"/>
    </row>
    <row r="161" spans="1:27" x14ac:dyDescent="0.25">
      <c r="A161" s="143">
        <v>45927</v>
      </c>
      <c r="B161" s="144">
        <v>7</v>
      </c>
      <c r="C161" s="145"/>
      <c r="D161" s="144" t="s">
        <v>91</v>
      </c>
      <c r="E161" s="146">
        <v>1.22</v>
      </c>
      <c r="F161" s="147">
        <v>1</v>
      </c>
      <c r="G161" s="147">
        <v>0</v>
      </c>
      <c r="H161" s="148">
        <v>1.44</v>
      </c>
      <c r="I161" s="145"/>
      <c r="J161" s="144" t="s">
        <v>170</v>
      </c>
      <c r="K161" s="149"/>
      <c r="L161" s="150">
        <v>17</v>
      </c>
      <c r="M161" s="26" t="s">
        <v>170</v>
      </c>
      <c r="N161" s="26" t="s">
        <v>296</v>
      </c>
      <c r="O161" s="26" t="s">
        <v>297</v>
      </c>
      <c r="P161" s="26" t="s">
        <v>699</v>
      </c>
      <c r="Q161" s="213">
        <v>62</v>
      </c>
      <c r="R161" s="26" t="s">
        <v>41</v>
      </c>
      <c r="S161" s="26" t="s">
        <v>42</v>
      </c>
      <c r="T161" s="43" t="s">
        <v>33</v>
      </c>
      <c r="U161" s="171">
        <v>0.45</v>
      </c>
      <c r="V161" s="146">
        <v>0.37</v>
      </c>
      <c r="W161" s="146" t="s">
        <v>353</v>
      </c>
      <c r="X161" s="144" t="s">
        <v>48</v>
      </c>
      <c r="Y161" s="172" t="s">
        <v>28</v>
      </c>
      <c r="Z161" s="173"/>
      <c r="AA161" s="174"/>
    </row>
    <row r="162" spans="1:27" x14ac:dyDescent="0.25">
      <c r="A162" s="143">
        <v>45927</v>
      </c>
      <c r="B162" s="144">
        <v>7</v>
      </c>
      <c r="C162" s="145"/>
      <c r="D162" s="144" t="s">
        <v>91</v>
      </c>
      <c r="E162" s="146">
        <v>1.22</v>
      </c>
      <c r="F162" s="147">
        <v>1</v>
      </c>
      <c r="G162" s="147">
        <v>0</v>
      </c>
      <c r="H162" s="148">
        <v>1.44</v>
      </c>
      <c r="I162" s="145"/>
      <c r="J162" s="144" t="s">
        <v>170</v>
      </c>
      <c r="K162" s="149"/>
      <c r="L162" s="150">
        <v>18</v>
      </c>
      <c r="M162" s="61" t="s">
        <v>91</v>
      </c>
      <c r="N162" s="61" t="s">
        <v>96</v>
      </c>
      <c r="O162" s="61" t="s">
        <v>97</v>
      </c>
      <c r="P162" s="61" t="s">
        <v>718</v>
      </c>
      <c r="Q162" s="218">
        <v>77</v>
      </c>
      <c r="R162" s="61" t="s">
        <v>47</v>
      </c>
      <c r="S162" s="61" t="s">
        <v>43</v>
      </c>
      <c r="T162" s="63" t="s">
        <v>10</v>
      </c>
      <c r="U162" s="171">
        <v>0.36</v>
      </c>
      <c r="V162" s="146">
        <v>0.27</v>
      </c>
      <c r="W162" s="146" t="s">
        <v>353</v>
      </c>
      <c r="X162" s="144" t="s">
        <v>48</v>
      </c>
      <c r="Y162" s="172" t="s">
        <v>28</v>
      </c>
      <c r="Z162" s="173"/>
      <c r="AA162" s="174"/>
    </row>
    <row r="163" spans="1:27" x14ac:dyDescent="0.25">
      <c r="A163" s="143">
        <v>45927</v>
      </c>
      <c r="B163" s="144">
        <v>7</v>
      </c>
      <c r="C163" s="145"/>
      <c r="D163" s="144" t="s">
        <v>91</v>
      </c>
      <c r="E163" s="146">
        <v>1.22</v>
      </c>
      <c r="F163" s="147">
        <v>1</v>
      </c>
      <c r="G163" s="147">
        <v>0</v>
      </c>
      <c r="H163" s="148">
        <v>1.44</v>
      </c>
      <c r="I163" s="145"/>
      <c r="J163" s="144" t="s">
        <v>170</v>
      </c>
      <c r="K163" s="149"/>
      <c r="L163" s="150">
        <v>28</v>
      </c>
      <c r="M163" s="61" t="s">
        <v>91</v>
      </c>
      <c r="N163" s="61" t="s">
        <v>443</v>
      </c>
      <c r="O163" s="61" t="s">
        <v>444</v>
      </c>
      <c r="P163" s="61" t="s">
        <v>717</v>
      </c>
      <c r="Q163" s="218">
        <v>62</v>
      </c>
      <c r="R163" s="61" t="s">
        <v>47</v>
      </c>
      <c r="S163" s="61" t="s">
        <v>42</v>
      </c>
      <c r="T163" s="63" t="s">
        <v>10</v>
      </c>
      <c r="U163" s="171">
        <v>0.18</v>
      </c>
      <c r="V163" s="146">
        <v>0.56000000000000005</v>
      </c>
      <c r="W163" s="146" t="s">
        <v>353</v>
      </c>
      <c r="X163" s="144" t="s">
        <v>48</v>
      </c>
      <c r="Y163" s="172" t="s">
        <v>28</v>
      </c>
      <c r="Z163" s="173"/>
      <c r="AA163" s="174"/>
    </row>
    <row r="164" spans="1:27" x14ac:dyDescent="0.25">
      <c r="A164" s="143">
        <v>45927</v>
      </c>
      <c r="B164" s="144">
        <v>7</v>
      </c>
      <c r="C164" s="145"/>
      <c r="D164" s="144" t="s">
        <v>91</v>
      </c>
      <c r="E164" s="146">
        <v>1.22</v>
      </c>
      <c r="F164" s="147">
        <v>1</v>
      </c>
      <c r="G164" s="147">
        <v>0</v>
      </c>
      <c r="H164" s="148">
        <v>1.44</v>
      </c>
      <c r="I164" s="145"/>
      <c r="J164" s="144" t="s">
        <v>170</v>
      </c>
      <c r="K164" s="149"/>
      <c r="L164" s="150">
        <v>56</v>
      </c>
      <c r="M164" s="61" t="s">
        <v>91</v>
      </c>
      <c r="N164" s="61" t="s">
        <v>96</v>
      </c>
      <c r="O164" s="61" t="s">
        <v>97</v>
      </c>
      <c r="P164" s="61" t="s">
        <v>718</v>
      </c>
      <c r="Q164" s="218">
        <v>77</v>
      </c>
      <c r="R164" s="61" t="s">
        <v>41</v>
      </c>
      <c r="S164" s="61" t="s">
        <v>43</v>
      </c>
      <c r="T164" s="63" t="s">
        <v>10</v>
      </c>
      <c r="U164" s="171">
        <v>0.11</v>
      </c>
      <c r="V164" s="146" t="s">
        <v>53</v>
      </c>
      <c r="W164" s="146" t="s">
        <v>353</v>
      </c>
      <c r="X164" s="144" t="s">
        <v>13</v>
      </c>
      <c r="Y164" s="172" t="s">
        <v>28</v>
      </c>
      <c r="Z164" s="173"/>
      <c r="AA164" s="174"/>
    </row>
    <row r="165" spans="1:27" x14ac:dyDescent="0.25">
      <c r="A165" s="143">
        <v>45927</v>
      </c>
      <c r="B165" s="144">
        <v>7</v>
      </c>
      <c r="C165" s="145"/>
      <c r="D165" s="144" t="s">
        <v>91</v>
      </c>
      <c r="E165" s="146">
        <v>1.22</v>
      </c>
      <c r="F165" s="147">
        <v>1</v>
      </c>
      <c r="G165" s="147">
        <v>0</v>
      </c>
      <c r="H165" s="148">
        <v>1.44</v>
      </c>
      <c r="I165" s="145"/>
      <c r="J165" s="144" t="s">
        <v>170</v>
      </c>
      <c r="K165" s="149"/>
      <c r="L165" s="150">
        <v>60</v>
      </c>
      <c r="M165" s="26" t="s">
        <v>170</v>
      </c>
      <c r="N165" s="26" t="s">
        <v>296</v>
      </c>
      <c r="O165" s="26" t="s">
        <v>297</v>
      </c>
      <c r="P165" s="26" t="s">
        <v>699</v>
      </c>
      <c r="Q165" s="213">
        <v>62</v>
      </c>
      <c r="R165" s="26" t="s">
        <v>47</v>
      </c>
      <c r="S165" s="26" t="s">
        <v>42</v>
      </c>
      <c r="T165" s="43" t="s">
        <v>10</v>
      </c>
      <c r="U165" s="171">
        <v>0.2</v>
      </c>
      <c r="V165" s="146" t="s">
        <v>53</v>
      </c>
      <c r="W165" s="146" t="s">
        <v>353</v>
      </c>
      <c r="X165" s="144" t="s">
        <v>13</v>
      </c>
      <c r="Y165" s="172" t="s">
        <v>28</v>
      </c>
      <c r="Z165" s="173"/>
      <c r="AA165" s="174"/>
    </row>
    <row r="166" spans="1:27" ht="15.75" thickBot="1" x14ac:dyDescent="0.3">
      <c r="A166" s="206">
        <v>45927</v>
      </c>
      <c r="B166" s="207">
        <v>7</v>
      </c>
      <c r="C166" s="208"/>
      <c r="D166" s="207" t="s">
        <v>91</v>
      </c>
      <c r="E166" s="209">
        <v>1.22</v>
      </c>
      <c r="F166" s="210">
        <v>1</v>
      </c>
      <c r="G166" s="210">
        <v>0</v>
      </c>
      <c r="H166" s="211">
        <v>1.44</v>
      </c>
      <c r="I166" s="208"/>
      <c r="J166" s="207" t="s">
        <v>170</v>
      </c>
      <c r="K166" s="235"/>
      <c r="L166" s="198"/>
      <c r="M166" s="199" t="s">
        <v>91</v>
      </c>
      <c r="N166" s="199" t="s">
        <v>351</v>
      </c>
      <c r="O166" s="199" t="s">
        <v>54</v>
      </c>
      <c r="P166" s="199" t="s">
        <v>707</v>
      </c>
      <c r="Q166" s="200">
        <v>76</v>
      </c>
      <c r="R166" s="199"/>
      <c r="S166" s="199"/>
      <c r="T166" s="201"/>
      <c r="U166" s="202"/>
      <c r="V166" s="203"/>
      <c r="W166" s="203">
        <v>0</v>
      </c>
      <c r="X166" s="199"/>
      <c r="Y166" s="204"/>
      <c r="Z166" s="205"/>
      <c r="AA166" s="201"/>
    </row>
    <row r="167" spans="1:27" ht="15.75" thickBot="1" x14ac:dyDescent="0.3">
      <c r="A167" s="206">
        <v>45927</v>
      </c>
      <c r="B167" s="207">
        <v>7</v>
      </c>
      <c r="C167" s="208"/>
      <c r="D167" s="207" t="s">
        <v>91</v>
      </c>
      <c r="E167" s="209">
        <v>1.22</v>
      </c>
      <c r="F167" s="210">
        <v>1</v>
      </c>
      <c r="G167" s="210">
        <v>0</v>
      </c>
      <c r="H167" s="211">
        <v>1.44</v>
      </c>
      <c r="I167" s="208"/>
      <c r="J167" s="207" t="s">
        <v>170</v>
      </c>
      <c r="K167" s="235"/>
      <c r="L167" s="198"/>
      <c r="M167" s="199" t="s">
        <v>170</v>
      </c>
      <c r="N167" s="199" t="s">
        <v>269</v>
      </c>
      <c r="O167" s="199" t="s">
        <v>722</v>
      </c>
      <c r="P167" s="199" t="s">
        <v>707</v>
      </c>
      <c r="Q167" s="200">
        <v>71</v>
      </c>
      <c r="R167" s="199"/>
      <c r="S167" s="199"/>
      <c r="T167" s="201"/>
      <c r="U167" s="202"/>
      <c r="V167" s="203"/>
      <c r="W167" s="203">
        <v>1</v>
      </c>
      <c r="X167" s="199"/>
      <c r="Y167" s="204"/>
      <c r="Z167" s="205"/>
      <c r="AA167" s="201"/>
    </row>
    <row r="168" spans="1:27" x14ac:dyDescent="0.25">
      <c r="A168" s="31">
        <v>45887</v>
      </c>
      <c r="B168" s="17">
        <v>1</v>
      </c>
      <c r="C168" s="123" t="s">
        <v>692</v>
      </c>
      <c r="D168" s="17" t="s">
        <v>208</v>
      </c>
      <c r="E168" s="18">
        <v>0.64</v>
      </c>
      <c r="F168" s="19">
        <v>1</v>
      </c>
      <c r="G168" s="19">
        <v>1</v>
      </c>
      <c r="H168" s="20">
        <v>1.86</v>
      </c>
      <c r="I168" s="123" t="s">
        <v>693</v>
      </c>
      <c r="J168" s="17" t="s">
        <v>209</v>
      </c>
      <c r="K168" s="46"/>
      <c r="L168" s="96">
        <v>21</v>
      </c>
      <c r="M168" s="77" t="s">
        <v>209</v>
      </c>
      <c r="N168" s="77" t="s">
        <v>214</v>
      </c>
      <c r="O168" s="77" t="s">
        <v>215</v>
      </c>
      <c r="P168" s="77" t="s">
        <v>686</v>
      </c>
      <c r="Q168" s="220">
        <v>78</v>
      </c>
      <c r="R168" s="77" t="s">
        <v>41</v>
      </c>
      <c r="S168" s="77" t="s">
        <v>43</v>
      </c>
      <c r="T168" s="78" t="s">
        <v>10</v>
      </c>
      <c r="U168" s="53">
        <v>0.94</v>
      </c>
      <c r="V168" s="18">
        <v>0.99</v>
      </c>
      <c r="W168" s="18" t="s">
        <v>353</v>
      </c>
      <c r="X168" s="17" t="s">
        <v>8</v>
      </c>
      <c r="Y168" s="114" t="s">
        <v>9</v>
      </c>
      <c r="Z168" s="110" t="s">
        <v>218</v>
      </c>
      <c r="AA168" s="60" t="s">
        <v>219</v>
      </c>
    </row>
    <row r="169" spans="1:27" x14ac:dyDescent="0.25">
      <c r="A169" s="29">
        <v>45887</v>
      </c>
      <c r="B169" s="5">
        <v>1</v>
      </c>
      <c r="D169" s="5" t="s">
        <v>208</v>
      </c>
      <c r="E169" s="6">
        <v>0.64</v>
      </c>
      <c r="F169" s="7">
        <v>1</v>
      </c>
      <c r="G169" s="7">
        <v>1</v>
      </c>
      <c r="H169" s="8">
        <v>1.86</v>
      </c>
      <c r="J169" s="5" t="s">
        <v>209</v>
      </c>
      <c r="L169" s="56">
        <v>63</v>
      </c>
      <c r="M169" s="61" t="s">
        <v>208</v>
      </c>
      <c r="N169" s="61" t="s">
        <v>74</v>
      </c>
      <c r="O169" s="61" t="s">
        <v>211</v>
      </c>
      <c r="P169" s="61" t="s">
        <v>684</v>
      </c>
      <c r="Q169" s="218">
        <v>64</v>
      </c>
      <c r="R169" s="61" t="s">
        <v>47</v>
      </c>
      <c r="S169" s="61" t="s">
        <v>43</v>
      </c>
      <c r="T169" s="63" t="s">
        <v>10</v>
      </c>
      <c r="U169" s="51">
        <v>0.25</v>
      </c>
      <c r="V169" s="6" t="s">
        <v>53</v>
      </c>
      <c r="W169" s="6" t="s">
        <v>353</v>
      </c>
      <c r="X169" s="5" t="s">
        <v>55</v>
      </c>
      <c r="Y169" s="112" t="s">
        <v>9</v>
      </c>
    </row>
    <row r="170" spans="1:27" x14ac:dyDescent="0.25">
      <c r="A170" s="29">
        <v>45887</v>
      </c>
      <c r="B170" s="5">
        <v>1</v>
      </c>
      <c r="D170" s="5" t="s">
        <v>208</v>
      </c>
      <c r="E170" s="6">
        <v>0.64</v>
      </c>
      <c r="F170" s="7">
        <v>1</v>
      </c>
      <c r="G170" s="7">
        <v>1</v>
      </c>
      <c r="H170" s="8">
        <v>1.86</v>
      </c>
      <c r="J170" s="5" t="s">
        <v>209</v>
      </c>
      <c r="L170" s="56">
        <v>65</v>
      </c>
      <c r="M170" s="26" t="s">
        <v>209</v>
      </c>
      <c r="N170" s="26" t="s">
        <v>220</v>
      </c>
      <c r="O170" s="26" t="s">
        <v>221</v>
      </c>
      <c r="P170" s="26" t="s">
        <v>684</v>
      </c>
      <c r="Q170" s="213">
        <v>61</v>
      </c>
      <c r="R170" s="26" t="s">
        <v>41</v>
      </c>
      <c r="S170" s="26" t="s">
        <v>42</v>
      </c>
      <c r="T170" s="43" t="s">
        <v>10</v>
      </c>
      <c r="U170" s="51">
        <v>0.25</v>
      </c>
      <c r="V170" s="6" t="s">
        <v>53</v>
      </c>
      <c r="W170" s="6" t="s">
        <v>353</v>
      </c>
      <c r="X170" s="5" t="s">
        <v>22</v>
      </c>
      <c r="Y170" s="112" t="s">
        <v>9</v>
      </c>
    </row>
    <row r="171" spans="1:27" ht="15.75" thickBot="1" x14ac:dyDescent="0.3">
      <c r="A171" s="30">
        <v>45887</v>
      </c>
      <c r="B171" s="9">
        <v>1</v>
      </c>
      <c r="C171" s="122"/>
      <c r="D171" s="9" t="s">
        <v>208</v>
      </c>
      <c r="E171" s="10">
        <v>0.64</v>
      </c>
      <c r="F171" s="11">
        <v>1</v>
      </c>
      <c r="G171" s="11">
        <v>1</v>
      </c>
      <c r="H171" s="12">
        <v>1.86</v>
      </c>
      <c r="I171" s="122"/>
      <c r="J171" s="9" t="s">
        <v>209</v>
      </c>
      <c r="K171" s="45"/>
      <c r="L171" s="97">
        <v>81</v>
      </c>
      <c r="M171" s="66" t="s">
        <v>208</v>
      </c>
      <c r="N171" s="66" t="s">
        <v>212</v>
      </c>
      <c r="O171" s="66" t="s">
        <v>213</v>
      </c>
      <c r="P171" s="66" t="s">
        <v>686</v>
      </c>
      <c r="Q171" s="219">
        <v>77</v>
      </c>
      <c r="R171" s="66" t="s">
        <v>41</v>
      </c>
      <c r="S171" s="66" t="s">
        <v>42</v>
      </c>
      <c r="T171" s="67" t="s">
        <v>10</v>
      </c>
      <c r="U171" s="52">
        <v>0.2</v>
      </c>
      <c r="V171" s="10">
        <v>0.71</v>
      </c>
      <c r="W171" s="10" t="s">
        <v>353</v>
      </c>
      <c r="X171" s="9" t="s">
        <v>8</v>
      </c>
      <c r="Y171" s="113" t="s">
        <v>51</v>
      </c>
      <c r="Z171" s="109" t="s">
        <v>466</v>
      </c>
      <c r="AA171" s="58" t="s">
        <v>467</v>
      </c>
    </row>
    <row r="172" spans="1:27" ht="15.75" thickBot="1" x14ac:dyDescent="0.3">
      <c r="A172" s="206">
        <v>45887</v>
      </c>
      <c r="B172" s="207">
        <v>1</v>
      </c>
      <c r="C172" s="208"/>
      <c r="D172" s="207" t="s">
        <v>208</v>
      </c>
      <c r="E172" s="209">
        <v>0.64</v>
      </c>
      <c r="F172" s="210">
        <v>1</v>
      </c>
      <c r="G172" s="210">
        <v>1</v>
      </c>
      <c r="H172" s="211">
        <v>1.86</v>
      </c>
      <c r="I172" s="208"/>
      <c r="J172" s="207" t="s">
        <v>209</v>
      </c>
      <c r="K172" s="197"/>
      <c r="L172" s="198"/>
      <c r="M172" s="199" t="s">
        <v>208</v>
      </c>
      <c r="N172" s="199" t="s">
        <v>433</v>
      </c>
      <c r="O172" s="199" t="s">
        <v>725</v>
      </c>
      <c r="P172" s="199" t="s">
        <v>707</v>
      </c>
      <c r="Q172" s="200">
        <v>78</v>
      </c>
      <c r="R172" s="199"/>
      <c r="S172" s="199"/>
      <c r="T172" s="201"/>
      <c r="U172" s="202"/>
      <c r="V172" s="203"/>
      <c r="W172" s="203">
        <v>1</v>
      </c>
      <c r="X172" s="199"/>
      <c r="Y172" s="204"/>
      <c r="Z172" s="205"/>
      <c r="AA172" s="201"/>
    </row>
    <row r="173" spans="1:27" ht="15.75" thickBot="1" x14ac:dyDescent="0.3">
      <c r="A173" s="206">
        <v>45887</v>
      </c>
      <c r="B173" s="207">
        <v>1</v>
      </c>
      <c r="C173" s="208"/>
      <c r="D173" s="207" t="s">
        <v>208</v>
      </c>
      <c r="E173" s="209">
        <v>0.64</v>
      </c>
      <c r="F173" s="210">
        <v>1</v>
      </c>
      <c r="G173" s="210">
        <v>1</v>
      </c>
      <c r="H173" s="211">
        <v>1.86</v>
      </c>
      <c r="I173" s="208"/>
      <c r="J173" s="207" t="s">
        <v>209</v>
      </c>
      <c r="K173" s="197"/>
      <c r="L173" s="198"/>
      <c r="M173" s="199" t="s">
        <v>209</v>
      </c>
      <c r="N173" s="199" t="s">
        <v>447</v>
      </c>
      <c r="O173" s="199" t="s">
        <v>150</v>
      </c>
      <c r="P173" s="199" t="s">
        <v>707</v>
      </c>
      <c r="Q173" s="200">
        <v>62</v>
      </c>
      <c r="R173" s="199"/>
      <c r="S173" s="199"/>
      <c r="T173" s="201"/>
      <c r="U173" s="202"/>
      <c r="V173" s="203"/>
      <c r="W173" s="203">
        <v>1</v>
      </c>
      <c r="X173" s="199"/>
      <c r="Y173" s="204"/>
      <c r="Z173" s="205"/>
      <c r="AA173" s="201"/>
    </row>
    <row r="174" spans="1:27" x14ac:dyDescent="0.25">
      <c r="A174" s="29">
        <v>45896</v>
      </c>
      <c r="B174" s="5">
        <v>6</v>
      </c>
      <c r="D174" s="5" t="s">
        <v>456</v>
      </c>
      <c r="E174" s="6">
        <v>0.83</v>
      </c>
      <c r="F174" s="7">
        <v>1</v>
      </c>
      <c r="G174" s="7">
        <v>1</v>
      </c>
      <c r="H174" s="8">
        <v>0.33</v>
      </c>
      <c r="J174" s="5" t="s">
        <v>209</v>
      </c>
      <c r="L174" s="56">
        <v>17</v>
      </c>
      <c r="M174" s="61" t="s">
        <v>456</v>
      </c>
      <c r="N174" s="61" t="s">
        <v>278</v>
      </c>
      <c r="O174" s="61" t="s">
        <v>211</v>
      </c>
      <c r="P174" s="61" t="s">
        <v>713</v>
      </c>
      <c r="Q174" s="218">
        <v>61</v>
      </c>
      <c r="R174" s="61" t="s">
        <v>41</v>
      </c>
      <c r="S174" s="61" t="s">
        <v>45</v>
      </c>
      <c r="T174" s="63" t="s">
        <v>20</v>
      </c>
      <c r="U174" s="51" t="s">
        <v>358</v>
      </c>
      <c r="V174" s="6" t="s">
        <v>53</v>
      </c>
      <c r="W174" s="6" t="s">
        <v>353</v>
      </c>
      <c r="X174" s="5" t="s">
        <v>13</v>
      </c>
      <c r="Y174" s="112" t="s">
        <v>28</v>
      </c>
    </row>
    <row r="175" spans="1:27" x14ac:dyDescent="0.25">
      <c r="A175" s="29">
        <v>45896</v>
      </c>
      <c r="B175" s="5">
        <v>6</v>
      </c>
      <c r="D175" s="5" t="s">
        <v>456</v>
      </c>
      <c r="E175" s="6">
        <v>0.83</v>
      </c>
      <c r="F175" s="7">
        <v>1</v>
      </c>
      <c r="G175" s="7">
        <v>1</v>
      </c>
      <c r="H175" s="8">
        <v>0.33</v>
      </c>
      <c r="J175" s="5" t="s">
        <v>209</v>
      </c>
      <c r="L175" s="56">
        <v>37</v>
      </c>
      <c r="M175" s="26" t="s">
        <v>209</v>
      </c>
      <c r="N175" s="26" t="s">
        <v>218</v>
      </c>
      <c r="O175" s="26" t="s">
        <v>219</v>
      </c>
      <c r="P175" s="26" t="s">
        <v>685</v>
      </c>
      <c r="Q175" s="213">
        <v>66</v>
      </c>
      <c r="R175" s="26" t="s">
        <v>41</v>
      </c>
      <c r="S175" s="26" t="s">
        <v>42</v>
      </c>
      <c r="T175" s="43" t="s">
        <v>10</v>
      </c>
      <c r="U175" s="51">
        <v>0.14000000000000001</v>
      </c>
      <c r="V175" s="6" t="s">
        <v>53</v>
      </c>
      <c r="W175" s="6" t="s">
        <v>353</v>
      </c>
      <c r="X175" s="5" t="s">
        <v>48</v>
      </c>
      <c r="Y175" s="112" t="s">
        <v>28</v>
      </c>
    </row>
    <row r="176" spans="1:27" x14ac:dyDescent="0.25">
      <c r="A176" s="29">
        <v>45896</v>
      </c>
      <c r="B176" s="5">
        <v>6</v>
      </c>
      <c r="D176" s="5" t="s">
        <v>456</v>
      </c>
      <c r="E176" s="6">
        <v>0.83</v>
      </c>
      <c r="F176" s="7">
        <v>1</v>
      </c>
      <c r="G176" s="7">
        <v>1</v>
      </c>
      <c r="H176" s="8">
        <v>0.33</v>
      </c>
      <c r="J176" s="5" t="s">
        <v>209</v>
      </c>
      <c r="L176" s="56">
        <v>45</v>
      </c>
      <c r="M176" s="26" t="s">
        <v>209</v>
      </c>
      <c r="N176" s="26" t="s">
        <v>337</v>
      </c>
      <c r="O176" s="26" t="s">
        <v>338</v>
      </c>
      <c r="P176" s="26" t="s">
        <v>713</v>
      </c>
      <c r="Q176" s="213">
        <v>85</v>
      </c>
      <c r="R176" s="26" t="s">
        <v>41</v>
      </c>
      <c r="S176" s="26" t="s">
        <v>45</v>
      </c>
      <c r="T176" s="43" t="s">
        <v>20</v>
      </c>
      <c r="U176" s="51">
        <v>7.0000000000000007E-2</v>
      </c>
      <c r="V176" s="6">
        <v>0.44</v>
      </c>
      <c r="W176" s="6" t="s">
        <v>353</v>
      </c>
      <c r="X176" s="5" t="s">
        <v>8</v>
      </c>
      <c r="Y176" s="112" t="s">
        <v>9</v>
      </c>
      <c r="Z176" s="108" t="s">
        <v>222</v>
      </c>
      <c r="AA176" s="57" t="s">
        <v>223</v>
      </c>
    </row>
    <row r="177" spans="1:27" x14ac:dyDescent="0.25">
      <c r="A177" s="29">
        <v>45896</v>
      </c>
      <c r="B177" s="5">
        <v>6</v>
      </c>
      <c r="D177" s="5" t="s">
        <v>456</v>
      </c>
      <c r="E177" s="6">
        <v>0.83</v>
      </c>
      <c r="F177" s="7">
        <v>1</v>
      </c>
      <c r="G177" s="7">
        <v>1</v>
      </c>
      <c r="H177" s="8">
        <v>0.33</v>
      </c>
      <c r="J177" s="5" t="s">
        <v>209</v>
      </c>
      <c r="L177" s="56">
        <v>84</v>
      </c>
      <c r="M177" s="61" t="s">
        <v>456</v>
      </c>
      <c r="N177" s="61" t="s">
        <v>118</v>
      </c>
      <c r="O177" s="61" t="s">
        <v>357</v>
      </c>
      <c r="P177" s="61" t="s">
        <v>696</v>
      </c>
      <c r="Q177" s="218">
        <v>62</v>
      </c>
      <c r="R177" s="61" t="s">
        <v>41</v>
      </c>
      <c r="S177" s="61" t="s">
        <v>45</v>
      </c>
      <c r="T177" s="63" t="s">
        <v>10</v>
      </c>
      <c r="U177" s="51">
        <v>0.14000000000000001</v>
      </c>
      <c r="V177" s="6">
        <v>0.35</v>
      </c>
      <c r="W177" s="6" t="s">
        <v>353</v>
      </c>
      <c r="X177" s="5" t="s">
        <v>48</v>
      </c>
      <c r="Y177" s="112" t="s">
        <v>51</v>
      </c>
    </row>
    <row r="178" spans="1:27" ht="15.75" thickBot="1" x14ac:dyDescent="0.3">
      <c r="A178" s="229">
        <v>45896</v>
      </c>
      <c r="B178" s="230">
        <v>6</v>
      </c>
      <c r="C178" s="231"/>
      <c r="D178" s="230" t="s">
        <v>456</v>
      </c>
      <c r="E178" s="232">
        <v>0.83</v>
      </c>
      <c r="F178" s="233">
        <v>1</v>
      </c>
      <c r="G178" s="233">
        <v>1</v>
      </c>
      <c r="H178" s="234">
        <v>0.33</v>
      </c>
      <c r="I178" s="231"/>
      <c r="J178" s="230" t="s">
        <v>209</v>
      </c>
      <c r="K178" s="197"/>
      <c r="L178" s="198"/>
      <c r="M178" s="199" t="s">
        <v>456</v>
      </c>
      <c r="N178" s="199" t="s">
        <v>719</v>
      </c>
      <c r="O178" s="199" t="s">
        <v>720</v>
      </c>
      <c r="P178" s="199" t="s">
        <v>707</v>
      </c>
      <c r="Q178" s="200">
        <v>66</v>
      </c>
      <c r="R178" s="199"/>
      <c r="S178" s="199"/>
      <c r="T178" s="201"/>
      <c r="U178" s="202"/>
      <c r="V178" s="203"/>
      <c r="W178" s="203">
        <v>1</v>
      </c>
      <c r="X178" s="199"/>
      <c r="Y178" s="204"/>
      <c r="Z178" s="205"/>
      <c r="AA178" s="201"/>
    </row>
    <row r="179" spans="1:27" ht="15.75" thickBot="1" x14ac:dyDescent="0.3">
      <c r="A179" s="229">
        <v>45896</v>
      </c>
      <c r="B179" s="230">
        <v>6</v>
      </c>
      <c r="C179" s="231"/>
      <c r="D179" s="230" t="s">
        <v>456</v>
      </c>
      <c r="E179" s="232">
        <v>0.83</v>
      </c>
      <c r="F179" s="233">
        <v>1</v>
      </c>
      <c r="G179" s="233">
        <v>1</v>
      </c>
      <c r="H179" s="234">
        <v>0.33</v>
      </c>
      <c r="I179" s="231"/>
      <c r="J179" s="230" t="s">
        <v>209</v>
      </c>
      <c r="K179" s="197"/>
      <c r="L179" s="198"/>
      <c r="M179" s="199" t="s">
        <v>209</v>
      </c>
      <c r="N179" s="199" t="s">
        <v>74</v>
      </c>
      <c r="O179" s="199" t="s">
        <v>730</v>
      </c>
      <c r="P179" s="199" t="s">
        <v>707</v>
      </c>
      <c r="Q179" s="200">
        <v>64</v>
      </c>
      <c r="R179" s="199"/>
      <c r="S179" s="199"/>
      <c r="T179" s="201"/>
      <c r="U179" s="202"/>
      <c r="V179" s="203"/>
      <c r="W179" s="203">
        <v>1</v>
      </c>
      <c r="X179" s="199"/>
      <c r="Y179" s="204"/>
      <c r="Z179" s="205"/>
      <c r="AA179" s="201"/>
    </row>
    <row r="180" spans="1:27" x14ac:dyDescent="0.25">
      <c r="A180" s="31">
        <v>45914</v>
      </c>
      <c r="B180" s="17">
        <v>4</v>
      </c>
      <c r="C180" s="123" t="s">
        <v>694</v>
      </c>
      <c r="D180" s="17" t="s">
        <v>129</v>
      </c>
      <c r="E180" s="18">
        <v>0.73</v>
      </c>
      <c r="F180" s="19">
        <v>2</v>
      </c>
      <c r="G180" s="19">
        <v>2</v>
      </c>
      <c r="H180" s="20">
        <v>2.12</v>
      </c>
      <c r="I180" s="123" t="s">
        <v>693</v>
      </c>
      <c r="J180" s="17" t="s">
        <v>209</v>
      </c>
      <c r="K180" s="46"/>
      <c r="L180" s="96">
        <v>2</v>
      </c>
      <c r="M180" s="64" t="s">
        <v>129</v>
      </c>
      <c r="N180" s="64" t="s">
        <v>59</v>
      </c>
      <c r="O180" s="64" t="s">
        <v>191</v>
      </c>
      <c r="P180" s="64" t="s">
        <v>718</v>
      </c>
      <c r="Q180" s="217">
        <v>76</v>
      </c>
      <c r="R180" s="64" t="s">
        <v>41</v>
      </c>
      <c r="S180" s="64" t="s">
        <v>42</v>
      </c>
      <c r="T180" s="65" t="s">
        <v>10</v>
      </c>
      <c r="U180" s="53">
        <v>0.33</v>
      </c>
      <c r="V180" s="18">
        <v>0.34</v>
      </c>
      <c r="W180" s="18" t="s">
        <v>353</v>
      </c>
      <c r="X180" s="17" t="s">
        <v>8</v>
      </c>
      <c r="Y180" s="114" t="s">
        <v>19</v>
      </c>
      <c r="Z180" s="110" t="s">
        <v>46</v>
      </c>
      <c r="AA180" s="60" t="s">
        <v>201</v>
      </c>
    </row>
    <row r="181" spans="1:27" x14ac:dyDescent="0.25">
      <c r="A181" s="29">
        <v>45914</v>
      </c>
      <c r="B181" s="5">
        <v>4</v>
      </c>
      <c r="D181" s="5" t="s">
        <v>129</v>
      </c>
      <c r="E181" s="6">
        <v>0.73</v>
      </c>
      <c r="F181" s="7">
        <v>2</v>
      </c>
      <c r="G181" s="7">
        <v>2</v>
      </c>
      <c r="H181" s="8">
        <v>2.12</v>
      </c>
      <c r="J181" s="5" t="s">
        <v>209</v>
      </c>
      <c r="L181" s="56">
        <v>10</v>
      </c>
      <c r="M181" s="61" t="s">
        <v>129</v>
      </c>
      <c r="N181" s="61" t="s">
        <v>104</v>
      </c>
      <c r="O181" s="61" t="s">
        <v>105</v>
      </c>
      <c r="P181" s="61" t="s">
        <v>717</v>
      </c>
      <c r="Q181" s="218">
        <v>74</v>
      </c>
      <c r="R181" s="61" t="s">
        <v>41</v>
      </c>
      <c r="S181" s="61" t="s">
        <v>42</v>
      </c>
      <c r="T181" s="63" t="s">
        <v>10</v>
      </c>
      <c r="U181" s="51">
        <v>0.31</v>
      </c>
      <c r="V181" s="6">
        <v>0.94</v>
      </c>
      <c r="W181" s="6" t="s">
        <v>353</v>
      </c>
      <c r="X181" s="5" t="s">
        <v>8</v>
      </c>
      <c r="Y181" s="112" t="s">
        <v>24</v>
      </c>
      <c r="Z181" s="108" t="s">
        <v>241</v>
      </c>
      <c r="AA181" s="57" t="s">
        <v>131</v>
      </c>
    </row>
    <row r="182" spans="1:27" x14ac:dyDescent="0.25">
      <c r="A182" s="29">
        <v>45914</v>
      </c>
      <c r="B182" s="5">
        <v>4</v>
      </c>
      <c r="D182" s="5" t="s">
        <v>129</v>
      </c>
      <c r="E182" s="6">
        <v>0.73</v>
      </c>
      <c r="F182" s="7">
        <v>2</v>
      </c>
      <c r="G182" s="7">
        <v>2</v>
      </c>
      <c r="H182" s="8">
        <v>2.12</v>
      </c>
      <c r="J182" s="5" t="s">
        <v>209</v>
      </c>
      <c r="L182" s="56">
        <v>75</v>
      </c>
      <c r="M182" s="26" t="s">
        <v>209</v>
      </c>
      <c r="N182" s="26" t="s">
        <v>421</v>
      </c>
      <c r="O182" s="26" t="s">
        <v>422</v>
      </c>
      <c r="P182" s="26" t="s">
        <v>712</v>
      </c>
      <c r="Q182" s="213">
        <v>72</v>
      </c>
      <c r="R182" s="26" t="s">
        <v>41</v>
      </c>
      <c r="S182" s="26" t="s">
        <v>45</v>
      </c>
      <c r="T182" s="43" t="s">
        <v>20</v>
      </c>
      <c r="U182" s="51">
        <v>0.09</v>
      </c>
      <c r="V182" s="6">
        <v>0.02</v>
      </c>
      <c r="W182" s="6" t="s">
        <v>353</v>
      </c>
      <c r="X182" s="5" t="s">
        <v>48</v>
      </c>
      <c r="Y182" s="112" t="s">
        <v>34</v>
      </c>
    </row>
    <row r="183" spans="1:27" x14ac:dyDescent="0.25">
      <c r="A183" s="29">
        <v>45914</v>
      </c>
      <c r="B183" s="5">
        <v>4</v>
      </c>
      <c r="D183" s="5" t="s">
        <v>129</v>
      </c>
      <c r="E183" s="6">
        <v>0.73</v>
      </c>
      <c r="F183" s="7">
        <v>2</v>
      </c>
      <c r="G183" s="7">
        <v>2</v>
      </c>
      <c r="H183" s="8">
        <v>2.12</v>
      </c>
      <c r="J183" s="5" t="s">
        <v>209</v>
      </c>
      <c r="L183" s="56">
        <v>81</v>
      </c>
      <c r="M183" s="26" t="s">
        <v>209</v>
      </c>
      <c r="N183" s="26" t="s">
        <v>241</v>
      </c>
      <c r="O183" s="26" t="s">
        <v>396</v>
      </c>
      <c r="P183" s="26" t="s">
        <v>687</v>
      </c>
      <c r="Q183" s="213">
        <v>79</v>
      </c>
      <c r="R183" s="26" t="s">
        <v>41</v>
      </c>
      <c r="S183" s="26" t="s">
        <v>45</v>
      </c>
      <c r="T183" s="43" t="s">
        <v>10</v>
      </c>
      <c r="U183" s="51">
        <v>0.35</v>
      </c>
      <c r="V183" s="6">
        <v>0.56999999999999995</v>
      </c>
      <c r="W183" s="6" t="s">
        <v>353</v>
      </c>
      <c r="X183" s="5" t="s">
        <v>8</v>
      </c>
      <c r="Y183" s="112" t="s">
        <v>189</v>
      </c>
      <c r="Z183" s="108" t="s">
        <v>660</v>
      </c>
      <c r="AA183" s="57" t="s">
        <v>425</v>
      </c>
    </row>
    <row r="184" spans="1:27" x14ac:dyDescent="0.25">
      <c r="A184" s="29">
        <v>45914</v>
      </c>
      <c r="B184" s="5">
        <v>4</v>
      </c>
      <c r="D184" s="5" t="s">
        <v>129</v>
      </c>
      <c r="E184" s="6">
        <v>0.73</v>
      </c>
      <c r="F184" s="7">
        <v>2</v>
      </c>
      <c r="G184" s="7">
        <v>2</v>
      </c>
      <c r="H184" s="8">
        <v>2.12</v>
      </c>
      <c r="J184" s="5" t="s">
        <v>209</v>
      </c>
      <c r="L184" s="56">
        <v>89</v>
      </c>
      <c r="M184" s="26" t="s">
        <v>209</v>
      </c>
      <c r="N184" s="26" t="s">
        <v>222</v>
      </c>
      <c r="O184" s="26" t="s">
        <v>223</v>
      </c>
      <c r="P184" s="26" t="s">
        <v>696</v>
      </c>
      <c r="Q184" s="213">
        <v>69</v>
      </c>
      <c r="R184" s="26" t="s">
        <v>41</v>
      </c>
      <c r="S184" s="26" t="s">
        <v>43</v>
      </c>
      <c r="T184" s="43" t="s">
        <v>10</v>
      </c>
      <c r="U184" s="51">
        <v>7.0000000000000007E-2</v>
      </c>
      <c r="V184" s="6">
        <v>0.45</v>
      </c>
      <c r="W184" s="6" t="s">
        <v>353</v>
      </c>
      <c r="X184" s="5" t="s">
        <v>48</v>
      </c>
      <c r="Y184" s="112" t="s">
        <v>189</v>
      </c>
    </row>
    <row r="185" spans="1:27" ht="15.75" thickBot="1" x14ac:dyDescent="0.3">
      <c r="A185" s="206">
        <v>45914</v>
      </c>
      <c r="B185" s="207">
        <v>4</v>
      </c>
      <c r="C185" s="208"/>
      <c r="D185" s="207" t="s">
        <v>129</v>
      </c>
      <c r="E185" s="209">
        <v>0.73</v>
      </c>
      <c r="F185" s="210">
        <v>2</v>
      </c>
      <c r="G185" s="210">
        <v>2</v>
      </c>
      <c r="H185" s="211">
        <v>2.12</v>
      </c>
      <c r="I185" s="208"/>
      <c r="J185" s="207" t="s">
        <v>209</v>
      </c>
      <c r="K185" s="235"/>
      <c r="L185" s="198"/>
      <c r="M185" s="199" t="s">
        <v>129</v>
      </c>
      <c r="N185" s="199" t="s">
        <v>731</v>
      </c>
      <c r="O185" s="199" t="s">
        <v>732</v>
      </c>
      <c r="P185" s="199" t="s">
        <v>707</v>
      </c>
      <c r="Q185" s="200">
        <v>78</v>
      </c>
      <c r="R185" s="199"/>
      <c r="S185" s="199"/>
      <c r="T185" s="201"/>
      <c r="U185" s="202"/>
      <c r="V185" s="203"/>
      <c r="W185" s="203">
        <v>2</v>
      </c>
      <c r="X185" s="199"/>
      <c r="Y185" s="204"/>
      <c r="Z185" s="205"/>
      <c r="AA185" s="201"/>
    </row>
    <row r="186" spans="1:27" ht="15.75" thickBot="1" x14ac:dyDescent="0.3">
      <c r="A186" s="206">
        <v>45914</v>
      </c>
      <c r="B186" s="207">
        <v>4</v>
      </c>
      <c r="C186" s="208"/>
      <c r="D186" s="207" t="s">
        <v>129</v>
      </c>
      <c r="E186" s="209">
        <v>0.73</v>
      </c>
      <c r="F186" s="210">
        <v>2</v>
      </c>
      <c r="G186" s="210">
        <v>2</v>
      </c>
      <c r="H186" s="211">
        <v>2.12</v>
      </c>
      <c r="I186" s="208"/>
      <c r="J186" s="207" t="s">
        <v>209</v>
      </c>
      <c r="K186" s="235"/>
      <c r="L186" s="198"/>
      <c r="M186" s="199" t="s">
        <v>209</v>
      </c>
      <c r="N186" s="199" t="s">
        <v>74</v>
      </c>
      <c r="O186" s="199" t="s">
        <v>730</v>
      </c>
      <c r="P186" s="199" t="s">
        <v>707</v>
      </c>
      <c r="Q186" s="200">
        <v>58</v>
      </c>
      <c r="R186" s="199"/>
      <c r="S186" s="199"/>
      <c r="T186" s="201"/>
      <c r="U186" s="202"/>
      <c r="V186" s="203"/>
      <c r="W186" s="203">
        <v>2</v>
      </c>
      <c r="X186" s="199"/>
      <c r="Y186" s="204"/>
      <c r="Z186" s="205"/>
      <c r="AA186" s="201"/>
    </row>
    <row r="187" spans="1:27" x14ac:dyDescent="0.25">
      <c r="A187" s="29">
        <v>45935</v>
      </c>
      <c r="B187" s="5">
        <v>8</v>
      </c>
      <c r="D187" s="5" t="s">
        <v>192</v>
      </c>
      <c r="E187" s="6">
        <v>2.2400000000000002</v>
      </c>
      <c r="F187" s="7">
        <v>1</v>
      </c>
      <c r="G187" s="7">
        <v>2</v>
      </c>
      <c r="H187" s="8">
        <v>1.33</v>
      </c>
      <c r="J187" s="5" t="s">
        <v>209</v>
      </c>
      <c r="L187" s="56" t="s">
        <v>12</v>
      </c>
      <c r="M187" s="61" t="s">
        <v>192</v>
      </c>
      <c r="N187" s="61" t="s">
        <v>278</v>
      </c>
      <c r="O187" s="61" t="s">
        <v>279</v>
      </c>
      <c r="P187" s="61" t="s">
        <v>699</v>
      </c>
      <c r="Q187" s="218">
        <v>64</v>
      </c>
      <c r="R187" s="61" t="s">
        <v>47</v>
      </c>
      <c r="S187" s="61" t="s">
        <v>45</v>
      </c>
      <c r="T187" s="63" t="s">
        <v>20</v>
      </c>
      <c r="U187" s="51">
        <v>0.25</v>
      </c>
      <c r="V187" s="6" t="s">
        <v>53</v>
      </c>
      <c r="W187" s="6" t="s">
        <v>353</v>
      </c>
      <c r="X187" s="5" t="s">
        <v>16</v>
      </c>
      <c r="Y187" s="112" t="s">
        <v>19</v>
      </c>
    </row>
    <row r="188" spans="1:27" x14ac:dyDescent="0.25">
      <c r="A188" s="29">
        <v>45935</v>
      </c>
      <c r="B188" s="5">
        <v>8</v>
      </c>
      <c r="D188" s="5" t="s">
        <v>192</v>
      </c>
      <c r="E188" s="6">
        <v>2.2400000000000002</v>
      </c>
      <c r="F188" s="7">
        <v>1</v>
      </c>
      <c r="G188" s="7">
        <v>2</v>
      </c>
      <c r="H188" s="8">
        <v>1.33</v>
      </c>
      <c r="J188" s="5" t="s">
        <v>209</v>
      </c>
      <c r="L188" s="56">
        <v>49</v>
      </c>
      <c r="M188" s="26" t="s">
        <v>209</v>
      </c>
      <c r="N188" s="26" t="s">
        <v>424</v>
      </c>
      <c r="O188" s="26" t="s">
        <v>425</v>
      </c>
      <c r="P188" s="26" t="s">
        <v>685</v>
      </c>
      <c r="Q188" s="213">
        <v>83</v>
      </c>
      <c r="R188" s="26" t="s">
        <v>47</v>
      </c>
      <c r="S188" s="26" t="s">
        <v>45</v>
      </c>
      <c r="T188" s="43" t="s">
        <v>540</v>
      </c>
      <c r="U188" s="51">
        <v>0.27</v>
      </c>
      <c r="V188" s="6" t="s">
        <v>53</v>
      </c>
      <c r="W188" s="6" t="s">
        <v>353</v>
      </c>
      <c r="X188" s="5" t="s">
        <v>22</v>
      </c>
      <c r="Y188" s="112" t="s">
        <v>19</v>
      </c>
    </row>
    <row r="189" spans="1:27" x14ac:dyDescent="0.25">
      <c r="A189" s="29">
        <v>45935</v>
      </c>
      <c r="B189" s="5">
        <v>8</v>
      </c>
      <c r="D189" s="5" t="s">
        <v>192</v>
      </c>
      <c r="E189" s="6">
        <v>2.2400000000000002</v>
      </c>
      <c r="F189" s="7">
        <v>1</v>
      </c>
      <c r="G189" s="7">
        <v>2</v>
      </c>
      <c r="H189" s="8">
        <v>1.33</v>
      </c>
      <c r="J189" s="5" t="s">
        <v>209</v>
      </c>
      <c r="L189" s="56">
        <v>63</v>
      </c>
      <c r="M189" s="26" t="s">
        <v>209</v>
      </c>
      <c r="N189" s="26" t="s">
        <v>424</v>
      </c>
      <c r="O189" s="26" t="s">
        <v>425</v>
      </c>
      <c r="P189" s="26" t="s">
        <v>685</v>
      </c>
      <c r="Q189" s="213">
        <v>83</v>
      </c>
      <c r="R189" s="26" t="s">
        <v>41</v>
      </c>
      <c r="S189" s="26" t="s">
        <v>43</v>
      </c>
      <c r="T189" s="43" t="s">
        <v>18</v>
      </c>
      <c r="U189" s="51">
        <v>0.4</v>
      </c>
      <c r="V189" s="6">
        <v>0.75</v>
      </c>
      <c r="W189" s="6" t="s">
        <v>353</v>
      </c>
      <c r="X189" s="5" t="s">
        <v>8</v>
      </c>
      <c r="Y189" s="112" t="s">
        <v>67</v>
      </c>
      <c r="Z189" s="108" t="s">
        <v>241</v>
      </c>
      <c r="AA189" s="57" t="s">
        <v>396</v>
      </c>
    </row>
    <row r="190" spans="1:27" ht="15.75" thickBot="1" x14ac:dyDescent="0.3">
      <c r="A190" s="30">
        <v>45935</v>
      </c>
      <c r="B190" s="9">
        <v>8</v>
      </c>
      <c r="C190" s="122"/>
      <c r="D190" s="9" t="s">
        <v>192</v>
      </c>
      <c r="E190" s="10">
        <v>2.2400000000000002</v>
      </c>
      <c r="F190" s="11">
        <v>1</v>
      </c>
      <c r="G190" s="11">
        <v>2</v>
      </c>
      <c r="H190" s="12">
        <v>1.33</v>
      </c>
      <c r="I190" s="122"/>
      <c r="J190" s="9" t="s">
        <v>209</v>
      </c>
      <c r="K190" s="45"/>
      <c r="L190" s="97" t="s">
        <v>574</v>
      </c>
      <c r="M190" s="66" t="s">
        <v>192</v>
      </c>
      <c r="N190" s="66" t="s">
        <v>278</v>
      </c>
      <c r="O190" s="66" t="s">
        <v>279</v>
      </c>
      <c r="P190" s="66" t="s">
        <v>699</v>
      </c>
      <c r="Q190" s="219">
        <v>64</v>
      </c>
      <c r="R190" s="66" t="s">
        <v>41</v>
      </c>
      <c r="S190" s="66" t="s">
        <v>42</v>
      </c>
      <c r="T190" s="67" t="s">
        <v>7</v>
      </c>
      <c r="U190" s="52">
        <v>0.79</v>
      </c>
      <c r="V190" s="10">
        <v>0.65</v>
      </c>
      <c r="W190" s="10" t="s">
        <v>353</v>
      </c>
      <c r="X190" s="9" t="s">
        <v>48</v>
      </c>
      <c r="Y190" s="113" t="s">
        <v>67</v>
      </c>
      <c r="Z190" s="109"/>
      <c r="AA190" s="58"/>
    </row>
    <row r="191" spans="1:27" ht="15.75" thickBot="1" x14ac:dyDescent="0.3">
      <c r="A191" s="206">
        <v>45935</v>
      </c>
      <c r="B191" s="207">
        <v>8</v>
      </c>
      <c r="C191" s="208"/>
      <c r="D191" s="207" t="s">
        <v>192</v>
      </c>
      <c r="E191" s="209">
        <v>2.2400000000000002</v>
      </c>
      <c r="F191" s="210">
        <v>1</v>
      </c>
      <c r="G191" s="210">
        <v>2</v>
      </c>
      <c r="H191" s="211">
        <v>1.33</v>
      </c>
      <c r="I191" s="208"/>
      <c r="J191" s="207" t="s">
        <v>209</v>
      </c>
      <c r="K191" s="235"/>
      <c r="L191" s="198"/>
      <c r="M191" s="199" t="s">
        <v>192</v>
      </c>
      <c r="N191" s="199" t="s">
        <v>723</v>
      </c>
      <c r="O191" s="199" t="s">
        <v>724</v>
      </c>
      <c r="P191" s="199" t="s">
        <v>707</v>
      </c>
      <c r="Q191" s="200">
        <v>68</v>
      </c>
      <c r="R191" s="199"/>
      <c r="S191" s="199"/>
      <c r="T191" s="201"/>
      <c r="U191" s="202"/>
      <c r="V191" s="203"/>
      <c r="W191" s="203">
        <v>2</v>
      </c>
      <c r="X191" s="199"/>
      <c r="Y191" s="204"/>
      <c r="Z191" s="205"/>
      <c r="AA191" s="201"/>
    </row>
    <row r="192" spans="1:27" ht="15.75" thickBot="1" x14ac:dyDescent="0.3">
      <c r="A192" s="206">
        <v>45935</v>
      </c>
      <c r="B192" s="207">
        <v>8</v>
      </c>
      <c r="C192" s="208"/>
      <c r="D192" s="207" t="s">
        <v>192</v>
      </c>
      <c r="E192" s="209">
        <v>2.2400000000000002</v>
      </c>
      <c r="F192" s="210">
        <v>1</v>
      </c>
      <c r="G192" s="210">
        <v>2</v>
      </c>
      <c r="H192" s="211">
        <v>1.33</v>
      </c>
      <c r="I192" s="208"/>
      <c r="J192" s="207" t="s">
        <v>209</v>
      </c>
      <c r="K192" s="235"/>
      <c r="L192" s="198"/>
      <c r="M192" s="199" t="s">
        <v>209</v>
      </c>
      <c r="N192" s="199" t="s">
        <v>447</v>
      </c>
      <c r="O192" s="199" t="s">
        <v>150</v>
      </c>
      <c r="P192" s="199" t="s">
        <v>707</v>
      </c>
      <c r="Q192" s="200">
        <v>85</v>
      </c>
      <c r="R192" s="199"/>
      <c r="S192" s="199"/>
      <c r="T192" s="201"/>
      <c r="U192" s="202"/>
      <c r="V192" s="203"/>
      <c r="W192" s="203">
        <v>1</v>
      </c>
      <c r="X192" s="199"/>
      <c r="Y192" s="204"/>
      <c r="Z192" s="205"/>
      <c r="AA192" s="201"/>
    </row>
    <row r="193" spans="1:27" ht="15.75" thickBot="1" x14ac:dyDescent="0.3">
      <c r="A193" s="248"/>
      <c r="B193" s="249"/>
      <c r="C193" s="250"/>
      <c r="D193" s="249"/>
      <c r="E193" s="251"/>
      <c r="F193" s="252"/>
      <c r="G193" s="252"/>
      <c r="H193" s="253"/>
      <c r="I193" s="250"/>
      <c r="J193" s="249"/>
      <c r="K193" s="254"/>
      <c r="L193" s="255"/>
      <c r="M193" s="256"/>
      <c r="N193" s="256"/>
      <c r="O193" s="256"/>
      <c r="P193" s="256"/>
      <c r="Q193" s="257"/>
      <c r="R193" s="256"/>
      <c r="S193" s="256"/>
      <c r="T193" s="258"/>
      <c r="U193" s="259"/>
      <c r="V193" s="260"/>
      <c r="W193" s="309" t="s">
        <v>741</v>
      </c>
      <c r="X193" s="256"/>
      <c r="Y193" s="261"/>
      <c r="Z193" s="262"/>
      <c r="AA193" s="258"/>
    </row>
    <row r="194" spans="1:27" x14ac:dyDescent="0.25">
      <c r="A194" s="135">
        <v>45892</v>
      </c>
      <c r="B194" s="136">
        <v>2</v>
      </c>
      <c r="C194" s="137" t="s">
        <v>694</v>
      </c>
      <c r="D194" s="136" t="s">
        <v>193</v>
      </c>
      <c r="E194" s="138">
        <v>1.74</v>
      </c>
      <c r="F194" s="139">
        <v>1</v>
      </c>
      <c r="G194" s="139">
        <v>1</v>
      </c>
      <c r="H194" s="140">
        <v>0.56999999999999995</v>
      </c>
      <c r="I194" s="137" t="s">
        <v>703</v>
      </c>
      <c r="J194" s="136" t="s">
        <v>208</v>
      </c>
      <c r="K194" s="141"/>
      <c r="L194" s="142">
        <v>8</v>
      </c>
      <c r="M194" s="64" t="s">
        <v>193</v>
      </c>
      <c r="N194" s="64" t="s">
        <v>257</v>
      </c>
      <c r="O194" s="64" t="s">
        <v>258</v>
      </c>
      <c r="P194" s="64" t="s">
        <v>718</v>
      </c>
      <c r="Q194" s="217">
        <v>84</v>
      </c>
      <c r="R194" s="64" t="s">
        <v>41</v>
      </c>
      <c r="S194" s="64" t="s">
        <v>43</v>
      </c>
      <c r="T194" s="65" t="s">
        <v>10</v>
      </c>
      <c r="U194" s="167">
        <v>0.22</v>
      </c>
      <c r="V194" s="138">
        <v>0.3</v>
      </c>
      <c r="W194" s="138" t="s">
        <v>353</v>
      </c>
      <c r="X194" s="136" t="s">
        <v>8</v>
      </c>
      <c r="Y194" s="168" t="s">
        <v>19</v>
      </c>
      <c r="Z194" s="169" t="s">
        <v>316</v>
      </c>
      <c r="AA194" s="170" t="s">
        <v>317</v>
      </c>
    </row>
    <row r="195" spans="1:27" x14ac:dyDescent="0.25">
      <c r="A195" s="143">
        <v>45892</v>
      </c>
      <c r="B195" s="144">
        <v>2</v>
      </c>
      <c r="C195" s="145"/>
      <c r="D195" s="144" t="s">
        <v>193</v>
      </c>
      <c r="E195" s="146">
        <v>1.74</v>
      </c>
      <c r="F195" s="147">
        <v>1</v>
      </c>
      <c r="G195" s="147">
        <v>1</v>
      </c>
      <c r="H195" s="148">
        <v>0.56999999999999995</v>
      </c>
      <c r="I195" s="145"/>
      <c r="J195" s="144" t="s">
        <v>208</v>
      </c>
      <c r="K195" s="149"/>
      <c r="L195" s="150">
        <v>14</v>
      </c>
      <c r="M195" s="61" t="s">
        <v>193</v>
      </c>
      <c r="N195" s="61" t="s">
        <v>257</v>
      </c>
      <c r="O195" s="61" t="s">
        <v>258</v>
      </c>
      <c r="P195" s="61" t="s">
        <v>718</v>
      </c>
      <c r="Q195" s="218">
        <v>84</v>
      </c>
      <c r="R195" s="61" t="s">
        <v>41</v>
      </c>
      <c r="S195" s="61" t="s">
        <v>42</v>
      </c>
      <c r="T195" s="63" t="s">
        <v>18</v>
      </c>
      <c r="U195" s="171">
        <v>0.41</v>
      </c>
      <c r="V195" s="146">
        <v>0.33</v>
      </c>
      <c r="W195" s="146" t="s">
        <v>353</v>
      </c>
      <c r="X195" s="144" t="s">
        <v>48</v>
      </c>
      <c r="Y195" s="172" t="s">
        <v>19</v>
      </c>
      <c r="Z195" s="173"/>
      <c r="AA195" s="174"/>
    </row>
    <row r="196" spans="1:27" x14ac:dyDescent="0.25">
      <c r="A196" s="143">
        <v>45892</v>
      </c>
      <c r="B196" s="144">
        <v>2</v>
      </c>
      <c r="C196" s="145"/>
      <c r="D196" s="144" t="s">
        <v>193</v>
      </c>
      <c r="E196" s="146">
        <v>1.74</v>
      </c>
      <c r="F196" s="147">
        <v>1</v>
      </c>
      <c r="G196" s="147">
        <v>1</v>
      </c>
      <c r="H196" s="148">
        <v>0.56999999999999995</v>
      </c>
      <c r="I196" s="145"/>
      <c r="J196" s="144" t="s">
        <v>208</v>
      </c>
      <c r="K196" s="149"/>
      <c r="L196" s="150">
        <v>15</v>
      </c>
      <c r="M196" s="26" t="s">
        <v>208</v>
      </c>
      <c r="N196" s="26" t="s">
        <v>61</v>
      </c>
      <c r="O196" s="26" t="s">
        <v>261</v>
      </c>
      <c r="P196" s="26" t="s">
        <v>717</v>
      </c>
      <c r="Q196" s="213">
        <v>74</v>
      </c>
      <c r="R196" s="26" t="s">
        <v>41</v>
      </c>
      <c r="S196" s="26" t="s">
        <v>42</v>
      </c>
      <c r="T196" s="43" t="s">
        <v>18</v>
      </c>
      <c r="U196" s="171">
        <v>0.3</v>
      </c>
      <c r="V196" s="146">
        <v>0.39</v>
      </c>
      <c r="W196" s="146" t="s">
        <v>353</v>
      </c>
      <c r="X196" s="144" t="s">
        <v>8</v>
      </c>
      <c r="Y196" s="172" t="s">
        <v>51</v>
      </c>
      <c r="Z196" s="173" t="s">
        <v>74</v>
      </c>
      <c r="AA196" s="174" t="s">
        <v>211</v>
      </c>
    </row>
    <row r="197" spans="1:27" ht="15.75" thickBot="1" x14ac:dyDescent="0.3">
      <c r="A197" s="151">
        <v>45892</v>
      </c>
      <c r="B197" s="152">
        <v>2</v>
      </c>
      <c r="C197" s="153"/>
      <c r="D197" s="152" t="s">
        <v>193</v>
      </c>
      <c r="E197" s="154">
        <v>1.74</v>
      </c>
      <c r="F197" s="155">
        <v>1</v>
      </c>
      <c r="G197" s="155">
        <v>1</v>
      </c>
      <c r="H197" s="156">
        <v>0.56999999999999995</v>
      </c>
      <c r="I197" s="153"/>
      <c r="J197" s="152" t="s">
        <v>208</v>
      </c>
      <c r="K197" s="157"/>
      <c r="L197" s="158">
        <v>81</v>
      </c>
      <c r="M197" s="66" t="s">
        <v>193</v>
      </c>
      <c r="N197" s="66" t="s">
        <v>259</v>
      </c>
      <c r="O197" s="66" t="s">
        <v>260</v>
      </c>
      <c r="P197" s="66" t="s">
        <v>689</v>
      </c>
      <c r="Q197" s="219">
        <v>74</v>
      </c>
      <c r="R197" s="66" t="s">
        <v>41</v>
      </c>
      <c r="S197" s="66" t="s">
        <v>42</v>
      </c>
      <c r="T197" s="67" t="s">
        <v>540</v>
      </c>
      <c r="U197" s="175">
        <v>0.6</v>
      </c>
      <c r="V197" s="154" t="s">
        <v>53</v>
      </c>
      <c r="W197" s="154" t="s">
        <v>353</v>
      </c>
      <c r="X197" s="152" t="s">
        <v>16</v>
      </c>
      <c r="Y197" s="176" t="s">
        <v>51</v>
      </c>
      <c r="Z197" s="177"/>
      <c r="AA197" s="178"/>
    </row>
    <row r="198" spans="1:27" ht="15.75" thickBot="1" x14ac:dyDescent="0.3">
      <c r="A198" s="206">
        <v>45892</v>
      </c>
      <c r="B198" s="207">
        <v>2</v>
      </c>
      <c r="C198" s="208"/>
      <c r="D198" s="207" t="s">
        <v>193</v>
      </c>
      <c r="E198" s="209">
        <v>1.74</v>
      </c>
      <c r="F198" s="210">
        <v>1</v>
      </c>
      <c r="G198" s="210">
        <v>1</v>
      </c>
      <c r="H198" s="211">
        <v>0.56999999999999995</v>
      </c>
      <c r="I198" s="208"/>
      <c r="J198" s="207" t="s">
        <v>208</v>
      </c>
      <c r="K198" s="197"/>
      <c r="L198" s="198"/>
      <c r="M198" s="199" t="s">
        <v>193</v>
      </c>
      <c r="N198" s="199" t="s">
        <v>580</v>
      </c>
      <c r="O198" s="199" t="s">
        <v>581</v>
      </c>
      <c r="P198" s="199" t="s">
        <v>707</v>
      </c>
      <c r="Q198" s="200">
        <v>64</v>
      </c>
      <c r="R198" s="199"/>
      <c r="S198" s="199"/>
      <c r="T198" s="201"/>
      <c r="U198" s="202"/>
      <c r="V198" s="203"/>
      <c r="W198" s="203">
        <v>1</v>
      </c>
      <c r="X198" s="199"/>
      <c r="Y198" s="204"/>
      <c r="Z198" s="205"/>
      <c r="AA198" s="201"/>
    </row>
    <row r="199" spans="1:27" ht="15.75" thickBot="1" x14ac:dyDescent="0.3">
      <c r="A199" s="206">
        <v>45892</v>
      </c>
      <c r="B199" s="207">
        <v>2</v>
      </c>
      <c r="C199" s="208"/>
      <c r="D199" s="207" t="s">
        <v>193</v>
      </c>
      <c r="E199" s="209">
        <v>1.74</v>
      </c>
      <c r="F199" s="210">
        <v>1</v>
      </c>
      <c r="G199" s="210">
        <v>1</v>
      </c>
      <c r="H199" s="211">
        <v>0.56999999999999995</v>
      </c>
      <c r="I199" s="208"/>
      <c r="J199" s="207" t="s">
        <v>208</v>
      </c>
      <c r="K199" s="197"/>
      <c r="L199" s="198"/>
      <c r="M199" s="199" t="s">
        <v>208</v>
      </c>
      <c r="N199" s="199" t="s">
        <v>433</v>
      </c>
      <c r="O199" s="199" t="s">
        <v>725</v>
      </c>
      <c r="P199" s="199" t="s">
        <v>707</v>
      </c>
      <c r="Q199" s="200">
        <v>75</v>
      </c>
      <c r="R199" s="199"/>
      <c r="S199" s="199"/>
      <c r="T199" s="201"/>
      <c r="U199" s="202"/>
      <c r="V199" s="203"/>
      <c r="W199" s="203">
        <v>1</v>
      </c>
      <c r="X199" s="199"/>
      <c r="Y199" s="204"/>
      <c r="Z199" s="205"/>
      <c r="AA199" s="201"/>
    </row>
    <row r="200" spans="1:27" x14ac:dyDescent="0.25">
      <c r="A200" s="135">
        <v>45913</v>
      </c>
      <c r="B200" s="136">
        <v>4</v>
      </c>
      <c r="C200" s="137" t="s">
        <v>694</v>
      </c>
      <c r="D200" s="136" t="s">
        <v>193</v>
      </c>
      <c r="E200" s="138">
        <v>1.01</v>
      </c>
      <c r="F200" s="139">
        <v>2</v>
      </c>
      <c r="G200" s="139">
        <v>0</v>
      </c>
      <c r="H200" s="140">
        <v>1.03</v>
      </c>
      <c r="I200" s="137" t="s">
        <v>694</v>
      </c>
      <c r="J200" s="136" t="s">
        <v>91</v>
      </c>
      <c r="K200" s="141"/>
      <c r="L200" s="142">
        <v>9</v>
      </c>
      <c r="M200" s="64" t="s">
        <v>193</v>
      </c>
      <c r="N200" s="64" t="s">
        <v>241</v>
      </c>
      <c r="O200" s="64" t="s">
        <v>382</v>
      </c>
      <c r="P200" s="64" t="s">
        <v>695</v>
      </c>
      <c r="Q200" s="217">
        <v>75</v>
      </c>
      <c r="R200" s="64" t="s">
        <v>41</v>
      </c>
      <c r="S200" s="64" t="s">
        <v>43</v>
      </c>
      <c r="T200" s="65" t="s">
        <v>10</v>
      </c>
      <c r="U200" s="167">
        <v>0.53</v>
      </c>
      <c r="V200" s="138">
        <v>0.8</v>
      </c>
      <c r="W200" s="138" t="s">
        <v>353</v>
      </c>
      <c r="X200" s="136" t="s">
        <v>8</v>
      </c>
      <c r="Y200" s="168" t="s">
        <v>19</v>
      </c>
      <c r="Z200" s="169" t="s">
        <v>200</v>
      </c>
      <c r="AA200" s="170" t="s">
        <v>201</v>
      </c>
    </row>
    <row r="201" spans="1:27" x14ac:dyDescent="0.25">
      <c r="A201" s="143">
        <v>45913</v>
      </c>
      <c r="B201" s="144">
        <v>4</v>
      </c>
      <c r="C201" s="145"/>
      <c r="D201" s="144" t="s">
        <v>193</v>
      </c>
      <c r="E201" s="146">
        <v>1.01</v>
      </c>
      <c r="F201" s="147">
        <v>2</v>
      </c>
      <c r="G201" s="147">
        <v>0</v>
      </c>
      <c r="H201" s="148">
        <v>1.03</v>
      </c>
      <c r="I201" s="145"/>
      <c r="J201" s="144" t="s">
        <v>91</v>
      </c>
      <c r="K201" s="149"/>
      <c r="L201" s="150">
        <v>14</v>
      </c>
      <c r="M201" s="61" t="s">
        <v>193</v>
      </c>
      <c r="N201" s="61" t="s">
        <v>204</v>
      </c>
      <c r="O201" s="61" t="s">
        <v>205</v>
      </c>
      <c r="P201" s="61" t="s">
        <v>686</v>
      </c>
      <c r="Q201" s="218">
        <v>67</v>
      </c>
      <c r="R201" s="61" t="s">
        <v>41</v>
      </c>
      <c r="S201" s="61" t="s">
        <v>42</v>
      </c>
      <c r="T201" s="63" t="s">
        <v>10</v>
      </c>
      <c r="U201" s="171">
        <v>0.26</v>
      </c>
      <c r="V201" s="146" t="s">
        <v>53</v>
      </c>
      <c r="W201" s="146" t="s">
        <v>353</v>
      </c>
      <c r="X201" s="144" t="s">
        <v>16</v>
      </c>
      <c r="Y201" s="172" t="s">
        <v>19</v>
      </c>
      <c r="Z201" s="173"/>
      <c r="AA201" s="174"/>
    </row>
    <row r="202" spans="1:27" x14ac:dyDescent="0.25">
      <c r="A202" s="143">
        <v>45913</v>
      </c>
      <c r="B202" s="144">
        <v>4</v>
      </c>
      <c r="C202" s="145"/>
      <c r="D202" s="144" t="s">
        <v>193</v>
      </c>
      <c r="E202" s="146">
        <v>1.01</v>
      </c>
      <c r="F202" s="147">
        <v>2</v>
      </c>
      <c r="G202" s="147">
        <v>0</v>
      </c>
      <c r="H202" s="148">
        <v>1.03</v>
      </c>
      <c r="I202" s="145"/>
      <c r="J202" s="144" t="s">
        <v>91</v>
      </c>
      <c r="K202" s="149"/>
      <c r="L202" s="150">
        <v>15</v>
      </c>
      <c r="M202" s="26" t="s">
        <v>91</v>
      </c>
      <c r="N202" s="26" t="s">
        <v>332</v>
      </c>
      <c r="O202" s="26" t="s">
        <v>333</v>
      </c>
      <c r="P202" s="26" t="s">
        <v>685</v>
      </c>
      <c r="Q202" s="213">
        <v>65</v>
      </c>
      <c r="R202" s="26" t="s">
        <v>41</v>
      </c>
      <c r="S202" s="26" t="s">
        <v>42</v>
      </c>
      <c r="T202" s="43" t="s">
        <v>540</v>
      </c>
      <c r="U202" s="171">
        <v>0.42</v>
      </c>
      <c r="V202" s="146" t="s">
        <v>53</v>
      </c>
      <c r="W202" s="146" t="s">
        <v>353</v>
      </c>
      <c r="X202" s="144" t="s">
        <v>13</v>
      </c>
      <c r="Y202" s="172" t="s">
        <v>19</v>
      </c>
      <c r="Z202" s="173"/>
      <c r="AA202" s="174"/>
    </row>
    <row r="203" spans="1:27" x14ac:dyDescent="0.25">
      <c r="A203" s="143">
        <v>45913</v>
      </c>
      <c r="B203" s="144">
        <v>4</v>
      </c>
      <c r="C203" s="145"/>
      <c r="D203" s="144" t="s">
        <v>193</v>
      </c>
      <c r="E203" s="146">
        <v>1.01</v>
      </c>
      <c r="F203" s="147">
        <v>2</v>
      </c>
      <c r="G203" s="147">
        <v>0</v>
      </c>
      <c r="H203" s="148">
        <v>1.03</v>
      </c>
      <c r="I203" s="145"/>
      <c r="J203" s="144" t="s">
        <v>91</v>
      </c>
      <c r="K203" s="149"/>
      <c r="L203" s="150">
        <v>52</v>
      </c>
      <c r="M203" s="61" t="s">
        <v>193</v>
      </c>
      <c r="N203" s="61" t="s">
        <v>96</v>
      </c>
      <c r="O203" s="61" t="s">
        <v>327</v>
      </c>
      <c r="P203" s="61" t="s">
        <v>685</v>
      </c>
      <c r="Q203" s="218">
        <v>74</v>
      </c>
      <c r="R203" s="61" t="s">
        <v>41</v>
      </c>
      <c r="S203" s="61" t="s">
        <v>45</v>
      </c>
      <c r="T203" s="63" t="s">
        <v>18</v>
      </c>
      <c r="U203" s="171">
        <v>0.1</v>
      </c>
      <c r="V203" s="146">
        <v>0.49</v>
      </c>
      <c r="W203" s="146" t="s">
        <v>353</v>
      </c>
      <c r="X203" s="144" t="s">
        <v>8</v>
      </c>
      <c r="Y203" s="172" t="s">
        <v>24</v>
      </c>
      <c r="Z203" s="173" t="s">
        <v>259</v>
      </c>
      <c r="AA203" s="174" t="s">
        <v>260</v>
      </c>
    </row>
    <row r="204" spans="1:27" ht="15.75" thickBot="1" x14ac:dyDescent="0.3">
      <c r="A204" s="206">
        <v>45913</v>
      </c>
      <c r="B204" s="207">
        <v>4</v>
      </c>
      <c r="C204" s="208"/>
      <c r="D204" s="207" t="s">
        <v>193</v>
      </c>
      <c r="E204" s="209">
        <v>1.01</v>
      </c>
      <c r="F204" s="210">
        <v>2</v>
      </c>
      <c r="G204" s="210">
        <v>0</v>
      </c>
      <c r="H204" s="211">
        <v>1.03</v>
      </c>
      <c r="I204" s="208"/>
      <c r="J204" s="207" t="s">
        <v>91</v>
      </c>
      <c r="K204" s="235"/>
      <c r="L204" s="198"/>
      <c r="M204" s="199" t="s">
        <v>193</v>
      </c>
      <c r="N204" s="199" t="s">
        <v>580</v>
      </c>
      <c r="O204" s="199" t="s">
        <v>581</v>
      </c>
      <c r="P204" s="199" t="s">
        <v>707</v>
      </c>
      <c r="Q204" s="200">
        <v>76</v>
      </c>
      <c r="R204" s="199"/>
      <c r="S204" s="199"/>
      <c r="T204" s="201"/>
      <c r="U204" s="202"/>
      <c r="V204" s="203"/>
      <c r="W204" s="203">
        <v>0</v>
      </c>
      <c r="X204" s="199"/>
      <c r="Y204" s="204"/>
      <c r="Z204" s="205"/>
      <c r="AA204" s="201"/>
    </row>
    <row r="205" spans="1:27" ht="15.75" thickBot="1" x14ac:dyDescent="0.3">
      <c r="A205" s="206">
        <v>45913</v>
      </c>
      <c r="B205" s="207">
        <v>4</v>
      </c>
      <c r="C205" s="208"/>
      <c r="D205" s="207" t="s">
        <v>193</v>
      </c>
      <c r="E205" s="209">
        <v>1.01</v>
      </c>
      <c r="F205" s="210">
        <v>2</v>
      </c>
      <c r="G205" s="210">
        <v>0</v>
      </c>
      <c r="H205" s="211">
        <v>1.03</v>
      </c>
      <c r="I205" s="208"/>
      <c r="J205" s="207" t="s">
        <v>91</v>
      </c>
      <c r="K205" s="235"/>
      <c r="L205" s="198"/>
      <c r="M205" s="199" t="s">
        <v>91</v>
      </c>
      <c r="N205" s="199" t="s">
        <v>351</v>
      </c>
      <c r="O205" s="199" t="s">
        <v>54</v>
      </c>
      <c r="P205" s="199" t="s">
        <v>707</v>
      </c>
      <c r="Q205" s="200">
        <v>56</v>
      </c>
      <c r="R205" s="199"/>
      <c r="S205" s="199"/>
      <c r="T205" s="201"/>
      <c r="U205" s="202"/>
      <c r="V205" s="203"/>
      <c r="W205" s="203">
        <v>2</v>
      </c>
      <c r="X205" s="199"/>
      <c r="Y205" s="204"/>
      <c r="Z205" s="205"/>
      <c r="AA205" s="201"/>
    </row>
    <row r="206" spans="1:27" x14ac:dyDescent="0.25">
      <c r="A206" s="143">
        <v>45924</v>
      </c>
      <c r="B206" s="144">
        <v>6</v>
      </c>
      <c r="C206" s="145"/>
      <c r="D206" s="144" t="s">
        <v>193</v>
      </c>
      <c r="E206" s="146">
        <v>3.61</v>
      </c>
      <c r="F206" s="147">
        <v>3</v>
      </c>
      <c r="G206" s="147">
        <v>2</v>
      </c>
      <c r="H206" s="148">
        <v>1.6</v>
      </c>
      <c r="I206" s="145"/>
      <c r="J206" s="144" t="s">
        <v>70</v>
      </c>
      <c r="K206" s="149"/>
      <c r="L206" s="150">
        <v>15</v>
      </c>
      <c r="M206" s="61" t="s">
        <v>193</v>
      </c>
      <c r="N206" s="61" t="s">
        <v>200</v>
      </c>
      <c r="O206" s="61" t="s">
        <v>201</v>
      </c>
      <c r="P206" s="61" t="s">
        <v>717</v>
      </c>
      <c r="Q206" s="218">
        <v>100</v>
      </c>
      <c r="R206" s="61" t="s">
        <v>41</v>
      </c>
      <c r="S206" s="61" t="s">
        <v>43</v>
      </c>
      <c r="T206" s="63" t="s">
        <v>10</v>
      </c>
      <c r="U206" s="171">
        <v>0.34</v>
      </c>
      <c r="V206" s="146">
        <v>0.86</v>
      </c>
      <c r="W206" s="146" t="s">
        <v>353</v>
      </c>
      <c r="X206" s="144" t="s">
        <v>8</v>
      </c>
      <c r="Y206" s="172" t="s">
        <v>19</v>
      </c>
      <c r="Z206" s="173" t="s">
        <v>259</v>
      </c>
      <c r="AA206" s="174" t="s">
        <v>260</v>
      </c>
    </row>
    <row r="207" spans="1:27" x14ac:dyDescent="0.25">
      <c r="A207" s="143">
        <v>45924</v>
      </c>
      <c r="B207" s="144">
        <v>6</v>
      </c>
      <c r="C207" s="145"/>
      <c r="D207" s="144" t="s">
        <v>193</v>
      </c>
      <c r="E207" s="146">
        <v>3.61</v>
      </c>
      <c r="F207" s="147">
        <v>3</v>
      </c>
      <c r="G207" s="147">
        <v>2</v>
      </c>
      <c r="H207" s="148">
        <v>1.6</v>
      </c>
      <c r="I207" s="145"/>
      <c r="J207" s="144" t="s">
        <v>70</v>
      </c>
      <c r="K207" s="149"/>
      <c r="L207" s="150">
        <v>35</v>
      </c>
      <c r="M207" s="26" t="s">
        <v>70</v>
      </c>
      <c r="N207" s="26" t="s">
        <v>53</v>
      </c>
      <c r="O207" s="26" t="s">
        <v>405</v>
      </c>
      <c r="P207" s="26" t="s">
        <v>717</v>
      </c>
      <c r="Q207" s="213">
        <v>58</v>
      </c>
      <c r="R207" s="26" t="s">
        <v>41</v>
      </c>
      <c r="S207" s="26" t="s">
        <v>42</v>
      </c>
      <c r="T207" s="43" t="s">
        <v>10</v>
      </c>
      <c r="U207" s="171">
        <v>0.6</v>
      </c>
      <c r="V207" s="146" t="s">
        <v>53</v>
      </c>
      <c r="W207" s="146" t="s">
        <v>353</v>
      </c>
      <c r="X207" s="144" t="s">
        <v>13</v>
      </c>
      <c r="Y207" s="172" t="s">
        <v>19</v>
      </c>
      <c r="Z207" s="173"/>
      <c r="AA207" s="174"/>
    </row>
    <row r="208" spans="1:27" x14ac:dyDescent="0.25">
      <c r="A208" s="143">
        <v>45924</v>
      </c>
      <c r="B208" s="144">
        <v>6</v>
      </c>
      <c r="C208" s="145"/>
      <c r="D208" s="144" t="s">
        <v>193</v>
      </c>
      <c r="E208" s="146">
        <v>3.61</v>
      </c>
      <c r="F208" s="147">
        <v>3</v>
      </c>
      <c r="G208" s="147">
        <v>2</v>
      </c>
      <c r="H208" s="148">
        <v>1.6</v>
      </c>
      <c r="I208" s="145"/>
      <c r="J208" s="144" t="s">
        <v>70</v>
      </c>
      <c r="K208" s="149"/>
      <c r="L208" s="150" t="s">
        <v>68</v>
      </c>
      <c r="M208" s="26" t="s">
        <v>70</v>
      </c>
      <c r="N208" s="26" t="s">
        <v>80</v>
      </c>
      <c r="O208" s="26" t="s">
        <v>81</v>
      </c>
      <c r="P208" s="26" t="s">
        <v>688</v>
      </c>
      <c r="Q208" s="213">
        <v>79</v>
      </c>
      <c r="R208" s="26" t="s">
        <v>354</v>
      </c>
      <c r="S208" s="26" t="s">
        <v>43</v>
      </c>
      <c r="T208" s="43" t="s">
        <v>10</v>
      </c>
      <c r="U208" s="171">
        <v>0.01</v>
      </c>
      <c r="V208" s="146">
        <v>0.17</v>
      </c>
      <c r="W208" s="146" t="s">
        <v>353</v>
      </c>
      <c r="X208" s="144" t="s">
        <v>8</v>
      </c>
      <c r="Y208" s="172" t="s">
        <v>51</v>
      </c>
      <c r="Z208" s="173" t="s">
        <v>269</v>
      </c>
      <c r="AA208" s="174" t="s">
        <v>150</v>
      </c>
    </row>
    <row r="209" spans="1:27" x14ac:dyDescent="0.25">
      <c r="A209" s="143">
        <v>45924</v>
      </c>
      <c r="B209" s="144">
        <v>6</v>
      </c>
      <c r="C209" s="145"/>
      <c r="D209" s="144" t="s">
        <v>193</v>
      </c>
      <c r="E209" s="146">
        <v>3.61</v>
      </c>
      <c r="F209" s="147">
        <v>3</v>
      </c>
      <c r="G209" s="147">
        <v>2</v>
      </c>
      <c r="H209" s="148">
        <v>1.6</v>
      </c>
      <c r="I209" s="145"/>
      <c r="J209" s="144" t="s">
        <v>70</v>
      </c>
      <c r="K209" s="149"/>
      <c r="L209" s="150">
        <v>53</v>
      </c>
      <c r="M209" s="26" t="s">
        <v>70</v>
      </c>
      <c r="N209" s="26" t="s">
        <v>76</v>
      </c>
      <c r="O209" s="26" t="s">
        <v>77</v>
      </c>
      <c r="P209" s="26" t="s">
        <v>718</v>
      </c>
      <c r="Q209" s="213">
        <v>66</v>
      </c>
      <c r="R209" s="26" t="s">
        <v>41</v>
      </c>
      <c r="S209" s="26" t="s">
        <v>43</v>
      </c>
      <c r="T209" s="43" t="s">
        <v>540</v>
      </c>
      <c r="U209" s="171">
        <v>0.32</v>
      </c>
      <c r="V209" s="146">
        <v>0.23</v>
      </c>
      <c r="W209" s="146" t="s">
        <v>353</v>
      </c>
      <c r="X209" s="144" t="s">
        <v>48</v>
      </c>
      <c r="Y209" s="172" t="s">
        <v>51</v>
      </c>
      <c r="Z209" s="173"/>
      <c r="AA209" s="174"/>
    </row>
    <row r="210" spans="1:27" x14ac:dyDescent="0.25">
      <c r="A210" s="143">
        <v>45924</v>
      </c>
      <c r="B210" s="144">
        <v>6</v>
      </c>
      <c r="C210" s="145"/>
      <c r="D210" s="144" t="s">
        <v>193</v>
      </c>
      <c r="E210" s="146">
        <v>3.61</v>
      </c>
      <c r="F210" s="147">
        <v>3</v>
      </c>
      <c r="G210" s="147">
        <v>2</v>
      </c>
      <c r="H210" s="148">
        <v>1.6</v>
      </c>
      <c r="I210" s="145"/>
      <c r="J210" s="144" t="s">
        <v>70</v>
      </c>
      <c r="K210" s="149"/>
      <c r="L210" s="150">
        <v>59</v>
      </c>
      <c r="M210" s="61" t="s">
        <v>193</v>
      </c>
      <c r="N210" s="61" t="s">
        <v>96</v>
      </c>
      <c r="O210" s="61" t="s">
        <v>327</v>
      </c>
      <c r="P210" s="61" t="s">
        <v>696</v>
      </c>
      <c r="Q210" s="218">
        <v>65</v>
      </c>
      <c r="R210" s="61" t="s">
        <v>41</v>
      </c>
      <c r="S210" s="61" t="s">
        <v>45</v>
      </c>
      <c r="T210" s="63" t="s">
        <v>10</v>
      </c>
      <c r="U210" s="171">
        <v>0.18</v>
      </c>
      <c r="V210" s="146" t="s">
        <v>53</v>
      </c>
      <c r="W210" s="146" t="s">
        <v>353</v>
      </c>
      <c r="X210" s="144" t="s">
        <v>22</v>
      </c>
      <c r="Y210" s="172" t="s">
        <v>51</v>
      </c>
      <c r="Z210" s="173"/>
      <c r="AA210" s="174"/>
    </row>
    <row r="211" spans="1:27" x14ac:dyDescent="0.25">
      <c r="A211" s="143">
        <v>45924</v>
      </c>
      <c r="B211" s="144">
        <v>6</v>
      </c>
      <c r="C211" s="145"/>
      <c r="D211" s="144" t="s">
        <v>193</v>
      </c>
      <c r="E211" s="146">
        <v>3.61</v>
      </c>
      <c r="F211" s="147">
        <v>3</v>
      </c>
      <c r="G211" s="147">
        <v>2</v>
      </c>
      <c r="H211" s="148">
        <v>1.6</v>
      </c>
      <c r="I211" s="145"/>
      <c r="J211" s="144" t="s">
        <v>70</v>
      </c>
      <c r="K211" s="149"/>
      <c r="L211" s="150">
        <v>77</v>
      </c>
      <c r="M211" s="26" t="s">
        <v>70</v>
      </c>
      <c r="N211" s="26" t="s">
        <v>74</v>
      </c>
      <c r="O211" s="26" t="s">
        <v>75</v>
      </c>
      <c r="P211" s="26" t="s">
        <v>696</v>
      </c>
      <c r="Q211" s="213">
        <v>75</v>
      </c>
      <c r="R211" s="26" t="s">
        <v>41</v>
      </c>
      <c r="S211" s="26" t="s">
        <v>42</v>
      </c>
      <c r="T211" s="43" t="s">
        <v>18</v>
      </c>
      <c r="U211" s="171">
        <v>0.57999999999999996</v>
      </c>
      <c r="V211" s="146">
        <v>0.99</v>
      </c>
      <c r="W211" s="146" t="s">
        <v>353</v>
      </c>
      <c r="X211" s="144" t="s">
        <v>8</v>
      </c>
      <c r="Y211" s="172" t="s">
        <v>67</v>
      </c>
      <c r="Z211" s="173" t="s">
        <v>76</v>
      </c>
      <c r="AA211" s="174" t="s">
        <v>77</v>
      </c>
    </row>
    <row r="212" spans="1:27" x14ac:dyDescent="0.25">
      <c r="A212" s="143">
        <v>45924</v>
      </c>
      <c r="B212" s="144">
        <v>6</v>
      </c>
      <c r="C212" s="145"/>
      <c r="D212" s="144" t="s">
        <v>193</v>
      </c>
      <c r="E212" s="146">
        <v>3.61</v>
      </c>
      <c r="F212" s="147">
        <v>3</v>
      </c>
      <c r="G212" s="147">
        <v>2</v>
      </c>
      <c r="H212" s="148">
        <v>1.6</v>
      </c>
      <c r="I212" s="145"/>
      <c r="J212" s="144" t="s">
        <v>70</v>
      </c>
      <c r="K212" s="149"/>
      <c r="L212" s="150">
        <v>80</v>
      </c>
      <c r="M212" s="61" t="s">
        <v>193</v>
      </c>
      <c r="N212" s="61" t="s">
        <v>200</v>
      </c>
      <c r="O212" s="61" t="s">
        <v>201</v>
      </c>
      <c r="P212" s="61" t="s">
        <v>717</v>
      </c>
      <c r="Q212" s="218">
        <v>100</v>
      </c>
      <c r="R212" s="61" t="s">
        <v>47</v>
      </c>
      <c r="S212" s="61" t="s">
        <v>42</v>
      </c>
      <c r="T212" s="63" t="s">
        <v>540</v>
      </c>
      <c r="U212" s="171">
        <v>0.27</v>
      </c>
      <c r="V212" s="146">
        <v>0.71</v>
      </c>
      <c r="W212" s="146" t="s">
        <v>353</v>
      </c>
      <c r="X212" s="144" t="s">
        <v>8</v>
      </c>
      <c r="Y212" s="172" t="s">
        <v>189</v>
      </c>
      <c r="Z212" s="173"/>
      <c r="AA212" s="174"/>
    </row>
    <row r="213" spans="1:27" x14ac:dyDescent="0.25">
      <c r="A213" s="143">
        <v>45924</v>
      </c>
      <c r="B213" s="144">
        <v>6</v>
      </c>
      <c r="C213" s="145"/>
      <c r="D213" s="144" t="s">
        <v>193</v>
      </c>
      <c r="E213" s="146">
        <v>3.61</v>
      </c>
      <c r="F213" s="147">
        <v>3</v>
      </c>
      <c r="G213" s="147">
        <v>2</v>
      </c>
      <c r="H213" s="148">
        <v>1.6</v>
      </c>
      <c r="I213" s="145"/>
      <c r="J213" s="144" t="s">
        <v>70</v>
      </c>
      <c r="K213" s="149"/>
      <c r="L213" s="150">
        <v>83</v>
      </c>
      <c r="M213" s="61" t="s">
        <v>193</v>
      </c>
      <c r="N213" s="61" t="s">
        <v>204</v>
      </c>
      <c r="O213" s="61" t="s">
        <v>205</v>
      </c>
      <c r="P213" s="61" t="s">
        <v>696</v>
      </c>
      <c r="Q213" s="218">
        <v>66</v>
      </c>
      <c r="R213" s="61" t="s">
        <v>47</v>
      </c>
      <c r="S213" s="61" t="s">
        <v>42</v>
      </c>
      <c r="T213" s="63" t="s">
        <v>10</v>
      </c>
      <c r="U213" s="171">
        <v>0.43</v>
      </c>
      <c r="V213" s="146" t="s">
        <v>53</v>
      </c>
      <c r="W213" s="146" t="s">
        <v>353</v>
      </c>
      <c r="X213" s="144" t="s">
        <v>17</v>
      </c>
      <c r="Y213" s="172" t="s">
        <v>189</v>
      </c>
      <c r="Z213" s="173"/>
      <c r="AA213" s="174"/>
    </row>
    <row r="214" spans="1:27" x14ac:dyDescent="0.25">
      <c r="A214" s="143">
        <v>45924</v>
      </c>
      <c r="B214" s="144">
        <v>6</v>
      </c>
      <c r="C214" s="145"/>
      <c r="D214" s="144" t="s">
        <v>193</v>
      </c>
      <c r="E214" s="146">
        <v>3.61</v>
      </c>
      <c r="F214" s="147">
        <v>3</v>
      </c>
      <c r="G214" s="147">
        <v>2</v>
      </c>
      <c r="H214" s="148">
        <v>1.6</v>
      </c>
      <c r="I214" s="145"/>
      <c r="J214" s="144" t="s">
        <v>70</v>
      </c>
      <c r="K214" s="149"/>
      <c r="L214" s="150">
        <v>84</v>
      </c>
      <c r="M214" s="61" t="s">
        <v>193</v>
      </c>
      <c r="N214" s="61" t="s">
        <v>318</v>
      </c>
      <c r="O214" s="61" t="s">
        <v>319</v>
      </c>
      <c r="P214" s="61" t="s">
        <v>696</v>
      </c>
      <c r="Q214" s="218">
        <v>70</v>
      </c>
      <c r="R214" s="61" t="s">
        <v>41</v>
      </c>
      <c r="S214" s="61" t="s">
        <v>42</v>
      </c>
      <c r="T214" s="63" t="s">
        <v>10</v>
      </c>
      <c r="U214" s="171">
        <v>0.38</v>
      </c>
      <c r="V214" s="146" t="s">
        <v>53</v>
      </c>
      <c r="W214" s="146" t="s">
        <v>353</v>
      </c>
      <c r="X214" s="144" t="s">
        <v>13</v>
      </c>
      <c r="Y214" s="172" t="s">
        <v>189</v>
      </c>
      <c r="Z214" s="173"/>
      <c r="AA214" s="174"/>
    </row>
    <row r="215" spans="1:27" ht="15.75" thickBot="1" x14ac:dyDescent="0.3">
      <c r="A215" s="151">
        <v>45924</v>
      </c>
      <c r="B215" s="152">
        <v>6</v>
      </c>
      <c r="C215" s="153"/>
      <c r="D215" s="152" t="s">
        <v>193</v>
      </c>
      <c r="E215" s="154">
        <v>3.61</v>
      </c>
      <c r="F215" s="155">
        <v>3</v>
      </c>
      <c r="G215" s="155">
        <v>2</v>
      </c>
      <c r="H215" s="156">
        <v>1.6</v>
      </c>
      <c r="I215" s="153"/>
      <c r="J215" s="152" t="s">
        <v>70</v>
      </c>
      <c r="K215" s="157"/>
      <c r="L215" s="158" t="s">
        <v>57</v>
      </c>
      <c r="M215" s="66" t="s">
        <v>193</v>
      </c>
      <c r="N215" s="66" t="s">
        <v>204</v>
      </c>
      <c r="O215" s="66" t="s">
        <v>205</v>
      </c>
      <c r="P215" s="66" t="s">
        <v>696</v>
      </c>
      <c r="Q215" s="219">
        <v>66</v>
      </c>
      <c r="R215" s="66" t="s">
        <v>41</v>
      </c>
      <c r="S215" s="66" t="s">
        <v>42</v>
      </c>
      <c r="T215" s="67" t="s">
        <v>10</v>
      </c>
      <c r="U215" s="175">
        <v>0.61</v>
      </c>
      <c r="V215" s="154" t="s">
        <v>53</v>
      </c>
      <c r="W215" s="154" t="s">
        <v>353</v>
      </c>
      <c r="X215" s="152" t="s">
        <v>13</v>
      </c>
      <c r="Y215" s="176" t="s">
        <v>180</v>
      </c>
      <c r="Z215" s="177"/>
      <c r="AA215" s="178"/>
    </row>
    <row r="216" spans="1:27" ht="15.75" thickBot="1" x14ac:dyDescent="0.3">
      <c r="A216" s="206">
        <v>45924</v>
      </c>
      <c r="B216" s="207">
        <v>6</v>
      </c>
      <c r="C216" s="208"/>
      <c r="D216" s="207" t="s">
        <v>193</v>
      </c>
      <c r="E216" s="209">
        <v>3.61</v>
      </c>
      <c r="F216" s="210">
        <v>3</v>
      </c>
      <c r="G216" s="210">
        <v>2</v>
      </c>
      <c r="H216" s="211">
        <v>1.6</v>
      </c>
      <c r="I216" s="208"/>
      <c r="J216" s="207" t="s">
        <v>70</v>
      </c>
      <c r="K216" s="235"/>
      <c r="L216" s="198"/>
      <c r="M216" s="199" t="s">
        <v>193</v>
      </c>
      <c r="N216" s="199" t="s">
        <v>580</v>
      </c>
      <c r="O216" s="199" t="s">
        <v>581</v>
      </c>
      <c r="P216" s="199" t="s">
        <v>707</v>
      </c>
      <c r="Q216" s="200">
        <v>62</v>
      </c>
      <c r="R216" s="199"/>
      <c r="S216" s="199"/>
      <c r="T216" s="201"/>
      <c r="U216" s="202"/>
      <c r="V216" s="203"/>
      <c r="W216" s="203">
        <v>2</v>
      </c>
      <c r="X216" s="199"/>
      <c r="Y216" s="204"/>
      <c r="Z216" s="205"/>
      <c r="AA216" s="201"/>
    </row>
    <row r="217" spans="1:27" ht="15.75" thickBot="1" x14ac:dyDescent="0.3">
      <c r="A217" s="206">
        <v>45924</v>
      </c>
      <c r="B217" s="207">
        <v>6</v>
      </c>
      <c r="C217" s="208"/>
      <c r="D217" s="207" t="s">
        <v>193</v>
      </c>
      <c r="E217" s="209">
        <v>3.61</v>
      </c>
      <c r="F217" s="210">
        <v>3</v>
      </c>
      <c r="G217" s="210">
        <v>2</v>
      </c>
      <c r="H217" s="211">
        <v>1.6</v>
      </c>
      <c r="I217" s="208"/>
      <c r="J217" s="207" t="s">
        <v>70</v>
      </c>
      <c r="K217" s="235"/>
      <c r="L217" s="198"/>
      <c r="M217" s="199" t="s">
        <v>70</v>
      </c>
      <c r="N217" s="199" t="s">
        <v>714</v>
      </c>
      <c r="O217" s="199" t="s">
        <v>715</v>
      </c>
      <c r="P217" s="199" t="s">
        <v>707</v>
      </c>
      <c r="Q217" s="200">
        <v>77</v>
      </c>
      <c r="R217" s="199"/>
      <c r="S217" s="199"/>
      <c r="T217" s="201"/>
      <c r="U217" s="202"/>
      <c r="V217" s="203"/>
      <c r="W217" s="203">
        <v>3</v>
      </c>
      <c r="X217" s="199"/>
      <c r="Y217" s="204"/>
      <c r="Z217" s="205"/>
      <c r="AA217" s="201"/>
    </row>
    <row r="218" spans="1:27" x14ac:dyDescent="0.25">
      <c r="A218" s="135">
        <v>45927</v>
      </c>
      <c r="B218" s="136">
        <v>7</v>
      </c>
      <c r="C218" s="137" t="s">
        <v>694</v>
      </c>
      <c r="D218" s="136" t="s">
        <v>193</v>
      </c>
      <c r="E218" s="138">
        <v>2.34</v>
      </c>
      <c r="F218" s="139">
        <v>5</v>
      </c>
      <c r="G218" s="139">
        <v>2</v>
      </c>
      <c r="H218" s="140">
        <v>0.66</v>
      </c>
      <c r="I218" s="137" t="s">
        <v>693</v>
      </c>
      <c r="J218" s="136" t="s">
        <v>226</v>
      </c>
      <c r="K218" s="141"/>
      <c r="L218" s="142">
        <v>14</v>
      </c>
      <c r="M218" s="64" t="s">
        <v>193</v>
      </c>
      <c r="N218" s="64" t="s">
        <v>513</v>
      </c>
      <c r="O218" s="64" t="s">
        <v>514</v>
      </c>
      <c r="P218" s="64" t="s">
        <v>713</v>
      </c>
      <c r="Q218" s="217">
        <v>66</v>
      </c>
      <c r="R218" s="64" t="s">
        <v>47</v>
      </c>
      <c r="S218" s="64" t="s">
        <v>45</v>
      </c>
      <c r="T218" s="65" t="s">
        <v>33</v>
      </c>
      <c r="U218" s="167">
        <v>0.26</v>
      </c>
      <c r="V218" s="138">
        <v>0.16</v>
      </c>
      <c r="W218" s="138" t="s">
        <v>353</v>
      </c>
      <c r="X218" s="136" t="s">
        <v>8</v>
      </c>
      <c r="Y218" s="168" t="s">
        <v>19</v>
      </c>
      <c r="Z218" s="169" t="s">
        <v>204</v>
      </c>
      <c r="AA218" s="170" t="s">
        <v>205</v>
      </c>
    </row>
    <row r="219" spans="1:27" x14ac:dyDescent="0.25">
      <c r="A219" s="143">
        <v>45927</v>
      </c>
      <c r="B219" s="144">
        <v>7</v>
      </c>
      <c r="C219" s="145"/>
      <c r="D219" s="144" t="s">
        <v>193</v>
      </c>
      <c r="E219" s="146">
        <v>2.34</v>
      </c>
      <c r="F219" s="147">
        <v>5</v>
      </c>
      <c r="G219" s="147">
        <v>2</v>
      </c>
      <c r="H219" s="148">
        <v>0.66</v>
      </c>
      <c r="I219" s="145"/>
      <c r="J219" s="144" t="s">
        <v>226</v>
      </c>
      <c r="K219" s="149"/>
      <c r="L219" s="150">
        <v>25</v>
      </c>
      <c r="M219" s="26" t="s">
        <v>226</v>
      </c>
      <c r="N219" s="26" t="s">
        <v>231</v>
      </c>
      <c r="O219" s="26" t="s">
        <v>232</v>
      </c>
      <c r="P219" s="26" t="s">
        <v>684</v>
      </c>
      <c r="Q219" s="213">
        <v>83</v>
      </c>
      <c r="R219" s="26" t="s">
        <v>41</v>
      </c>
      <c r="S219" s="26" t="s">
        <v>42</v>
      </c>
      <c r="T219" s="43" t="s">
        <v>10</v>
      </c>
      <c r="U219" s="171">
        <v>0.17</v>
      </c>
      <c r="V219" s="146">
        <v>0.44</v>
      </c>
      <c r="W219" s="146" t="s">
        <v>353</v>
      </c>
      <c r="X219" s="144" t="s">
        <v>8</v>
      </c>
      <c r="Y219" s="172" t="s">
        <v>51</v>
      </c>
      <c r="Z219" s="173" t="s">
        <v>56</v>
      </c>
      <c r="AA219" s="174" t="s">
        <v>235</v>
      </c>
    </row>
    <row r="220" spans="1:27" x14ac:dyDescent="0.25">
      <c r="A220" s="143">
        <v>45927</v>
      </c>
      <c r="B220" s="144">
        <v>7</v>
      </c>
      <c r="C220" s="145"/>
      <c r="D220" s="144" t="s">
        <v>193</v>
      </c>
      <c r="E220" s="146">
        <v>2.34</v>
      </c>
      <c r="F220" s="147">
        <v>5</v>
      </c>
      <c r="G220" s="147">
        <v>2</v>
      </c>
      <c r="H220" s="148">
        <v>0.66</v>
      </c>
      <c r="I220" s="145"/>
      <c r="J220" s="144" t="s">
        <v>226</v>
      </c>
      <c r="K220" s="149"/>
      <c r="L220" s="150">
        <v>36</v>
      </c>
      <c r="M220" s="26" t="s">
        <v>226</v>
      </c>
      <c r="N220" s="26" t="s">
        <v>56</v>
      </c>
      <c r="O220" s="26" t="s">
        <v>235</v>
      </c>
      <c r="P220" s="26" t="s">
        <v>686</v>
      </c>
      <c r="Q220" s="213">
        <v>71</v>
      </c>
      <c r="R220" s="26" t="s">
        <v>41</v>
      </c>
      <c r="S220" s="26" t="s">
        <v>43</v>
      </c>
      <c r="T220" s="43" t="s">
        <v>18</v>
      </c>
      <c r="U220" s="171">
        <v>0.32</v>
      </c>
      <c r="V220" s="146">
        <v>0.26</v>
      </c>
      <c r="W220" s="146" t="s">
        <v>353</v>
      </c>
      <c r="X220" s="144" t="s">
        <v>8</v>
      </c>
      <c r="Y220" s="172" t="s">
        <v>67</v>
      </c>
      <c r="Z220" s="173" t="s">
        <v>289</v>
      </c>
      <c r="AA220" s="174" t="s">
        <v>54</v>
      </c>
    </row>
    <row r="221" spans="1:27" x14ac:dyDescent="0.25">
      <c r="A221" s="143">
        <v>45927</v>
      </c>
      <c r="B221" s="144">
        <v>7</v>
      </c>
      <c r="C221" s="145"/>
      <c r="D221" s="144" t="s">
        <v>193</v>
      </c>
      <c r="E221" s="146">
        <v>2.34</v>
      </c>
      <c r="F221" s="147">
        <v>5</v>
      </c>
      <c r="G221" s="147">
        <v>2</v>
      </c>
      <c r="H221" s="148">
        <v>0.66</v>
      </c>
      <c r="I221" s="145"/>
      <c r="J221" s="144" t="s">
        <v>226</v>
      </c>
      <c r="K221" s="149"/>
      <c r="L221" s="150" t="s">
        <v>428</v>
      </c>
      <c r="M221" s="61" t="s">
        <v>193</v>
      </c>
      <c r="N221" s="61" t="s">
        <v>257</v>
      </c>
      <c r="O221" s="61" t="s">
        <v>258</v>
      </c>
      <c r="P221" s="61" t="s">
        <v>718</v>
      </c>
      <c r="Q221" s="218">
        <v>68</v>
      </c>
      <c r="R221" s="61" t="s">
        <v>41</v>
      </c>
      <c r="S221" s="61" t="s">
        <v>45</v>
      </c>
      <c r="T221" s="63" t="s">
        <v>29</v>
      </c>
      <c r="U221" s="171">
        <v>0.23</v>
      </c>
      <c r="V221" s="146">
        <v>0.64</v>
      </c>
      <c r="W221" s="146" t="s">
        <v>353</v>
      </c>
      <c r="X221" s="144" t="s">
        <v>8</v>
      </c>
      <c r="Y221" s="172" t="s">
        <v>189</v>
      </c>
      <c r="Z221" s="173" t="s">
        <v>53</v>
      </c>
      <c r="AA221" s="174" t="s">
        <v>477</v>
      </c>
    </row>
    <row r="222" spans="1:27" x14ac:dyDescent="0.25">
      <c r="A222" s="143">
        <v>45927</v>
      </c>
      <c r="B222" s="144">
        <v>7</v>
      </c>
      <c r="C222" s="145"/>
      <c r="D222" s="144" t="s">
        <v>193</v>
      </c>
      <c r="E222" s="146">
        <v>2.34</v>
      </c>
      <c r="F222" s="147">
        <v>5</v>
      </c>
      <c r="G222" s="147">
        <v>2</v>
      </c>
      <c r="H222" s="148">
        <v>0.66</v>
      </c>
      <c r="I222" s="145"/>
      <c r="J222" s="144" t="s">
        <v>226</v>
      </c>
      <c r="K222" s="149"/>
      <c r="L222" s="150">
        <v>51</v>
      </c>
      <c r="M222" s="61" t="s">
        <v>193</v>
      </c>
      <c r="N222" s="61" t="s">
        <v>200</v>
      </c>
      <c r="O222" s="61" t="s">
        <v>201</v>
      </c>
      <c r="P222" s="61" t="s">
        <v>717</v>
      </c>
      <c r="Q222" s="218">
        <v>89</v>
      </c>
      <c r="R222" s="61" t="s">
        <v>41</v>
      </c>
      <c r="S222" s="61" t="s">
        <v>42</v>
      </c>
      <c r="T222" s="63" t="s">
        <v>7</v>
      </c>
      <c r="U222" s="171">
        <v>0.79</v>
      </c>
      <c r="V222" s="146">
        <v>0.6</v>
      </c>
      <c r="W222" s="146" t="s">
        <v>353</v>
      </c>
      <c r="X222" s="144" t="s">
        <v>8</v>
      </c>
      <c r="Y222" s="172" t="s">
        <v>180</v>
      </c>
      <c r="Z222" s="173"/>
      <c r="AA222" s="174"/>
    </row>
    <row r="223" spans="1:27" x14ac:dyDescent="0.25">
      <c r="A223" s="143">
        <v>45927</v>
      </c>
      <c r="B223" s="144">
        <v>7</v>
      </c>
      <c r="C223" s="145"/>
      <c r="D223" s="144" t="s">
        <v>193</v>
      </c>
      <c r="E223" s="146">
        <v>2.34</v>
      </c>
      <c r="F223" s="147">
        <v>5</v>
      </c>
      <c r="G223" s="147">
        <v>2</v>
      </c>
      <c r="H223" s="148">
        <v>0.66</v>
      </c>
      <c r="I223" s="145"/>
      <c r="J223" s="144" t="s">
        <v>226</v>
      </c>
      <c r="K223" s="149"/>
      <c r="L223" s="150">
        <v>62</v>
      </c>
      <c r="M223" s="61" t="s">
        <v>193</v>
      </c>
      <c r="N223" s="61" t="s">
        <v>257</v>
      </c>
      <c r="O223" s="61" t="s">
        <v>258</v>
      </c>
      <c r="P223" s="61" t="s">
        <v>718</v>
      </c>
      <c r="Q223" s="218">
        <v>68</v>
      </c>
      <c r="R223" s="61" t="s">
        <v>41</v>
      </c>
      <c r="S223" s="61" t="s">
        <v>43</v>
      </c>
      <c r="T223" s="63" t="s">
        <v>10</v>
      </c>
      <c r="U223" s="171">
        <v>0.25</v>
      </c>
      <c r="V223" s="146">
        <v>0.17</v>
      </c>
      <c r="W223" s="146" t="s">
        <v>353</v>
      </c>
      <c r="X223" s="144" t="s">
        <v>48</v>
      </c>
      <c r="Y223" s="172" t="s">
        <v>180</v>
      </c>
      <c r="Z223" s="173"/>
      <c r="AA223" s="174"/>
    </row>
    <row r="224" spans="1:27" ht="15.75" thickBot="1" x14ac:dyDescent="0.3">
      <c r="A224" s="151">
        <v>45927</v>
      </c>
      <c r="B224" s="152">
        <v>7</v>
      </c>
      <c r="C224" s="153"/>
      <c r="D224" s="152" t="s">
        <v>193</v>
      </c>
      <c r="E224" s="154">
        <v>2.34</v>
      </c>
      <c r="F224" s="155">
        <v>5</v>
      </c>
      <c r="G224" s="155">
        <v>2</v>
      </c>
      <c r="H224" s="156">
        <v>0.66</v>
      </c>
      <c r="I224" s="153"/>
      <c r="J224" s="152" t="s">
        <v>226</v>
      </c>
      <c r="K224" s="157"/>
      <c r="L224" s="158" t="s">
        <v>31</v>
      </c>
      <c r="M224" s="66" t="s">
        <v>193</v>
      </c>
      <c r="N224" s="66" t="s">
        <v>206</v>
      </c>
      <c r="O224" s="66" t="s">
        <v>207</v>
      </c>
      <c r="P224" s="66" t="s">
        <v>696</v>
      </c>
      <c r="Q224" s="219">
        <v>74</v>
      </c>
      <c r="R224" s="66" t="s">
        <v>41</v>
      </c>
      <c r="S224" s="66" t="s">
        <v>42</v>
      </c>
      <c r="T224" s="67" t="s">
        <v>10</v>
      </c>
      <c r="U224" s="175">
        <v>0.47</v>
      </c>
      <c r="V224" s="154">
        <v>0.38</v>
      </c>
      <c r="W224" s="154" t="s">
        <v>353</v>
      </c>
      <c r="X224" s="152" t="s">
        <v>8</v>
      </c>
      <c r="Y224" s="176" t="s">
        <v>516</v>
      </c>
      <c r="Z224" s="177" t="s">
        <v>176</v>
      </c>
      <c r="AA224" s="178" t="s">
        <v>673</v>
      </c>
    </row>
    <row r="225" spans="1:27" ht="15.75" thickBot="1" x14ac:dyDescent="0.3">
      <c r="A225" s="206">
        <v>45927</v>
      </c>
      <c r="B225" s="207">
        <v>7</v>
      </c>
      <c r="C225" s="208"/>
      <c r="D225" s="207" t="s">
        <v>193</v>
      </c>
      <c r="E225" s="209">
        <v>2.34</v>
      </c>
      <c r="F225" s="210">
        <v>5</v>
      </c>
      <c r="G225" s="210">
        <v>2</v>
      </c>
      <c r="H225" s="211">
        <v>0.66</v>
      </c>
      <c r="I225" s="208"/>
      <c r="J225" s="207" t="s">
        <v>226</v>
      </c>
      <c r="K225" s="235"/>
      <c r="L225" s="198"/>
      <c r="M225" s="199" t="s">
        <v>193</v>
      </c>
      <c r="N225" s="199" t="s">
        <v>580</v>
      </c>
      <c r="O225" s="199" t="s">
        <v>581</v>
      </c>
      <c r="P225" s="199" t="s">
        <v>707</v>
      </c>
      <c r="Q225" s="200">
        <v>55</v>
      </c>
      <c r="R225" s="199"/>
      <c r="S225" s="199"/>
      <c r="T225" s="201"/>
      <c r="U225" s="202"/>
      <c r="V225" s="203"/>
      <c r="W225" s="203">
        <v>2</v>
      </c>
      <c r="X225" s="199"/>
      <c r="Y225" s="204"/>
      <c r="Z225" s="205"/>
      <c r="AA225" s="201"/>
    </row>
    <row r="226" spans="1:27" ht="15.75" thickBot="1" x14ac:dyDescent="0.3">
      <c r="A226" s="206">
        <v>45927</v>
      </c>
      <c r="B226" s="207">
        <v>7</v>
      </c>
      <c r="C226" s="208"/>
      <c r="D226" s="207" t="s">
        <v>193</v>
      </c>
      <c r="E226" s="209">
        <v>2.34</v>
      </c>
      <c r="F226" s="210">
        <v>5</v>
      </c>
      <c r="G226" s="210">
        <v>2</v>
      </c>
      <c r="H226" s="211">
        <v>0.66</v>
      </c>
      <c r="I226" s="208"/>
      <c r="J226" s="207" t="s">
        <v>226</v>
      </c>
      <c r="K226" s="235"/>
      <c r="L226" s="198"/>
      <c r="M226" s="199" t="s">
        <v>226</v>
      </c>
      <c r="N226" s="199" t="s">
        <v>726</v>
      </c>
      <c r="O226" s="199" t="s">
        <v>727</v>
      </c>
      <c r="P226" s="199" t="s">
        <v>707</v>
      </c>
      <c r="Q226" s="200">
        <v>58</v>
      </c>
      <c r="R226" s="199"/>
      <c r="S226" s="199"/>
      <c r="T226" s="201"/>
      <c r="U226" s="202"/>
      <c r="V226" s="203"/>
      <c r="W226" s="203">
        <v>5</v>
      </c>
      <c r="X226" s="199"/>
      <c r="Y226" s="204"/>
      <c r="Z226" s="205"/>
      <c r="AA226" s="201"/>
    </row>
    <row r="227" spans="1:27" x14ac:dyDescent="0.25">
      <c r="A227" s="29">
        <v>45888</v>
      </c>
      <c r="B227" s="5">
        <v>1</v>
      </c>
      <c r="D227" s="5" t="s">
        <v>226</v>
      </c>
      <c r="E227" s="6">
        <v>1.64</v>
      </c>
      <c r="F227" s="7">
        <v>1</v>
      </c>
      <c r="G227" s="7">
        <v>0</v>
      </c>
      <c r="H227" s="8">
        <v>0.36</v>
      </c>
      <c r="J227" s="5" t="s">
        <v>227</v>
      </c>
      <c r="L227" s="56">
        <v>51</v>
      </c>
      <c r="M227" s="61" t="s">
        <v>226</v>
      </c>
      <c r="N227" s="61" t="s">
        <v>231</v>
      </c>
      <c r="O227" s="61" t="s">
        <v>232</v>
      </c>
      <c r="P227" s="61" t="s">
        <v>684</v>
      </c>
      <c r="Q227" s="218">
        <v>83</v>
      </c>
      <c r="R227" s="61" t="s">
        <v>41</v>
      </c>
      <c r="S227" s="61" t="s">
        <v>42</v>
      </c>
      <c r="T227" s="63" t="s">
        <v>7</v>
      </c>
      <c r="U227" s="51">
        <v>0.79</v>
      </c>
      <c r="V227" s="6">
        <v>0.84</v>
      </c>
      <c r="W227" s="6" t="s">
        <v>353</v>
      </c>
      <c r="X227" s="5" t="s">
        <v>8</v>
      </c>
      <c r="Y227" s="112" t="s">
        <v>19</v>
      </c>
    </row>
    <row r="228" spans="1:27" ht="15.75" thickBot="1" x14ac:dyDescent="0.3">
      <c r="A228" s="206">
        <v>45888</v>
      </c>
      <c r="B228" s="207">
        <v>1</v>
      </c>
      <c r="C228" s="208"/>
      <c r="D228" s="207" t="s">
        <v>226</v>
      </c>
      <c r="E228" s="209">
        <v>1.64</v>
      </c>
      <c r="F228" s="210">
        <v>1</v>
      </c>
      <c r="G228" s="210">
        <v>0</v>
      </c>
      <c r="H228" s="211">
        <v>0.36</v>
      </c>
      <c r="I228" s="208"/>
      <c r="J228" s="207" t="s">
        <v>227</v>
      </c>
      <c r="K228" s="197"/>
      <c r="L228" s="198"/>
      <c r="M228" s="199" t="s">
        <v>226</v>
      </c>
      <c r="N228" s="199" t="s">
        <v>726</v>
      </c>
      <c r="O228" s="199" t="s">
        <v>727</v>
      </c>
      <c r="P228" s="199" t="s">
        <v>707</v>
      </c>
      <c r="Q228" s="200">
        <v>68</v>
      </c>
      <c r="R228" s="199"/>
      <c r="S228" s="199"/>
      <c r="T228" s="201"/>
      <c r="U228" s="202"/>
      <c r="V228" s="203"/>
      <c r="W228" s="203">
        <v>0</v>
      </c>
      <c r="X228" s="199"/>
      <c r="Y228" s="204"/>
      <c r="Z228" s="205"/>
      <c r="AA228" s="201"/>
    </row>
    <row r="229" spans="1:27" ht="15.75" thickBot="1" x14ac:dyDescent="0.3">
      <c r="A229" s="206">
        <v>45888</v>
      </c>
      <c r="B229" s="207">
        <v>1</v>
      </c>
      <c r="C229" s="208"/>
      <c r="D229" s="207" t="s">
        <v>226</v>
      </c>
      <c r="E229" s="209">
        <v>1.64</v>
      </c>
      <c r="F229" s="210">
        <v>1</v>
      </c>
      <c r="G229" s="210">
        <v>0</v>
      </c>
      <c r="H229" s="211">
        <v>0.36</v>
      </c>
      <c r="I229" s="208"/>
      <c r="J229" s="207" t="s">
        <v>227</v>
      </c>
      <c r="K229" s="197"/>
      <c r="L229" s="198"/>
      <c r="M229" s="199" t="s">
        <v>227</v>
      </c>
      <c r="N229" s="199" t="s">
        <v>298</v>
      </c>
      <c r="O229" s="199" t="s">
        <v>86</v>
      </c>
      <c r="P229" s="199" t="s">
        <v>707</v>
      </c>
      <c r="Q229" s="200">
        <v>71</v>
      </c>
      <c r="R229" s="199"/>
      <c r="S229" s="199"/>
      <c r="T229" s="201"/>
      <c r="U229" s="202"/>
      <c r="V229" s="203"/>
      <c r="W229" s="203">
        <v>1</v>
      </c>
      <c r="X229" s="199"/>
      <c r="Y229" s="204"/>
      <c r="Z229" s="205"/>
      <c r="AA229" s="201"/>
    </row>
    <row r="230" spans="1:27" x14ac:dyDescent="0.25">
      <c r="A230" s="29">
        <v>45900</v>
      </c>
      <c r="B230" s="5">
        <v>3</v>
      </c>
      <c r="D230" s="5" t="s">
        <v>192</v>
      </c>
      <c r="E230" s="6">
        <v>1.21</v>
      </c>
      <c r="F230" s="7">
        <v>1</v>
      </c>
      <c r="G230" s="7">
        <v>0</v>
      </c>
      <c r="H230" s="8">
        <v>1.37</v>
      </c>
      <c r="J230" s="5" t="s">
        <v>227</v>
      </c>
      <c r="L230" s="56">
        <v>14</v>
      </c>
      <c r="M230" s="61" t="s">
        <v>192</v>
      </c>
      <c r="N230" s="61" t="s">
        <v>198</v>
      </c>
      <c r="O230" s="61" t="s">
        <v>199</v>
      </c>
      <c r="P230" s="61" t="s">
        <v>699</v>
      </c>
      <c r="Q230" s="218">
        <v>65</v>
      </c>
      <c r="R230" s="61" t="s">
        <v>354</v>
      </c>
      <c r="S230" s="61" t="s">
        <v>43</v>
      </c>
      <c r="T230" s="63" t="s">
        <v>10</v>
      </c>
      <c r="U230" s="51">
        <v>0.06</v>
      </c>
      <c r="V230" s="6">
        <v>0.17</v>
      </c>
      <c r="W230" s="6" t="s">
        <v>353</v>
      </c>
      <c r="X230" s="5" t="s">
        <v>48</v>
      </c>
      <c r="Y230" s="112" t="s">
        <v>28</v>
      </c>
    </row>
    <row r="231" spans="1:27" x14ac:dyDescent="0.25">
      <c r="A231" s="29">
        <v>45900</v>
      </c>
      <c r="B231" s="5">
        <v>3</v>
      </c>
      <c r="D231" s="5" t="s">
        <v>192</v>
      </c>
      <c r="E231" s="6">
        <v>1.21</v>
      </c>
      <c r="F231" s="7">
        <v>1</v>
      </c>
      <c r="G231" s="7">
        <v>0</v>
      </c>
      <c r="H231" s="8">
        <v>1.37</v>
      </c>
      <c r="J231" s="5" t="s">
        <v>227</v>
      </c>
      <c r="L231" s="56">
        <v>14</v>
      </c>
      <c r="M231" s="61" t="s">
        <v>192</v>
      </c>
      <c r="N231" s="61" t="s">
        <v>196</v>
      </c>
      <c r="O231" s="61" t="s">
        <v>75</v>
      </c>
      <c r="P231" s="61" t="s">
        <v>684</v>
      </c>
      <c r="Q231" s="218">
        <v>65</v>
      </c>
      <c r="R231" s="61" t="s">
        <v>41</v>
      </c>
      <c r="S231" s="61" t="s">
        <v>42</v>
      </c>
      <c r="T231" s="63" t="s">
        <v>10</v>
      </c>
      <c r="U231" s="51">
        <v>0.22</v>
      </c>
      <c r="V231" s="6">
        <v>0.48</v>
      </c>
      <c r="W231" s="6" t="s">
        <v>353</v>
      </c>
      <c r="X231" s="5" t="s">
        <v>48</v>
      </c>
      <c r="Y231" s="112" t="s">
        <v>28</v>
      </c>
    </row>
    <row r="232" spans="1:27" x14ac:dyDescent="0.25">
      <c r="A232" s="29">
        <v>45900</v>
      </c>
      <c r="B232" s="5">
        <v>3</v>
      </c>
      <c r="D232" s="5" t="s">
        <v>192</v>
      </c>
      <c r="E232" s="6">
        <v>1.21</v>
      </c>
      <c r="F232" s="7">
        <v>1</v>
      </c>
      <c r="G232" s="7">
        <v>0</v>
      </c>
      <c r="H232" s="8">
        <v>1.37</v>
      </c>
      <c r="J232" s="5" t="s">
        <v>227</v>
      </c>
      <c r="L232" s="56" t="s">
        <v>63</v>
      </c>
      <c r="M232" s="26" t="s">
        <v>227</v>
      </c>
      <c r="N232" s="26" t="s">
        <v>135</v>
      </c>
      <c r="O232" s="26" t="s">
        <v>346</v>
      </c>
      <c r="P232" s="26" t="s">
        <v>688</v>
      </c>
      <c r="Q232" s="213">
        <v>69</v>
      </c>
      <c r="R232" s="26" t="s">
        <v>47</v>
      </c>
      <c r="S232" s="26" t="s">
        <v>42</v>
      </c>
      <c r="T232" s="43" t="s">
        <v>10</v>
      </c>
      <c r="U232" s="51">
        <v>0.11</v>
      </c>
      <c r="V232" s="6" t="s">
        <v>53</v>
      </c>
      <c r="W232" s="6" t="s">
        <v>353</v>
      </c>
      <c r="X232" s="5" t="s">
        <v>17</v>
      </c>
      <c r="Y232" s="112" t="s">
        <v>28</v>
      </c>
    </row>
    <row r="233" spans="1:27" x14ac:dyDescent="0.25">
      <c r="A233" s="29">
        <v>45900</v>
      </c>
      <c r="B233" s="5">
        <v>3</v>
      </c>
      <c r="D233" s="5" t="s">
        <v>192</v>
      </c>
      <c r="E233" s="6">
        <v>1.21</v>
      </c>
      <c r="F233" s="7">
        <v>1</v>
      </c>
      <c r="G233" s="7">
        <v>0</v>
      </c>
      <c r="H233" s="8">
        <v>1.37</v>
      </c>
      <c r="J233" s="5" t="s">
        <v>227</v>
      </c>
      <c r="L233" s="56" t="s">
        <v>35</v>
      </c>
      <c r="M233" s="26" t="s">
        <v>227</v>
      </c>
      <c r="N233" s="26" t="s">
        <v>347</v>
      </c>
      <c r="O233" s="26" t="s">
        <v>348</v>
      </c>
      <c r="P233" s="26" t="s">
        <v>728</v>
      </c>
      <c r="Q233" s="213">
        <v>60</v>
      </c>
      <c r="R233" s="26" t="s">
        <v>47</v>
      </c>
      <c r="S233" s="26" t="s">
        <v>42</v>
      </c>
      <c r="T233" s="43" t="s">
        <v>10</v>
      </c>
      <c r="U233" s="51">
        <v>0.68</v>
      </c>
      <c r="V233" s="6" t="s">
        <v>53</v>
      </c>
      <c r="W233" s="6" t="s">
        <v>353</v>
      </c>
      <c r="X233" s="5" t="s">
        <v>13</v>
      </c>
      <c r="Y233" s="112" t="s">
        <v>19</v>
      </c>
    </row>
    <row r="234" spans="1:27" ht="15.75" thickBot="1" x14ac:dyDescent="0.3">
      <c r="A234" s="206">
        <v>45900</v>
      </c>
      <c r="B234" s="207">
        <v>3</v>
      </c>
      <c r="C234" s="208"/>
      <c r="D234" s="207" t="s">
        <v>192</v>
      </c>
      <c r="E234" s="209">
        <v>1.21</v>
      </c>
      <c r="F234" s="210">
        <v>1</v>
      </c>
      <c r="G234" s="210">
        <v>0</v>
      </c>
      <c r="H234" s="211">
        <v>1.37</v>
      </c>
      <c r="I234" s="208"/>
      <c r="J234" s="207" t="s">
        <v>227</v>
      </c>
      <c r="K234" s="235"/>
      <c r="L234" s="198"/>
      <c r="M234" s="199" t="s">
        <v>192</v>
      </c>
      <c r="N234" s="199" t="s">
        <v>723</v>
      </c>
      <c r="O234" s="199" t="s">
        <v>724</v>
      </c>
      <c r="P234" s="199" t="s">
        <v>707</v>
      </c>
      <c r="Q234" s="200">
        <v>73</v>
      </c>
      <c r="R234" s="199"/>
      <c r="S234" s="199"/>
      <c r="T234" s="201"/>
      <c r="U234" s="202"/>
      <c r="V234" s="203"/>
      <c r="W234" s="203">
        <v>0</v>
      </c>
      <c r="X234" s="199"/>
      <c r="Y234" s="204"/>
      <c r="Z234" s="205"/>
      <c r="AA234" s="201"/>
    </row>
    <row r="235" spans="1:27" ht="15.75" thickBot="1" x14ac:dyDescent="0.3">
      <c r="A235" s="206">
        <v>45900</v>
      </c>
      <c r="B235" s="207">
        <v>3</v>
      </c>
      <c r="C235" s="208"/>
      <c r="D235" s="207" t="s">
        <v>192</v>
      </c>
      <c r="E235" s="209">
        <v>1.21</v>
      </c>
      <c r="F235" s="210">
        <v>1</v>
      </c>
      <c r="G235" s="210">
        <v>0</v>
      </c>
      <c r="H235" s="211">
        <v>1.37</v>
      </c>
      <c r="I235" s="208"/>
      <c r="J235" s="207" t="s">
        <v>227</v>
      </c>
      <c r="K235" s="235"/>
      <c r="L235" s="198"/>
      <c r="M235" s="199" t="s">
        <v>227</v>
      </c>
      <c r="N235" s="199" t="s">
        <v>298</v>
      </c>
      <c r="O235" s="199" t="s">
        <v>86</v>
      </c>
      <c r="P235" s="199" t="s">
        <v>707</v>
      </c>
      <c r="Q235" s="200">
        <v>76</v>
      </c>
      <c r="R235" s="199"/>
      <c r="S235" s="199"/>
      <c r="T235" s="201"/>
      <c r="U235" s="202"/>
      <c r="V235" s="203"/>
      <c r="W235" s="203">
        <v>1</v>
      </c>
      <c r="X235" s="199"/>
      <c r="Y235" s="204"/>
      <c r="Z235" s="205"/>
      <c r="AA235" s="201"/>
    </row>
    <row r="236" spans="1:27" x14ac:dyDescent="0.25">
      <c r="A236" s="32">
        <v>45920</v>
      </c>
      <c r="B236" s="13">
        <v>5</v>
      </c>
      <c r="C236" s="124" t="s">
        <v>694</v>
      </c>
      <c r="D236" s="13" t="s">
        <v>91</v>
      </c>
      <c r="E236" s="14">
        <v>2.5499999999999998</v>
      </c>
      <c r="F236" s="15">
        <v>2</v>
      </c>
      <c r="G236" s="15">
        <v>1</v>
      </c>
      <c r="H236" s="16">
        <v>1.8</v>
      </c>
      <c r="I236" s="124" t="s">
        <v>700</v>
      </c>
      <c r="J236" s="13" t="s">
        <v>227</v>
      </c>
      <c r="K236" s="47" t="s">
        <v>451</v>
      </c>
      <c r="L236" s="98">
        <v>3</v>
      </c>
      <c r="M236" s="79" t="s">
        <v>227</v>
      </c>
      <c r="N236" s="79" t="s">
        <v>65</v>
      </c>
      <c r="O236" s="79" t="s">
        <v>450</v>
      </c>
      <c r="P236" s="79" t="s">
        <v>712</v>
      </c>
      <c r="Q236" s="224">
        <v>69</v>
      </c>
      <c r="R236" s="79" t="s">
        <v>41</v>
      </c>
      <c r="S236" s="79" t="s">
        <v>43</v>
      </c>
      <c r="T236" s="80" t="s">
        <v>33</v>
      </c>
      <c r="U236" s="54">
        <v>0.39</v>
      </c>
      <c r="V236" s="14" t="s">
        <v>53</v>
      </c>
      <c r="W236" s="14" t="s">
        <v>353</v>
      </c>
      <c r="X236" s="13" t="s">
        <v>13</v>
      </c>
      <c r="Y236" s="115" t="s">
        <v>28</v>
      </c>
      <c r="Z236" s="110"/>
      <c r="AA236" s="60"/>
    </row>
    <row r="237" spans="1:27" x14ac:dyDescent="0.25">
      <c r="A237" s="29">
        <v>45920</v>
      </c>
      <c r="B237" s="5">
        <v>5</v>
      </c>
      <c r="D237" s="5" t="s">
        <v>91</v>
      </c>
      <c r="E237" s="6">
        <v>2.5499999999999998</v>
      </c>
      <c r="F237" s="7">
        <v>2</v>
      </c>
      <c r="G237" s="7">
        <v>1</v>
      </c>
      <c r="H237" s="8">
        <v>1.8</v>
      </c>
      <c r="J237" s="5" t="s">
        <v>227</v>
      </c>
      <c r="K237" s="44" t="s">
        <v>451</v>
      </c>
      <c r="L237" s="56">
        <v>33</v>
      </c>
      <c r="M237" s="61" t="s">
        <v>91</v>
      </c>
      <c r="N237" s="61" t="s">
        <v>445</v>
      </c>
      <c r="O237" s="61" t="s">
        <v>446</v>
      </c>
      <c r="P237" s="61" t="s">
        <v>686</v>
      </c>
      <c r="Q237" s="218">
        <v>68</v>
      </c>
      <c r="R237" s="61" t="s">
        <v>41</v>
      </c>
      <c r="S237" s="61" t="s">
        <v>42</v>
      </c>
      <c r="T237" s="63" t="s">
        <v>10</v>
      </c>
      <c r="U237" s="51">
        <v>0.33</v>
      </c>
      <c r="V237" s="6">
        <v>0.49</v>
      </c>
      <c r="W237" s="6" t="s">
        <v>353</v>
      </c>
      <c r="X237" s="5" t="s">
        <v>48</v>
      </c>
      <c r="Y237" s="112" t="s">
        <v>28</v>
      </c>
    </row>
    <row r="238" spans="1:27" x14ac:dyDescent="0.25">
      <c r="A238" s="29">
        <v>45920</v>
      </c>
      <c r="B238" s="5">
        <v>5</v>
      </c>
      <c r="D238" s="5" t="s">
        <v>91</v>
      </c>
      <c r="E238" s="6">
        <v>2.5499999999999998</v>
      </c>
      <c r="F238" s="7">
        <v>2</v>
      </c>
      <c r="G238" s="7">
        <v>1</v>
      </c>
      <c r="H238" s="8">
        <v>1.8</v>
      </c>
      <c r="J238" s="5" t="s">
        <v>227</v>
      </c>
      <c r="K238" s="44" t="s">
        <v>451</v>
      </c>
      <c r="L238" s="56">
        <v>35</v>
      </c>
      <c r="M238" s="61" t="s">
        <v>91</v>
      </c>
      <c r="N238" s="61" t="s">
        <v>443</v>
      </c>
      <c r="O238" s="61" t="s">
        <v>444</v>
      </c>
      <c r="P238" s="61" t="s">
        <v>717</v>
      </c>
      <c r="Q238" s="218">
        <v>73</v>
      </c>
      <c r="R238" s="61" t="s">
        <v>41</v>
      </c>
      <c r="S238" s="61" t="s">
        <v>43</v>
      </c>
      <c r="T238" s="63" t="s">
        <v>33</v>
      </c>
      <c r="U238" s="51">
        <v>0.23</v>
      </c>
      <c r="V238" s="6">
        <v>0.83</v>
      </c>
      <c r="W238" s="6" t="s">
        <v>353</v>
      </c>
      <c r="X238" s="5" t="s">
        <v>48</v>
      </c>
      <c r="Y238" s="112" t="s">
        <v>28</v>
      </c>
    </row>
    <row r="239" spans="1:27" x14ac:dyDescent="0.25">
      <c r="A239" s="29">
        <v>45920</v>
      </c>
      <c r="B239" s="5">
        <v>5</v>
      </c>
      <c r="D239" s="5" t="s">
        <v>91</v>
      </c>
      <c r="E239" s="6">
        <v>2.5499999999999998</v>
      </c>
      <c r="F239" s="7">
        <v>2</v>
      </c>
      <c r="G239" s="7">
        <v>1</v>
      </c>
      <c r="H239" s="8">
        <v>1.8</v>
      </c>
      <c r="J239" s="5" t="s">
        <v>227</v>
      </c>
      <c r="K239" s="44" t="s">
        <v>451</v>
      </c>
      <c r="L239" s="56" t="s">
        <v>123</v>
      </c>
      <c r="M239" s="26" t="s">
        <v>227</v>
      </c>
      <c r="N239" s="26" t="s">
        <v>238</v>
      </c>
      <c r="O239" s="26" t="s">
        <v>239</v>
      </c>
      <c r="P239" s="26" t="s">
        <v>684</v>
      </c>
      <c r="Q239" s="213">
        <v>71</v>
      </c>
      <c r="R239" s="26" t="s">
        <v>41</v>
      </c>
      <c r="S239" s="26" t="s">
        <v>43</v>
      </c>
      <c r="T239" s="43" t="s">
        <v>7</v>
      </c>
      <c r="U239" s="51">
        <v>0.79</v>
      </c>
      <c r="V239" s="6">
        <v>0.81</v>
      </c>
      <c r="W239" s="6" t="s">
        <v>353</v>
      </c>
      <c r="X239" s="5" t="s">
        <v>8</v>
      </c>
      <c r="Y239" s="112" t="s">
        <v>9</v>
      </c>
    </row>
    <row r="240" spans="1:27" x14ac:dyDescent="0.25">
      <c r="A240" s="29">
        <v>45920</v>
      </c>
      <c r="B240" s="5">
        <v>5</v>
      </c>
      <c r="D240" s="5" t="s">
        <v>91</v>
      </c>
      <c r="E240" s="6">
        <v>2.5499999999999998</v>
      </c>
      <c r="F240" s="7">
        <v>2</v>
      </c>
      <c r="G240" s="7">
        <v>1</v>
      </c>
      <c r="H240" s="8">
        <v>1.8</v>
      </c>
      <c r="J240" s="5" t="s">
        <v>227</v>
      </c>
      <c r="K240" s="44" t="s">
        <v>451</v>
      </c>
      <c r="L240" s="56">
        <v>62</v>
      </c>
      <c r="M240" s="61" t="s">
        <v>91</v>
      </c>
      <c r="N240" s="61" t="s">
        <v>49</v>
      </c>
      <c r="O240" s="61" t="s">
        <v>50</v>
      </c>
      <c r="P240" s="61" t="s">
        <v>695</v>
      </c>
      <c r="Q240" s="218">
        <v>77</v>
      </c>
      <c r="R240" s="61" t="s">
        <v>41</v>
      </c>
      <c r="S240" s="61" t="s">
        <v>45</v>
      </c>
      <c r="T240" s="63" t="s">
        <v>10</v>
      </c>
      <c r="U240" s="51">
        <v>0.12</v>
      </c>
      <c r="V240" s="6" t="s">
        <v>53</v>
      </c>
      <c r="W240" s="6" t="s">
        <v>353</v>
      </c>
      <c r="X240" s="5" t="s">
        <v>55</v>
      </c>
      <c r="Y240" s="112" t="s">
        <v>9</v>
      </c>
    </row>
    <row r="241" spans="1:27" x14ac:dyDescent="0.25">
      <c r="A241" s="29">
        <v>45920</v>
      </c>
      <c r="B241" s="5">
        <v>5</v>
      </c>
      <c r="D241" s="5" t="s">
        <v>91</v>
      </c>
      <c r="E241" s="6">
        <v>2.5499999999999998</v>
      </c>
      <c r="F241" s="7">
        <v>2</v>
      </c>
      <c r="G241" s="7">
        <v>1</v>
      </c>
      <c r="H241" s="8">
        <v>1.8</v>
      </c>
      <c r="J241" s="5" t="s">
        <v>227</v>
      </c>
      <c r="K241" s="44" t="s">
        <v>451</v>
      </c>
      <c r="L241" s="56">
        <v>69</v>
      </c>
      <c r="M241" s="61" t="s">
        <v>91</v>
      </c>
      <c r="N241" s="61" t="s">
        <v>443</v>
      </c>
      <c r="O241" s="61" t="s">
        <v>444</v>
      </c>
      <c r="P241" s="61" t="s">
        <v>717</v>
      </c>
      <c r="Q241" s="218">
        <v>73</v>
      </c>
      <c r="R241" s="61" t="s">
        <v>41</v>
      </c>
      <c r="S241" s="61" t="s">
        <v>45</v>
      </c>
      <c r="T241" s="63" t="s">
        <v>10</v>
      </c>
      <c r="U241" s="51">
        <v>0.19</v>
      </c>
      <c r="V241" s="6">
        <v>0.68</v>
      </c>
      <c r="W241" s="6" t="s">
        <v>353</v>
      </c>
      <c r="X241" s="5" t="s">
        <v>8</v>
      </c>
      <c r="Y241" s="112" t="s">
        <v>51</v>
      </c>
      <c r="Z241" s="108" t="s">
        <v>495</v>
      </c>
      <c r="AA241" s="57" t="s">
        <v>496</v>
      </c>
    </row>
    <row r="242" spans="1:27" x14ac:dyDescent="0.25">
      <c r="A242" s="29">
        <v>45920</v>
      </c>
      <c r="B242" s="5">
        <v>5</v>
      </c>
      <c r="D242" s="5" t="s">
        <v>91</v>
      </c>
      <c r="E242" s="6">
        <v>2.5499999999999998</v>
      </c>
      <c r="F242" s="7">
        <v>2</v>
      </c>
      <c r="G242" s="7">
        <v>1</v>
      </c>
      <c r="H242" s="8">
        <v>1.8</v>
      </c>
      <c r="J242" s="5" t="s">
        <v>227</v>
      </c>
      <c r="K242" s="44" t="s">
        <v>451</v>
      </c>
      <c r="L242" s="56">
        <v>79</v>
      </c>
      <c r="M242" s="61" t="s">
        <v>91</v>
      </c>
      <c r="N242" s="61" t="s">
        <v>443</v>
      </c>
      <c r="O242" s="61" t="s">
        <v>444</v>
      </c>
      <c r="P242" s="61" t="s">
        <v>717</v>
      </c>
      <c r="Q242" s="218">
        <v>73</v>
      </c>
      <c r="R242" s="61" t="s">
        <v>47</v>
      </c>
      <c r="S242" s="61" t="s">
        <v>42</v>
      </c>
      <c r="T242" s="63" t="s">
        <v>10</v>
      </c>
      <c r="U242" s="51">
        <v>0.46</v>
      </c>
      <c r="V242" s="6" t="s">
        <v>53</v>
      </c>
      <c r="W242" s="6" t="s">
        <v>353</v>
      </c>
      <c r="X242" s="5" t="s">
        <v>55</v>
      </c>
      <c r="Y242" s="112" t="s">
        <v>51</v>
      </c>
    </row>
    <row r="243" spans="1:27" x14ac:dyDescent="0.25">
      <c r="A243" s="29">
        <v>45920</v>
      </c>
      <c r="B243" s="5">
        <v>5</v>
      </c>
      <c r="D243" s="5" t="s">
        <v>91</v>
      </c>
      <c r="E243" s="6">
        <v>2.5499999999999998</v>
      </c>
      <c r="F243" s="7">
        <v>2</v>
      </c>
      <c r="G243" s="7">
        <v>1</v>
      </c>
      <c r="H243" s="8">
        <v>1.8</v>
      </c>
      <c r="J243" s="5" t="s">
        <v>227</v>
      </c>
      <c r="K243" s="44" t="s">
        <v>451</v>
      </c>
      <c r="L243" s="56">
        <v>88</v>
      </c>
      <c r="M243" s="26" t="s">
        <v>227</v>
      </c>
      <c r="N243" s="26" t="s">
        <v>398</v>
      </c>
      <c r="O243" s="26" t="s">
        <v>399</v>
      </c>
      <c r="P243" s="26" t="s">
        <v>696</v>
      </c>
      <c r="Q243" s="213">
        <v>68</v>
      </c>
      <c r="R243" s="26" t="s">
        <v>47</v>
      </c>
      <c r="S243" s="26" t="s">
        <v>42</v>
      </c>
      <c r="T243" s="43" t="s">
        <v>33</v>
      </c>
      <c r="U243" s="51">
        <v>0.32</v>
      </c>
      <c r="V243" s="6">
        <v>0.74</v>
      </c>
      <c r="W243" s="6" t="s">
        <v>353</v>
      </c>
      <c r="X243" s="5" t="s">
        <v>48</v>
      </c>
      <c r="Y243" s="112" t="s">
        <v>34</v>
      </c>
    </row>
    <row r="244" spans="1:27" x14ac:dyDescent="0.25">
      <c r="A244" s="29">
        <v>45920</v>
      </c>
      <c r="B244" s="5">
        <v>5</v>
      </c>
      <c r="D244" s="5" t="s">
        <v>91</v>
      </c>
      <c r="E244" s="6">
        <v>2.5499999999999998</v>
      </c>
      <c r="F244" s="7">
        <v>2</v>
      </c>
      <c r="G244" s="7">
        <v>1</v>
      </c>
      <c r="H244" s="8">
        <v>1.8</v>
      </c>
      <c r="J244" s="5" t="s">
        <v>227</v>
      </c>
      <c r="K244" s="44" t="s">
        <v>451</v>
      </c>
      <c r="L244" s="56" t="s">
        <v>31</v>
      </c>
      <c r="M244" s="61" t="s">
        <v>91</v>
      </c>
      <c r="N244" s="61" t="s">
        <v>448</v>
      </c>
      <c r="O244" s="61" t="s">
        <v>449</v>
      </c>
      <c r="P244" s="61" t="s">
        <v>696</v>
      </c>
      <c r="Q244" s="218">
        <v>66</v>
      </c>
      <c r="R244" s="61" t="s">
        <v>41</v>
      </c>
      <c r="S244" s="61" t="s">
        <v>43</v>
      </c>
      <c r="T244" s="63" t="s">
        <v>10</v>
      </c>
      <c r="U244" s="51">
        <v>0.37</v>
      </c>
      <c r="V244" s="6">
        <v>0.83</v>
      </c>
      <c r="W244" s="6" t="s">
        <v>353</v>
      </c>
      <c r="X244" s="5" t="s">
        <v>48</v>
      </c>
      <c r="Y244" s="112" t="s">
        <v>34</v>
      </c>
    </row>
    <row r="245" spans="1:27" ht="15.75" thickBot="1" x14ac:dyDescent="0.3">
      <c r="A245" s="206">
        <v>45920</v>
      </c>
      <c r="B245" s="207">
        <v>5</v>
      </c>
      <c r="C245" s="208"/>
      <c r="D245" s="207" t="s">
        <v>91</v>
      </c>
      <c r="E245" s="209">
        <v>2.5499999999999998</v>
      </c>
      <c r="F245" s="210">
        <v>2</v>
      </c>
      <c r="G245" s="210">
        <v>1</v>
      </c>
      <c r="H245" s="211">
        <v>1.8</v>
      </c>
      <c r="I245" s="208"/>
      <c r="J245" s="207" t="s">
        <v>227</v>
      </c>
      <c r="K245" s="235"/>
      <c r="L245" s="198"/>
      <c r="M245" s="199" t="s">
        <v>91</v>
      </c>
      <c r="N245" s="199" t="s">
        <v>351</v>
      </c>
      <c r="O245" s="199" t="s">
        <v>54</v>
      </c>
      <c r="P245" s="199" t="s">
        <v>707</v>
      </c>
      <c r="Q245" s="200">
        <v>76</v>
      </c>
      <c r="R245" s="199"/>
      <c r="S245" s="199"/>
      <c r="T245" s="201"/>
      <c r="U245" s="202"/>
      <c r="V245" s="203"/>
      <c r="W245" s="203">
        <v>1</v>
      </c>
      <c r="X245" s="199"/>
      <c r="Y245" s="204"/>
      <c r="Z245" s="205"/>
      <c r="AA245" s="201"/>
    </row>
    <row r="246" spans="1:27" ht="15.75" thickBot="1" x14ac:dyDescent="0.3">
      <c r="A246" s="206">
        <v>45920</v>
      </c>
      <c r="B246" s="207">
        <v>5</v>
      </c>
      <c r="C246" s="208"/>
      <c r="D246" s="207" t="s">
        <v>91</v>
      </c>
      <c r="E246" s="209">
        <v>2.5499999999999998</v>
      </c>
      <c r="F246" s="210">
        <v>2</v>
      </c>
      <c r="G246" s="210">
        <v>1</v>
      </c>
      <c r="H246" s="211">
        <v>1.8</v>
      </c>
      <c r="I246" s="208"/>
      <c r="J246" s="207" t="s">
        <v>227</v>
      </c>
      <c r="K246" s="235"/>
      <c r="L246" s="198"/>
      <c r="M246" s="199" t="s">
        <v>227</v>
      </c>
      <c r="N246" s="199" t="s">
        <v>298</v>
      </c>
      <c r="O246" s="199" t="s">
        <v>86</v>
      </c>
      <c r="P246" s="199" t="s">
        <v>707</v>
      </c>
      <c r="Q246" s="200">
        <v>87</v>
      </c>
      <c r="R246" s="199"/>
      <c r="S246" s="199"/>
      <c r="T246" s="201"/>
      <c r="U246" s="202"/>
      <c r="V246" s="203"/>
      <c r="W246" s="203">
        <v>2</v>
      </c>
      <c r="X246" s="199"/>
      <c r="Y246" s="204"/>
      <c r="Z246" s="205"/>
      <c r="AA246" s="201"/>
    </row>
    <row r="247" spans="1:27" x14ac:dyDescent="0.25">
      <c r="A247" s="31">
        <v>45928</v>
      </c>
      <c r="B247" s="17">
        <v>7</v>
      </c>
      <c r="C247" s="123" t="s">
        <v>693</v>
      </c>
      <c r="D247" s="17" t="s">
        <v>209</v>
      </c>
      <c r="E247" s="18">
        <v>0.76</v>
      </c>
      <c r="F247" s="19">
        <v>2</v>
      </c>
      <c r="G247" s="19">
        <v>0</v>
      </c>
      <c r="H247" s="20">
        <v>0.7</v>
      </c>
      <c r="I247" s="123" t="s">
        <v>706</v>
      </c>
      <c r="J247" s="17" t="s">
        <v>227</v>
      </c>
      <c r="K247" s="46"/>
      <c r="L247" s="96">
        <v>19</v>
      </c>
      <c r="M247" s="64" t="s">
        <v>209</v>
      </c>
      <c r="N247" s="64" t="s">
        <v>424</v>
      </c>
      <c r="O247" s="64" t="s">
        <v>425</v>
      </c>
      <c r="P247" s="64" t="s">
        <v>685</v>
      </c>
      <c r="Q247" s="217">
        <v>77</v>
      </c>
      <c r="R247" s="64" t="s">
        <v>41</v>
      </c>
      <c r="S247" s="64" t="s">
        <v>42</v>
      </c>
      <c r="T247" s="65" t="s">
        <v>10</v>
      </c>
      <c r="U247" s="53">
        <v>0.28000000000000003</v>
      </c>
      <c r="V247" s="18">
        <v>0.93</v>
      </c>
      <c r="W247" s="18" t="s">
        <v>353</v>
      </c>
      <c r="X247" s="17" t="s">
        <v>8</v>
      </c>
      <c r="Y247" s="114" t="s">
        <v>19</v>
      </c>
      <c r="Z247" s="110" t="s">
        <v>220</v>
      </c>
      <c r="AA247" s="60" t="s">
        <v>221</v>
      </c>
    </row>
    <row r="248" spans="1:27" ht="15.75" thickBot="1" x14ac:dyDescent="0.3">
      <c r="A248" s="206">
        <v>45928</v>
      </c>
      <c r="B248" s="207">
        <v>7</v>
      </c>
      <c r="C248" s="208"/>
      <c r="D248" s="207" t="s">
        <v>209</v>
      </c>
      <c r="E248" s="209">
        <v>0.76</v>
      </c>
      <c r="F248" s="210">
        <v>2</v>
      </c>
      <c r="G248" s="210">
        <v>0</v>
      </c>
      <c r="H248" s="211">
        <v>0.7</v>
      </c>
      <c r="I248" s="208"/>
      <c r="J248" s="207" t="s">
        <v>227</v>
      </c>
      <c r="K248" s="235"/>
      <c r="L248" s="198"/>
      <c r="M248" s="199" t="s">
        <v>209</v>
      </c>
      <c r="N248" s="199" t="s">
        <v>447</v>
      </c>
      <c r="O248" s="199" t="s">
        <v>150</v>
      </c>
      <c r="P248" s="199" t="s">
        <v>707</v>
      </c>
      <c r="Q248" s="200">
        <v>70</v>
      </c>
      <c r="R248" s="199"/>
      <c r="S248" s="199"/>
      <c r="T248" s="201"/>
      <c r="U248" s="202"/>
      <c r="V248" s="203"/>
      <c r="W248" s="203">
        <v>0</v>
      </c>
      <c r="X248" s="199"/>
      <c r="Y248" s="204"/>
      <c r="Z248" s="205"/>
      <c r="AA248" s="201"/>
    </row>
    <row r="249" spans="1:27" ht="15.75" thickBot="1" x14ac:dyDescent="0.3">
      <c r="A249" s="206">
        <v>45928</v>
      </c>
      <c r="B249" s="207">
        <v>7</v>
      </c>
      <c r="C249" s="208"/>
      <c r="D249" s="207" t="s">
        <v>209</v>
      </c>
      <c r="E249" s="209">
        <v>0.76</v>
      </c>
      <c r="F249" s="210">
        <v>2</v>
      </c>
      <c r="G249" s="210">
        <v>0</v>
      </c>
      <c r="H249" s="211">
        <v>0.7</v>
      </c>
      <c r="I249" s="208"/>
      <c r="J249" s="207" t="s">
        <v>227</v>
      </c>
      <c r="K249" s="235"/>
      <c r="L249" s="198"/>
      <c r="M249" s="199" t="s">
        <v>227</v>
      </c>
      <c r="N249" s="199" t="s">
        <v>298</v>
      </c>
      <c r="O249" s="199" t="s">
        <v>86</v>
      </c>
      <c r="P249" s="199" t="s">
        <v>707</v>
      </c>
      <c r="Q249" s="200">
        <v>60</v>
      </c>
      <c r="R249" s="199"/>
      <c r="S249" s="199"/>
      <c r="T249" s="201"/>
      <c r="U249" s="202"/>
      <c r="V249" s="203"/>
      <c r="W249" s="203">
        <v>2</v>
      </c>
      <c r="X249" s="199"/>
      <c r="Y249" s="204"/>
      <c r="Z249" s="205"/>
      <c r="AA249" s="201"/>
    </row>
    <row r="250" spans="1:27" ht="15.75" thickBot="1" x14ac:dyDescent="0.3">
      <c r="A250" s="236"/>
      <c r="B250" s="237"/>
      <c r="C250" s="238"/>
      <c r="D250" s="237"/>
      <c r="E250" s="239"/>
      <c r="F250" s="240"/>
      <c r="G250" s="240"/>
      <c r="H250" s="241"/>
      <c r="I250" s="238"/>
      <c r="J250" s="237"/>
      <c r="K250" s="242"/>
      <c r="L250" s="243"/>
      <c r="M250" s="237"/>
      <c r="N250" s="237"/>
      <c r="O250" s="237"/>
      <c r="P250" s="237"/>
      <c r="Q250" s="240"/>
      <c r="R250" s="237"/>
      <c r="S250" s="237"/>
      <c r="T250" s="244"/>
      <c r="U250" s="245"/>
      <c r="V250" s="239"/>
      <c r="W250" s="239" t="s">
        <v>741</v>
      </c>
      <c r="X250" s="237"/>
      <c r="Y250" s="246"/>
      <c r="Z250" s="247"/>
      <c r="AA250" s="244"/>
    </row>
    <row r="251" spans="1:27" x14ac:dyDescent="0.25">
      <c r="A251" s="135">
        <v>45887</v>
      </c>
      <c r="B251" s="136">
        <v>1</v>
      </c>
      <c r="C251" s="137" t="s">
        <v>692</v>
      </c>
      <c r="D251" s="136" t="s">
        <v>208</v>
      </c>
      <c r="E251" s="138">
        <v>0.64</v>
      </c>
      <c r="F251" s="139">
        <v>1</v>
      </c>
      <c r="G251" s="139">
        <v>1</v>
      </c>
      <c r="H251" s="140">
        <v>1.86</v>
      </c>
      <c r="I251" s="137" t="s">
        <v>693</v>
      </c>
      <c r="J251" s="136" t="s">
        <v>209</v>
      </c>
      <c r="K251" s="141"/>
      <c r="L251" s="142">
        <v>21</v>
      </c>
      <c r="M251" s="77" t="s">
        <v>209</v>
      </c>
      <c r="N251" s="77" t="s">
        <v>214</v>
      </c>
      <c r="O251" s="77" t="s">
        <v>215</v>
      </c>
      <c r="P251" s="77" t="s">
        <v>686</v>
      </c>
      <c r="Q251" s="220">
        <v>78</v>
      </c>
      <c r="R251" s="77" t="s">
        <v>41</v>
      </c>
      <c r="S251" s="77" t="s">
        <v>43</v>
      </c>
      <c r="T251" s="78" t="s">
        <v>10</v>
      </c>
      <c r="U251" s="167">
        <v>0.94</v>
      </c>
      <c r="V251" s="138">
        <v>0.99</v>
      </c>
      <c r="W251" s="138" t="s">
        <v>353</v>
      </c>
      <c r="X251" s="136" t="s">
        <v>8</v>
      </c>
      <c r="Y251" s="168" t="s">
        <v>9</v>
      </c>
      <c r="Z251" s="169" t="s">
        <v>218</v>
      </c>
      <c r="AA251" s="170" t="s">
        <v>219</v>
      </c>
    </row>
    <row r="252" spans="1:27" x14ac:dyDescent="0.25">
      <c r="A252" s="143">
        <v>45887</v>
      </c>
      <c r="B252" s="144">
        <v>1</v>
      </c>
      <c r="C252" s="145"/>
      <c r="D252" s="144" t="s">
        <v>208</v>
      </c>
      <c r="E252" s="146">
        <v>0.64</v>
      </c>
      <c r="F252" s="147">
        <v>1</v>
      </c>
      <c r="G252" s="147">
        <v>1</v>
      </c>
      <c r="H252" s="148">
        <v>1.86</v>
      </c>
      <c r="I252" s="145"/>
      <c r="J252" s="144" t="s">
        <v>209</v>
      </c>
      <c r="K252" s="149"/>
      <c r="L252" s="150">
        <v>63</v>
      </c>
      <c r="M252" s="61" t="s">
        <v>208</v>
      </c>
      <c r="N252" s="61" t="s">
        <v>74</v>
      </c>
      <c r="O252" s="61" t="s">
        <v>211</v>
      </c>
      <c r="P252" s="61" t="s">
        <v>684</v>
      </c>
      <c r="Q252" s="218">
        <v>64</v>
      </c>
      <c r="R252" s="61" t="s">
        <v>47</v>
      </c>
      <c r="S252" s="61" t="s">
        <v>43</v>
      </c>
      <c r="T252" s="63" t="s">
        <v>10</v>
      </c>
      <c r="U252" s="171">
        <v>0.25</v>
      </c>
      <c r="V252" s="146" t="s">
        <v>53</v>
      </c>
      <c r="W252" s="146" t="s">
        <v>353</v>
      </c>
      <c r="X252" s="144" t="s">
        <v>55</v>
      </c>
      <c r="Y252" s="172" t="s">
        <v>9</v>
      </c>
      <c r="Z252" s="173"/>
      <c r="AA252" s="174"/>
    </row>
    <row r="253" spans="1:27" x14ac:dyDescent="0.25">
      <c r="A253" s="143">
        <v>45887</v>
      </c>
      <c r="B253" s="144">
        <v>1</v>
      </c>
      <c r="C253" s="145"/>
      <c r="D253" s="144" t="s">
        <v>208</v>
      </c>
      <c r="E253" s="146">
        <v>0.64</v>
      </c>
      <c r="F253" s="147">
        <v>1</v>
      </c>
      <c r="G253" s="147">
        <v>1</v>
      </c>
      <c r="H253" s="148">
        <v>1.86</v>
      </c>
      <c r="I253" s="145"/>
      <c r="J253" s="144" t="s">
        <v>209</v>
      </c>
      <c r="K253" s="149"/>
      <c r="L253" s="150">
        <v>65</v>
      </c>
      <c r="M253" s="26" t="s">
        <v>209</v>
      </c>
      <c r="N253" s="26" t="s">
        <v>220</v>
      </c>
      <c r="O253" s="26" t="s">
        <v>221</v>
      </c>
      <c r="P253" s="26" t="s">
        <v>684</v>
      </c>
      <c r="Q253" s="213">
        <v>61</v>
      </c>
      <c r="R253" s="26" t="s">
        <v>41</v>
      </c>
      <c r="S253" s="26" t="s">
        <v>42</v>
      </c>
      <c r="T253" s="43" t="s">
        <v>10</v>
      </c>
      <c r="U253" s="171">
        <v>0.25</v>
      </c>
      <c r="V253" s="146" t="s">
        <v>53</v>
      </c>
      <c r="W253" s="146" t="s">
        <v>353</v>
      </c>
      <c r="X253" s="144" t="s">
        <v>22</v>
      </c>
      <c r="Y253" s="172" t="s">
        <v>9</v>
      </c>
      <c r="Z253" s="173"/>
      <c r="AA253" s="174"/>
    </row>
    <row r="254" spans="1:27" ht="15.75" thickBot="1" x14ac:dyDescent="0.3">
      <c r="A254" s="151">
        <v>45887</v>
      </c>
      <c r="B254" s="152">
        <v>1</v>
      </c>
      <c r="C254" s="153"/>
      <c r="D254" s="152" t="s">
        <v>208</v>
      </c>
      <c r="E254" s="154">
        <v>0.64</v>
      </c>
      <c r="F254" s="155">
        <v>1</v>
      </c>
      <c r="G254" s="155">
        <v>1</v>
      </c>
      <c r="H254" s="156">
        <v>1.86</v>
      </c>
      <c r="I254" s="153"/>
      <c r="J254" s="152" t="s">
        <v>209</v>
      </c>
      <c r="K254" s="157"/>
      <c r="L254" s="158">
        <v>81</v>
      </c>
      <c r="M254" s="66" t="s">
        <v>208</v>
      </c>
      <c r="N254" s="66" t="s">
        <v>212</v>
      </c>
      <c r="O254" s="66" t="s">
        <v>213</v>
      </c>
      <c r="P254" s="66" t="s">
        <v>686</v>
      </c>
      <c r="Q254" s="219">
        <v>77</v>
      </c>
      <c r="R254" s="66" t="s">
        <v>41</v>
      </c>
      <c r="S254" s="66" t="s">
        <v>42</v>
      </c>
      <c r="T254" s="67" t="s">
        <v>10</v>
      </c>
      <c r="U254" s="175">
        <v>0.2</v>
      </c>
      <c r="V254" s="154">
        <v>0.71</v>
      </c>
      <c r="W254" s="154" t="s">
        <v>353</v>
      </c>
      <c r="X254" s="152" t="s">
        <v>8</v>
      </c>
      <c r="Y254" s="176" t="s">
        <v>51</v>
      </c>
      <c r="Z254" s="177" t="s">
        <v>466</v>
      </c>
      <c r="AA254" s="178" t="s">
        <v>467</v>
      </c>
    </row>
    <row r="255" spans="1:27" ht="15.75" thickBot="1" x14ac:dyDescent="0.3">
      <c r="A255" s="206">
        <v>45887</v>
      </c>
      <c r="B255" s="207">
        <v>1</v>
      </c>
      <c r="C255" s="208"/>
      <c r="D255" s="207" t="s">
        <v>208</v>
      </c>
      <c r="E255" s="209">
        <v>0.64</v>
      </c>
      <c r="F255" s="210">
        <v>1</v>
      </c>
      <c r="G255" s="210">
        <v>1</v>
      </c>
      <c r="H255" s="211">
        <v>1.86</v>
      </c>
      <c r="I255" s="208"/>
      <c r="J255" s="207" t="s">
        <v>209</v>
      </c>
      <c r="K255" s="197"/>
      <c r="L255" s="198"/>
      <c r="M255" s="199" t="s">
        <v>208</v>
      </c>
      <c r="N255" s="199" t="s">
        <v>433</v>
      </c>
      <c r="O255" s="199" t="s">
        <v>725</v>
      </c>
      <c r="P255" s="199" t="s">
        <v>707</v>
      </c>
      <c r="Q255" s="200">
        <v>78</v>
      </c>
      <c r="R255" s="199"/>
      <c r="S255" s="199"/>
      <c r="T255" s="201"/>
      <c r="U255" s="202"/>
      <c r="V255" s="203"/>
      <c r="W255" s="203">
        <v>1</v>
      </c>
      <c r="X255" s="199"/>
      <c r="Y255" s="204"/>
      <c r="Z255" s="205"/>
      <c r="AA255" s="201"/>
    </row>
    <row r="256" spans="1:27" ht="15.75" thickBot="1" x14ac:dyDescent="0.3">
      <c r="A256" s="206">
        <v>45887</v>
      </c>
      <c r="B256" s="207">
        <v>1</v>
      </c>
      <c r="C256" s="208"/>
      <c r="D256" s="207" t="s">
        <v>208</v>
      </c>
      <c r="E256" s="209">
        <v>0.64</v>
      </c>
      <c r="F256" s="210">
        <v>1</v>
      </c>
      <c r="G256" s="210">
        <v>1</v>
      </c>
      <c r="H256" s="211">
        <v>1.86</v>
      </c>
      <c r="I256" s="208"/>
      <c r="J256" s="207" t="s">
        <v>209</v>
      </c>
      <c r="K256" s="197"/>
      <c r="L256" s="198"/>
      <c r="M256" s="199" t="s">
        <v>209</v>
      </c>
      <c r="N256" s="199" t="s">
        <v>447</v>
      </c>
      <c r="O256" s="199" t="s">
        <v>150</v>
      </c>
      <c r="P256" s="199" t="s">
        <v>707</v>
      </c>
      <c r="Q256" s="200">
        <v>62</v>
      </c>
      <c r="R256" s="199"/>
      <c r="S256" s="199"/>
      <c r="T256" s="201"/>
      <c r="U256" s="202"/>
      <c r="V256" s="203"/>
      <c r="W256" s="203">
        <v>1</v>
      </c>
      <c r="X256" s="199"/>
      <c r="Y256" s="204"/>
      <c r="Z256" s="205"/>
      <c r="AA256" s="201"/>
    </row>
    <row r="257" spans="1:27" x14ac:dyDescent="0.25">
      <c r="A257" s="143">
        <v>45898</v>
      </c>
      <c r="B257" s="144">
        <v>3</v>
      </c>
      <c r="C257" s="145"/>
      <c r="D257" s="144" t="s">
        <v>208</v>
      </c>
      <c r="E257" s="146">
        <v>1.1200000000000001</v>
      </c>
      <c r="F257" s="147">
        <v>2</v>
      </c>
      <c r="G257" s="147">
        <v>0</v>
      </c>
      <c r="H257" s="148">
        <v>0.71</v>
      </c>
      <c r="I257" s="145"/>
      <c r="J257" s="144" t="s">
        <v>129</v>
      </c>
      <c r="K257" s="149"/>
      <c r="L257" s="150">
        <v>27</v>
      </c>
      <c r="M257" s="26" t="s">
        <v>129</v>
      </c>
      <c r="N257" s="73" t="s">
        <v>59</v>
      </c>
      <c r="O257" s="73" t="s">
        <v>191</v>
      </c>
      <c r="P257" s="73" t="s">
        <v>684</v>
      </c>
      <c r="Q257" s="214">
        <v>70</v>
      </c>
      <c r="R257" s="26" t="s">
        <v>41</v>
      </c>
      <c r="S257" s="26" t="s">
        <v>43</v>
      </c>
      <c r="T257" s="43" t="s">
        <v>18</v>
      </c>
      <c r="U257" s="171">
        <v>0.33</v>
      </c>
      <c r="V257" s="146" t="s">
        <v>53</v>
      </c>
      <c r="W257" s="146" t="s">
        <v>353</v>
      </c>
      <c r="X257" s="144" t="s">
        <v>13</v>
      </c>
      <c r="Y257" s="172" t="s">
        <v>28</v>
      </c>
      <c r="Z257" s="173"/>
      <c r="AA257" s="174"/>
    </row>
    <row r="258" spans="1:27" x14ac:dyDescent="0.25">
      <c r="A258" s="143">
        <v>45898</v>
      </c>
      <c r="B258" s="144">
        <v>3</v>
      </c>
      <c r="C258" s="145"/>
      <c r="D258" s="144" t="s">
        <v>208</v>
      </c>
      <c r="E258" s="146">
        <v>1.1200000000000001</v>
      </c>
      <c r="F258" s="147">
        <v>2</v>
      </c>
      <c r="G258" s="147">
        <v>0</v>
      </c>
      <c r="H258" s="148">
        <v>0.71</v>
      </c>
      <c r="I258" s="145"/>
      <c r="J258" s="144" t="s">
        <v>129</v>
      </c>
      <c r="K258" s="149"/>
      <c r="L258" s="150">
        <v>46</v>
      </c>
      <c r="M258" s="61" t="s">
        <v>208</v>
      </c>
      <c r="N258" s="62" t="s">
        <v>61</v>
      </c>
      <c r="O258" s="62" t="s">
        <v>261</v>
      </c>
      <c r="P258" s="62" t="s">
        <v>717</v>
      </c>
      <c r="Q258" s="215">
        <v>79</v>
      </c>
      <c r="R258" s="61" t="s">
        <v>41</v>
      </c>
      <c r="S258" s="61" t="s">
        <v>43</v>
      </c>
      <c r="T258" s="63" t="s">
        <v>18</v>
      </c>
      <c r="U258" s="171">
        <v>0.18</v>
      </c>
      <c r="V258" s="146">
        <v>0.56000000000000005</v>
      </c>
      <c r="W258" s="146" t="s">
        <v>353</v>
      </c>
      <c r="X258" s="144" t="s">
        <v>8</v>
      </c>
      <c r="Y258" s="172" t="s">
        <v>19</v>
      </c>
      <c r="Z258" s="173" t="s">
        <v>74</v>
      </c>
      <c r="AA258" s="174" t="s">
        <v>211</v>
      </c>
    </row>
    <row r="259" spans="1:27" ht="15.75" thickBot="1" x14ac:dyDescent="0.3">
      <c r="A259" s="206">
        <v>45898</v>
      </c>
      <c r="B259" s="207">
        <v>3</v>
      </c>
      <c r="C259" s="208"/>
      <c r="D259" s="207" t="s">
        <v>208</v>
      </c>
      <c r="E259" s="209">
        <v>1.1200000000000001</v>
      </c>
      <c r="F259" s="210">
        <v>2</v>
      </c>
      <c r="G259" s="210">
        <v>0</v>
      </c>
      <c r="H259" s="211">
        <v>0.71</v>
      </c>
      <c r="I259" s="208"/>
      <c r="J259" s="207" t="s">
        <v>129</v>
      </c>
      <c r="K259" s="197"/>
      <c r="L259" s="198"/>
      <c r="M259" s="199" t="s">
        <v>208</v>
      </c>
      <c r="N259" s="199" t="s">
        <v>433</v>
      </c>
      <c r="O259" s="199" t="s">
        <v>725</v>
      </c>
      <c r="P259" s="199" t="s">
        <v>707</v>
      </c>
      <c r="Q259" s="200">
        <v>71</v>
      </c>
      <c r="R259" s="199"/>
      <c r="S259" s="199"/>
      <c r="T259" s="201"/>
      <c r="U259" s="202"/>
      <c r="V259" s="203"/>
      <c r="W259" s="203">
        <v>0</v>
      </c>
      <c r="X259" s="199"/>
      <c r="Y259" s="204"/>
      <c r="Z259" s="205"/>
      <c r="AA259" s="201"/>
    </row>
    <row r="260" spans="1:27" ht="15.75" thickBot="1" x14ac:dyDescent="0.3">
      <c r="A260" s="206">
        <v>45898</v>
      </c>
      <c r="B260" s="207">
        <v>3</v>
      </c>
      <c r="C260" s="208"/>
      <c r="D260" s="207" t="s">
        <v>208</v>
      </c>
      <c r="E260" s="209">
        <v>1.1200000000000001</v>
      </c>
      <c r="F260" s="210">
        <v>2</v>
      </c>
      <c r="G260" s="210">
        <v>0</v>
      </c>
      <c r="H260" s="211">
        <v>0.71</v>
      </c>
      <c r="I260" s="208"/>
      <c r="J260" s="207" t="s">
        <v>129</v>
      </c>
      <c r="K260" s="197"/>
      <c r="L260" s="198"/>
      <c r="M260" s="199" t="s">
        <v>129</v>
      </c>
      <c r="N260" s="199" t="s">
        <v>731</v>
      </c>
      <c r="O260" s="199" t="s">
        <v>732</v>
      </c>
      <c r="P260" s="199" t="s">
        <v>707</v>
      </c>
      <c r="Q260" s="200">
        <v>64</v>
      </c>
      <c r="R260" s="199"/>
      <c r="S260" s="199"/>
      <c r="T260" s="201"/>
      <c r="U260" s="202"/>
      <c r="V260" s="203"/>
      <c r="W260" s="203">
        <v>2</v>
      </c>
      <c r="X260" s="199"/>
      <c r="Y260" s="204"/>
      <c r="Z260" s="205"/>
      <c r="AA260" s="201"/>
    </row>
    <row r="261" spans="1:27" x14ac:dyDescent="0.25">
      <c r="A261" s="159">
        <v>45921</v>
      </c>
      <c r="B261" s="160">
        <v>5</v>
      </c>
      <c r="C261" s="161" t="s">
        <v>705</v>
      </c>
      <c r="D261" s="160" t="s">
        <v>208</v>
      </c>
      <c r="E261" s="162">
        <v>1.55</v>
      </c>
      <c r="F261" s="163">
        <v>1</v>
      </c>
      <c r="G261" s="163">
        <v>0</v>
      </c>
      <c r="H261" s="164">
        <v>1.0900000000000001</v>
      </c>
      <c r="I261" s="161" t="s">
        <v>693</v>
      </c>
      <c r="J261" s="160" t="s">
        <v>92</v>
      </c>
      <c r="K261" s="165"/>
      <c r="L261" s="166">
        <v>1</v>
      </c>
      <c r="M261" s="79" t="s">
        <v>92</v>
      </c>
      <c r="N261" s="79" t="s">
        <v>108</v>
      </c>
      <c r="O261" s="79" t="s">
        <v>109</v>
      </c>
      <c r="P261" s="79" t="s">
        <v>684</v>
      </c>
      <c r="Q261" s="224">
        <v>68</v>
      </c>
      <c r="R261" s="79" t="s">
        <v>44</v>
      </c>
      <c r="S261" s="79" t="s">
        <v>42</v>
      </c>
      <c r="T261" s="80" t="s">
        <v>540</v>
      </c>
      <c r="U261" s="179">
        <v>0.11</v>
      </c>
      <c r="V261" s="162" t="s">
        <v>53</v>
      </c>
      <c r="W261" s="162" t="s">
        <v>353</v>
      </c>
      <c r="X261" s="160" t="s">
        <v>13</v>
      </c>
      <c r="Y261" s="180" t="s">
        <v>28</v>
      </c>
      <c r="Z261" s="169"/>
      <c r="AA261" s="170"/>
    </row>
    <row r="262" spans="1:27" x14ac:dyDescent="0.25">
      <c r="A262" s="143">
        <v>45921</v>
      </c>
      <c r="B262" s="144">
        <v>5</v>
      </c>
      <c r="C262" s="145"/>
      <c r="D262" s="144" t="s">
        <v>208</v>
      </c>
      <c r="E262" s="146">
        <v>1.55</v>
      </c>
      <c r="F262" s="147">
        <v>1</v>
      </c>
      <c r="G262" s="147">
        <v>0</v>
      </c>
      <c r="H262" s="148">
        <v>1.0900000000000001</v>
      </c>
      <c r="I262" s="145"/>
      <c r="J262" s="144" t="s">
        <v>92</v>
      </c>
      <c r="K262" s="149"/>
      <c r="L262" s="150">
        <v>9</v>
      </c>
      <c r="M262" s="61" t="s">
        <v>208</v>
      </c>
      <c r="N262" s="61" t="s">
        <v>362</v>
      </c>
      <c r="O262" s="61" t="s">
        <v>363</v>
      </c>
      <c r="P262" s="61" t="s">
        <v>718</v>
      </c>
      <c r="Q262" s="218">
        <v>74</v>
      </c>
      <c r="R262" s="61" t="s">
        <v>47</v>
      </c>
      <c r="S262" s="61" t="s">
        <v>42</v>
      </c>
      <c r="T262" s="63" t="s">
        <v>540</v>
      </c>
      <c r="U262" s="171">
        <v>0.76</v>
      </c>
      <c r="V262" s="146">
        <v>0.98</v>
      </c>
      <c r="W262" s="146" t="s">
        <v>353</v>
      </c>
      <c r="X262" s="144" t="s">
        <v>8</v>
      </c>
      <c r="Y262" s="172" t="s">
        <v>19</v>
      </c>
      <c r="Z262" s="173"/>
      <c r="AA262" s="174"/>
    </row>
    <row r="263" spans="1:27" x14ac:dyDescent="0.25">
      <c r="A263" s="143">
        <v>45921</v>
      </c>
      <c r="B263" s="144">
        <v>5</v>
      </c>
      <c r="C263" s="145"/>
      <c r="D263" s="144" t="s">
        <v>208</v>
      </c>
      <c r="E263" s="146">
        <v>1.55</v>
      </c>
      <c r="F263" s="147">
        <v>1</v>
      </c>
      <c r="G263" s="147">
        <v>0</v>
      </c>
      <c r="H263" s="148">
        <v>1.0900000000000001</v>
      </c>
      <c r="I263" s="145"/>
      <c r="J263" s="144" t="s">
        <v>92</v>
      </c>
      <c r="K263" s="149"/>
      <c r="L263" s="150">
        <v>64</v>
      </c>
      <c r="M263" s="26" t="s">
        <v>92</v>
      </c>
      <c r="N263" s="26" t="s">
        <v>108</v>
      </c>
      <c r="O263" s="26" t="s">
        <v>109</v>
      </c>
      <c r="P263" s="26" t="s">
        <v>684</v>
      </c>
      <c r="Q263" s="213">
        <v>68</v>
      </c>
      <c r="R263" s="26" t="s">
        <v>47</v>
      </c>
      <c r="S263" s="26" t="s">
        <v>42</v>
      </c>
      <c r="T263" s="43" t="s">
        <v>540</v>
      </c>
      <c r="U263" s="171">
        <v>0.38</v>
      </c>
      <c r="V263" s="146" t="s">
        <v>53</v>
      </c>
      <c r="W263" s="146" t="s">
        <v>353</v>
      </c>
      <c r="X263" s="144" t="s">
        <v>16</v>
      </c>
      <c r="Y263" s="172" t="s">
        <v>19</v>
      </c>
      <c r="Z263" s="173"/>
      <c r="AA263" s="174"/>
    </row>
    <row r="264" spans="1:27" ht="15.75" thickBot="1" x14ac:dyDescent="0.3">
      <c r="A264" s="206">
        <v>45921</v>
      </c>
      <c r="B264" s="207">
        <v>5</v>
      </c>
      <c r="C264" s="208"/>
      <c r="D264" s="207" t="s">
        <v>208</v>
      </c>
      <c r="E264" s="209">
        <v>1.55</v>
      </c>
      <c r="F264" s="210">
        <v>1</v>
      </c>
      <c r="G264" s="210">
        <v>0</v>
      </c>
      <c r="H264" s="211">
        <v>1.0900000000000001</v>
      </c>
      <c r="I264" s="208"/>
      <c r="J264" s="207" t="s">
        <v>92</v>
      </c>
      <c r="K264" s="235"/>
      <c r="L264" s="198"/>
      <c r="M264" s="199" t="s">
        <v>208</v>
      </c>
      <c r="N264" s="199" t="s">
        <v>295</v>
      </c>
      <c r="O264" s="199" t="s">
        <v>735</v>
      </c>
      <c r="P264" s="199" t="s">
        <v>707</v>
      </c>
      <c r="Q264" s="200">
        <v>77</v>
      </c>
      <c r="R264" s="199"/>
      <c r="S264" s="199"/>
      <c r="T264" s="201"/>
      <c r="U264" s="202"/>
      <c r="V264" s="203"/>
      <c r="W264" s="203">
        <v>0</v>
      </c>
      <c r="X264" s="199"/>
      <c r="Y264" s="204"/>
      <c r="Z264" s="205"/>
      <c r="AA264" s="201"/>
    </row>
    <row r="265" spans="1:27" ht="15.75" thickBot="1" x14ac:dyDescent="0.3">
      <c r="A265" s="206">
        <v>45921</v>
      </c>
      <c r="B265" s="207">
        <v>5</v>
      </c>
      <c r="C265" s="208"/>
      <c r="D265" s="207" t="s">
        <v>208</v>
      </c>
      <c r="E265" s="209">
        <v>1.55</v>
      </c>
      <c r="F265" s="210">
        <v>1</v>
      </c>
      <c r="G265" s="210">
        <v>0</v>
      </c>
      <c r="H265" s="211">
        <v>1.0900000000000001</v>
      </c>
      <c r="I265" s="208"/>
      <c r="J265" s="207" t="s">
        <v>92</v>
      </c>
      <c r="K265" s="235"/>
      <c r="L265" s="198"/>
      <c r="M265" s="199" t="s">
        <v>92</v>
      </c>
      <c r="N265" s="199" t="s">
        <v>432</v>
      </c>
      <c r="O265" s="199" t="s">
        <v>472</v>
      </c>
      <c r="P265" s="199" t="s">
        <v>707</v>
      </c>
      <c r="Q265" s="200">
        <v>70</v>
      </c>
      <c r="R265" s="199"/>
      <c r="S265" s="199"/>
      <c r="T265" s="201"/>
      <c r="U265" s="202"/>
      <c r="V265" s="203"/>
      <c r="W265" s="203">
        <v>1</v>
      </c>
      <c r="X265" s="199"/>
      <c r="Y265" s="204"/>
      <c r="Z265" s="205"/>
      <c r="AA265" s="201"/>
    </row>
    <row r="266" spans="1:27" x14ac:dyDescent="0.25">
      <c r="A266" s="135">
        <v>45928</v>
      </c>
      <c r="B266" s="136">
        <v>7</v>
      </c>
      <c r="C266" s="137" t="s">
        <v>701</v>
      </c>
      <c r="D266" s="136" t="s">
        <v>208</v>
      </c>
      <c r="E266" s="138">
        <v>3.58</v>
      </c>
      <c r="F266" s="139">
        <v>2</v>
      </c>
      <c r="G266" s="139">
        <v>1</v>
      </c>
      <c r="H266" s="140">
        <v>0.77</v>
      </c>
      <c r="I266" s="137" t="s">
        <v>692</v>
      </c>
      <c r="J266" s="136" t="s">
        <v>456</v>
      </c>
      <c r="K266" s="141"/>
      <c r="L266" s="142">
        <v>4</v>
      </c>
      <c r="M266" s="77" t="s">
        <v>456</v>
      </c>
      <c r="N266" s="77" t="s">
        <v>30</v>
      </c>
      <c r="O266" s="77" t="s">
        <v>464</v>
      </c>
      <c r="P266" s="77" t="s">
        <v>690</v>
      </c>
      <c r="Q266" s="220">
        <v>65</v>
      </c>
      <c r="R266" s="77" t="s">
        <v>41</v>
      </c>
      <c r="S266" s="77" t="s">
        <v>42</v>
      </c>
      <c r="T266" s="78" t="s">
        <v>10</v>
      </c>
      <c r="U266" s="167">
        <v>0.46</v>
      </c>
      <c r="V266" s="138" t="s">
        <v>53</v>
      </c>
      <c r="W266" s="138" t="s">
        <v>353</v>
      </c>
      <c r="X266" s="136" t="s">
        <v>13</v>
      </c>
      <c r="Y266" s="168" t="s">
        <v>28</v>
      </c>
      <c r="Z266" s="169"/>
      <c r="AA266" s="170"/>
    </row>
    <row r="267" spans="1:27" x14ac:dyDescent="0.25">
      <c r="A267" s="143">
        <v>45928</v>
      </c>
      <c r="B267" s="144">
        <v>7</v>
      </c>
      <c r="C267" s="145"/>
      <c r="D267" s="144" t="s">
        <v>208</v>
      </c>
      <c r="E267" s="146">
        <v>3.58</v>
      </c>
      <c r="F267" s="147">
        <v>2</v>
      </c>
      <c r="G267" s="147">
        <v>1</v>
      </c>
      <c r="H267" s="148">
        <v>0.77</v>
      </c>
      <c r="I267" s="145"/>
      <c r="J267" s="144" t="s">
        <v>456</v>
      </c>
      <c r="K267" s="149"/>
      <c r="L267" s="150">
        <v>13</v>
      </c>
      <c r="M267" s="61" t="s">
        <v>208</v>
      </c>
      <c r="N267" s="61" t="s">
        <v>61</v>
      </c>
      <c r="O267" s="61" t="s">
        <v>261</v>
      </c>
      <c r="P267" s="61" t="s">
        <v>718</v>
      </c>
      <c r="Q267" s="218">
        <v>54</v>
      </c>
      <c r="R267" s="61" t="s">
        <v>41</v>
      </c>
      <c r="S267" s="61" t="s">
        <v>43</v>
      </c>
      <c r="T267" s="63" t="s">
        <v>540</v>
      </c>
      <c r="U267" s="171">
        <v>0.11</v>
      </c>
      <c r="V267" s="146" t="s">
        <v>53</v>
      </c>
      <c r="W267" s="146" t="s">
        <v>353</v>
      </c>
      <c r="X267" s="144" t="s">
        <v>16</v>
      </c>
      <c r="Y267" s="172" t="s">
        <v>28</v>
      </c>
      <c r="Z267" s="173"/>
      <c r="AA267" s="174"/>
    </row>
    <row r="268" spans="1:27" x14ac:dyDescent="0.25">
      <c r="A268" s="143">
        <v>45928</v>
      </c>
      <c r="B268" s="144">
        <v>7</v>
      </c>
      <c r="C268" s="145"/>
      <c r="D268" s="144" t="s">
        <v>208</v>
      </c>
      <c r="E268" s="146">
        <v>3.58</v>
      </c>
      <c r="F268" s="147">
        <v>2</v>
      </c>
      <c r="G268" s="147">
        <v>1</v>
      </c>
      <c r="H268" s="148">
        <v>0.77</v>
      </c>
      <c r="I268" s="145"/>
      <c r="J268" s="144" t="s">
        <v>456</v>
      </c>
      <c r="K268" s="149"/>
      <c r="L268" s="150">
        <v>18</v>
      </c>
      <c r="M268" s="61" t="s">
        <v>208</v>
      </c>
      <c r="N268" s="61" t="s">
        <v>362</v>
      </c>
      <c r="O268" s="61" t="s">
        <v>363</v>
      </c>
      <c r="P268" s="61" t="s">
        <v>717</v>
      </c>
      <c r="Q268" s="218">
        <v>74</v>
      </c>
      <c r="R268" s="61" t="s">
        <v>47</v>
      </c>
      <c r="S268" s="61" t="s">
        <v>43</v>
      </c>
      <c r="T268" s="63" t="s">
        <v>10</v>
      </c>
      <c r="U268" s="171">
        <v>0.87</v>
      </c>
      <c r="V268" s="146">
        <v>0.99</v>
      </c>
      <c r="W268" s="146" t="s">
        <v>353</v>
      </c>
      <c r="X268" s="144" t="s">
        <v>8</v>
      </c>
      <c r="Y268" s="172" t="s">
        <v>19</v>
      </c>
      <c r="Z268" s="173" t="s">
        <v>53</v>
      </c>
      <c r="AA268" s="174" t="s">
        <v>465</v>
      </c>
    </row>
    <row r="269" spans="1:27" x14ac:dyDescent="0.25">
      <c r="A269" s="143">
        <v>45928</v>
      </c>
      <c r="B269" s="144">
        <v>7</v>
      </c>
      <c r="C269" s="145"/>
      <c r="D269" s="144" t="s">
        <v>208</v>
      </c>
      <c r="E269" s="146">
        <v>3.58</v>
      </c>
      <c r="F269" s="147">
        <v>2</v>
      </c>
      <c r="G269" s="147">
        <v>1</v>
      </c>
      <c r="H269" s="148">
        <v>0.77</v>
      </c>
      <c r="I269" s="145"/>
      <c r="J269" s="144" t="s">
        <v>456</v>
      </c>
      <c r="K269" s="149"/>
      <c r="L269" s="150">
        <v>22</v>
      </c>
      <c r="M269" s="26" t="s">
        <v>456</v>
      </c>
      <c r="N269" s="26" t="s">
        <v>313</v>
      </c>
      <c r="O269" s="26" t="s">
        <v>301</v>
      </c>
      <c r="P269" s="26" t="s">
        <v>684</v>
      </c>
      <c r="Q269" s="213">
        <v>75</v>
      </c>
      <c r="R269" s="26" t="s">
        <v>44</v>
      </c>
      <c r="S269" s="26" t="s">
        <v>43</v>
      </c>
      <c r="T269" s="43" t="s">
        <v>10</v>
      </c>
      <c r="U269" s="171">
        <v>0.09</v>
      </c>
      <c r="V269" s="146">
        <v>0.16</v>
      </c>
      <c r="W269" s="146" t="s">
        <v>353</v>
      </c>
      <c r="X269" s="144" t="s">
        <v>8</v>
      </c>
      <c r="Y269" s="172" t="s">
        <v>51</v>
      </c>
      <c r="Z269" s="173" t="s">
        <v>249</v>
      </c>
      <c r="AA269" s="174" t="s">
        <v>250</v>
      </c>
    </row>
    <row r="270" spans="1:27" x14ac:dyDescent="0.25">
      <c r="A270" s="143">
        <v>45928</v>
      </c>
      <c r="B270" s="144">
        <v>7</v>
      </c>
      <c r="C270" s="145"/>
      <c r="D270" s="144" t="s">
        <v>208</v>
      </c>
      <c r="E270" s="146">
        <v>3.58</v>
      </c>
      <c r="F270" s="147">
        <v>2</v>
      </c>
      <c r="G270" s="147">
        <v>1</v>
      </c>
      <c r="H270" s="148">
        <v>0.77</v>
      </c>
      <c r="I270" s="145"/>
      <c r="J270" s="144" t="s">
        <v>456</v>
      </c>
      <c r="K270" s="149"/>
      <c r="L270" s="150">
        <v>42</v>
      </c>
      <c r="M270" s="61" t="s">
        <v>208</v>
      </c>
      <c r="N270" s="61" t="s">
        <v>362</v>
      </c>
      <c r="O270" s="61" t="s">
        <v>363</v>
      </c>
      <c r="P270" s="61" t="s">
        <v>717</v>
      </c>
      <c r="Q270" s="218">
        <v>74</v>
      </c>
      <c r="R270" s="61" t="s">
        <v>41</v>
      </c>
      <c r="S270" s="61" t="s">
        <v>45</v>
      </c>
      <c r="T270" s="63" t="s">
        <v>10</v>
      </c>
      <c r="U270" s="171">
        <v>0.09</v>
      </c>
      <c r="V270" s="146">
        <v>0.04</v>
      </c>
      <c r="W270" s="146" t="s">
        <v>353</v>
      </c>
      <c r="X270" s="144" t="s">
        <v>48</v>
      </c>
      <c r="Y270" s="172" t="s">
        <v>51</v>
      </c>
      <c r="Z270" s="173"/>
      <c r="AA270" s="174"/>
    </row>
    <row r="271" spans="1:27" x14ac:dyDescent="0.25">
      <c r="A271" s="143">
        <v>45928</v>
      </c>
      <c r="B271" s="144">
        <v>7</v>
      </c>
      <c r="C271" s="145"/>
      <c r="D271" s="144" t="s">
        <v>208</v>
      </c>
      <c r="E271" s="146">
        <v>3.58</v>
      </c>
      <c r="F271" s="147">
        <v>2</v>
      </c>
      <c r="G271" s="147">
        <v>1</v>
      </c>
      <c r="H271" s="148">
        <v>0.77</v>
      </c>
      <c r="I271" s="145"/>
      <c r="J271" s="144" t="s">
        <v>456</v>
      </c>
      <c r="K271" s="149"/>
      <c r="L271" s="150">
        <v>54</v>
      </c>
      <c r="M271" s="61" t="s">
        <v>208</v>
      </c>
      <c r="N271" s="61" t="s">
        <v>61</v>
      </c>
      <c r="O271" s="61" t="s">
        <v>261</v>
      </c>
      <c r="P271" s="61" t="s">
        <v>718</v>
      </c>
      <c r="Q271" s="218">
        <v>54</v>
      </c>
      <c r="R271" s="61" t="s">
        <v>41</v>
      </c>
      <c r="S271" s="61" t="s">
        <v>42</v>
      </c>
      <c r="T271" s="63" t="s">
        <v>7</v>
      </c>
      <c r="U271" s="171">
        <v>0.79</v>
      </c>
      <c r="V271" s="146">
        <v>0.67</v>
      </c>
      <c r="W271" s="146" t="s">
        <v>353</v>
      </c>
      <c r="X271" s="144" t="s">
        <v>48</v>
      </c>
      <c r="Y271" s="172" t="s">
        <v>51</v>
      </c>
      <c r="Z271" s="173"/>
      <c r="AA271" s="174"/>
    </row>
    <row r="272" spans="1:27" x14ac:dyDescent="0.25">
      <c r="A272" s="143">
        <v>45928</v>
      </c>
      <c r="B272" s="144">
        <v>7</v>
      </c>
      <c r="C272" s="145"/>
      <c r="D272" s="144" t="s">
        <v>208</v>
      </c>
      <c r="E272" s="146">
        <v>3.58</v>
      </c>
      <c r="F272" s="147">
        <v>2</v>
      </c>
      <c r="G272" s="147">
        <v>1</v>
      </c>
      <c r="H272" s="148">
        <v>0.77</v>
      </c>
      <c r="I272" s="145"/>
      <c r="J272" s="144" t="s">
        <v>456</v>
      </c>
      <c r="K272" s="149"/>
      <c r="L272" s="150">
        <v>66</v>
      </c>
      <c r="M272" s="61" t="s">
        <v>208</v>
      </c>
      <c r="N272" s="61" t="s">
        <v>74</v>
      </c>
      <c r="O272" s="61" t="s">
        <v>211</v>
      </c>
      <c r="P272" s="61" t="s">
        <v>696</v>
      </c>
      <c r="Q272" s="218">
        <v>62</v>
      </c>
      <c r="R272" s="61" t="s">
        <v>47</v>
      </c>
      <c r="S272" s="61" t="s">
        <v>45</v>
      </c>
      <c r="T272" s="63" t="s">
        <v>10</v>
      </c>
      <c r="U272" s="171">
        <v>0.42</v>
      </c>
      <c r="V272" s="146">
        <v>0.28000000000000003</v>
      </c>
      <c r="W272" s="146" t="s">
        <v>353</v>
      </c>
      <c r="X272" s="144" t="s">
        <v>48</v>
      </c>
      <c r="Y272" s="172" t="s">
        <v>51</v>
      </c>
      <c r="Z272" s="173"/>
      <c r="AA272" s="174"/>
    </row>
    <row r="273" spans="1:27" x14ac:dyDescent="0.25">
      <c r="A273" s="143">
        <v>45928</v>
      </c>
      <c r="B273" s="144">
        <v>7</v>
      </c>
      <c r="C273" s="145"/>
      <c r="D273" s="144" t="s">
        <v>208</v>
      </c>
      <c r="E273" s="146">
        <v>3.58</v>
      </c>
      <c r="F273" s="147">
        <v>2</v>
      </c>
      <c r="G273" s="147">
        <v>1</v>
      </c>
      <c r="H273" s="148">
        <v>0.77</v>
      </c>
      <c r="I273" s="145"/>
      <c r="J273" s="144" t="s">
        <v>456</v>
      </c>
      <c r="K273" s="149"/>
      <c r="L273" s="150">
        <v>68</v>
      </c>
      <c r="M273" s="61" t="s">
        <v>208</v>
      </c>
      <c r="N273" s="61" t="s">
        <v>74</v>
      </c>
      <c r="O273" s="61" t="s">
        <v>211</v>
      </c>
      <c r="P273" s="61" t="s">
        <v>696</v>
      </c>
      <c r="Q273" s="218">
        <v>62</v>
      </c>
      <c r="R273" s="61" t="s">
        <v>41</v>
      </c>
      <c r="S273" s="61" t="s">
        <v>42</v>
      </c>
      <c r="T273" s="63" t="s">
        <v>10</v>
      </c>
      <c r="U273" s="171">
        <v>0.3</v>
      </c>
      <c r="V273" s="146" t="s">
        <v>53</v>
      </c>
      <c r="W273" s="146" t="s">
        <v>353</v>
      </c>
      <c r="X273" s="144" t="s">
        <v>52</v>
      </c>
      <c r="Y273" s="172" t="s">
        <v>51</v>
      </c>
      <c r="Z273" s="173"/>
      <c r="AA273" s="174"/>
    </row>
    <row r="274" spans="1:27" ht="15.75" thickBot="1" x14ac:dyDescent="0.3">
      <c r="A274" s="151">
        <v>45928</v>
      </c>
      <c r="B274" s="152">
        <v>7</v>
      </c>
      <c r="C274" s="153"/>
      <c r="D274" s="152" t="s">
        <v>208</v>
      </c>
      <c r="E274" s="154">
        <v>3.58</v>
      </c>
      <c r="F274" s="155">
        <v>2</v>
      </c>
      <c r="G274" s="155">
        <v>1</v>
      </c>
      <c r="H274" s="156">
        <v>0.77</v>
      </c>
      <c r="I274" s="153"/>
      <c r="J274" s="152" t="s">
        <v>456</v>
      </c>
      <c r="K274" s="157"/>
      <c r="L274" s="158">
        <v>68</v>
      </c>
      <c r="M274" s="66" t="s">
        <v>208</v>
      </c>
      <c r="N274" s="66" t="s">
        <v>527</v>
      </c>
      <c r="O274" s="66" t="s">
        <v>528</v>
      </c>
      <c r="P274" s="66" t="s">
        <v>695</v>
      </c>
      <c r="Q274" s="219">
        <v>77</v>
      </c>
      <c r="R274" s="66" t="s">
        <v>41</v>
      </c>
      <c r="S274" s="66" t="s">
        <v>42</v>
      </c>
      <c r="T274" s="67" t="s">
        <v>540</v>
      </c>
      <c r="U274" s="175">
        <v>0.21</v>
      </c>
      <c r="V274" s="154">
        <v>0.73</v>
      </c>
      <c r="W274" s="154" t="s">
        <v>353</v>
      </c>
      <c r="X274" s="152" t="s">
        <v>8</v>
      </c>
      <c r="Y274" s="176" t="s">
        <v>34</v>
      </c>
      <c r="Z274" s="177"/>
      <c r="AA274" s="178"/>
    </row>
    <row r="275" spans="1:27" ht="15.75" thickBot="1" x14ac:dyDescent="0.3">
      <c r="A275" s="206">
        <v>45928</v>
      </c>
      <c r="B275" s="207">
        <v>7</v>
      </c>
      <c r="C275" s="208"/>
      <c r="D275" s="207" t="s">
        <v>208</v>
      </c>
      <c r="E275" s="209">
        <v>3.58</v>
      </c>
      <c r="F275" s="210">
        <v>2</v>
      </c>
      <c r="G275" s="210">
        <v>1</v>
      </c>
      <c r="H275" s="211">
        <v>0.77</v>
      </c>
      <c r="I275" s="208"/>
      <c r="J275" s="207" t="s">
        <v>456</v>
      </c>
      <c r="K275" s="235"/>
      <c r="L275" s="198"/>
      <c r="M275" s="199" t="s">
        <v>208</v>
      </c>
      <c r="N275" s="199" t="s">
        <v>433</v>
      </c>
      <c r="O275" s="199" t="s">
        <v>725</v>
      </c>
      <c r="P275" s="199" t="s">
        <v>707</v>
      </c>
      <c r="Q275" s="200">
        <v>63</v>
      </c>
      <c r="R275" s="199"/>
      <c r="S275" s="199"/>
      <c r="T275" s="201"/>
      <c r="U275" s="202"/>
      <c r="V275" s="203"/>
      <c r="W275" s="203">
        <v>1</v>
      </c>
      <c r="X275" s="199"/>
      <c r="Y275" s="204"/>
      <c r="Z275" s="205"/>
      <c r="AA275" s="201"/>
    </row>
    <row r="276" spans="1:27" ht="15.75" thickBot="1" x14ac:dyDescent="0.3">
      <c r="A276" s="206">
        <v>45928</v>
      </c>
      <c r="B276" s="207">
        <v>7</v>
      </c>
      <c r="C276" s="208"/>
      <c r="D276" s="207" t="s">
        <v>208</v>
      </c>
      <c r="E276" s="209">
        <v>3.58</v>
      </c>
      <c r="F276" s="210">
        <v>2</v>
      </c>
      <c r="G276" s="210">
        <v>1</v>
      </c>
      <c r="H276" s="211">
        <v>0.77</v>
      </c>
      <c r="I276" s="208"/>
      <c r="J276" s="207" t="s">
        <v>456</v>
      </c>
      <c r="K276" s="235"/>
      <c r="L276" s="198"/>
      <c r="M276" s="199" t="s">
        <v>456</v>
      </c>
      <c r="N276" s="199" t="s">
        <v>719</v>
      </c>
      <c r="O276" s="199" t="s">
        <v>720</v>
      </c>
      <c r="P276" s="199" t="s">
        <v>707</v>
      </c>
      <c r="Q276" s="200">
        <v>75</v>
      </c>
      <c r="R276" s="199"/>
      <c r="S276" s="199"/>
      <c r="T276" s="201"/>
      <c r="U276" s="202"/>
      <c r="V276" s="203"/>
      <c r="W276" s="203">
        <v>2</v>
      </c>
      <c r="X276" s="199"/>
      <c r="Y276" s="204"/>
      <c r="Z276" s="205"/>
      <c r="AA276" s="201"/>
    </row>
    <row r="277" spans="1:27" x14ac:dyDescent="0.25">
      <c r="A277" s="29">
        <v>45900</v>
      </c>
      <c r="B277" s="5">
        <v>3</v>
      </c>
      <c r="D277" s="5" t="s">
        <v>209</v>
      </c>
      <c r="E277" s="6">
        <v>0.62</v>
      </c>
      <c r="F277" s="7">
        <v>1</v>
      </c>
      <c r="G277" s="7">
        <v>2</v>
      </c>
      <c r="H277" s="8">
        <v>1.1100000000000001</v>
      </c>
      <c r="J277" s="5" t="s">
        <v>170</v>
      </c>
      <c r="L277" s="56">
        <v>19</v>
      </c>
      <c r="M277" s="26" t="s">
        <v>170</v>
      </c>
      <c r="N277" s="26" t="s">
        <v>295</v>
      </c>
      <c r="O277" s="26" t="s">
        <v>175</v>
      </c>
      <c r="P277" s="26" t="s">
        <v>686</v>
      </c>
      <c r="Q277" s="213">
        <v>67</v>
      </c>
      <c r="R277" s="26" t="s">
        <v>41</v>
      </c>
      <c r="S277" s="26" t="s">
        <v>42</v>
      </c>
      <c r="T277" s="43" t="s">
        <v>10</v>
      </c>
      <c r="U277" s="51">
        <v>0.34</v>
      </c>
      <c r="V277" s="6">
        <v>0.3</v>
      </c>
      <c r="W277" s="6" t="s">
        <v>353</v>
      </c>
      <c r="X277" s="5" t="s">
        <v>48</v>
      </c>
      <c r="Y277" s="112" t="s">
        <v>28</v>
      </c>
    </row>
    <row r="278" spans="1:27" x14ac:dyDescent="0.25">
      <c r="A278" s="29">
        <v>45900</v>
      </c>
      <c r="B278" s="5">
        <v>3</v>
      </c>
      <c r="D278" s="5" t="s">
        <v>209</v>
      </c>
      <c r="E278" s="6">
        <v>0.62</v>
      </c>
      <c r="F278" s="7">
        <v>1</v>
      </c>
      <c r="G278" s="7">
        <v>2</v>
      </c>
      <c r="H278" s="8">
        <v>1.1100000000000001</v>
      </c>
      <c r="J278" s="5" t="s">
        <v>170</v>
      </c>
      <c r="L278" s="56">
        <v>85</v>
      </c>
      <c r="M278" s="26" t="s">
        <v>170</v>
      </c>
      <c r="N278" s="26" t="s">
        <v>214</v>
      </c>
      <c r="O278" s="26" t="s">
        <v>339</v>
      </c>
      <c r="P278" s="26" t="s">
        <v>712</v>
      </c>
      <c r="Q278" s="213">
        <v>80</v>
      </c>
      <c r="R278" s="26" t="s">
        <v>47</v>
      </c>
      <c r="S278" s="26" t="s">
        <v>45</v>
      </c>
      <c r="T278" s="43" t="s">
        <v>20</v>
      </c>
      <c r="U278" s="51">
        <v>0.35</v>
      </c>
      <c r="V278" s="6">
        <v>0.32</v>
      </c>
      <c r="W278" s="6" t="s">
        <v>353</v>
      </c>
      <c r="X278" s="5" t="s">
        <v>8</v>
      </c>
      <c r="Y278" s="112" t="s">
        <v>11</v>
      </c>
    </row>
    <row r="279" spans="1:27" ht="15.75" thickBot="1" x14ac:dyDescent="0.3">
      <c r="A279" s="30">
        <v>45900</v>
      </c>
      <c r="B279" s="9">
        <v>3</v>
      </c>
      <c r="C279" s="122"/>
      <c r="D279" s="9" t="s">
        <v>209</v>
      </c>
      <c r="E279" s="10">
        <v>0.62</v>
      </c>
      <c r="F279" s="11">
        <v>1</v>
      </c>
      <c r="G279" s="11">
        <v>2</v>
      </c>
      <c r="H279" s="12">
        <v>1.1100000000000001</v>
      </c>
      <c r="I279" s="122"/>
      <c r="J279" s="9" t="s">
        <v>170</v>
      </c>
      <c r="K279" s="45"/>
      <c r="L279" s="97" t="s">
        <v>312</v>
      </c>
      <c r="M279" s="66" t="s">
        <v>209</v>
      </c>
      <c r="N279" s="66" t="s">
        <v>340</v>
      </c>
      <c r="O279" s="66" t="s">
        <v>341</v>
      </c>
      <c r="P279" s="66" t="s">
        <v>696</v>
      </c>
      <c r="Q279" s="219">
        <v>75</v>
      </c>
      <c r="R279" s="66" t="s">
        <v>41</v>
      </c>
      <c r="S279" s="66" t="s">
        <v>45</v>
      </c>
      <c r="T279" s="67" t="s">
        <v>10</v>
      </c>
      <c r="U279" s="52">
        <v>0.2</v>
      </c>
      <c r="V279" s="10">
        <v>0.83</v>
      </c>
      <c r="W279" s="10" t="s">
        <v>353</v>
      </c>
      <c r="X279" s="9" t="s">
        <v>8</v>
      </c>
      <c r="Y279" s="113" t="s">
        <v>67</v>
      </c>
      <c r="Z279" s="109" t="s">
        <v>54</v>
      </c>
      <c r="AA279" s="58" t="s">
        <v>240</v>
      </c>
    </row>
    <row r="280" spans="1:27" ht="15.75" thickBot="1" x14ac:dyDescent="0.3">
      <c r="A280" s="206">
        <v>45900</v>
      </c>
      <c r="B280" s="207">
        <v>3</v>
      </c>
      <c r="C280" s="208"/>
      <c r="D280" s="207" t="s">
        <v>209</v>
      </c>
      <c r="E280" s="209">
        <v>0.62</v>
      </c>
      <c r="F280" s="210">
        <v>1</v>
      </c>
      <c r="G280" s="210">
        <v>2</v>
      </c>
      <c r="H280" s="211">
        <v>1.1100000000000001</v>
      </c>
      <c r="I280" s="208"/>
      <c r="J280" s="207" t="s">
        <v>170</v>
      </c>
      <c r="K280" s="235"/>
      <c r="L280" s="198"/>
      <c r="M280" s="199" t="s">
        <v>209</v>
      </c>
      <c r="N280" s="199" t="s">
        <v>74</v>
      </c>
      <c r="O280" s="199" t="s">
        <v>730</v>
      </c>
      <c r="P280" s="199" t="s">
        <v>707</v>
      </c>
      <c r="Q280" s="200">
        <v>70</v>
      </c>
      <c r="R280" s="199"/>
      <c r="S280" s="199"/>
      <c r="T280" s="201"/>
      <c r="U280" s="202"/>
      <c r="V280" s="203"/>
      <c r="W280" s="203">
        <v>2</v>
      </c>
      <c r="X280" s="199"/>
      <c r="Y280" s="204"/>
      <c r="Z280" s="205"/>
      <c r="AA280" s="201"/>
    </row>
    <row r="281" spans="1:27" ht="15.75" thickBot="1" x14ac:dyDescent="0.3">
      <c r="A281" s="206">
        <v>45900</v>
      </c>
      <c r="B281" s="207">
        <v>3</v>
      </c>
      <c r="C281" s="208"/>
      <c r="D281" s="207" t="s">
        <v>209</v>
      </c>
      <c r="E281" s="209">
        <v>0.62</v>
      </c>
      <c r="F281" s="210">
        <v>1</v>
      </c>
      <c r="G281" s="210">
        <v>2</v>
      </c>
      <c r="H281" s="211">
        <v>1.1100000000000001</v>
      </c>
      <c r="I281" s="208"/>
      <c r="J281" s="207" t="s">
        <v>170</v>
      </c>
      <c r="K281" s="235"/>
      <c r="L281" s="198"/>
      <c r="M281" s="199" t="s">
        <v>170</v>
      </c>
      <c r="N281" s="199" t="s">
        <v>269</v>
      </c>
      <c r="O281" s="199" t="s">
        <v>722</v>
      </c>
      <c r="P281" s="199" t="s">
        <v>707</v>
      </c>
      <c r="Q281" s="200">
        <v>65</v>
      </c>
      <c r="R281" s="199"/>
      <c r="S281" s="199"/>
      <c r="T281" s="201"/>
      <c r="U281" s="202"/>
      <c r="V281" s="203"/>
      <c r="W281" s="203">
        <v>1</v>
      </c>
      <c r="X281" s="199"/>
      <c r="Y281" s="204"/>
      <c r="Z281" s="205"/>
      <c r="AA281" s="201"/>
    </row>
    <row r="282" spans="1:27" x14ac:dyDescent="0.25">
      <c r="A282" s="29">
        <v>45920</v>
      </c>
      <c r="B282" s="5">
        <v>5</v>
      </c>
      <c r="D282" s="5" t="s">
        <v>145</v>
      </c>
      <c r="E282" s="6">
        <v>1.88</v>
      </c>
      <c r="F282" s="7">
        <v>2</v>
      </c>
      <c r="G282" s="7">
        <v>0</v>
      </c>
      <c r="H282" s="8">
        <v>0.49</v>
      </c>
      <c r="J282" s="5" t="s">
        <v>170</v>
      </c>
      <c r="K282" s="44" t="s">
        <v>455</v>
      </c>
      <c r="L282" s="56">
        <v>73</v>
      </c>
      <c r="M282" s="61" t="s">
        <v>145</v>
      </c>
      <c r="N282" s="61" t="s">
        <v>308</v>
      </c>
      <c r="O282" s="61" t="s">
        <v>309</v>
      </c>
      <c r="P282" s="61" t="s">
        <v>695</v>
      </c>
      <c r="Q282" s="218">
        <v>95</v>
      </c>
      <c r="R282" s="61" t="s">
        <v>47</v>
      </c>
      <c r="S282" s="61" t="s">
        <v>45</v>
      </c>
      <c r="T282" s="63" t="s">
        <v>20</v>
      </c>
      <c r="U282" s="51">
        <v>0.18</v>
      </c>
      <c r="V282" s="6">
        <v>0.82</v>
      </c>
      <c r="W282" s="6" t="s">
        <v>353</v>
      </c>
      <c r="X282" s="5" t="s">
        <v>8</v>
      </c>
      <c r="Y282" s="112" t="s">
        <v>19</v>
      </c>
      <c r="Z282" s="108" t="s">
        <v>278</v>
      </c>
      <c r="AA282" s="57" t="s">
        <v>452</v>
      </c>
    </row>
    <row r="283" spans="1:27" x14ac:dyDescent="0.25">
      <c r="A283" s="29">
        <v>45920</v>
      </c>
      <c r="B283" s="5">
        <v>5</v>
      </c>
      <c r="D283" s="5" t="s">
        <v>145</v>
      </c>
      <c r="E283" s="6">
        <v>1.88</v>
      </c>
      <c r="F283" s="7">
        <v>2</v>
      </c>
      <c r="G283" s="7">
        <v>0</v>
      </c>
      <c r="H283" s="8">
        <v>0.49</v>
      </c>
      <c r="J283" s="5" t="s">
        <v>170</v>
      </c>
      <c r="K283" s="44" t="s">
        <v>455</v>
      </c>
      <c r="L283" s="56">
        <v>90</v>
      </c>
      <c r="M283" s="61" t="s">
        <v>145</v>
      </c>
      <c r="N283" s="61" t="s">
        <v>251</v>
      </c>
      <c r="O283" s="61" t="s">
        <v>452</v>
      </c>
      <c r="P283" s="61" t="s">
        <v>695</v>
      </c>
      <c r="Q283" s="218">
        <v>79</v>
      </c>
      <c r="R283" s="61" t="s">
        <v>41</v>
      </c>
      <c r="S283" s="61" t="s">
        <v>42</v>
      </c>
      <c r="T283" s="63" t="s">
        <v>18</v>
      </c>
      <c r="U283" s="51">
        <v>0.17</v>
      </c>
      <c r="V283" s="6">
        <v>0.47</v>
      </c>
      <c r="W283" s="6" t="s">
        <v>353</v>
      </c>
      <c r="X283" s="5" t="s">
        <v>48</v>
      </c>
      <c r="Y283" s="112" t="s">
        <v>19</v>
      </c>
    </row>
    <row r="284" spans="1:27" x14ac:dyDescent="0.25">
      <c r="A284" s="29">
        <v>45920</v>
      </c>
      <c r="B284" s="5">
        <v>5</v>
      </c>
      <c r="D284" s="5" t="s">
        <v>145</v>
      </c>
      <c r="E284" s="6">
        <v>1.88</v>
      </c>
      <c r="F284" s="7">
        <v>2</v>
      </c>
      <c r="G284" s="7">
        <v>0</v>
      </c>
      <c r="H284" s="8">
        <v>0.49</v>
      </c>
      <c r="J284" s="5" t="s">
        <v>170</v>
      </c>
      <c r="K284" s="44" t="s">
        <v>455</v>
      </c>
      <c r="L284" s="56" t="s">
        <v>31</v>
      </c>
      <c r="M284" s="61" t="s">
        <v>145</v>
      </c>
      <c r="N284" s="61" t="s">
        <v>147</v>
      </c>
      <c r="O284" s="61" t="s">
        <v>148</v>
      </c>
      <c r="P284" s="61" t="s">
        <v>696</v>
      </c>
      <c r="Q284" s="218">
        <v>73</v>
      </c>
      <c r="R284" s="61" t="s">
        <v>47</v>
      </c>
      <c r="S284" s="61" t="s">
        <v>43</v>
      </c>
      <c r="T284" s="63" t="s">
        <v>10</v>
      </c>
      <c r="U284" s="51">
        <v>0.79</v>
      </c>
      <c r="V284" s="6">
        <v>0.99</v>
      </c>
      <c r="W284" s="6" t="s">
        <v>353</v>
      </c>
      <c r="X284" s="5" t="s">
        <v>8</v>
      </c>
      <c r="Y284" s="112" t="s">
        <v>24</v>
      </c>
      <c r="Z284" s="108" t="s">
        <v>308</v>
      </c>
      <c r="AA284" s="57" t="s">
        <v>309</v>
      </c>
    </row>
    <row r="285" spans="1:27" ht="15.75" thickBot="1" x14ac:dyDescent="0.3">
      <c r="A285" s="30">
        <v>45920</v>
      </c>
      <c r="B285" s="9">
        <v>5</v>
      </c>
      <c r="C285" s="122"/>
      <c r="D285" s="9" t="s">
        <v>145</v>
      </c>
      <c r="E285" s="10">
        <v>1.88</v>
      </c>
      <c r="F285" s="11">
        <v>2</v>
      </c>
      <c r="G285" s="11">
        <v>0</v>
      </c>
      <c r="H285" s="12">
        <v>0.49</v>
      </c>
      <c r="I285" s="122"/>
      <c r="J285" s="9" t="s">
        <v>170</v>
      </c>
      <c r="K285" s="45" t="s">
        <v>455</v>
      </c>
      <c r="L285" s="97" t="s">
        <v>82</v>
      </c>
      <c r="M285" s="66" t="s">
        <v>145</v>
      </c>
      <c r="N285" s="66" t="s">
        <v>453</v>
      </c>
      <c r="O285" s="66" t="s">
        <v>454</v>
      </c>
      <c r="P285" s="66" t="s">
        <v>696</v>
      </c>
      <c r="Q285" s="219">
        <v>63</v>
      </c>
      <c r="R285" s="66" t="s">
        <v>41</v>
      </c>
      <c r="S285" s="66" t="s">
        <v>42</v>
      </c>
      <c r="T285" s="67" t="s">
        <v>10</v>
      </c>
      <c r="U285" s="52">
        <v>0.16</v>
      </c>
      <c r="V285" s="10" t="s">
        <v>53</v>
      </c>
      <c r="W285" s="10" t="s">
        <v>353</v>
      </c>
      <c r="X285" s="9" t="s">
        <v>13</v>
      </c>
      <c r="Y285" s="113" t="s">
        <v>24</v>
      </c>
      <c r="Z285" s="109"/>
      <c r="AA285" s="58"/>
    </row>
    <row r="286" spans="1:27" ht="15.75" thickBot="1" x14ac:dyDescent="0.3">
      <c r="A286" s="206">
        <v>45920</v>
      </c>
      <c r="B286" s="207">
        <v>5</v>
      </c>
      <c r="C286" s="208"/>
      <c r="D286" s="207" t="s">
        <v>145</v>
      </c>
      <c r="E286" s="209">
        <v>1.88</v>
      </c>
      <c r="F286" s="210">
        <v>2</v>
      </c>
      <c r="G286" s="210">
        <v>0</v>
      </c>
      <c r="H286" s="211">
        <v>0.49</v>
      </c>
      <c r="I286" s="208"/>
      <c r="J286" s="207" t="s">
        <v>170</v>
      </c>
      <c r="K286" s="235"/>
      <c r="L286" s="198"/>
      <c r="M286" s="199" t="s">
        <v>145</v>
      </c>
      <c r="N286" s="199" t="s">
        <v>482</v>
      </c>
      <c r="O286" s="199" t="s">
        <v>483</v>
      </c>
      <c r="P286" s="199" t="s">
        <v>707</v>
      </c>
      <c r="Q286" s="200">
        <v>74</v>
      </c>
      <c r="R286" s="199"/>
      <c r="S286" s="199"/>
      <c r="T286" s="201"/>
      <c r="U286" s="202"/>
      <c r="V286" s="203"/>
      <c r="W286" s="203">
        <v>0</v>
      </c>
      <c r="X286" s="199"/>
      <c r="Y286" s="204"/>
      <c r="Z286" s="205"/>
      <c r="AA286" s="201"/>
    </row>
    <row r="287" spans="1:27" ht="15.75" thickBot="1" x14ac:dyDescent="0.3">
      <c r="A287" s="206">
        <v>45920</v>
      </c>
      <c r="B287" s="207">
        <v>5</v>
      </c>
      <c r="C287" s="208"/>
      <c r="D287" s="207" t="s">
        <v>145</v>
      </c>
      <c r="E287" s="209">
        <v>1.88</v>
      </c>
      <c r="F287" s="210">
        <v>2</v>
      </c>
      <c r="G287" s="210">
        <v>0</v>
      </c>
      <c r="H287" s="211">
        <v>0.49</v>
      </c>
      <c r="I287" s="208"/>
      <c r="J287" s="207" t="s">
        <v>170</v>
      </c>
      <c r="K287" s="235"/>
      <c r="L287" s="198"/>
      <c r="M287" s="199" t="s">
        <v>170</v>
      </c>
      <c r="N287" s="199" t="s">
        <v>269</v>
      </c>
      <c r="O287" s="199" t="s">
        <v>722</v>
      </c>
      <c r="P287" s="199" t="s">
        <v>707</v>
      </c>
      <c r="Q287" s="200">
        <v>76</v>
      </c>
      <c r="R287" s="199"/>
      <c r="S287" s="199"/>
      <c r="T287" s="201"/>
      <c r="U287" s="202"/>
      <c r="V287" s="203"/>
      <c r="W287" s="203">
        <v>2</v>
      </c>
      <c r="X287" s="199"/>
      <c r="Y287" s="204"/>
      <c r="Z287" s="205"/>
      <c r="AA287" s="201"/>
    </row>
    <row r="288" spans="1:27" x14ac:dyDescent="0.25">
      <c r="A288" s="29">
        <v>45927</v>
      </c>
      <c r="B288" s="5">
        <v>7</v>
      </c>
      <c r="D288" s="5" t="s">
        <v>91</v>
      </c>
      <c r="E288" s="6">
        <v>1.22</v>
      </c>
      <c r="F288" s="7">
        <v>1</v>
      </c>
      <c r="G288" s="7">
        <v>0</v>
      </c>
      <c r="H288" s="8">
        <v>1.44</v>
      </c>
      <c r="J288" s="5" t="s">
        <v>170</v>
      </c>
      <c r="L288" s="56">
        <v>17</v>
      </c>
      <c r="M288" s="26" t="s">
        <v>170</v>
      </c>
      <c r="N288" s="26" t="s">
        <v>296</v>
      </c>
      <c r="O288" s="26" t="s">
        <v>297</v>
      </c>
      <c r="P288" s="26" t="s">
        <v>699</v>
      </c>
      <c r="Q288" s="213">
        <v>62</v>
      </c>
      <c r="R288" s="26" t="s">
        <v>41</v>
      </c>
      <c r="S288" s="26" t="s">
        <v>42</v>
      </c>
      <c r="T288" s="43" t="s">
        <v>33</v>
      </c>
      <c r="U288" s="51">
        <v>0.45</v>
      </c>
      <c r="V288" s="6">
        <v>0.37</v>
      </c>
      <c r="W288" s="6" t="s">
        <v>353</v>
      </c>
      <c r="X288" s="5" t="s">
        <v>48</v>
      </c>
      <c r="Y288" s="112" t="s">
        <v>28</v>
      </c>
    </row>
    <row r="289" spans="1:27" x14ac:dyDescent="0.25">
      <c r="A289" s="29">
        <v>45927</v>
      </c>
      <c r="B289" s="5">
        <v>7</v>
      </c>
      <c r="D289" s="5" t="s">
        <v>91</v>
      </c>
      <c r="E289" s="6">
        <v>1.22</v>
      </c>
      <c r="F289" s="7">
        <v>1</v>
      </c>
      <c r="G289" s="7">
        <v>0</v>
      </c>
      <c r="H289" s="8">
        <v>1.44</v>
      </c>
      <c r="J289" s="5" t="s">
        <v>170</v>
      </c>
      <c r="L289" s="56">
        <v>18</v>
      </c>
      <c r="M289" s="61" t="s">
        <v>91</v>
      </c>
      <c r="N289" s="61" t="s">
        <v>96</v>
      </c>
      <c r="O289" s="61" t="s">
        <v>97</v>
      </c>
      <c r="P289" s="61" t="s">
        <v>718</v>
      </c>
      <c r="Q289" s="218">
        <v>77</v>
      </c>
      <c r="R289" s="61" t="s">
        <v>47</v>
      </c>
      <c r="S289" s="61" t="s">
        <v>43</v>
      </c>
      <c r="T289" s="63" t="s">
        <v>10</v>
      </c>
      <c r="U289" s="51">
        <v>0.36</v>
      </c>
      <c r="V289" s="6">
        <v>0.27</v>
      </c>
      <c r="W289" s="6" t="s">
        <v>353</v>
      </c>
      <c r="X289" s="5" t="s">
        <v>48</v>
      </c>
      <c r="Y289" s="112" t="s">
        <v>28</v>
      </c>
    </row>
    <row r="290" spans="1:27" x14ac:dyDescent="0.25">
      <c r="A290" s="29">
        <v>45927</v>
      </c>
      <c r="B290" s="5">
        <v>7</v>
      </c>
      <c r="D290" s="5" t="s">
        <v>91</v>
      </c>
      <c r="E290" s="6">
        <v>1.22</v>
      </c>
      <c r="F290" s="7">
        <v>1</v>
      </c>
      <c r="G290" s="7">
        <v>0</v>
      </c>
      <c r="H290" s="8">
        <v>1.44</v>
      </c>
      <c r="J290" s="5" t="s">
        <v>170</v>
      </c>
      <c r="L290" s="56">
        <v>28</v>
      </c>
      <c r="M290" s="61" t="s">
        <v>91</v>
      </c>
      <c r="N290" s="61" t="s">
        <v>443</v>
      </c>
      <c r="O290" s="61" t="s">
        <v>444</v>
      </c>
      <c r="P290" s="61" t="s">
        <v>717</v>
      </c>
      <c r="Q290" s="218">
        <v>62</v>
      </c>
      <c r="R290" s="61" t="s">
        <v>47</v>
      </c>
      <c r="S290" s="61" t="s">
        <v>42</v>
      </c>
      <c r="T290" s="63" t="s">
        <v>10</v>
      </c>
      <c r="U290" s="51">
        <v>0.18</v>
      </c>
      <c r="V290" s="6">
        <v>0.56000000000000005</v>
      </c>
      <c r="W290" s="6" t="s">
        <v>353</v>
      </c>
      <c r="X290" s="5" t="s">
        <v>48</v>
      </c>
      <c r="Y290" s="112" t="s">
        <v>28</v>
      </c>
    </row>
    <row r="291" spans="1:27" x14ac:dyDescent="0.25">
      <c r="A291" s="29">
        <v>45927</v>
      </c>
      <c r="B291" s="5">
        <v>7</v>
      </c>
      <c r="D291" s="5" t="s">
        <v>91</v>
      </c>
      <c r="E291" s="6">
        <v>1.22</v>
      </c>
      <c r="F291" s="7">
        <v>1</v>
      </c>
      <c r="G291" s="7">
        <v>0</v>
      </c>
      <c r="H291" s="8">
        <v>1.44</v>
      </c>
      <c r="J291" s="5" t="s">
        <v>170</v>
      </c>
      <c r="L291" s="56">
        <v>56</v>
      </c>
      <c r="M291" s="61" t="s">
        <v>91</v>
      </c>
      <c r="N291" s="61" t="s">
        <v>96</v>
      </c>
      <c r="O291" s="61" t="s">
        <v>97</v>
      </c>
      <c r="P291" s="61" t="s">
        <v>718</v>
      </c>
      <c r="Q291" s="218">
        <v>77</v>
      </c>
      <c r="R291" s="61" t="s">
        <v>41</v>
      </c>
      <c r="S291" s="61" t="s">
        <v>43</v>
      </c>
      <c r="T291" s="63" t="s">
        <v>10</v>
      </c>
      <c r="U291" s="51">
        <v>0.11</v>
      </c>
      <c r="V291" s="6" t="s">
        <v>53</v>
      </c>
      <c r="W291" s="6" t="s">
        <v>353</v>
      </c>
      <c r="X291" s="5" t="s">
        <v>13</v>
      </c>
      <c r="Y291" s="112" t="s">
        <v>28</v>
      </c>
    </row>
    <row r="292" spans="1:27" x14ac:dyDescent="0.25">
      <c r="A292" s="29">
        <v>45927</v>
      </c>
      <c r="B292" s="5">
        <v>7</v>
      </c>
      <c r="D292" s="5" t="s">
        <v>91</v>
      </c>
      <c r="E292" s="6">
        <v>1.22</v>
      </c>
      <c r="F292" s="7">
        <v>1</v>
      </c>
      <c r="G292" s="7">
        <v>0</v>
      </c>
      <c r="H292" s="8">
        <v>1.44</v>
      </c>
      <c r="J292" s="5" t="s">
        <v>170</v>
      </c>
      <c r="L292" s="56">
        <v>60</v>
      </c>
      <c r="M292" s="26" t="s">
        <v>170</v>
      </c>
      <c r="N292" s="26" t="s">
        <v>296</v>
      </c>
      <c r="O292" s="26" t="s">
        <v>297</v>
      </c>
      <c r="P292" s="26" t="s">
        <v>699</v>
      </c>
      <c r="Q292" s="213">
        <v>62</v>
      </c>
      <c r="R292" s="26" t="s">
        <v>47</v>
      </c>
      <c r="S292" s="26" t="s">
        <v>42</v>
      </c>
      <c r="T292" s="43" t="s">
        <v>10</v>
      </c>
      <c r="U292" s="51">
        <v>0.2</v>
      </c>
      <c r="V292" s="6" t="s">
        <v>53</v>
      </c>
      <c r="W292" s="6" t="s">
        <v>353</v>
      </c>
      <c r="X292" s="5" t="s">
        <v>13</v>
      </c>
      <c r="Y292" s="112" t="s">
        <v>28</v>
      </c>
    </row>
    <row r="293" spans="1:27" ht="15.75" thickBot="1" x14ac:dyDescent="0.3">
      <c r="A293" s="206">
        <v>45927</v>
      </c>
      <c r="B293" s="207">
        <v>7</v>
      </c>
      <c r="C293" s="208"/>
      <c r="D293" s="207" t="s">
        <v>91</v>
      </c>
      <c r="E293" s="209">
        <v>1.22</v>
      </c>
      <c r="F293" s="210">
        <v>1</v>
      </c>
      <c r="G293" s="210">
        <v>0</v>
      </c>
      <c r="H293" s="211">
        <v>1.44</v>
      </c>
      <c r="I293" s="208"/>
      <c r="J293" s="207" t="s">
        <v>170</v>
      </c>
      <c r="K293" s="235"/>
      <c r="L293" s="198"/>
      <c r="M293" s="199" t="s">
        <v>91</v>
      </c>
      <c r="N293" s="199" t="s">
        <v>351</v>
      </c>
      <c r="O293" s="199" t="s">
        <v>54</v>
      </c>
      <c r="P293" s="199" t="s">
        <v>707</v>
      </c>
      <c r="Q293" s="200">
        <v>76</v>
      </c>
      <c r="R293" s="199"/>
      <c r="S293" s="199"/>
      <c r="T293" s="201"/>
      <c r="U293" s="202"/>
      <c r="V293" s="203"/>
      <c r="W293" s="203">
        <v>0</v>
      </c>
      <c r="X293" s="199"/>
      <c r="Y293" s="204"/>
      <c r="Z293" s="205"/>
      <c r="AA293" s="201"/>
    </row>
    <row r="294" spans="1:27" ht="15.75" thickBot="1" x14ac:dyDescent="0.3">
      <c r="A294" s="206">
        <v>45927</v>
      </c>
      <c r="B294" s="207">
        <v>7</v>
      </c>
      <c r="C294" s="208"/>
      <c r="D294" s="207" t="s">
        <v>91</v>
      </c>
      <c r="E294" s="209">
        <v>1.22</v>
      </c>
      <c r="F294" s="210">
        <v>1</v>
      </c>
      <c r="G294" s="210">
        <v>0</v>
      </c>
      <c r="H294" s="211">
        <v>1.44</v>
      </c>
      <c r="I294" s="208"/>
      <c r="J294" s="207" t="s">
        <v>170</v>
      </c>
      <c r="K294" s="235"/>
      <c r="L294" s="198"/>
      <c r="M294" s="199" t="s">
        <v>170</v>
      </c>
      <c r="N294" s="199" t="s">
        <v>269</v>
      </c>
      <c r="O294" s="199" t="s">
        <v>722</v>
      </c>
      <c r="P294" s="199" t="s">
        <v>707</v>
      </c>
      <c r="Q294" s="200">
        <v>71</v>
      </c>
      <c r="R294" s="199"/>
      <c r="S294" s="199"/>
      <c r="T294" s="201"/>
      <c r="U294" s="202"/>
      <c r="V294" s="203"/>
      <c r="W294" s="203">
        <v>1</v>
      </c>
      <c r="X294" s="199"/>
      <c r="Y294" s="204"/>
      <c r="Z294" s="205"/>
      <c r="AA294" s="201"/>
    </row>
    <row r="295" spans="1:27" ht="15.75" thickBot="1" x14ac:dyDescent="0.3">
      <c r="A295" s="236"/>
      <c r="B295" s="237"/>
      <c r="C295" s="238"/>
      <c r="D295" s="237"/>
      <c r="E295" s="239"/>
      <c r="F295" s="240"/>
      <c r="G295" s="240"/>
      <c r="H295" s="241"/>
      <c r="I295" s="238"/>
      <c r="J295" s="237"/>
      <c r="K295" s="242"/>
      <c r="L295" s="243"/>
      <c r="M295" s="237"/>
      <c r="N295" s="237"/>
      <c r="O295" s="237"/>
      <c r="P295" s="237"/>
      <c r="Q295" s="240"/>
      <c r="R295" s="237"/>
      <c r="S295" s="237"/>
      <c r="T295" s="244"/>
      <c r="U295" s="245"/>
      <c r="V295" s="239"/>
      <c r="W295" s="239" t="s">
        <v>741</v>
      </c>
      <c r="X295" s="237"/>
      <c r="Y295" s="246"/>
      <c r="Z295" s="247"/>
      <c r="AA295" s="244"/>
    </row>
    <row r="296" spans="1:27" x14ac:dyDescent="0.25">
      <c r="A296" s="135">
        <v>45886</v>
      </c>
      <c r="B296" s="136">
        <v>1</v>
      </c>
      <c r="C296" s="137" t="s">
        <v>700</v>
      </c>
      <c r="D296" s="136" t="s">
        <v>456</v>
      </c>
      <c r="E296" s="138">
        <v>0.73</v>
      </c>
      <c r="F296" s="139">
        <v>0</v>
      </c>
      <c r="G296" s="139">
        <v>2</v>
      </c>
      <c r="H296" s="140">
        <v>1.43</v>
      </c>
      <c r="I296" s="137" t="s">
        <v>701</v>
      </c>
      <c r="J296" s="136" t="s">
        <v>161</v>
      </c>
      <c r="K296" s="141"/>
      <c r="L296" s="142">
        <v>21</v>
      </c>
      <c r="M296" s="64" t="s">
        <v>456</v>
      </c>
      <c r="N296" s="64" t="s">
        <v>162</v>
      </c>
      <c r="O296" s="64" t="s">
        <v>163</v>
      </c>
      <c r="P296" s="64" t="s">
        <v>686</v>
      </c>
      <c r="Q296" s="217">
        <v>70</v>
      </c>
      <c r="R296" s="64" t="s">
        <v>47</v>
      </c>
      <c r="S296" s="64" t="s">
        <v>43</v>
      </c>
      <c r="T296" s="65" t="s">
        <v>10</v>
      </c>
      <c r="U296" s="167">
        <v>0.37</v>
      </c>
      <c r="V296" s="138">
        <v>0.34</v>
      </c>
      <c r="W296" s="138" t="s">
        <v>353</v>
      </c>
      <c r="X296" s="136" t="s">
        <v>48</v>
      </c>
      <c r="Y296" s="168" t="s">
        <v>28</v>
      </c>
      <c r="Z296" s="169"/>
      <c r="AA296" s="170"/>
    </row>
    <row r="297" spans="1:27" x14ac:dyDescent="0.25">
      <c r="A297" s="143">
        <v>45886</v>
      </c>
      <c r="B297" s="144">
        <v>1</v>
      </c>
      <c r="C297" s="145"/>
      <c r="D297" s="144" t="s">
        <v>456</v>
      </c>
      <c r="E297" s="146">
        <v>0.73</v>
      </c>
      <c r="F297" s="147">
        <v>0</v>
      </c>
      <c r="G297" s="147">
        <v>2</v>
      </c>
      <c r="H297" s="148">
        <v>1.43</v>
      </c>
      <c r="I297" s="145"/>
      <c r="J297" s="144" t="s">
        <v>161</v>
      </c>
      <c r="K297" s="149"/>
      <c r="L297" s="150">
        <v>47</v>
      </c>
      <c r="M297" s="26" t="s">
        <v>161</v>
      </c>
      <c r="N297" s="26" t="s">
        <v>168</v>
      </c>
      <c r="O297" s="26" t="s">
        <v>169</v>
      </c>
      <c r="P297" s="26" t="s">
        <v>718</v>
      </c>
      <c r="Q297" s="213">
        <v>73</v>
      </c>
      <c r="R297" s="26" t="s">
        <v>41</v>
      </c>
      <c r="S297" s="26" t="s">
        <v>43</v>
      </c>
      <c r="T297" s="43" t="s">
        <v>10</v>
      </c>
      <c r="U297" s="171">
        <v>0.24</v>
      </c>
      <c r="V297" s="146">
        <v>0.69</v>
      </c>
      <c r="W297" s="146" t="s">
        <v>353</v>
      </c>
      <c r="X297" s="144" t="s">
        <v>8</v>
      </c>
      <c r="Y297" s="172" t="s">
        <v>9</v>
      </c>
      <c r="Z297" s="173" t="s">
        <v>167</v>
      </c>
      <c r="AA297" s="174" t="s">
        <v>166</v>
      </c>
    </row>
    <row r="298" spans="1:27" ht="15.75" thickBot="1" x14ac:dyDescent="0.3">
      <c r="A298" s="151">
        <v>45886</v>
      </c>
      <c r="B298" s="152">
        <v>1</v>
      </c>
      <c r="C298" s="153"/>
      <c r="D298" s="152" t="s">
        <v>456</v>
      </c>
      <c r="E298" s="154">
        <v>0.73</v>
      </c>
      <c r="F298" s="155">
        <v>0</v>
      </c>
      <c r="G298" s="155">
        <v>2</v>
      </c>
      <c r="H298" s="156">
        <v>1.43</v>
      </c>
      <c r="I298" s="153"/>
      <c r="J298" s="152" t="s">
        <v>161</v>
      </c>
      <c r="K298" s="157"/>
      <c r="L298" s="158">
        <v>72</v>
      </c>
      <c r="M298" s="74" t="s">
        <v>161</v>
      </c>
      <c r="N298" s="74" t="s">
        <v>167</v>
      </c>
      <c r="O298" s="74" t="s">
        <v>166</v>
      </c>
      <c r="P298" s="74" t="s">
        <v>717</v>
      </c>
      <c r="Q298" s="221">
        <v>90</v>
      </c>
      <c r="R298" s="74" t="s">
        <v>41</v>
      </c>
      <c r="S298" s="74" t="s">
        <v>43</v>
      </c>
      <c r="T298" s="76" t="s">
        <v>10</v>
      </c>
      <c r="U298" s="175">
        <v>0.95</v>
      </c>
      <c r="V298" s="154">
        <v>0.99</v>
      </c>
      <c r="W298" s="154" t="s">
        <v>353</v>
      </c>
      <c r="X298" s="152" t="s">
        <v>8</v>
      </c>
      <c r="Y298" s="176" t="s">
        <v>11</v>
      </c>
      <c r="Z298" s="177" t="s">
        <v>648</v>
      </c>
      <c r="AA298" s="178" t="s">
        <v>653</v>
      </c>
    </row>
    <row r="299" spans="1:27" ht="15.75" thickBot="1" x14ac:dyDescent="0.3">
      <c r="A299" s="206">
        <v>45886</v>
      </c>
      <c r="B299" s="207">
        <v>1</v>
      </c>
      <c r="C299" s="208"/>
      <c r="D299" s="207" t="s">
        <v>456</v>
      </c>
      <c r="E299" s="209">
        <v>0.73</v>
      </c>
      <c r="F299" s="210">
        <v>0</v>
      </c>
      <c r="G299" s="210">
        <v>2</v>
      </c>
      <c r="H299" s="211">
        <v>1.43</v>
      </c>
      <c r="I299" s="208"/>
      <c r="J299" s="207" t="s">
        <v>161</v>
      </c>
      <c r="K299" s="197"/>
      <c r="L299" s="198"/>
      <c r="M299" s="199" t="s">
        <v>456</v>
      </c>
      <c r="N299" s="199" t="s">
        <v>719</v>
      </c>
      <c r="O299" s="199" t="s">
        <v>720</v>
      </c>
      <c r="P299" s="199" t="s">
        <v>707</v>
      </c>
      <c r="Q299" s="200">
        <v>63</v>
      </c>
      <c r="R299" s="199"/>
      <c r="S299" s="199"/>
      <c r="T299" s="201"/>
      <c r="U299" s="202"/>
      <c r="V299" s="203"/>
      <c r="W299" s="203">
        <v>2</v>
      </c>
      <c r="X299" s="199"/>
      <c r="Y299" s="204"/>
      <c r="Z299" s="205"/>
      <c r="AA299" s="201"/>
    </row>
    <row r="300" spans="1:27" ht="15.75" thickBot="1" x14ac:dyDescent="0.3">
      <c r="A300" s="206">
        <v>45886</v>
      </c>
      <c r="B300" s="207">
        <v>1</v>
      </c>
      <c r="C300" s="208"/>
      <c r="D300" s="207" t="s">
        <v>456</v>
      </c>
      <c r="E300" s="209">
        <v>0.73</v>
      </c>
      <c r="F300" s="210">
        <v>0</v>
      </c>
      <c r="G300" s="210">
        <v>2</v>
      </c>
      <c r="H300" s="211">
        <v>1.43</v>
      </c>
      <c r="I300" s="208"/>
      <c r="J300" s="207" t="s">
        <v>161</v>
      </c>
      <c r="K300" s="197"/>
      <c r="L300" s="198"/>
      <c r="M300" s="199" t="s">
        <v>161</v>
      </c>
      <c r="N300" s="199" t="s">
        <v>316</v>
      </c>
      <c r="O300" s="199" t="s">
        <v>721</v>
      </c>
      <c r="P300" s="199" t="s">
        <v>707</v>
      </c>
      <c r="Q300" s="200">
        <v>74</v>
      </c>
      <c r="R300" s="199"/>
      <c r="S300" s="199"/>
      <c r="T300" s="201"/>
      <c r="U300" s="202"/>
      <c r="V300" s="203"/>
      <c r="W300" s="203">
        <v>0</v>
      </c>
      <c r="X300" s="199"/>
      <c r="Y300" s="204"/>
      <c r="Z300" s="205"/>
      <c r="AA300" s="201"/>
    </row>
    <row r="301" spans="1:27" x14ac:dyDescent="0.25">
      <c r="A301" s="143">
        <v>45896</v>
      </c>
      <c r="B301" s="144">
        <v>6</v>
      </c>
      <c r="C301" s="145"/>
      <c r="D301" s="144" t="s">
        <v>456</v>
      </c>
      <c r="E301" s="146">
        <v>0.83</v>
      </c>
      <c r="F301" s="147">
        <v>1</v>
      </c>
      <c r="G301" s="147">
        <v>1</v>
      </c>
      <c r="H301" s="148">
        <v>0.33</v>
      </c>
      <c r="I301" s="145"/>
      <c r="J301" s="144" t="s">
        <v>209</v>
      </c>
      <c r="K301" s="149"/>
      <c r="L301" s="150">
        <v>17</v>
      </c>
      <c r="M301" s="61" t="s">
        <v>456</v>
      </c>
      <c r="N301" s="61" t="s">
        <v>278</v>
      </c>
      <c r="O301" s="61" t="s">
        <v>211</v>
      </c>
      <c r="P301" s="61" t="s">
        <v>713</v>
      </c>
      <c r="Q301" s="218">
        <v>61</v>
      </c>
      <c r="R301" s="61" t="s">
        <v>41</v>
      </c>
      <c r="S301" s="61" t="s">
        <v>45</v>
      </c>
      <c r="T301" s="63" t="s">
        <v>20</v>
      </c>
      <c r="U301" s="171" t="s">
        <v>358</v>
      </c>
      <c r="V301" s="146" t="s">
        <v>53</v>
      </c>
      <c r="W301" s="146" t="s">
        <v>353</v>
      </c>
      <c r="X301" s="144" t="s">
        <v>13</v>
      </c>
      <c r="Y301" s="172" t="s">
        <v>28</v>
      </c>
      <c r="Z301" s="173"/>
      <c r="AA301" s="174"/>
    </row>
    <row r="302" spans="1:27" x14ac:dyDescent="0.25">
      <c r="A302" s="143">
        <v>45896</v>
      </c>
      <c r="B302" s="144">
        <v>6</v>
      </c>
      <c r="C302" s="145"/>
      <c r="D302" s="144" t="s">
        <v>456</v>
      </c>
      <c r="E302" s="146">
        <v>0.83</v>
      </c>
      <c r="F302" s="147">
        <v>1</v>
      </c>
      <c r="G302" s="147">
        <v>1</v>
      </c>
      <c r="H302" s="148">
        <v>0.33</v>
      </c>
      <c r="I302" s="145"/>
      <c r="J302" s="144" t="s">
        <v>209</v>
      </c>
      <c r="K302" s="149"/>
      <c r="L302" s="150">
        <v>37</v>
      </c>
      <c r="M302" s="26" t="s">
        <v>209</v>
      </c>
      <c r="N302" s="26" t="s">
        <v>218</v>
      </c>
      <c r="O302" s="26" t="s">
        <v>219</v>
      </c>
      <c r="P302" s="26" t="s">
        <v>685</v>
      </c>
      <c r="Q302" s="213">
        <v>66</v>
      </c>
      <c r="R302" s="26" t="s">
        <v>41</v>
      </c>
      <c r="S302" s="26" t="s">
        <v>42</v>
      </c>
      <c r="T302" s="43" t="s">
        <v>10</v>
      </c>
      <c r="U302" s="171">
        <v>0.14000000000000001</v>
      </c>
      <c r="V302" s="146" t="s">
        <v>53</v>
      </c>
      <c r="W302" s="146" t="s">
        <v>353</v>
      </c>
      <c r="X302" s="144" t="s">
        <v>48</v>
      </c>
      <c r="Y302" s="172" t="s">
        <v>28</v>
      </c>
      <c r="Z302" s="173"/>
      <c r="AA302" s="174"/>
    </row>
    <row r="303" spans="1:27" x14ac:dyDescent="0.25">
      <c r="A303" s="143">
        <v>45896</v>
      </c>
      <c r="B303" s="144">
        <v>6</v>
      </c>
      <c r="C303" s="145"/>
      <c r="D303" s="144" t="s">
        <v>456</v>
      </c>
      <c r="E303" s="146">
        <v>0.83</v>
      </c>
      <c r="F303" s="147">
        <v>1</v>
      </c>
      <c r="G303" s="147">
        <v>1</v>
      </c>
      <c r="H303" s="148">
        <v>0.33</v>
      </c>
      <c r="I303" s="145"/>
      <c r="J303" s="144" t="s">
        <v>209</v>
      </c>
      <c r="K303" s="149"/>
      <c r="L303" s="150">
        <v>45</v>
      </c>
      <c r="M303" s="26" t="s">
        <v>209</v>
      </c>
      <c r="N303" s="26" t="s">
        <v>337</v>
      </c>
      <c r="O303" s="26" t="s">
        <v>338</v>
      </c>
      <c r="P303" s="26" t="s">
        <v>713</v>
      </c>
      <c r="Q303" s="213">
        <v>85</v>
      </c>
      <c r="R303" s="26" t="s">
        <v>41</v>
      </c>
      <c r="S303" s="26" t="s">
        <v>45</v>
      </c>
      <c r="T303" s="43" t="s">
        <v>20</v>
      </c>
      <c r="U303" s="171">
        <v>7.0000000000000007E-2</v>
      </c>
      <c r="V303" s="146">
        <v>0.44</v>
      </c>
      <c r="W303" s="146" t="s">
        <v>353</v>
      </c>
      <c r="X303" s="144" t="s">
        <v>8</v>
      </c>
      <c r="Y303" s="172" t="s">
        <v>9</v>
      </c>
      <c r="Z303" s="173" t="s">
        <v>222</v>
      </c>
      <c r="AA303" s="174" t="s">
        <v>223</v>
      </c>
    </row>
    <row r="304" spans="1:27" x14ac:dyDescent="0.25">
      <c r="A304" s="143">
        <v>45896</v>
      </c>
      <c r="B304" s="144">
        <v>6</v>
      </c>
      <c r="C304" s="145"/>
      <c r="D304" s="144" t="s">
        <v>456</v>
      </c>
      <c r="E304" s="146">
        <v>0.83</v>
      </c>
      <c r="F304" s="147">
        <v>1</v>
      </c>
      <c r="G304" s="147">
        <v>1</v>
      </c>
      <c r="H304" s="148">
        <v>0.33</v>
      </c>
      <c r="I304" s="145"/>
      <c r="J304" s="144" t="s">
        <v>209</v>
      </c>
      <c r="K304" s="149"/>
      <c r="L304" s="150">
        <v>84</v>
      </c>
      <c r="M304" s="61" t="s">
        <v>456</v>
      </c>
      <c r="N304" s="61" t="s">
        <v>118</v>
      </c>
      <c r="O304" s="61" t="s">
        <v>357</v>
      </c>
      <c r="P304" s="61" t="s">
        <v>696</v>
      </c>
      <c r="Q304" s="218">
        <v>62</v>
      </c>
      <c r="R304" s="61" t="s">
        <v>41</v>
      </c>
      <c r="S304" s="61" t="s">
        <v>45</v>
      </c>
      <c r="T304" s="63" t="s">
        <v>10</v>
      </c>
      <c r="U304" s="171">
        <v>0.14000000000000001</v>
      </c>
      <c r="V304" s="146">
        <v>0.35</v>
      </c>
      <c r="W304" s="146" t="s">
        <v>353</v>
      </c>
      <c r="X304" s="144" t="s">
        <v>48</v>
      </c>
      <c r="Y304" s="172" t="s">
        <v>51</v>
      </c>
      <c r="Z304" s="173"/>
      <c r="AA304" s="174"/>
    </row>
    <row r="305" spans="1:27" ht="15.75" thickBot="1" x14ac:dyDescent="0.3">
      <c r="A305" s="229">
        <v>45896</v>
      </c>
      <c r="B305" s="230">
        <v>6</v>
      </c>
      <c r="C305" s="231"/>
      <c r="D305" s="230" t="s">
        <v>456</v>
      </c>
      <c r="E305" s="232">
        <v>0.83</v>
      </c>
      <c r="F305" s="233">
        <v>1</v>
      </c>
      <c r="G305" s="233">
        <v>1</v>
      </c>
      <c r="H305" s="234">
        <v>0.33</v>
      </c>
      <c r="I305" s="231"/>
      <c r="J305" s="230" t="s">
        <v>209</v>
      </c>
      <c r="K305" s="197"/>
      <c r="L305" s="198"/>
      <c r="M305" s="199" t="s">
        <v>456</v>
      </c>
      <c r="N305" s="199" t="s">
        <v>719</v>
      </c>
      <c r="O305" s="199" t="s">
        <v>720</v>
      </c>
      <c r="P305" s="199" t="s">
        <v>707</v>
      </c>
      <c r="Q305" s="200">
        <v>66</v>
      </c>
      <c r="R305" s="199"/>
      <c r="S305" s="199"/>
      <c r="T305" s="201"/>
      <c r="U305" s="202"/>
      <c r="V305" s="203"/>
      <c r="W305" s="203">
        <v>1</v>
      </c>
      <c r="X305" s="199"/>
      <c r="Y305" s="204"/>
      <c r="Z305" s="205"/>
      <c r="AA305" s="201"/>
    </row>
    <row r="306" spans="1:27" ht="15.75" thickBot="1" x14ac:dyDescent="0.3">
      <c r="A306" s="229">
        <v>45896</v>
      </c>
      <c r="B306" s="230">
        <v>6</v>
      </c>
      <c r="C306" s="231"/>
      <c r="D306" s="230" t="s">
        <v>456</v>
      </c>
      <c r="E306" s="232">
        <v>0.83</v>
      </c>
      <c r="F306" s="233">
        <v>1</v>
      </c>
      <c r="G306" s="233">
        <v>1</v>
      </c>
      <c r="H306" s="234">
        <v>0.33</v>
      </c>
      <c r="I306" s="231"/>
      <c r="J306" s="230" t="s">
        <v>209</v>
      </c>
      <c r="K306" s="197"/>
      <c r="L306" s="198"/>
      <c r="M306" s="199" t="s">
        <v>209</v>
      </c>
      <c r="N306" s="199" t="s">
        <v>74</v>
      </c>
      <c r="O306" s="199" t="s">
        <v>730</v>
      </c>
      <c r="P306" s="199" t="s">
        <v>707</v>
      </c>
      <c r="Q306" s="200">
        <v>64</v>
      </c>
      <c r="R306" s="199"/>
      <c r="S306" s="199"/>
      <c r="T306" s="201"/>
      <c r="U306" s="202"/>
      <c r="V306" s="203"/>
      <c r="W306" s="203">
        <v>1</v>
      </c>
      <c r="X306" s="199"/>
      <c r="Y306" s="204"/>
      <c r="Z306" s="205"/>
      <c r="AA306" s="201"/>
    </row>
    <row r="307" spans="1:27" x14ac:dyDescent="0.25">
      <c r="A307" s="143">
        <v>45900</v>
      </c>
      <c r="B307" s="144">
        <v>3</v>
      </c>
      <c r="C307" s="145"/>
      <c r="D307" s="144" t="s">
        <v>456</v>
      </c>
      <c r="E307" s="146">
        <v>0.96</v>
      </c>
      <c r="F307" s="147">
        <v>1</v>
      </c>
      <c r="G307" s="147">
        <v>1</v>
      </c>
      <c r="H307" s="148">
        <v>1.04</v>
      </c>
      <c r="I307" s="145"/>
      <c r="J307" s="144" t="s">
        <v>91</v>
      </c>
      <c r="K307" s="149"/>
      <c r="L307" s="150">
        <v>53</v>
      </c>
      <c r="M307" s="26" t="s">
        <v>91</v>
      </c>
      <c r="N307" s="26" t="s">
        <v>96</v>
      </c>
      <c r="O307" s="26" t="s">
        <v>97</v>
      </c>
      <c r="P307" s="26" t="s">
        <v>718</v>
      </c>
      <c r="Q307" s="213">
        <v>77</v>
      </c>
      <c r="R307" s="26" t="s">
        <v>41</v>
      </c>
      <c r="S307" s="26" t="s">
        <v>43</v>
      </c>
      <c r="T307" s="43" t="s">
        <v>10</v>
      </c>
      <c r="U307" s="171">
        <v>0.6</v>
      </c>
      <c r="V307" s="146">
        <v>0.67</v>
      </c>
      <c r="W307" s="146" t="s">
        <v>353</v>
      </c>
      <c r="X307" s="144" t="s">
        <v>8</v>
      </c>
      <c r="Y307" s="172" t="s">
        <v>9</v>
      </c>
      <c r="Z307" s="173" t="s">
        <v>104</v>
      </c>
      <c r="AA307" s="174" t="s">
        <v>105</v>
      </c>
    </row>
    <row r="308" spans="1:27" x14ac:dyDescent="0.25">
      <c r="A308" s="143">
        <v>45900</v>
      </c>
      <c r="B308" s="144">
        <v>3</v>
      </c>
      <c r="C308" s="145"/>
      <c r="D308" s="144" t="s">
        <v>456</v>
      </c>
      <c r="E308" s="146">
        <v>0.96</v>
      </c>
      <c r="F308" s="147">
        <v>1</v>
      </c>
      <c r="G308" s="147">
        <v>1</v>
      </c>
      <c r="H308" s="148">
        <v>1.04</v>
      </c>
      <c r="I308" s="145"/>
      <c r="J308" s="144" t="s">
        <v>91</v>
      </c>
      <c r="K308" s="149"/>
      <c r="L308" s="150">
        <v>90</v>
      </c>
      <c r="M308" s="61" t="s">
        <v>456</v>
      </c>
      <c r="N308" s="61" t="s">
        <v>249</v>
      </c>
      <c r="O308" s="61" t="s">
        <v>250</v>
      </c>
      <c r="P308" s="61" t="s">
        <v>696</v>
      </c>
      <c r="Q308" s="218">
        <v>67</v>
      </c>
      <c r="R308" s="61" t="s">
        <v>41</v>
      </c>
      <c r="S308" s="61" t="s">
        <v>42</v>
      </c>
      <c r="T308" s="63" t="s">
        <v>10</v>
      </c>
      <c r="U308" s="171">
        <v>0.25</v>
      </c>
      <c r="V308" s="146" t="s">
        <v>53</v>
      </c>
      <c r="W308" s="146" t="s">
        <v>353</v>
      </c>
      <c r="X308" s="144" t="s">
        <v>16</v>
      </c>
      <c r="Y308" s="172" t="s">
        <v>9</v>
      </c>
      <c r="Z308" s="173"/>
      <c r="AA308" s="174"/>
    </row>
    <row r="309" spans="1:27" ht="15.75" thickBot="1" x14ac:dyDescent="0.3">
      <c r="A309" s="151">
        <v>45900</v>
      </c>
      <c r="B309" s="152">
        <v>3</v>
      </c>
      <c r="C309" s="153"/>
      <c r="D309" s="152" t="s">
        <v>456</v>
      </c>
      <c r="E309" s="154">
        <v>0.96</v>
      </c>
      <c r="F309" s="155">
        <v>1</v>
      </c>
      <c r="G309" s="155">
        <v>1</v>
      </c>
      <c r="H309" s="156">
        <v>1.04</v>
      </c>
      <c r="I309" s="153"/>
      <c r="J309" s="152" t="s">
        <v>91</v>
      </c>
      <c r="K309" s="157"/>
      <c r="L309" s="158" t="s">
        <v>36</v>
      </c>
      <c r="M309" s="66" t="s">
        <v>456</v>
      </c>
      <c r="N309" s="66" t="s">
        <v>313</v>
      </c>
      <c r="O309" s="66" t="s">
        <v>301</v>
      </c>
      <c r="P309" s="66" t="s">
        <v>696</v>
      </c>
      <c r="Q309" s="219">
        <v>73</v>
      </c>
      <c r="R309" s="66" t="s">
        <v>47</v>
      </c>
      <c r="S309" s="66" t="s">
        <v>45</v>
      </c>
      <c r="T309" s="67" t="s">
        <v>10</v>
      </c>
      <c r="U309" s="175">
        <v>0.28000000000000003</v>
      </c>
      <c r="V309" s="154">
        <v>0.67</v>
      </c>
      <c r="W309" s="154" t="s">
        <v>353</v>
      </c>
      <c r="X309" s="152" t="s">
        <v>8</v>
      </c>
      <c r="Y309" s="176" t="s">
        <v>51</v>
      </c>
      <c r="Z309" s="177" t="s">
        <v>278</v>
      </c>
      <c r="AA309" s="178" t="s">
        <v>252</v>
      </c>
    </row>
    <row r="310" spans="1:27" ht="15.75" thickBot="1" x14ac:dyDescent="0.3">
      <c r="A310" s="206">
        <v>45900</v>
      </c>
      <c r="B310" s="207">
        <v>3</v>
      </c>
      <c r="C310" s="208"/>
      <c r="D310" s="207" t="s">
        <v>456</v>
      </c>
      <c r="E310" s="209">
        <v>0.96</v>
      </c>
      <c r="F310" s="210">
        <v>1</v>
      </c>
      <c r="G310" s="210">
        <v>1</v>
      </c>
      <c r="H310" s="211">
        <v>1.04</v>
      </c>
      <c r="I310" s="208"/>
      <c r="J310" s="207" t="s">
        <v>91</v>
      </c>
      <c r="K310" s="235"/>
      <c r="L310" s="198"/>
      <c r="M310" s="199" t="s">
        <v>456</v>
      </c>
      <c r="N310" s="199" t="s">
        <v>719</v>
      </c>
      <c r="O310" s="199" t="s">
        <v>720</v>
      </c>
      <c r="P310" s="199" t="s">
        <v>707</v>
      </c>
      <c r="Q310" s="200">
        <v>74</v>
      </c>
      <c r="R310" s="199"/>
      <c r="S310" s="199"/>
      <c r="T310" s="201"/>
      <c r="U310" s="202"/>
      <c r="V310" s="203"/>
      <c r="W310" s="203">
        <v>1</v>
      </c>
      <c r="X310" s="199"/>
      <c r="Y310" s="204"/>
      <c r="Z310" s="205"/>
      <c r="AA310" s="201"/>
    </row>
    <row r="311" spans="1:27" ht="15.75" thickBot="1" x14ac:dyDescent="0.3">
      <c r="A311" s="206">
        <v>45900</v>
      </c>
      <c r="B311" s="207">
        <v>3</v>
      </c>
      <c r="C311" s="208"/>
      <c r="D311" s="207" t="s">
        <v>456</v>
      </c>
      <c r="E311" s="209">
        <v>0.96</v>
      </c>
      <c r="F311" s="210">
        <v>1</v>
      </c>
      <c r="G311" s="210">
        <v>1</v>
      </c>
      <c r="H311" s="211">
        <v>1.04</v>
      </c>
      <c r="I311" s="208"/>
      <c r="J311" s="207" t="s">
        <v>91</v>
      </c>
      <c r="K311" s="235"/>
      <c r="L311" s="198"/>
      <c r="M311" s="199" t="s">
        <v>91</v>
      </c>
      <c r="N311" s="199" t="s">
        <v>351</v>
      </c>
      <c r="O311" s="199" t="s">
        <v>54</v>
      </c>
      <c r="P311" s="199" t="s">
        <v>707</v>
      </c>
      <c r="Q311" s="200">
        <v>66</v>
      </c>
      <c r="R311" s="199"/>
      <c r="S311" s="199"/>
      <c r="T311" s="201"/>
      <c r="U311" s="202"/>
      <c r="V311" s="203"/>
      <c r="W311" s="203">
        <v>1</v>
      </c>
      <c r="X311" s="199"/>
      <c r="Y311" s="204"/>
      <c r="Z311" s="205"/>
      <c r="AA311" s="201"/>
    </row>
    <row r="312" spans="1:27" x14ac:dyDescent="0.25">
      <c r="A312" s="143">
        <v>45914</v>
      </c>
      <c r="B312" s="144">
        <v>4</v>
      </c>
      <c r="C312" s="145"/>
      <c r="D312" s="144" t="s">
        <v>456</v>
      </c>
      <c r="E312" s="146">
        <v>2.5</v>
      </c>
      <c r="F312" s="147">
        <v>1</v>
      </c>
      <c r="G312" s="147">
        <v>1</v>
      </c>
      <c r="H312" s="148">
        <v>0.64</v>
      </c>
      <c r="I312" s="145"/>
      <c r="J312" s="144" t="s">
        <v>69</v>
      </c>
      <c r="K312" s="149"/>
      <c r="L312" s="150">
        <v>39</v>
      </c>
      <c r="M312" s="26" t="s">
        <v>69</v>
      </c>
      <c r="N312" s="26" t="s">
        <v>59</v>
      </c>
      <c r="O312" s="26" t="s">
        <v>365</v>
      </c>
      <c r="P312" s="26" t="s">
        <v>690</v>
      </c>
      <c r="Q312" s="213">
        <v>71</v>
      </c>
      <c r="R312" s="26" t="s">
        <v>41</v>
      </c>
      <c r="S312" s="26" t="s">
        <v>45</v>
      </c>
      <c r="T312" s="43" t="s">
        <v>10</v>
      </c>
      <c r="U312" s="171">
        <v>0.05</v>
      </c>
      <c r="V312" s="146">
        <v>0.04</v>
      </c>
      <c r="W312" s="146" t="s">
        <v>353</v>
      </c>
      <c r="X312" s="144" t="s">
        <v>48</v>
      </c>
      <c r="Y312" s="172" t="s">
        <v>9</v>
      </c>
      <c r="Z312" s="173"/>
      <c r="AA312" s="174"/>
    </row>
    <row r="313" spans="1:27" x14ac:dyDescent="0.25">
      <c r="A313" s="143">
        <v>45914</v>
      </c>
      <c r="B313" s="144">
        <v>4</v>
      </c>
      <c r="C313" s="145"/>
      <c r="D313" s="144" t="s">
        <v>456</v>
      </c>
      <c r="E313" s="146">
        <v>2.5</v>
      </c>
      <c r="F313" s="147">
        <v>1</v>
      </c>
      <c r="G313" s="147">
        <v>1</v>
      </c>
      <c r="H313" s="148">
        <v>0.64</v>
      </c>
      <c r="I313" s="145"/>
      <c r="J313" s="144" t="s">
        <v>69</v>
      </c>
      <c r="K313" s="149"/>
      <c r="L313" s="150">
        <v>75</v>
      </c>
      <c r="M313" s="61" t="s">
        <v>456</v>
      </c>
      <c r="N313" s="61" t="s">
        <v>387</v>
      </c>
      <c r="O313" s="61" t="s">
        <v>388</v>
      </c>
      <c r="P313" s="61" t="s">
        <v>696</v>
      </c>
      <c r="Q313" s="218">
        <v>68</v>
      </c>
      <c r="R313" s="61" t="s">
        <v>47</v>
      </c>
      <c r="S313" s="61" t="s">
        <v>45</v>
      </c>
      <c r="T313" s="63" t="s">
        <v>20</v>
      </c>
      <c r="U313" s="171">
        <v>0.11</v>
      </c>
      <c r="V313" s="146" t="s">
        <v>53</v>
      </c>
      <c r="W313" s="146" t="s">
        <v>353</v>
      </c>
      <c r="X313" s="144" t="s">
        <v>22</v>
      </c>
      <c r="Y313" s="172" t="s">
        <v>9</v>
      </c>
      <c r="Z313" s="173"/>
      <c r="AA313" s="174"/>
    </row>
    <row r="314" spans="1:27" x14ac:dyDescent="0.25">
      <c r="A314" s="143">
        <v>45914</v>
      </c>
      <c r="B314" s="144">
        <v>4</v>
      </c>
      <c r="C314" s="145"/>
      <c r="D314" s="144" t="s">
        <v>456</v>
      </c>
      <c r="E314" s="146">
        <v>2.5</v>
      </c>
      <c r="F314" s="147">
        <v>1</v>
      </c>
      <c r="G314" s="147">
        <v>1</v>
      </c>
      <c r="H314" s="148">
        <v>0.64</v>
      </c>
      <c r="I314" s="145"/>
      <c r="J314" s="144" t="s">
        <v>69</v>
      </c>
      <c r="K314" s="149"/>
      <c r="L314" s="150">
        <v>83</v>
      </c>
      <c r="M314" s="26" t="s">
        <v>69</v>
      </c>
      <c r="N314" s="26" t="s">
        <v>53</v>
      </c>
      <c r="O314" s="26" t="s">
        <v>324</v>
      </c>
      <c r="P314" s="26" t="s">
        <v>696</v>
      </c>
      <c r="Q314" s="213">
        <v>64</v>
      </c>
      <c r="R314" s="26" t="s">
        <v>41</v>
      </c>
      <c r="S314" s="26" t="s">
        <v>42</v>
      </c>
      <c r="T314" s="43" t="s">
        <v>540</v>
      </c>
      <c r="U314" s="171">
        <v>0.11</v>
      </c>
      <c r="V314" s="146">
        <v>0.21</v>
      </c>
      <c r="W314" s="146" t="s">
        <v>353</v>
      </c>
      <c r="X314" s="144" t="s">
        <v>48</v>
      </c>
      <c r="Y314" s="172" t="s">
        <v>9</v>
      </c>
      <c r="Z314" s="173"/>
      <c r="AA314" s="174"/>
    </row>
    <row r="315" spans="1:27" ht="15.75" thickBot="1" x14ac:dyDescent="0.3">
      <c r="A315" s="151">
        <v>45914</v>
      </c>
      <c r="B315" s="152">
        <v>4</v>
      </c>
      <c r="C315" s="153"/>
      <c r="D315" s="152" t="s">
        <v>456</v>
      </c>
      <c r="E315" s="154">
        <v>2.5</v>
      </c>
      <c r="F315" s="155">
        <v>1</v>
      </c>
      <c r="G315" s="155">
        <v>1</v>
      </c>
      <c r="H315" s="156">
        <v>0.64</v>
      </c>
      <c r="I315" s="153"/>
      <c r="J315" s="152" t="s">
        <v>69</v>
      </c>
      <c r="K315" s="157"/>
      <c r="L315" s="158" t="s">
        <v>35</v>
      </c>
      <c r="M315" s="66" t="s">
        <v>456</v>
      </c>
      <c r="N315" s="66" t="s">
        <v>313</v>
      </c>
      <c r="O315" s="66" t="s">
        <v>301</v>
      </c>
      <c r="P315" s="66" t="s">
        <v>696</v>
      </c>
      <c r="Q315" s="219">
        <v>71</v>
      </c>
      <c r="R315" s="66" t="s">
        <v>41</v>
      </c>
      <c r="S315" s="66" t="s">
        <v>42</v>
      </c>
      <c r="T315" s="67" t="s">
        <v>7</v>
      </c>
      <c r="U315" s="175">
        <v>0.79</v>
      </c>
      <c r="V315" s="154">
        <v>0.9</v>
      </c>
      <c r="W315" s="154" t="s">
        <v>353</v>
      </c>
      <c r="X315" s="152" t="s">
        <v>8</v>
      </c>
      <c r="Y315" s="176" t="s">
        <v>51</v>
      </c>
      <c r="Z315" s="177"/>
      <c r="AA315" s="178"/>
    </row>
    <row r="316" spans="1:27" ht="15.75" thickBot="1" x14ac:dyDescent="0.3">
      <c r="A316" s="206">
        <v>45914</v>
      </c>
      <c r="B316" s="207">
        <v>4</v>
      </c>
      <c r="C316" s="208"/>
      <c r="D316" s="207" t="s">
        <v>456</v>
      </c>
      <c r="E316" s="209">
        <v>2.5</v>
      </c>
      <c r="F316" s="210">
        <v>1</v>
      </c>
      <c r="G316" s="210">
        <v>1</v>
      </c>
      <c r="H316" s="211">
        <v>0.64</v>
      </c>
      <c r="I316" s="208"/>
      <c r="J316" s="207" t="s">
        <v>69</v>
      </c>
      <c r="K316" s="235"/>
      <c r="L316" s="198"/>
      <c r="M316" s="199" t="s">
        <v>456</v>
      </c>
      <c r="N316" s="199" t="s">
        <v>719</v>
      </c>
      <c r="O316" s="199" t="s">
        <v>720</v>
      </c>
      <c r="P316" s="199" t="s">
        <v>707</v>
      </c>
      <c r="Q316" s="200">
        <v>76</v>
      </c>
      <c r="R316" s="199"/>
      <c r="S316" s="199"/>
      <c r="T316" s="201"/>
      <c r="U316" s="202"/>
      <c r="V316" s="203"/>
      <c r="W316" s="203">
        <v>1</v>
      </c>
      <c r="X316" s="199"/>
      <c r="Y316" s="204"/>
      <c r="Z316" s="205"/>
      <c r="AA316" s="201"/>
    </row>
    <row r="317" spans="1:27" ht="15.75" thickBot="1" x14ac:dyDescent="0.3">
      <c r="A317" s="206">
        <v>45914</v>
      </c>
      <c r="B317" s="207">
        <v>4</v>
      </c>
      <c r="C317" s="208"/>
      <c r="D317" s="207" t="s">
        <v>456</v>
      </c>
      <c r="E317" s="209">
        <v>2.5</v>
      </c>
      <c r="F317" s="210">
        <v>1</v>
      </c>
      <c r="G317" s="210">
        <v>1</v>
      </c>
      <c r="H317" s="211">
        <v>0.64</v>
      </c>
      <c r="I317" s="208"/>
      <c r="J317" s="207" t="s">
        <v>69</v>
      </c>
      <c r="K317" s="235"/>
      <c r="L317" s="198"/>
      <c r="M317" s="199" t="s">
        <v>69</v>
      </c>
      <c r="N317" s="199" t="s">
        <v>478</v>
      </c>
      <c r="O317" s="199" t="s">
        <v>479</v>
      </c>
      <c r="P317" s="199" t="s">
        <v>707</v>
      </c>
      <c r="Q317" s="200">
        <v>79</v>
      </c>
      <c r="R317" s="199"/>
      <c r="S317" s="199"/>
      <c r="T317" s="201"/>
      <c r="U317" s="202"/>
      <c r="V317" s="203"/>
      <c r="W317" s="203">
        <v>1</v>
      </c>
      <c r="X317" s="199"/>
      <c r="Y317" s="204"/>
      <c r="Z317" s="205"/>
      <c r="AA317" s="201"/>
    </row>
    <row r="318" spans="1:27" x14ac:dyDescent="0.25">
      <c r="A318" s="159">
        <v>45935</v>
      </c>
      <c r="B318" s="160">
        <v>8</v>
      </c>
      <c r="C318" s="161" t="s">
        <v>702</v>
      </c>
      <c r="D318" s="160" t="s">
        <v>456</v>
      </c>
      <c r="E318" s="162">
        <v>1.92</v>
      </c>
      <c r="F318" s="163">
        <v>1</v>
      </c>
      <c r="G318" s="163">
        <v>1</v>
      </c>
      <c r="H318" s="164">
        <v>0.3</v>
      </c>
      <c r="I318" s="161" t="s">
        <v>694</v>
      </c>
      <c r="J318" s="160" t="s">
        <v>193</v>
      </c>
      <c r="K318" s="160" t="s">
        <v>582</v>
      </c>
      <c r="L318" s="166">
        <v>2</v>
      </c>
      <c r="M318" s="70" t="s">
        <v>456</v>
      </c>
      <c r="N318" s="70" t="s">
        <v>313</v>
      </c>
      <c r="O318" s="70" t="s">
        <v>301</v>
      </c>
      <c r="P318" s="70" t="s">
        <v>684</v>
      </c>
      <c r="Q318" s="227">
        <v>63</v>
      </c>
      <c r="R318" s="70" t="s">
        <v>47</v>
      </c>
      <c r="S318" s="70" t="s">
        <v>45</v>
      </c>
      <c r="T318" s="71" t="s">
        <v>10</v>
      </c>
      <c r="U318" s="179">
        <v>0.37</v>
      </c>
      <c r="V318" s="162" t="s">
        <v>53</v>
      </c>
      <c r="W318" s="162" t="s">
        <v>353</v>
      </c>
      <c r="X318" s="160" t="s">
        <v>22</v>
      </c>
      <c r="Y318" s="180" t="s">
        <v>28</v>
      </c>
      <c r="Z318" s="169"/>
      <c r="AA318" s="170"/>
    </row>
    <row r="319" spans="1:27" x14ac:dyDescent="0.25">
      <c r="A319" s="143">
        <v>45935</v>
      </c>
      <c r="B319" s="144">
        <v>8</v>
      </c>
      <c r="C319" s="145"/>
      <c r="D319" s="144" t="s">
        <v>456</v>
      </c>
      <c r="E319" s="146">
        <v>1.92</v>
      </c>
      <c r="F319" s="147">
        <v>1</v>
      </c>
      <c r="G319" s="147">
        <v>1</v>
      </c>
      <c r="H319" s="148">
        <v>0.3</v>
      </c>
      <c r="I319" s="145"/>
      <c r="J319" s="144" t="s">
        <v>193</v>
      </c>
      <c r="K319" s="144" t="s">
        <v>582</v>
      </c>
      <c r="L319" s="150">
        <v>68</v>
      </c>
      <c r="M319" s="61" t="s">
        <v>456</v>
      </c>
      <c r="N319" s="61" t="s">
        <v>313</v>
      </c>
      <c r="O319" s="61" t="s">
        <v>301</v>
      </c>
      <c r="P319" s="61" t="s">
        <v>684</v>
      </c>
      <c r="Q319" s="218">
        <v>63</v>
      </c>
      <c r="R319" s="61" t="s">
        <v>41</v>
      </c>
      <c r="S319" s="61" t="s">
        <v>42</v>
      </c>
      <c r="T319" s="63" t="s">
        <v>10</v>
      </c>
      <c r="U319" s="171">
        <v>0.33</v>
      </c>
      <c r="V319" s="146">
        <v>0.23</v>
      </c>
      <c r="W319" s="146" t="s">
        <v>353</v>
      </c>
      <c r="X319" s="144" t="s">
        <v>48</v>
      </c>
      <c r="Y319" s="172" t="s">
        <v>9</v>
      </c>
      <c r="Z319" s="173"/>
      <c r="AA319" s="174"/>
    </row>
    <row r="320" spans="1:27" x14ac:dyDescent="0.25">
      <c r="A320" s="143">
        <v>45935</v>
      </c>
      <c r="B320" s="144">
        <v>8</v>
      </c>
      <c r="C320" s="145"/>
      <c r="D320" s="144" t="s">
        <v>456</v>
      </c>
      <c r="E320" s="146">
        <v>1.92</v>
      </c>
      <c r="F320" s="147">
        <v>1</v>
      </c>
      <c r="G320" s="147">
        <v>1</v>
      </c>
      <c r="H320" s="148">
        <v>0.3</v>
      </c>
      <c r="I320" s="145"/>
      <c r="J320" s="144" t="s">
        <v>193</v>
      </c>
      <c r="K320" s="144" t="s">
        <v>582</v>
      </c>
      <c r="L320" s="150">
        <v>68</v>
      </c>
      <c r="M320" s="61" t="s">
        <v>456</v>
      </c>
      <c r="N320" s="61" t="s">
        <v>162</v>
      </c>
      <c r="O320" s="61" t="s">
        <v>163</v>
      </c>
      <c r="P320" s="61" t="s">
        <v>696</v>
      </c>
      <c r="Q320" s="218">
        <v>82</v>
      </c>
      <c r="R320" s="61" t="s">
        <v>47</v>
      </c>
      <c r="S320" s="61" t="s">
        <v>43</v>
      </c>
      <c r="T320" s="63" t="s">
        <v>540</v>
      </c>
      <c r="U320" s="171">
        <v>0.67</v>
      </c>
      <c r="V320" s="146">
        <v>0.98</v>
      </c>
      <c r="W320" s="146" t="s">
        <v>353</v>
      </c>
      <c r="X320" s="144" t="s">
        <v>8</v>
      </c>
      <c r="Y320" s="172" t="s">
        <v>51</v>
      </c>
      <c r="Z320" s="173"/>
      <c r="AA320" s="174"/>
    </row>
    <row r="321" spans="1:27" x14ac:dyDescent="0.25">
      <c r="A321" s="143">
        <v>45935</v>
      </c>
      <c r="B321" s="144">
        <v>8</v>
      </c>
      <c r="C321" s="145"/>
      <c r="D321" s="144" t="s">
        <v>456</v>
      </c>
      <c r="E321" s="146">
        <v>1.92</v>
      </c>
      <c r="F321" s="147">
        <v>1</v>
      </c>
      <c r="G321" s="147">
        <v>1</v>
      </c>
      <c r="H321" s="148">
        <v>0.3</v>
      </c>
      <c r="I321" s="145"/>
      <c r="J321" s="144" t="s">
        <v>193</v>
      </c>
      <c r="K321" s="144" t="s">
        <v>582</v>
      </c>
      <c r="L321" s="150">
        <v>72</v>
      </c>
      <c r="M321" s="26" t="s">
        <v>193</v>
      </c>
      <c r="N321" s="26" t="s">
        <v>584</v>
      </c>
      <c r="O321" s="26" t="s">
        <v>585</v>
      </c>
      <c r="P321" s="26" t="s">
        <v>713</v>
      </c>
      <c r="Q321" s="213">
        <v>71</v>
      </c>
      <c r="R321" s="26" t="s">
        <v>47</v>
      </c>
      <c r="S321" s="26" t="s">
        <v>45</v>
      </c>
      <c r="T321" s="43" t="s">
        <v>20</v>
      </c>
      <c r="U321" s="171">
        <v>0.13</v>
      </c>
      <c r="V321" s="146" t="s">
        <v>53</v>
      </c>
      <c r="W321" s="146" t="s">
        <v>353</v>
      </c>
      <c r="X321" s="144" t="s">
        <v>16</v>
      </c>
      <c r="Y321" s="172" t="s">
        <v>51</v>
      </c>
      <c r="Z321" s="173"/>
      <c r="AA321" s="174"/>
    </row>
    <row r="322" spans="1:27" ht="15.75" thickBot="1" x14ac:dyDescent="0.3">
      <c r="A322" s="229">
        <v>45935</v>
      </c>
      <c r="B322" s="230">
        <v>8</v>
      </c>
      <c r="C322" s="231"/>
      <c r="D322" s="230" t="s">
        <v>456</v>
      </c>
      <c r="E322" s="232">
        <v>1.92</v>
      </c>
      <c r="F322" s="233">
        <v>1</v>
      </c>
      <c r="G322" s="233">
        <v>1</v>
      </c>
      <c r="H322" s="234">
        <v>0.3</v>
      </c>
      <c r="I322" s="231"/>
      <c r="J322" s="230" t="s">
        <v>193</v>
      </c>
      <c r="K322" s="235"/>
      <c r="L322" s="198"/>
      <c r="M322" s="199" t="s">
        <v>456</v>
      </c>
      <c r="N322" s="199" t="s">
        <v>719</v>
      </c>
      <c r="O322" s="199" t="s">
        <v>720</v>
      </c>
      <c r="P322" s="199" t="s">
        <v>707</v>
      </c>
      <c r="Q322" s="200">
        <v>65</v>
      </c>
      <c r="R322" s="199"/>
      <c r="S322" s="199"/>
      <c r="T322" s="201"/>
      <c r="U322" s="202"/>
      <c r="V322" s="203"/>
      <c r="W322" s="203">
        <v>1</v>
      </c>
      <c r="X322" s="199"/>
      <c r="Y322" s="204"/>
      <c r="Z322" s="205"/>
      <c r="AA322" s="201"/>
    </row>
    <row r="323" spans="1:27" ht="15.75" thickBot="1" x14ac:dyDescent="0.3">
      <c r="A323" s="229">
        <v>45935</v>
      </c>
      <c r="B323" s="230">
        <v>8</v>
      </c>
      <c r="C323" s="231"/>
      <c r="D323" s="230" t="s">
        <v>456</v>
      </c>
      <c r="E323" s="232">
        <v>1.92</v>
      </c>
      <c r="F323" s="233">
        <v>1</v>
      </c>
      <c r="G323" s="233">
        <v>1</v>
      </c>
      <c r="H323" s="234">
        <v>0.3</v>
      </c>
      <c r="I323" s="231"/>
      <c r="J323" s="230" t="s">
        <v>193</v>
      </c>
      <c r="K323" s="235"/>
      <c r="L323" s="198"/>
      <c r="M323" s="199" t="s">
        <v>193</v>
      </c>
      <c r="N323" s="199" t="s">
        <v>580</v>
      </c>
      <c r="O323" s="199" t="s">
        <v>581</v>
      </c>
      <c r="P323" s="199" t="s">
        <v>707</v>
      </c>
      <c r="Q323" s="200">
        <v>89</v>
      </c>
      <c r="R323" s="199"/>
      <c r="S323" s="199"/>
      <c r="T323" s="201"/>
      <c r="U323" s="202"/>
      <c r="V323" s="203"/>
      <c r="W323" s="203">
        <v>1</v>
      </c>
      <c r="X323" s="199"/>
      <c r="Y323" s="204"/>
      <c r="Z323" s="205"/>
      <c r="AA323" s="201"/>
    </row>
    <row r="324" spans="1:27" x14ac:dyDescent="0.25">
      <c r="A324" s="29">
        <v>45885</v>
      </c>
      <c r="B324" s="5">
        <v>1</v>
      </c>
      <c r="D324" s="5" t="s">
        <v>145</v>
      </c>
      <c r="E324" s="6">
        <v>2.04</v>
      </c>
      <c r="F324" s="7">
        <v>1</v>
      </c>
      <c r="G324" s="7">
        <v>1</v>
      </c>
      <c r="H324" s="8">
        <v>0.81</v>
      </c>
      <c r="J324" s="5" t="s">
        <v>146</v>
      </c>
      <c r="L324" s="56">
        <v>57</v>
      </c>
      <c r="M324" s="61" t="s">
        <v>145</v>
      </c>
      <c r="N324" s="61" t="s">
        <v>149</v>
      </c>
      <c r="O324" s="61" t="s">
        <v>150</v>
      </c>
      <c r="P324" s="61" t="s">
        <v>685</v>
      </c>
      <c r="Q324" s="218">
        <v>70</v>
      </c>
      <c r="R324" s="61" t="s">
        <v>41</v>
      </c>
      <c r="S324" s="61" t="s">
        <v>42</v>
      </c>
      <c r="T324" s="63" t="s">
        <v>10</v>
      </c>
      <c r="U324" s="51">
        <v>0.38</v>
      </c>
      <c r="V324" s="6">
        <v>0.49</v>
      </c>
      <c r="W324" s="6" t="s">
        <v>353</v>
      </c>
      <c r="X324" s="5" t="s">
        <v>8</v>
      </c>
      <c r="Y324" s="112" t="s">
        <v>19</v>
      </c>
      <c r="Z324" s="108" t="s">
        <v>124</v>
      </c>
      <c r="AA324" s="57" t="s">
        <v>652</v>
      </c>
    </row>
    <row r="325" spans="1:27" x14ac:dyDescent="0.25">
      <c r="A325" s="29">
        <v>45885</v>
      </c>
      <c r="B325" s="5">
        <v>1</v>
      </c>
      <c r="D325" s="5" t="s">
        <v>145</v>
      </c>
      <c r="E325" s="6">
        <v>2.04</v>
      </c>
      <c r="F325" s="7">
        <v>1</v>
      </c>
      <c r="G325" s="7">
        <v>1</v>
      </c>
      <c r="H325" s="8">
        <v>0.81</v>
      </c>
      <c r="J325" s="5" t="s">
        <v>146</v>
      </c>
      <c r="L325" s="56">
        <v>69</v>
      </c>
      <c r="M325" s="26" t="s">
        <v>146</v>
      </c>
      <c r="N325" s="26" t="s">
        <v>157</v>
      </c>
      <c r="O325" s="26" t="s">
        <v>158</v>
      </c>
      <c r="P325" s="26" t="s">
        <v>696</v>
      </c>
      <c r="Q325" s="213">
        <v>65</v>
      </c>
      <c r="R325" s="26" t="s">
        <v>41</v>
      </c>
      <c r="S325" s="26" t="s">
        <v>42</v>
      </c>
      <c r="T325" s="43" t="s">
        <v>18</v>
      </c>
      <c r="U325" s="51">
        <v>0.21</v>
      </c>
      <c r="V325" s="6" t="s">
        <v>53</v>
      </c>
      <c r="W325" s="6" t="s">
        <v>353</v>
      </c>
      <c r="X325" s="5" t="s">
        <v>13</v>
      </c>
      <c r="Y325" s="112" t="s">
        <v>51</v>
      </c>
    </row>
    <row r="326" spans="1:27" x14ac:dyDescent="0.25">
      <c r="A326" s="29">
        <v>45885</v>
      </c>
      <c r="B326" s="5">
        <v>1</v>
      </c>
      <c r="D326" s="5" t="s">
        <v>145</v>
      </c>
      <c r="E326" s="6">
        <v>2.04</v>
      </c>
      <c r="F326" s="7">
        <v>1</v>
      </c>
      <c r="G326" s="7">
        <v>1</v>
      </c>
      <c r="H326" s="8">
        <v>0.81</v>
      </c>
      <c r="J326" s="5" t="s">
        <v>146</v>
      </c>
      <c r="L326" s="56">
        <v>72</v>
      </c>
      <c r="M326" s="61" t="s">
        <v>145</v>
      </c>
      <c r="N326" s="61" t="s">
        <v>151</v>
      </c>
      <c r="O326" s="61" t="s">
        <v>152</v>
      </c>
      <c r="P326" s="61" t="s">
        <v>712</v>
      </c>
      <c r="Q326" s="218">
        <v>63</v>
      </c>
      <c r="R326" s="61" t="s">
        <v>47</v>
      </c>
      <c r="S326" s="61" t="s">
        <v>43</v>
      </c>
      <c r="T326" s="63" t="s">
        <v>20</v>
      </c>
      <c r="U326" s="51">
        <v>0.8</v>
      </c>
      <c r="V326" s="6" t="s">
        <v>53</v>
      </c>
      <c r="W326" s="6" t="s">
        <v>353</v>
      </c>
      <c r="X326" s="5" t="s">
        <v>13</v>
      </c>
      <c r="Y326" s="112" t="s">
        <v>51</v>
      </c>
    </row>
    <row r="327" spans="1:27" ht="15.75" thickBot="1" x14ac:dyDescent="0.3">
      <c r="A327" s="206">
        <v>45885</v>
      </c>
      <c r="B327" s="207">
        <v>1</v>
      </c>
      <c r="C327" s="208"/>
      <c r="D327" s="207" t="s">
        <v>145</v>
      </c>
      <c r="E327" s="209">
        <v>2.04</v>
      </c>
      <c r="F327" s="210">
        <v>1</v>
      </c>
      <c r="G327" s="210">
        <v>1</v>
      </c>
      <c r="H327" s="211">
        <v>0.81</v>
      </c>
      <c r="I327" s="208"/>
      <c r="J327" s="207" t="s">
        <v>146</v>
      </c>
      <c r="K327" s="197"/>
      <c r="L327" s="198"/>
      <c r="M327" s="199" t="s">
        <v>145</v>
      </c>
      <c r="N327" s="199" t="s">
        <v>482</v>
      </c>
      <c r="O327" s="199" t="s">
        <v>483</v>
      </c>
      <c r="P327" s="199" t="s">
        <v>707</v>
      </c>
      <c r="Q327" s="200">
        <v>69</v>
      </c>
      <c r="R327" s="199"/>
      <c r="S327" s="199"/>
      <c r="T327" s="201"/>
      <c r="U327" s="202"/>
      <c r="V327" s="203"/>
      <c r="W327" s="203">
        <v>1</v>
      </c>
      <c r="X327" s="199"/>
      <c r="Y327" s="204"/>
      <c r="Z327" s="205"/>
      <c r="AA327" s="201"/>
    </row>
    <row r="328" spans="1:27" ht="15.75" thickBot="1" x14ac:dyDescent="0.3">
      <c r="A328" s="206">
        <v>45885</v>
      </c>
      <c r="B328" s="207">
        <v>1</v>
      </c>
      <c r="C328" s="208"/>
      <c r="D328" s="207" t="s">
        <v>145</v>
      </c>
      <c r="E328" s="209">
        <v>2.04</v>
      </c>
      <c r="F328" s="210">
        <v>1</v>
      </c>
      <c r="G328" s="210">
        <v>1</v>
      </c>
      <c r="H328" s="211">
        <v>0.81</v>
      </c>
      <c r="I328" s="208"/>
      <c r="J328" s="207" t="s">
        <v>146</v>
      </c>
      <c r="K328" s="197"/>
      <c r="L328" s="198"/>
      <c r="M328" s="199" t="s">
        <v>146</v>
      </c>
      <c r="N328" s="199" t="s">
        <v>176</v>
      </c>
      <c r="O328" s="199" t="s">
        <v>423</v>
      </c>
      <c r="P328" s="199" t="s">
        <v>707</v>
      </c>
      <c r="Q328" s="200">
        <v>70</v>
      </c>
      <c r="R328" s="199"/>
      <c r="S328" s="199"/>
      <c r="T328" s="201"/>
      <c r="U328" s="202"/>
      <c r="V328" s="203"/>
      <c r="W328" s="203">
        <v>1</v>
      </c>
      <c r="X328" s="199"/>
      <c r="Y328" s="204"/>
      <c r="Z328" s="205"/>
      <c r="AA328" s="201"/>
    </row>
    <row r="329" spans="1:27" ht="15.75" thickBot="1" x14ac:dyDescent="0.3">
      <c r="A329" s="206">
        <v>45899</v>
      </c>
      <c r="B329" s="207">
        <v>3</v>
      </c>
      <c r="C329" s="208"/>
      <c r="D329" s="207" t="s">
        <v>92</v>
      </c>
      <c r="E329" s="209">
        <v>0.5</v>
      </c>
      <c r="F329" s="210">
        <v>1</v>
      </c>
      <c r="G329" s="210">
        <v>0</v>
      </c>
      <c r="H329" s="211">
        <v>1.07</v>
      </c>
      <c r="I329" s="208"/>
      <c r="J329" s="207" t="s">
        <v>146</v>
      </c>
      <c r="K329" s="235"/>
      <c r="L329" s="198"/>
      <c r="M329" s="199" t="s">
        <v>92</v>
      </c>
      <c r="N329" s="199" t="s">
        <v>432</v>
      </c>
      <c r="O329" s="199" t="s">
        <v>472</v>
      </c>
      <c r="P329" s="199" t="s">
        <v>707</v>
      </c>
      <c r="Q329" s="200">
        <v>86</v>
      </c>
      <c r="R329" s="199"/>
      <c r="S329" s="199"/>
      <c r="T329" s="201"/>
      <c r="U329" s="202"/>
      <c r="V329" s="203"/>
      <c r="W329" s="203">
        <v>0</v>
      </c>
      <c r="X329" s="199"/>
      <c r="Y329" s="204"/>
      <c r="Z329" s="205"/>
      <c r="AA329" s="201"/>
    </row>
    <row r="330" spans="1:27" ht="15.75" thickBot="1" x14ac:dyDescent="0.3">
      <c r="A330" s="206">
        <v>45899</v>
      </c>
      <c r="B330" s="207">
        <v>3</v>
      </c>
      <c r="C330" s="208"/>
      <c r="D330" s="207" t="s">
        <v>92</v>
      </c>
      <c r="E330" s="209">
        <v>0.5</v>
      </c>
      <c r="F330" s="210">
        <v>1</v>
      </c>
      <c r="G330" s="210">
        <v>0</v>
      </c>
      <c r="H330" s="211">
        <v>1.07</v>
      </c>
      <c r="I330" s="208"/>
      <c r="J330" s="207" t="s">
        <v>146</v>
      </c>
      <c r="K330" s="235"/>
      <c r="L330" s="198"/>
      <c r="M330" s="199" t="s">
        <v>146</v>
      </c>
      <c r="N330" s="199" t="s">
        <v>176</v>
      </c>
      <c r="O330" s="199" t="s">
        <v>423</v>
      </c>
      <c r="P330" s="199" t="s">
        <v>707</v>
      </c>
      <c r="Q330" s="200">
        <v>63</v>
      </c>
      <c r="R330" s="199"/>
      <c r="S330" s="199"/>
      <c r="T330" s="201"/>
      <c r="U330" s="202"/>
      <c r="V330" s="203"/>
      <c r="W330" s="203">
        <v>1</v>
      </c>
      <c r="X330" s="199"/>
      <c r="Y330" s="204"/>
      <c r="Z330" s="205"/>
      <c r="AA330" s="201"/>
    </row>
    <row r="331" spans="1:27" x14ac:dyDescent="0.25">
      <c r="A331" s="29">
        <v>45919</v>
      </c>
      <c r="B331" s="5">
        <v>5</v>
      </c>
      <c r="D331" s="5" t="s">
        <v>209</v>
      </c>
      <c r="E331" s="6">
        <v>2.25</v>
      </c>
      <c r="F331" s="7">
        <v>3</v>
      </c>
      <c r="G331" s="7">
        <v>1</v>
      </c>
      <c r="H331" s="8">
        <v>0.67</v>
      </c>
      <c r="J331" s="5" t="s">
        <v>146</v>
      </c>
      <c r="L331" s="56">
        <v>57</v>
      </c>
      <c r="M331" s="61" t="s">
        <v>209</v>
      </c>
      <c r="N331" s="61" t="s">
        <v>53</v>
      </c>
      <c r="O331" s="61" t="s">
        <v>395</v>
      </c>
      <c r="P331" s="61" t="s">
        <v>686</v>
      </c>
      <c r="Q331" s="218">
        <v>74</v>
      </c>
      <c r="R331" s="61" t="s">
        <v>41</v>
      </c>
      <c r="S331" s="61" t="s">
        <v>42</v>
      </c>
      <c r="T331" s="63" t="s">
        <v>18</v>
      </c>
      <c r="U331" s="51">
        <v>0.37</v>
      </c>
      <c r="V331" s="6" t="s">
        <v>53</v>
      </c>
      <c r="W331" s="6" t="s">
        <v>353</v>
      </c>
      <c r="X331" s="5" t="s">
        <v>13</v>
      </c>
      <c r="Y331" s="112" t="s">
        <v>34</v>
      </c>
    </row>
    <row r="332" spans="1:27" x14ac:dyDescent="0.25">
      <c r="A332" s="29">
        <v>45919</v>
      </c>
      <c r="B332" s="5">
        <v>5</v>
      </c>
      <c r="D332" s="5" t="s">
        <v>209</v>
      </c>
      <c r="E332" s="6">
        <v>2.25</v>
      </c>
      <c r="F332" s="7">
        <v>3</v>
      </c>
      <c r="G332" s="7">
        <v>1</v>
      </c>
      <c r="H332" s="8">
        <v>0.67</v>
      </c>
      <c r="J332" s="5" t="s">
        <v>146</v>
      </c>
      <c r="L332" s="56">
        <v>69</v>
      </c>
      <c r="M332" s="61" t="s">
        <v>209</v>
      </c>
      <c r="N332" s="61" t="s">
        <v>241</v>
      </c>
      <c r="O332" s="61" t="s">
        <v>396</v>
      </c>
      <c r="P332" s="61" t="s">
        <v>687</v>
      </c>
      <c r="Q332" s="218">
        <v>80</v>
      </c>
      <c r="R332" s="61" t="s">
        <v>41</v>
      </c>
      <c r="S332" s="61" t="s">
        <v>42</v>
      </c>
      <c r="T332" s="63" t="s">
        <v>10</v>
      </c>
      <c r="U332" s="51">
        <v>0.16</v>
      </c>
      <c r="V332" s="6">
        <v>0.64</v>
      </c>
      <c r="W332" s="6" t="s">
        <v>353</v>
      </c>
      <c r="X332" s="5" t="s">
        <v>8</v>
      </c>
      <c r="Y332" s="112" t="s">
        <v>427</v>
      </c>
      <c r="Z332" s="108" t="s">
        <v>216</v>
      </c>
      <c r="AA332" s="57" t="s">
        <v>217</v>
      </c>
    </row>
    <row r="333" spans="1:27" x14ac:dyDescent="0.25">
      <c r="A333" s="29">
        <v>45919</v>
      </c>
      <c r="B333" s="5">
        <v>5</v>
      </c>
      <c r="D333" s="5" t="s">
        <v>209</v>
      </c>
      <c r="E333" s="6">
        <v>2.25</v>
      </c>
      <c r="F333" s="7">
        <v>3</v>
      </c>
      <c r="G333" s="7">
        <v>1</v>
      </c>
      <c r="H333" s="8">
        <v>0.67</v>
      </c>
      <c r="J333" s="5" t="s">
        <v>146</v>
      </c>
      <c r="L333" s="56" t="s">
        <v>31</v>
      </c>
      <c r="M333" s="26" t="s">
        <v>146</v>
      </c>
      <c r="N333" s="26" t="s">
        <v>429</v>
      </c>
      <c r="O333" s="26" t="s">
        <v>430</v>
      </c>
      <c r="P333" s="26" t="s">
        <v>696</v>
      </c>
      <c r="Q333" s="213">
        <v>60</v>
      </c>
      <c r="R333" s="26" t="s">
        <v>41</v>
      </c>
      <c r="S333" s="26" t="s">
        <v>42</v>
      </c>
      <c r="T333" s="43" t="s">
        <v>10</v>
      </c>
      <c r="U333" s="51">
        <v>0.12</v>
      </c>
      <c r="V333" s="6">
        <v>0.17</v>
      </c>
      <c r="W333" s="6" t="s">
        <v>353</v>
      </c>
      <c r="X333" s="5" t="s">
        <v>48</v>
      </c>
      <c r="Y333" s="112" t="s">
        <v>427</v>
      </c>
    </row>
    <row r="334" spans="1:27" ht="15.75" thickBot="1" x14ac:dyDescent="0.3">
      <c r="A334" s="30">
        <v>45919</v>
      </c>
      <c r="B334" s="9">
        <v>5</v>
      </c>
      <c r="C334" s="122"/>
      <c r="D334" s="9" t="s">
        <v>209</v>
      </c>
      <c r="E334" s="10">
        <v>2.25</v>
      </c>
      <c r="F334" s="11">
        <v>3</v>
      </c>
      <c r="G334" s="11">
        <v>1</v>
      </c>
      <c r="H334" s="12">
        <v>0.67</v>
      </c>
      <c r="I334" s="122"/>
      <c r="J334" s="9" t="s">
        <v>146</v>
      </c>
      <c r="K334" s="45"/>
      <c r="L334" s="97" t="s">
        <v>415</v>
      </c>
      <c r="M334" s="66" t="s">
        <v>209</v>
      </c>
      <c r="N334" s="66" t="s">
        <v>241</v>
      </c>
      <c r="O334" s="66" t="s">
        <v>75</v>
      </c>
      <c r="P334" s="66" t="s">
        <v>696</v>
      </c>
      <c r="Q334" s="219">
        <v>63</v>
      </c>
      <c r="R334" s="66" t="s">
        <v>47</v>
      </c>
      <c r="S334" s="66" t="s">
        <v>43</v>
      </c>
      <c r="T334" s="67" t="s">
        <v>18</v>
      </c>
      <c r="U334" s="52">
        <v>0.48</v>
      </c>
      <c r="V334" s="10" t="s">
        <v>53</v>
      </c>
      <c r="W334" s="10" t="s">
        <v>353</v>
      </c>
      <c r="X334" s="9" t="s">
        <v>13</v>
      </c>
      <c r="Y334" s="113" t="s">
        <v>427</v>
      </c>
      <c r="Z334" s="109"/>
      <c r="AA334" s="58"/>
    </row>
    <row r="335" spans="1:27" ht="15.75" thickBot="1" x14ac:dyDescent="0.3">
      <c r="A335" s="206">
        <v>45919</v>
      </c>
      <c r="B335" s="207">
        <v>5</v>
      </c>
      <c r="C335" s="208"/>
      <c r="D335" s="207" t="s">
        <v>209</v>
      </c>
      <c r="E335" s="209">
        <v>2.25</v>
      </c>
      <c r="F335" s="210">
        <v>3</v>
      </c>
      <c r="G335" s="210">
        <v>1</v>
      </c>
      <c r="H335" s="211">
        <v>0.67</v>
      </c>
      <c r="I335" s="208"/>
      <c r="J335" s="207" t="s">
        <v>146</v>
      </c>
      <c r="K335" s="235"/>
      <c r="L335" s="198"/>
      <c r="M335" s="199" t="s">
        <v>209</v>
      </c>
      <c r="N335" s="199" t="s">
        <v>447</v>
      </c>
      <c r="O335" s="199" t="s">
        <v>150</v>
      </c>
      <c r="P335" s="199" t="s">
        <v>707</v>
      </c>
      <c r="Q335" s="200">
        <v>74</v>
      </c>
      <c r="R335" s="199"/>
      <c r="S335" s="199"/>
      <c r="T335" s="201"/>
      <c r="U335" s="202"/>
      <c r="V335" s="203"/>
      <c r="W335" s="203">
        <v>1</v>
      </c>
      <c r="X335" s="199"/>
      <c r="Y335" s="204"/>
      <c r="Z335" s="205"/>
      <c r="AA335" s="201"/>
    </row>
    <row r="336" spans="1:27" ht="15.75" thickBot="1" x14ac:dyDescent="0.3">
      <c r="A336" s="206">
        <v>45919</v>
      </c>
      <c r="B336" s="207">
        <v>5</v>
      </c>
      <c r="C336" s="208"/>
      <c r="D336" s="207" t="s">
        <v>209</v>
      </c>
      <c r="E336" s="209">
        <v>2.25</v>
      </c>
      <c r="F336" s="210">
        <v>3</v>
      </c>
      <c r="G336" s="210">
        <v>1</v>
      </c>
      <c r="H336" s="211">
        <v>0.67</v>
      </c>
      <c r="I336" s="208"/>
      <c r="J336" s="207" t="s">
        <v>146</v>
      </c>
      <c r="K336" s="235"/>
      <c r="L336" s="198"/>
      <c r="M336" s="199" t="s">
        <v>146</v>
      </c>
      <c r="N336" s="199" t="s">
        <v>176</v>
      </c>
      <c r="O336" s="199" t="s">
        <v>423</v>
      </c>
      <c r="P336" s="199" t="s">
        <v>707</v>
      </c>
      <c r="Q336" s="200">
        <v>76</v>
      </c>
      <c r="R336" s="199"/>
      <c r="S336" s="199"/>
      <c r="T336" s="201"/>
      <c r="U336" s="202"/>
      <c r="V336" s="203"/>
      <c r="W336" s="203">
        <v>3</v>
      </c>
      <c r="X336" s="199"/>
      <c r="Y336" s="204"/>
      <c r="Z336" s="205"/>
      <c r="AA336" s="201"/>
    </row>
    <row r="337" spans="1:27" x14ac:dyDescent="0.25">
      <c r="A337" s="31">
        <v>45928</v>
      </c>
      <c r="B337" s="17">
        <v>7</v>
      </c>
      <c r="C337" s="123" t="s">
        <v>693</v>
      </c>
      <c r="D337" s="17" t="s">
        <v>113</v>
      </c>
      <c r="E337" s="18">
        <v>2.21</v>
      </c>
      <c r="F337" s="19">
        <v>2</v>
      </c>
      <c r="G337" s="19">
        <v>1</v>
      </c>
      <c r="H337" s="20">
        <v>0.97</v>
      </c>
      <c r="I337" s="123" t="s">
        <v>697</v>
      </c>
      <c r="J337" s="17" t="s">
        <v>146</v>
      </c>
      <c r="K337" s="46"/>
      <c r="L337" s="96">
        <v>31</v>
      </c>
      <c r="M337" s="77" t="s">
        <v>146</v>
      </c>
      <c r="N337" s="77" t="s">
        <v>74</v>
      </c>
      <c r="O337" s="77" t="s">
        <v>533</v>
      </c>
      <c r="P337" s="77" t="s">
        <v>689</v>
      </c>
      <c r="Q337" s="220">
        <v>80</v>
      </c>
      <c r="R337" s="77" t="s">
        <v>41</v>
      </c>
      <c r="S337" s="77" t="s">
        <v>42</v>
      </c>
      <c r="T337" s="78" t="s">
        <v>10</v>
      </c>
      <c r="U337" s="53">
        <v>0.56000000000000005</v>
      </c>
      <c r="V337" s="18">
        <v>0.83</v>
      </c>
      <c r="W337" s="18" t="s">
        <v>353</v>
      </c>
      <c r="X337" s="17" t="s">
        <v>8</v>
      </c>
      <c r="Y337" s="114" t="s">
        <v>9</v>
      </c>
      <c r="Z337" s="110" t="s">
        <v>274</v>
      </c>
      <c r="AA337" s="60" t="s">
        <v>275</v>
      </c>
    </row>
    <row r="338" spans="1:27" x14ac:dyDescent="0.25">
      <c r="A338" s="29">
        <v>45928</v>
      </c>
      <c r="B338" s="5">
        <v>7</v>
      </c>
      <c r="D338" s="5" t="s">
        <v>113</v>
      </c>
      <c r="E338" s="6">
        <v>2.21</v>
      </c>
      <c r="F338" s="7">
        <v>2</v>
      </c>
      <c r="G338" s="7">
        <v>1</v>
      </c>
      <c r="H338" s="8">
        <v>0.97</v>
      </c>
      <c r="J338" s="5" t="s">
        <v>146</v>
      </c>
      <c r="L338" s="56">
        <v>39</v>
      </c>
      <c r="M338" s="61" t="s">
        <v>113</v>
      </c>
      <c r="N338" s="61" t="s">
        <v>53</v>
      </c>
      <c r="O338" s="61" t="s">
        <v>126</v>
      </c>
      <c r="P338" s="61" t="s">
        <v>687</v>
      </c>
      <c r="Q338" s="218">
        <v>81</v>
      </c>
      <c r="R338" s="61" t="s">
        <v>47</v>
      </c>
      <c r="S338" s="61" t="s">
        <v>42</v>
      </c>
      <c r="T338" s="63" t="s">
        <v>540</v>
      </c>
      <c r="U338" s="51">
        <v>0.32</v>
      </c>
      <c r="V338" s="6" t="s">
        <v>53</v>
      </c>
      <c r="W338" s="6" t="s">
        <v>353</v>
      </c>
      <c r="X338" s="5" t="s">
        <v>52</v>
      </c>
      <c r="Y338" s="112" t="s">
        <v>9</v>
      </c>
    </row>
    <row r="339" spans="1:27" x14ac:dyDescent="0.25">
      <c r="A339" s="29">
        <v>45928</v>
      </c>
      <c r="B339" s="5">
        <v>7</v>
      </c>
      <c r="D339" s="5" t="s">
        <v>113</v>
      </c>
      <c r="E339" s="6">
        <v>2.21</v>
      </c>
      <c r="F339" s="7">
        <v>2</v>
      </c>
      <c r="G339" s="7">
        <v>1</v>
      </c>
      <c r="H339" s="8">
        <v>0.97</v>
      </c>
      <c r="J339" s="5" t="s">
        <v>146</v>
      </c>
      <c r="L339" s="56">
        <v>59</v>
      </c>
      <c r="M339" s="61" t="s">
        <v>113</v>
      </c>
      <c r="N339" s="61" t="s">
        <v>178</v>
      </c>
      <c r="O339" s="61" t="s">
        <v>407</v>
      </c>
      <c r="P339" s="61" t="s">
        <v>684</v>
      </c>
      <c r="Q339" s="218">
        <v>71</v>
      </c>
      <c r="R339" s="61" t="s">
        <v>47</v>
      </c>
      <c r="S339" s="61" t="s">
        <v>45</v>
      </c>
      <c r="T339" s="63" t="s">
        <v>10</v>
      </c>
      <c r="U339" s="51">
        <v>0.3</v>
      </c>
      <c r="V339" s="6">
        <v>0.46</v>
      </c>
      <c r="W339" s="6" t="s">
        <v>353</v>
      </c>
      <c r="X339" s="5" t="s">
        <v>8</v>
      </c>
      <c r="Y339" s="112" t="s">
        <v>34</v>
      </c>
      <c r="Z339" s="108" t="s">
        <v>120</v>
      </c>
      <c r="AA339" s="57" t="s">
        <v>121</v>
      </c>
    </row>
    <row r="340" spans="1:27" x14ac:dyDescent="0.25">
      <c r="A340" s="29">
        <v>45928</v>
      </c>
      <c r="B340" s="5">
        <v>7</v>
      </c>
      <c r="D340" s="5" t="s">
        <v>113</v>
      </c>
      <c r="E340" s="6">
        <v>2.21</v>
      </c>
      <c r="F340" s="7">
        <v>2</v>
      </c>
      <c r="G340" s="7">
        <v>1</v>
      </c>
      <c r="H340" s="8">
        <v>0.97</v>
      </c>
      <c r="J340" s="5" t="s">
        <v>146</v>
      </c>
      <c r="L340" s="56">
        <v>84</v>
      </c>
      <c r="M340" s="61" t="s">
        <v>113</v>
      </c>
      <c r="N340" s="61" t="s">
        <v>178</v>
      </c>
      <c r="O340" s="61" t="s">
        <v>407</v>
      </c>
      <c r="P340" s="61" t="s">
        <v>684</v>
      </c>
      <c r="Q340" s="218">
        <v>71</v>
      </c>
      <c r="R340" s="61" t="s">
        <v>41</v>
      </c>
      <c r="S340" s="61" t="s">
        <v>42</v>
      </c>
      <c r="T340" s="63" t="s">
        <v>18</v>
      </c>
      <c r="U340" s="51">
        <v>0.3</v>
      </c>
      <c r="V340" s="6" t="s">
        <v>53</v>
      </c>
      <c r="W340" s="6" t="s">
        <v>353</v>
      </c>
      <c r="X340" s="5" t="s">
        <v>17</v>
      </c>
      <c r="Y340" s="112" t="s">
        <v>34</v>
      </c>
    </row>
    <row r="341" spans="1:27" ht="15.75" thickBot="1" x14ac:dyDescent="0.3">
      <c r="A341" s="30">
        <v>45928</v>
      </c>
      <c r="B341" s="9">
        <v>7</v>
      </c>
      <c r="C341" s="122"/>
      <c r="D341" s="9" t="s">
        <v>113</v>
      </c>
      <c r="E341" s="10">
        <v>2.21</v>
      </c>
      <c r="F341" s="11">
        <v>2</v>
      </c>
      <c r="G341" s="11">
        <v>1</v>
      </c>
      <c r="H341" s="12">
        <v>0.97</v>
      </c>
      <c r="I341" s="122"/>
      <c r="J341" s="9" t="s">
        <v>146</v>
      </c>
      <c r="K341" s="45"/>
      <c r="L341" s="97">
        <v>85</v>
      </c>
      <c r="M341" s="66" t="s">
        <v>113</v>
      </c>
      <c r="N341" s="66" t="s">
        <v>178</v>
      </c>
      <c r="O341" s="66" t="s">
        <v>407</v>
      </c>
      <c r="P341" s="66" t="s">
        <v>684</v>
      </c>
      <c r="Q341" s="219">
        <v>71</v>
      </c>
      <c r="R341" s="66" t="s">
        <v>47</v>
      </c>
      <c r="S341" s="66" t="s">
        <v>42</v>
      </c>
      <c r="T341" s="67" t="s">
        <v>18</v>
      </c>
      <c r="U341" s="52">
        <v>0.61</v>
      </c>
      <c r="V341" s="10" t="s">
        <v>53</v>
      </c>
      <c r="W341" s="10" t="s">
        <v>353</v>
      </c>
      <c r="X341" s="9" t="s">
        <v>52</v>
      </c>
      <c r="Y341" s="113" t="s">
        <v>34</v>
      </c>
      <c r="Z341" s="109"/>
      <c r="AA341" s="58"/>
    </row>
    <row r="342" spans="1:27" ht="15.75" thickBot="1" x14ac:dyDescent="0.3">
      <c r="A342" s="206">
        <v>45928</v>
      </c>
      <c r="B342" s="207">
        <v>7</v>
      </c>
      <c r="C342" s="208"/>
      <c r="D342" s="207" t="s">
        <v>113</v>
      </c>
      <c r="E342" s="209">
        <v>2.21</v>
      </c>
      <c r="F342" s="210">
        <v>2</v>
      </c>
      <c r="G342" s="210">
        <v>1</v>
      </c>
      <c r="H342" s="211">
        <v>0.97</v>
      </c>
      <c r="I342" s="208"/>
      <c r="J342" s="207" t="s">
        <v>146</v>
      </c>
      <c r="K342" s="235"/>
      <c r="L342" s="198"/>
      <c r="M342" s="199" t="s">
        <v>113</v>
      </c>
      <c r="N342" s="199" t="s">
        <v>738</v>
      </c>
      <c r="O342" s="199" t="s">
        <v>739</v>
      </c>
      <c r="P342" s="199" t="s">
        <v>707</v>
      </c>
      <c r="Q342" s="200">
        <v>68</v>
      </c>
      <c r="R342" s="199"/>
      <c r="S342" s="199"/>
      <c r="T342" s="201"/>
      <c r="U342" s="202"/>
      <c r="V342" s="203"/>
      <c r="W342" s="203">
        <v>1</v>
      </c>
      <c r="X342" s="199"/>
      <c r="Y342" s="204"/>
      <c r="Z342" s="205"/>
      <c r="AA342" s="201"/>
    </row>
    <row r="343" spans="1:27" ht="15.75" thickBot="1" x14ac:dyDescent="0.3">
      <c r="A343" s="206">
        <v>45928</v>
      </c>
      <c r="B343" s="207">
        <v>7</v>
      </c>
      <c r="C343" s="208"/>
      <c r="D343" s="207" t="s">
        <v>113</v>
      </c>
      <c r="E343" s="209">
        <v>2.21</v>
      </c>
      <c r="F343" s="210">
        <v>2</v>
      </c>
      <c r="G343" s="210">
        <v>1</v>
      </c>
      <c r="H343" s="211">
        <v>0.97</v>
      </c>
      <c r="I343" s="208"/>
      <c r="J343" s="207" t="s">
        <v>146</v>
      </c>
      <c r="K343" s="235"/>
      <c r="L343" s="198"/>
      <c r="M343" s="199" t="s">
        <v>146</v>
      </c>
      <c r="N343" s="199" t="s">
        <v>176</v>
      </c>
      <c r="O343" s="199" t="s">
        <v>423</v>
      </c>
      <c r="P343" s="199" t="s">
        <v>707</v>
      </c>
      <c r="Q343" s="200">
        <v>75</v>
      </c>
      <c r="R343" s="199"/>
      <c r="S343" s="199"/>
      <c r="T343" s="201"/>
      <c r="U343" s="202"/>
      <c r="V343" s="203"/>
      <c r="W343" s="203">
        <v>2</v>
      </c>
      <c r="X343" s="199"/>
      <c r="Y343" s="204"/>
      <c r="Z343" s="205"/>
      <c r="AA343" s="201"/>
    </row>
    <row r="344" spans="1:27" ht="15.75" thickBot="1" x14ac:dyDescent="0.3">
      <c r="A344" s="236"/>
      <c r="B344" s="237"/>
      <c r="C344" s="238"/>
      <c r="D344" s="237"/>
      <c r="E344" s="239"/>
      <c r="F344" s="240"/>
      <c r="G344" s="240"/>
      <c r="H344" s="241"/>
      <c r="I344" s="238"/>
      <c r="J344" s="237"/>
      <c r="K344" s="242"/>
      <c r="L344" s="243"/>
      <c r="M344" s="237"/>
      <c r="N344" s="237"/>
      <c r="O344" s="237"/>
      <c r="P344" s="237"/>
      <c r="Q344" s="240"/>
      <c r="R344" s="237"/>
      <c r="S344" s="237"/>
      <c r="T344" s="244"/>
      <c r="U344" s="245"/>
      <c r="V344" s="239"/>
      <c r="W344" s="239" t="s">
        <v>741</v>
      </c>
      <c r="X344" s="237"/>
      <c r="Y344" s="246"/>
      <c r="Z344" s="247"/>
      <c r="AA344" s="244"/>
    </row>
    <row r="345" spans="1:27" x14ac:dyDescent="0.25">
      <c r="A345" s="135">
        <v>45892</v>
      </c>
      <c r="B345" s="136">
        <v>2</v>
      </c>
      <c r="C345" s="137" t="s">
        <v>698</v>
      </c>
      <c r="D345" s="136" t="s">
        <v>129</v>
      </c>
      <c r="E345" s="138">
        <v>2.14</v>
      </c>
      <c r="F345" s="139">
        <v>2</v>
      </c>
      <c r="G345" s="139">
        <v>3</v>
      </c>
      <c r="H345" s="140">
        <v>1.93</v>
      </c>
      <c r="I345" s="137" t="s">
        <v>693</v>
      </c>
      <c r="J345" s="136" t="s">
        <v>113</v>
      </c>
      <c r="K345" s="141"/>
      <c r="L345" s="142">
        <v>15</v>
      </c>
      <c r="M345" s="64" t="s">
        <v>129</v>
      </c>
      <c r="N345" s="64" t="s">
        <v>59</v>
      </c>
      <c r="O345" s="64" t="s">
        <v>191</v>
      </c>
      <c r="P345" s="64" t="s">
        <v>684</v>
      </c>
      <c r="Q345" s="217">
        <v>83</v>
      </c>
      <c r="R345" s="64" t="s">
        <v>41</v>
      </c>
      <c r="S345" s="64" t="s">
        <v>42</v>
      </c>
      <c r="T345" s="65" t="s">
        <v>18</v>
      </c>
      <c r="U345" s="167">
        <v>0.22</v>
      </c>
      <c r="V345" s="138">
        <v>0.65</v>
      </c>
      <c r="W345" s="138" t="s">
        <v>353</v>
      </c>
      <c r="X345" s="136" t="s">
        <v>8</v>
      </c>
      <c r="Y345" s="168" t="s">
        <v>19</v>
      </c>
      <c r="Z345" s="169" t="s">
        <v>143</v>
      </c>
      <c r="AA345" s="170" t="s">
        <v>144</v>
      </c>
    </row>
    <row r="346" spans="1:27" x14ac:dyDescent="0.25">
      <c r="A346" s="143">
        <v>45892</v>
      </c>
      <c r="B346" s="144">
        <v>2</v>
      </c>
      <c r="C346" s="145"/>
      <c r="D346" s="144" t="s">
        <v>129</v>
      </c>
      <c r="E346" s="146">
        <v>2.14</v>
      </c>
      <c r="F346" s="147">
        <v>2</v>
      </c>
      <c r="G346" s="147">
        <v>3</v>
      </c>
      <c r="H346" s="148">
        <v>1.93</v>
      </c>
      <c r="I346" s="145"/>
      <c r="J346" s="144" t="s">
        <v>113</v>
      </c>
      <c r="K346" s="149"/>
      <c r="L346" s="150">
        <v>37</v>
      </c>
      <c r="M346" s="26" t="s">
        <v>113</v>
      </c>
      <c r="N346" s="26" t="s">
        <v>118</v>
      </c>
      <c r="O346" s="26" t="s">
        <v>119</v>
      </c>
      <c r="P346" s="26" t="s">
        <v>684</v>
      </c>
      <c r="Q346" s="213">
        <v>67</v>
      </c>
      <c r="R346" s="26" t="s">
        <v>41</v>
      </c>
      <c r="S346" s="26" t="s">
        <v>42</v>
      </c>
      <c r="T346" s="43" t="s">
        <v>10</v>
      </c>
      <c r="U346" s="171">
        <v>0.22</v>
      </c>
      <c r="V346" s="146" t="s">
        <v>53</v>
      </c>
      <c r="W346" s="146" t="s">
        <v>353</v>
      </c>
      <c r="X346" s="144" t="s">
        <v>17</v>
      </c>
      <c r="Y346" s="172" t="s">
        <v>19</v>
      </c>
      <c r="Z346" s="173"/>
      <c r="AA346" s="174"/>
    </row>
    <row r="347" spans="1:27" x14ac:dyDescent="0.25">
      <c r="A347" s="143">
        <v>45892</v>
      </c>
      <c r="B347" s="144">
        <v>2</v>
      </c>
      <c r="C347" s="145"/>
      <c r="D347" s="144" t="s">
        <v>129</v>
      </c>
      <c r="E347" s="146">
        <v>2.14</v>
      </c>
      <c r="F347" s="147">
        <v>2</v>
      </c>
      <c r="G347" s="147">
        <v>3</v>
      </c>
      <c r="H347" s="148">
        <v>1.93</v>
      </c>
      <c r="I347" s="145"/>
      <c r="J347" s="144" t="s">
        <v>113</v>
      </c>
      <c r="K347" s="149"/>
      <c r="L347" s="150">
        <v>42</v>
      </c>
      <c r="M347" s="61" t="s">
        <v>129</v>
      </c>
      <c r="N347" s="61" t="s">
        <v>168</v>
      </c>
      <c r="O347" s="61" t="s">
        <v>263</v>
      </c>
      <c r="P347" s="61" t="s">
        <v>713</v>
      </c>
      <c r="Q347" s="218">
        <v>72</v>
      </c>
      <c r="R347" s="61" t="s">
        <v>41</v>
      </c>
      <c r="S347" s="61" t="s">
        <v>45</v>
      </c>
      <c r="T347" s="63" t="s">
        <v>33</v>
      </c>
      <c r="U347" s="171">
        <v>0.05</v>
      </c>
      <c r="V347" s="146" t="s">
        <v>53</v>
      </c>
      <c r="W347" s="146" t="s">
        <v>353</v>
      </c>
      <c r="X347" s="144" t="s">
        <v>22</v>
      </c>
      <c r="Y347" s="172" t="s">
        <v>19</v>
      </c>
      <c r="Z347" s="173"/>
      <c r="AA347" s="174"/>
    </row>
    <row r="348" spans="1:27" x14ac:dyDescent="0.25">
      <c r="A348" s="143">
        <v>45892</v>
      </c>
      <c r="B348" s="144">
        <v>2</v>
      </c>
      <c r="C348" s="145"/>
      <c r="D348" s="144" t="s">
        <v>129</v>
      </c>
      <c r="E348" s="146">
        <v>2.14</v>
      </c>
      <c r="F348" s="147">
        <v>2</v>
      </c>
      <c r="G348" s="147">
        <v>3</v>
      </c>
      <c r="H348" s="148">
        <v>1.93</v>
      </c>
      <c r="I348" s="145"/>
      <c r="J348" s="144" t="s">
        <v>113</v>
      </c>
      <c r="K348" s="149"/>
      <c r="L348" s="150" t="s">
        <v>266</v>
      </c>
      <c r="M348" s="61" t="s">
        <v>129</v>
      </c>
      <c r="N348" s="61" t="s">
        <v>264</v>
      </c>
      <c r="O348" s="61" t="s">
        <v>265</v>
      </c>
      <c r="P348" s="61" t="s">
        <v>685</v>
      </c>
      <c r="Q348" s="218">
        <v>72</v>
      </c>
      <c r="R348" s="61" t="s">
        <v>41</v>
      </c>
      <c r="S348" s="61" t="s">
        <v>42</v>
      </c>
      <c r="T348" s="63" t="s">
        <v>7</v>
      </c>
      <c r="U348" s="171">
        <v>0.79</v>
      </c>
      <c r="V348" s="146">
        <v>0.8</v>
      </c>
      <c r="W348" s="146" t="s">
        <v>353</v>
      </c>
      <c r="X348" s="144" t="s">
        <v>8</v>
      </c>
      <c r="Y348" s="172" t="s">
        <v>24</v>
      </c>
      <c r="Z348" s="173"/>
      <c r="AA348" s="174"/>
    </row>
    <row r="349" spans="1:27" x14ac:dyDescent="0.25">
      <c r="A349" s="143">
        <v>45892</v>
      </c>
      <c r="B349" s="144">
        <v>2</v>
      </c>
      <c r="C349" s="145"/>
      <c r="D349" s="144" t="s">
        <v>129</v>
      </c>
      <c r="E349" s="146">
        <v>2.14</v>
      </c>
      <c r="F349" s="147">
        <v>2</v>
      </c>
      <c r="G349" s="147">
        <v>3</v>
      </c>
      <c r="H349" s="148">
        <v>1.93</v>
      </c>
      <c r="I349" s="145"/>
      <c r="J349" s="144" t="s">
        <v>113</v>
      </c>
      <c r="K349" s="149"/>
      <c r="L349" s="150">
        <v>47</v>
      </c>
      <c r="M349" s="61" t="s">
        <v>129</v>
      </c>
      <c r="N349" s="61" t="s">
        <v>141</v>
      </c>
      <c r="O349" s="61" t="s">
        <v>142</v>
      </c>
      <c r="P349" s="61" t="s">
        <v>686</v>
      </c>
      <c r="Q349" s="218">
        <v>65</v>
      </c>
      <c r="R349" s="61" t="s">
        <v>41</v>
      </c>
      <c r="S349" s="61" t="s">
        <v>42</v>
      </c>
      <c r="T349" s="63" t="s">
        <v>10</v>
      </c>
      <c r="U349" s="171">
        <v>0.11</v>
      </c>
      <c r="V349" s="146">
        <v>0.32</v>
      </c>
      <c r="W349" s="146" t="s">
        <v>353</v>
      </c>
      <c r="X349" s="144" t="s">
        <v>48</v>
      </c>
      <c r="Y349" s="172" t="s">
        <v>24</v>
      </c>
      <c r="Z349" s="173"/>
      <c r="AA349" s="174"/>
    </row>
    <row r="350" spans="1:27" x14ac:dyDescent="0.25">
      <c r="A350" s="143">
        <v>45892</v>
      </c>
      <c r="B350" s="144">
        <v>2</v>
      </c>
      <c r="C350" s="145"/>
      <c r="D350" s="144" t="s">
        <v>129</v>
      </c>
      <c r="E350" s="146">
        <v>2.14</v>
      </c>
      <c r="F350" s="147">
        <v>2</v>
      </c>
      <c r="G350" s="147">
        <v>3</v>
      </c>
      <c r="H350" s="148">
        <v>1.93</v>
      </c>
      <c r="I350" s="145"/>
      <c r="J350" s="144" t="s">
        <v>113</v>
      </c>
      <c r="K350" s="149"/>
      <c r="L350" s="150">
        <v>52</v>
      </c>
      <c r="M350" s="26" t="s">
        <v>113</v>
      </c>
      <c r="N350" s="26" t="s">
        <v>118</v>
      </c>
      <c r="O350" s="26" t="s">
        <v>119</v>
      </c>
      <c r="P350" s="26" t="s">
        <v>684</v>
      </c>
      <c r="Q350" s="213">
        <v>67</v>
      </c>
      <c r="R350" s="26" t="s">
        <v>41</v>
      </c>
      <c r="S350" s="26" t="s">
        <v>42</v>
      </c>
      <c r="T350" s="43" t="s">
        <v>20</v>
      </c>
      <c r="U350" s="171">
        <v>0.23</v>
      </c>
      <c r="V350" s="146">
        <v>0.44</v>
      </c>
      <c r="W350" s="146" t="s">
        <v>353</v>
      </c>
      <c r="X350" s="144" t="s">
        <v>8</v>
      </c>
      <c r="Y350" s="172" t="s">
        <v>189</v>
      </c>
      <c r="Z350" s="173" t="s">
        <v>53</v>
      </c>
      <c r="AA350" s="174" t="s">
        <v>117</v>
      </c>
    </row>
    <row r="351" spans="1:27" x14ac:dyDescent="0.25">
      <c r="A351" s="143">
        <v>45892</v>
      </c>
      <c r="B351" s="144">
        <v>2</v>
      </c>
      <c r="C351" s="145"/>
      <c r="D351" s="144" t="s">
        <v>129</v>
      </c>
      <c r="E351" s="146">
        <v>2.14</v>
      </c>
      <c r="F351" s="147">
        <v>2</v>
      </c>
      <c r="G351" s="147">
        <v>3</v>
      </c>
      <c r="H351" s="148">
        <v>1.93</v>
      </c>
      <c r="I351" s="145"/>
      <c r="J351" s="144" t="s">
        <v>113</v>
      </c>
      <c r="K351" s="149"/>
      <c r="L351" s="150">
        <v>53</v>
      </c>
      <c r="M351" s="61" t="s">
        <v>129</v>
      </c>
      <c r="N351" s="61" t="s">
        <v>264</v>
      </c>
      <c r="O351" s="61" t="s">
        <v>265</v>
      </c>
      <c r="P351" s="61" t="s">
        <v>685</v>
      </c>
      <c r="Q351" s="218">
        <v>72</v>
      </c>
      <c r="R351" s="61" t="s">
        <v>41</v>
      </c>
      <c r="S351" s="61" t="s">
        <v>43</v>
      </c>
      <c r="T351" s="63" t="s">
        <v>10</v>
      </c>
      <c r="U351" s="171">
        <v>0.16</v>
      </c>
      <c r="V351" s="146">
        <v>0.21</v>
      </c>
      <c r="W351" s="146" t="s">
        <v>353</v>
      </c>
      <c r="X351" s="144" t="s">
        <v>48</v>
      </c>
      <c r="Y351" s="172" t="s">
        <v>189</v>
      </c>
      <c r="Z351" s="173"/>
      <c r="AA351" s="174"/>
    </row>
    <row r="352" spans="1:27" x14ac:dyDescent="0.25">
      <c r="A352" s="143">
        <v>45892</v>
      </c>
      <c r="B352" s="144">
        <v>2</v>
      </c>
      <c r="C352" s="145"/>
      <c r="D352" s="144" t="s">
        <v>129</v>
      </c>
      <c r="E352" s="146">
        <v>2.14</v>
      </c>
      <c r="F352" s="147">
        <v>2</v>
      </c>
      <c r="G352" s="147">
        <v>3</v>
      </c>
      <c r="H352" s="148">
        <v>1.93</v>
      </c>
      <c r="I352" s="145"/>
      <c r="J352" s="144" t="s">
        <v>113</v>
      </c>
      <c r="K352" s="149"/>
      <c r="L352" s="150">
        <v>53</v>
      </c>
      <c r="M352" s="61" t="s">
        <v>129</v>
      </c>
      <c r="N352" s="61" t="s">
        <v>141</v>
      </c>
      <c r="O352" s="61" t="s">
        <v>142</v>
      </c>
      <c r="P352" s="61" t="s">
        <v>686</v>
      </c>
      <c r="Q352" s="218">
        <v>65</v>
      </c>
      <c r="R352" s="61" t="s">
        <v>41</v>
      </c>
      <c r="S352" s="61" t="s">
        <v>42</v>
      </c>
      <c r="T352" s="63" t="s">
        <v>10</v>
      </c>
      <c r="U352" s="171">
        <v>0.53</v>
      </c>
      <c r="V352" s="146">
        <v>0.71</v>
      </c>
      <c r="W352" s="146" t="s">
        <v>353</v>
      </c>
      <c r="X352" s="144" t="s">
        <v>48</v>
      </c>
      <c r="Y352" s="172" t="s">
        <v>189</v>
      </c>
      <c r="Z352" s="173"/>
      <c r="AA352" s="174"/>
    </row>
    <row r="353" spans="1:27" x14ac:dyDescent="0.25">
      <c r="A353" s="143">
        <v>45892</v>
      </c>
      <c r="B353" s="144">
        <v>2</v>
      </c>
      <c r="C353" s="145"/>
      <c r="D353" s="144" t="s">
        <v>129</v>
      </c>
      <c r="E353" s="146">
        <v>2.14</v>
      </c>
      <c r="F353" s="147">
        <v>2</v>
      </c>
      <c r="G353" s="147">
        <v>3</v>
      </c>
      <c r="H353" s="148">
        <v>1.93</v>
      </c>
      <c r="I353" s="145"/>
      <c r="J353" s="144" t="s">
        <v>113</v>
      </c>
      <c r="K353" s="149"/>
      <c r="L353" s="150">
        <v>70</v>
      </c>
      <c r="M353" s="26" t="s">
        <v>113</v>
      </c>
      <c r="N353" s="26" t="s">
        <v>118</v>
      </c>
      <c r="O353" s="26" t="s">
        <v>119</v>
      </c>
      <c r="P353" s="26" t="s">
        <v>684</v>
      </c>
      <c r="Q353" s="213">
        <v>67</v>
      </c>
      <c r="R353" s="26" t="s">
        <v>41</v>
      </c>
      <c r="S353" s="26" t="s">
        <v>45</v>
      </c>
      <c r="T353" s="43" t="s">
        <v>10</v>
      </c>
      <c r="U353" s="171">
        <v>0.22</v>
      </c>
      <c r="V353" s="146">
        <v>0.74</v>
      </c>
      <c r="W353" s="146" t="s">
        <v>353</v>
      </c>
      <c r="X353" s="144" t="s">
        <v>48</v>
      </c>
      <c r="Y353" s="172" t="s">
        <v>189</v>
      </c>
      <c r="Z353" s="173"/>
      <c r="AA353" s="174"/>
    </row>
    <row r="354" spans="1:27" ht="15.75" thickBot="1" x14ac:dyDescent="0.3">
      <c r="A354" s="206">
        <v>45892</v>
      </c>
      <c r="B354" s="207">
        <v>2</v>
      </c>
      <c r="C354" s="208"/>
      <c r="D354" s="207" t="s">
        <v>129</v>
      </c>
      <c r="E354" s="209">
        <v>2.14</v>
      </c>
      <c r="F354" s="210">
        <v>2</v>
      </c>
      <c r="G354" s="210">
        <v>3</v>
      </c>
      <c r="H354" s="211">
        <v>1.93</v>
      </c>
      <c r="I354" s="208"/>
      <c r="J354" s="207" t="s">
        <v>113</v>
      </c>
      <c r="K354" s="197"/>
      <c r="L354" s="198"/>
      <c r="M354" s="199" t="s">
        <v>129</v>
      </c>
      <c r="N354" s="199" t="s">
        <v>241</v>
      </c>
      <c r="O354" s="199" t="s">
        <v>716</v>
      </c>
      <c r="P354" s="199" t="s">
        <v>707</v>
      </c>
      <c r="Q354" s="200">
        <v>83</v>
      </c>
      <c r="R354" s="199"/>
      <c r="S354" s="199"/>
      <c r="T354" s="201"/>
      <c r="U354" s="202"/>
      <c r="V354" s="203"/>
      <c r="W354" s="203">
        <v>3</v>
      </c>
      <c r="X354" s="199"/>
      <c r="Y354" s="204"/>
      <c r="Z354" s="205"/>
      <c r="AA354" s="201"/>
    </row>
    <row r="355" spans="1:27" ht="15.75" thickBot="1" x14ac:dyDescent="0.3">
      <c r="A355" s="206">
        <v>45892</v>
      </c>
      <c r="B355" s="207">
        <v>2</v>
      </c>
      <c r="C355" s="208"/>
      <c r="D355" s="207" t="s">
        <v>129</v>
      </c>
      <c r="E355" s="209">
        <v>2.14</v>
      </c>
      <c r="F355" s="210">
        <v>2</v>
      </c>
      <c r="G355" s="210">
        <v>3</v>
      </c>
      <c r="H355" s="211">
        <v>1.93</v>
      </c>
      <c r="I355" s="208"/>
      <c r="J355" s="207" t="s">
        <v>113</v>
      </c>
      <c r="K355" s="197"/>
      <c r="L355" s="198"/>
      <c r="M355" s="199" t="s">
        <v>113</v>
      </c>
      <c r="N355" s="199" t="s">
        <v>475</v>
      </c>
      <c r="O355" s="199" t="s">
        <v>75</v>
      </c>
      <c r="P355" s="199" t="s">
        <v>707</v>
      </c>
      <c r="Q355" s="200">
        <v>71</v>
      </c>
      <c r="R355" s="199"/>
      <c r="S355" s="199"/>
      <c r="T355" s="201"/>
      <c r="U355" s="202"/>
      <c r="V355" s="203"/>
      <c r="W355" s="203">
        <v>2</v>
      </c>
      <c r="X355" s="199"/>
      <c r="Y355" s="204"/>
      <c r="Z355" s="205"/>
      <c r="AA355" s="201"/>
    </row>
    <row r="356" spans="1:27" x14ac:dyDescent="0.25">
      <c r="A356" s="135">
        <v>45914</v>
      </c>
      <c r="B356" s="136">
        <v>4</v>
      </c>
      <c r="C356" s="137" t="s">
        <v>694</v>
      </c>
      <c r="D356" s="136" t="s">
        <v>129</v>
      </c>
      <c r="E356" s="138">
        <v>0.73</v>
      </c>
      <c r="F356" s="139">
        <v>2</v>
      </c>
      <c r="G356" s="139">
        <v>2</v>
      </c>
      <c r="H356" s="140">
        <v>2.12</v>
      </c>
      <c r="I356" s="137" t="s">
        <v>693</v>
      </c>
      <c r="J356" s="136" t="s">
        <v>209</v>
      </c>
      <c r="K356" s="141"/>
      <c r="L356" s="142">
        <v>2</v>
      </c>
      <c r="M356" s="64" t="s">
        <v>129</v>
      </c>
      <c r="N356" s="64" t="s">
        <v>59</v>
      </c>
      <c r="O356" s="64" t="s">
        <v>191</v>
      </c>
      <c r="P356" s="64" t="s">
        <v>718</v>
      </c>
      <c r="Q356" s="217">
        <v>76</v>
      </c>
      <c r="R356" s="64" t="s">
        <v>41</v>
      </c>
      <c r="S356" s="64" t="s">
        <v>42</v>
      </c>
      <c r="T356" s="65" t="s">
        <v>10</v>
      </c>
      <c r="U356" s="167">
        <v>0.33</v>
      </c>
      <c r="V356" s="138">
        <v>0.34</v>
      </c>
      <c r="W356" s="138" t="s">
        <v>353</v>
      </c>
      <c r="X356" s="136" t="s">
        <v>8</v>
      </c>
      <c r="Y356" s="168" t="s">
        <v>19</v>
      </c>
      <c r="Z356" s="169" t="s">
        <v>46</v>
      </c>
      <c r="AA356" s="170" t="s">
        <v>201</v>
      </c>
    </row>
    <row r="357" spans="1:27" x14ac:dyDescent="0.25">
      <c r="A357" s="143">
        <v>45914</v>
      </c>
      <c r="B357" s="144">
        <v>4</v>
      </c>
      <c r="C357" s="145"/>
      <c r="D357" s="144" t="s">
        <v>129</v>
      </c>
      <c r="E357" s="146">
        <v>0.73</v>
      </c>
      <c r="F357" s="147">
        <v>2</v>
      </c>
      <c r="G357" s="147">
        <v>2</v>
      </c>
      <c r="H357" s="148">
        <v>2.12</v>
      </c>
      <c r="I357" s="145"/>
      <c r="J357" s="144" t="s">
        <v>209</v>
      </c>
      <c r="K357" s="149"/>
      <c r="L357" s="150">
        <v>10</v>
      </c>
      <c r="M357" s="61" t="s">
        <v>129</v>
      </c>
      <c r="N357" s="61" t="s">
        <v>104</v>
      </c>
      <c r="O357" s="61" t="s">
        <v>105</v>
      </c>
      <c r="P357" s="61" t="s">
        <v>717</v>
      </c>
      <c r="Q357" s="218">
        <v>74</v>
      </c>
      <c r="R357" s="61" t="s">
        <v>41</v>
      </c>
      <c r="S357" s="61" t="s">
        <v>42</v>
      </c>
      <c r="T357" s="63" t="s">
        <v>10</v>
      </c>
      <c r="U357" s="171">
        <v>0.31</v>
      </c>
      <c r="V357" s="146">
        <v>0.94</v>
      </c>
      <c r="W357" s="146" t="s">
        <v>353</v>
      </c>
      <c r="X357" s="144" t="s">
        <v>8</v>
      </c>
      <c r="Y357" s="172" t="s">
        <v>24</v>
      </c>
      <c r="Z357" s="173" t="s">
        <v>241</v>
      </c>
      <c r="AA357" s="174" t="s">
        <v>131</v>
      </c>
    </row>
    <row r="358" spans="1:27" x14ac:dyDescent="0.25">
      <c r="A358" s="143">
        <v>45914</v>
      </c>
      <c r="B358" s="144">
        <v>4</v>
      </c>
      <c r="C358" s="145"/>
      <c r="D358" s="144" t="s">
        <v>129</v>
      </c>
      <c r="E358" s="146">
        <v>0.73</v>
      </c>
      <c r="F358" s="147">
        <v>2</v>
      </c>
      <c r="G358" s="147">
        <v>2</v>
      </c>
      <c r="H358" s="148">
        <v>2.12</v>
      </c>
      <c r="I358" s="145"/>
      <c r="J358" s="144" t="s">
        <v>209</v>
      </c>
      <c r="K358" s="149"/>
      <c r="L358" s="150">
        <v>75</v>
      </c>
      <c r="M358" s="26" t="s">
        <v>209</v>
      </c>
      <c r="N358" s="26" t="s">
        <v>421</v>
      </c>
      <c r="O358" s="26" t="s">
        <v>422</v>
      </c>
      <c r="P358" s="26" t="s">
        <v>712</v>
      </c>
      <c r="Q358" s="213">
        <v>72</v>
      </c>
      <c r="R358" s="26" t="s">
        <v>41</v>
      </c>
      <c r="S358" s="26" t="s">
        <v>45</v>
      </c>
      <c r="T358" s="43" t="s">
        <v>20</v>
      </c>
      <c r="U358" s="171">
        <v>0.09</v>
      </c>
      <c r="V358" s="146">
        <v>0.02</v>
      </c>
      <c r="W358" s="146" t="s">
        <v>353</v>
      </c>
      <c r="X358" s="144" t="s">
        <v>48</v>
      </c>
      <c r="Y358" s="172" t="s">
        <v>34</v>
      </c>
      <c r="Z358" s="173"/>
      <c r="AA358" s="174"/>
    </row>
    <row r="359" spans="1:27" x14ac:dyDescent="0.25">
      <c r="A359" s="143">
        <v>45914</v>
      </c>
      <c r="B359" s="144">
        <v>4</v>
      </c>
      <c r="C359" s="145"/>
      <c r="D359" s="144" t="s">
        <v>129</v>
      </c>
      <c r="E359" s="146">
        <v>0.73</v>
      </c>
      <c r="F359" s="147">
        <v>2</v>
      </c>
      <c r="G359" s="147">
        <v>2</v>
      </c>
      <c r="H359" s="148">
        <v>2.12</v>
      </c>
      <c r="I359" s="145"/>
      <c r="J359" s="144" t="s">
        <v>209</v>
      </c>
      <c r="K359" s="149"/>
      <c r="L359" s="150">
        <v>81</v>
      </c>
      <c r="M359" s="26" t="s">
        <v>209</v>
      </c>
      <c r="N359" s="26" t="s">
        <v>241</v>
      </c>
      <c r="O359" s="26" t="s">
        <v>396</v>
      </c>
      <c r="P359" s="26" t="s">
        <v>687</v>
      </c>
      <c r="Q359" s="213">
        <v>79</v>
      </c>
      <c r="R359" s="26" t="s">
        <v>41</v>
      </c>
      <c r="S359" s="26" t="s">
        <v>45</v>
      </c>
      <c r="T359" s="43" t="s">
        <v>10</v>
      </c>
      <c r="U359" s="171">
        <v>0.35</v>
      </c>
      <c r="V359" s="146">
        <v>0.56999999999999995</v>
      </c>
      <c r="W359" s="146" t="s">
        <v>353</v>
      </c>
      <c r="X359" s="144" t="s">
        <v>8</v>
      </c>
      <c r="Y359" s="172" t="s">
        <v>189</v>
      </c>
      <c r="Z359" s="173" t="s">
        <v>660</v>
      </c>
      <c r="AA359" s="174" t="s">
        <v>425</v>
      </c>
    </row>
    <row r="360" spans="1:27" x14ac:dyDescent="0.25">
      <c r="A360" s="143">
        <v>45914</v>
      </c>
      <c r="B360" s="144">
        <v>4</v>
      </c>
      <c r="C360" s="145"/>
      <c r="D360" s="144" t="s">
        <v>129</v>
      </c>
      <c r="E360" s="146">
        <v>0.73</v>
      </c>
      <c r="F360" s="147">
        <v>2</v>
      </c>
      <c r="G360" s="147">
        <v>2</v>
      </c>
      <c r="H360" s="148">
        <v>2.12</v>
      </c>
      <c r="I360" s="145"/>
      <c r="J360" s="144" t="s">
        <v>209</v>
      </c>
      <c r="K360" s="149"/>
      <c r="L360" s="150">
        <v>89</v>
      </c>
      <c r="M360" s="26" t="s">
        <v>209</v>
      </c>
      <c r="N360" s="26" t="s">
        <v>222</v>
      </c>
      <c r="O360" s="26" t="s">
        <v>223</v>
      </c>
      <c r="P360" s="26" t="s">
        <v>696</v>
      </c>
      <c r="Q360" s="213">
        <v>69</v>
      </c>
      <c r="R360" s="26" t="s">
        <v>41</v>
      </c>
      <c r="S360" s="26" t="s">
        <v>43</v>
      </c>
      <c r="T360" s="43" t="s">
        <v>10</v>
      </c>
      <c r="U360" s="171">
        <v>7.0000000000000007E-2</v>
      </c>
      <c r="V360" s="146">
        <v>0.45</v>
      </c>
      <c r="W360" s="146" t="s">
        <v>353</v>
      </c>
      <c r="X360" s="144" t="s">
        <v>48</v>
      </c>
      <c r="Y360" s="172" t="s">
        <v>189</v>
      </c>
      <c r="Z360" s="173"/>
      <c r="AA360" s="174"/>
    </row>
    <row r="361" spans="1:27" ht="15.75" thickBot="1" x14ac:dyDescent="0.3">
      <c r="A361" s="206">
        <v>45914</v>
      </c>
      <c r="B361" s="207">
        <v>4</v>
      </c>
      <c r="C361" s="208"/>
      <c r="D361" s="207" t="s">
        <v>129</v>
      </c>
      <c r="E361" s="209">
        <v>0.73</v>
      </c>
      <c r="F361" s="210">
        <v>2</v>
      </c>
      <c r="G361" s="210">
        <v>2</v>
      </c>
      <c r="H361" s="211">
        <v>2.12</v>
      </c>
      <c r="I361" s="208"/>
      <c r="J361" s="207" t="s">
        <v>209</v>
      </c>
      <c r="K361" s="235"/>
      <c r="L361" s="198"/>
      <c r="M361" s="199" t="s">
        <v>129</v>
      </c>
      <c r="N361" s="199" t="s">
        <v>731</v>
      </c>
      <c r="O361" s="199" t="s">
        <v>732</v>
      </c>
      <c r="P361" s="199" t="s">
        <v>707</v>
      </c>
      <c r="Q361" s="200">
        <v>78</v>
      </c>
      <c r="R361" s="199"/>
      <c r="S361" s="199"/>
      <c r="T361" s="201"/>
      <c r="U361" s="202"/>
      <c r="V361" s="203"/>
      <c r="W361" s="203">
        <v>2</v>
      </c>
      <c r="X361" s="199"/>
      <c r="Y361" s="204"/>
      <c r="Z361" s="205"/>
      <c r="AA361" s="201"/>
    </row>
    <row r="362" spans="1:27" ht="15.75" thickBot="1" x14ac:dyDescent="0.3">
      <c r="A362" s="206">
        <v>45914</v>
      </c>
      <c r="B362" s="207">
        <v>4</v>
      </c>
      <c r="C362" s="208"/>
      <c r="D362" s="207" t="s">
        <v>129</v>
      </c>
      <c r="E362" s="209">
        <v>0.73</v>
      </c>
      <c r="F362" s="210">
        <v>2</v>
      </c>
      <c r="G362" s="210">
        <v>2</v>
      </c>
      <c r="H362" s="211">
        <v>2.12</v>
      </c>
      <c r="I362" s="208"/>
      <c r="J362" s="207" t="s">
        <v>209</v>
      </c>
      <c r="K362" s="235"/>
      <c r="L362" s="198"/>
      <c r="M362" s="199" t="s">
        <v>209</v>
      </c>
      <c r="N362" s="199" t="s">
        <v>74</v>
      </c>
      <c r="O362" s="199" t="s">
        <v>730</v>
      </c>
      <c r="P362" s="199" t="s">
        <v>707</v>
      </c>
      <c r="Q362" s="200">
        <v>58</v>
      </c>
      <c r="R362" s="199"/>
      <c r="S362" s="199"/>
      <c r="T362" s="201"/>
      <c r="U362" s="202"/>
      <c r="V362" s="203"/>
      <c r="W362" s="203">
        <v>2</v>
      </c>
      <c r="X362" s="199"/>
      <c r="Y362" s="204"/>
      <c r="Z362" s="205"/>
      <c r="AA362" s="201"/>
    </row>
    <row r="363" spans="1:27" x14ac:dyDescent="0.25">
      <c r="A363" s="159">
        <v>45923</v>
      </c>
      <c r="B363" s="160">
        <v>6</v>
      </c>
      <c r="C363" s="161" t="s">
        <v>694</v>
      </c>
      <c r="D363" s="160" t="s">
        <v>129</v>
      </c>
      <c r="E363" s="162">
        <v>1.8</v>
      </c>
      <c r="F363" s="163">
        <v>1</v>
      </c>
      <c r="G363" s="163">
        <v>4</v>
      </c>
      <c r="H363" s="164">
        <v>3.94</v>
      </c>
      <c r="I363" s="161" t="s">
        <v>702</v>
      </c>
      <c r="J363" s="160" t="s">
        <v>226</v>
      </c>
      <c r="K363" s="165"/>
      <c r="L363" s="166">
        <v>4</v>
      </c>
      <c r="M363" s="70" t="s">
        <v>129</v>
      </c>
      <c r="N363" s="70" t="s">
        <v>59</v>
      </c>
      <c r="O363" s="70" t="s">
        <v>191</v>
      </c>
      <c r="P363" s="70" t="s">
        <v>717</v>
      </c>
      <c r="Q363" s="227">
        <v>64</v>
      </c>
      <c r="R363" s="70" t="s">
        <v>41</v>
      </c>
      <c r="S363" s="70" t="s">
        <v>42</v>
      </c>
      <c r="T363" s="71" t="s">
        <v>10</v>
      </c>
      <c r="U363" s="179">
        <v>0.24</v>
      </c>
      <c r="V363" s="162" t="s">
        <v>53</v>
      </c>
      <c r="W363" s="162" t="s">
        <v>353</v>
      </c>
      <c r="X363" s="160" t="s">
        <v>16</v>
      </c>
      <c r="Y363" s="180" t="s">
        <v>28</v>
      </c>
      <c r="Z363" s="169"/>
      <c r="AA363" s="170"/>
    </row>
    <row r="364" spans="1:27" x14ac:dyDescent="0.25">
      <c r="A364" s="143">
        <v>45923</v>
      </c>
      <c r="B364" s="144">
        <v>6</v>
      </c>
      <c r="C364" s="145"/>
      <c r="D364" s="144" t="s">
        <v>129</v>
      </c>
      <c r="E364" s="146">
        <v>1.8</v>
      </c>
      <c r="F364" s="147">
        <v>1</v>
      </c>
      <c r="G364" s="147">
        <v>4</v>
      </c>
      <c r="H364" s="148">
        <v>3.94</v>
      </c>
      <c r="I364" s="145"/>
      <c r="J364" s="144" t="s">
        <v>226</v>
      </c>
      <c r="K364" s="149"/>
      <c r="L364" s="150">
        <v>13</v>
      </c>
      <c r="M364" s="61" t="s">
        <v>129</v>
      </c>
      <c r="N364" s="61" t="s">
        <v>168</v>
      </c>
      <c r="O364" s="61" t="s">
        <v>263</v>
      </c>
      <c r="P364" s="61" t="s">
        <v>712</v>
      </c>
      <c r="Q364" s="218">
        <v>66</v>
      </c>
      <c r="R364" s="61" t="s">
        <v>41</v>
      </c>
      <c r="S364" s="61" t="s">
        <v>45</v>
      </c>
      <c r="T364" s="63" t="s">
        <v>20</v>
      </c>
      <c r="U364" s="171">
        <v>0.15</v>
      </c>
      <c r="V364" s="146" t="s">
        <v>53</v>
      </c>
      <c r="W364" s="146" t="s">
        <v>353</v>
      </c>
      <c r="X364" s="144" t="s">
        <v>22</v>
      </c>
      <c r="Y364" s="172" t="s">
        <v>28</v>
      </c>
      <c r="Z364" s="173"/>
      <c r="AA364" s="174"/>
    </row>
    <row r="365" spans="1:27" x14ac:dyDescent="0.25">
      <c r="A365" s="143">
        <v>45923</v>
      </c>
      <c r="B365" s="144">
        <v>6</v>
      </c>
      <c r="C365" s="145"/>
      <c r="D365" s="144" t="s">
        <v>129</v>
      </c>
      <c r="E365" s="146">
        <v>1.8</v>
      </c>
      <c r="F365" s="147">
        <v>1</v>
      </c>
      <c r="G365" s="147">
        <v>4</v>
      </c>
      <c r="H365" s="148">
        <v>3.94</v>
      </c>
      <c r="I365" s="145"/>
      <c r="J365" s="144" t="s">
        <v>226</v>
      </c>
      <c r="K365" s="149"/>
      <c r="L365" s="150">
        <v>21</v>
      </c>
      <c r="M365" s="26" t="s">
        <v>226</v>
      </c>
      <c r="N365" s="26" t="s">
        <v>236</v>
      </c>
      <c r="O365" s="26" t="s">
        <v>237</v>
      </c>
      <c r="P365" s="26" t="s">
        <v>689</v>
      </c>
      <c r="Q365" s="213">
        <v>73</v>
      </c>
      <c r="R365" s="26" t="s">
        <v>41</v>
      </c>
      <c r="S365" s="26" t="s">
        <v>42</v>
      </c>
      <c r="T365" s="43" t="s">
        <v>540</v>
      </c>
      <c r="U365" s="171">
        <v>0.55000000000000004</v>
      </c>
      <c r="V365" s="146" t="s">
        <v>53</v>
      </c>
      <c r="W365" s="146" t="s">
        <v>353</v>
      </c>
      <c r="X365" s="144" t="s">
        <v>17</v>
      </c>
      <c r="Y365" s="172" t="s">
        <v>28</v>
      </c>
      <c r="Z365" s="173"/>
      <c r="AA365" s="174"/>
    </row>
    <row r="366" spans="1:27" x14ac:dyDescent="0.25">
      <c r="A366" s="143">
        <v>45923</v>
      </c>
      <c r="B366" s="144">
        <v>6</v>
      </c>
      <c r="C366" s="145"/>
      <c r="D366" s="144" t="s">
        <v>129</v>
      </c>
      <c r="E366" s="146">
        <v>1.8</v>
      </c>
      <c r="F366" s="147">
        <v>1</v>
      </c>
      <c r="G366" s="147">
        <v>4</v>
      </c>
      <c r="H366" s="148">
        <v>3.94</v>
      </c>
      <c r="I366" s="145"/>
      <c r="J366" s="144" t="s">
        <v>226</v>
      </c>
      <c r="K366" s="149"/>
      <c r="L366" s="150">
        <v>41</v>
      </c>
      <c r="M366" s="26" t="s">
        <v>226</v>
      </c>
      <c r="N366" s="26" t="s">
        <v>289</v>
      </c>
      <c r="O366" s="26" t="s">
        <v>54</v>
      </c>
      <c r="P366" s="26" t="s">
        <v>685</v>
      </c>
      <c r="Q366" s="213">
        <v>84</v>
      </c>
      <c r="R366" s="26" t="s">
        <v>41</v>
      </c>
      <c r="S366" s="26" t="s">
        <v>42</v>
      </c>
      <c r="T366" s="43" t="s">
        <v>10</v>
      </c>
      <c r="U366" s="171">
        <v>0.28000000000000003</v>
      </c>
      <c r="V366" s="146">
        <v>0.34</v>
      </c>
      <c r="W366" s="146" t="s">
        <v>353</v>
      </c>
      <c r="X366" s="144" t="s">
        <v>48</v>
      </c>
      <c r="Y366" s="172" t="s">
        <v>11</v>
      </c>
      <c r="Z366" s="173"/>
      <c r="AA366" s="174"/>
    </row>
    <row r="367" spans="1:27" x14ac:dyDescent="0.25">
      <c r="A367" s="143">
        <v>45923</v>
      </c>
      <c r="B367" s="144">
        <v>6</v>
      </c>
      <c r="C367" s="145"/>
      <c r="D367" s="144" t="s">
        <v>129</v>
      </c>
      <c r="E367" s="146">
        <v>1.8</v>
      </c>
      <c r="F367" s="147">
        <v>1</v>
      </c>
      <c r="G367" s="147">
        <v>4</v>
      </c>
      <c r="H367" s="148">
        <v>3.94</v>
      </c>
      <c r="I367" s="145"/>
      <c r="J367" s="144" t="s">
        <v>226</v>
      </c>
      <c r="K367" s="149"/>
      <c r="L367" s="150">
        <v>54</v>
      </c>
      <c r="M367" s="61" t="s">
        <v>129</v>
      </c>
      <c r="N367" s="61" t="s">
        <v>104</v>
      </c>
      <c r="O367" s="61" t="s">
        <v>105</v>
      </c>
      <c r="P367" s="61" t="s">
        <v>718</v>
      </c>
      <c r="Q367" s="218">
        <v>80</v>
      </c>
      <c r="R367" s="61" t="s">
        <v>47</v>
      </c>
      <c r="S367" s="61" t="s">
        <v>45</v>
      </c>
      <c r="T367" s="63" t="s">
        <v>540</v>
      </c>
      <c r="U367" s="171">
        <v>0.78</v>
      </c>
      <c r="V367" s="146">
        <v>0.99</v>
      </c>
      <c r="W367" s="146" t="s">
        <v>353</v>
      </c>
      <c r="X367" s="144" t="s">
        <v>8</v>
      </c>
      <c r="Y367" s="172" t="s">
        <v>67</v>
      </c>
      <c r="Z367" s="173"/>
      <c r="AA367" s="174"/>
    </row>
    <row r="368" spans="1:27" x14ac:dyDescent="0.25">
      <c r="A368" s="143">
        <v>45923</v>
      </c>
      <c r="B368" s="144">
        <v>6</v>
      </c>
      <c r="C368" s="145"/>
      <c r="D368" s="144" t="s">
        <v>129</v>
      </c>
      <c r="E368" s="146">
        <v>1.8</v>
      </c>
      <c r="F368" s="147">
        <v>1</v>
      </c>
      <c r="G368" s="147">
        <v>4</v>
      </c>
      <c r="H368" s="148">
        <v>3.94</v>
      </c>
      <c r="I368" s="145"/>
      <c r="J368" s="144" t="s">
        <v>226</v>
      </c>
      <c r="K368" s="149"/>
      <c r="L368" s="150">
        <v>64</v>
      </c>
      <c r="M368" s="26" t="s">
        <v>226</v>
      </c>
      <c r="N368" s="26" t="s">
        <v>231</v>
      </c>
      <c r="O368" s="26" t="s">
        <v>232</v>
      </c>
      <c r="P368" s="26" t="s">
        <v>684</v>
      </c>
      <c r="Q368" s="213">
        <v>87</v>
      </c>
      <c r="R368" s="26" t="s">
        <v>41</v>
      </c>
      <c r="S368" s="26" t="s">
        <v>42</v>
      </c>
      <c r="T368" s="43" t="s">
        <v>7</v>
      </c>
      <c r="U368" s="171">
        <v>0.79</v>
      </c>
      <c r="V368" s="146">
        <v>0.94</v>
      </c>
      <c r="W368" s="146" t="s">
        <v>353</v>
      </c>
      <c r="X368" s="144" t="s">
        <v>8</v>
      </c>
      <c r="Y368" s="172" t="s">
        <v>58</v>
      </c>
      <c r="Z368" s="173"/>
      <c r="AA368" s="174"/>
    </row>
    <row r="369" spans="1:27" x14ac:dyDescent="0.25">
      <c r="A369" s="143">
        <v>45923</v>
      </c>
      <c r="B369" s="144">
        <v>6</v>
      </c>
      <c r="C369" s="145"/>
      <c r="D369" s="144" t="s">
        <v>129</v>
      </c>
      <c r="E369" s="146">
        <v>1.8</v>
      </c>
      <c r="F369" s="147">
        <v>1</v>
      </c>
      <c r="G369" s="147">
        <v>4</v>
      </c>
      <c r="H369" s="148">
        <v>3.94</v>
      </c>
      <c r="I369" s="145"/>
      <c r="J369" s="144" t="s">
        <v>226</v>
      </c>
      <c r="K369" s="149"/>
      <c r="L369" s="150">
        <v>66</v>
      </c>
      <c r="M369" s="26" t="s">
        <v>226</v>
      </c>
      <c r="N369" s="26" t="s">
        <v>231</v>
      </c>
      <c r="O369" s="26" t="s">
        <v>232</v>
      </c>
      <c r="P369" s="26" t="s">
        <v>684</v>
      </c>
      <c r="Q369" s="213">
        <v>87</v>
      </c>
      <c r="R369" s="26" t="s">
        <v>41</v>
      </c>
      <c r="S369" s="26" t="s">
        <v>42</v>
      </c>
      <c r="T369" s="43" t="s">
        <v>10</v>
      </c>
      <c r="U369" s="171">
        <v>0.83</v>
      </c>
      <c r="V369" s="146">
        <v>0.87</v>
      </c>
      <c r="W369" s="146" t="s">
        <v>353</v>
      </c>
      <c r="X369" s="144" t="s">
        <v>8</v>
      </c>
      <c r="Y369" s="172" t="s">
        <v>485</v>
      </c>
      <c r="Z369" s="173" t="s">
        <v>56</v>
      </c>
      <c r="AA369" s="174" t="s">
        <v>235</v>
      </c>
    </row>
    <row r="370" spans="1:27" x14ac:dyDescent="0.25">
      <c r="A370" s="143">
        <v>45923</v>
      </c>
      <c r="B370" s="144">
        <v>6</v>
      </c>
      <c r="C370" s="145"/>
      <c r="D370" s="144" t="s">
        <v>129</v>
      </c>
      <c r="E370" s="146">
        <v>1.8</v>
      </c>
      <c r="F370" s="147">
        <v>1</v>
      </c>
      <c r="G370" s="147">
        <v>4</v>
      </c>
      <c r="H370" s="148">
        <v>3.94</v>
      </c>
      <c r="I370" s="145"/>
      <c r="J370" s="144" t="s">
        <v>226</v>
      </c>
      <c r="K370" s="149"/>
      <c r="L370" s="150">
        <v>79</v>
      </c>
      <c r="M370" s="26" t="s">
        <v>226</v>
      </c>
      <c r="N370" s="26" t="s">
        <v>486</v>
      </c>
      <c r="O370" s="26" t="s">
        <v>487</v>
      </c>
      <c r="P370" s="26" t="s">
        <v>696</v>
      </c>
      <c r="Q370" s="213">
        <v>68</v>
      </c>
      <c r="R370" s="26" t="s">
        <v>41</v>
      </c>
      <c r="S370" s="26" t="s">
        <v>43</v>
      </c>
      <c r="T370" s="43" t="s">
        <v>10</v>
      </c>
      <c r="U370" s="171">
        <v>0.25</v>
      </c>
      <c r="V370" s="146" t="s">
        <v>53</v>
      </c>
      <c r="W370" s="146" t="s">
        <v>353</v>
      </c>
      <c r="X370" s="144" t="s">
        <v>13</v>
      </c>
      <c r="Y370" s="172" t="s">
        <v>485</v>
      </c>
      <c r="Z370" s="173"/>
      <c r="AA370" s="174"/>
    </row>
    <row r="371" spans="1:27" x14ac:dyDescent="0.25">
      <c r="A371" s="143">
        <v>45923</v>
      </c>
      <c r="B371" s="144">
        <v>6</v>
      </c>
      <c r="C371" s="145"/>
      <c r="D371" s="144" t="s">
        <v>129</v>
      </c>
      <c r="E371" s="146">
        <v>1.8</v>
      </c>
      <c r="F371" s="147">
        <v>1</v>
      </c>
      <c r="G371" s="147">
        <v>4</v>
      </c>
      <c r="H371" s="148">
        <v>3.94</v>
      </c>
      <c r="I371" s="145"/>
      <c r="J371" s="144" t="s">
        <v>226</v>
      </c>
      <c r="K371" s="149"/>
      <c r="L371" s="150" t="s">
        <v>35</v>
      </c>
      <c r="M371" s="26" t="s">
        <v>226</v>
      </c>
      <c r="N371" s="26" t="s">
        <v>289</v>
      </c>
      <c r="O371" s="26" t="s">
        <v>54</v>
      </c>
      <c r="P371" s="26" t="s">
        <v>685</v>
      </c>
      <c r="Q371" s="213">
        <v>84</v>
      </c>
      <c r="R371" s="26" t="s">
        <v>41</v>
      </c>
      <c r="S371" s="26" t="s">
        <v>42</v>
      </c>
      <c r="T371" s="43" t="s">
        <v>10</v>
      </c>
      <c r="U371" s="171">
        <v>0.34</v>
      </c>
      <c r="V371" s="146">
        <v>0.53</v>
      </c>
      <c r="W371" s="146" t="s">
        <v>353</v>
      </c>
      <c r="X371" s="144" t="s">
        <v>48</v>
      </c>
      <c r="Y371" s="172" t="s">
        <v>485</v>
      </c>
      <c r="Z371" s="173"/>
      <c r="AA371" s="174"/>
    </row>
    <row r="372" spans="1:27" ht="15.75" thickBot="1" x14ac:dyDescent="0.3">
      <c r="A372" s="206">
        <v>45923</v>
      </c>
      <c r="B372" s="207">
        <v>6</v>
      </c>
      <c r="C372" s="208"/>
      <c r="D372" s="207" t="s">
        <v>129</v>
      </c>
      <c r="E372" s="209">
        <v>1.8</v>
      </c>
      <c r="F372" s="210">
        <v>1</v>
      </c>
      <c r="G372" s="210">
        <v>4</v>
      </c>
      <c r="H372" s="211">
        <v>3.94</v>
      </c>
      <c r="I372" s="208"/>
      <c r="J372" s="207" t="s">
        <v>226</v>
      </c>
      <c r="K372" s="235"/>
      <c r="L372" s="198"/>
      <c r="M372" s="199" t="s">
        <v>129</v>
      </c>
      <c r="N372" s="199" t="s">
        <v>731</v>
      </c>
      <c r="O372" s="199" t="s">
        <v>732</v>
      </c>
      <c r="P372" s="199" t="s">
        <v>707</v>
      </c>
      <c r="Q372" s="200">
        <v>75</v>
      </c>
      <c r="R372" s="199"/>
      <c r="S372" s="199"/>
      <c r="T372" s="201"/>
      <c r="U372" s="202"/>
      <c r="V372" s="203"/>
      <c r="W372" s="203">
        <v>4</v>
      </c>
      <c r="X372" s="199"/>
      <c r="Y372" s="204"/>
      <c r="Z372" s="205"/>
      <c r="AA372" s="201"/>
    </row>
    <row r="373" spans="1:27" ht="15.75" thickBot="1" x14ac:dyDescent="0.3">
      <c r="A373" s="206">
        <v>45923</v>
      </c>
      <c r="B373" s="207">
        <v>6</v>
      </c>
      <c r="C373" s="208"/>
      <c r="D373" s="207" t="s">
        <v>129</v>
      </c>
      <c r="E373" s="209">
        <v>1.8</v>
      </c>
      <c r="F373" s="210">
        <v>1</v>
      </c>
      <c r="G373" s="210">
        <v>4</v>
      </c>
      <c r="H373" s="211">
        <v>3.94</v>
      </c>
      <c r="I373" s="208"/>
      <c r="J373" s="207" t="s">
        <v>226</v>
      </c>
      <c r="K373" s="235"/>
      <c r="L373" s="198"/>
      <c r="M373" s="199" t="s">
        <v>226</v>
      </c>
      <c r="N373" s="199" t="s">
        <v>726</v>
      </c>
      <c r="O373" s="199" t="s">
        <v>727</v>
      </c>
      <c r="P373" s="199" t="s">
        <v>707</v>
      </c>
      <c r="Q373" s="200">
        <v>68</v>
      </c>
      <c r="R373" s="199"/>
      <c r="S373" s="199"/>
      <c r="T373" s="201"/>
      <c r="U373" s="202"/>
      <c r="V373" s="203"/>
      <c r="W373" s="203">
        <v>1</v>
      </c>
      <c r="X373" s="199"/>
      <c r="Y373" s="204"/>
      <c r="Z373" s="205"/>
      <c r="AA373" s="201"/>
    </row>
    <row r="374" spans="1:27" x14ac:dyDescent="0.25">
      <c r="A374" s="29">
        <v>45884</v>
      </c>
      <c r="B374" s="5">
        <v>1</v>
      </c>
      <c r="D374" s="5" t="s">
        <v>69</v>
      </c>
      <c r="E374" s="6">
        <v>0.56000000000000005</v>
      </c>
      <c r="F374" s="7">
        <v>1</v>
      </c>
      <c r="G374" s="7">
        <v>3</v>
      </c>
      <c r="H374" s="8">
        <v>3.43</v>
      </c>
      <c r="J374" s="5" t="s">
        <v>70</v>
      </c>
      <c r="K374" s="44" t="s">
        <v>71</v>
      </c>
      <c r="L374" s="56">
        <v>18</v>
      </c>
      <c r="M374" s="26" t="s">
        <v>70</v>
      </c>
      <c r="N374" s="73" t="s">
        <v>72</v>
      </c>
      <c r="O374" s="73" t="s">
        <v>73</v>
      </c>
      <c r="P374" s="73" t="s">
        <v>684</v>
      </c>
      <c r="Q374" s="214">
        <v>88</v>
      </c>
      <c r="R374" s="26" t="s">
        <v>47</v>
      </c>
      <c r="S374" s="26" t="s">
        <v>42</v>
      </c>
      <c r="T374" s="43" t="s">
        <v>540</v>
      </c>
      <c r="U374" s="51">
        <v>0.48</v>
      </c>
      <c r="V374" s="6">
        <v>0.73</v>
      </c>
      <c r="W374" s="6" t="s">
        <v>353</v>
      </c>
      <c r="X374" s="5" t="s">
        <v>8</v>
      </c>
      <c r="Y374" s="112" t="s">
        <v>9</v>
      </c>
    </row>
    <row r="375" spans="1:27" x14ac:dyDescent="0.25">
      <c r="A375" s="29">
        <v>45884</v>
      </c>
      <c r="B375" s="5">
        <v>1</v>
      </c>
      <c r="D375" s="5" t="s">
        <v>69</v>
      </c>
      <c r="E375" s="6">
        <v>0.56000000000000005</v>
      </c>
      <c r="F375" s="7">
        <v>1</v>
      </c>
      <c r="G375" s="7">
        <v>3</v>
      </c>
      <c r="H375" s="8">
        <v>3.43</v>
      </c>
      <c r="J375" s="5" t="s">
        <v>70</v>
      </c>
      <c r="K375" s="44" t="s">
        <v>71</v>
      </c>
      <c r="L375" s="56">
        <v>20</v>
      </c>
      <c r="M375" s="26" t="s">
        <v>70</v>
      </c>
      <c r="N375" s="73" t="s">
        <v>74</v>
      </c>
      <c r="O375" s="73" t="s">
        <v>75</v>
      </c>
      <c r="P375" s="73" t="s">
        <v>685</v>
      </c>
      <c r="Q375" s="214">
        <v>70</v>
      </c>
      <c r="R375" s="26" t="s">
        <v>47</v>
      </c>
      <c r="S375" s="26" t="s">
        <v>43</v>
      </c>
      <c r="T375" s="43" t="s">
        <v>10</v>
      </c>
      <c r="U375" s="51">
        <v>0.95</v>
      </c>
      <c r="V375" s="6">
        <v>0.99</v>
      </c>
      <c r="W375" s="6" t="s">
        <v>353</v>
      </c>
      <c r="X375" s="5" t="s">
        <v>8</v>
      </c>
      <c r="Y375" s="112" t="s">
        <v>11</v>
      </c>
      <c r="Z375" s="108" t="s">
        <v>458</v>
      </c>
      <c r="AA375" s="57" t="s">
        <v>73</v>
      </c>
    </row>
    <row r="376" spans="1:27" x14ac:dyDescent="0.25">
      <c r="A376" s="29">
        <v>45884</v>
      </c>
      <c r="B376" s="5">
        <v>1</v>
      </c>
      <c r="D376" s="5" t="s">
        <v>69</v>
      </c>
      <c r="E376" s="6">
        <v>0.56000000000000005</v>
      </c>
      <c r="F376" s="7">
        <v>1</v>
      </c>
      <c r="G376" s="7">
        <v>3</v>
      </c>
      <c r="H376" s="8">
        <v>3.43</v>
      </c>
      <c r="J376" s="5" t="s">
        <v>70</v>
      </c>
      <c r="K376" s="44" t="s">
        <v>71</v>
      </c>
      <c r="L376" s="56">
        <v>45</v>
      </c>
      <c r="M376" s="26" t="s">
        <v>70</v>
      </c>
      <c r="N376" s="73" t="s">
        <v>76</v>
      </c>
      <c r="O376" s="73" t="s">
        <v>77</v>
      </c>
      <c r="P376" s="73" t="s">
        <v>686</v>
      </c>
      <c r="Q376" s="214">
        <v>78</v>
      </c>
      <c r="R376" s="26" t="s">
        <v>41</v>
      </c>
      <c r="S376" s="26" t="s">
        <v>43</v>
      </c>
      <c r="T376" s="43" t="s">
        <v>7</v>
      </c>
      <c r="U376" s="51">
        <v>0.79</v>
      </c>
      <c r="V376" s="6">
        <v>0.81</v>
      </c>
      <c r="W376" s="6" t="s">
        <v>353</v>
      </c>
      <c r="X376" s="5" t="s">
        <v>8</v>
      </c>
      <c r="Y376" s="112" t="s">
        <v>14</v>
      </c>
    </row>
    <row r="377" spans="1:27" x14ac:dyDescent="0.25">
      <c r="A377" s="29">
        <v>45884</v>
      </c>
      <c r="B377" s="5">
        <v>1</v>
      </c>
      <c r="D377" s="5" t="s">
        <v>69</v>
      </c>
      <c r="E377" s="6">
        <v>0.56000000000000005</v>
      </c>
      <c r="F377" s="7">
        <v>1</v>
      </c>
      <c r="G377" s="7">
        <v>3</v>
      </c>
      <c r="H377" s="8">
        <v>3.43</v>
      </c>
      <c r="J377" s="5" t="s">
        <v>70</v>
      </c>
      <c r="K377" s="44" t="s">
        <v>71</v>
      </c>
      <c r="L377" s="56" t="s">
        <v>63</v>
      </c>
      <c r="M377" s="26" t="s">
        <v>70</v>
      </c>
      <c r="N377" s="73" t="s">
        <v>78</v>
      </c>
      <c r="O377" s="73" t="s">
        <v>79</v>
      </c>
      <c r="P377" s="73" t="s">
        <v>687</v>
      </c>
      <c r="Q377" s="214">
        <v>72</v>
      </c>
      <c r="R377" s="26" t="s">
        <v>41</v>
      </c>
      <c r="S377" s="26" t="s">
        <v>42</v>
      </c>
      <c r="T377" s="43" t="s">
        <v>10</v>
      </c>
      <c r="U377" s="51">
        <v>0.53</v>
      </c>
      <c r="V377" s="6">
        <v>0.67</v>
      </c>
      <c r="W377" s="6" t="s">
        <v>353</v>
      </c>
      <c r="X377" s="5" t="s">
        <v>48</v>
      </c>
      <c r="Y377" s="112" t="s">
        <v>14</v>
      </c>
    </row>
    <row r="378" spans="1:27" x14ac:dyDescent="0.25">
      <c r="A378" s="29">
        <v>45884</v>
      </c>
      <c r="B378" s="5">
        <v>1</v>
      </c>
      <c r="D378" s="5" t="s">
        <v>69</v>
      </c>
      <c r="E378" s="6">
        <v>0.56000000000000005</v>
      </c>
      <c r="F378" s="7">
        <v>1</v>
      </c>
      <c r="G378" s="7">
        <v>3</v>
      </c>
      <c r="H378" s="8">
        <v>3.43</v>
      </c>
      <c r="J378" s="5" t="s">
        <v>70</v>
      </c>
      <c r="K378" s="44" t="s">
        <v>71</v>
      </c>
      <c r="L378" s="56">
        <v>57</v>
      </c>
      <c r="M378" s="61" t="s">
        <v>69</v>
      </c>
      <c r="N378" s="62" t="s">
        <v>87</v>
      </c>
      <c r="O378" s="62" t="s">
        <v>88</v>
      </c>
      <c r="P378" s="62" t="s">
        <v>691</v>
      </c>
      <c r="Q378" s="215">
        <v>78</v>
      </c>
      <c r="R378" s="61" t="s">
        <v>41</v>
      </c>
      <c r="S378" s="61" t="s">
        <v>42</v>
      </c>
      <c r="T378" s="63" t="s">
        <v>18</v>
      </c>
      <c r="U378" s="51">
        <v>0.25</v>
      </c>
      <c r="V378" s="6">
        <v>0.68</v>
      </c>
      <c r="W378" s="6" t="s">
        <v>353</v>
      </c>
      <c r="X378" s="5" t="s">
        <v>8</v>
      </c>
      <c r="Y378" s="112" t="s">
        <v>58</v>
      </c>
      <c r="Z378" s="108" t="s">
        <v>649</v>
      </c>
      <c r="AA378" s="57" t="s">
        <v>650</v>
      </c>
    </row>
    <row r="379" spans="1:27" ht="15.75" thickBot="1" x14ac:dyDescent="0.3">
      <c r="A379" s="206">
        <v>45884</v>
      </c>
      <c r="B379" s="207">
        <v>1</v>
      </c>
      <c r="C379" s="208"/>
      <c r="D379" s="207" t="s">
        <v>69</v>
      </c>
      <c r="E379" s="209">
        <v>0.56000000000000005</v>
      </c>
      <c r="F379" s="210">
        <v>1</v>
      </c>
      <c r="G379" s="210">
        <v>3</v>
      </c>
      <c r="H379" s="211">
        <v>3.43</v>
      </c>
      <c r="I379" s="208"/>
      <c r="J379" s="207" t="s">
        <v>70</v>
      </c>
      <c r="K379" s="197"/>
      <c r="L379" s="198"/>
      <c r="M379" s="199" t="s">
        <v>69</v>
      </c>
      <c r="N379" s="199" t="s">
        <v>478</v>
      </c>
      <c r="O379" s="199" t="s">
        <v>479</v>
      </c>
      <c r="P379" s="199" t="s">
        <v>707</v>
      </c>
      <c r="Q379" s="200">
        <v>41</v>
      </c>
      <c r="R379" s="199"/>
      <c r="S379" s="199"/>
      <c r="T379" s="201"/>
      <c r="U379" s="202"/>
      <c r="V379" s="203"/>
      <c r="W379" s="203">
        <v>3</v>
      </c>
      <c r="X379" s="199"/>
      <c r="Y379" s="204"/>
      <c r="Z379" s="205"/>
      <c r="AA379" s="201"/>
    </row>
    <row r="380" spans="1:27" ht="15.75" thickBot="1" x14ac:dyDescent="0.3">
      <c r="A380" s="206">
        <v>45884</v>
      </c>
      <c r="B380" s="207">
        <v>1</v>
      </c>
      <c r="C380" s="208"/>
      <c r="D380" s="207" t="s">
        <v>69</v>
      </c>
      <c r="E380" s="209">
        <v>0.56000000000000005</v>
      </c>
      <c r="F380" s="210">
        <v>1</v>
      </c>
      <c r="G380" s="210">
        <v>3</v>
      </c>
      <c r="H380" s="211">
        <v>3.43</v>
      </c>
      <c r="I380" s="208"/>
      <c r="J380" s="207" t="s">
        <v>70</v>
      </c>
      <c r="K380" s="197"/>
      <c r="L380" s="198"/>
      <c r="M380" s="199" t="s">
        <v>70</v>
      </c>
      <c r="N380" s="199" t="s">
        <v>714</v>
      </c>
      <c r="O380" s="199" t="s">
        <v>715</v>
      </c>
      <c r="P380" s="199" t="s">
        <v>707</v>
      </c>
      <c r="Q380" s="200">
        <v>68</v>
      </c>
      <c r="R380" s="199"/>
      <c r="S380" s="199"/>
      <c r="T380" s="201"/>
      <c r="U380" s="202"/>
      <c r="V380" s="203"/>
      <c r="W380" s="203">
        <v>1</v>
      </c>
      <c r="X380" s="199"/>
      <c r="Y380" s="204"/>
      <c r="Z380" s="205"/>
      <c r="AA380" s="201"/>
    </row>
    <row r="381" spans="1:27" x14ac:dyDescent="0.25">
      <c r="A381" s="31">
        <v>45894</v>
      </c>
      <c r="B381" s="17">
        <v>2</v>
      </c>
      <c r="C381" s="123" t="s">
        <v>693</v>
      </c>
      <c r="D381" s="17" t="s">
        <v>170</v>
      </c>
      <c r="E381" s="18">
        <v>1.51</v>
      </c>
      <c r="F381" s="19">
        <v>1</v>
      </c>
      <c r="G381" s="19">
        <v>0</v>
      </c>
      <c r="H381" s="20">
        <v>0.28999999999999998</v>
      </c>
      <c r="I381" s="123" t="s">
        <v>704</v>
      </c>
      <c r="J381" s="17" t="s">
        <v>70</v>
      </c>
      <c r="K381" s="46"/>
      <c r="L381" s="96">
        <v>3</v>
      </c>
      <c r="M381" s="77" t="s">
        <v>70</v>
      </c>
      <c r="N381" s="77" t="s">
        <v>72</v>
      </c>
      <c r="O381" s="77" t="s">
        <v>73</v>
      </c>
      <c r="P381" s="77" t="s">
        <v>684</v>
      </c>
      <c r="Q381" s="220">
        <v>62</v>
      </c>
      <c r="R381" s="77" t="s">
        <v>47</v>
      </c>
      <c r="S381" s="77" t="s">
        <v>42</v>
      </c>
      <c r="T381" s="78" t="s">
        <v>540</v>
      </c>
      <c r="U381" s="53">
        <v>0.11</v>
      </c>
      <c r="V381" s="18">
        <v>0.17</v>
      </c>
      <c r="W381" s="18" t="s">
        <v>353</v>
      </c>
      <c r="X381" s="17" t="s">
        <v>48</v>
      </c>
      <c r="Y381" s="114" t="s">
        <v>28</v>
      </c>
      <c r="Z381" s="110"/>
      <c r="AA381" s="60"/>
    </row>
    <row r="382" spans="1:27" x14ac:dyDescent="0.25">
      <c r="A382" s="29">
        <v>45894</v>
      </c>
      <c r="B382" s="5">
        <v>2</v>
      </c>
      <c r="D382" s="5" t="s">
        <v>170</v>
      </c>
      <c r="E382" s="6">
        <v>1.51</v>
      </c>
      <c r="F382" s="7">
        <v>1</v>
      </c>
      <c r="G382" s="7">
        <v>0</v>
      </c>
      <c r="H382" s="8">
        <v>0.28999999999999998</v>
      </c>
      <c r="J382" s="5" t="s">
        <v>70</v>
      </c>
      <c r="L382" s="56">
        <v>53</v>
      </c>
      <c r="M382" s="61" t="s">
        <v>170</v>
      </c>
      <c r="N382" s="61" t="s">
        <v>295</v>
      </c>
      <c r="O382" s="61" t="s">
        <v>175</v>
      </c>
      <c r="P382" s="61" t="s">
        <v>686</v>
      </c>
      <c r="Q382" s="218">
        <v>64</v>
      </c>
      <c r="R382" s="61" t="s">
        <v>41</v>
      </c>
      <c r="S382" s="61" t="s">
        <v>42</v>
      </c>
      <c r="T382" s="63" t="s">
        <v>10</v>
      </c>
      <c r="U382" s="51">
        <v>0.32</v>
      </c>
      <c r="V382" s="6" t="s">
        <v>53</v>
      </c>
      <c r="W382" s="6" t="s">
        <v>353</v>
      </c>
      <c r="X382" s="5" t="s">
        <v>13</v>
      </c>
      <c r="Y382" s="112" t="s">
        <v>28</v>
      </c>
    </row>
    <row r="383" spans="1:27" x14ac:dyDescent="0.25">
      <c r="A383" s="29">
        <v>45894</v>
      </c>
      <c r="B383" s="5">
        <v>2</v>
      </c>
      <c r="D383" s="5" t="s">
        <v>170</v>
      </c>
      <c r="E383" s="6">
        <v>1.51</v>
      </c>
      <c r="F383" s="7">
        <v>1</v>
      </c>
      <c r="G383" s="7">
        <v>0</v>
      </c>
      <c r="H383" s="8">
        <v>0.28999999999999998</v>
      </c>
      <c r="J383" s="5" t="s">
        <v>70</v>
      </c>
      <c r="L383" s="56">
        <v>66</v>
      </c>
      <c r="M383" s="61" t="s">
        <v>170</v>
      </c>
      <c r="N383" s="61" t="s">
        <v>296</v>
      </c>
      <c r="O383" s="61" t="s">
        <v>297</v>
      </c>
      <c r="P383" s="61" t="s">
        <v>696</v>
      </c>
      <c r="Q383" s="218">
        <v>75</v>
      </c>
      <c r="R383" s="61" t="s">
        <v>41</v>
      </c>
      <c r="S383" s="61" t="s">
        <v>42</v>
      </c>
      <c r="T383" s="63" t="s">
        <v>7</v>
      </c>
      <c r="U383" s="51">
        <v>0.79</v>
      </c>
      <c r="V383" s="6">
        <v>0.78</v>
      </c>
      <c r="W383" s="6" t="s">
        <v>353</v>
      </c>
      <c r="X383" s="5" t="s">
        <v>8</v>
      </c>
      <c r="Y383" s="112" t="s">
        <v>19</v>
      </c>
    </row>
    <row r="384" spans="1:27" ht="15.75" thickBot="1" x14ac:dyDescent="0.3">
      <c r="A384" s="206">
        <v>45894</v>
      </c>
      <c r="B384" s="207">
        <v>2</v>
      </c>
      <c r="C384" s="208"/>
      <c r="D384" s="207" t="s">
        <v>170</v>
      </c>
      <c r="E384" s="209">
        <v>1.51</v>
      </c>
      <c r="F384" s="210">
        <v>1</v>
      </c>
      <c r="G384" s="210">
        <v>0</v>
      </c>
      <c r="H384" s="211">
        <v>0.28999999999999998</v>
      </c>
      <c r="I384" s="208"/>
      <c r="J384" s="207" t="s">
        <v>70</v>
      </c>
      <c r="K384" s="197"/>
      <c r="L384" s="198"/>
      <c r="M384" s="199" t="s">
        <v>170</v>
      </c>
      <c r="N384" s="199" t="s">
        <v>269</v>
      </c>
      <c r="O384" s="199" t="s">
        <v>722</v>
      </c>
      <c r="P384" s="199" t="s">
        <v>707</v>
      </c>
      <c r="Q384" s="200">
        <v>67</v>
      </c>
      <c r="R384" s="199"/>
      <c r="S384" s="199"/>
      <c r="T384" s="201"/>
      <c r="U384" s="202"/>
      <c r="V384" s="203"/>
      <c r="W384" s="203">
        <v>0</v>
      </c>
      <c r="X384" s="199"/>
      <c r="Y384" s="204"/>
      <c r="Z384" s="205"/>
      <c r="AA384" s="201"/>
    </row>
    <row r="385" spans="1:27" ht="15.75" thickBot="1" x14ac:dyDescent="0.3">
      <c r="A385" s="206">
        <v>45894</v>
      </c>
      <c r="B385" s="207">
        <v>2</v>
      </c>
      <c r="C385" s="208"/>
      <c r="D385" s="207" t="s">
        <v>170</v>
      </c>
      <c r="E385" s="209">
        <v>1.51</v>
      </c>
      <c r="F385" s="210">
        <v>1</v>
      </c>
      <c r="G385" s="210">
        <v>0</v>
      </c>
      <c r="H385" s="211">
        <v>0.28999999999999998</v>
      </c>
      <c r="I385" s="208"/>
      <c r="J385" s="207" t="s">
        <v>70</v>
      </c>
      <c r="K385" s="197"/>
      <c r="L385" s="198"/>
      <c r="M385" s="199" t="s">
        <v>70</v>
      </c>
      <c r="N385" s="199" t="s">
        <v>714</v>
      </c>
      <c r="O385" s="199" t="s">
        <v>715</v>
      </c>
      <c r="P385" s="199" t="s">
        <v>707</v>
      </c>
      <c r="Q385" s="200">
        <v>72</v>
      </c>
      <c r="R385" s="199"/>
      <c r="S385" s="199"/>
      <c r="T385" s="201"/>
      <c r="U385" s="202"/>
      <c r="V385" s="203"/>
      <c r="W385" s="203">
        <v>1</v>
      </c>
      <c r="X385" s="199"/>
      <c r="Y385" s="204"/>
      <c r="Z385" s="205"/>
      <c r="AA385" s="201"/>
    </row>
    <row r="386" spans="1:27" x14ac:dyDescent="0.25">
      <c r="A386" s="29">
        <v>45914</v>
      </c>
      <c r="B386" s="5">
        <v>4</v>
      </c>
      <c r="D386" s="5" t="s">
        <v>227</v>
      </c>
      <c r="E386" s="6">
        <v>1.59</v>
      </c>
      <c r="F386" s="7">
        <v>2</v>
      </c>
      <c r="G386" s="7">
        <v>0</v>
      </c>
      <c r="H386" s="8">
        <v>1.0900000000000001</v>
      </c>
      <c r="J386" s="5" t="s">
        <v>70</v>
      </c>
      <c r="L386" s="56">
        <v>15</v>
      </c>
      <c r="M386" s="61" t="s">
        <v>227</v>
      </c>
      <c r="N386" s="61" t="s">
        <v>398</v>
      </c>
      <c r="O386" s="61" t="s">
        <v>399</v>
      </c>
      <c r="P386" s="61" t="s">
        <v>684</v>
      </c>
      <c r="Q386" s="218">
        <v>75</v>
      </c>
      <c r="R386" s="61" t="s">
        <v>47</v>
      </c>
      <c r="S386" s="61" t="s">
        <v>42</v>
      </c>
      <c r="T386" s="63" t="s">
        <v>540</v>
      </c>
      <c r="U386" s="51">
        <v>0.59</v>
      </c>
      <c r="V386" s="6">
        <v>0.75</v>
      </c>
      <c r="W386" s="6" t="s">
        <v>353</v>
      </c>
      <c r="X386" s="5" t="s">
        <v>8</v>
      </c>
      <c r="Y386" s="112" t="s">
        <v>19</v>
      </c>
    </row>
    <row r="387" spans="1:27" x14ac:dyDescent="0.25">
      <c r="A387" s="29">
        <v>45914</v>
      </c>
      <c r="B387" s="5">
        <v>4</v>
      </c>
      <c r="D387" s="5" t="s">
        <v>227</v>
      </c>
      <c r="E387" s="6">
        <v>1.59</v>
      </c>
      <c r="F387" s="7">
        <v>2</v>
      </c>
      <c r="G387" s="7">
        <v>0</v>
      </c>
      <c r="H387" s="8">
        <v>1.0900000000000001</v>
      </c>
      <c r="J387" s="5" t="s">
        <v>70</v>
      </c>
      <c r="L387" s="56">
        <v>31</v>
      </c>
      <c r="M387" s="61" t="s">
        <v>227</v>
      </c>
      <c r="N387" s="61" t="s">
        <v>25</v>
      </c>
      <c r="O387" s="61" t="s">
        <v>397</v>
      </c>
      <c r="P387" s="61" t="s">
        <v>685</v>
      </c>
      <c r="Q387" s="218">
        <v>68</v>
      </c>
      <c r="R387" s="61" t="s">
        <v>41</v>
      </c>
      <c r="S387" s="61" t="s">
        <v>43</v>
      </c>
      <c r="T387" s="63" t="s">
        <v>540</v>
      </c>
      <c r="U387" s="51">
        <v>0.12</v>
      </c>
      <c r="V387" s="6">
        <v>0.11</v>
      </c>
      <c r="W387" s="6" t="s">
        <v>353</v>
      </c>
      <c r="X387" s="5" t="s">
        <v>48</v>
      </c>
      <c r="Y387" s="112" t="s">
        <v>19</v>
      </c>
    </row>
    <row r="388" spans="1:27" x14ac:dyDescent="0.25">
      <c r="A388" s="29">
        <v>45914</v>
      </c>
      <c r="B388" s="5">
        <v>4</v>
      </c>
      <c r="D388" s="5" t="s">
        <v>227</v>
      </c>
      <c r="E388" s="6">
        <v>1.59</v>
      </c>
      <c r="F388" s="7">
        <v>2</v>
      </c>
      <c r="G388" s="7">
        <v>0</v>
      </c>
      <c r="H388" s="8">
        <v>1.0900000000000001</v>
      </c>
      <c r="J388" s="5" t="s">
        <v>70</v>
      </c>
      <c r="L388" s="56">
        <v>77</v>
      </c>
      <c r="M388" s="61" t="s">
        <v>227</v>
      </c>
      <c r="N388" s="61" t="s">
        <v>402</v>
      </c>
      <c r="O388" s="61" t="s">
        <v>403</v>
      </c>
      <c r="P388" s="61" t="s">
        <v>696</v>
      </c>
      <c r="Q388" s="218">
        <v>76</v>
      </c>
      <c r="R388" s="61" t="s">
        <v>44</v>
      </c>
      <c r="S388" s="61" t="s">
        <v>43</v>
      </c>
      <c r="T388" s="63" t="s">
        <v>18</v>
      </c>
      <c r="U388" s="51">
        <v>0.59</v>
      </c>
      <c r="V388" s="6">
        <v>0.65</v>
      </c>
      <c r="W388" s="6" t="s">
        <v>353</v>
      </c>
      <c r="X388" s="5" t="s">
        <v>8</v>
      </c>
      <c r="Y388" s="112" t="s">
        <v>24</v>
      </c>
      <c r="Z388" s="108" t="s">
        <v>135</v>
      </c>
      <c r="AA388" s="57" t="s">
        <v>661</v>
      </c>
    </row>
    <row r="389" spans="1:27" ht="15.75" thickBot="1" x14ac:dyDescent="0.3">
      <c r="A389" s="206">
        <v>45914</v>
      </c>
      <c r="B389" s="207">
        <v>4</v>
      </c>
      <c r="C389" s="208"/>
      <c r="D389" s="207" t="s">
        <v>227</v>
      </c>
      <c r="E389" s="209">
        <v>1.59</v>
      </c>
      <c r="F389" s="210">
        <v>2</v>
      </c>
      <c r="G389" s="210">
        <v>0</v>
      </c>
      <c r="H389" s="211">
        <v>1.0900000000000001</v>
      </c>
      <c r="I389" s="208"/>
      <c r="J389" s="207" t="s">
        <v>70</v>
      </c>
      <c r="K389" s="235"/>
      <c r="L389" s="198"/>
      <c r="M389" s="199" t="s">
        <v>227</v>
      </c>
      <c r="N389" s="199" t="s">
        <v>733</v>
      </c>
      <c r="O389" s="199" t="s">
        <v>86</v>
      </c>
      <c r="P389" s="199" t="s">
        <v>707</v>
      </c>
      <c r="Q389" s="200">
        <v>87</v>
      </c>
      <c r="R389" s="199"/>
      <c r="S389" s="199"/>
      <c r="T389" s="201"/>
      <c r="U389" s="202"/>
      <c r="V389" s="203"/>
      <c r="W389" s="203">
        <v>0</v>
      </c>
      <c r="X389" s="199"/>
      <c r="Y389" s="204"/>
      <c r="Z389" s="205"/>
      <c r="AA389" s="201"/>
    </row>
    <row r="390" spans="1:27" ht="15.75" thickBot="1" x14ac:dyDescent="0.3">
      <c r="A390" s="206">
        <v>45914</v>
      </c>
      <c r="B390" s="207">
        <v>4</v>
      </c>
      <c r="C390" s="208"/>
      <c r="D390" s="207" t="s">
        <v>227</v>
      </c>
      <c r="E390" s="209">
        <v>1.59</v>
      </c>
      <c r="F390" s="210">
        <v>2</v>
      </c>
      <c r="G390" s="210">
        <v>0</v>
      </c>
      <c r="H390" s="211">
        <v>1.0900000000000001</v>
      </c>
      <c r="I390" s="208"/>
      <c r="J390" s="207" t="s">
        <v>70</v>
      </c>
      <c r="K390" s="235"/>
      <c r="L390" s="198"/>
      <c r="M390" s="199" t="s">
        <v>70</v>
      </c>
      <c r="N390" s="199" t="s">
        <v>714</v>
      </c>
      <c r="O390" s="199" t="s">
        <v>715</v>
      </c>
      <c r="P390" s="199" t="s">
        <v>707</v>
      </c>
      <c r="Q390" s="200">
        <v>68</v>
      </c>
      <c r="R390" s="199"/>
      <c r="S390" s="199"/>
      <c r="T390" s="201"/>
      <c r="U390" s="202"/>
      <c r="V390" s="203"/>
      <c r="W390" s="203">
        <v>2</v>
      </c>
      <c r="X390" s="199"/>
      <c r="Y390" s="204"/>
      <c r="Z390" s="205"/>
      <c r="AA390" s="201"/>
    </row>
    <row r="391" spans="1:27" x14ac:dyDescent="0.25">
      <c r="A391" s="29">
        <v>45924</v>
      </c>
      <c r="B391" s="5">
        <v>6</v>
      </c>
      <c r="D391" s="5" t="s">
        <v>193</v>
      </c>
      <c r="E391" s="6">
        <v>3.61</v>
      </c>
      <c r="F391" s="7">
        <v>3</v>
      </c>
      <c r="G391" s="7">
        <v>2</v>
      </c>
      <c r="H391" s="8">
        <v>1.6</v>
      </c>
      <c r="J391" s="5" t="s">
        <v>70</v>
      </c>
      <c r="L391" s="56">
        <v>15</v>
      </c>
      <c r="M391" s="61" t="s">
        <v>193</v>
      </c>
      <c r="N391" s="61" t="s">
        <v>200</v>
      </c>
      <c r="O391" s="61" t="s">
        <v>201</v>
      </c>
      <c r="P391" s="61" t="s">
        <v>717</v>
      </c>
      <c r="Q391" s="218">
        <v>100</v>
      </c>
      <c r="R391" s="61" t="s">
        <v>41</v>
      </c>
      <c r="S391" s="61" t="s">
        <v>43</v>
      </c>
      <c r="T391" s="63" t="s">
        <v>10</v>
      </c>
      <c r="U391" s="51">
        <v>0.34</v>
      </c>
      <c r="V391" s="6">
        <v>0.86</v>
      </c>
      <c r="W391" s="6" t="s">
        <v>353</v>
      </c>
      <c r="X391" s="5" t="s">
        <v>8</v>
      </c>
      <c r="Y391" s="112" t="s">
        <v>19</v>
      </c>
      <c r="Z391" s="108" t="s">
        <v>259</v>
      </c>
      <c r="AA391" s="57" t="s">
        <v>260</v>
      </c>
    </row>
    <row r="392" spans="1:27" x14ac:dyDescent="0.25">
      <c r="A392" s="29">
        <v>45924</v>
      </c>
      <c r="B392" s="5">
        <v>6</v>
      </c>
      <c r="D392" s="5" t="s">
        <v>193</v>
      </c>
      <c r="E392" s="6">
        <v>3.61</v>
      </c>
      <c r="F392" s="7">
        <v>3</v>
      </c>
      <c r="G392" s="7">
        <v>2</v>
      </c>
      <c r="H392" s="8">
        <v>1.6</v>
      </c>
      <c r="J392" s="5" t="s">
        <v>70</v>
      </c>
      <c r="L392" s="56">
        <v>35</v>
      </c>
      <c r="M392" s="26" t="s">
        <v>70</v>
      </c>
      <c r="N392" s="26" t="s">
        <v>53</v>
      </c>
      <c r="O392" s="26" t="s">
        <v>405</v>
      </c>
      <c r="P392" s="26" t="s">
        <v>717</v>
      </c>
      <c r="Q392" s="213">
        <v>58</v>
      </c>
      <c r="R392" s="26" t="s">
        <v>41</v>
      </c>
      <c r="S392" s="26" t="s">
        <v>42</v>
      </c>
      <c r="T392" s="43" t="s">
        <v>10</v>
      </c>
      <c r="U392" s="51">
        <v>0.6</v>
      </c>
      <c r="V392" s="6" t="s">
        <v>53</v>
      </c>
      <c r="W392" s="6" t="s">
        <v>353</v>
      </c>
      <c r="X392" s="5" t="s">
        <v>13</v>
      </c>
      <c r="Y392" s="112" t="s">
        <v>19</v>
      </c>
    </row>
    <row r="393" spans="1:27" x14ac:dyDescent="0.25">
      <c r="A393" s="29">
        <v>45924</v>
      </c>
      <c r="B393" s="5">
        <v>6</v>
      </c>
      <c r="D393" s="5" t="s">
        <v>193</v>
      </c>
      <c r="E393" s="6">
        <v>3.61</v>
      </c>
      <c r="F393" s="7">
        <v>3</v>
      </c>
      <c r="G393" s="7">
        <v>2</v>
      </c>
      <c r="H393" s="8">
        <v>1.6</v>
      </c>
      <c r="J393" s="5" t="s">
        <v>70</v>
      </c>
      <c r="L393" s="56" t="s">
        <v>68</v>
      </c>
      <c r="M393" s="26" t="s">
        <v>70</v>
      </c>
      <c r="N393" s="26" t="s">
        <v>80</v>
      </c>
      <c r="O393" s="26" t="s">
        <v>81</v>
      </c>
      <c r="P393" s="26" t="s">
        <v>688</v>
      </c>
      <c r="Q393" s="213">
        <v>79</v>
      </c>
      <c r="R393" s="26" t="s">
        <v>354</v>
      </c>
      <c r="S393" s="26" t="s">
        <v>43</v>
      </c>
      <c r="T393" s="43" t="s">
        <v>10</v>
      </c>
      <c r="U393" s="51">
        <v>0.01</v>
      </c>
      <c r="V393" s="6">
        <v>0.17</v>
      </c>
      <c r="W393" s="6" t="s">
        <v>353</v>
      </c>
      <c r="X393" s="5" t="s">
        <v>8</v>
      </c>
      <c r="Y393" s="112" t="s">
        <v>51</v>
      </c>
      <c r="Z393" s="108" t="s">
        <v>269</v>
      </c>
      <c r="AA393" s="57" t="s">
        <v>150</v>
      </c>
    </row>
    <row r="394" spans="1:27" x14ac:dyDescent="0.25">
      <c r="A394" s="29">
        <v>45924</v>
      </c>
      <c r="B394" s="5">
        <v>6</v>
      </c>
      <c r="D394" s="5" t="s">
        <v>193</v>
      </c>
      <c r="E394" s="6">
        <v>3.61</v>
      </c>
      <c r="F394" s="7">
        <v>3</v>
      </c>
      <c r="G394" s="7">
        <v>2</v>
      </c>
      <c r="H394" s="8">
        <v>1.6</v>
      </c>
      <c r="J394" s="5" t="s">
        <v>70</v>
      </c>
      <c r="L394" s="56">
        <v>53</v>
      </c>
      <c r="M394" s="26" t="s">
        <v>70</v>
      </c>
      <c r="N394" s="26" t="s">
        <v>76</v>
      </c>
      <c r="O394" s="26" t="s">
        <v>77</v>
      </c>
      <c r="P394" s="26" t="s">
        <v>718</v>
      </c>
      <c r="Q394" s="213">
        <v>66</v>
      </c>
      <c r="R394" s="26" t="s">
        <v>41</v>
      </c>
      <c r="S394" s="26" t="s">
        <v>43</v>
      </c>
      <c r="T394" s="43" t="s">
        <v>540</v>
      </c>
      <c r="U394" s="51">
        <v>0.32</v>
      </c>
      <c r="V394" s="6">
        <v>0.23</v>
      </c>
      <c r="W394" s="6" t="s">
        <v>353</v>
      </c>
      <c r="X394" s="5" t="s">
        <v>48</v>
      </c>
      <c r="Y394" s="112" t="s">
        <v>51</v>
      </c>
    </row>
    <row r="395" spans="1:27" x14ac:dyDescent="0.25">
      <c r="A395" s="29">
        <v>45924</v>
      </c>
      <c r="B395" s="5">
        <v>6</v>
      </c>
      <c r="D395" s="5" t="s">
        <v>193</v>
      </c>
      <c r="E395" s="6">
        <v>3.61</v>
      </c>
      <c r="F395" s="7">
        <v>3</v>
      </c>
      <c r="G395" s="7">
        <v>2</v>
      </c>
      <c r="H395" s="8">
        <v>1.6</v>
      </c>
      <c r="J395" s="5" t="s">
        <v>70</v>
      </c>
      <c r="L395" s="56">
        <v>59</v>
      </c>
      <c r="M395" s="61" t="s">
        <v>193</v>
      </c>
      <c r="N395" s="61" t="s">
        <v>96</v>
      </c>
      <c r="O395" s="61" t="s">
        <v>327</v>
      </c>
      <c r="P395" s="61" t="s">
        <v>696</v>
      </c>
      <c r="Q395" s="218">
        <v>65</v>
      </c>
      <c r="R395" s="61" t="s">
        <v>41</v>
      </c>
      <c r="S395" s="61" t="s">
        <v>45</v>
      </c>
      <c r="T395" s="63" t="s">
        <v>10</v>
      </c>
      <c r="U395" s="51">
        <v>0.18</v>
      </c>
      <c r="V395" s="6" t="s">
        <v>53</v>
      </c>
      <c r="W395" s="6" t="s">
        <v>353</v>
      </c>
      <c r="X395" s="5" t="s">
        <v>22</v>
      </c>
      <c r="Y395" s="112" t="s">
        <v>51</v>
      </c>
    </row>
    <row r="396" spans="1:27" x14ac:dyDescent="0.25">
      <c r="A396" s="29">
        <v>45924</v>
      </c>
      <c r="B396" s="5">
        <v>6</v>
      </c>
      <c r="D396" s="5" t="s">
        <v>193</v>
      </c>
      <c r="E396" s="6">
        <v>3.61</v>
      </c>
      <c r="F396" s="7">
        <v>3</v>
      </c>
      <c r="G396" s="7">
        <v>2</v>
      </c>
      <c r="H396" s="8">
        <v>1.6</v>
      </c>
      <c r="J396" s="5" t="s">
        <v>70</v>
      </c>
      <c r="L396" s="56">
        <v>77</v>
      </c>
      <c r="M396" s="26" t="s">
        <v>70</v>
      </c>
      <c r="N396" s="26" t="s">
        <v>74</v>
      </c>
      <c r="O396" s="26" t="s">
        <v>75</v>
      </c>
      <c r="P396" s="26" t="s">
        <v>696</v>
      </c>
      <c r="Q396" s="213">
        <v>75</v>
      </c>
      <c r="R396" s="26" t="s">
        <v>41</v>
      </c>
      <c r="S396" s="26" t="s">
        <v>42</v>
      </c>
      <c r="T396" s="43" t="s">
        <v>18</v>
      </c>
      <c r="U396" s="51">
        <v>0.57999999999999996</v>
      </c>
      <c r="V396" s="6">
        <v>0.99</v>
      </c>
      <c r="W396" s="6" t="s">
        <v>353</v>
      </c>
      <c r="X396" s="5" t="s">
        <v>8</v>
      </c>
      <c r="Y396" s="112" t="s">
        <v>67</v>
      </c>
      <c r="Z396" s="108" t="s">
        <v>76</v>
      </c>
      <c r="AA396" s="57" t="s">
        <v>77</v>
      </c>
    </row>
    <row r="397" spans="1:27" x14ac:dyDescent="0.25">
      <c r="A397" s="29">
        <v>45924</v>
      </c>
      <c r="B397" s="5">
        <v>6</v>
      </c>
      <c r="D397" s="5" t="s">
        <v>193</v>
      </c>
      <c r="E397" s="6">
        <v>3.61</v>
      </c>
      <c r="F397" s="7">
        <v>3</v>
      </c>
      <c r="G397" s="7">
        <v>2</v>
      </c>
      <c r="H397" s="8">
        <v>1.6</v>
      </c>
      <c r="J397" s="5" t="s">
        <v>70</v>
      </c>
      <c r="L397" s="56">
        <v>80</v>
      </c>
      <c r="M397" s="61" t="s">
        <v>193</v>
      </c>
      <c r="N397" s="61" t="s">
        <v>200</v>
      </c>
      <c r="O397" s="61" t="s">
        <v>201</v>
      </c>
      <c r="P397" s="61" t="s">
        <v>717</v>
      </c>
      <c r="Q397" s="218">
        <v>100</v>
      </c>
      <c r="R397" s="61" t="s">
        <v>47</v>
      </c>
      <c r="S397" s="61" t="s">
        <v>42</v>
      </c>
      <c r="T397" s="63" t="s">
        <v>540</v>
      </c>
      <c r="U397" s="51">
        <v>0.27</v>
      </c>
      <c r="V397" s="6">
        <v>0.71</v>
      </c>
      <c r="W397" s="6" t="s">
        <v>353</v>
      </c>
      <c r="X397" s="5" t="s">
        <v>8</v>
      </c>
      <c r="Y397" s="112" t="s">
        <v>189</v>
      </c>
    </row>
    <row r="398" spans="1:27" x14ac:dyDescent="0.25">
      <c r="A398" s="29">
        <v>45924</v>
      </c>
      <c r="B398" s="5">
        <v>6</v>
      </c>
      <c r="D398" s="5" t="s">
        <v>193</v>
      </c>
      <c r="E398" s="6">
        <v>3.61</v>
      </c>
      <c r="F398" s="7">
        <v>3</v>
      </c>
      <c r="G398" s="7">
        <v>2</v>
      </c>
      <c r="H398" s="8">
        <v>1.6</v>
      </c>
      <c r="J398" s="5" t="s">
        <v>70</v>
      </c>
      <c r="L398" s="56">
        <v>83</v>
      </c>
      <c r="M398" s="61" t="s">
        <v>193</v>
      </c>
      <c r="N398" s="61" t="s">
        <v>204</v>
      </c>
      <c r="O398" s="61" t="s">
        <v>205</v>
      </c>
      <c r="P398" s="61" t="s">
        <v>696</v>
      </c>
      <c r="Q398" s="218">
        <v>66</v>
      </c>
      <c r="R398" s="61" t="s">
        <v>47</v>
      </c>
      <c r="S398" s="61" t="s">
        <v>42</v>
      </c>
      <c r="T398" s="63" t="s">
        <v>10</v>
      </c>
      <c r="U398" s="51">
        <v>0.43</v>
      </c>
      <c r="V398" s="6" t="s">
        <v>53</v>
      </c>
      <c r="W398" s="6" t="s">
        <v>353</v>
      </c>
      <c r="X398" s="5" t="s">
        <v>17</v>
      </c>
      <c r="Y398" s="112" t="s">
        <v>189</v>
      </c>
    </row>
    <row r="399" spans="1:27" x14ac:dyDescent="0.25">
      <c r="A399" s="29">
        <v>45924</v>
      </c>
      <c r="B399" s="5">
        <v>6</v>
      </c>
      <c r="D399" s="5" t="s">
        <v>193</v>
      </c>
      <c r="E399" s="6">
        <v>3.61</v>
      </c>
      <c r="F399" s="7">
        <v>3</v>
      </c>
      <c r="G399" s="7">
        <v>2</v>
      </c>
      <c r="H399" s="8">
        <v>1.6</v>
      </c>
      <c r="J399" s="5" t="s">
        <v>70</v>
      </c>
      <c r="L399" s="56">
        <v>84</v>
      </c>
      <c r="M399" s="61" t="s">
        <v>193</v>
      </c>
      <c r="N399" s="61" t="s">
        <v>318</v>
      </c>
      <c r="O399" s="61" t="s">
        <v>319</v>
      </c>
      <c r="P399" s="61" t="s">
        <v>696</v>
      </c>
      <c r="Q399" s="218">
        <v>70</v>
      </c>
      <c r="R399" s="61" t="s">
        <v>41</v>
      </c>
      <c r="S399" s="61" t="s">
        <v>42</v>
      </c>
      <c r="T399" s="63" t="s">
        <v>10</v>
      </c>
      <c r="U399" s="51">
        <v>0.38</v>
      </c>
      <c r="V399" s="6" t="s">
        <v>53</v>
      </c>
      <c r="W399" s="6" t="s">
        <v>353</v>
      </c>
      <c r="X399" s="5" t="s">
        <v>13</v>
      </c>
      <c r="Y399" s="112" t="s">
        <v>189</v>
      </c>
    </row>
    <row r="400" spans="1:27" ht="15.75" thickBot="1" x14ac:dyDescent="0.3">
      <c r="A400" s="30">
        <v>45924</v>
      </c>
      <c r="B400" s="9">
        <v>6</v>
      </c>
      <c r="C400" s="122"/>
      <c r="D400" s="9" t="s">
        <v>193</v>
      </c>
      <c r="E400" s="10">
        <v>3.61</v>
      </c>
      <c r="F400" s="11">
        <v>3</v>
      </c>
      <c r="G400" s="11">
        <v>2</v>
      </c>
      <c r="H400" s="12">
        <v>1.6</v>
      </c>
      <c r="I400" s="122"/>
      <c r="J400" s="9" t="s">
        <v>70</v>
      </c>
      <c r="K400" s="45"/>
      <c r="L400" s="97" t="s">
        <v>57</v>
      </c>
      <c r="M400" s="66" t="s">
        <v>193</v>
      </c>
      <c r="N400" s="66" t="s">
        <v>204</v>
      </c>
      <c r="O400" s="66" t="s">
        <v>205</v>
      </c>
      <c r="P400" s="66" t="s">
        <v>696</v>
      </c>
      <c r="Q400" s="219">
        <v>66</v>
      </c>
      <c r="R400" s="66" t="s">
        <v>41</v>
      </c>
      <c r="S400" s="66" t="s">
        <v>42</v>
      </c>
      <c r="T400" s="67" t="s">
        <v>10</v>
      </c>
      <c r="U400" s="52">
        <v>0.61</v>
      </c>
      <c r="V400" s="10" t="s">
        <v>53</v>
      </c>
      <c r="W400" s="10" t="s">
        <v>353</v>
      </c>
      <c r="X400" s="9" t="s">
        <v>13</v>
      </c>
      <c r="Y400" s="113" t="s">
        <v>180</v>
      </c>
      <c r="Z400" s="109"/>
      <c r="AA400" s="58"/>
    </row>
    <row r="401" spans="1:27" ht="15.75" thickBot="1" x14ac:dyDescent="0.3">
      <c r="A401" s="206">
        <v>45924</v>
      </c>
      <c r="B401" s="207">
        <v>6</v>
      </c>
      <c r="C401" s="208"/>
      <c r="D401" s="207" t="s">
        <v>193</v>
      </c>
      <c r="E401" s="209">
        <v>3.61</v>
      </c>
      <c r="F401" s="210">
        <v>3</v>
      </c>
      <c r="G401" s="210">
        <v>2</v>
      </c>
      <c r="H401" s="211">
        <v>1.6</v>
      </c>
      <c r="I401" s="208"/>
      <c r="J401" s="207" t="s">
        <v>70</v>
      </c>
      <c r="K401" s="235"/>
      <c r="L401" s="198"/>
      <c r="M401" s="199" t="s">
        <v>193</v>
      </c>
      <c r="N401" s="199" t="s">
        <v>580</v>
      </c>
      <c r="O401" s="199" t="s">
        <v>581</v>
      </c>
      <c r="P401" s="199" t="s">
        <v>707</v>
      </c>
      <c r="Q401" s="200">
        <v>62</v>
      </c>
      <c r="R401" s="199"/>
      <c r="S401" s="199"/>
      <c r="T401" s="201"/>
      <c r="U401" s="202"/>
      <c r="V401" s="203"/>
      <c r="W401" s="203">
        <v>2</v>
      </c>
      <c r="X401" s="199"/>
      <c r="Y401" s="204"/>
      <c r="Z401" s="205"/>
      <c r="AA401" s="201"/>
    </row>
    <row r="402" spans="1:27" ht="15.75" thickBot="1" x14ac:dyDescent="0.3">
      <c r="A402" s="206">
        <v>45924</v>
      </c>
      <c r="B402" s="207">
        <v>6</v>
      </c>
      <c r="C402" s="208"/>
      <c r="D402" s="207" t="s">
        <v>193</v>
      </c>
      <c r="E402" s="209">
        <v>3.61</v>
      </c>
      <c r="F402" s="210">
        <v>3</v>
      </c>
      <c r="G402" s="210">
        <v>2</v>
      </c>
      <c r="H402" s="211">
        <v>1.6</v>
      </c>
      <c r="I402" s="208"/>
      <c r="J402" s="207" t="s">
        <v>70</v>
      </c>
      <c r="K402" s="235"/>
      <c r="L402" s="198"/>
      <c r="M402" s="199" t="s">
        <v>70</v>
      </c>
      <c r="N402" s="199" t="s">
        <v>714</v>
      </c>
      <c r="O402" s="199" t="s">
        <v>715</v>
      </c>
      <c r="P402" s="199" t="s">
        <v>707</v>
      </c>
      <c r="Q402" s="200">
        <v>77</v>
      </c>
      <c r="R402" s="199"/>
      <c r="S402" s="199"/>
      <c r="T402" s="201"/>
      <c r="U402" s="202"/>
      <c r="V402" s="203"/>
      <c r="W402" s="203">
        <v>3</v>
      </c>
      <c r="X402" s="199"/>
      <c r="Y402" s="204"/>
      <c r="Z402" s="205"/>
      <c r="AA402" s="201"/>
    </row>
    <row r="403" spans="1:27" x14ac:dyDescent="0.25">
      <c r="A403" s="32">
        <v>45935</v>
      </c>
      <c r="B403" s="13">
        <v>8</v>
      </c>
      <c r="C403" s="124" t="s">
        <v>697</v>
      </c>
      <c r="D403" s="13" t="s">
        <v>146</v>
      </c>
      <c r="E403" s="14">
        <v>0.79</v>
      </c>
      <c r="F403" s="15">
        <v>0</v>
      </c>
      <c r="G403" s="15">
        <v>1</v>
      </c>
      <c r="H403" s="16">
        <v>0.8</v>
      </c>
      <c r="I403" s="124" t="s">
        <v>693</v>
      </c>
      <c r="J403" s="13" t="s">
        <v>70</v>
      </c>
      <c r="K403" s="47"/>
      <c r="L403" s="98">
        <v>37</v>
      </c>
      <c r="M403" s="79" t="s">
        <v>70</v>
      </c>
      <c r="N403" s="79" t="s">
        <v>458</v>
      </c>
      <c r="O403" s="79" t="s">
        <v>73</v>
      </c>
      <c r="P403" s="79" t="s">
        <v>686</v>
      </c>
      <c r="Q403" s="224">
        <v>67</v>
      </c>
      <c r="R403" s="79" t="s">
        <v>354</v>
      </c>
      <c r="S403" s="79" t="s">
        <v>42</v>
      </c>
      <c r="T403" s="80" t="s">
        <v>540</v>
      </c>
      <c r="U403" s="54">
        <v>0.1</v>
      </c>
      <c r="V403" s="14" t="s">
        <v>53</v>
      </c>
      <c r="W403" s="14" t="s">
        <v>353</v>
      </c>
      <c r="X403" s="13" t="s">
        <v>16</v>
      </c>
      <c r="Y403" s="115" t="s">
        <v>28</v>
      </c>
      <c r="Z403" s="110"/>
      <c r="AA403" s="60"/>
    </row>
    <row r="404" spans="1:27" x14ac:dyDescent="0.25">
      <c r="A404" s="29">
        <v>45935</v>
      </c>
      <c r="B404" s="5">
        <v>8</v>
      </c>
      <c r="D404" s="5" t="s">
        <v>146</v>
      </c>
      <c r="E404" s="6">
        <v>0.79</v>
      </c>
      <c r="F404" s="7">
        <v>0</v>
      </c>
      <c r="G404" s="7">
        <v>1</v>
      </c>
      <c r="H404" s="8">
        <v>0.8</v>
      </c>
      <c r="J404" s="5" t="s">
        <v>70</v>
      </c>
      <c r="L404" s="56">
        <v>49</v>
      </c>
      <c r="M404" s="61" t="s">
        <v>146</v>
      </c>
      <c r="N404" s="61" t="s">
        <v>298</v>
      </c>
      <c r="O404" s="61" t="s">
        <v>422</v>
      </c>
      <c r="P404" s="61" t="s">
        <v>688</v>
      </c>
      <c r="Q404" s="218">
        <v>68</v>
      </c>
      <c r="R404" s="61" t="s">
        <v>41</v>
      </c>
      <c r="S404" s="61" t="s">
        <v>43</v>
      </c>
      <c r="T404" s="63" t="s">
        <v>20</v>
      </c>
      <c r="U404" s="51">
        <v>0.13</v>
      </c>
      <c r="V404" s="6" t="s">
        <v>53</v>
      </c>
      <c r="W404" s="6" t="s">
        <v>353</v>
      </c>
      <c r="X404" s="5" t="s">
        <v>52</v>
      </c>
      <c r="Y404" s="112" t="s">
        <v>28</v>
      </c>
    </row>
    <row r="405" spans="1:27" x14ac:dyDescent="0.25">
      <c r="A405" s="29">
        <v>45935</v>
      </c>
      <c r="B405" s="5">
        <v>8</v>
      </c>
      <c r="D405" s="5" t="s">
        <v>146</v>
      </c>
      <c r="E405" s="6">
        <v>0.79</v>
      </c>
      <c r="F405" s="7">
        <v>0</v>
      </c>
      <c r="G405" s="7">
        <v>1</v>
      </c>
      <c r="H405" s="8">
        <v>0.8</v>
      </c>
      <c r="J405" s="5" t="s">
        <v>70</v>
      </c>
      <c r="L405" s="56">
        <v>57</v>
      </c>
      <c r="M405" s="26" t="s">
        <v>70</v>
      </c>
      <c r="N405" s="26" t="s">
        <v>80</v>
      </c>
      <c r="O405" s="26" t="s">
        <v>81</v>
      </c>
      <c r="P405" s="26" t="s">
        <v>688</v>
      </c>
      <c r="Q405" s="213">
        <v>72</v>
      </c>
      <c r="R405" s="26" t="s">
        <v>41</v>
      </c>
      <c r="S405" s="26" t="s">
        <v>43</v>
      </c>
      <c r="T405" s="43" t="s">
        <v>10</v>
      </c>
      <c r="U405" s="51">
        <v>0.12</v>
      </c>
      <c r="V405" s="6" t="s">
        <v>53</v>
      </c>
      <c r="W405" s="6" t="s">
        <v>353</v>
      </c>
      <c r="X405" s="5" t="s">
        <v>52</v>
      </c>
      <c r="Y405" s="112" t="s">
        <v>28</v>
      </c>
    </row>
    <row r="406" spans="1:27" x14ac:dyDescent="0.25">
      <c r="A406" s="29">
        <v>45935</v>
      </c>
      <c r="B406" s="5">
        <v>8</v>
      </c>
      <c r="D406" s="5" t="s">
        <v>146</v>
      </c>
      <c r="E406" s="6">
        <v>0.79</v>
      </c>
      <c r="F406" s="7">
        <v>0</v>
      </c>
      <c r="G406" s="7">
        <v>1</v>
      </c>
      <c r="H406" s="8">
        <v>0.8</v>
      </c>
      <c r="J406" s="5" t="s">
        <v>70</v>
      </c>
      <c r="L406" s="56">
        <v>84</v>
      </c>
      <c r="M406" s="26" t="s">
        <v>70</v>
      </c>
      <c r="N406" s="26" t="s">
        <v>575</v>
      </c>
      <c r="O406" s="26" t="s">
        <v>576</v>
      </c>
      <c r="P406" s="26" t="s">
        <v>696</v>
      </c>
      <c r="Q406" s="213">
        <v>76</v>
      </c>
      <c r="R406" s="26" t="s">
        <v>41</v>
      </c>
      <c r="S406" s="26" t="s">
        <v>43</v>
      </c>
      <c r="T406" s="43" t="s">
        <v>18</v>
      </c>
      <c r="U406" s="51">
        <v>0.43</v>
      </c>
      <c r="V406" s="6">
        <v>0.39</v>
      </c>
      <c r="W406" s="6" t="s">
        <v>353</v>
      </c>
      <c r="X406" s="5" t="s">
        <v>8</v>
      </c>
      <c r="Y406" s="112" t="s">
        <v>9</v>
      </c>
      <c r="Z406" s="108" t="s">
        <v>349</v>
      </c>
      <c r="AA406" s="57" t="s">
        <v>350</v>
      </c>
    </row>
    <row r="407" spans="1:27" ht="15.75" thickBot="1" x14ac:dyDescent="0.3">
      <c r="A407" s="206">
        <v>45935</v>
      </c>
      <c r="B407" s="207">
        <v>8</v>
      </c>
      <c r="C407" s="208"/>
      <c r="D407" s="207" t="s">
        <v>146</v>
      </c>
      <c r="E407" s="209">
        <v>0.79</v>
      </c>
      <c r="F407" s="210">
        <v>0</v>
      </c>
      <c r="G407" s="210">
        <v>1</v>
      </c>
      <c r="H407" s="211">
        <v>0.8</v>
      </c>
      <c r="I407" s="208"/>
      <c r="J407" s="207" t="s">
        <v>70</v>
      </c>
      <c r="K407" s="235"/>
      <c r="L407" s="198"/>
      <c r="M407" s="199" t="s">
        <v>146</v>
      </c>
      <c r="N407" s="199" t="s">
        <v>176</v>
      </c>
      <c r="O407" s="199" t="s">
        <v>423</v>
      </c>
      <c r="P407" s="199" t="s">
        <v>707</v>
      </c>
      <c r="Q407" s="200">
        <v>69</v>
      </c>
      <c r="R407" s="199"/>
      <c r="S407" s="199"/>
      <c r="T407" s="201"/>
      <c r="U407" s="202"/>
      <c r="V407" s="203"/>
      <c r="W407" s="203">
        <v>1</v>
      </c>
      <c r="X407" s="199"/>
      <c r="Y407" s="204"/>
      <c r="Z407" s="205"/>
      <c r="AA407" s="201"/>
    </row>
    <row r="408" spans="1:27" ht="15.75" thickBot="1" x14ac:dyDescent="0.3">
      <c r="A408" s="206">
        <v>45935</v>
      </c>
      <c r="B408" s="207">
        <v>8</v>
      </c>
      <c r="C408" s="208"/>
      <c r="D408" s="207" t="s">
        <v>146</v>
      </c>
      <c r="E408" s="209">
        <v>0.79</v>
      </c>
      <c r="F408" s="210">
        <v>0</v>
      </c>
      <c r="G408" s="210">
        <v>1</v>
      </c>
      <c r="H408" s="211">
        <v>0.8</v>
      </c>
      <c r="I408" s="208"/>
      <c r="J408" s="207" t="s">
        <v>70</v>
      </c>
      <c r="K408" s="235"/>
      <c r="L408" s="198"/>
      <c r="M408" s="199" t="s">
        <v>70</v>
      </c>
      <c r="N408" s="199" t="s">
        <v>714</v>
      </c>
      <c r="O408" s="199" t="s">
        <v>715</v>
      </c>
      <c r="P408" s="199" t="s">
        <v>707</v>
      </c>
      <c r="Q408" s="200">
        <v>75</v>
      </c>
      <c r="R408" s="199"/>
      <c r="S408" s="199"/>
      <c r="T408" s="201"/>
      <c r="U408" s="202"/>
      <c r="V408" s="203"/>
      <c r="W408" s="203">
        <v>0</v>
      </c>
      <c r="X408" s="199"/>
      <c r="Y408" s="204"/>
      <c r="Z408" s="205"/>
      <c r="AA408" s="201"/>
    </row>
    <row r="409" spans="1:27" x14ac:dyDescent="0.25">
      <c r="A409" s="236"/>
      <c r="B409" s="237"/>
      <c r="C409" s="238"/>
      <c r="D409" s="237"/>
      <c r="E409" s="239"/>
      <c r="F409" s="240"/>
      <c r="G409" s="240"/>
      <c r="H409" s="241"/>
      <c r="I409" s="238"/>
      <c r="J409" s="237"/>
      <c r="K409" s="242"/>
      <c r="L409" s="243"/>
      <c r="M409" s="237"/>
      <c r="N409" s="237"/>
      <c r="O409" s="237"/>
      <c r="P409" s="237"/>
      <c r="Q409" s="240"/>
      <c r="R409" s="237"/>
      <c r="S409" s="237"/>
      <c r="T409" s="244"/>
      <c r="U409" s="245"/>
      <c r="V409" s="239"/>
      <c r="W409" s="239" t="s">
        <v>741</v>
      </c>
      <c r="X409" s="237"/>
      <c r="Y409" s="246"/>
      <c r="Z409" s="247"/>
      <c r="AA409" s="244"/>
    </row>
    <row r="410" spans="1:27" x14ac:dyDescent="0.25">
      <c r="A410" s="143">
        <v>45913</v>
      </c>
      <c r="B410" s="144">
        <v>4</v>
      </c>
      <c r="C410" s="145"/>
      <c r="D410" s="144" t="s">
        <v>161</v>
      </c>
      <c r="E410" s="146">
        <v>0.75</v>
      </c>
      <c r="F410" s="147">
        <v>2</v>
      </c>
      <c r="G410" s="147">
        <v>0</v>
      </c>
      <c r="H410" s="148">
        <v>0.46</v>
      </c>
      <c r="I410" s="145"/>
      <c r="J410" s="144" t="s">
        <v>92</v>
      </c>
      <c r="K410" s="165" t="s">
        <v>369</v>
      </c>
      <c r="L410" s="150" t="s">
        <v>63</v>
      </c>
      <c r="M410" s="61" t="s">
        <v>161</v>
      </c>
      <c r="N410" s="61" t="s">
        <v>364</v>
      </c>
      <c r="O410" s="61" t="s">
        <v>365</v>
      </c>
      <c r="P410" s="61" t="s">
        <v>695</v>
      </c>
      <c r="Q410" s="218">
        <v>74</v>
      </c>
      <c r="R410" s="61" t="s">
        <v>47</v>
      </c>
      <c r="S410" s="61" t="s">
        <v>45</v>
      </c>
      <c r="T410" s="63" t="s">
        <v>33</v>
      </c>
      <c r="U410" s="171">
        <v>0.23</v>
      </c>
      <c r="V410" s="146">
        <v>0.64</v>
      </c>
      <c r="W410" s="146" t="s">
        <v>353</v>
      </c>
      <c r="X410" s="144" t="s">
        <v>8</v>
      </c>
      <c r="Y410" s="172" t="s">
        <v>19</v>
      </c>
      <c r="Z410" s="173" t="s">
        <v>315</v>
      </c>
      <c r="AA410" s="174" t="s">
        <v>199</v>
      </c>
    </row>
    <row r="411" spans="1:27" x14ac:dyDescent="0.25">
      <c r="A411" s="143">
        <v>45913</v>
      </c>
      <c r="B411" s="144">
        <v>4</v>
      </c>
      <c r="C411" s="145"/>
      <c r="D411" s="144" t="s">
        <v>161</v>
      </c>
      <c r="E411" s="146">
        <v>0.75</v>
      </c>
      <c r="F411" s="147">
        <v>2</v>
      </c>
      <c r="G411" s="147">
        <v>0</v>
      </c>
      <c r="H411" s="148">
        <v>0.46</v>
      </c>
      <c r="I411" s="145"/>
      <c r="J411" s="144" t="s">
        <v>92</v>
      </c>
      <c r="K411" s="149" t="s">
        <v>369</v>
      </c>
      <c r="L411" s="150" t="s">
        <v>367</v>
      </c>
      <c r="M411" s="61" t="s">
        <v>161</v>
      </c>
      <c r="N411" s="61" t="s">
        <v>313</v>
      </c>
      <c r="O411" s="61" t="s">
        <v>314</v>
      </c>
      <c r="P411" s="61" t="s">
        <v>717</v>
      </c>
      <c r="Q411" s="218">
        <v>78</v>
      </c>
      <c r="R411" s="61" t="s">
        <v>47</v>
      </c>
      <c r="S411" s="61" t="s">
        <v>45</v>
      </c>
      <c r="T411" s="63" t="s">
        <v>20</v>
      </c>
      <c r="U411" s="171">
        <v>0.13</v>
      </c>
      <c r="V411" s="146">
        <v>0.87</v>
      </c>
      <c r="W411" s="146" t="s">
        <v>353</v>
      </c>
      <c r="X411" s="144" t="s">
        <v>8</v>
      </c>
      <c r="Y411" s="172" t="s">
        <v>24</v>
      </c>
      <c r="Z411" s="173" t="s">
        <v>315</v>
      </c>
      <c r="AA411" s="174" t="s">
        <v>199</v>
      </c>
    </row>
    <row r="412" spans="1:27" ht="15.75" thickBot="1" x14ac:dyDescent="0.3">
      <c r="A412" s="151">
        <v>45913</v>
      </c>
      <c r="B412" s="152">
        <v>4</v>
      </c>
      <c r="C412" s="153"/>
      <c r="D412" s="152" t="s">
        <v>161</v>
      </c>
      <c r="E412" s="154">
        <v>0.75</v>
      </c>
      <c r="F412" s="155">
        <v>2</v>
      </c>
      <c r="G412" s="155">
        <v>0</v>
      </c>
      <c r="H412" s="156">
        <v>0.46</v>
      </c>
      <c r="I412" s="153"/>
      <c r="J412" s="152" t="s">
        <v>92</v>
      </c>
      <c r="K412" s="157" t="s">
        <v>369</v>
      </c>
      <c r="L412" s="158" t="s">
        <v>31</v>
      </c>
      <c r="M412" s="74" t="s">
        <v>92</v>
      </c>
      <c r="N412" s="74" t="s">
        <v>419</v>
      </c>
      <c r="O412" s="74" t="s">
        <v>420</v>
      </c>
      <c r="P412" s="74" t="s">
        <v>699</v>
      </c>
      <c r="Q412" s="221">
        <v>61</v>
      </c>
      <c r="R412" s="74" t="s">
        <v>44</v>
      </c>
      <c r="S412" s="74" t="s">
        <v>45</v>
      </c>
      <c r="T412" s="76" t="s">
        <v>540</v>
      </c>
      <c r="U412" s="175">
        <v>0.03</v>
      </c>
      <c r="V412" s="154">
        <v>0.05</v>
      </c>
      <c r="W412" s="154" t="s">
        <v>353</v>
      </c>
      <c r="X412" s="152" t="s">
        <v>48</v>
      </c>
      <c r="Y412" s="176" t="s">
        <v>24</v>
      </c>
      <c r="Z412" s="177"/>
      <c r="AA412" s="178"/>
    </row>
    <row r="413" spans="1:27" ht="15.75" thickBot="1" x14ac:dyDescent="0.3">
      <c r="A413" s="206">
        <v>45913</v>
      </c>
      <c r="B413" s="207">
        <v>4</v>
      </c>
      <c r="C413" s="208"/>
      <c r="D413" s="207" t="s">
        <v>161</v>
      </c>
      <c r="E413" s="209">
        <v>0.75</v>
      </c>
      <c r="F413" s="210">
        <v>2</v>
      </c>
      <c r="G413" s="210">
        <v>0</v>
      </c>
      <c r="H413" s="211">
        <v>0.46</v>
      </c>
      <c r="I413" s="208"/>
      <c r="J413" s="207" t="s">
        <v>92</v>
      </c>
      <c r="K413" s="235"/>
      <c r="L413" s="198"/>
      <c r="M413" s="199" t="s">
        <v>161</v>
      </c>
      <c r="N413" s="199" t="s">
        <v>316</v>
      </c>
      <c r="O413" s="199" t="s">
        <v>721</v>
      </c>
      <c r="P413" s="199" t="s">
        <v>707</v>
      </c>
      <c r="Q413" s="200">
        <v>71</v>
      </c>
      <c r="R413" s="199"/>
      <c r="S413" s="199"/>
      <c r="T413" s="201"/>
      <c r="U413" s="202"/>
      <c r="V413" s="203"/>
      <c r="W413" s="203">
        <v>0</v>
      </c>
      <c r="X413" s="199"/>
      <c r="Y413" s="204"/>
      <c r="Z413" s="205"/>
      <c r="AA413" s="201"/>
    </row>
    <row r="414" spans="1:27" ht="15.75" thickBot="1" x14ac:dyDescent="0.3">
      <c r="A414" s="206">
        <v>45913</v>
      </c>
      <c r="B414" s="207">
        <v>4</v>
      </c>
      <c r="C414" s="208"/>
      <c r="D414" s="207" t="s">
        <v>161</v>
      </c>
      <c r="E414" s="209">
        <v>0.75</v>
      </c>
      <c r="F414" s="210">
        <v>2</v>
      </c>
      <c r="G414" s="210">
        <v>0</v>
      </c>
      <c r="H414" s="211">
        <v>0.46</v>
      </c>
      <c r="I414" s="208"/>
      <c r="J414" s="207" t="s">
        <v>92</v>
      </c>
      <c r="K414" s="235"/>
      <c r="L414" s="198"/>
      <c r="M414" s="199" t="s">
        <v>92</v>
      </c>
      <c r="N414" s="199" t="s">
        <v>432</v>
      </c>
      <c r="O414" s="199" t="s">
        <v>472</v>
      </c>
      <c r="P414" s="199" t="s">
        <v>707</v>
      </c>
      <c r="Q414" s="200">
        <v>55</v>
      </c>
      <c r="R414" s="199"/>
      <c r="S414" s="199"/>
      <c r="T414" s="201"/>
      <c r="U414" s="202"/>
      <c r="V414" s="203"/>
      <c r="W414" s="203">
        <v>2</v>
      </c>
      <c r="X414" s="199"/>
      <c r="Y414" s="204"/>
      <c r="Z414" s="205"/>
      <c r="AA414" s="201"/>
    </row>
    <row r="415" spans="1:27" x14ac:dyDescent="0.25">
      <c r="A415" s="159">
        <v>45924</v>
      </c>
      <c r="B415" s="160">
        <v>6</v>
      </c>
      <c r="C415" s="161" t="s">
        <v>708</v>
      </c>
      <c r="D415" s="160" t="s">
        <v>161</v>
      </c>
      <c r="E415" s="162">
        <v>0.24</v>
      </c>
      <c r="F415" s="163">
        <v>1</v>
      </c>
      <c r="G415" s="163">
        <v>1</v>
      </c>
      <c r="H415" s="164">
        <v>0.56999999999999995</v>
      </c>
      <c r="I415" s="161" t="s">
        <v>694</v>
      </c>
      <c r="J415" s="160" t="s">
        <v>128</v>
      </c>
      <c r="K415" s="165"/>
      <c r="L415" s="166">
        <v>38</v>
      </c>
      <c r="M415" s="79" t="s">
        <v>128</v>
      </c>
      <c r="N415" s="79" t="s">
        <v>497</v>
      </c>
      <c r="O415" s="79" t="s">
        <v>498</v>
      </c>
      <c r="P415" s="79" t="s">
        <v>685</v>
      </c>
      <c r="Q415" s="224">
        <v>57</v>
      </c>
      <c r="R415" s="79" t="s">
        <v>41</v>
      </c>
      <c r="S415" s="79" t="s">
        <v>42</v>
      </c>
      <c r="T415" s="80" t="s">
        <v>10</v>
      </c>
      <c r="U415" s="179">
        <v>0.2</v>
      </c>
      <c r="V415" s="162">
        <v>0.2</v>
      </c>
      <c r="W415" s="162" t="s">
        <v>353</v>
      </c>
      <c r="X415" s="160" t="s">
        <v>48</v>
      </c>
      <c r="Y415" s="180" t="s">
        <v>28</v>
      </c>
      <c r="Z415" s="169"/>
      <c r="AA415" s="170"/>
    </row>
    <row r="416" spans="1:27" x14ac:dyDescent="0.25">
      <c r="A416" s="143">
        <v>45924</v>
      </c>
      <c r="B416" s="144">
        <v>6</v>
      </c>
      <c r="C416" s="145"/>
      <c r="D416" s="144" t="s">
        <v>161</v>
      </c>
      <c r="E416" s="146">
        <v>0.24</v>
      </c>
      <c r="F416" s="147">
        <v>1</v>
      </c>
      <c r="G416" s="147">
        <v>1</v>
      </c>
      <c r="H416" s="148">
        <v>0.56999999999999995</v>
      </c>
      <c r="I416" s="145"/>
      <c r="J416" s="144" t="s">
        <v>128</v>
      </c>
      <c r="K416" s="149"/>
      <c r="L416" s="150">
        <v>63</v>
      </c>
      <c r="M416" s="61" t="s">
        <v>161</v>
      </c>
      <c r="N416" s="61" t="s">
        <v>26</v>
      </c>
      <c r="O416" s="61" t="s">
        <v>302</v>
      </c>
      <c r="P416" s="61" t="s">
        <v>695</v>
      </c>
      <c r="Q416" s="218">
        <v>76</v>
      </c>
      <c r="R416" s="61" t="s">
        <v>41</v>
      </c>
      <c r="S416" s="61" t="s">
        <v>42</v>
      </c>
      <c r="T416" s="63" t="s">
        <v>10</v>
      </c>
      <c r="U416" s="171">
        <v>0.09</v>
      </c>
      <c r="V416" s="146">
        <v>0.46</v>
      </c>
      <c r="W416" s="146" t="s">
        <v>353</v>
      </c>
      <c r="X416" s="144" t="s">
        <v>8</v>
      </c>
      <c r="Y416" s="172" t="s">
        <v>19</v>
      </c>
      <c r="Z416" s="173" t="s">
        <v>313</v>
      </c>
      <c r="AA416" s="174" t="s">
        <v>314</v>
      </c>
    </row>
    <row r="417" spans="1:27" x14ac:dyDescent="0.25">
      <c r="A417" s="143">
        <v>45924</v>
      </c>
      <c r="B417" s="144">
        <v>6</v>
      </c>
      <c r="C417" s="145"/>
      <c r="D417" s="144" t="s">
        <v>161</v>
      </c>
      <c r="E417" s="146">
        <v>0.24</v>
      </c>
      <c r="F417" s="147">
        <v>1</v>
      </c>
      <c r="G417" s="147">
        <v>1</v>
      </c>
      <c r="H417" s="148">
        <v>0.56999999999999995</v>
      </c>
      <c r="I417" s="145"/>
      <c r="J417" s="144" t="s">
        <v>128</v>
      </c>
      <c r="K417" s="149"/>
      <c r="L417" s="150">
        <v>71</v>
      </c>
      <c r="M417" s="26" t="s">
        <v>128</v>
      </c>
      <c r="N417" s="26" t="s">
        <v>274</v>
      </c>
      <c r="O417" s="26" t="s">
        <v>499</v>
      </c>
      <c r="P417" s="26" t="s">
        <v>695</v>
      </c>
      <c r="Q417" s="213">
        <v>69</v>
      </c>
      <c r="R417" s="26" t="s">
        <v>41</v>
      </c>
      <c r="S417" s="26" t="s">
        <v>43</v>
      </c>
      <c r="T417" s="43" t="s">
        <v>20</v>
      </c>
      <c r="U417" s="171">
        <v>0.11</v>
      </c>
      <c r="V417" s="146">
        <v>0.15</v>
      </c>
      <c r="W417" s="146" t="s">
        <v>353</v>
      </c>
      <c r="X417" s="144" t="s">
        <v>8</v>
      </c>
      <c r="Y417" s="172" t="s">
        <v>51</v>
      </c>
      <c r="Z417" s="173" t="s">
        <v>130</v>
      </c>
      <c r="AA417" s="174" t="s">
        <v>131</v>
      </c>
    </row>
    <row r="418" spans="1:27" ht="15.75" thickBot="1" x14ac:dyDescent="0.3">
      <c r="A418" s="206">
        <v>45924</v>
      </c>
      <c r="B418" s="207">
        <v>6</v>
      </c>
      <c r="C418" s="208"/>
      <c r="D418" s="207" t="s">
        <v>161</v>
      </c>
      <c r="E418" s="209">
        <v>0.24</v>
      </c>
      <c r="F418" s="210">
        <v>1</v>
      </c>
      <c r="G418" s="210">
        <v>1</v>
      </c>
      <c r="H418" s="211">
        <v>0.56999999999999995</v>
      </c>
      <c r="I418" s="208"/>
      <c r="J418" s="207" t="s">
        <v>128</v>
      </c>
      <c r="K418" s="235"/>
      <c r="L418" s="198"/>
      <c r="M418" s="199" t="s">
        <v>161</v>
      </c>
      <c r="N418" s="199" t="s">
        <v>316</v>
      </c>
      <c r="O418" s="199" t="s">
        <v>721</v>
      </c>
      <c r="P418" s="199" t="s">
        <v>707</v>
      </c>
      <c r="Q418" s="200">
        <v>73</v>
      </c>
      <c r="R418" s="199"/>
      <c r="S418" s="199"/>
      <c r="T418" s="201"/>
      <c r="U418" s="202"/>
      <c r="V418" s="203"/>
      <c r="W418" s="203">
        <v>1</v>
      </c>
      <c r="X418" s="199"/>
      <c r="Y418" s="204"/>
      <c r="Z418" s="205"/>
      <c r="AA418" s="201"/>
    </row>
    <row r="419" spans="1:27" ht="15.75" thickBot="1" x14ac:dyDescent="0.3">
      <c r="A419" s="206">
        <v>45924</v>
      </c>
      <c r="B419" s="207">
        <v>6</v>
      </c>
      <c r="C419" s="208"/>
      <c r="D419" s="207" t="s">
        <v>161</v>
      </c>
      <c r="E419" s="209">
        <v>0.24</v>
      </c>
      <c r="F419" s="210">
        <v>1</v>
      </c>
      <c r="G419" s="210">
        <v>1</v>
      </c>
      <c r="H419" s="211">
        <v>0.56999999999999995</v>
      </c>
      <c r="I419" s="208"/>
      <c r="J419" s="207" t="s">
        <v>128</v>
      </c>
      <c r="K419" s="235"/>
      <c r="L419" s="198"/>
      <c r="M419" s="199" t="s">
        <v>128</v>
      </c>
      <c r="N419" s="199" t="s">
        <v>127</v>
      </c>
      <c r="O419" s="199" t="s">
        <v>476</v>
      </c>
      <c r="P419" s="199" t="s">
        <v>707</v>
      </c>
      <c r="Q419" s="200">
        <v>66</v>
      </c>
      <c r="R419" s="199"/>
      <c r="S419" s="199"/>
      <c r="T419" s="201"/>
      <c r="U419" s="202"/>
      <c r="V419" s="203"/>
      <c r="W419" s="203">
        <v>1</v>
      </c>
      <c r="X419" s="199"/>
      <c r="Y419" s="204"/>
      <c r="Z419" s="205"/>
      <c r="AA419" s="201"/>
    </row>
    <row r="420" spans="1:27" x14ac:dyDescent="0.25">
      <c r="A420" s="135">
        <v>45927</v>
      </c>
      <c r="B420" s="136">
        <v>7</v>
      </c>
      <c r="C420" s="137" t="s">
        <v>701</v>
      </c>
      <c r="D420" s="136" t="s">
        <v>161</v>
      </c>
      <c r="E420" s="138">
        <v>0.55000000000000004</v>
      </c>
      <c r="F420" s="139">
        <v>1</v>
      </c>
      <c r="G420" s="139">
        <v>1</v>
      </c>
      <c r="H420" s="140">
        <v>0.59</v>
      </c>
      <c r="I420" s="137" t="s">
        <v>694</v>
      </c>
      <c r="J420" s="136" t="s">
        <v>129</v>
      </c>
      <c r="K420" s="141"/>
      <c r="L420" s="142">
        <v>13</v>
      </c>
      <c r="M420" s="77" t="s">
        <v>129</v>
      </c>
      <c r="N420" s="77" t="s">
        <v>59</v>
      </c>
      <c r="O420" s="77" t="s">
        <v>191</v>
      </c>
      <c r="P420" s="77" t="s">
        <v>717</v>
      </c>
      <c r="Q420" s="220">
        <v>77</v>
      </c>
      <c r="R420" s="77" t="s">
        <v>41</v>
      </c>
      <c r="S420" s="77" t="s">
        <v>42</v>
      </c>
      <c r="T420" s="78" t="s">
        <v>540</v>
      </c>
      <c r="U420" s="167">
        <v>0.18</v>
      </c>
      <c r="V420" s="138">
        <v>0.4</v>
      </c>
      <c r="W420" s="138" t="s">
        <v>353</v>
      </c>
      <c r="X420" s="136" t="s">
        <v>48</v>
      </c>
      <c r="Y420" s="168" t="s">
        <v>28</v>
      </c>
      <c r="Z420" s="169"/>
      <c r="AA420" s="170"/>
    </row>
    <row r="421" spans="1:27" x14ac:dyDescent="0.25">
      <c r="A421" s="143">
        <v>45927</v>
      </c>
      <c r="B421" s="144">
        <v>7</v>
      </c>
      <c r="C421" s="145"/>
      <c r="D421" s="144" t="s">
        <v>161</v>
      </c>
      <c r="E421" s="146">
        <v>0.55000000000000004</v>
      </c>
      <c r="F421" s="147">
        <v>1</v>
      </c>
      <c r="G421" s="147">
        <v>1</v>
      </c>
      <c r="H421" s="148">
        <v>0.59</v>
      </c>
      <c r="I421" s="145"/>
      <c r="J421" s="144" t="s">
        <v>129</v>
      </c>
      <c r="K421" s="149"/>
      <c r="L421" s="150">
        <v>26</v>
      </c>
      <c r="M421" s="26" t="s">
        <v>129</v>
      </c>
      <c r="N421" s="26" t="s">
        <v>59</v>
      </c>
      <c r="O421" s="26" t="s">
        <v>191</v>
      </c>
      <c r="P421" s="26" t="s">
        <v>717</v>
      </c>
      <c r="Q421" s="213">
        <v>77</v>
      </c>
      <c r="R421" s="26" t="s">
        <v>41</v>
      </c>
      <c r="S421" s="26" t="s">
        <v>42</v>
      </c>
      <c r="T421" s="43" t="s">
        <v>10</v>
      </c>
      <c r="U421" s="171">
        <v>0.05</v>
      </c>
      <c r="V421" s="146">
        <v>0.82</v>
      </c>
      <c r="W421" s="146" t="s">
        <v>353</v>
      </c>
      <c r="X421" s="144" t="s">
        <v>8</v>
      </c>
      <c r="Y421" s="172" t="s">
        <v>9</v>
      </c>
      <c r="Z421" s="173" t="s">
        <v>141</v>
      </c>
      <c r="AA421" s="174" t="s">
        <v>142</v>
      </c>
    </row>
    <row r="422" spans="1:27" x14ac:dyDescent="0.25">
      <c r="A422" s="143">
        <v>45927</v>
      </c>
      <c r="B422" s="144">
        <v>7</v>
      </c>
      <c r="C422" s="145"/>
      <c r="D422" s="144" t="s">
        <v>161</v>
      </c>
      <c r="E422" s="146">
        <v>0.55000000000000004</v>
      </c>
      <c r="F422" s="147">
        <v>1</v>
      </c>
      <c r="G422" s="147">
        <v>1</v>
      </c>
      <c r="H422" s="148">
        <v>0.59</v>
      </c>
      <c r="I422" s="145"/>
      <c r="J422" s="144" t="s">
        <v>129</v>
      </c>
      <c r="K422" s="149"/>
      <c r="L422" s="150">
        <v>45</v>
      </c>
      <c r="M422" s="26" t="s">
        <v>129</v>
      </c>
      <c r="N422" s="26" t="s">
        <v>104</v>
      </c>
      <c r="O422" s="26" t="s">
        <v>105</v>
      </c>
      <c r="P422" s="26" t="s">
        <v>717</v>
      </c>
      <c r="Q422" s="213">
        <v>77</v>
      </c>
      <c r="R422" s="26" t="s">
        <v>41</v>
      </c>
      <c r="S422" s="26" t="s">
        <v>42</v>
      </c>
      <c r="T422" s="43" t="s">
        <v>10</v>
      </c>
      <c r="U422" s="171">
        <v>0.19</v>
      </c>
      <c r="V422" s="146" t="s">
        <v>53</v>
      </c>
      <c r="W422" s="146" t="s">
        <v>353</v>
      </c>
      <c r="X422" s="144" t="s">
        <v>13</v>
      </c>
      <c r="Y422" s="172" t="s">
        <v>9</v>
      </c>
      <c r="Z422" s="173"/>
      <c r="AA422" s="174"/>
    </row>
    <row r="423" spans="1:27" ht="15.75" thickBot="1" x14ac:dyDescent="0.3">
      <c r="A423" s="151">
        <v>45927</v>
      </c>
      <c r="B423" s="152">
        <v>7</v>
      </c>
      <c r="C423" s="153"/>
      <c r="D423" s="152" t="s">
        <v>161</v>
      </c>
      <c r="E423" s="154">
        <v>0.55000000000000004</v>
      </c>
      <c r="F423" s="155">
        <v>1</v>
      </c>
      <c r="G423" s="155">
        <v>1</v>
      </c>
      <c r="H423" s="156">
        <v>0.59</v>
      </c>
      <c r="I423" s="153"/>
      <c r="J423" s="152" t="s">
        <v>129</v>
      </c>
      <c r="K423" s="157"/>
      <c r="L423" s="158">
        <v>57</v>
      </c>
      <c r="M423" s="66" t="s">
        <v>161</v>
      </c>
      <c r="N423" s="66" t="s">
        <v>65</v>
      </c>
      <c r="O423" s="66" t="s">
        <v>301</v>
      </c>
      <c r="P423" s="66" t="s">
        <v>689</v>
      </c>
      <c r="Q423" s="219">
        <v>76</v>
      </c>
      <c r="R423" s="66" t="s">
        <v>47</v>
      </c>
      <c r="S423" s="66" t="s">
        <v>42</v>
      </c>
      <c r="T423" s="67" t="s">
        <v>20</v>
      </c>
      <c r="U423" s="175">
        <v>0.23</v>
      </c>
      <c r="V423" s="154">
        <v>0.74</v>
      </c>
      <c r="W423" s="154" t="s">
        <v>353</v>
      </c>
      <c r="X423" s="152" t="s">
        <v>8</v>
      </c>
      <c r="Y423" s="176" t="s">
        <v>51</v>
      </c>
      <c r="Z423" s="177" t="s">
        <v>672</v>
      </c>
      <c r="AA423" s="178" t="s">
        <v>546</v>
      </c>
    </row>
    <row r="424" spans="1:27" ht="15.75" thickBot="1" x14ac:dyDescent="0.3">
      <c r="A424" s="206">
        <v>45927</v>
      </c>
      <c r="B424" s="207">
        <v>7</v>
      </c>
      <c r="C424" s="208"/>
      <c r="D424" s="207" t="s">
        <v>161</v>
      </c>
      <c r="E424" s="209">
        <v>0.55000000000000004</v>
      </c>
      <c r="F424" s="210">
        <v>1</v>
      </c>
      <c r="G424" s="210">
        <v>1</v>
      </c>
      <c r="H424" s="211">
        <v>0.59</v>
      </c>
      <c r="I424" s="208"/>
      <c r="J424" s="207" t="s">
        <v>129</v>
      </c>
      <c r="K424" s="235"/>
      <c r="L424" s="198"/>
      <c r="M424" s="199" t="s">
        <v>161</v>
      </c>
      <c r="N424" s="199" t="s">
        <v>316</v>
      </c>
      <c r="O424" s="199" t="s">
        <v>721</v>
      </c>
      <c r="P424" s="199" t="s">
        <v>707</v>
      </c>
      <c r="Q424" s="200">
        <v>69</v>
      </c>
      <c r="R424" s="199"/>
      <c r="S424" s="199"/>
      <c r="T424" s="201"/>
      <c r="U424" s="202"/>
      <c r="V424" s="203"/>
      <c r="W424" s="203">
        <v>1</v>
      </c>
      <c r="X424" s="199"/>
      <c r="Y424" s="204"/>
      <c r="Z424" s="205"/>
      <c r="AA424" s="201"/>
    </row>
    <row r="425" spans="1:27" ht="15.75" thickBot="1" x14ac:dyDescent="0.3">
      <c r="A425" s="206">
        <v>45927</v>
      </c>
      <c r="B425" s="207">
        <v>7</v>
      </c>
      <c r="C425" s="208"/>
      <c r="D425" s="207" t="s">
        <v>161</v>
      </c>
      <c r="E425" s="209">
        <v>0.55000000000000004</v>
      </c>
      <c r="F425" s="210">
        <v>1</v>
      </c>
      <c r="G425" s="210">
        <v>1</v>
      </c>
      <c r="H425" s="211">
        <v>0.59</v>
      </c>
      <c r="I425" s="208"/>
      <c r="J425" s="207" t="s">
        <v>129</v>
      </c>
      <c r="K425" s="235"/>
      <c r="L425" s="198"/>
      <c r="M425" s="199" t="s">
        <v>129</v>
      </c>
      <c r="N425" s="199" t="s">
        <v>731</v>
      </c>
      <c r="O425" s="199" t="s">
        <v>732</v>
      </c>
      <c r="P425" s="199" t="s">
        <v>707</v>
      </c>
      <c r="Q425" s="200">
        <v>63</v>
      </c>
      <c r="R425" s="199"/>
      <c r="S425" s="199"/>
      <c r="T425" s="201"/>
      <c r="U425" s="202"/>
      <c r="V425" s="203"/>
      <c r="W425" s="203">
        <v>1</v>
      </c>
      <c r="X425" s="199"/>
      <c r="Y425" s="204"/>
      <c r="Z425" s="205"/>
      <c r="AA425" s="201"/>
    </row>
    <row r="426" spans="1:27" x14ac:dyDescent="0.25">
      <c r="A426" s="29">
        <v>45893</v>
      </c>
      <c r="B426" s="5">
        <v>2</v>
      </c>
      <c r="D426" s="5" t="s">
        <v>92</v>
      </c>
      <c r="E426" s="6">
        <v>0.5</v>
      </c>
      <c r="F426" s="7">
        <v>0</v>
      </c>
      <c r="G426" s="7">
        <v>3</v>
      </c>
      <c r="H426" s="8">
        <v>2.68</v>
      </c>
      <c r="J426" s="5" t="s">
        <v>226</v>
      </c>
      <c r="L426" s="56">
        <v>34</v>
      </c>
      <c r="M426" s="26" t="s">
        <v>226</v>
      </c>
      <c r="N426" s="26" t="s">
        <v>236</v>
      </c>
      <c r="O426" s="26" t="s">
        <v>237</v>
      </c>
      <c r="P426" s="26" t="s">
        <v>686</v>
      </c>
      <c r="Q426" s="213">
        <v>63</v>
      </c>
      <c r="R426" s="26" t="s">
        <v>47</v>
      </c>
      <c r="S426" s="26" t="s">
        <v>42</v>
      </c>
      <c r="T426" s="43" t="s">
        <v>20</v>
      </c>
      <c r="U426" s="51">
        <v>0.2</v>
      </c>
      <c r="V426" s="6" t="s">
        <v>53</v>
      </c>
      <c r="W426" s="6" t="s">
        <v>353</v>
      </c>
      <c r="X426" s="5" t="s">
        <v>22</v>
      </c>
      <c r="Y426" s="112" t="s">
        <v>28</v>
      </c>
    </row>
    <row r="427" spans="1:27" x14ac:dyDescent="0.25">
      <c r="A427" s="29">
        <v>45893</v>
      </c>
      <c r="B427" s="5">
        <v>2</v>
      </c>
      <c r="D427" s="5" t="s">
        <v>92</v>
      </c>
      <c r="E427" s="6">
        <v>0.5</v>
      </c>
      <c r="F427" s="7">
        <v>0</v>
      </c>
      <c r="G427" s="7">
        <v>3</v>
      </c>
      <c r="H427" s="8">
        <v>2.68</v>
      </c>
      <c r="J427" s="5" t="s">
        <v>226</v>
      </c>
      <c r="L427" s="56">
        <v>36</v>
      </c>
      <c r="M427" s="26" t="s">
        <v>226</v>
      </c>
      <c r="N427" s="26" t="s">
        <v>56</v>
      </c>
      <c r="O427" s="26" t="s">
        <v>235</v>
      </c>
      <c r="P427" s="26" t="s">
        <v>699</v>
      </c>
      <c r="Q427" s="213">
        <v>73</v>
      </c>
      <c r="R427" s="26" t="s">
        <v>41</v>
      </c>
      <c r="S427" s="26" t="s">
        <v>43</v>
      </c>
      <c r="T427" s="43" t="s">
        <v>540</v>
      </c>
      <c r="U427" s="51">
        <v>0.14000000000000001</v>
      </c>
      <c r="V427" s="6" t="s">
        <v>53</v>
      </c>
      <c r="W427" s="6" t="s">
        <v>353</v>
      </c>
      <c r="X427" s="5" t="s">
        <v>52</v>
      </c>
      <c r="Y427" s="112" t="s">
        <v>28</v>
      </c>
    </row>
    <row r="428" spans="1:27" x14ac:dyDescent="0.25">
      <c r="A428" s="29">
        <v>45893</v>
      </c>
      <c r="B428" s="5">
        <v>2</v>
      </c>
      <c r="D428" s="5" t="s">
        <v>92</v>
      </c>
      <c r="E428" s="6">
        <v>0.5</v>
      </c>
      <c r="F428" s="7">
        <v>0</v>
      </c>
      <c r="G428" s="7">
        <v>3</v>
      </c>
      <c r="H428" s="8">
        <v>2.68</v>
      </c>
      <c r="J428" s="5" t="s">
        <v>226</v>
      </c>
      <c r="L428" s="56">
        <v>66</v>
      </c>
      <c r="M428" s="26" t="s">
        <v>226</v>
      </c>
      <c r="N428" s="26" t="s">
        <v>287</v>
      </c>
      <c r="O428" s="26" t="s">
        <v>288</v>
      </c>
      <c r="P428" s="26" t="s">
        <v>687</v>
      </c>
      <c r="Q428" s="213">
        <v>72</v>
      </c>
      <c r="R428" s="26" t="s">
        <v>41</v>
      </c>
      <c r="S428" s="26" t="s">
        <v>43</v>
      </c>
      <c r="T428" s="43" t="s">
        <v>18</v>
      </c>
      <c r="U428" s="51">
        <v>0.56999999999999995</v>
      </c>
      <c r="V428" s="6">
        <v>0.45</v>
      </c>
      <c r="W428" s="6" t="s">
        <v>353</v>
      </c>
      <c r="X428" s="5" t="s">
        <v>48</v>
      </c>
      <c r="Y428" s="112" t="s">
        <v>9</v>
      </c>
    </row>
    <row r="429" spans="1:27" x14ac:dyDescent="0.25">
      <c r="A429" s="29">
        <v>45893</v>
      </c>
      <c r="B429" s="5">
        <v>2</v>
      </c>
      <c r="D429" s="5" t="s">
        <v>92</v>
      </c>
      <c r="E429" s="6">
        <v>0.5</v>
      </c>
      <c r="F429" s="7">
        <v>0</v>
      </c>
      <c r="G429" s="7">
        <v>3</v>
      </c>
      <c r="H429" s="8">
        <v>2.68</v>
      </c>
      <c r="J429" s="5" t="s">
        <v>226</v>
      </c>
      <c r="L429" s="56">
        <v>83</v>
      </c>
      <c r="M429" s="26" t="s">
        <v>226</v>
      </c>
      <c r="N429" s="26" t="s">
        <v>231</v>
      </c>
      <c r="O429" s="26" t="s">
        <v>232</v>
      </c>
      <c r="P429" s="26" t="s">
        <v>684</v>
      </c>
      <c r="Q429" s="213">
        <v>92</v>
      </c>
      <c r="R429" s="26" t="s">
        <v>41</v>
      </c>
      <c r="S429" s="26" t="s">
        <v>42</v>
      </c>
      <c r="T429" s="43" t="s">
        <v>10</v>
      </c>
      <c r="U429" s="51">
        <v>0.32</v>
      </c>
      <c r="V429" s="6">
        <v>0.34</v>
      </c>
      <c r="W429" s="6" t="s">
        <v>353</v>
      </c>
      <c r="X429" s="5" t="s">
        <v>8</v>
      </c>
      <c r="Y429" s="112" t="s">
        <v>11</v>
      </c>
      <c r="Z429" s="108" t="s">
        <v>289</v>
      </c>
      <c r="AA429" s="57" t="s">
        <v>54</v>
      </c>
    </row>
    <row r="430" spans="1:27" ht="15.75" thickBot="1" x14ac:dyDescent="0.3">
      <c r="A430" s="206">
        <v>45893</v>
      </c>
      <c r="B430" s="207">
        <v>2</v>
      </c>
      <c r="C430" s="208"/>
      <c r="D430" s="207" t="s">
        <v>92</v>
      </c>
      <c r="E430" s="209">
        <v>0.5</v>
      </c>
      <c r="F430" s="210">
        <v>0</v>
      </c>
      <c r="G430" s="210">
        <v>3</v>
      </c>
      <c r="H430" s="211">
        <v>2.68</v>
      </c>
      <c r="I430" s="208"/>
      <c r="J430" s="207" t="s">
        <v>226</v>
      </c>
      <c r="K430" s="197"/>
      <c r="L430" s="198"/>
      <c r="M430" s="199" t="s">
        <v>92</v>
      </c>
      <c r="N430" s="199" t="s">
        <v>432</v>
      </c>
      <c r="O430" s="199" t="s">
        <v>472</v>
      </c>
      <c r="P430" s="199" t="s">
        <v>707</v>
      </c>
      <c r="Q430" s="200">
        <v>76</v>
      </c>
      <c r="R430" s="199"/>
      <c r="S430" s="199"/>
      <c r="T430" s="201"/>
      <c r="U430" s="202"/>
      <c r="V430" s="203"/>
      <c r="W430" s="203">
        <v>3</v>
      </c>
      <c r="X430" s="199"/>
      <c r="Y430" s="204"/>
      <c r="Z430" s="205"/>
      <c r="AA430" s="201"/>
    </row>
    <row r="431" spans="1:27" ht="15.75" thickBot="1" x14ac:dyDescent="0.3">
      <c r="A431" s="206">
        <v>45893</v>
      </c>
      <c r="B431" s="207">
        <v>2</v>
      </c>
      <c r="C431" s="208"/>
      <c r="D431" s="207" t="s">
        <v>92</v>
      </c>
      <c r="E431" s="209">
        <v>0.5</v>
      </c>
      <c r="F431" s="210">
        <v>0</v>
      </c>
      <c r="G431" s="210">
        <v>3</v>
      </c>
      <c r="H431" s="211">
        <v>2.68</v>
      </c>
      <c r="I431" s="208"/>
      <c r="J431" s="207" t="s">
        <v>226</v>
      </c>
      <c r="K431" s="197"/>
      <c r="L431" s="198"/>
      <c r="M431" s="199" t="s">
        <v>226</v>
      </c>
      <c r="N431" s="199" t="s">
        <v>726</v>
      </c>
      <c r="O431" s="199" t="s">
        <v>727</v>
      </c>
      <c r="P431" s="199" t="s">
        <v>707</v>
      </c>
      <c r="Q431" s="200">
        <v>75</v>
      </c>
      <c r="R431" s="199"/>
      <c r="S431" s="199"/>
      <c r="T431" s="201"/>
      <c r="U431" s="202"/>
      <c r="V431" s="203"/>
      <c r="W431" s="203">
        <v>0</v>
      </c>
      <c r="X431" s="199"/>
      <c r="Y431" s="204"/>
      <c r="Z431" s="205"/>
      <c r="AA431" s="201"/>
    </row>
    <row r="432" spans="1:27" x14ac:dyDescent="0.25">
      <c r="A432" s="32">
        <v>45913</v>
      </c>
      <c r="B432" s="13">
        <v>4</v>
      </c>
      <c r="C432" s="124" t="s">
        <v>693</v>
      </c>
      <c r="D432" s="13" t="s">
        <v>146</v>
      </c>
      <c r="E432" s="14">
        <v>2.23</v>
      </c>
      <c r="F432" s="15">
        <v>1</v>
      </c>
      <c r="G432" s="15">
        <v>2</v>
      </c>
      <c r="H432" s="16">
        <v>2.42</v>
      </c>
      <c r="I432" s="124" t="s">
        <v>693</v>
      </c>
      <c r="J432" s="13" t="s">
        <v>226</v>
      </c>
      <c r="K432" s="47" t="s">
        <v>371</v>
      </c>
      <c r="L432" s="98">
        <v>9</v>
      </c>
      <c r="M432" s="79" t="s">
        <v>226</v>
      </c>
      <c r="N432" s="79" t="s">
        <v>231</v>
      </c>
      <c r="O432" s="79" t="s">
        <v>232</v>
      </c>
      <c r="P432" s="79" t="s">
        <v>684</v>
      </c>
      <c r="Q432" s="224">
        <v>84</v>
      </c>
      <c r="R432" s="79" t="s">
        <v>47</v>
      </c>
      <c r="S432" s="79" t="s">
        <v>42</v>
      </c>
      <c r="T432" s="80" t="s">
        <v>10</v>
      </c>
      <c r="U432" s="54">
        <v>0.48</v>
      </c>
      <c r="V432" s="14">
        <v>0.11</v>
      </c>
      <c r="W432" s="14" t="s">
        <v>353</v>
      </c>
      <c r="X432" s="13" t="s">
        <v>48</v>
      </c>
      <c r="Y432" s="115" t="s">
        <v>28</v>
      </c>
      <c r="Z432" s="110"/>
      <c r="AA432" s="60"/>
    </row>
    <row r="433" spans="1:27" x14ac:dyDescent="0.25">
      <c r="A433" s="29">
        <v>45913</v>
      </c>
      <c r="B433" s="5">
        <v>4</v>
      </c>
      <c r="D433" s="5" t="s">
        <v>146</v>
      </c>
      <c r="E433" s="6">
        <v>2.23</v>
      </c>
      <c r="F433" s="7">
        <v>1</v>
      </c>
      <c r="G433" s="7">
        <v>2</v>
      </c>
      <c r="H433" s="8">
        <v>2.42</v>
      </c>
      <c r="J433" s="5" t="s">
        <v>226</v>
      </c>
      <c r="K433" s="44" t="s">
        <v>371</v>
      </c>
      <c r="L433" s="56">
        <v>12</v>
      </c>
      <c r="M433" s="26" t="s">
        <v>226</v>
      </c>
      <c r="N433" s="26" t="s">
        <v>231</v>
      </c>
      <c r="O433" s="26" t="s">
        <v>232</v>
      </c>
      <c r="P433" s="26" t="s">
        <v>684</v>
      </c>
      <c r="Q433" s="213">
        <v>84</v>
      </c>
      <c r="R433" s="26" t="s">
        <v>44</v>
      </c>
      <c r="S433" s="26" t="s">
        <v>42</v>
      </c>
      <c r="T433" s="43" t="s">
        <v>540</v>
      </c>
      <c r="U433" s="51">
        <v>0.15</v>
      </c>
      <c r="V433" s="6">
        <v>0.08</v>
      </c>
      <c r="W433" s="6" t="s">
        <v>353</v>
      </c>
      <c r="X433" s="5" t="s">
        <v>8</v>
      </c>
      <c r="Y433" s="112" t="s">
        <v>9</v>
      </c>
    </row>
    <row r="434" spans="1:27" x14ac:dyDescent="0.25">
      <c r="A434" s="29">
        <v>45913</v>
      </c>
      <c r="B434" s="5">
        <v>4</v>
      </c>
      <c r="D434" s="5" t="s">
        <v>146</v>
      </c>
      <c r="E434" s="6">
        <v>2.23</v>
      </c>
      <c r="F434" s="7">
        <v>1</v>
      </c>
      <c r="G434" s="7">
        <v>2</v>
      </c>
      <c r="H434" s="8">
        <v>2.42</v>
      </c>
      <c r="J434" s="5" t="s">
        <v>226</v>
      </c>
      <c r="K434" s="44" t="s">
        <v>371</v>
      </c>
      <c r="L434" s="56">
        <v>44</v>
      </c>
      <c r="M434" s="26" t="s">
        <v>226</v>
      </c>
      <c r="N434" s="26" t="s">
        <v>56</v>
      </c>
      <c r="O434" s="26" t="s">
        <v>235</v>
      </c>
      <c r="P434" s="26" t="s">
        <v>699</v>
      </c>
      <c r="Q434" s="213">
        <v>86</v>
      </c>
      <c r="R434" s="26" t="s">
        <v>47</v>
      </c>
      <c r="S434" s="26" t="s">
        <v>43</v>
      </c>
      <c r="T434" s="43" t="s">
        <v>10</v>
      </c>
      <c r="U434" s="51">
        <v>0.71</v>
      </c>
      <c r="V434" s="6">
        <v>0.97</v>
      </c>
      <c r="W434" s="6" t="s">
        <v>353</v>
      </c>
      <c r="X434" s="5" t="s">
        <v>8</v>
      </c>
      <c r="Y434" s="112" t="s">
        <v>11</v>
      </c>
      <c r="Z434" s="108" t="s">
        <v>231</v>
      </c>
      <c r="AA434" s="57" t="s">
        <v>232</v>
      </c>
    </row>
    <row r="435" spans="1:27" x14ac:dyDescent="0.25">
      <c r="A435" s="29">
        <v>45913</v>
      </c>
      <c r="B435" s="5">
        <v>4</v>
      </c>
      <c r="D435" s="5" t="s">
        <v>146</v>
      </c>
      <c r="E435" s="6">
        <v>2.23</v>
      </c>
      <c r="F435" s="7">
        <v>1</v>
      </c>
      <c r="G435" s="7">
        <v>2</v>
      </c>
      <c r="H435" s="8">
        <v>2.42</v>
      </c>
      <c r="J435" s="5" t="s">
        <v>226</v>
      </c>
      <c r="K435" s="44" t="s">
        <v>371</v>
      </c>
      <c r="L435" s="56">
        <v>50</v>
      </c>
      <c r="M435" s="61" t="s">
        <v>146</v>
      </c>
      <c r="N435" s="61" t="s">
        <v>241</v>
      </c>
      <c r="O435" s="61" t="s">
        <v>284</v>
      </c>
      <c r="P435" s="61" t="s">
        <v>687</v>
      </c>
      <c r="Q435" s="218">
        <v>62</v>
      </c>
      <c r="R435" s="61" t="s">
        <v>41</v>
      </c>
      <c r="S435" s="61" t="s">
        <v>43</v>
      </c>
      <c r="T435" s="63" t="s">
        <v>10</v>
      </c>
      <c r="U435" s="51">
        <v>0.19</v>
      </c>
      <c r="V435" s="6" t="s">
        <v>53</v>
      </c>
      <c r="W435" s="6" t="s">
        <v>353</v>
      </c>
      <c r="X435" s="5" t="s">
        <v>52</v>
      </c>
      <c r="Y435" s="112" t="s">
        <v>11</v>
      </c>
    </row>
    <row r="436" spans="1:27" x14ac:dyDescent="0.25">
      <c r="A436" s="29">
        <v>45913</v>
      </c>
      <c r="B436" s="5">
        <v>4</v>
      </c>
      <c r="D436" s="5" t="s">
        <v>146</v>
      </c>
      <c r="E436" s="6">
        <v>2.23</v>
      </c>
      <c r="F436" s="7">
        <v>1</v>
      </c>
      <c r="G436" s="7">
        <v>2</v>
      </c>
      <c r="H436" s="8">
        <v>2.42</v>
      </c>
      <c r="J436" s="5" t="s">
        <v>226</v>
      </c>
      <c r="K436" s="44" t="s">
        <v>371</v>
      </c>
      <c r="L436" s="56">
        <v>56</v>
      </c>
      <c r="M436" s="61" t="s">
        <v>146</v>
      </c>
      <c r="N436" s="61" t="s">
        <v>159</v>
      </c>
      <c r="O436" s="61" t="s">
        <v>160</v>
      </c>
      <c r="P436" s="61" t="s">
        <v>684</v>
      </c>
      <c r="Q436" s="218">
        <v>74</v>
      </c>
      <c r="R436" s="61" t="s">
        <v>41</v>
      </c>
      <c r="S436" s="61" t="s">
        <v>43</v>
      </c>
      <c r="T436" s="63" t="s">
        <v>7</v>
      </c>
      <c r="U436" s="51">
        <v>0.79</v>
      </c>
      <c r="V436" s="6">
        <v>0.77</v>
      </c>
      <c r="W436" s="6" t="s">
        <v>353</v>
      </c>
      <c r="X436" s="5" t="s">
        <v>8</v>
      </c>
      <c r="Y436" s="112" t="s">
        <v>67</v>
      </c>
    </row>
    <row r="437" spans="1:27" x14ac:dyDescent="0.25">
      <c r="A437" s="29">
        <v>45913</v>
      </c>
      <c r="B437" s="5">
        <v>4</v>
      </c>
      <c r="D437" s="5" t="s">
        <v>146</v>
      </c>
      <c r="E437" s="6">
        <v>2.23</v>
      </c>
      <c r="F437" s="7">
        <v>1</v>
      </c>
      <c r="G437" s="7">
        <v>2</v>
      </c>
      <c r="H437" s="8">
        <v>2.42</v>
      </c>
      <c r="J437" s="5" t="s">
        <v>226</v>
      </c>
      <c r="K437" s="44" t="s">
        <v>371</v>
      </c>
      <c r="L437" s="56">
        <v>65</v>
      </c>
      <c r="M437" s="61" t="s">
        <v>146</v>
      </c>
      <c r="N437" s="61" t="s">
        <v>159</v>
      </c>
      <c r="O437" s="61" t="s">
        <v>160</v>
      </c>
      <c r="P437" s="61" t="s">
        <v>684</v>
      </c>
      <c r="Q437" s="218">
        <v>74</v>
      </c>
      <c r="R437" s="61" t="s">
        <v>47</v>
      </c>
      <c r="S437" s="61" t="s">
        <v>42</v>
      </c>
      <c r="T437" s="63" t="s">
        <v>10</v>
      </c>
      <c r="U437" s="51">
        <v>0.11</v>
      </c>
      <c r="V437" s="6">
        <v>0.15</v>
      </c>
      <c r="W437" s="6" t="s">
        <v>353</v>
      </c>
      <c r="X437" s="5" t="s">
        <v>48</v>
      </c>
      <c r="Y437" s="112" t="s">
        <v>67</v>
      </c>
    </row>
    <row r="438" spans="1:27" x14ac:dyDescent="0.25">
      <c r="A438" s="29">
        <v>45913</v>
      </c>
      <c r="B438" s="5">
        <v>4</v>
      </c>
      <c r="D438" s="5" t="s">
        <v>146</v>
      </c>
      <c r="E438" s="6">
        <v>2.23</v>
      </c>
      <c r="F438" s="7">
        <v>1</v>
      </c>
      <c r="G438" s="7">
        <v>2</v>
      </c>
      <c r="H438" s="8">
        <v>2.42</v>
      </c>
      <c r="J438" s="5" t="s">
        <v>226</v>
      </c>
      <c r="K438" s="44" t="s">
        <v>371</v>
      </c>
      <c r="L438" s="56">
        <v>67</v>
      </c>
      <c r="M438" s="61" t="s">
        <v>146</v>
      </c>
      <c r="N438" s="61" t="s">
        <v>377</v>
      </c>
      <c r="O438" s="61" t="s">
        <v>378</v>
      </c>
      <c r="P438" s="61" t="s">
        <v>712</v>
      </c>
      <c r="Q438" s="218">
        <v>68</v>
      </c>
      <c r="R438" s="61" t="s">
        <v>41</v>
      </c>
      <c r="S438" s="61" t="s">
        <v>43</v>
      </c>
      <c r="T438" s="63" t="s">
        <v>33</v>
      </c>
      <c r="U438" s="51">
        <v>0.13</v>
      </c>
      <c r="V438" s="6" t="s">
        <v>53</v>
      </c>
      <c r="W438" s="6" t="s">
        <v>353</v>
      </c>
      <c r="X438" s="5" t="s">
        <v>22</v>
      </c>
      <c r="Y438" s="112" t="s">
        <v>67</v>
      </c>
    </row>
    <row r="439" spans="1:27" ht="15.75" thickBot="1" x14ac:dyDescent="0.3">
      <c r="A439" s="30">
        <v>45913</v>
      </c>
      <c r="B439" s="9">
        <v>4</v>
      </c>
      <c r="C439" s="122"/>
      <c r="D439" s="9" t="s">
        <v>146</v>
      </c>
      <c r="E439" s="10">
        <v>2.23</v>
      </c>
      <c r="F439" s="11">
        <v>1</v>
      </c>
      <c r="G439" s="11">
        <v>2</v>
      </c>
      <c r="H439" s="12">
        <v>2.42</v>
      </c>
      <c r="I439" s="122"/>
      <c r="J439" s="9" t="s">
        <v>226</v>
      </c>
      <c r="K439" s="45" t="s">
        <v>371</v>
      </c>
      <c r="L439" s="97">
        <v>84</v>
      </c>
      <c r="M439" s="66" t="s">
        <v>146</v>
      </c>
      <c r="N439" s="66" t="s">
        <v>159</v>
      </c>
      <c r="O439" s="66" t="s">
        <v>160</v>
      </c>
      <c r="P439" s="66" t="s">
        <v>684</v>
      </c>
      <c r="Q439" s="219">
        <v>74</v>
      </c>
      <c r="R439" s="66" t="s">
        <v>41</v>
      </c>
      <c r="S439" s="66" t="s">
        <v>43</v>
      </c>
      <c r="T439" s="67" t="s">
        <v>10</v>
      </c>
      <c r="U439" s="52">
        <v>0.12</v>
      </c>
      <c r="V439" s="10">
        <v>0.03</v>
      </c>
      <c r="W439" s="10" t="s">
        <v>353</v>
      </c>
      <c r="X439" s="9" t="s">
        <v>48</v>
      </c>
      <c r="Y439" s="113" t="s">
        <v>67</v>
      </c>
      <c r="Z439" s="109"/>
      <c r="AA439" s="58"/>
    </row>
    <row r="440" spans="1:27" ht="15.75" thickBot="1" x14ac:dyDescent="0.3">
      <c r="A440" s="206">
        <v>45913</v>
      </c>
      <c r="B440" s="207">
        <v>4</v>
      </c>
      <c r="C440" s="208"/>
      <c r="D440" s="207" t="s">
        <v>146</v>
      </c>
      <c r="E440" s="209">
        <v>2.23</v>
      </c>
      <c r="F440" s="210">
        <v>1</v>
      </c>
      <c r="G440" s="210">
        <v>2</v>
      </c>
      <c r="H440" s="211">
        <v>2.42</v>
      </c>
      <c r="I440" s="208"/>
      <c r="J440" s="207" t="s">
        <v>226</v>
      </c>
      <c r="K440" s="235"/>
      <c r="L440" s="198"/>
      <c r="M440" s="199" t="s">
        <v>146</v>
      </c>
      <c r="N440" s="199" t="s">
        <v>176</v>
      </c>
      <c r="O440" s="199" t="s">
        <v>423</v>
      </c>
      <c r="P440" s="199" t="s">
        <v>707</v>
      </c>
      <c r="Q440" s="200">
        <v>70</v>
      </c>
      <c r="R440" s="199"/>
      <c r="S440" s="199"/>
      <c r="T440" s="201"/>
      <c r="U440" s="202"/>
      <c r="V440" s="203"/>
      <c r="W440" s="203">
        <v>2</v>
      </c>
      <c r="X440" s="199"/>
      <c r="Y440" s="204"/>
      <c r="Z440" s="205"/>
      <c r="AA440" s="201"/>
    </row>
    <row r="441" spans="1:27" ht="15.75" thickBot="1" x14ac:dyDescent="0.3">
      <c r="A441" s="206">
        <v>45913</v>
      </c>
      <c r="B441" s="207">
        <v>4</v>
      </c>
      <c r="C441" s="208"/>
      <c r="D441" s="207" t="s">
        <v>146</v>
      </c>
      <c r="E441" s="209">
        <v>2.23</v>
      </c>
      <c r="F441" s="210">
        <v>1</v>
      </c>
      <c r="G441" s="210">
        <v>2</v>
      </c>
      <c r="H441" s="211">
        <v>2.42</v>
      </c>
      <c r="I441" s="208"/>
      <c r="J441" s="207" t="s">
        <v>226</v>
      </c>
      <c r="K441" s="235"/>
      <c r="L441" s="198"/>
      <c r="M441" s="199" t="s">
        <v>226</v>
      </c>
      <c r="N441" s="199" t="s">
        <v>726</v>
      </c>
      <c r="O441" s="199" t="s">
        <v>727</v>
      </c>
      <c r="P441" s="199" t="s">
        <v>707</v>
      </c>
      <c r="Q441" s="200">
        <v>72</v>
      </c>
      <c r="R441" s="199"/>
      <c r="S441" s="199"/>
      <c r="T441" s="201"/>
      <c r="U441" s="202"/>
      <c r="V441" s="203"/>
      <c r="W441" s="203">
        <v>1</v>
      </c>
      <c r="X441" s="199"/>
      <c r="Y441" s="204"/>
      <c r="Z441" s="205"/>
      <c r="AA441" s="201"/>
    </row>
    <row r="442" spans="1:27" x14ac:dyDescent="0.25">
      <c r="A442" s="32">
        <v>45923</v>
      </c>
      <c r="B442" s="13">
        <v>6</v>
      </c>
      <c r="C442" s="124" t="s">
        <v>694</v>
      </c>
      <c r="D442" s="13" t="s">
        <v>129</v>
      </c>
      <c r="E442" s="14">
        <v>1.8</v>
      </c>
      <c r="F442" s="15">
        <v>1</v>
      </c>
      <c r="G442" s="15">
        <v>4</v>
      </c>
      <c r="H442" s="16">
        <v>3.94</v>
      </c>
      <c r="I442" s="124" t="s">
        <v>702</v>
      </c>
      <c r="J442" s="13" t="s">
        <v>226</v>
      </c>
      <c r="K442" s="47"/>
      <c r="L442" s="98">
        <v>4</v>
      </c>
      <c r="M442" s="70" t="s">
        <v>129</v>
      </c>
      <c r="N442" s="70" t="s">
        <v>59</v>
      </c>
      <c r="O442" s="70" t="s">
        <v>191</v>
      </c>
      <c r="P442" s="70" t="s">
        <v>717</v>
      </c>
      <c r="Q442" s="227">
        <v>64</v>
      </c>
      <c r="R442" s="70" t="s">
        <v>41</v>
      </c>
      <c r="S442" s="70" t="s">
        <v>42</v>
      </c>
      <c r="T442" s="71" t="s">
        <v>10</v>
      </c>
      <c r="U442" s="54">
        <v>0.24</v>
      </c>
      <c r="V442" s="14" t="s">
        <v>53</v>
      </c>
      <c r="W442" s="14" t="s">
        <v>353</v>
      </c>
      <c r="X442" s="13" t="s">
        <v>16</v>
      </c>
      <c r="Y442" s="115" t="s">
        <v>28</v>
      </c>
      <c r="Z442" s="110"/>
      <c r="AA442" s="60"/>
    </row>
    <row r="443" spans="1:27" x14ac:dyDescent="0.25">
      <c r="A443" s="29">
        <v>45923</v>
      </c>
      <c r="B443" s="5">
        <v>6</v>
      </c>
      <c r="D443" s="5" t="s">
        <v>129</v>
      </c>
      <c r="E443" s="6">
        <v>1.8</v>
      </c>
      <c r="F443" s="7">
        <v>1</v>
      </c>
      <c r="G443" s="7">
        <v>4</v>
      </c>
      <c r="H443" s="8">
        <v>3.94</v>
      </c>
      <c r="J443" s="5" t="s">
        <v>226</v>
      </c>
      <c r="L443" s="56">
        <v>13</v>
      </c>
      <c r="M443" s="61" t="s">
        <v>129</v>
      </c>
      <c r="N443" s="61" t="s">
        <v>168</v>
      </c>
      <c r="O443" s="61" t="s">
        <v>263</v>
      </c>
      <c r="P443" s="61" t="s">
        <v>712</v>
      </c>
      <c r="Q443" s="218">
        <v>66</v>
      </c>
      <c r="R443" s="61" t="s">
        <v>41</v>
      </c>
      <c r="S443" s="61" t="s">
        <v>45</v>
      </c>
      <c r="T443" s="63" t="s">
        <v>20</v>
      </c>
      <c r="U443" s="51">
        <v>0.15</v>
      </c>
      <c r="V443" s="6" t="s">
        <v>53</v>
      </c>
      <c r="W443" s="6" t="s">
        <v>353</v>
      </c>
      <c r="X443" s="5" t="s">
        <v>22</v>
      </c>
      <c r="Y443" s="112" t="s">
        <v>28</v>
      </c>
    </row>
    <row r="444" spans="1:27" x14ac:dyDescent="0.25">
      <c r="A444" s="29">
        <v>45923</v>
      </c>
      <c r="B444" s="5">
        <v>6</v>
      </c>
      <c r="D444" s="5" t="s">
        <v>129</v>
      </c>
      <c r="E444" s="6">
        <v>1.8</v>
      </c>
      <c r="F444" s="7">
        <v>1</v>
      </c>
      <c r="G444" s="7">
        <v>4</v>
      </c>
      <c r="H444" s="8">
        <v>3.94</v>
      </c>
      <c r="J444" s="5" t="s">
        <v>226</v>
      </c>
      <c r="L444" s="56">
        <v>21</v>
      </c>
      <c r="M444" s="26" t="s">
        <v>226</v>
      </c>
      <c r="N444" s="26" t="s">
        <v>236</v>
      </c>
      <c r="O444" s="26" t="s">
        <v>237</v>
      </c>
      <c r="P444" s="26" t="s">
        <v>689</v>
      </c>
      <c r="Q444" s="213">
        <v>73</v>
      </c>
      <c r="R444" s="26" t="s">
        <v>41</v>
      </c>
      <c r="S444" s="26" t="s">
        <v>42</v>
      </c>
      <c r="T444" s="43" t="s">
        <v>540</v>
      </c>
      <c r="U444" s="51">
        <v>0.55000000000000004</v>
      </c>
      <c r="V444" s="6" t="s">
        <v>53</v>
      </c>
      <c r="W444" s="6" t="s">
        <v>353</v>
      </c>
      <c r="X444" s="5" t="s">
        <v>17</v>
      </c>
      <c r="Y444" s="112" t="s">
        <v>28</v>
      </c>
    </row>
    <row r="445" spans="1:27" x14ac:dyDescent="0.25">
      <c r="A445" s="29">
        <v>45923</v>
      </c>
      <c r="B445" s="5">
        <v>6</v>
      </c>
      <c r="D445" s="5" t="s">
        <v>129</v>
      </c>
      <c r="E445" s="6">
        <v>1.8</v>
      </c>
      <c r="F445" s="7">
        <v>1</v>
      </c>
      <c r="G445" s="7">
        <v>4</v>
      </c>
      <c r="H445" s="8">
        <v>3.94</v>
      </c>
      <c r="J445" s="5" t="s">
        <v>226</v>
      </c>
      <c r="L445" s="56">
        <v>41</v>
      </c>
      <c r="M445" s="26" t="s">
        <v>226</v>
      </c>
      <c r="N445" s="26" t="s">
        <v>289</v>
      </c>
      <c r="O445" s="26" t="s">
        <v>54</v>
      </c>
      <c r="P445" s="26" t="s">
        <v>685</v>
      </c>
      <c r="Q445" s="213">
        <v>84</v>
      </c>
      <c r="R445" s="26" t="s">
        <v>41</v>
      </c>
      <c r="S445" s="26" t="s">
        <v>42</v>
      </c>
      <c r="T445" s="43" t="s">
        <v>10</v>
      </c>
      <c r="U445" s="51">
        <v>0.28000000000000003</v>
      </c>
      <c r="V445" s="6">
        <v>0.34</v>
      </c>
      <c r="W445" s="6" t="s">
        <v>353</v>
      </c>
      <c r="X445" s="5" t="s">
        <v>48</v>
      </c>
      <c r="Y445" s="112" t="s">
        <v>11</v>
      </c>
    </row>
    <row r="446" spans="1:27" x14ac:dyDescent="0.25">
      <c r="A446" s="29">
        <v>45923</v>
      </c>
      <c r="B446" s="5">
        <v>6</v>
      </c>
      <c r="D446" s="5" t="s">
        <v>129</v>
      </c>
      <c r="E446" s="6">
        <v>1.8</v>
      </c>
      <c r="F446" s="7">
        <v>1</v>
      </c>
      <c r="G446" s="7">
        <v>4</v>
      </c>
      <c r="H446" s="8">
        <v>3.94</v>
      </c>
      <c r="J446" s="5" t="s">
        <v>226</v>
      </c>
      <c r="L446" s="56">
        <v>54</v>
      </c>
      <c r="M446" s="61" t="s">
        <v>129</v>
      </c>
      <c r="N446" s="61" t="s">
        <v>104</v>
      </c>
      <c r="O446" s="61" t="s">
        <v>105</v>
      </c>
      <c r="P446" s="61" t="s">
        <v>718</v>
      </c>
      <c r="Q446" s="218">
        <v>80</v>
      </c>
      <c r="R446" s="61" t="s">
        <v>47</v>
      </c>
      <c r="S446" s="61" t="s">
        <v>45</v>
      </c>
      <c r="T446" s="63" t="s">
        <v>540</v>
      </c>
      <c r="U446" s="51">
        <v>0.78</v>
      </c>
      <c r="V446" s="6">
        <v>0.99</v>
      </c>
      <c r="W446" s="6" t="s">
        <v>353</v>
      </c>
      <c r="X446" s="5" t="s">
        <v>8</v>
      </c>
      <c r="Y446" s="112" t="s">
        <v>67</v>
      </c>
    </row>
    <row r="447" spans="1:27" x14ac:dyDescent="0.25">
      <c r="A447" s="29">
        <v>45923</v>
      </c>
      <c r="B447" s="5">
        <v>6</v>
      </c>
      <c r="D447" s="5" t="s">
        <v>129</v>
      </c>
      <c r="E447" s="6">
        <v>1.8</v>
      </c>
      <c r="F447" s="7">
        <v>1</v>
      </c>
      <c r="G447" s="7">
        <v>4</v>
      </c>
      <c r="H447" s="8">
        <v>3.94</v>
      </c>
      <c r="J447" s="5" t="s">
        <v>226</v>
      </c>
      <c r="L447" s="56">
        <v>64</v>
      </c>
      <c r="M447" s="26" t="s">
        <v>226</v>
      </c>
      <c r="N447" s="26" t="s">
        <v>231</v>
      </c>
      <c r="O447" s="26" t="s">
        <v>232</v>
      </c>
      <c r="P447" s="26" t="s">
        <v>684</v>
      </c>
      <c r="Q447" s="213">
        <v>87</v>
      </c>
      <c r="R447" s="26" t="s">
        <v>41</v>
      </c>
      <c r="S447" s="26" t="s">
        <v>42</v>
      </c>
      <c r="T447" s="43" t="s">
        <v>7</v>
      </c>
      <c r="U447" s="51">
        <v>0.79</v>
      </c>
      <c r="V447" s="6">
        <v>0.94</v>
      </c>
      <c r="W447" s="6" t="s">
        <v>353</v>
      </c>
      <c r="X447" s="5" t="s">
        <v>8</v>
      </c>
      <c r="Y447" s="112" t="s">
        <v>58</v>
      </c>
    </row>
    <row r="448" spans="1:27" x14ac:dyDescent="0.25">
      <c r="A448" s="29">
        <v>45923</v>
      </c>
      <c r="B448" s="5">
        <v>6</v>
      </c>
      <c r="D448" s="5" t="s">
        <v>129</v>
      </c>
      <c r="E448" s="6">
        <v>1.8</v>
      </c>
      <c r="F448" s="7">
        <v>1</v>
      </c>
      <c r="G448" s="7">
        <v>4</v>
      </c>
      <c r="H448" s="8">
        <v>3.94</v>
      </c>
      <c r="J448" s="5" t="s">
        <v>226</v>
      </c>
      <c r="L448" s="56">
        <v>66</v>
      </c>
      <c r="M448" s="26" t="s">
        <v>226</v>
      </c>
      <c r="N448" s="26" t="s">
        <v>231</v>
      </c>
      <c r="O448" s="26" t="s">
        <v>232</v>
      </c>
      <c r="P448" s="26" t="s">
        <v>684</v>
      </c>
      <c r="Q448" s="213">
        <v>87</v>
      </c>
      <c r="R448" s="26" t="s">
        <v>41</v>
      </c>
      <c r="S448" s="26" t="s">
        <v>42</v>
      </c>
      <c r="T448" s="43" t="s">
        <v>10</v>
      </c>
      <c r="U448" s="51">
        <v>0.83</v>
      </c>
      <c r="V448" s="6">
        <v>0.87</v>
      </c>
      <c r="W448" s="6" t="s">
        <v>353</v>
      </c>
      <c r="X448" s="5" t="s">
        <v>8</v>
      </c>
      <c r="Y448" s="112" t="s">
        <v>485</v>
      </c>
      <c r="Z448" s="108" t="s">
        <v>56</v>
      </c>
      <c r="AA448" s="57" t="s">
        <v>235</v>
      </c>
    </row>
    <row r="449" spans="1:27" x14ac:dyDescent="0.25">
      <c r="A449" s="29">
        <v>45923</v>
      </c>
      <c r="B449" s="5">
        <v>6</v>
      </c>
      <c r="D449" s="5" t="s">
        <v>129</v>
      </c>
      <c r="E449" s="6">
        <v>1.8</v>
      </c>
      <c r="F449" s="7">
        <v>1</v>
      </c>
      <c r="G449" s="7">
        <v>4</v>
      </c>
      <c r="H449" s="8">
        <v>3.94</v>
      </c>
      <c r="J449" s="5" t="s">
        <v>226</v>
      </c>
      <c r="L449" s="56">
        <v>79</v>
      </c>
      <c r="M449" s="26" t="s">
        <v>226</v>
      </c>
      <c r="N449" s="26" t="s">
        <v>486</v>
      </c>
      <c r="O449" s="26" t="s">
        <v>487</v>
      </c>
      <c r="P449" s="26" t="s">
        <v>696</v>
      </c>
      <c r="Q449" s="213">
        <v>68</v>
      </c>
      <c r="R449" s="26" t="s">
        <v>41</v>
      </c>
      <c r="S449" s="26" t="s">
        <v>43</v>
      </c>
      <c r="T449" s="43" t="s">
        <v>10</v>
      </c>
      <c r="U449" s="51">
        <v>0.25</v>
      </c>
      <c r="V449" s="6" t="s">
        <v>53</v>
      </c>
      <c r="W449" s="6" t="s">
        <v>353</v>
      </c>
      <c r="X449" s="5" t="s">
        <v>13</v>
      </c>
      <c r="Y449" s="112" t="s">
        <v>485</v>
      </c>
    </row>
    <row r="450" spans="1:27" x14ac:dyDescent="0.25">
      <c r="A450" s="29">
        <v>45923</v>
      </c>
      <c r="B450" s="5">
        <v>6</v>
      </c>
      <c r="D450" s="5" t="s">
        <v>129</v>
      </c>
      <c r="E450" s="6">
        <v>1.8</v>
      </c>
      <c r="F450" s="7">
        <v>1</v>
      </c>
      <c r="G450" s="7">
        <v>4</v>
      </c>
      <c r="H450" s="8">
        <v>3.94</v>
      </c>
      <c r="J450" s="5" t="s">
        <v>226</v>
      </c>
      <c r="L450" s="56" t="s">
        <v>35</v>
      </c>
      <c r="M450" s="26" t="s">
        <v>226</v>
      </c>
      <c r="N450" s="26" t="s">
        <v>289</v>
      </c>
      <c r="O450" s="26" t="s">
        <v>54</v>
      </c>
      <c r="P450" s="26" t="s">
        <v>685</v>
      </c>
      <c r="Q450" s="213">
        <v>84</v>
      </c>
      <c r="R450" s="26" t="s">
        <v>41</v>
      </c>
      <c r="S450" s="26" t="s">
        <v>42</v>
      </c>
      <c r="T450" s="43" t="s">
        <v>10</v>
      </c>
      <c r="U450" s="51">
        <v>0.34</v>
      </c>
      <c r="V450" s="6">
        <v>0.53</v>
      </c>
      <c r="W450" s="6" t="s">
        <v>353</v>
      </c>
      <c r="X450" s="5" t="s">
        <v>48</v>
      </c>
      <c r="Y450" s="112" t="s">
        <v>485</v>
      </c>
    </row>
    <row r="451" spans="1:27" ht="15.75" thickBot="1" x14ac:dyDescent="0.3">
      <c r="A451" s="206">
        <v>45923</v>
      </c>
      <c r="B451" s="207">
        <v>6</v>
      </c>
      <c r="C451" s="208"/>
      <c r="D451" s="207" t="s">
        <v>129</v>
      </c>
      <c r="E451" s="209">
        <v>1.8</v>
      </c>
      <c r="F451" s="210">
        <v>1</v>
      </c>
      <c r="G451" s="210">
        <v>4</v>
      </c>
      <c r="H451" s="211">
        <v>3.94</v>
      </c>
      <c r="I451" s="208"/>
      <c r="J451" s="207" t="s">
        <v>226</v>
      </c>
      <c r="K451" s="235"/>
      <c r="L451" s="198"/>
      <c r="M451" s="199" t="s">
        <v>129</v>
      </c>
      <c r="N451" s="199" t="s">
        <v>731</v>
      </c>
      <c r="O451" s="199" t="s">
        <v>732</v>
      </c>
      <c r="P451" s="199" t="s">
        <v>707</v>
      </c>
      <c r="Q451" s="200">
        <v>75</v>
      </c>
      <c r="R451" s="199"/>
      <c r="S451" s="199"/>
      <c r="T451" s="201"/>
      <c r="U451" s="202"/>
      <c r="V451" s="203"/>
      <c r="W451" s="203">
        <v>4</v>
      </c>
      <c r="X451" s="199"/>
      <c r="Y451" s="204"/>
      <c r="Z451" s="205"/>
      <c r="AA451" s="201"/>
    </row>
    <row r="452" spans="1:27" ht="15.75" thickBot="1" x14ac:dyDescent="0.3">
      <c r="A452" s="206">
        <v>45923</v>
      </c>
      <c r="B452" s="207">
        <v>6</v>
      </c>
      <c r="C452" s="208"/>
      <c r="D452" s="207" t="s">
        <v>129</v>
      </c>
      <c r="E452" s="209">
        <v>1.8</v>
      </c>
      <c r="F452" s="210">
        <v>1</v>
      </c>
      <c r="G452" s="210">
        <v>4</v>
      </c>
      <c r="H452" s="211">
        <v>3.94</v>
      </c>
      <c r="I452" s="208"/>
      <c r="J452" s="207" t="s">
        <v>226</v>
      </c>
      <c r="K452" s="235"/>
      <c r="L452" s="198"/>
      <c r="M452" s="199" t="s">
        <v>226</v>
      </c>
      <c r="N452" s="199" t="s">
        <v>726</v>
      </c>
      <c r="O452" s="199" t="s">
        <v>727</v>
      </c>
      <c r="P452" s="199" t="s">
        <v>707</v>
      </c>
      <c r="Q452" s="200">
        <v>68</v>
      </c>
      <c r="R452" s="199"/>
      <c r="S452" s="199"/>
      <c r="T452" s="201"/>
      <c r="U452" s="202"/>
      <c r="V452" s="203"/>
      <c r="W452" s="203">
        <v>1</v>
      </c>
      <c r="X452" s="199"/>
      <c r="Y452" s="204"/>
      <c r="Z452" s="205"/>
      <c r="AA452" s="201"/>
    </row>
    <row r="453" spans="1:27" x14ac:dyDescent="0.25">
      <c r="A453" s="31">
        <v>45927</v>
      </c>
      <c r="B453" s="17">
        <v>7</v>
      </c>
      <c r="C453" s="123" t="s">
        <v>694</v>
      </c>
      <c r="D453" s="17" t="s">
        <v>193</v>
      </c>
      <c r="E453" s="18">
        <v>2.34</v>
      </c>
      <c r="F453" s="19">
        <v>5</v>
      </c>
      <c r="G453" s="19">
        <v>2</v>
      </c>
      <c r="H453" s="20">
        <v>0.66</v>
      </c>
      <c r="I453" s="123" t="s">
        <v>693</v>
      </c>
      <c r="J453" s="17" t="s">
        <v>226</v>
      </c>
      <c r="K453" s="46"/>
      <c r="L453" s="96">
        <v>14</v>
      </c>
      <c r="M453" s="64" t="s">
        <v>193</v>
      </c>
      <c r="N453" s="64" t="s">
        <v>513</v>
      </c>
      <c r="O453" s="64" t="s">
        <v>514</v>
      </c>
      <c r="P453" s="64" t="s">
        <v>713</v>
      </c>
      <c r="Q453" s="217">
        <v>66</v>
      </c>
      <c r="R453" s="64" t="s">
        <v>47</v>
      </c>
      <c r="S453" s="64" t="s">
        <v>45</v>
      </c>
      <c r="T453" s="65" t="s">
        <v>33</v>
      </c>
      <c r="U453" s="53">
        <v>0.26</v>
      </c>
      <c r="V453" s="18">
        <v>0.16</v>
      </c>
      <c r="W453" s="18" t="s">
        <v>353</v>
      </c>
      <c r="X453" s="17" t="s">
        <v>8</v>
      </c>
      <c r="Y453" s="114" t="s">
        <v>19</v>
      </c>
      <c r="Z453" s="110" t="s">
        <v>204</v>
      </c>
      <c r="AA453" s="60" t="s">
        <v>205</v>
      </c>
    </row>
    <row r="454" spans="1:27" x14ac:dyDescent="0.25">
      <c r="A454" s="29">
        <v>45927</v>
      </c>
      <c r="B454" s="5">
        <v>7</v>
      </c>
      <c r="D454" s="5" t="s">
        <v>193</v>
      </c>
      <c r="E454" s="6">
        <v>2.34</v>
      </c>
      <c r="F454" s="7">
        <v>5</v>
      </c>
      <c r="G454" s="7">
        <v>2</v>
      </c>
      <c r="H454" s="8">
        <v>0.66</v>
      </c>
      <c r="J454" s="5" t="s">
        <v>226</v>
      </c>
      <c r="L454" s="56">
        <v>25</v>
      </c>
      <c r="M454" s="26" t="s">
        <v>226</v>
      </c>
      <c r="N454" s="26" t="s">
        <v>231</v>
      </c>
      <c r="O454" s="26" t="s">
        <v>232</v>
      </c>
      <c r="P454" s="26" t="s">
        <v>684</v>
      </c>
      <c r="Q454" s="213">
        <v>83</v>
      </c>
      <c r="R454" s="26" t="s">
        <v>41</v>
      </c>
      <c r="S454" s="26" t="s">
        <v>42</v>
      </c>
      <c r="T454" s="43" t="s">
        <v>10</v>
      </c>
      <c r="U454" s="51">
        <v>0.17</v>
      </c>
      <c r="V454" s="6">
        <v>0.44</v>
      </c>
      <c r="W454" s="6" t="s">
        <v>353</v>
      </c>
      <c r="X454" s="5" t="s">
        <v>8</v>
      </c>
      <c r="Y454" s="112" t="s">
        <v>51</v>
      </c>
      <c r="Z454" s="108" t="s">
        <v>56</v>
      </c>
      <c r="AA454" s="57" t="s">
        <v>235</v>
      </c>
    </row>
    <row r="455" spans="1:27" x14ac:dyDescent="0.25">
      <c r="A455" s="29">
        <v>45927</v>
      </c>
      <c r="B455" s="5">
        <v>7</v>
      </c>
      <c r="D455" s="5" t="s">
        <v>193</v>
      </c>
      <c r="E455" s="6">
        <v>2.34</v>
      </c>
      <c r="F455" s="7">
        <v>5</v>
      </c>
      <c r="G455" s="7">
        <v>2</v>
      </c>
      <c r="H455" s="8">
        <v>0.66</v>
      </c>
      <c r="J455" s="5" t="s">
        <v>226</v>
      </c>
      <c r="L455" s="56">
        <v>36</v>
      </c>
      <c r="M455" s="26" t="s">
        <v>226</v>
      </c>
      <c r="N455" s="26" t="s">
        <v>56</v>
      </c>
      <c r="O455" s="26" t="s">
        <v>235</v>
      </c>
      <c r="P455" s="26" t="s">
        <v>686</v>
      </c>
      <c r="Q455" s="213">
        <v>71</v>
      </c>
      <c r="R455" s="26" t="s">
        <v>41</v>
      </c>
      <c r="S455" s="26" t="s">
        <v>43</v>
      </c>
      <c r="T455" s="43" t="s">
        <v>18</v>
      </c>
      <c r="U455" s="51">
        <v>0.32</v>
      </c>
      <c r="V455" s="6">
        <v>0.26</v>
      </c>
      <c r="W455" s="6" t="s">
        <v>353</v>
      </c>
      <c r="X455" s="5" t="s">
        <v>8</v>
      </c>
      <c r="Y455" s="112" t="s">
        <v>67</v>
      </c>
      <c r="Z455" s="108" t="s">
        <v>289</v>
      </c>
      <c r="AA455" s="57" t="s">
        <v>54</v>
      </c>
    </row>
    <row r="456" spans="1:27" x14ac:dyDescent="0.25">
      <c r="A456" s="29">
        <v>45927</v>
      </c>
      <c r="B456" s="5">
        <v>7</v>
      </c>
      <c r="D456" s="5" t="s">
        <v>193</v>
      </c>
      <c r="E456" s="6">
        <v>2.34</v>
      </c>
      <c r="F456" s="7">
        <v>5</v>
      </c>
      <c r="G456" s="7">
        <v>2</v>
      </c>
      <c r="H456" s="8">
        <v>0.66</v>
      </c>
      <c r="J456" s="5" t="s">
        <v>226</v>
      </c>
      <c r="L456" s="56" t="s">
        <v>428</v>
      </c>
      <c r="M456" s="61" t="s">
        <v>193</v>
      </c>
      <c r="N456" s="61" t="s">
        <v>257</v>
      </c>
      <c r="O456" s="61" t="s">
        <v>258</v>
      </c>
      <c r="P456" s="61" t="s">
        <v>718</v>
      </c>
      <c r="Q456" s="218">
        <v>68</v>
      </c>
      <c r="R456" s="61" t="s">
        <v>41</v>
      </c>
      <c r="S456" s="61" t="s">
        <v>45</v>
      </c>
      <c r="T456" s="63" t="s">
        <v>29</v>
      </c>
      <c r="U456" s="51">
        <v>0.23</v>
      </c>
      <c r="V456" s="6">
        <v>0.64</v>
      </c>
      <c r="W456" s="6" t="s">
        <v>353</v>
      </c>
      <c r="X456" s="5" t="s">
        <v>8</v>
      </c>
      <c r="Y456" s="112" t="s">
        <v>189</v>
      </c>
      <c r="Z456" s="108" t="s">
        <v>53</v>
      </c>
      <c r="AA456" s="57" t="s">
        <v>477</v>
      </c>
    </row>
    <row r="457" spans="1:27" x14ac:dyDescent="0.25">
      <c r="A457" s="29">
        <v>45927</v>
      </c>
      <c r="B457" s="5">
        <v>7</v>
      </c>
      <c r="D457" s="5" t="s">
        <v>193</v>
      </c>
      <c r="E457" s="6">
        <v>2.34</v>
      </c>
      <c r="F457" s="7">
        <v>5</v>
      </c>
      <c r="G457" s="7">
        <v>2</v>
      </c>
      <c r="H457" s="8">
        <v>0.66</v>
      </c>
      <c r="J457" s="5" t="s">
        <v>226</v>
      </c>
      <c r="L457" s="56">
        <v>51</v>
      </c>
      <c r="M457" s="61" t="s">
        <v>193</v>
      </c>
      <c r="N457" s="61" t="s">
        <v>200</v>
      </c>
      <c r="O457" s="61" t="s">
        <v>201</v>
      </c>
      <c r="P457" s="61" t="s">
        <v>717</v>
      </c>
      <c r="Q457" s="218">
        <v>89</v>
      </c>
      <c r="R457" s="61" t="s">
        <v>41</v>
      </c>
      <c r="S457" s="61" t="s">
        <v>42</v>
      </c>
      <c r="T457" s="63" t="s">
        <v>7</v>
      </c>
      <c r="U457" s="51">
        <v>0.79</v>
      </c>
      <c r="V457" s="6">
        <v>0.6</v>
      </c>
      <c r="W457" s="6" t="s">
        <v>353</v>
      </c>
      <c r="X457" s="5" t="s">
        <v>8</v>
      </c>
      <c r="Y457" s="112" t="s">
        <v>180</v>
      </c>
    </row>
    <row r="458" spans="1:27" x14ac:dyDescent="0.25">
      <c r="A458" s="29">
        <v>45927</v>
      </c>
      <c r="B458" s="5">
        <v>7</v>
      </c>
      <c r="D458" s="5" t="s">
        <v>193</v>
      </c>
      <c r="E458" s="6">
        <v>2.34</v>
      </c>
      <c r="F458" s="7">
        <v>5</v>
      </c>
      <c r="G458" s="7">
        <v>2</v>
      </c>
      <c r="H458" s="8">
        <v>0.66</v>
      </c>
      <c r="J458" s="5" t="s">
        <v>226</v>
      </c>
      <c r="L458" s="56">
        <v>62</v>
      </c>
      <c r="M458" s="61" t="s">
        <v>193</v>
      </c>
      <c r="N458" s="61" t="s">
        <v>257</v>
      </c>
      <c r="O458" s="61" t="s">
        <v>258</v>
      </c>
      <c r="P458" s="61" t="s">
        <v>718</v>
      </c>
      <c r="Q458" s="218">
        <v>68</v>
      </c>
      <c r="R458" s="61" t="s">
        <v>41</v>
      </c>
      <c r="S458" s="61" t="s">
        <v>43</v>
      </c>
      <c r="T458" s="63" t="s">
        <v>10</v>
      </c>
      <c r="U458" s="51">
        <v>0.25</v>
      </c>
      <c r="V458" s="6">
        <v>0.17</v>
      </c>
      <c r="W458" s="6" t="s">
        <v>353</v>
      </c>
      <c r="X458" s="5" t="s">
        <v>48</v>
      </c>
      <c r="Y458" s="112" t="s">
        <v>180</v>
      </c>
    </row>
    <row r="459" spans="1:27" ht="15.75" thickBot="1" x14ac:dyDescent="0.3">
      <c r="A459" s="30">
        <v>45927</v>
      </c>
      <c r="B459" s="9">
        <v>7</v>
      </c>
      <c r="C459" s="122"/>
      <c r="D459" s="9" t="s">
        <v>193</v>
      </c>
      <c r="E459" s="10">
        <v>2.34</v>
      </c>
      <c r="F459" s="11">
        <v>5</v>
      </c>
      <c r="G459" s="11">
        <v>2</v>
      </c>
      <c r="H459" s="12">
        <v>0.66</v>
      </c>
      <c r="I459" s="122"/>
      <c r="J459" s="9" t="s">
        <v>226</v>
      </c>
      <c r="K459" s="45"/>
      <c r="L459" s="97" t="s">
        <v>31</v>
      </c>
      <c r="M459" s="66" t="s">
        <v>193</v>
      </c>
      <c r="N459" s="66" t="s">
        <v>206</v>
      </c>
      <c r="O459" s="66" t="s">
        <v>207</v>
      </c>
      <c r="P459" s="66" t="s">
        <v>696</v>
      </c>
      <c r="Q459" s="219">
        <v>74</v>
      </c>
      <c r="R459" s="66" t="s">
        <v>41</v>
      </c>
      <c r="S459" s="66" t="s">
        <v>42</v>
      </c>
      <c r="T459" s="67" t="s">
        <v>10</v>
      </c>
      <c r="U459" s="52">
        <v>0.47</v>
      </c>
      <c r="V459" s="10">
        <v>0.38</v>
      </c>
      <c r="W459" s="10" t="s">
        <v>353</v>
      </c>
      <c r="X459" s="9" t="s">
        <v>8</v>
      </c>
      <c r="Y459" s="113" t="s">
        <v>516</v>
      </c>
      <c r="Z459" s="109" t="s">
        <v>176</v>
      </c>
      <c r="AA459" s="58" t="s">
        <v>673</v>
      </c>
    </row>
    <row r="460" spans="1:27" ht="15.75" thickBot="1" x14ac:dyDescent="0.3">
      <c r="A460" s="206">
        <v>45927</v>
      </c>
      <c r="B460" s="207">
        <v>7</v>
      </c>
      <c r="C460" s="208"/>
      <c r="D460" s="207" t="s">
        <v>193</v>
      </c>
      <c r="E460" s="209">
        <v>2.34</v>
      </c>
      <c r="F460" s="210">
        <v>5</v>
      </c>
      <c r="G460" s="210">
        <v>2</v>
      </c>
      <c r="H460" s="211">
        <v>0.66</v>
      </c>
      <c r="I460" s="208"/>
      <c r="J460" s="207" t="s">
        <v>226</v>
      </c>
      <c r="K460" s="235"/>
      <c r="L460" s="198"/>
      <c r="M460" s="199" t="s">
        <v>193</v>
      </c>
      <c r="N460" s="199" t="s">
        <v>580</v>
      </c>
      <c r="O460" s="199" t="s">
        <v>581</v>
      </c>
      <c r="P460" s="199" t="s">
        <v>707</v>
      </c>
      <c r="Q460" s="200">
        <v>55</v>
      </c>
      <c r="R460" s="199"/>
      <c r="S460" s="199"/>
      <c r="T460" s="201"/>
      <c r="U460" s="202"/>
      <c r="V460" s="203"/>
      <c r="W460" s="203">
        <v>2</v>
      </c>
      <c r="X460" s="199"/>
      <c r="Y460" s="204"/>
      <c r="Z460" s="205"/>
      <c r="AA460" s="201"/>
    </row>
    <row r="461" spans="1:27" ht="15.75" thickBot="1" x14ac:dyDescent="0.3">
      <c r="A461" s="206">
        <v>45927</v>
      </c>
      <c r="B461" s="207">
        <v>7</v>
      </c>
      <c r="C461" s="208"/>
      <c r="D461" s="207" t="s">
        <v>193</v>
      </c>
      <c r="E461" s="209">
        <v>2.34</v>
      </c>
      <c r="F461" s="210">
        <v>5</v>
      </c>
      <c r="G461" s="210">
        <v>2</v>
      </c>
      <c r="H461" s="211">
        <v>0.66</v>
      </c>
      <c r="I461" s="208"/>
      <c r="J461" s="207" t="s">
        <v>226</v>
      </c>
      <c r="K461" s="235"/>
      <c r="L461" s="198"/>
      <c r="M461" s="199" t="s">
        <v>226</v>
      </c>
      <c r="N461" s="199" t="s">
        <v>726</v>
      </c>
      <c r="O461" s="199" t="s">
        <v>727</v>
      </c>
      <c r="P461" s="199" t="s">
        <v>707</v>
      </c>
      <c r="Q461" s="200">
        <v>58</v>
      </c>
      <c r="R461" s="199"/>
      <c r="S461" s="199"/>
      <c r="T461" s="201"/>
      <c r="U461" s="202"/>
      <c r="V461" s="203"/>
      <c r="W461" s="203">
        <v>5</v>
      </c>
      <c r="X461" s="199"/>
      <c r="Y461" s="204"/>
      <c r="Z461" s="205"/>
      <c r="AA461" s="201"/>
    </row>
    <row r="462" spans="1:27" x14ac:dyDescent="0.25">
      <c r="A462" s="236"/>
      <c r="B462" s="237"/>
      <c r="C462" s="238"/>
      <c r="D462" s="237"/>
      <c r="E462" s="239"/>
      <c r="F462" s="240"/>
      <c r="G462" s="240"/>
      <c r="H462" s="241"/>
      <c r="I462" s="238"/>
      <c r="J462" s="237"/>
      <c r="K462" s="242"/>
      <c r="L462" s="243"/>
      <c r="M462" s="237"/>
      <c r="N462" s="237"/>
      <c r="O462" s="237"/>
      <c r="P462" s="237"/>
      <c r="Q462" s="240"/>
      <c r="R462" s="237"/>
      <c r="S462" s="237"/>
      <c r="T462" s="244"/>
      <c r="U462" s="245"/>
      <c r="V462" s="239"/>
      <c r="W462" s="239" t="s">
        <v>741</v>
      </c>
      <c r="X462" s="237"/>
      <c r="Y462" s="246"/>
      <c r="Z462" s="247"/>
      <c r="AA462" s="244"/>
    </row>
    <row r="463" spans="1:27" x14ac:dyDescent="0.25">
      <c r="A463" s="159">
        <v>45885</v>
      </c>
      <c r="B463" s="160">
        <v>1</v>
      </c>
      <c r="C463" s="161"/>
      <c r="D463" s="160" t="s">
        <v>128</v>
      </c>
      <c r="E463" s="162">
        <v>1.29</v>
      </c>
      <c r="F463" s="163">
        <v>2</v>
      </c>
      <c r="G463" s="163">
        <v>1</v>
      </c>
      <c r="H463" s="164">
        <v>0.87</v>
      </c>
      <c r="I463" s="161"/>
      <c r="J463" s="160" t="s">
        <v>129</v>
      </c>
      <c r="K463" s="149"/>
      <c r="L463" s="188">
        <v>36</v>
      </c>
      <c r="M463" s="62" t="s">
        <v>128</v>
      </c>
      <c r="N463" s="62" t="s">
        <v>130</v>
      </c>
      <c r="O463" s="62" t="s">
        <v>131</v>
      </c>
      <c r="P463" s="62" t="s">
        <v>684</v>
      </c>
      <c r="Q463" s="215">
        <v>77</v>
      </c>
      <c r="R463" s="62" t="s">
        <v>47</v>
      </c>
      <c r="S463" s="62" t="s">
        <v>45</v>
      </c>
      <c r="T463" s="93" t="s">
        <v>20</v>
      </c>
      <c r="U463" s="171">
        <v>0.25</v>
      </c>
      <c r="V463" s="146">
        <v>0.91</v>
      </c>
      <c r="W463" s="146" t="s">
        <v>353</v>
      </c>
      <c r="X463" s="144" t="s">
        <v>8</v>
      </c>
      <c r="Y463" s="172" t="s">
        <v>19</v>
      </c>
      <c r="Z463" s="173" t="s">
        <v>518</v>
      </c>
      <c r="AA463" s="174" t="s">
        <v>519</v>
      </c>
    </row>
    <row r="464" spans="1:27" x14ac:dyDescent="0.25">
      <c r="A464" s="159">
        <v>45885</v>
      </c>
      <c r="B464" s="160">
        <v>1</v>
      </c>
      <c r="C464" s="161"/>
      <c r="D464" s="160" t="s">
        <v>128</v>
      </c>
      <c r="E464" s="162">
        <v>1.29</v>
      </c>
      <c r="F464" s="163">
        <v>2</v>
      </c>
      <c r="G464" s="163">
        <v>1</v>
      </c>
      <c r="H464" s="164">
        <v>0.87</v>
      </c>
      <c r="I464" s="161"/>
      <c r="J464" s="160" t="s">
        <v>129</v>
      </c>
      <c r="K464" s="149"/>
      <c r="L464" s="150">
        <v>68</v>
      </c>
      <c r="M464" s="73" t="s">
        <v>129</v>
      </c>
      <c r="N464" s="73" t="s">
        <v>143</v>
      </c>
      <c r="O464" s="73" t="s">
        <v>144</v>
      </c>
      <c r="P464" s="73" t="s">
        <v>689</v>
      </c>
      <c r="Q464" s="214">
        <v>65</v>
      </c>
      <c r="R464" s="26" t="s">
        <v>47</v>
      </c>
      <c r="S464" s="26" t="s">
        <v>42</v>
      </c>
      <c r="T464" s="43" t="s">
        <v>540</v>
      </c>
      <c r="U464" s="171">
        <v>0.7</v>
      </c>
      <c r="V464" s="146">
        <v>0.96</v>
      </c>
      <c r="W464" s="146" t="s">
        <v>353</v>
      </c>
      <c r="X464" s="144" t="s">
        <v>8</v>
      </c>
      <c r="Y464" s="172" t="s">
        <v>51</v>
      </c>
      <c r="Z464" s="173"/>
      <c r="AA464" s="174"/>
    </row>
    <row r="465" spans="1:27" ht="15.75" thickBot="1" x14ac:dyDescent="0.3">
      <c r="A465" s="181">
        <v>45885</v>
      </c>
      <c r="B465" s="182">
        <v>1</v>
      </c>
      <c r="C465" s="183"/>
      <c r="D465" s="182" t="s">
        <v>128</v>
      </c>
      <c r="E465" s="184">
        <v>1.29</v>
      </c>
      <c r="F465" s="185">
        <v>2</v>
      </c>
      <c r="G465" s="185">
        <v>1</v>
      </c>
      <c r="H465" s="186">
        <v>0.87</v>
      </c>
      <c r="I465" s="183"/>
      <c r="J465" s="182" t="s">
        <v>129</v>
      </c>
      <c r="K465" s="157"/>
      <c r="L465" s="189" t="s">
        <v>35</v>
      </c>
      <c r="M465" s="69" t="s">
        <v>128</v>
      </c>
      <c r="N465" s="69" t="s">
        <v>139</v>
      </c>
      <c r="O465" s="69" t="s">
        <v>140</v>
      </c>
      <c r="P465" s="69" t="s">
        <v>712</v>
      </c>
      <c r="Q465" s="223">
        <v>81</v>
      </c>
      <c r="R465" s="69" t="s">
        <v>47</v>
      </c>
      <c r="S465" s="69" t="s">
        <v>43</v>
      </c>
      <c r="T465" s="94" t="s">
        <v>33</v>
      </c>
      <c r="U465" s="175">
        <v>0.23</v>
      </c>
      <c r="V465" s="154">
        <v>0.93</v>
      </c>
      <c r="W465" s="154" t="s">
        <v>353</v>
      </c>
      <c r="X465" s="152" t="s">
        <v>8</v>
      </c>
      <c r="Y465" s="176" t="s">
        <v>34</v>
      </c>
      <c r="Z465" s="177"/>
      <c r="AA465" s="178"/>
    </row>
    <row r="466" spans="1:27" ht="15.75" thickBot="1" x14ac:dyDescent="0.3">
      <c r="A466" s="191">
        <v>45885</v>
      </c>
      <c r="B466" s="192">
        <v>1</v>
      </c>
      <c r="C466" s="193"/>
      <c r="D466" s="192" t="s">
        <v>128</v>
      </c>
      <c r="E466" s="194">
        <v>1.29</v>
      </c>
      <c r="F466" s="195">
        <v>2</v>
      </c>
      <c r="G466" s="195">
        <v>1</v>
      </c>
      <c r="H466" s="196">
        <v>0.87</v>
      </c>
      <c r="I466" s="193"/>
      <c r="J466" s="192" t="s">
        <v>129</v>
      </c>
      <c r="K466" s="197"/>
      <c r="L466" s="198"/>
      <c r="M466" s="199" t="s">
        <v>128</v>
      </c>
      <c r="N466" s="199" t="s">
        <v>127</v>
      </c>
      <c r="O466" s="199" t="s">
        <v>476</v>
      </c>
      <c r="P466" s="199" t="s">
        <v>707</v>
      </c>
      <c r="Q466" s="200">
        <v>64</v>
      </c>
      <c r="R466" s="199"/>
      <c r="S466" s="199"/>
      <c r="T466" s="201"/>
      <c r="U466" s="202"/>
      <c r="V466" s="203"/>
      <c r="W466" s="203">
        <v>1</v>
      </c>
      <c r="X466" s="199"/>
      <c r="Y466" s="204"/>
      <c r="Z466" s="205"/>
      <c r="AA466" s="201"/>
    </row>
    <row r="467" spans="1:27" ht="15.75" thickBot="1" x14ac:dyDescent="0.3">
      <c r="A467" s="191">
        <v>45885</v>
      </c>
      <c r="B467" s="192">
        <v>1</v>
      </c>
      <c r="C467" s="193"/>
      <c r="D467" s="192" t="s">
        <v>128</v>
      </c>
      <c r="E467" s="194">
        <v>1.29</v>
      </c>
      <c r="F467" s="195">
        <v>2</v>
      </c>
      <c r="G467" s="195">
        <v>1</v>
      </c>
      <c r="H467" s="196">
        <v>0.87</v>
      </c>
      <c r="I467" s="193"/>
      <c r="J467" s="192" t="s">
        <v>129</v>
      </c>
      <c r="K467" s="197"/>
      <c r="L467" s="198"/>
      <c r="M467" s="199" t="s">
        <v>129</v>
      </c>
      <c r="N467" s="199" t="s">
        <v>241</v>
      </c>
      <c r="O467" s="199" t="s">
        <v>716</v>
      </c>
      <c r="P467" s="199" t="s">
        <v>707</v>
      </c>
      <c r="Q467" s="200">
        <v>72</v>
      </c>
      <c r="R467" s="199"/>
      <c r="S467" s="199"/>
      <c r="T467" s="201"/>
      <c r="U467" s="202"/>
      <c r="V467" s="203"/>
      <c r="W467" s="203">
        <v>2</v>
      </c>
      <c r="X467" s="199"/>
      <c r="Y467" s="204"/>
      <c r="Z467" s="205"/>
      <c r="AA467" s="201"/>
    </row>
    <row r="468" spans="1:27" x14ac:dyDescent="0.25">
      <c r="A468" s="143">
        <v>45899</v>
      </c>
      <c r="B468" s="144">
        <v>3</v>
      </c>
      <c r="C468" s="145"/>
      <c r="D468" s="144" t="s">
        <v>128</v>
      </c>
      <c r="E468" s="146">
        <v>0.91</v>
      </c>
      <c r="F468" s="147">
        <v>1</v>
      </c>
      <c r="G468" s="147">
        <v>1</v>
      </c>
      <c r="H468" s="148">
        <v>1.06</v>
      </c>
      <c r="I468" s="145"/>
      <c r="J468" s="144" t="s">
        <v>193</v>
      </c>
      <c r="K468" s="149"/>
      <c r="L468" s="188">
        <v>14</v>
      </c>
      <c r="M468" s="62" t="s">
        <v>128</v>
      </c>
      <c r="N468" s="62" t="s">
        <v>46</v>
      </c>
      <c r="O468" s="62" t="s">
        <v>132</v>
      </c>
      <c r="P468" s="62" t="s">
        <v>686</v>
      </c>
      <c r="Q468" s="215">
        <v>72</v>
      </c>
      <c r="R468" s="62" t="s">
        <v>41</v>
      </c>
      <c r="S468" s="62" t="s">
        <v>42</v>
      </c>
      <c r="T468" s="93" t="s">
        <v>7</v>
      </c>
      <c r="U468" s="171">
        <v>0.79</v>
      </c>
      <c r="V468" s="146">
        <v>0.74</v>
      </c>
      <c r="W468" s="146" t="s">
        <v>353</v>
      </c>
      <c r="X468" s="144" t="s">
        <v>8</v>
      </c>
      <c r="Y468" s="172" t="s">
        <v>51</v>
      </c>
      <c r="Z468" s="173"/>
      <c r="AA468" s="174"/>
    </row>
    <row r="469" spans="1:27" x14ac:dyDescent="0.25">
      <c r="A469" s="143">
        <v>45899</v>
      </c>
      <c r="B469" s="144">
        <v>3</v>
      </c>
      <c r="C469" s="145"/>
      <c r="D469" s="144" t="s">
        <v>128</v>
      </c>
      <c r="E469" s="146">
        <v>0.91</v>
      </c>
      <c r="F469" s="147">
        <v>1</v>
      </c>
      <c r="G469" s="147">
        <v>1</v>
      </c>
      <c r="H469" s="148">
        <v>1.06</v>
      </c>
      <c r="I469" s="145"/>
      <c r="J469" s="144" t="s">
        <v>193</v>
      </c>
      <c r="K469" s="149"/>
      <c r="L469" s="150">
        <v>77</v>
      </c>
      <c r="M469" s="26" t="s">
        <v>193</v>
      </c>
      <c r="N469" s="26" t="s">
        <v>206</v>
      </c>
      <c r="O469" s="26" t="s">
        <v>207</v>
      </c>
      <c r="P469" s="26" t="s">
        <v>696</v>
      </c>
      <c r="Q469" s="213">
        <v>62</v>
      </c>
      <c r="R469" s="26" t="s">
        <v>47</v>
      </c>
      <c r="S469" s="26" t="s">
        <v>43</v>
      </c>
      <c r="T469" s="43" t="s">
        <v>20</v>
      </c>
      <c r="U469" s="171">
        <v>0.17</v>
      </c>
      <c r="V469" s="146" t="s">
        <v>53</v>
      </c>
      <c r="W469" s="146" t="s">
        <v>353</v>
      </c>
      <c r="X469" s="144" t="s">
        <v>17</v>
      </c>
      <c r="Y469" s="172" t="s">
        <v>51</v>
      </c>
      <c r="Z469" s="173"/>
      <c r="AA469" s="174"/>
    </row>
    <row r="470" spans="1:27" ht="15.75" thickBot="1" x14ac:dyDescent="0.3">
      <c r="A470" s="206">
        <v>45899</v>
      </c>
      <c r="B470" s="207">
        <v>3</v>
      </c>
      <c r="C470" s="208"/>
      <c r="D470" s="207" t="s">
        <v>128</v>
      </c>
      <c r="E470" s="209">
        <v>0.91</v>
      </c>
      <c r="F470" s="210">
        <v>1</v>
      </c>
      <c r="G470" s="210">
        <v>1</v>
      </c>
      <c r="H470" s="211">
        <v>1.06</v>
      </c>
      <c r="I470" s="208"/>
      <c r="J470" s="207" t="s">
        <v>193</v>
      </c>
      <c r="K470" s="235"/>
      <c r="L470" s="198"/>
      <c r="M470" s="199" t="s">
        <v>128</v>
      </c>
      <c r="N470" s="199" t="s">
        <v>127</v>
      </c>
      <c r="O470" s="199" t="s">
        <v>476</v>
      </c>
      <c r="P470" s="199" t="s">
        <v>707</v>
      </c>
      <c r="Q470" s="200">
        <v>75</v>
      </c>
      <c r="R470" s="199"/>
      <c r="S470" s="199"/>
      <c r="T470" s="201"/>
      <c r="U470" s="202"/>
      <c r="V470" s="203"/>
      <c r="W470" s="203">
        <v>1</v>
      </c>
      <c r="X470" s="199"/>
      <c r="Y470" s="204"/>
      <c r="Z470" s="205"/>
      <c r="AA470" s="201"/>
    </row>
    <row r="471" spans="1:27" ht="15.75" thickBot="1" x14ac:dyDescent="0.3">
      <c r="A471" s="206">
        <v>45899</v>
      </c>
      <c r="B471" s="207">
        <v>3</v>
      </c>
      <c r="C471" s="208"/>
      <c r="D471" s="207" t="s">
        <v>128</v>
      </c>
      <c r="E471" s="209">
        <v>0.91</v>
      </c>
      <c r="F471" s="210">
        <v>1</v>
      </c>
      <c r="G471" s="210">
        <v>1</v>
      </c>
      <c r="H471" s="211">
        <v>1.06</v>
      </c>
      <c r="I471" s="208"/>
      <c r="J471" s="207" t="s">
        <v>193</v>
      </c>
      <c r="K471" s="235"/>
      <c r="L471" s="198"/>
      <c r="M471" s="199" t="s">
        <v>193</v>
      </c>
      <c r="N471" s="199" t="s">
        <v>580</v>
      </c>
      <c r="O471" s="199" t="s">
        <v>581</v>
      </c>
      <c r="P471" s="199" t="s">
        <v>707</v>
      </c>
      <c r="Q471" s="200">
        <v>69</v>
      </c>
      <c r="R471" s="199"/>
      <c r="S471" s="199"/>
      <c r="T471" s="201"/>
      <c r="U471" s="202"/>
      <c r="V471" s="203"/>
      <c r="W471" s="203">
        <v>1</v>
      </c>
      <c r="X471" s="199"/>
      <c r="Y471" s="204"/>
      <c r="Z471" s="205"/>
      <c r="AA471" s="201"/>
    </row>
    <row r="472" spans="1:27" x14ac:dyDescent="0.25">
      <c r="A472" s="159">
        <v>45920</v>
      </c>
      <c r="B472" s="160">
        <v>5</v>
      </c>
      <c r="C472" s="161" t="s">
        <v>692</v>
      </c>
      <c r="D472" s="160" t="s">
        <v>128</v>
      </c>
      <c r="E472" s="162">
        <v>0.95</v>
      </c>
      <c r="F472" s="163">
        <v>1</v>
      </c>
      <c r="G472" s="163">
        <v>2</v>
      </c>
      <c r="H472" s="164">
        <v>0.48</v>
      </c>
      <c r="I472" s="161" t="s">
        <v>702</v>
      </c>
      <c r="J472" s="160" t="s">
        <v>171</v>
      </c>
      <c r="K472" s="165"/>
      <c r="L472" s="166">
        <v>8</v>
      </c>
      <c r="M472" s="79" t="s">
        <v>171</v>
      </c>
      <c r="N472" s="79" t="s">
        <v>326</v>
      </c>
      <c r="O472" s="79" t="s">
        <v>327</v>
      </c>
      <c r="P472" s="79" t="s">
        <v>685</v>
      </c>
      <c r="Q472" s="224">
        <v>67</v>
      </c>
      <c r="R472" s="79" t="s">
        <v>41</v>
      </c>
      <c r="S472" s="79" t="s">
        <v>42</v>
      </c>
      <c r="T472" s="80" t="s">
        <v>10</v>
      </c>
      <c r="U472" s="179">
        <v>7.0000000000000007E-2</v>
      </c>
      <c r="V472" s="162">
        <v>0.54</v>
      </c>
      <c r="W472" s="162" t="s">
        <v>353</v>
      </c>
      <c r="X472" s="160" t="s">
        <v>48</v>
      </c>
      <c r="Y472" s="180" t="s">
        <v>28</v>
      </c>
      <c r="Z472" s="169"/>
      <c r="AA472" s="170"/>
    </row>
    <row r="473" spans="1:27" x14ac:dyDescent="0.25">
      <c r="A473" s="143">
        <v>45920</v>
      </c>
      <c r="B473" s="144">
        <v>5</v>
      </c>
      <c r="C473" s="145"/>
      <c r="D473" s="144" t="s">
        <v>128</v>
      </c>
      <c r="E473" s="146">
        <v>0.95</v>
      </c>
      <c r="F473" s="147">
        <v>1</v>
      </c>
      <c r="G473" s="147">
        <v>2</v>
      </c>
      <c r="H473" s="148">
        <v>0.48</v>
      </c>
      <c r="I473" s="145"/>
      <c r="J473" s="144" t="s">
        <v>171</v>
      </c>
      <c r="K473" s="149"/>
      <c r="L473" s="188">
        <v>17</v>
      </c>
      <c r="M473" s="62" t="s">
        <v>128</v>
      </c>
      <c r="N473" s="62" t="s">
        <v>46</v>
      </c>
      <c r="O473" s="62" t="s">
        <v>132</v>
      </c>
      <c r="P473" s="62" t="s">
        <v>686</v>
      </c>
      <c r="Q473" s="215">
        <v>78</v>
      </c>
      <c r="R473" s="62" t="s">
        <v>41</v>
      </c>
      <c r="S473" s="62" t="s">
        <v>42</v>
      </c>
      <c r="T473" s="93" t="s">
        <v>7</v>
      </c>
      <c r="U473" s="171">
        <v>0.79</v>
      </c>
      <c r="V473" s="146">
        <v>0.77</v>
      </c>
      <c r="W473" s="146" t="s">
        <v>353</v>
      </c>
      <c r="X473" s="144" t="s">
        <v>8</v>
      </c>
      <c r="Y473" s="172" t="s">
        <v>51</v>
      </c>
      <c r="Z473" s="173"/>
      <c r="AA473" s="174"/>
    </row>
    <row r="474" spans="1:27" x14ac:dyDescent="0.25">
      <c r="A474" s="143">
        <v>45920</v>
      </c>
      <c r="B474" s="144">
        <v>5</v>
      </c>
      <c r="C474" s="145"/>
      <c r="D474" s="144" t="s">
        <v>128</v>
      </c>
      <c r="E474" s="146">
        <v>0.95</v>
      </c>
      <c r="F474" s="147">
        <v>1</v>
      </c>
      <c r="G474" s="147">
        <v>2</v>
      </c>
      <c r="H474" s="148">
        <v>0.48</v>
      </c>
      <c r="I474" s="145"/>
      <c r="J474" s="144" t="s">
        <v>171</v>
      </c>
      <c r="K474" s="149"/>
      <c r="L474" s="150">
        <v>57</v>
      </c>
      <c r="M474" s="26" t="s">
        <v>171</v>
      </c>
      <c r="N474" s="26" t="s">
        <v>441</v>
      </c>
      <c r="O474" s="26" t="s">
        <v>442</v>
      </c>
      <c r="P474" s="26" t="s">
        <v>689</v>
      </c>
      <c r="Q474" s="213">
        <v>72</v>
      </c>
      <c r="R474" s="26" t="s">
        <v>41</v>
      </c>
      <c r="S474" s="26" t="s">
        <v>42</v>
      </c>
      <c r="T474" s="43" t="s">
        <v>10</v>
      </c>
      <c r="U474" s="171">
        <v>0.03</v>
      </c>
      <c r="V474" s="146" t="s">
        <v>53</v>
      </c>
      <c r="W474" s="146" t="s">
        <v>353</v>
      </c>
      <c r="X474" s="144" t="s">
        <v>52</v>
      </c>
      <c r="Y474" s="172" t="s">
        <v>51</v>
      </c>
      <c r="Z474" s="173"/>
      <c r="AA474" s="174"/>
    </row>
    <row r="475" spans="1:27" ht="15.75" thickBot="1" x14ac:dyDescent="0.3">
      <c r="A475" s="206">
        <v>45920</v>
      </c>
      <c r="B475" s="207">
        <v>5</v>
      </c>
      <c r="C475" s="208"/>
      <c r="D475" s="207" t="s">
        <v>128</v>
      </c>
      <c r="E475" s="209">
        <v>0.95</v>
      </c>
      <c r="F475" s="210">
        <v>1</v>
      </c>
      <c r="G475" s="210">
        <v>2</v>
      </c>
      <c r="H475" s="211">
        <v>0.48</v>
      </c>
      <c r="I475" s="208"/>
      <c r="J475" s="207" t="s">
        <v>171</v>
      </c>
      <c r="K475" s="235"/>
      <c r="L475" s="198"/>
      <c r="M475" s="199" t="s">
        <v>128</v>
      </c>
      <c r="N475" s="199" t="s">
        <v>127</v>
      </c>
      <c r="O475" s="199" t="s">
        <v>476</v>
      </c>
      <c r="P475" s="199" t="s">
        <v>707</v>
      </c>
      <c r="Q475" s="200">
        <v>68</v>
      </c>
      <c r="R475" s="199"/>
      <c r="S475" s="199"/>
      <c r="T475" s="201"/>
      <c r="U475" s="202"/>
      <c r="V475" s="203"/>
      <c r="W475" s="203">
        <v>2</v>
      </c>
      <c r="X475" s="199"/>
      <c r="Y475" s="204"/>
      <c r="Z475" s="205"/>
      <c r="AA475" s="201"/>
    </row>
    <row r="476" spans="1:27" ht="15.75" thickBot="1" x14ac:dyDescent="0.3">
      <c r="A476" s="206">
        <v>45920</v>
      </c>
      <c r="B476" s="207">
        <v>5</v>
      </c>
      <c r="C476" s="208"/>
      <c r="D476" s="207" t="s">
        <v>128</v>
      </c>
      <c r="E476" s="209">
        <v>0.95</v>
      </c>
      <c r="F476" s="210">
        <v>1</v>
      </c>
      <c r="G476" s="210">
        <v>2</v>
      </c>
      <c r="H476" s="211">
        <v>0.48</v>
      </c>
      <c r="I476" s="208"/>
      <c r="J476" s="207" t="s">
        <v>171</v>
      </c>
      <c r="K476" s="235"/>
      <c r="L476" s="198"/>
      <c r="M476" s="199" t="s">
        <v>171</v>
      </c>
      <c r="N476" s="199" t="s">
        <v>524</v>
      </c>
      <c r="O476" s="199" t="s">
        <v>525</v>
      </c>
      <c r="P476" s="199" t="s">
        <v>707</v>
      </c>
      <c r="Q476" s="200">
        <v>70</v>
      </c>
      <c r="R476" s="199"/>
      <c r="S476" s="199"/>
      <c r="T476" s="201"/>
      <c r="U476" s="202"/>
      <c r="V476" s="203"/>
      <c r="W476" s="203">
        <v>1</v>
      </c>
      <c r="X476" s="199"/>
      <c r="Y476" s="204"/>
      <c r="Z476" s="205"/>
      <c r="AA476" s="201"/>
    </row>
    <row r="477" spans="1:27" x14ac:dyDescent="0.25">
      <c r="A477" s="143">
        <v>45935</v>
      </c>
      <c r="B477" s="144">
        <v>8</v>
      </c>
      <c r="C477" s="145"/>
      <c r="D477" s="144" t="s">
        <v>128</v>
      </c>
      <c r="E477" s="146">
        <v>2.42</v>
      </c>
      <c r="F477" s="147">
        <v>3</v>
      </c>
      <c r="G477" s="147">
        <v>1</v>
      </c>
      <c r="H477" s="148">
        <v>0.38</v>
      </c>
      <c r="I477" s="145"/>
      <c r="J477" s="144" t="s">
        <v>208</v>
      </c>
      <c r="K477" s="144" t="s">
        <v>564</v>
      </c>
      <c r="L477" s="188">
        <v>63</v>
      </c>
      <c r="M477" s="62" t="s">
        <v>128</v>
      </c>
      <c r="N477" s="62" t="s">
        <v>139</v>
      </c>
      <c r="O477" s="62" t="s">
        <v>140</v>
      </c>
      <c r="P477" s="62" t="s">
        <v>713</v>
      </c>
      <c r="Q477" s="215">
        <v>64</v>
      </c>
      <c r="R477" s="62" t="s">
        <v>41</v>
      </c>
      <c r="S477" s="62" t="s">
        <v>45</v>
      </c>
      <c r="T477" s="93" t="s">
        <v>33</v>
      </c>
      <c r="U477" s="171">
        <v>0.03</v>
      </c>
      <c r="V477" s="146" t="s">
        <v>53</v>
      </c>
      <c r="W477" s="146" t="s">
        <v>353</v>
      </c>
      <c r="X477" s="144" t="s">
        <v>16</v>
      </c>
      <c r="Y477" s="172" t="s">
        <v>28</v>
      </c>
      <c r="Z477" s="173"/>
      <c r="AA477" s="174"/>
    </row>
    <row r="478" spans="1:27" x14ac:dyDescent="0.25">
      <c r="A478" s="143">
        <v>45935</v>
      </c>
      <c r="B478" s="144">
        <v>8</v>
      </c>
      <c r="C478" s="145"/>
      <c r="D478" s="144" t="s">
        <v>128</v>
      </c>
      <c r="E478" s="146">
        <v>2.42</v>
      </c>
      <c r="F478" s="147">
        <v>3</v>
      </c>
      <c r="G478" s="147">
        <v>1</v>
      </c>
      <c r="H478" s="148">
        <v>0.38</v>
      </c>
      <c r="I478" s="145"/>
      <c r="J478" s="144" t="s">
        <v>208</v>
      </c>
      <c r="K478" s="144" t="s">
        <v>564</v>
      </c>
      <c r="L478" s="188">
        <v>76</v>
      </c>
      <c r="M478" s="62" t="s">
        <v>128</v>
      </c>
      <c r="N478" s="62" t="s">
        <v>46</v>
      </c>
      <c r="O478" s="62" t="s">
        <v>132</v>
      </c>
      <c r="P478" s="62" t="s">
        <v>696</v>
      </c>
      <c r="Q478" s="215">
        <v>74</v>
      </c>
      <c r="R478" s="62" t="s">
        <v>41</v>
      </c>
      <c r="S478" s="62" t="s">
        <v>42</v>
      </c>
      <c r="T478" s="93" t="s">
        <v>7</v>
      </c>
      <c r="U478" s="171">
        <v>0.79</v>
      </c>
      <c r="V478" s="146">
        <v>0.99</v>
      </c>
      <c r="W478" s="146" t="s">
        <v>353</v>
      </c>
      <c r="X478" s="144" t="s">
        <v>8</v>
      </c>
      <c r="Y478" s="172" t="s">
        <v>19</v>
      </c>
      <c r="Z478" s="173"/>
      <c r="AA478" s="174"/>
    </row>
    <row r="479" spans="1:27" x14ac:dyDescent="0.25">
      <c r="A479" s="143">
        <v>45935</v>
      </c>
      <c r="B479" s="144">
        <v>8</v>
      </c>
      <c r="C479" s="145"/>
      <c r="D479" s="144" t="s">
        <v>128</v>
      </c>
      <c r="E479" s="146">
        <v>2.42</v>
      </c>
      <c r="F479" s="147">
        <v>3</v>
      </c>
      <c r="G479" s="147">
        <v>1</v>
      </c>
      <c r="H479" s="148">
        <v>0.38</v>
      </c>
      <c r="I479" s="145"/>
      <c r="J479" s="144" t="s">
        <v>208</v>
      </c>
      <c r="K479" s="144" t="s">
        <v>564</v>
      </c>
      <c r="L479" s="150">
        <v>78</v>
      </c>
      <c r="M479" s="26" t="s">
        <v>208</v>
      </c>
      <c r="N479" s="26" t="s">
        <v>362</v>
      </c>
      <c r="O479" s="26" t="s">
        <v>363</v>
      </c>
      <c r="P479" s="26" t="s">
        <v>696</v>
      </c>
      <c r="Q479" s="213">
        <v>73</v>
      </c>
      <c r="R479" s="26" t="s">
        <v>47</v>
      </c>
      <c r="S479" s="26" t="s">
        <v>42</v>
      </c>
      <c r="T479" s="43" t="s">
        <v>10</v>
      </c>
      <c r="U479" s="171">
        <v>0.15</v>
      </c>
      <c r="V479" s="146" t="s">
        <v>53</v>
      </c>
      <c r="W479" s="146" t="s">
        <v>353</v>
      </c>
      <c r="X479" s="144" t="s">
        <v>13</v>
      </c>
      <c r="Y479" s="172" t="s">
        <v>19</v>
      </c>
      <c r="Z479" s="173"/>
      <c r="AA479" s="174"/>
    </row>
    <row r="480" spans="1:27" x14ac:dyDescent="0.25">
      <c r="A480" s="143">
        <v>45935</v>
      </c>
      <c r="B480" s="144">
        <v>8</v>
      </c>
      <c r="C480" s="145"/>
      <c r="D480" s="144" t="s">
        <v>128</v>
      </c>
      <c r="E480" s="146">
        <v>2.42</v>
      </c>
      <c r="F480" s="147">
        <v>3</v>
      </c>
      <c r="G480" s="147">
        <v>1</v>
      </c>
      <c r="H480" s="148">
        <v>0.38</v>
      </c>
      <c r="I480" s="145"/>
      <c r="J480" s="144" t="s">
        <v>208</v>
      </c>
      <c r="K480" s="144" t="s">
        <v>564</v>
      </c>
      <c r="L480" s="150" t="s">
        <v>31</v>
      </c>
      <c r="M480" s="26" t="s">
        <v>208</v>
      </c>
      <c r="N480" s="26" t="s">
        <v>362</v>
      </c>
      <c r="O480" s="26" t="s">
        <v>363</v>
      </c>
      <c r="P480" s="26" t="s">
        <v>696</v>
      </c>
      <c r="Q480" s="213">
        <v>73</v>
      </c>
      <c r="R480" s="26" t="s">
        <v>41</v>
      </c>
      <c r="S480" s="26" t="s">
        <v>42</v>
      </c>
      <c r="T480" s="43" t="s">
        <v>10</v>
      </c>
      <c r="U480" s="171">
        <v>0.18</v>
      </c>
      <c r="V480" s="146">
        <v>0.11</v>
      </c>
      <c r="W480" s="146" t="s">
        <v>353</v>
      </c>
      <c r="X480" s="144" t="s">
        <v>8</v>
      </c>
      <c r="Y480" s="172" t="s">
        <v>34</v>
      </c>
      <c r="Z480" s="173" t="s">
        <v>212</v>
      </c>
      <c r="AA480" s="174" t="s">
        <v>213</v>
      </c>
    </row>
    <row r="481" spans="1:27" x14ac:dyDescent="0.25">
      <c r="A481" s="143">
        <v>45935</v>
      </c>
      <c r="B481" s="144">
        <v>8</v>
      </c>
      <c r="C481" s="145"/>
      <c r="D481" s="144" t="s">
        <v>128</v>
      </c>
      <c r="E481" s="146">
        <v>2.42</v>
      </c>
      <c r="F481" s="147">
        <v>3</v>
      </c>
      <c r="G481" s="147">
        <v>1</v>
      </c>
      <c r="H481" s="148">
        <v>0.38</v>
      </c>
      <c r="I481" s="145"/>
      <c r="J481" s="144" t="s">
        <v>208</v>
      </c>
      <c r="K481" s="144" t="s">
        <v>564</v>
      </c>
      <c r="L481" s="188" t="s">
        <v>415</v>
      </c>
      <c r="M481" s="62" t="s">
        <v>128</v>
      </c>
      <c r="N481" s="62" t="s">
        <v>504</v>
      </c>
      <c r="O481" s="62" t="s">
        <v>520</v>
      </c>
      <c r="P481" s="62" t="s">
        <v>699</v>
      </c>
      <c r="Q481" s="215">
        <v>72</v>
      </c>
      <c r="R481" s="62" t="s">
        <v>41</v>
      </c>
      <c r="S481" s="62" t="s">
        <v>42</v>
      </c>
      <c r="T481" s="93" t="s">
        <v>10</v>
      </c>
      <c r="U481" s="171">
        <v>0.23</v>
      </c>
      <c r="V481" s="146">
        <v>0.67</v>
      </c>
      <c r="W481" s="146" t="s">
        <v>353</v>
      </c>
      <c r="X481" s="144" t="s">
        <v>8</v>
      </c>
      <c r="Y481" s="172" t="s">
        <v>427</v>
      </c>
      <c r="Z481" s="173" t="s">
        <v>518</v>
      </c>
      <c r="AA481" s="174" t="s">
        <v>519</v>
      </c>
    </row>
    <row r="482" spans="1:27" ht="15.75" thickBot="1" x14ac:dyDescent="0.3">
      <c r="A482" s="206">
        <v>45935</v>
      </c>
      <c r="B482" s="207">
        <v>8</v>
      </c>
      <c r="C482" s="208"/>
      <c r="D482" s="207" t="s">
        <v>128</v>
      </c>
      <c r="E482" s="209">
        <v>2.42</v>
      </c>
      <c r="F482" s="210">
        <v>3</v>
      </c>
      <c r="G482" s="210">
        <v>1</v>
      </c>
      <c r="H482" s="211">
        <v>0.38</v>
      </c>
      <c r="I482" s="208"/>
      <c r="J482" s="207" t="s">
        <v>208</v>
      </c>
      <c r="K482" s="235"/>
      <c r="L482" s="198"/>
      <c r="M482" s="199" t="s">
        <v>128</v>
      </c>
      <c r="N482" s="199" t="s">
        <v>127</v>
      </c>
      <c r="O482" s="199" t="s">
        <v>476</v>
      </c>
      <c r="P482" s="199" t="s">
        <v>707</v>
      </c>
      <c r="Q482" s="200">
        <v>64</v>
      </c>
      <c r="R482" s="199"/>
      <c r="S482" s="199"/>
      <c r="T482" s="201"/>
      <c r="U482" s="202"/>
      <c r="V482" s="203"/>
      <c r="W482" s="203">
        <v>1</v>
      </c>
      <c r="X482" s="199"/>
      <c r="Y482" s="204"/>
      <c r="Z482" s="205"/>
      <c r="AA482" s="201"/>
    </row>
    <row r="483" spans="1:27" ht="15.75" thickBot="1" x14ac:dyDescent="0.3">
      <c r="A483" s="206">
        <v>45935</v>
      </c>
      <c r="B483" s="207">
        <v>8</v>
      </c>
      <c r="C483" s="208"/>
      <c r="D483" s="207" t="s">
        <v>128</v>
      </c>
      <c r="E483" s="209">
        <v>2.42</v>
      </c>
      <c r="F483" s="210">
        <v>3</v>
      </c>
      <c r="G483" s="210">
        <v>1</v>
      </c>
      <c r="H483" s="211">
        <v>0.38</v>
      </c>
      <c r="I483" s="208"/>
      <c r="J483" s="207" t="s">
        <v>208</v>
      </c>
      <c r="K483" s="235"/>
      <c r="L483" s="198"/>
      <c r="M483" s="199" t="s">
        <v>208</v>
      </c>
      <c r="N483" s="199" t="s">
        <v>295</v>
      </c>
      <c r="O483" s="199" t="s">
        <v>735</v>
      </c>
      <c r="P483" s="199" t="s">
        <v>707</v>
      </c>
      <c r="Q483" s="200">
        <v>60</v>
      </c>
      <c r="R483" s="199"/>
      <c r="S483" s="199"/>
      <c r="T483" s="201"/>
      <c r="U483" s="202"/>
      <c r="V483" s="203"/>
      <c r="W483" s="203">
        <v>3</v>
      </c>
      <c r="X483" s="199"/>
      <c r="Y483" s="204"/>
      <c r="Z483" s="205"/>
      <c r="AA483" s="201"/>
    </row>
    <row r="484" spans="1:27" x14ac:dyDescent="0.25">
      <c r="A484" s="31">
        <v>45893</v>
      </c>
      <c r="B484" s="17">
        <v>2</v>
      </c>
      <c r="C484" s="123" t="s">
        <v>702</v>
      </c>
      <c r="D484" s="17" t="s">
        <v>227</v>
      </c>
      <c r="E484" s="18">
        <v>0.83</v>
      </c>
      <c r="F484" s="19">
        <v>1</v>
      </c>
      <c r="G484" s="19">
        <v>0</v>
      </c>
      <c r="H484" s="20">
        <v>0.41</v>
      </c>
      <c r="I484" s="123" t="s">
        <v>694</v>
      </c>
      <c r="J484" s="17" t="s">
        <v>145</v>
      </c>
      <c r="K484" s="46" t="s">
        <v>356</v>
      </c>
      <c r="L484" s="96">
        <v>9</v>
      </c>
      <c r="M484" s="64" t="s">
        <v>227</v>
      </c>
      <c r="N484" s="64" t="s">
        <v>238</v>
      </c>
      <c r="O484" s="64" t="s">
        <v>239</v>
      </c>
      <c r="P484" s="64" t="s">
        <v>684</v>
      </c>
      <c r="Q484" s="217">
        <v>75</v>
      </c>
      <c r="R484" s="64" t="s">
        <v>41</v>
      </c>
      <c r="S484" s="64" t="s">
        <v>45</v>
      </c>
      <c r="T484" s="65" t="s">
        <v>10</v>
      </c>
      <c r="U484" s="53">
        <v>0.23</v>
      </c>
      <c r="V484" s="18">
        <v>0.42</v>
      </c>
      <c r="W484" s="18" t="s">
        <v>353</v>
      </c>
      <c r="X484" s="17" t="s">
        <v>8</v>
      </c>
      <c r="Y484" s="114" t="s">
        <v>19</v>
      </c>
      <c r="Z484" s="110" t="s">
        <v>421</v>
      </c>
      <c r="AA484" s="60" t="s">
        <v>656</v>
      </c>
    </row>
    <row r="485" spans="1:27" ht="15.75" thickBot="1" x14ac:dyDescent="0.3">
      <c r="A485" s="30">
        <v>45893</v>
      </c>
      <c r="B485" s="9">
        <v>2</v>
      </c>
      <c r="C485" s="122"/>
      <c r="D485" s="9" t="s">
        <v>227</v>
      </c>
      <c r="E485" s="10">
        <v>0.83</v>
      </c>
      <c r="F485" s="11">
        <v>1</v>
      </c>
      <c r="G485" s="11">
        <v>0</v>
      </c>
      <c r="H485" s="12">
        <v>0.41</v>
      </c>
      <c r="I485" s="122"/>
      <c r="J485" s="9" t="s">
        <v>145</v>
      </c>
      <c r="K485" s="45" t="s">
        <v>356</v>
      </c>
      <c r="L485" s="97" t="s">
        <v>122</v>
      </c>
      <c r="M485" s="74" t="s">
        <v>145</v>
      </c>
      <c r="N485" s="74" t="s">
        <v>271</v>
      </c>
      <c r="O485" s="74" t="s">
        <v>272</v>
      </c>
      <c r="P485" s="74" t="s">
        <v>718</v>
      </c>
      <c r="Q485" s="221">
        <v>62</v>
      </c>
      <c r="R485" s="74" t="s">
        <v>41</v>
      </c>
      <c r="S485" s="74" t="s">
        <v>42</v>
      </c>
      <c r="T485" s="76" t="s">
        <v>10</v>
      </c>
      <c r="U485" s="52">
        <v>0.35</v>
      </c>
      <c r="V485" s="10" t="s">
        <v>53</v>
      </c>
      <c r="W485" s="10" t="s">
        <v>353</v>
      </c>
      <c r="X485" s="9" t="s">
        <v>13</v>
      </c>
      <c r="Y485" s="113" t="s">
        <v>19</v>
      </c>
      <c r="Z485" s="109"/>
      <c r="AA485" s="58"/>
    </row>
    <row r="486" spans="1:27" ht="15.75" thickBot="1" x14ac:dyDescent="0.3">
      <c r="A486" s="206">
        <v>45893</v>
      </c>
      <c r="B486" s="207">
        <v>2</v>
      </c>
      <c r="C486" s="208"/>
      <c r="D486" s="207" t="s">
        <v>227</v>
      </c>
      <c r="E486" s="209">
        <v>0.83</v>
      </c>
      <c r="F486" s="210">
        <v>1</v>
      </c>
      <c r="G486" s="210">
        <v>0</v>
      </c>
      <c r="H486" s="211">
        <v>0.41</v>
      </c>
      <c r="I486" s="208"/>
      <c r="J486" s="207" t="s">
        <v>145</v>
      </c>
      <c r="K486" s="197"/>
      <c r="L486" s="198"/>
      <c r="M486" s="199" t="s">
        <v>227</v>
      </c>
      <c r="N486" s="199" t="s">
        <v>298</v>
      </c>
      <c r="O486" s="199" t="s">
        <v>86</v>
      </c>
      <c r="P486" s="199" t="s">
        <v>707</v>
      </c>
      <c r="Q486" s="200">
        <v>68</v>
      </c>
      <c r="R486" s="199"/>
      <c r="S486" s="199"/>
      <c r="T486" s="201"/>
      <c r="U486" s="202"/>
      <c r="V486" s="203"/>
      <c r="W486" s="203">
        <v>0</v>
      </c>
      <c r="X486" s="199"/>
      <c r="Y486" s="204"/>
      <c r="Z486" s="205"/>
      <c r="AA486" s="201"/>
    </row>
    <row r="487" spans="1:27" ht="15.75" thickBot="1" x14ac:dyDescent="0.3">
      <c r="A487" s="206">
        <v>45893</v>
      </c>
      <c r="B487" s="207">
        <v>2</v>
      </c>
      <c r="C487" s="208"/>
      <c r="D487" s="207" t="s">
        <v>227</v>
      </c>
      <c r="E487" s="209">
        <v>0.83</v>
      </c>
      <c r="F487" s="210">
        <v>1</v>
      </c>
      <c r="G487" s="210">
        <v>0</v>
      </c>
      <c r="H487" s="211">
        <v>0.41</v>
      </c>
      <c r="I487" s="208"/>
      <c r="J487" s="207" t="s">
        <v>145</v>
      </c>
      <c r="K487" s="197"/>
      <c r="L487" s="198"/>
      <c r="M487" s="199" t="s">
        <v>145</v>
      </c>
      <c r="N487" s="199" t="s">
        <v>482</v>
      </c>
      <c r="O487" s="199" t="s">
        <v>483</v>
      </c>
      <c r="P487" s="199" t="s">
        <v>707</v>
      </c>
      <c r="Q487" s="200">
        <v>65</v>
      </c>
      <c r="R487" s="199"/>
      <c r="S487" s="199"/>
      <c r="T487" s="201"/>
      <c r="U487" s="202"/>
      <c r="V487" s="203"/>
      <c r="W487" s="203">
        <v>1</v>
      </c>
      <c r="X487" s="199"/>
      <c r="Y487" s="204"/>
      <c r="Z487" s="205"/>
      <c r="AA487" s="201"/>
    </row>
    <row r="488" spans="1:27" x14ac:dyDescent="0.25">
      <c r="A488" s="29">
        <v>45914</v>
      </c>
      <c r="B488" s="5">
        <v>4</v>
      </c>
      <c r="D488" s="5" t="s">
        <v>113</v>
      </c>
      <c r="E488" s="6">
        <v>4.0199999999999996</v>
      </c>
      <c r="F488" s="7">
        <v>6</v>
      </c>
      <c r="G488" s="7">
        <v>0</v>
      </c>
      <c r="H488" s="8">
        <v>0.18</v>
      </c>
      <c r="J488" s="5" t="s">
        <v>145</v>
      </c>
      <c r="L488" s="56">
        <v>10</v>
      </c>
      <c r="M488" s="61" t="s">
        <v>113</v>
      </c>
      <c r="N488" s="61" t="s">
        <v>118</v>
      </c>
      <c r="O488" s="61" t="s">
        <v>119</v>
      </c>
      <c r="P488" s="61" t="s">
        <v>684</v>
      </c>
      <c r="Q488" s="218">
        <v>63</v>
      </c>
      <c r="R488" s="61" t="s">
        <v>41</v>
      </c>
      <c r="S488" s="61" t="s">
        <v>42</v>
      </c>
      <c r="T488" s="63" t="s">
        <v>10</v>
      </c>
      <c r="U488" s="51">
        <v>0.68</v>
      </c>
      <c r="V488" s="6" t="s">
        <v>53</v>
      </c>
      <c r="W488" s="6" t="s">
        <v>353</v>
      </c>
      <c r="X488" s="5" t="s">
        <v>55</v>
      </c>
      <c r="Y488" s="112" t="s">
        <v>28</v>
      </c>
    </row>
    <row r="489" spans="1:27" x14ac:dyDescent="0.25">
      <c r="A489" s="29">
        <v>45914</v>
      </c>
      <c r="B489" s="5">
        <v>4</v>
      </c>
      <c r="D489" s="5" t="s">
        <v>113</v>
      </c>
      <c r="E489" s="6">
        <v>4.0199999999999996</v>
      </c>
      <c r="F489" s="7">
        <v>6</v>
      </c>
      <c r="G489" s="7">
        <v>0</v>
      </c>
      <c r="H489" s="8">
        <v>0.18</v>
      </c>
      <c r="J489" s="5" t="s">
        <v>145</v>
      </c>
      <c r="L489" s="56">
        <v>48</v>
      </c>
      <c r="M489" s="61" t="s">
        <v>113</v>
      </c>
      <c r="N489" s="61" t="s">
        <v>118</v>
      </c>
      <c r="O489" s="61" t="s">
        <v>119</v>
      </c>
      <c r="P489" s="61" t="s">
        <v>684</v>
      </c>
      <c r="Q489" s="218">
        <v>63</v>
      </c>
      <c r="R489" s="61" t="s">
        <v>41</v>
      </c>
      <c r="S489" s="61" t="s">
        <v>42</v>
      </c>
      <c r="T489" s="63" t="s">
        <v>10</v>
      </c>
      <c r="U489" s="51">
        <v>0.41</v>
      </c>
      <c r="V489" s="6" t="s">
        <v>53</v>
      </c>
      <c r="W489" s="6" t="s">
        <v>353</v>
      </c>
      <c r="X489" s="5" t="s">
        <v>17</v>
      </c>
      <c r="Y489" s="112" t="s">
        <v>19</v>
      </c>
    </row>
    <row r="490" spans="1:27" x14ac:dyDescent="0.25">
      <c r="A490" s="29">
        <v>45914</v>
      </c>
      <c r="B490" s="5">
        <v>4</v>
      </c>
      <c r="D490" s="5" t="s">
        <v>113</v>
      </c>
      <c r="E490" s="6">
        <v>4.0199999999999996</v>
      </c>
      <c r="F490" s="7">
        <v>6</v>
      </c>
      <c r="G490" s="7">
        <v>0</v>
      </c>
      <c r="H490" s="8">
        <v>0.18</v>
      </c>
      <c r="J490" s="5" t="s">
        <v>145</v>
      </c>
      <c r="L490" s="56">
        <v>53</v>
      </c>
      <c r="M490" s="61" t="s">
        <v>113</v>
      </c>
      <c r="N490" s="61" t="s">
        <v>118</v>
      </c>
      <c r="O490" s="61" t="s">
        <v>119</v>
      </c>
      <c r="P490" s="61" t="s">
        <v>684</v>
      </c>
      <c r="Q490" s="218">
        <v>63</v>
      </c>
      <c r="R490" s="61" t="s">
        <v>41</v>
      </c>
      <c r="S490" s="61" t="s">
        <v>43</v>
      </c>
      <c r="T490" s="63" t="s">
        <v>10</v>
      </c>
      <c r="U490" s="51">
        <v>0.23</v>
      </c>
      <c r="V490" s="6">
        <v>0.24</v>
      </c>
      <c r="W490" s="6" t="s">
        <v>353</v>
      </c>
      <c r="X490" s="5" t="s">
        <v>48</v>
      </c>
      <c r="Y490" s="112" t="s">
        <v>19</v>
      </c>
    </row>
    <row r="491" spans="1:27" x14ac:dyDescent="0.25">
      <c r="A491" s="29">
        <v>45914</v>
      </c>
      <c r="B491" s="5">
        <v>4</v>
      </c>
      <c r="D491" s="5" t="s">
        <v>113</v>
      </c>
      <c r="E491" s="6">
        <v>4.0199999999999996</v>
      </c>
      <c r="F491" s="7">
        <v>6</v>
      </c>
      <c r="G491" s="7">
        <v>0</v>
      </c>
      <c r="H491" s="8">
        <v>0.18</v>
      </c>
      <c r="J491" s="5" t="s">
        <v>145</v>
      </c>
      <c r="L491" s="56">
        <v>53</v>
      </c>
      <c r="M491" s="61" t="s">
        <v>113</v>
      </c>
      <c r="N491" s="61" t="s">
        <v>53</v>
      </c>
      <c r="O491" s="61" t="s">
        <v>117</v>
      </c>
      <c r="P491" s="61" t="s">
        <v>696</v>
      </c>
      <c r="Q491" s="218">
        <v>88</v>
      </c>
      <c r="R491" s="61" t="s">
        <v>47</v>
      </c>
      <c r="S491" s="61" t="s">
        <v>42</v>
      </c>
      <c r="T491" s="63" t="s">
        <v>10</v>
      </c>
      <c r="U491" s="51">
        <v>0.56000000000000005</v>
      </c>
      <c r="V491" s="6">
        <v>0.78</v>
      </c>
      <c r="W491" s="6" t="s">
        <v>353</v>
      </c>
      <c r="X491" s="5" t="s">
        <v>8</v>
      </c>
      <c r="Y491" s="112" t="s">
        <v>24</v>
      </c>
      <c r="Z491" s="108" t="s">
        <v>468</v>
      </c>
      <c r="AA491" s="57" t="s">
        <v>469</v>
      </c>
    </row>
    <row r="492" spans="1:27" x14ac:dyDescent="0.25">
      <c r="A492" s="29">
        <v>45914</v>
      </c>
      <c r="B492" s="5">
        <v>4</v>
      </c>
      <c r="D492" s="5" t="s">
        <v>113</v>
      </c>
      <c r="E492" s="6">
        <v>4.0199999999999996</v>
      </c>
      <c r="F492" s="7">
        <v>6</v>
      </c>
      <c r="G492" s="7">
        <v>0</v>
      </c>
      <c r="H492" s="8">
        <v>0.18</v>
      </c>
      <c r="J492" s="5" t="s">
        <v>145</v>
      </c>
      <c r="L492" s="56">
        <v>76</v>
      </c>
      <c r="M492" s="61" t="s">
        <v>113</v>
      </c>
      <c r="N492" s="61" t="s">
        <v>178</v>
      </c>
      <c r="O492" s="61" t="s">
        <v>407</v>
      </c>
      <c r="P492" s="61" t="s">
        <v>696</v>
      </c>
      <c r="Q492" s="218">
        <v>88</v>
      </c>
      <c r="R492" s="61" t="s">
        <v>41</v>
      </c>
      <c r="S492" s="61" t="s">
        <v>42</v>
      </c>
      <c r="T492" s="63" t="s">
        <v>10</v>
      </c>
      <c r="U492" s="51">
        <v>0.62</v>
      </c>
      <c r="V492" s="6">
        <v>0.86</v>
      </c>
      <c r="W492" s="6" t="s">
        <v>353</v>
      </c>
      <c r="X492" s="5" t="s">
        <v>8</v>
      </c>
      <c r="Y492" s="112" t="s">
        <v>285</v>
      </c>
      <c r="Z492" s="108" t="s">
        <v>124</v>
      </c>
      <c r="AA492" s="57" t="s">
        <v>125</v>
      </c>
    </row>
    <row r="493" spans="1:27" ht="15.75" thickBot="1" x14ac:dyDescent="0.3">
      <c r="A493" s="30">
        <v>45914</v>
      </c>
      <c r="B493" s="9">
        <v>4</v>
      </c>
      <c r="C493" s="122"/>
      <c r="D493" s="9" t="s">
        <v>113</v>
      </c>
      <c r="E493" s="10">
        <v>4.0199999999999996</v>
      </c>
      <c r="F493" s="11">
        <v>6</v>
      </c>
      <c r="G493" s="11">
        <v>0</v>
      </c>
      <c r="H493" s="12">
        <v>0.18</v>
      </c>
      <c r="I493" s="122"/>
      <c r="J493" s="9" t="s">
        <v>145</v>
      </c>
      <c r="K493" s="45"/>
      <c r="L493" s="97">
        <v>86</v>
      </c>
      <c r="M493" s="66" t="s">
        <v>113</v>
      </c>
      <c r="N493" s="66" t="s">
        <v>178</v>
      </c>
      <c r="O493" s="66" t="s">
        <v>407</v>
      </c>
      <c r="P493" s="66" t="s">
        <v>696</v>
      </c>
      <c r="Q493" s="219">
        <v>88</v>
      </c>
      <c r="R493" s="66" t="s">
        <v>41</v>
      </c>
      <c r="S493" s="66" t="s">
        <v>42</v>
      </c>
      <c r="T493" s="67" t="s">
        <v>10</v>
      </c>
      <c r="U493" s="52">
        <v>0.57999999999999996</v>
      </c>
      <c r="V493" s="10">
        <v>0.37</v>
      </c>
      <c r="W493" s="10" t="s">
        <v>353</v>
      </c>
      <c r="X493" s="9" t="s">
        <v>8</v>
      </c>
      <c r="Y493" s="113" t="s">
        <v>408</v>
      </c>
      <c r="Z493" s="109" t="s">
        <v>337</v>
      </c>
      <c r="AA493" s="58" t="s">
        <v>663</v>
      </c>
    </row>
    <row r="494" spans="1:27" ht="15.75" thickBot="1" x14ac:dyDescent="0.3">
      <c r="A494" s="206">
        <v>45914</v>
      </c>
      <c r="B494" s="207">
        <v>4</v>
      </c>
      <c r="C494" s="208"/>
      <c r="D494" s="207" t="s">
        <v>113</v>
      </c>
      <c r="E494" s="209">
        <v>4.0199999999999996</v>
      </c>
      <c r="F494" s="210">
        <v>6</v>
      </c>
      <c r="G494" s="210">
        <v>0</v>
      </c>
      <c r="H494" s="211">
        <v>0.18</v>
      </c>
      <c r="I494" s="208"/>
      <c r="J494" s="207" t="s">
        <v>145</v>
      </c>
      <c r="K494" s="235"/>
      <c r="L494" s="198"/>
      <c r="M494" s="199" t="s">
        <v>113</v>
      </c>
      <c r="N494" s="199" t="s">
        <v>475</v>
      </c>
      <c r="O494" s="199" t="s">
        <v>75</v>
      </c>
      <c r="P494" s="199" t="s">
        <v>707</v>
      </c>
      <c r="Q494" s="200">
        <v>74</v>
      </c>
      <c r="R494" s="199"/>
      <c r="S494" s="199"/>
      <c r="T494" s="201"/>
      <c r="U494" s="202"/>
      <c r="V494" s="203"/>
      <c r="W494" s="203">
        <v>0</v>
      </c>
      <c r="X494" s="199"/>
      <c r="Y494" s="204"/>
      <c r="Z494" s="205"/>
      <c r="AA494" s="201"/>
    </row>
    <row r="495" spans="1:27" ht="15.75" thickBot="1" x14ac:dyDescent="0.3">
      <c r="A495" s="206">
        <v>45914</v>
      </c>
      <c r="B495" s="207">
        <v>4</v>
      </c>
      <c r="C495" s="208"/>
      <c r="D495" s="207" t="s">
        <v>113</v>
      </c>
      <c r="E495" s="209">
        <v>4.0199999999999996</v>
      </c>
      <c r="F495" s="210">
        <v>6</v>
      </c>
      <c r="G495" s="210">
        <v>0</v>
      </c>
      <c r="H495" s="211">
        <v>0.18</v>
      </c>
      <c r="I495" s="208"/>
      <c r="J495" s="207" t="s">
        <v>145</v>
      </c>
      <c r="K495" s="235"/>
      <c r="L495" s="198"/>
      <c r="M495" s="199" t="s">
        <v>145</v>
      </c>
      <c r="N495" s="199" t="s">
        <v>482</v>
      </c>
      <c r="O495" s="199" t="s">
        <v>483</v>
      </c>
      <c r="P495" s="199" t="s">
        <v>707</v>
      </c>
      <c r="Q495" s="200">
        <v>45</v>
      </c>
      <c r="R495" s="199"/>
      <c r="S495" s="199"/>
      <c r="T495" s="201"/>
      <c r="U495" s="202"/>
      <c r="V495" s="203"/>
      <c r="W495" s="203">
        <v>6</v>
      </c>
      <c r="X495" s="199"/>
      <c r="Y495" s="204"/>
      <c r="Z495" s="205"/>
      <c r="AA495" s="201"/>
    </row>
    <row r="496" spans="1:27" x14ac:dyDescent="0.25">
      <c r="A496" s="32">
        <v>45923</v>
      </c>
      <c r="B496" s="13">
        <v>6</v>
      </c>
      <c r="C496" s="124" t="s">
        <v>693</v>
      </c>
      <c r="D496" s="13" t="s">
        <v>192</v>
      </c>
      <c r="E496" s="14">
        <v>2.57</v>
      </c>
      <c r="F496" s="15">
        <v>2</v>
      </c>
      <c r="G496" s="15">
        <v>2</v>
      </c>
      <c r="H496" s="16">
        <v>0.74</v>
      </c>
      <c r="I496" s="124" t="s">
        <v>694</v>
      </c>
      <c r="J496" s="13" t="s">
        <v>145</v>
      </c>
      <c r="K496" s="47"/>
      <c r="L496" s="98">
        <v>15</v>
      </c>
      <c r="M496" s="79" t="s">
        <v>145</v>
      </c>
      <c r="N496" s="79" t="s">
        <v>271</v>
      </c>
      <c r="O496" s="79" t="s">
        <v>272</v>
      </c>
      <c r="P496" s="79" t="s">
        <v>684</v>
      </c>
      <c r="Q496" s="224">
        <v>80</v>
      </c>
      <c r="R496" s="79" t="s">
        <v>47</v>
      </c>
      <c r="S496" s="79" t="s">
        <v>42</v>
      </c>
      <c r="T496" s="80" t="s">
        <v>10</v>
      </c>
      <c r="U496" s="54">
        <v>0.56999999999999995</v>
      </c>
      <c r="V496" s="14">
        <v>0.98</v>
      </c>
      <c r="W496" s="14" t="s">
        <v>353</v>
      </c>
      <c r="X496" s="13" t="s">
        <v>8</v>
      </c>
      <c r="Y496" s="115" t="s">
        <v>9</v>
      </c>
      <c r="Z496" s="110" t="s">
        <v>315</v>
      </c>
      <c r="AA496" s="60" t="s">
        <v>409</v>
      </c>
    </row>
    <row r="497" spans="1:27" x14ac:dyDescent="0.25">
      <c r="A497" s="32">
        <v>45923</v>
      </c>
      <c r="B497" s="5">
        <v>6</v>
      </c>
      <c r="D497" s="5" t="s">
        <v>192</v>
      </c>
      <c r="E497" s="6">
        <v>2.57</v>
      </c>
      <c r="F497" s="7">
        <v>2</v>
      </c>
      <c r="G497" s="7">
        <v>2</v>
      </c>
      <c r="H497" s="8">
        <v>0.74</v>
      </c>
      <c r="J497" s="5" t="s">
        <v>145</v>
      </c>
      <c r="L497" s="56">
        <v>37</v>
      </c>
      <c r="M497" s="61" t="s">
        <v>192</v>
      </c>
      <c r="N497" s="61" t="s">
        <v>278</v>
      </c>
      <c r="O497" s="61" t="s">
        <v>279</v>
      </c>
      <c r="P497" s="61" t="s">
        <v>685</v>
      </c>
      <c r="Q497" s="218">
        <v>72</v>
      </c>
      <c r="R497" s="61" t="s">
        <v>41</v>
      </c>
      <c r="S497" s="61" t="s">
        <v>43</v>
      </c>
      <c r="T497" s="63" t="s">
        <v>20</v>
      </c>
      <c r="U497" s="51">
        <v>0.23</v>
      </c>
      <c r="V497" s="6" t="s">
        <v>53</v>
      </c>
      <c r="W497" s="6" t="s">
        <v>353</v>
      </c>
      <c r="X497" s="5" t="s">
        <v>52</v>
      </c>
      <c r="Y497" s="112" t="s">
        <v>9</v>
      </c>
    </row>
    <row r="498" spans="1:27" x14ac:dyDescent="0.25">
      <c r="A498" s="32">
        <v>45923</v>
      </c>
      <c r="B498" s="5">
        <v>6</v>
      </c>
      <c r="D498" s="5" t="s">
        <v>192</v>
      </c>
      <c r="E498" s="6">
        <v>2.57</v>
      </c>
      <c r="F498" s="7">
        <v>2</v>
      </c>
      <c r="G498" s="7">
        <v>2</v>
      </c>
      <c r="H498" s="8">
        <v>0.74</v>
      </c>
      <c r="J498" s="5" t="s">
        <v>145</v>
      </c>
      <c r="L498" s="56">
        <v>37</v>
      </c>
      <c r="M498" s="61" t="s">
        <v>192</v>
      </c>
      <c r="N498" s="61" t="s">
        <v>278</v>
      </c>
      <c r="O498" s="61" t="s">
        <v>279</v>
      </c>
      <c r="P498" s="61" t="s">
        <v>685</v>
      </c>
      <c r="Q498" s="218">
        <v>72</v>
      </c>
      <c r="R498" s="61" t="s">
        <v>41</v>
      </c>
      <c r="S498" s="61" t="s">
        <v>43</v>
      </c>
      <c r="T498" s="63" t="s">
        <v>20</v>
      </c>
      <c r="U498" s="51">
        <v>0.32</v>
      </c>
      <c r="V498" s="6" t="s">
        <v>53</v>
      </c>
      <c r="W498" s="6" t="s">
        <v>353</v>
      </c>
      <c r="X498" s="5" t="s">
        <v>22</v>
      </c>
      <c r="Y498" s="112" t="s">
        <v>9</v>
      </c>
    </row>
    <row r="499" spans="1:27" x14ac:dyDescent="0.25">
      <c r="A499" s="32">
        <v>45923</v>
      </c>
      <c r="B499" s="5">
        <v>6</v>
      </c>
      <c r="D499" s="5" t="s">
        <v>192</v>
      </c>
      <c r="E499" s="6">
        <v>2.57</v>
      </c>
      <c r="F499" s="7">
        <v>2</v>
      </c>
      <c r="G499" s="7">
        <v>2</v>
      </c>
      <c r="H499" s="8">
        <v>0.74</v>
      </c>
      <c r="J499" s="5" t="s">
        <v>145</v>
      </c>
      <c r="L499" s="56">
        <v>37</v>
      </c>
      <c r="M499" s="61" t="s">
        <v>192</v>
      </c>
      <c r="N499" s="61" t="s">
        <v>411</v>
      </c>
      <c r="O499" s="61" t="s">
        <v>412</v>
      </c>
      <c r="P499" s="61" t="s">
        <v>699</v>
      </c>
      <c r="Q499" s="218">
        <v>62</v>
      </c>
      <c r="R499" s="61" t="s">
        <v>47</v>
      </c>
      <c r="S499" s="61" t="s">
        <v>45</v>
      </c>
      <c r="T499" s="63" t="s">
        <v>20</v>
      </c>
      <c r="U499" s="51">
        <v>0.09</v>
      </c>
      <c r="V499" s="6" t="s">
        <v>53</v>
      </c>
      <c r="W499" s="6" t="s">
        <v>353</v>
      </c>
      <c r="X499" s="5" t="s">
        <v>52</v>
      </c>
      <c r="Y499" s="112" t="s">
        <v>9</v>
      </c>
    </row>
    <row r="500" spans="1:27" x14ac:dyDescent="0.25">
      <c r="A500" s="32">
        <v>45923</v>
      </c>
      <c r="B500" s="5">
        <v>6</v>
      </c>
      <c r="D500" s="5" t="s">
        <v>192</v>
      </c>
      <c r="E500" s="6">
        <v>2.57</v>
      </c>
      <c r="F500" s="7">
        <v>2</v>
      </c>
      <c r="G500" s="7">
        <v>2</v>
      </c>
      <c r="H500" s="8">
        <v>0.74</v>
      </c>
      <c r="J500" s="5" t="s">
        <v>145</v>
      </c>
      <c r="L500" s="56">
        <v>62</v>
      </c>
      <c r="M500" s="26" t="s">
        <v>145</v>
      </c>
      <c r="N500" s="26" t="s">
        <v>147</v>
      </c>
      <c r="O500" s="26" t="s">
        <v>148</v>
      </c>
      <c r="P500" s="26" t="s">
        <v>684</v>
      </c>
      <c r="Q500" s="213">
        <v>80</v>
      </c>
      <c r="R500" s="26" t="s">
        <v>41</v>
      </c>
      <c r="S500" s="26" t="s">
        <v>45</v>
      </c>
      <c r="T500" s="43" t="s">
        <v>20</v>
      </c>
      <c r="U500" s="51">
        <v>0.19</v>
      </c>
      <c r="V500" s="6">
        <v>0.44</v>
      </c>
      <c r="W500" s="6" t="s">
        <v>353</v>
      </c>
      <c r="X500" s="5" t="s">
        <v>8</v>
      </c>
      <c r="Y500" s="112" t="s">
        <v>67</v>
      </c>
      <c r="Z500" s="108" t="s">
        <v>667</v>
      </c>
      <c r="AA500" s="57" t="s">
        <v>668</v>
      </c>
    </row>
    <row r="501" spans="1:27" x14ac:dyDescent="0.25">
      <c r="A501" s="32">
        <v>45923</v>
      </c>
      <c r="B501" s="5">
        <v>6</v>
      </c>
      <c r="D501" s="5" t="s">
        <v>192</v>
      </c>
      <c r="E501" s="6">
        <v>2.57</v>
      </c>
      <c r="F501" s="7">
        <v>2</v>
      </c>
      <c r="G501" s="7">
        <v>2</v>
      </c>
      <c r="H501" s="8">
        <v>0.74</v>
      </c>
      <c r="J501" s="5" t="s">
        <v>145</v>
      </c>
      <c r="L501" s="56">
        <v>77</v>
      </c>
      <c r="M501" s="61" t="s">
        <v>192</v>
      </c>
      <c r="N501" s="61" t="s">
        <v>196</v>
      </c>
      <c r="O501" s="61" t="s">
        <v>75</v>
      </c>
      <c r="P501" s="61" t="s">
        <v>684</v>
      </c>
      <c r="Q501" s="218">
        <v>68</v>
      </c>
      <c r="R501" s="61" t="s">
        <v>41</v>
      </c>
      <c r="S501" s="61" t="s">
        <v>43</v>
      </c>
      <c r="T501" s="63" t="s">
        <v>10</v>
      </c>
      <c r="U501" s="51">
        <v>0.31</v>
      </c>
      <c r="V501" s="6" t="s">
        <v>53</v>
      </c>
      <c r="W501" s="6" t="s">
        <v>353</v>
      </c>
      <c r="X501" s="5" t="s">
        <v>22</v>
      </c>
      <c r="Y501" s="112" t="s">
        <v>67</v>
      </c>
    </row>
    <row r="502" spans="1:27" x14ac:dyDescent="0.25">
      <c r="A502" s="32">
        <v>45923</v>
      </c>
      <c r="B502" s="5">
        <v>6</v>
      </c>
      <c r="D502" s="5" t="s">
        <v>192</v>
      </c>
      <c r="E502" s="6">
        <v>2.57</v>
      </c>
      <c r="F502" s="7">
        <v>2</v>
      </c>
      <c r="G502" s="7">
        <v>2</v>
      </c>
      <c r="H502" s="8">
        <v>0.74</v>
      </c>
      <c r="J502" s="5" t="s">
        <v>145</v>
      </c>
      <c r="L502" s="56">
        <v>85</v>
      </c>
      <c r="M502" s="61" t="s">
        <v>192</v>
      </c>
      <c r="N502" s="61" t="s">
        <v>276</v>
      </c>
      <c r="O502" s="61" t="s">
        <v>277</v>
      </c>
      <c r="P502" s="61" t="s">
        <v>687</v>
      </c>
      <c r="Q502" s="218">
        <v>73</v>
      </c>
      <c r="R502" s="61" t="s">
        <v>47</v>
      </c>
      <c r="S502" s="61" t="s">
        <v>42</v>
      </c>
      <c r="T502" s="63" t="s">
        <v>10</v>
      </c>
      <c r="U502" s="51">
        <v>0.24</v>
      </c>
      <c r="V502" s="6" t="s">
        <v>53</v>
      </c>
      <c r="W502" s="6" t="s">
        <v>353</v>
      </c>
      <c r="X502" s="5" t="s">
        <v>13</v>
      </c>
      <c r="Y502" s="112" t="s">
        <v>67</v>
      </c>
    </row>
    <row r="503" spans="1:27" x14ac:dyDescent="0.25">
      <c r="A503" s="32">
        <v>45923</v>
      </c>
      <c r="B503" s="5">
        <v>6</v>
      </c>
      <c r="D503" s="5" t="s">
        <v>192</v>
      </c>
      <c r="E503" s="6">
        <v>2.57</v>
      </c>
      <c r="F503" s="7">
        <v>2</v>
      </c>
      <c r="G503" s="7">
        <v>2</v>
      </c>
      <c r="H503" s="8">
        <v>0.74</v>
      </c>
      <c r="J503" s="5" t="s">
        <v>145</v>
      </c>
      <c r="L503" s="56" t="s">
        <v>35</v>
      </c>
      <c r="M503" s="61" t="s">
        <v>192</v>
      </c>
      <c r="N503" s="61" t="s">
        <v>278</v>
      </c>
      <c r="O503" s="61" t="s">
        <v>279</v>
      </c>
      <c r="P503" s="61" t="s">
        <v>685</v>
      </c>
      <c r="Q503" s="218">
        <v>72</v>
      </c>
      <c r="R503" s="61" t="s">
        <v>41</v>
      </c>
      <c r="S503" s="61" t="s">
        <v>43</v>
      </c>
      <c r="T503" s="63" t="s">
        <v>10</v>
      </c>
      <c r="U503" s="51">
        <v>0.54</v>
      </c>
      <c r="V503" s="6">
        <v>0.48</v>
      </c>
      <c r="W503" s="6" t="s">
        <v>353</v>
      </c>
      <c r="X503" s="5" t="s">
        <v>48</v>
      </c>
      <c r="Y503" s="112" t="s">
        <v>67</v>
      </c>
    </row>
    <row r="504" spans="1:27" ht="15.75" thickBot="1" x14ac:dyDescent="0.3">
      <c r="A504" s="30">
        <v>45923</v>
      </c>
      <c r="B504" s="9">
        <v>6</v>
      </c>
      <c r="C504" s="122"/>
      <c r="D504" s="9" t="s">
        <v>192</v>
      </c>
      <c r="E504" s="10">
        <v>2.57</v>
      </c>
      <c r="F504" s="11">
        <v>2</v>
      </c>
      <c r="G504" s="11">
        <v>2</v>
      </c>
      <c r="H504" s="12">
        <v>0.74</v>
      </c>
      <c r="I504" s="122"/>
      <c r="J504" s="9" t="s">
        <v>145</v>
      </c>
      <c r="K504" s="45"/>
      <c r="L504" s="97" t="s">
        <v>57</v>
      </c>
      <c r="M504" s="66" t="s">
        <v>192</v>
      </c>
      <c r="N504" s="66" t="s">
        <v>278</v>
      </c>
      <c r="O504" s="66" t="s">
        <v>279</v>
      </c>
      <c r="P504" s="66" t="s">
        <v>685</v>
      </c>
      <c r="Q504" s="219">
        <v>72</v>
      </c>
      <c r="R504" s="66" t="s">
        <v>47</v>
      </c>
      <c r="S504" s="66" t="s">
        <v>45</v>
      </c>
      <c r="T504" s="67" t="s">
        <v>33</v>
      </c>
      <c r="U504" s="52">
        <v>0.17</v>
      </c>
      <c r="V504" s="10">
        <v>0.8</v>
      </c>
      <c r="W504" s="10" t="s">
        <v>353</v>
      </c>
      <c r="X504" s="9" t="s">
        <v>8</v>
      </c>
      <c r="Y504" s="113" t="s">
        <v>189</v>
      </c>
      <c r="Z504" s="109" t="s">
        <v>410</v>
      </c>
      <c r="AA504" s="58" t="s">
        <v>361</v>
      </c>
    </row>
    <row r="505" spans="1:27" ht="15.75" thickBot="1" x14ac:dyDescent="0.3">
      <c r="A505" s="206">
        <v>45923</v>
      </c>
      <c r="B505" s="207">
        <v>6</v>
      </c>
      <c r="C505" s="208"/>
      <c r="D505" s="207" t="s">
        <v>192</v>
      </c>
      <c r="E505" s="209">
        <v>2.57</v>
      </c>
      <c r="F505" s="210">
        <v>2</v>
      </c>
      <c r="G505" s="210">
        <v>2</v>
      </c>
      <c r="H505" s="211">
        <v>0.74</v>
      </c>
      <c r="I505" s="208"/>
      <c r="J505" s="207" t="s">
        <v>145</v>
      </c>
      <c r="K505" s="235"/>
      <c r="L505" s="198"/>
      <c r="M505" s="199" t="s">
        <v>192</v>
      </c>
      <c r="N505" s="199" t="s">
        <v>723</v>
      </c>
      <c r="O505" s="199" t="s">
        <v>724</v>
      </c>
      <c r="P505" s="199" t="s">
        <v>707</v>
      </c>
      <c r="Q505" s="200">
        <v>65</v>
      </c>
      <c r="R505" s="199"/>
      <c r="S505" s="199"/>
      <c r="T505" s="201"/>
      <c r="U505" s="202"/>
      <c r="V505" s="203"/>
      <c r="W505" s="203">
        <v>2</v>
      </c>
      <c r="X505" s="199"/>
      <c r="Y505" s="204"/>
      <c r="Z505" s="205"/>
      <c r="AA505" s="201"/>
    </row>
    <row r="506" spans="1:27" ht="15.75" thickBot="1" x14ac:dyDescent="0.3">
      <c r="A506" s="206">
        <v>45923</v>
      </c>
      <c r="B506" s="207">
        <v>6</v>
      </c>
      <c r="C506" s="208"/>
      <c r="D506" s="207" t="s">
        <v>192</v>
      </c>
      <c r="E506" s="209">
        <v>2.57</v>
      </c>
      <c r="F506" s="210">
        <v>2</v>
      </c>
      <c r="G506" s="210">
        <v>2</v>
      </c>
      <c r="H506" s="211">
        <v>0.74</v>
      </c>
      <c r="I506" s="208"/>
      <c r="J506" s="207" t="s">
        <v>145</v>
      </c>
      <c r="K506" s="235"/>
      <c r="L506" s="198"/>
      <c r="M506" s="199" t="s">
        <v>145</v>
      </c>
      <c r="N506" s="199" t="s">
        <v>482</v>
      </c>
      <c r="O506" s="199" t="s">
        <v>483</v>
      </c>
      <c r="P506" s="199" t="s">
        <v>707</v>
      </c>
      <c r="Q506" s="200">
        <v>86</v>
      </c>
      <c r="R506" s="199"/>
      <c r="S506" s="199"/>
      <c r="T506" s="201"/>
      <c r="U506" s="202"/>
      <c r="V506" s="203"/>
      <c r="W506" s="203">
        <v>2</v>
      </c>
      <c r="X506" s="199"/>
      <c r="Y506" s="204"/>
      <c r="Z506" s="205"/>
      <c r="AA506" s="201"/>
    </row>
    <row r="507" spans="1:27" x14ac:dyDescent="0.25">
      <c r="A507" s="32">
        <v>45934</v>
      </c>
      <c r="B507" s="13">
        <v>8</v>
      </c>
      <c r="C507" s="124" t="s">
        <v>700</v>
      </c>
      <c r="D507" s="13" t="s">
        <v>69</v>
      </c>
      <c r="E507" s="14">
        <v>1.02</v>
      </c>
      <c r="F507" s="15">
        <v>2</v>
      </c>
      <c r="G507" s="15">
        <v>1</v>
      </c>
      <c r="H507" s="16">
        <v>1.1399999999999999</v>
      </c>
      <c r="I507" s="124" t="s">
        <v>694</v>
      </c>
      <c r="J507" s="13" t="s">
        <v>145</v>
      </c>
      <c r="K507" s="5" t="s">
        <v>557</v>
      </c>
      <c r="L507" s="98">
        <v>3</v>
      </c>
      <c r="M507" s="70" t="s">
        <v>69</v>
      </c>
      <c r="N507" s="70" t="s">
        <v>53</v>
      </c>
      <c r="O507" s="70" t="s">
        <v>324</v>
      </c>
      <c r="P507" s="70" t="s">
        <v>685</v>
      </c>
      <c r="Q507" s="227">
        <v>64</v>
      </c>
      <c r="R507" s="70" t="s">
        <v>41</v>
      </c>
      <c r="S507" s="70" t="s">
        <v>42</v>
      </c>
      <c r="T507" s="71" t="s">
        <v>10</v>
      </c>
      <c r="U507" s="54">
        <v>0.25</v>
      </c>
      <c r="V507" s="14">
        <v>0.54</v>
      </c>
      <c r="W507" s="14" t="s">
        <v>353</v>
      </c>
      <c r="X507" s="13" t="s">
        <v>48</v>
      </c>
      <c r="Y507" s="115" t="s">
        <v>28</v>
      </c>
      <c r="Z507" s="110"/>
      <c r="AA507" s="60"/>
    </row>
    <row r="508" spans="1:27" x14ac:dyDescent="0.25">
      <c r="A508" s="29">
        <v>45934</v>
      </c>
      <c r="B508" s="5">
        <v>8</v>
      </c>
      <c r="D508" s="5" t="s">
        <v>69</v>
      </c>
      <c r="E508" s="6">
        <v>1.02</v>
      </c>
      <c r="F508" s="7">
        <v>2</v>
      </c>
      <c r="G508" s="7">
        <v>1</v>
      </c>
      <c r="H508" s="8">
        <v>1.1399999999999999</v>
      </c>
      <c r="J508" s="5" t="s">
        <v>145</v>
      </c>
      <c r="K508" s="5" t="s">
        <v>557</v>
      </c>
      <c r="L508" s="56">
        <v>57</v>
      </c>
      <c r="M508" s="26" t="s">
        <v>145</v>
      </c>
      <c r="N508" s="26" t="s">
        <v>149</v>
      </c>
      <c r="O508" s="26" t="s">
        <v>150</v>
      </c>
      <c r="P508" s="26" t="s">
        <v>685</v>
      </c>
      <c r="Q508" s="213">
        <v>71</v>
      </c>
      <c r="R508" s="26" t="s">
        <v>47</v>
      </c>
      <c r="S508" s="26" t="s">
        <v>42</v>
      </c>
      <c r="T508" s="43" t="s">
        <v>10</v>
      </c>
      <c r="U508" s="51">
        <v>0.24</v>
      </c>
      <c r="V508" s="6">
        <v>0.21</v>
      </c>
      <c r="W508" s="6" t="s">
        <v>353</v>
      </c>
      <c r="X508" s="5" t="s">
        <v>8</v>
      </c>
      <c r="Y508" s="112" t="s">
        <v>51</v>
      </c>
      <c r="Z508" s="108" t="s">
        <v>271</v>
      </c>
      <c r="AA508" s="57" t="s">
        <v>272</v>
      </c>
    </row>
    <row r="509" spans="1:27" x14ac:dyDescent="0.25">
      <c r="A509" s="29">
        <v>45934</v>
      </c>
      <c r="B509" s="5">
        <v>8</v>
      </c>
      <c r="D509" s="5" t="s">
        <v>69</v>
      </c>
      <c r="E509" s="6">
        <v>1.02</v>
      </c>
      <c r="F509" s="7">
        <v>2</v>
      </c>
      <c r="G509" s="7">
        <v>1</v>
      </c>
      <c r="H509" s="8">
        <v>1.1399999999999999</v>
      </c>
      <c r="J509" s="5" t="s">
        <v>145</v>
      </c>
      <c r="K509" s="5" t="s">
        <v>557</v>
      </c>
      <c r="L509" s="56">
        <v>61</v>
      </c>
      <c r="M509" s="26" t="s">
        <v>145</v>
      </c>
      <c r="N509" s="26" t="s">
        <v>151</v>
      </c>
      <c r="O509" s="26" t="s">
        <v>152</v>
      </c>
      <c r="P509" s="26" t="s">
        <v>696</v>
      </c>
      <c r="Q509" s="213">
        <v>63</v>
      </c>
      <c r="R509" s="26" t="s">
        <v>41</v>
      </c>
      <c r="S509" s="26" t="s">
        <v>42</v>
      </c>
      <c r="T509" s="43" t="s">
        <v>20</v>
      </c>
      <c r="U509" s="51">
        <v>0.09</v>
      </c>
      <c r="V509" s="6" t="s">
        <v>53</v>
      </c>
      <c r="W509" s="6" t="s">
        <v>353</v>
      </c>
      <c r="X509" s="5" t="s">
        <v>13</v>
      </c>
      <c r="Y509" s="112" t="s">
        <v>51</v>
      </c>
    </row>
    <row r="510" spans="1:27" x14ac:dyDescent="0.25">
      <c r="A510" s="29">
        <v>45934</v>
      </c>
      <c r="B510" s="5">
        <v>8</v>
      </c>
      <c r="D510" s="5" t="s">
        <v>69</v>
      </c>
      <c r="E510" s="6">
        <v>1.02</v>
      </c>
      <c r="F510" s="7">
        <v>2</v>
      </c>
      <c r="G510" s="7">
        <v>1</v>
      </c>
      <c r="H510" s="8">
        <v>1.1399999999999999</v>
      </c>
      <c r="J510" s="5" t="s">
        <v>145</v>
      </c>
      <c r="K510" s="5" t="s">
        <v>557</v>
      </c>
      <c r="L510" s="56">
        <v>63</v>
      </c>
      <c r="M510" s="61" t="s">
        <v>69</v>
      </c>
      <c r="N510" s="61" t="s">
        <v>389</v>
      </c>
      <c r="O510" s="61" t="s">
        <v>390</v>
      </c>
      <c r="P510" s="61" t="s">
        <v>684</v>
      </c>
      <c r="Q510" s="218">
        <v>75</v>
      </c>
      <c r="R510" s="61" t="s">
        <v>47</v>
      </c>
      <c r="S510" s="61" t="s">
        <v>43</v>
      </c>
      <c r="T510" s="63" t="s">
        <v>33</v>
      </c>
      <c r="U510" s="51">
        <v>0.51</v>
      </c>
      <c r="V510" s="6">
        <v>0.25</v>
      </c>
      <c r="W510" s="6" t="s">
        <v>353</v>
      </c>
      <c r="X510" s="5" t="s">
        <v>48</v>
      </c>
      <c r="Y510" s="112" t="s">
        <v>51</v>
      </c>
    </row>
    <row r="511" spans="1:27" x14ac:dyDescent="0.25">
      <c r="A511" s="29">
        <v>45934</v>
      </c>
      <c r="B511" s="5">
        <v>8</v>
      </c>
      <c r="D511" s="5" t="s">
        <v>69</v>
      </c>
      <c r="E511" s="6">
        <v>1.02</v>
      </c>
      <c r="F511" s="7">
        <v>2</v>
      </c>
      <c r="G511" s="7">
        <v>1</v>
      </c>
      <c r="H511" s="8">
        <v>1.1399999999999999</v>
      </c>
      <c r="J511" s="5" t="s">
        <v>145</v>
      </c>
      <c r="K511" s="5" t="s">
        <v>557</v>
      </c>
      <c r="L511" s="56">
        <v>63</v>
      </c>
      <c r="M511" s="61" t="s">
        <v>69</v>
      </c>
      <c r="N511" s="61" t="s">
        <v>553</v>
      </c>
      <c r="O511" s="61" t="s">
        <v>131</v>
      </c>
      <c r="P511" s="61" t="s">
        <v>689</v>
      </c>
      <c r="Q511" s="218">
        <v>76</v>
      </c>
      <c r="R511" s="61" t="s">
        <v>47</v>
      </c>
      <c r="S511" s="61" t="s">
        <v>42</v>
      </c>
      <c r="T511" s="63" t="s">
        <v>33</v>
      </c>
      <c r="U511" s="51">
        <v>0.31</v>
      </c>
      <c r="V511" s="6">
        <v>0.86</v>
      </c>
      <c r="W511" s="6" t="s">
        <v>353</v>
      </c>
      <c r="X511" s="5" t="s">
        <v>8</v>
      </c>
      <c r="Y511" s="112" t="s">
        <v>34</v>
      </c>
    </row>
    <row r="512" spans="1:27" x14ac:dyDescent="0.25">
      <c r="A512" s="29">
        <v>45934</v>
      </c>
      <c r="B512" s="5">
        <v>8</v>
      </c>
      <c r="D512" s="5" t="s">
        <v>69</v>
      </c>
      <c r="E512" s="6">
        <v>1.02</v>
      </c>
      <c r="F512" s="7">
        <v>2</v>
      </c>
      <c r="G512" s="7">
        <v>1</v>
      </c>
      <c r="H512" s="8">
        <v>1.1399999999999999</v>
      </c>
      <c r="J512" s="5" t="s">
        <v>145</v>
      </c>
      <c r="K512" s="5" t="s">
        <v>557</v>
      </c>
      <c r="L512" s="56">
        <v>79</v>
      </c>
      <c r="M512" s="26" t="s">
        <v>145</v>
      </c>
      <c r="N512" s="26" t="s">
        <v>151</v>
      </c>
      <c r="O512" s="26" t="s">
        <v>152</v>
      </c>
      <c r="P512" s="26" t="s">
        <v>696</v>
      </c>
      <c r="Q512" s="213">
        <v>63</v>
      </c>
      <c r="R512" s="26" t="s">
        <v>47</v>
      </c>
      <c r="S512" s="26" t="s">
        <v>43</v>
      </c>
      <c r="T512" s="43" t="s">
        <v>20</v>
      </c>
      <c r="U512" s="51">
        <v>0.18</v>
      </c>
      <c r="V512" s="6" t="s">
        <v>53</v>
      </c>
      <c r="W512" s="6" t="s">
        <v>353</v>
      </c>
      <c r="X512" s="5" t="s">
        <v>52</v>
      </c>
      <c r="Y512" s="112" t="s">
        <v>34</v>
      </c>
    </row>
    <row r="513" spans="1:27" ht="15.75" thickBot="1" x14ac:dyDescent="0.3">
      <c r="A513" s="206">
        <v>45934</v>
      </c>
      <c r="B513" s="207">
        <v>8</v>
      </c>
      <c r="C513" s="208"/>
      <c r="D513" s="207" t="s">
        <v>69</v>
      </c>
      <c r="E513" s="209">
        <v>1.02</v>
      </c>
      <c r="F513" s="210">
        <v>2</v>
      </c>
      <c r="G513" s="210">
        <v>1</v>
      </c>
      <c r="H513" s="211">
        <v>1.1399999999999999</v>
      </c>
      <c r="I513" s="208"/>
      <c r="J513" s="207" t="s">
        <v>145</v>
      </c>
      <c r="K513" s="235"/>
      <c r="L513" s="198"/>
      <c r="M513" s="199" t="s">
        <v>69</v>
      </c>
      <c r="N513" s="199" t="s">
        <v>478</v>
      </c>
      <c r="O513" s="199" t="s">
        <v>479</v>
      </c>
      <c r="P513" s="199" t="s">
        <v>707</v>
      </c>
      <c r="Q513" s="200">
        <v>80</v>
      </c>
      <c r="R513" s="199"/>
      <c r="S513" s="199"/>
      <c r="T513" s="201"/>
      <c r="U513" s="202"/>
      <c r="V513" s="203"/>
      <c r="W513" s="203">
        <v>1</v>
      </c>
      <c r="X513" s="199"/>
      <c r="Y513" s="204"/>
      <c r="Z513" s="205"/>
      <c r="AA513" s="201"/>
    </row>
    <row r="514" spans="1:27" ht="15.75" thickBot="1" x14ac:dyDescent="0.3">
      <c r="A514" s="206">
        <v>45934</v>
      </c>
      <c r="B514" s="207">
        <v>8</v>
      </c>
      <c r="C514" s="208"/>
      <c r="D514" s="207" t="s">
        <v>69</v>
      </c>
      <c r="E514" s="209">
        <v>1.02</v>
      </c>
      <c r="F514" s="210">
        <v>2</v>
      </c>
      <c r="G514" s="210">
        <v>1</v>
      </c>
      <c r="H514" s="211">
        <v>1.1399999999999999</v>
      </c>
      <c r="I514" s="208"/>
      <c r="J514" s="207" t="s">
        <v>145</v>
      </c>
      <c r="K514" s="235"/>
      <c r="L514" s="198"/>
      <c r="M514" s="199" t="s">
        <v>145</v>
      </c>
      <c r="N514" s="199" t="s">
        <v>482</v>
      </c>
      <c r="O514" s="199" t="s">
        <v>483</v>
      </c>
      <c r="P514" s="199" t="s">
        <v>707</v>
      </c>
      <c r="Q514" s="200">
        <v>72</v>
      </c>
      <c r="R514" s="199"/>
      <c r="S514" s="199"/>
      <c r="T514" s="201"/>
      <c r="U514" s="202"/>
      <c r="V514" s="203"/>
      <c r="W514" s="203">
        <v>2</v>
      </c>
      <c r="X514" s="199"/>
      <c r="Y514" s="204"/>
      <c r="Z514" s="205"/>
      <c r="AA514" s="201"/>
    </row>
    <row r="515" spans="1:27" x14ac:dyDescent="0.25">
      <c r="A515" s="236"/>
      <c r="B515" s="237"/>
      <c r="C515" s="238"/>
      <c r="D515" s="237"/>
      <c r="E515" s="239"/>
      <c r="F515" s="240"/>
      <c r="G515" s="240"/>
      <c r="H515" s="241"/>
      <c r="I515" s="238"/>
      <c r="J515" s="237"/>
      <c r="K515" s="242"/>
      <c r="L515" s="243"/>
      <c r="M515" s="237"/>
      <c r="N515" s="237"/>
      <c r="O515" s="237"/>
      <c r="P515" s="237"/>
      <c r="Q515" s="240"/>
      <c r="R515" s="237"/>
      <c r="S515" s="237"/>
      <c r="T515" s="244"/>
      <c r="U515" s="245"/>
      <c r="V515" s="239"/>
      <c r="W515" s="239" t="s">
        <v>741</v>
      </c>
      <c r="X515" s="237"/>
      <c r="Y515" s="246"/>
      <c r="Z515" s="247"/>
      <c r="AA515" s="244"/>
    </row>
  </sheetData>
  <autoFilter ref="A1:AA1" xr:uid="{0AB90F9A-F80F-4046-B552-998F746729F2}"/>
  <conditionalFormatting sqref="Q1:Q5 Q10:Q13 Q16:Q19">
    <cfRule type="cellIs" dxfId="497" priority="1046" operator="between">
      <formula>80</formula>
      <formula>110</formula>
    </cfRule>
    <cfRule type="cellIs" dxfId="496" priority="1047" operator="between">
      <formula>70</formula>
      <formula>79</formula>
    </cfRule>
    <cfRule type="cellIs" dxfId="495" priority="1048" operator="between">
      <formula>65</formula>
      <formula>69</formula>
    </cfRule>
    <cfRule type="cellIs" dxfId="494" priority="1049" operator="between">
      <formula>10</formula>
      <formula>64</formula>
    </cfRule>
  </conditionalFormatting>
  <conditionalFormatting sqref="Q6:Q9">
    <cfRule type="cellIs" dxfId="493" priority="1027" operator="between">
      <formula>80</formula>
      <formula>105</formula>
    </cfRule>
    <cfRule type="cellIs" dxfId="492" priority="1028" operator="between">
      <formula>70</formula>
      <formula>79</formula>
    </cfRule>
    <cfRule type="cellIs" dxfId="491" priority="1029" operator="between">
      <formula>65</formula>
      <formula>69</formula>
    </cfRule>
    <cfRule type="cellIs" dxfId="490" priority="1030" operator="between">
      <formula>10</formula>
      <formula>64</formula>
    </cfRule>
  </conditionalFormatting>
  <conditionalFormatting sqref="Q14:Q15">
    <cfRule type="cellIs" dxfId="489" priority="1016" operator="between">
      <formula>80</formula>
      <formula>105</formula>
    </cfRule>
    <cfRule type="cellIs" dxfId="488" priority="1017" operator="between">
      <formula>70</formula>
      <formula>79</formula>
    </cfRule>
    <cfRule type="cellIs" dxfId="487" priority="1018" operator="between">
      <formula>65</formula>
      <formula>69</formula>
    </cfRule>
    <cfRule type="cellIs" dxfId="486" priority="1019" operator="between">
      <formula>10</formula>
      <formula>64</formula>
    </cfRule>
  </conditionalFormatting>
  <conditionalFormatting sqref="Q20:Q21">
    <cfRule type="cellIs" dxfId="485" priority="1005" operator="between">
      <formula>80</formula>
      <formula>105</formula>
    </cfRule>
    <cfRule type="cellIs" dxfId="484" priority="1006" operator="between">
      <formula>70</formula>
      <formula>79</formula>
    </cfRule>
    <cfRule type="cellIs" dxfId="483" priority="1007" operator="between">
      <formula>65</formula>
      <formula>69</formula>
    </cfRule>
    <cfRule type="cellIs" dxfId="482" priority="1008" operator="between">
      <formula>10</formula>
      <formula>64</formula>
    </cfRule>
  </conditionalFormatting>
  <conditionalFormatting sqref="Q22:Q26 Q29:Q32 Q35 Q74:Q79 Q89:Q91">
    <cfRule type="cellIs" dxfId="481" priority="991" operator="between">
      <formula>80</formula>
      <formula>110</formula>
    </cfRule>
    <cfRule type="cellIs" dxfId="480" priority="992" operator="between">
      <formula>70</formula>
      <formula>79</formula>
    </cfRule>
    <cfRule type="cellIs" dxfId="479" priority="993" operator="between">
      <formula>65</formula>
      <formula>69</formula>
    </cfRule>
    <cfRule type="cellIs" dxfId="478" priority="994" operator="between">
      <formula>10</formula>
      <formula>64</formula>
    </cfRule>
  </conditionalFormatting>
  <conditionalFormatting sqref="Q27:Q28">
    <cfRule type="cellIs" dxfId="477" priority="983" operator="between">
      <formula>80</formula>
      <formula>105</formula>
    </cfRule>
    <cfRule type="cellIs" dxfId="476" priority="984" operator="between">
      <formula>70</formula>
      <formula>79</formula>
    </cfRule>
    <cfRule type="cellIs" dxfId="475" priority="985" operator="between">
      <formula>65</formula>
      <formula>69</formula>
    </cfRule>
    <cfRule type="cellIs" dxfId="474" priority="986" operator="between">
      <formula>10</formula>
      <formula>64</formula>
    </cfRule>
  </conditionalFormatting>
  <conditionalFormatting sqref="Q33:Q34">
    <cfRule type="cellIs" dxfId="473" priority="972" operator="between">
      <formula>80</formula>
      <formula>105</formula>
    </cfRule>
    <cfRule type="cellIs" dxfId="472" priority="973" operator="between">
      <formula>70</formula>
      <formula>79</formula>
    </cfRule>
    <cfRule type="cellIs" dxfId="471" priority="974" operator="between">
      <formula>65</formula>
      <formula>69</formula>
    </cfRule>
    <cfRule type="cellIs" dxfId="470" priority="975" operator="between">
      <formula>10</formula>
      <formula>64</formula>
    </cfRule>
  </conditionalFormatting>
  <conditionalFormatting sqref="Q36:Q37">
    <cfRule type="cellIs" dxfId="469" priority="961" operator="between">
      <formula>80</formula>
      <formula>105</formula>
    </cfRule>
  </conditionalFormatting>
  <conditionalFormatting sqref="Q36:Q38">
    <cfRule type="cellIs" dxfId="468" priority="962" operator="between">
      <formula>70</formula>
      <formula>79</formula>
    </cfRule>
    <cfRule type="cellIs" dxfId="467" priority="963" operator="between">
      <formula>65</formula>
      <formula>69</formula>
    </cfRule>
    <cfRule type="cellIs" dxfId="466" priority="964" operator="between">
      <formula>10</formula>
      <formula>64</formula>
    </cfRule>
  </conditionalFormatting>
  <conditionalFormatting sqref="Q38:Q42 Q45:Q46 Q49:Q54 Q57:Q66">
    <cfRule type="cellIs" dxfId="465" priority="947" operator="between">
      <formula>80</formula>
      <formula>110</formula>
    </cfRule>
  </conditionalFormatting>
  <conditionalFormatting sqref="Q39:Q42 Q45:Q46 Q49:Q54 Q57:Q66">
    <cfRule type="cellIs" dxfId="464" priority="948" operator="between">
      <formula>70</formula>
      <formula>79</formula>
    </cfRule>
    <cfRule type="cellIs" dxfId="463" priority="949" operator="between">
      <formula>65</formula>
      <formula>69</formula>
    </cfRule>
    <cfRule type="cellIs" dxfId="462" priority="950" operator="between">
      <formula>10</formula>
      <formula>64</formula>
    </cfRule>
  </conditionalFormatting>
  <conditionalFormatting sqref="Q43:Q44">
    <cfRule type="cellIs" dxfId="461" priority="939" operator="between">
      <formula>80</formula>
      <formula>105</formula>
    </cfRule>
    <cfRule type="cellIs" dxfId="460" priority="940" operator="between">
      <formula>70</formula>
      <formula>79</formula>
    </cfRule>
    <cfRule type="cellIs" dxfId="459" priority="941" operator="between">
      <formula>65</formula>
      <formula>69</formula>
    </cfRule>
    <cfRule type="cellIs" dxfId="458" priority="942" operator="between">
      <formula>10</formula>
      <formula>64</formula>
    </cfRule>
  </conditionalFormatting>
  <conditionalFormatting sqref="Q47:Q48">
    <cfRule type="cellIs" dxfId="457" priority="928" operator="between">
      <formula>80</formula>
      <formula>105</formula>
    </cfRule>
    <cfRule type="cellIs" dxfId="456" priority="929" operator="between">
      <formula>70</formula>
      <formula>79</formula>
    </cfRule>
    <cfRule type="cellIs" dxfId="455" priority="930" operator="between">
      <formula>65</formula>
      <formula>69</formula>
    </cfRule>
    <cfRule type="cellIs" dxfId="454" priority="931" operator="between">
      <formula>10</formula>
      <formula>64</formula>
    </cfRule>
  </conditionalFormatting>
  <conditionalFormatting sqref="Q55:Q56">
    <cfRule type="cellIs" dxfId="453" priority="917" operator="between">
      <formula>80</formula>
      <formula>105</formula>
    </cfRule>
    <cfRule type="cellIs" dxfId="452" priority="918" operator="between">
      <formula>70</formula>
      <formula>79</formula>
    </cfRule>
    <cfRule type="cellIs" dxfId="451" priority="919" operator="between">
      <formula>65</formula>
      <formula>69</formula>
    </cfRule>
    <cfRule type="cellIs" dxfId="450" priority="920" operator="between">
      <formula>10</formula>
      <formula>64</formula>
    </cfRule>
  </conditionalFormatting>
  <conditionalFormatting sqref="Q67:Q68">
    <cfRule type="cellIs" dxfId="449" priority="906" operator="between">
      <formula>80</formula>
      <formula>105</formula>
    </cfRule>
    <cfRule type="cellIs" dxfId="448" priority="907" operator="between">
      <formula>70</formula>
      <formula>79</formula>
    </cfRule>
    <cfRule type="cellIs" dxfId="447" priority="908" operator="between">
      <formula>65</formula>
      <formula>69</formula>
    </cfRule>
    <cfRule type="cellIs" dxfId="446" priority="909" operator="between">
      <formula>10</formula>
      <formula>64</formula>
    </cfRule>
  </conditionalFormatting>
  <conditionalFormatting sqref="Q69:Q71 Q82:Q86">
    <cfRule type="cellIs" dxfId="445" priority="892" operator="between">
      <formula>80</formula>
      <formula>110</formula>
    </cfRule>
    <cfRule type="cellIs" dxfId="444" priority="893" operator="between">
      <formula>70</formula>
      <formula>79</formula>
    </cfRule>
    <cfRule type="cellIs" dxfId="443" priority="894" operator="between">
      <formula>65</formula>
      <formula>69</formula>
    </cfRule>
    <cfRule type="cellIs" dxfId="442" priority="895" operator="between">
      <formula>10</formula>
      <formula>64</formula>
    </cfRule>
  </conditionalFormatting>
  <conditionalFormatting sqref="Q72:Q73">
    <cfRule type="cellIs" dxfId="441" priority="884" operator="between">
      <formula>80</formula>
      <formula>105</formula>
    </cfRule>
    <cfRule type="cellIs" dxfId="440" priority="885" operator="between">
      <formula>70</formula>
      <formula>79</formula>
    </cfRule>
    <cfRule type="cellIs" dxfId="439" priority="886" operator="between">
      <formula>65</formula>
      <formula>69</formula>
    </cfRule>
    <cfRule type="cellIs" dxfId="438" priority="887" operator="between">
      <formula>10</formula>
      <formula>64</formula>
    </cfRule>
  </conditionalFormatting>
  <conditionalFormatting sqref="Q80:Q81">
    <cfRule type="cellIs" dxfId="437" priority="873" operator="between">
      <formula>80</formula>
      <formula>105</formula>
    </cfRule>
    <cfRule type="cellIs" dxfId="436" priority="874" operator="between">
      <formula>70</formula>
      <formula>79</formula>
    </cfRule>
    <cfRule type="cellIs" dxfId="435" priority="875" operator="between">
      <formula>65</formula>
      <formula>69</formula>
    </cfRule>
    <cfRule type="cellIs" dxfId="434" priority="876" operator="between">
      <formula>10</formula>
      <formula>64</formula>
    </cfRule>
  </conditionalFormatting>
  <conditionalFormatting sqref="Q87:Q88">
    <cfRule type="cellIs" dxfId="433" priority="862" operator="between">
      <formula>80</formula>
      <formula>105</formula>
    </cfRule>
    <cfRule type="cellIs" dxfId="432" priority="863" operator="between">
      <formula>70</formula>
      <formula>79</formula>
    </cfRule>
    <cfRule type="cellIs" dxfId="431" priority="864" operator="between">
      <formula>65</formula>
      <formula>69</formula>
    </cfRule>
    <cfRule type="cellIs" dxfId="430" priority="865" operator="between">
      <formula>10</formula>
      <formula>64</formula>
    </cfRule>
  </conditionalFormatting>
  <conditionalFormatting sqref="Q92:Q93">
    <cfRule type="cellIs" dxfId="429" priority="851" operator="between">
      <formula>80</formula>
      <formula>105</formula>
    </cfRule>
  </conditionalFormatting>
  <conditionalFormatting sqref="Q92:Q94">
    <cfRule type="cellIs" dxfId="428" priority="852" operator="between">
      <formula>70</formula>
      <formula>79</formula>
    </cfRule>
    <cfRule type="cellIs" dxfId="427" priority="853" operator="between">
      <formula>65</formula>
      <formula>69</formula>
    </cfRule>
    <cfRule type="cellIs" dxfId="426" priority="854" operator="between">
      <formula>10</formula>
      <formula>64</formula>
    </cfRule>
  </conditionalFormatting>
  <conditionalFormatting sqref="Q94:Q100 Q103:Q107 Q110:Q114">
    <cfRule type="cellIs" dxfId="425" priority="837" operator="between">
      <formula>80</formula>
      <formula>110</formula>
    </cfRule>
  </conditionalFormatting>
  <conditionalFormatting sqref="Q95:Q100 Q103:Q107 Q110:Q114">
    <cfRule type="cellIs" dxfId="424" priority="838" operator="between">
      <formula>70</formula>
      <formula>79</formula>
    </cfRule>
    <cfRule type="cellIs" dxfId="423" priority="839" operator="between">
      <formula>65</formula>
      <formula>69</formula>
    </cfRule>
    <cfRule type="cellIs" dxfId="422" priority="840" operator="between">
      <formula>10</formula>
      <formula>64</formula>
    </cfRule>
  </conditionalFormatting>
  <conditionalFormatting sqref="Q101:Q102">
    <cfRule type="cellIs" dxfId="421" priority="829" operator="between">
      <formula>80</formula>
      <formula>105</formula>
    </cfRule>
    <cfRule type="cellIs" dxfId="420" priority="830" operator="between">
      <formula>70</formula>
      <formula>79</formula>
    </cfRule>
    <cfRule type="cellIs" dxfId="419" priority="831" operator="between">
      <formula>65</formula>
      <formula>69</formula>
    </cfRule>
    <cfRule type="cellIs" dxfId="418" priority="832" operator="between">
      <formula>10</formula>
      <formula>64</formula>
    </cfRule>
  </conditionalFormatting>
  <conditionalFormatting sqref="Q108:Q109">
    <cfRule type="cellIs" dxfId="417" priority="818" operator="between">
      <formula>80</formula>
      <formula>105</formula>
    </cfRule>
    <cfRule type="cellIs" dxfId="416" priority="819" operator="between">
      <formula>70</formula>
      <formula>79</formula>
    </cfRule>
    <cfRule type="cellIs" dxfId="415" priority="820" operator="between">
      <formula>65</formula>
      <formula>69</formula>
    </cfRule>
    <cfRule type="cellIs" dxfId="414" priority="821" operator="between">
      <formula>10</formula>
      <formula>64</formula>
    </cfRule>
  </conditionalFormatting>
  <conditionalFormatting sqref="Q115:Q116">
    <cfRule type="cellIs" dxfId="413" priority="807" operator="between">
      <formula>80</formula>
      <formula>105</formula>
    </cfRule>
    <cfRule type="cellIs" dxfId="412" priority="808" operator="between">
      <formula>70</formula>
      <formula>79</formula>
    </cfRule>
    <cfRule type="cellIs" dxfId="411" priority="809" operator="between">
      <formula>65</formula>
      <formula>69</formula>
    </cfRule>
    <cfRule type="cellIs" dxfId="410" priority="810" operator="between">
      <formula>10</formula>
      <formula>64</formula>
    </cfRule>
  </conditionalFormatting>
  <conditionalFormatting sqref="Q117:Q120 Q123:Q126 Q129:Q134">
    <cfRule type="cellIs" dxfId="409" priority="793" operator="between">
      <formula>80</formula>
      <formula>110</formula>
    </cfRule>
    <cfRule type="cellIs" dxfId="408" priority="794" operator="between">
      <formula>70</formula>
      <formula>79</formula>
    </cfRule>
    <cfRule type="cellIs" dxfId="407" priority="795" operator="between">
      <formula>65</formula>
      <formula>69</formula>
    </cfRule>
    <cfRule type="cellIs" dxfId="406" priority="796" operator="between">
      <formula>10</formula>
      <formula>64</formula>
    </cfRule>
  </conditionalFormatting>
  <conditionalFormatting sqref="Q121:Q122">
    <cfRule type="cellIs" dxfId="405" priority="785" operator="between">
      <formula>80</formula>
      <formula>105</formula>
    </cfRule>
    <cfRule type="cellIs" dxfId="404" priority="786" operator="between">
      <formula>70</formula>
      <formula>79</formula>
    </cfRule>
    <cfRule type="cellIs" dxfId="403" priority="787" operator="between">
      <formula>65</formula>
      <formula>69</formula>
    </cfRule>
    <cfRule type="cellIs" dxfId="402" priority="788" operator="between">
      <formula>10</formula>
      <formula>64</formula>
    </cfRule>
  </conditionalFormatting>
  <conditionalFormatting sqref="Q127:Q128">
    <cfRule type="cellIs" dxfId="401" priority="774" operator="between">
      <formula>80</formula>
      <formula>105</formula>
    </cfRule>
    <cfRule type="cellIs" dxfId="400" priority="775" operator="between">
      <formula>70</formula>
      <formula>79</formula>
    </cfRule>
    <cfRule type="cellIs" dxfId="399" priority="776" operator="between">
      <formula>65</formula>
      <formula>69</formula>
    </cfRule>
    <cfRule type="cellIs" dxfId="398" priority="777" operator="between">
      <formula>10</formula>
      <formula>64</formula>
    </cfRule>
  </conditionalFormatting>
  <conditionalFormatting sqref="Q135:Q136">
    <cfRule type="cellIs" dxfId="397" priority="763" operator="between">
      <formula>80</formula>
      <formula>105</formula>
    </cfRule>
  </conditionalFormatting>
  <conditionalFormatting sqref="Q135:Q137">
    <cfRule type="cellIs" dxfId="396" priority="764" operator="between">
      <formula>70</formula>
      <formula>79</formula>
    </cfRule>
    <cfRule type="cellIs" dxfId="395" priority="765" operator="between">
      <formula>65</formula>
      <formula>69</formula>
    </cfRule>
    <cfRule type="cellIs" dxfId="394" priority="766" operator="between">
      <formula>10</formula>
      <formula>64</formula>
    </cfRule>
  </conditionalFormatting>
  <conditionalFormatting sqref="Q137:Q141 Q144:Q147 Q150:Q158 Q161:Q165">
    <cfRule type="cellIs" dxfId="393" priority="749" operator="between">
      <formula>80</formula>
      <formula>110</formula>
    </cfRule>
  </conditionalFormatting>
  <conditionalFormatting sqref="Q138:Q141 Q144:Q147 Q150:Q158 Q161:Q165">
    <cfRule type="cellIs" dxfId="392" priority="750" operator="between">
      <formula>70</formula>
      <formula>79</formula>
    </cfRule>
    <cfRule type="cellIs" dxfId="391" priority="751" operator="between">
      <formula>65</formula>
      <formula>69</formula>
    </cfRule>
    <cfRule type="cellIs" dxfId="390" priority="752" operator="between">
      <formula>10</formula>
      <formula>64</formula>
    </cfRule>
  </conditionalFormatting>
  <conditionalFormatting sqref="Q142:Q143">
    <cfRule type="cellIs" dxfId="389" priority="741" operator="between">
      <formula>80</formula>
      <formula>105</formula>
    </cfRule>
    <cfRule type="cellIs" dxfId="388" priority="742" operator="between">
      <formula>70</formula>
      <formula>79</formula>
    </cfRule>
    <cfRule type="cellIs" dxfId="387" priority="743" operator="between">
      <formula>65</formula>
      <formula>69</formula>
    </cfRule>
    <cfRule type="cellIs" dxfId="386" priority="744" operator="between">
      <formula>10</formula>
      <formula>64</formula>
    </cfRule>
  </conditionalFormatting>
  <conditionalFormatting sqref="Q148:Q149">
    <cfRule type="cellIs" dxfId="385" priority="730" operator="between">
      <formula>80</formula>
      <formula>105</formula>
    </cfRule>
    <cfRule type="cellIs" dxfId="384" priority="731" operator="between">
      <formula>70</formula>
      <formula>79</formula>
    </cfRule>
    <cfRule type="cellIs" dxfId="383" priority="732" operator="between">
      <formula>65</formula>
      <formula>69</formula>
    </cfRule>
    <cfRule type="cellIs" dxfId="382" priority="733" operator="between">
      <formula>10</formula>
      <formula>64</formula>
    </cfRule>
  </conditionalFormatting>
  <conditionalFormatting sqref="Q159:Q160">
    <cfRule type="cellIs" dxfId="381" priority="719" operator="between">
      <formula>80</formula>
      <formula>105</formula>
    </cfRule>
    <cfRule type="cellIs" dxfId="380" priority="720" operator="between">
      <formula>70</formula>
      <formula>79</formula>
    </cfRule>
    <cfRule type="cellIs" dxfId="379" priority="721" operator="between">
      <formula>65</formula>
      <formula>69</formula>
    </cfRule>
    <cfRule type="cellIs" dxfId="378" priority="722" operator="between">
      <formula>10</formula>
      <formula>64</formula>
    </cfRule>
  </conditionalFormatting>
  <conditionalFormatting sqref="Q166:Q167">
    <cfRule type="cellIs" dxfId="377" priority="708" operator="between">
      <formula>80</formula>
      <formula>105</formula>
    </cfRule>
    <cfRule type="cellIs" dxfId="376" priority="709" operator="between">
      <formula>70</formula>
      <formula>79</formula>
    </cfRule>
    <cfRule type="cellIs" dxfId="375" priority="710" operator="between">
      <formula>65</formula>
      <formula>69</formula>
    </cfRule>
    <cfRule type="cellIs" dxfId="374" priority="711" operator="between">
      <formula>10</formula>
      <formula>64</formula>
    </cfRule>
  </conditionalFormatting>
  <conditionalFormatting sqref="Q168:Q171 Q174:Q177 Q180:Q184 Q187:Q190">
    <cfRule type="cellIs" dxfId="373" priority="694" operator="between">
      <formula>80</formula>
      <formula>110</formula>
    </cfRule>
    <cfRule type="cellIs" dxfId="372" priority="695" operator="between">
      <formula>70</formula>
      <formula>79</formula>
    </cfRule>
    <cfRule type="cellIs" dxfId="371" priority="696" operator="between">
      <formula>65</formula>
      <formula>69</formula>
    </cfRule>
    <cfRule type="cellIs" dxfId="370" priority="697" operator="between">
      <formula>10</formula>
      <formula>64</formula>
    </cfRule>
  </conditionalFormatting>
  <conditionalFormatting sqref="Q172:Q173">
    <cfRule type="cellIs" dxfId="369" priority="686" operator="between">
      <formula>80</formula>
      <formula>105</formula>
    </cfRule>
    <cfRule type="cellIs" dxfId="368" priority="687" operator="between">
      <formula>70</formula>
      <formula>79</formula>
    </cfRule>
    <cfRule type="cellIs" dxfId="367" priority="688" operator="between">
      <formula>65</formula>
      <formula>69</formula>
    </cfRule>
    <cfRule type="cellIs" dxfId="366" priority="689" operator="between">
      <formula>10</formula>
      <formula>64</formula>
    </cfRule>
  </conditionalFormatting>
  <conditionalFormatting sqref="Q178:Q179">
    <cfRule type="cellIs" dxfId="365" priority="675" operator="between">
      <formula>80</formula>
      <formula>105</formula>
    </cfRule>
    <cfRule type="cellIs" dxfId="364" priority="676" operator="between">
      <formula>70</formula>
      <formula>79</formula>
    </cfRule>
    <cfRule type="cellIs" dxfId="363" priority="677" operator="between">
      <formula>65</formula>
      <formula>69</formula>
    </cfRule>
    <cfRule type="cellIs" dxfId="362" priority="678" operator="between">
      <formula>10</formula>
      <formula>64</formula>
    </cfRule>
  </conditionalFormatting>
  <conditionalFormatting sqref="Q185:Q186">
    <cfRule type="cellIs" dxfId="361" priority="664" operator="between">
      <formula>80</formula>
      <formula>105</formula>
    </cfRule>
    <cfRule type="cellIs" dxfId="360" priority="665" operator="between">
      <formula>70</formula>
      <formula>79</formula>
    </cfRule>
    <cfRule type="cellIs" dxfId="359" priority="666" operator="between">
      <formula>65</formula>
      <formula>69</formula>
    </cfRule>
    <cfRule type="cellIs" dxfId="358" priority="667" operator="between">
      <formula>10</formula>
      <formula>64</formula>
    </cfRule>
  </conditionalFormatting>
  <conditionalFormatting sqref="Q191:Q193">
    <cfRule type="cellIs" dxfId="357" priority="1038" operator="between">
      <formula>80</formula>
      <formula>105</formula>
    </cfRule>
    <cfRule type="cellIs" dxfId="356" priority="1039" operator="between">
      <formula>70</formula>
      <formula>79</formula>
    </cfRule>
    <cfRule type="cellIs" dxfId="355" priority="1040" operator="between">
      <formula>65</formula>
      <formula>69</formula>
    </cfRule>
    <cfRule type="cellIs" dxfId="354" priority="1041" operator="between">
      <formula>10</formula>
      <formula>64</formula>
    </cfRule>
  </conditionalFormatting>
  <conditionalFormatting sqref="Q194:Q197 Q200:Q203 Q206:Q215 Q218:Q224">
    <cfRule type="cellIs" dxfId="353" priority="639" operator="between">
      <formula>80</formula>
      <formula>110</formula>
    </cfRule>
    <cfRule type="cellIs" dxfId="352" priority="640" operator="between">
      <formula>70</formula>
      <formula>79</formula>
    </cfRule>
    <cfRule type="cellIs" dxfId="351" priority="641" operator="between">
      <formula>65</formula>
      <formula>69</formula>
    </cfRule>
    <cfRule type="cellIs" dxfId="350" priority="642" operator="between">
      <formula>10</formula>
      <formula>64</formula>
    </cfRule>
  </conditionalFormatting>
  <conditionalFormatting sqref="Q198:Q199">
    <cfRule type="cellIs" dxfId="349" priority="631" operator="between">
      <formula>80</formula>
      <formula>105</formula>
    </cfRule>
    <cfRule type="cellIs" dxfId="348" priority="632" operator="between">
      <formula>70</formula>
      <formula>79</formula>
    </cfRule>
    <cfRule type="cellIs" dxfId="347" priority="633" operator="between">
      <formula>65</formula>
      <formula>69</formula>
    </cfRule>
    <cfRule type="cellIs" dxfId="346" priority="634" operator="between">
      <formula>10</formula>
      <formula>64</formula>
    </cfRule>
  </conditionalFormatting>
  <conditionalFormatting sqref="Q204:Q205">
    <cfRule type="cellIs" dxfId="345" priority="620" operator="between">
      <formula>80</formula>
      <formula>105</formula>
    </cfRule>
    <cfRule type="cellIs" dxfId="344" priority="621" operator="between">
      <formula>70</formula>
      <formula>79</formula>
    </cfRule>
    <cfRule type="cellIs" dxfId="343" priority="622" operator="between">
      <formula>65</formula>
      <formula>69</formula>
    </cfRule>
    <cfRule type="cellIs" dxfId="342" priority="623" operator="between">
      <formula>10</formula>
      <formula>64</formula>
    </cfRule>
  </conditionalFormatting>
  <conditionalFormatting sqref="Q216:Q217">
    <cfRule type="cellIs" dxfId="341" priority="609" operator="between">
      <formula>80</formula>
      <formula>105</formula>
    </cfRule>
    <cfRule type="cellIs" dxfId="340" priority="610" operator="between">
      <formula>70</formula>
      <formula>79</formula>
    </cfRule>
    <cfRule type="cellIs" dxfId="339" priority="611" operator="between">
      <formula>65</formula>
      <formula>69</formula>
    </cfRule>
    <cfRule type="cellIs" dxfId="338" priority="612" operator="between">
      <formula>10</formula>
      <formula>64</formula>
    </cfRule>
  </conditionalFormatting>
  <conditionalFormatting sqref="Q225:Q226">
    <cfRule type="cellIs" dxfId="337" priority="598" operator="between">
      <formula>80</formula>
      <formula>105</formula>
    </cfRule>
    <cfRule type="cellIs" dxfId="336" priority="599" operator="between">
      <formula>70</formula>
      <formula>79</formula>
    </cfRule>
    <cfRule type="cellIs" dxfId="335" priority="600" operator="between">
      <formula>65</formula>
      <formula>69</formula>
    </cfRule>
    <cfRule type="cellIs" dxfId="334" priority="601" operator="between">
      <formula>10</formula>
      <formula>64</formula>
    </cfRule>
  </conditionalFormatting>
  <conditionalFormatting sqref="Q227 Q230:Q233 Q236:Q244 Q247">
    <cfRule type="cellIs" dxfId="333" priority="584" operator="between">
      <formula>80</formula>
      <formula>110</formula>
    </cfRule>
    <cfRule type="cellIs" dxfId="332" priority="585" operator="between">
      <formula>70</formula>
      <formula>79</formula>
    </cfRule>
    <cfRule type="cellIs" dxfId="331" priority="586" operator="between">
      <formula>65</formula>
      <formula>69</formula>
    </cfRule>
    <cfRule type="cellIs" dxfId="330" priority="587" operator="between">
      <formula>10</formula>
      <formula>64</formula>
    </cfRule>
  </conditionalFormatting>
  <conditionalFormatting sqref="Q228:Q229">
    <cfRule type="cellIs" dxfId="329" priority="576" operator="between">
      <formula>80</formula>
      <formula>105</formula>
    </cfRule>
    <cfRule type="cellIs" dxfId="328" priority="577" operator="between">
      <formula>70</formula>
      <formula>79</formula>
    </cfRule>
    <cfRule type="cellIs" dxfId="327" priority="578" operator="between">
      <formula>65</formula>
      <formula>69</formula>
    </cfRule>
    <cfRule type="cellIs" dxfId="326" priority="579" operator="between">
      <formula>10</formula>
      <formula>64</formula>
    </cfRule>
  </conditionalFormatting>
  <conditionalFormatting sqref="Q234:Q235">
    <cfRule type="cellIs" dxfId="325" priority="565" operator="between">
      <formula>80</formula>
      <formula>105</formula>
    </cfRule>
    <cfRule type="cellIs" dxfId="324" priority="566" operator="between">
      <formula>70</formula>
      <formula>79</formula>
    </cfRule>
    <cfRule type="cellIs" dxfId="323" priority="567" operator="between">
      <formula>65</formula>
      <formula>69</formula>
    </cfRule>
    <cfRule type="cellIs" dxfId="322" priority="568" operator="between">
      <formula>10</formula>
      <formula>64</formula>
    </cfRule>
  </conditionalFormatting>
  <conditionalFormatting sqref="Q245:Q246">
    <cfRule type="cellIs" dxfId="321" priority="554" operator="between">
      <formula>80</formula>
      <formula>105</formula>
    </cfRule>
    <cfRule type="cellIs" dxfId="320" priority="555" operator="between">
      <formula>70</formula>
      <formula>79</formula>
    </cfRule>
    <cfRule type="cellIs" dxfId="319" priority="556" operator="between">
      <formula>65</formula>
      <formula>69</formula>
    </cfRule>
    <cfRule type="cellIs" dxfId="318" priority="557" operator="between">
      <formula>10</formula>
      <formula>64</formula>
    </cfRule>
  </conditionalFormatting>
  <conditionalFormatting sqref="Q248:Q249">
    <cfRule type="cellIs" dxfId="317" priority="543" operator="between">
      <formula>80</formula>
      <formula>105</formula>
    </cfRule>
  </conditionalFormatting>
  <conditionalFormatting sqref="Q248:Q250">
    <cfRule type="cellIs" dxfId="316" priority="544" operator="between">
      <formula>70</formula>
      <formula>79</formula>
    </cfRule>
    <cfRule type="cellIs" dxfId="315" priority="545" operator="between">
      <formula>65</formula>
      <formula>69</formula>
    </cfRule>
    <cfRule type="cellIs" dxfId="314" priority="546" operator="between">
      <formula>10</formula>
      <formula>64</formula>
    </cfRule>
  </conditionalFormatting>
  <conditionalFormatting sqref="Q250:Q254 Q257:Q258 Q261:Q263 Q266:Q274">
    <cfRule type="cellIs" dxfId="313" priority="529" operator="between">
      <formula>80</formula>
      <formula>110</formula>
    </cfRule>
  </conditionalFormatting>
  <conditionalFormatting sqref="Q251:Q254 Q257:Q258 Q261:Q263 Q266:Q274">
    <cfRule type="cellIs" dxfId="312" priority="530" operator="between">
      <formula>70</formula>
      <formula>79</formula>
    </cfRule>
    <cfRule type="cellIs" dxfId="311" priority="531" operator="between">
      <formula>65</formula>
      <formula>69</formula>
    </cfRule>
    <cfRule type="cellIs" dxfId="310" priority="532" operator="between">
      <formula>10</formula>
      <formula>64</formula>
    </cfRule>
  </conditionalFormatting>
  <conditionalFormatting sqref="Q255:Q256">
    <cfRule type="cellIs" dxfId="309" priority="521" operator="between">
      <formula>80</formula>
      <formula>105</formula>
    </cfRule>
    <cfRule type="cellIs" dxfId="308" priority="522" operator="between">
      <formula>70</formula>
      <formula>79</formula>
    </cfRule>
    <cfRule type="cellIs" dxfId="307" priority="523" operator="between">
      <formula>65</formula>
      <formula>69</formula>
    </cfRule>
    <cfRule type="cellIs" dxfId="306" priority="524" operator="between">
      <formula>10</formula>
      <formula>64</formula>
    </cfRule>
  </conditionalFormatting>
  <conditionalFormatting sqref="Q259:Q260">
    <cfRule type="cellIs" dxfId="305" priority="510" operator="between">
      <formula>80</formula>
      <formula>105</formula>
    </cfRule>
    <cfRule type="cellIs" dxfId="304" priority="511" operator="between">
      <formula>70</formula>
      <formula>79</formula>
    </cfRule>
    <cfRule type="cellIs" dxfId="303" priority="512" operator="between">
      <formula>65</formula>
      <formula>69</formula>
    </cfRule>
    <cfRule type="cellIs" dxfId="302" priority="513" operator="between">
      <formula>10</formula>
      <formula>64</formula>
    </cfRule>
  </conditionalFormatting>
  <conditionalFormatting sqref="Q264:Q265">
    <cfRule type="cellIs" dxfId="301" priority="499" operator="between">
      <formula>80</formula>
      <formula>105</formula>
    </cfRule>
    <cfRule type="cellIs" dxfId="300" priority="500" operator="between">
      <formula>70</formula>
      <formula>79</formula>
    </cfRule>
    <cfRule type="cellIs" dxfId="299" priority="501" operator="between">
      <formula>65</formula>
      <formula>69</formula>
    </cfRule>
    <cfRule type="cellIs" dxfId="298" priority="502" operator="between">
      <formula>10</formula>
      <formula>64</formula>
    </cfRule>
  </conditionalFormatting>
  <conditionalFormatting sqref="Q275:Q276">
    <cfRule type="cellIs" dxfId="297" priority="488" operator="between">
      <formula>80</formula>
      <formula>105</formula>
    </cfRule>
    <cfRule type="cellIs" dxfId="296" priority="489" operator="between">
      <formula>70</formula>
      <formula>79</formula>
    </cfRule>
    <cfRule type="cellIs" dxfId="295" priority="490" operator="between">
      <formula>65</formula>
      <formula>69</formula>
    </cfRule>
    <cfRule type="cellIs" dxfId="294" priority="491" operator="between">
      <formula>10</formula>
      <formula>64</formula>
    </cfRule>
  </conditionalFormatting>
  <conditionalFormatting sqref="Q277:Q279 Q282:Q285 Q288:Q292">
    <cfRule type="cellIs" dxfId="293" priority="474" operator="between">
      <formula>80</formula>
      <formula>110</formula>
    </cfRule>
    <cfRule type="cellIs" dxfId="292" priority="475" operator="between">
      <formula>70</formula>
      <formula>79</formula>
    </cfRule>
    <cfRule type="cellIs" dxfId="291" priority="476" operator="between">
      <formula>65</formula>
      <formula>69</formula>
    </cfRule>
    <cfRule type="cellIs" dxfId="290" priority="477" operator="between">
      <formula>10</formula>
      <formula>64</formula>
    </cfRule>
  </conditionalFormatting>
  <conditionalFormatting sqref="Q280:Q281">
    <cfRule type="cellIs" dxfId="289" priority="466" operator="between">
      <formula>80</formula>
      <formula>105</formula>
    </cfRule>
    <cfRule type="cellIs" dxfId="288" priority="467" operator="between">
      <formula>70</formula>
      <formula>79</formula>
    </cfRule>
    <cfRule type="cellIs" dxfId="287" priority="468" operator="between">
      <formula>65</formula>
      <formula>69</formula>
    </cfRule>
    <cfRule type="cellIs" dxfId="286" priority="469" operator="between">
      <formula>10</formula>
      <formula>64</formula>
    </cfRule>
  </conditionalFormatting>
  <conditionalFormatting sqref="Q286:Q287">
    <cfRule type="cellIs" dxfId="285" priority="455" operator="between">
      <formula>80</formula>
      <formula>105</formula>
    </cfRule>
    <cfRule type="cellIs" dxfId="284" priority="456" operator="between">
      <formula>70</formula>
      <formula>79</formula>
    </cfRule>
    <cfRule type="cellIs" dxfId="283" priority="457" operator="between">
      <formula>65</formula>
      <formula>69</formula>
    </cfRule>
    <cfRule type="cellIs" dxfId="282" priority="458" operator="between">
      <formula>10</formula>
      <formula>64</formula>
    </cfRule>
  </conditionalFormatting>
  <conditionalFormatting sqref="Q293:Q294">
    <cfRule type="cellIs" dxfId="281" priority="444" operator="between">
      <formula>80</formula>
      <formula>105</formula>
    </cfRule>
  </conditionalFormatting>
  <conditionalFormatting sqref="Q293:Q295">
    <cfRule type="cellIs" dxfId="280" priority="445" operator="between">
      <formula>70</formula>
      <formula>79</formula>
    </cfRule>
    <cfRule type="cellIs" dxfId="279" priority="446" operator="between">
      <formula>65</formula>
      <formula>69</formula>
    </cfRule>
    <cfRule type="cellIs" dxfId="278" priority="447" operator="between">
      <formula>10</formula>
      <formula>64</formula>
    </cfRule>
  </conditionalFormatting>
  <conditionalFormatting sqref="Q295:Q298 Q301:Q304 Q307:Q309 Q312:Q315 Q318:Q321">
    <cfRule type="cellIs" dxfId="277" priority="430" operator="between">
      <formula>80</formula>
      <formula>110</formula>
    </cfRule>
  </conditionalFormatting>
  <conditionalFormatting sqref="Q296:Q298 Q301:Q304 Q307:Q309 Q312:Q315 Q318:Q321">
    <cfRule type="cellIs" dxfId="276" priority="431" operator="between">
      <formula>70</formula>
      <formula>79</formula>
    </cfRule>
    <cfRule type="cellIs" dxfId="275" priority="432" operator="between">
      <formula>65</formula>
      <formula>69</formula>
    </cfRule>
    <cfRule type="cellIs" dxfId="274" priority="433" operator="between">
      <formula>10</formula>
      <formula>64</formula>
    </cfRule>
  </conditionalFormatting>
  <conditionalFormatting sqref="Q299:Q300">
    <cfRule type="cellIs" dxfId="273" priority="422" operator="between">
      <formula>80</formula>
      <formula>105</formula>
    </cfRule>
    <cfRule type="cellIs" dxfId="272" priority="423" operator="between">
      <formula>70</formula>
      <formula>79</formula>
    </cfRule>
    <cfRule type="cellIs" dxfId="271" priority="424" operator="between">
      <formula>65</formula>
      <formula>69</formula>
    </cfRule>
    <cfRule type="cellIs" dxfId="270" priority="425" operator="between">
      <formula>10</formula>
      <formula>64</formula>
    </cfRule>
  </conditionalFormatting>
  <conditionalFormatting sqref="Q305:Q306">
    <cfRule type="cellIs" dxfId="269" priority="411" operator="between">
      <formula>80</formula>
      <formula>105</formula>
    </cfRule>
    <cfRule type="cellIs" dxfId="268" priority="412" operator="between">
      <formula>70</formula>
      <formula>79</formula>
    </cfRule>
    <cfRule type="cellIs" dxfId="267" priority="413" operator="between">
      <formula>65</formula>
      <formula>69</formula>
    </cfRule>
    <cfRule type="cellIs" dxfId="266" priority="414" operator="between">
      <formula>10</formula>
      <formula>64</formula>
    </cfRule>
  </conditionalFormatting>
  <conditionalFormatting sqref="Q310:Q311">
    <cfRule type="cellIs" dxfId="265" priority="400" operator="between">
      <formula>80</formula>
      <formula>105</formula>
    </cfRule>
    <cfRule type="cellIs" dxfId="264" priority="401" operator="between">
      <formula>70</formula>
      <formula>79</formula>
    </cfRule>
    <cfRule type="cellIs" dxfId="263" priority="402" operator="between">
      <formula>65</formula>
      <formula>69</formula>
    </cfRule>
    <cfRule type="cellIs" dxfId="262" priority="403" operator="between">
      <formula>10</formula>
      <formula>64</formula>
    </cfRule>
  </conditionalFormatting>
  <conditionalFormatting sqref="Q316:Q317">
    <cfRule type="cellIs" dxfId="261" priority="389" operator="between">
      <formula>80</formula>
      <formula>105</formula>
    </cfRule>
    <cfRule type="cellIs" dxfId="260" priority="390" operator="between">
      <formula>70</formula>
      <formula>79</formula>
    </cfRule>
    <cfRule type="cellIs" dxfId="259" priority="391" operator="between">
      <formula>65</formula>
      <formula>69</formula>
    </cfRule>
    <cfRule type="cellIs" dxfId="258" priority="392" operator="between">
      <formula>10</formula>
      <formula>64</formula>
    </cfRule>
  </conditionalFormatting>
  <conditionalFormatting sqref="Q322:Q323">
    <cfRule type="cellIs" dxfId="257" priority="378" operator="between">
      <formula>80</formula>
      <formula>105</formula>
    </cfRule>
    <cfRule type="cellIs" dxfId="256" priority="379" operator="between">
      <formula>70</formula>
      <formula>79</formula>
    </cfRule>
    <cfRule type="cellIs" dxfId="255" priority="380" operator="between">
      <formula>65</formula>
      <formula>69</formula>
    </cfRule>
    <cfRule type="cellIs" dxfId="254" priority="381" operator="between">
      <formula>10</formula>
      <formula>64</formula>
    </cfRule>
  </conditionalFormatting>
  <conditionalFormatting sqref="Q324:Q326 Q331:Q334 Q337:Q341">
    <cfRule type="cellIs" dxfId="253" priority="364" operator="between">
      <formula>80</formula>
      <formula>110</formula>
    </cfRule>
    <cfRule type="cellIs" dxfId="252" priority="365" operator="between">
      <formula>70</formula>
      <formula>79</formula>
    </cfRule>
    <cfRule type="cellIs" dxfId="251" priority="366" operator="between">
      <formula>65</formula>
      <formula>69</formula>
    </cfRule>
    <cfRule type="cellIs" dxfId="250" priority="367" operator="between">
      <formula>10</formula>
      <formula>64</formula>
    </cfRule>
  </conditionalFormatting>
  <conditionalFormatting sqref="Q327:Q330">
    <cfRule type="cellIs" dxfId="249" priority="345" operator="between">
      <formula>80</formula>
      <formula>105</formula>
    </cfRule>
    <cfRule type="cellIs" dxfId="248" priority="346" operator="between">
      <formula>70</formula>
      <formula>79</formula>
    </cfRule>
    <cfRule type="cellIs" dxfId="247" priority="347" operator="between">
      <formula>65</formula>
      <formula>69</formula>
    </cfRule>
    <cfRule type="cellIs" dxfId="246" priority="348" operator="between">
      <formula>10</formula>
      <formula>64</formula>
    </cfRule>
  </conditionalFormatting>
  <conditionalFormatting sqref="Q335:Q336">
    <cfRule type="cellIs" dxfId="245" priority="334" operator="between">
      <formula>80</formula>
      <formula>105</formula>
    </cfRule>
    <cfRule type="cellIs" dxfId="244" priority="335" operator="between">
      <formula>70</formula>
      <formula>79</formula>
    </cfRule>
    <cfRule type="cellIs" dxfId="243" priority="336" operator="between">
      <formula>65</formula>
      <formula>69</formula>
    </cfRule>
    <cfRule type="cellIs" dxfId="242" priority="337" operator="between">
      <formula>10</formula>
      <formula>64</formula>
    </cfRule>
  </conditionalFormatting>
  <conditionalFormatting sqref="Q342:Q343">
    <cfRule type="cellIs" dxfId="241" priority="323" operator="between">
      <formula>80</formula>
      <formula>105</formula>
    </cfRule>
  </conditionalFormatting>
  <conditionalFormatting sqref="Q342:Q344">
    <cfRule type="cellIs" dxfId="240" priority="324" operator="between">
      <formula>70</formula>
      <formula>79</formula>
    </cfRule>
    <cfRule type="cellIs" dxfId="239" priority="325" operator="between">
      <formula>65</formula>
      <formula>69</formula>
    </cfRule>
    <cfRule type="cellIs" dxfId="238" priority="326" operator="between">
      <formula>10</formula>
      <formula>64</formula>
    </cfRule>
  </conditionalFormatting>
  <conditionalFormatting sqref="Q344:Q353 Q356:Q360 Q363:Q371">
    <cfRule type="cellIs" dxfId="237" priority="309" operator="between">
      <formula>80</formula>
      <formula>110</formula>
    </cfRule>
  </conditionalFormatting>
  <conditionalFormatting sqref="Q345:Q353 Q356:Q360 Q363:Q371">
    <cfRule type="cellIs" dxfId="236" priority="310" operator="between">
      <formula>70</formula>
      <formula>79</formula>
    </cfRule>
    <cfRule type="cellIs" dxfId="235" priority="311" operator="between">
      <formula>65</formula>
      <formula>69</formula>
    </cfRule>
    <cfRule type="cellIs" dxfId="234" priority="312" operator="between">
      <formula>10</formula>
      <formula>64</formula>
    </cfRule>
  </conditionalFormatting>
  <conditionalFormatting sqref="Q354:Q355">
    <cfRule type="cellIs" dxfId="233" priority="301" operator="between">
      <formula>80</formula>
      <formula>105</formula>
    </cfRule>
    <cfRule type="cellIs" dxfId="232" priority="302" operator="between">
      <formula>70</formula>
      <formula>79</formula>
    </cfRule>
    <cfRule type="cellIs" dxfId="231" priority="303" operator="between">
      <formula>65</formula>
      <formula>69</formula>
    </cfRule>
    <cfRule type="cellIs" dxfId="230" priority="304" operator="between">
      <formula>10</formula>
      <formula>64</formula>
    </cfRule>
  </conditionalFormatting>
  <conditionalFormatting sqref="Q361:Q362">
    <cfRule type="cellIs" dxfId="229" priority="290" operator="between">
      <formula>80</formula>
      <formula>105</formula>
    </cfRule>
    <cfRule type="cellIs" dxfId="228" priority="291" operator="between">
      <formula>70</formula>
      <formula>79</formula>
    </cfRule>
    <cfRule type="cellIs" dxfId="227" priority="292" operator="between">
      <formula>65</formula>
      <formula>69</formula>
    </cfRule>
    <cfRule type="cellIs" dxfId="226" priority="293" operator="between">
      <formula>10</formula>
      <formula>64</formula>
    </cfRule>
  </conditionalFormatting>
  <conditionalFormatting sqref="Q372:Q373">
    <cfRule type="cellIs" dxfId="225" priority="279" operator="between">
      <formula>80</formula>
      <formula>105</formula>
    </cfRule>
    <cfRule type="cellIs" dxfId="224" priority="280" operator="between">
      <formula>70</formula>
      <formula>79</formula>
    </cfRule>
    <cfRule type="cellIs" dxfId="223" priority="281" operator="between">
      <formula>65</formula>
      <formula>69</formula>
    </cfRule>
    <cfRule type="cellIs" dxfId="222" priority="282" operator="between">
      <formula>10</formula>
      <formula>64</formula>
    </cfRule>
  </conditionalFormatting>
  <conditionalFormatting sqref="Q374:Q378 Q381:Q383 Q386:Q388 Q391:Q400 Q403:Q406">
    <cfRule type="cellIs" dxfId="221" priority="265" operator="between">
      <formula>80</formula>
      <formula>110</formula>
    </cfRule>
    <cfRule type="cellIs" dxfId="220" priority="266" operator="between">
      <formula>70</formula>
      <formula>79</formula>
    </cfRule>
    <cfRule type="cellIs" dxfId="219" priority="267" operator="between">
      <formula>65</formula>
      <formula>69</formula>
    </cfRule>
    <cfRule type="cellIs" dxfId="218" priority="268" operator="between">
      <formula>10</formula>
      <formula>64</formula>
    </cfRule>
  </conditionalFormatting>
  <conditionalFormatting sqref="Q379:Q380">
    <cfRule type="cellIs" dxfId="217" priority="257" operator="between">
      <formula>80</formula>
      <formula>105</formula>
    </cfRule>
    <cfRule type="cellIs" dxfId="216" priority="258" operator="between">
      <formula>70</formula>
      <formula>79</formula>
    </cfRule>
    <cfRule type="cellIs" dxfId="215" priority="259" operator="between">
      <formula>65</formula>
      <formula>69</formula>
    </cfRule>
    <cfRule type="cellIs" dxfId="214" priority="260" operator="between">
      <formula>10</formula>
      <formula>64</formula>
    </cfRule>
  </conditionalFormatting>
  <conditionalFormatting sqref="Q384:Q385">
    <cfRule type="cellIs" dxfId="213" priority="246" operator="between">
      <formula>80</formula>
      <formula>105</formula>
    </cfRule>
    <cfRule type="cellIs" dxfId="212" priority="247" operator="between">
      <formula>70</formula>
      <formula>79</formula>
    </cfRule>
    <cfRule type="cellIs" dxfId="211" priority="248" operator="between">
      <formula>65</formula>
      <formula>69</formula>
    </cfRule>
    <cfRule type="cellIs" dxfId="210" priority="249" operator="between">
      <formula>10</formula>
      <formula>64</formula>
    </cfRule>
  </conditionalFormatting>
  <conditionalFormatting sqref="Q389:Q390">
    <cfRule type="cellIs" dxfId="209" priority="235" operator="between">
      <formula>80</formula>
      <formula>105</formula>
    </cfRule>
    <cfRule type="cellIs" dxfId="208" priority="236" operator="between">
      <formula>70</formula>
      <formula>79</formula>
    </cfRule>
    <cfRule type="cellIs" dxfId="207" priority="237" operator="between">
      <formula>65</formula>
      <formula>69</formula>
    </cfRule>
    <cfRule type="cellIs" dxfId="206" priority="238" operator="between">
      <formula>10</formula>
      <formula>64</formula>
    </cfRule>
  </conditionalFormatting>
  <conditionalFormatting sqref="Q401:Q402">
    <cfRule type="cellIs" dxfId="205" priority="224" operator="between">
      <formula>80</formula>
      <formula>105</formula>
    </cfRule>
    <cfRule type="cellIs" dxfId="204" priority="225" operator="between">
      <formula>70</formula>
      <formula>79</formula>
    </cfRule>
    <cfRule type="cellIs" dxfId="203" priority="226" operator="between">
      <formula>65</formula>
      <formula>69</formula>
    </cfRule>
    <cfRule type="cellIs" dxfId="202" priority="227" operator="between">
      <formula>10</formula>
      <formula>64</formula>
    </cfRule>
  </conditionalFormatting>
  <conditionalFormatting sqref="Q407:Q408">
    <cfRule type="cellIs" dxfId="201" priority="213" operator="between">
      <formula>80</formula>
      <formula>105</formula>
    </cfRule>
  </conditionalFormatting>
  <conditionalFormatting sqref="Q407:Q409">
    <cfRule type="cellIs" dxfId="200" priority="214" operator="between">
      <formula>70</formula>
      <formula>79</formula>
    </cfRule>
    <cfRule type="cellIs" dxfId="199" priority="215" operator="between">
      <formula>65</formula>
      <formula>69</formula>
    </cfRule>
    <cfRule type="cellIs" dxfId="198" priority="216" operator="between">
      <formula>10</formula>
      <formula>64</formula>
    </cfRule>
  </conditionalFormatting>
  <conditionalFormatting sqref="Q409:Q412 Q415:Q417 Q420:Q423">
    <cfRule type="cellIs" dxfId="197" priority="199" operator="between">
      <formula>80</formula>
      <formula>110</formula>
    </cfRule>
  </conditionalFormatting>
  <conditionalFormatting sqref="Q410:Q412 Q415:Q417 Q420:Q423">
    <cfRule type="cellIs" dxfId="196" priority="200" operator="between">
      <formula>70</formula>
      <formula>79</formula>
    </cfRule>
    <cfRule type="cellIs" dxfId="195" priority="201" operator="between">
      <formula>65</formula>
      <formula>69</formula>
    </cfRule>
    <cfRule type="cellIs" dxfId="194" priority="202" operator="between">
      <formula>10</formula>
      <formula>64</formula>
    </cfRule>
  </conditionalFormatting>
  <conditionalFormatting sqref="Q413:Q414">
    <cfRule type="cellIs" dxfId="193" priority="191" operator="between">
      <formula>80</formula>
      <formula>105</formula>
    </cfRule>
    <cfRule type="cellIs" dxfId="192" priority="192" operator="between">
      <formula>70</formula>
      <formula>79</formula>
    </cfRule>
    <cfRule type="cellIs" dxfId="191" priority="193" operator="between">
      <formula>65</formula>
      <formula>69</formula>
    </cfRule>
    <cfRule type="cellIs" dxfId="190" priority="194" operator="between">
      <formula>10</formula>
      <formula>64</formula>
    </cfRule>
  </conditionalFormatting>
  <conditionalFormatting sqref="Q418:Q419">
    <cfRule type="cellIs" dxfId="189" priority="180" operator="between">
      <formula>80</formula>
      <formula>105</formula>
    </cfRule>
    <cfRule type="cellIs" dxfId="188" priority="181" operator="between">
      <formula>70</formula>
      <formula>79</formula>
    </cfRule>
    <cfRule type="cellIs" dxfId="187" priority="182" operator="between">
      <formula>65</formula>
      <formula>69</formula>
    </cfRule>
    <cfRule type="cellIs" dxfId="186" priority="183" operator="between">
      <formula>10</formula>
      <formula>64</formula>
    </cfRule>
  </conditionalFormatting>
  <conditionalFormatting sqref="Q424:Q425">
    <cfRule type="cellIs" dxfId="185" priority="169" operator="between">
      <formula>80</formula>
      <formula>105</formula>
    </cfRule>
    <cfRule type="cellIs" dxfId="184" priority="170" operator="between">
      <formula>70</formula>
      <formula>79</formula>
    </cfRule>
    <cfRule type="cellIs" dxfId="183" priority="171" operator="between">
      <formula>65</formula>
      <formula>69</formula>
    </cfRule>
    <cfRule type="cellIs" dxfId="182" priority="172" operator="between">
      <formula>10</formula>
      <formula>64</formula>
    </cfRule>
  </conditionalFormatting>
  <conditionalFormatting sqref="Q426:Q429 Q432:Q439 Q442:Q450 Q453:Q459">
    <cfRule type="cellIs" dxfId="181" priority="155" operator="between">
      <formula>80</formula>
      <formula>110</formula>
    </cfRule>
    <cfRule type="cellIs" dxfId="180" priority="156" operator="between">
      <formula>70</formula>
      <formula>79</formula>
    </cfRule>
    <cfRule type="cellIs" dxfId="179" priority="157" operator="between">
      <formula>65</formula>
      <formula>69</formula>
    </cfRule>
    <cfRule type="cellIs" dxfId="178" priority="158" operator="between">
      <formula>10</formula>
      <formula>64</formula>
    </cfRule>
  </conditionalFormatting>
  <conditionalFormatting sqref="Q430:Q431">
    <cfRule type="cellIs" dxfId="177" priority="147" operator="between">
      <formula>80</formula>
      <formula>105</formula>
    </cfRule>
    <cfRule type="cellIs" dxfId="176" priority="148" operator="between">
      <formula>70</formula>
      <formula>79</formula>
    </cfRule>
    <cfRule type="cellIs" dxfId="175" priority="149" operator="between">
      <formula>65</formula>
      <formula>69</formula>
    </cfRule>
    <cfRule type="cellIs" dxfId="174" priority="150" operator="between">
      <formula>10</formula>
      <formula>64</formula>
    </cfRule>
  </conditionalFormatting>
  <conditionalFormatting sqref="Q440:Q441">
    <cfRule type="cellIs" dxfId="173" priority="136" operator="between">
      <formula>80</formula>
      <formula>105</formula>
    </cfRule>
    <cfRule type="cellIs" dxfId="172" priority="137" operator="between">
      <formula>70</formula>
      <formula>79</formula>
    </cfRule>
    <cfRule type="cellIs" dxfId="171" priority="138" operator="between">
      <formula>65</formula>
      <formula>69</formula>
    </cfRule>
    <cfRule type="cellIs" dxfId="170" priority="139" operator="between">
      <formula>10</formula>
      <formula>64</formula>
    </cfRule>
  </conditionalFormatting>
  <conditionalFormatting sqref="Q451:Q452">
    <cfRule type="cellIs" dxfId="169" priority="125" operator="between">
      <formula>80</formula>
      <formula>105</formula>
    </cfRule>
    <cfRule type="cellIs" dxfId="168" priority="126" operator="between">
      <formula>70</formula>
      <formula>79</formula>
    </cfRule>
    <cfRule type="cellIs" dxfId="167" priority="127" operator="between">
      <formula>65</formula>
      <formula>69</formula>
    </cfRule>
    <cfRule type="cellIs" dxfId="166" priority="128" operator="between">
      <formula>10</formula>
      <formula>64</formula>
    </cfRule>
  </conditionalFormatting>
  <conditionalFormatting sqref="Q460:Q461">
    <cfRule type="cellIs" dxfId="165" priority="114" operator="between">
      <formula>80</formula>
      <formula>105</formula>
    </cfRule>
  </conditionalFormatting>
  <conditionalFormatting sqref="Q460:Q462">
    <cfRule type="cellIs" dxfId="164" priority="115" operator="between">
      <formula>70</formula>
      <formula>79</formula>
    </cfRule>
    <cfRule type="cellIs" dxfId="163" priority="116" operator="between">
      <formula>65</formula>
      <formula>69</formula>
    </cfRule>
    <cfRule type="cellIs" dxfId="162" priority="117" operator="between">
      <formula>10</formula>
      <formula>64</formula>
    </cfRule>
  </conditionalFormatting>
  <conditionalFormatting sqref="Q462:Q465 Q468:Q469 Q472:Q474 Q477:Q481">
    <cfRule type="cellIs" dxfId="161" priority="100" operator="between">
      <formula>80</formula>
      <formula>110</formula>
    </cfRule>
  </conditionalFormatting>
  <conditionalFormatting sqref="Q463:Q465 Q468:Q469 Q472:Q474 Q477:Q481">
    <cfRule type="cellIs" dxfId="160" priority="101" operator="between">
      <formula>70</formula>
      <formula>79</formula>
    </cfRule>
    <cfRule type="cellIs" dxfId="159" priority="102" operator="between">
      <formula>65</formula>
      <formula>69</formula>
    </cfRule>
    <cfRule type="cellIs" dxfId="158" priority="103" operator="between">
      <formula>10</formula>
      <formula>64</formula>
    </cfRule>
  </conditionalFormatting>
  <conditionalFormatting sqref="Q466:Q467">
    <cfRule type="cellIs" dxfId="157" priority="92" operator="between">
      <formula>80</formula>
      <formula>105</formula>
    </cfRule>
    <cfRule type="cellIs" dxfId="156" priority="93" operator="between">
      <formula>70</formula>
      <formula>79</formula>
    </cfRule>
    <cfRule type="cellIs" dxfId="155" priority="94" operator="between">
      <formula>65</formula>
      <formula>69</formula>
    </cfRule>
    <cfRule type="cellIs" dxfId="154" priority="95" operator="between">
      <formula>10</formula>
      <formula>64</formula>
    </cfRule>
  </conditionalFormatting>
  <conditionalFormatting sqref="Q470:Q471">
    <cfRule type="cellIs" dxfId="153" priority="81" operator="between">
      <formula>80</formula>
      <formula>105</formula>
    </cfRule>
    <cfRule type="cellIs" dxfId="152" priority="82" operator="between">
      <formula>70</formula>
      <formula>79</formula>
    </cfRule>
    <cfRule type="cellIs" dxfId="151" priority="83" operator="between">
      <formula>65</formula>
      <formula>69</formula>
    </cfRule>
    <cfRule type="cellIs" dxfId="150" priority="84" operator="between">
      <formula>10</formula>
      <formula>64</formula>
    </cfRule>
  </conditionalFormatting>
  <conditionalFormatting sqref="Q475:Q476">
    <cfRule type="cellIs" dxfId="149" priority="70" operator="between">
      <formula>80</formula>
      <formula>105</formula>
    </cfRule>
    <cfRule type="cellIs" dxfId="148" priority="71" operator="between">
      <formula>70</formula>
      <formula>79</formula>
    </cfRule>
    <cfRule type="cellIs" dxfId="147" priority="72" operator="between">
      <formula>65</formula>
      <formula>69</formula>
    </cfRule>
    <cfRule type="cellIs" dxfId="146" priority="73" operator="between">
      <formula>10</formula>
      <formula>64</formula>
    </cfRule>
  </conditionalFormatting>
  <conditionalFormatting sqref="Q482:Q483">
    <cfRule type="cellIs" dxfId="145" priority="59" operator="between">
      <formula>80</formula>
      <formula>105</formula>
    </cfRule>
    <cfRule type="cellIs" dxfId="144" priority="60" operator="between">
      <formula>70</formula>
      <formula>79</formula>
    </cfRule>
    <cfRule type="cellIs" dxfId="143" priority="61" operator="between">
      <formula>65</formula>
      <formula>69</formula>
    </cfRule>
    <cfRule type="cellIs" dxfId="142" priority="62" operator="between">
      <formula>10</formula>
      <formula>64</formula>
    </cfRule>
  </conditionalFormatting>
  <conditionalFormatting sqref="Q484:Q485 Q488:Q493 Q496:Q504 Q507:Q512">
    <cfRule type="cellIs" dxfId="141" priority="45" operator="between">
      <formula>80</formula>
      <formula>110</formula>
    </cfRule>
    <cfRule type="cellIs" dxfId="140" priority="46" operator="between">
      <formula>70</formula>
      <formula>79</formula>
    </cfRule>
    <cfRule type="cellIs" dxfId="139" priority="47" operator="between">
      <formula>65</formula>
      <formula>69</formula>
    </cfRule>
    <cfRule type="cellIs" dxfId="138" priority="48" operator="between">
      <formula>10</formula>
      <formula>64</formula>
    </cfRule>
  </conditionalFormatting>
  <conditionalFormatting sqref="Q486:Q487">
    <cfRule type="cellIs" dxfId="137" priority="37" operator="between">
      <formula>80</formula>
      <formula>105</formula>
    </cfRule>
    <cfRule type="cellIs" dxfId="136" priority="38" operator="between">
      <formula>70</formula>
      <formula>79</formula>
    </cfRule>
    <cfRule type="cellIs" dxfId="135" priority="39" operator="between">
      <formula>65</formula>
      <formula>69</formula>
    </cfRule>
    <cfRule type="cellIs" dxfId="134" priority="40" operator="between">
      <formula>10</formula>
      <formula>64</formula>
    </cfRule>
  </conditionalFormatting>
  <conditionalFormatting sqref="Q494:Q495">
    <cfRule type="cellIs" dxfId="133" priority="26" operator="between">
      <formula>80</formula>
      <formula>105</formula>
    </cfRule>
    <cfRule type="cellIs" dxfId="132" priority="27" operator="between">
      <formula>70</formula>
      <formula>79</formula>
    </cfRule>
    <cfRule type="cellIs" dxfId="131" priority="28" operator="between">
      <formula>65</formula>
      <formula>69</formula>
    </cfRule>
    <cfRule type="cellIs" dxfId="130" priority="29" operator="between">
      <formula>10</formula>
      <formula>64</formula>
    </cfRule>
  </conditionalFormatting>
  <conditionalFormatting sqref="Q505:Q506">
    <cfRule type="cellIs" dxfId="129" priority="15" operator="between">
      <formula>80</formula>
      <formula>105</formula>
    </cfRule>
    <cfRule type="cellIs" dxfId="128" priority="16" operator="between">
      <formula>70</formula>
      <formula>79</formula>
    </cfRule>
    <cfRule type="cellIs" dxfId="127" priority="17" operator="between">
      <formula>65</formula>
      <formula>69</formula>
    </cfRule>
    <cfRule type="cellIs" dxfId="126" priority="18" operator="between">
      <formula>10</formula>
      <formula>64</formula>
    </cfRule>
  </conditionalFormatting>
  <conditionalFormatting sqref="Q513:Q514">
    <cfRule type="cellIs" dxfId="125" priority="4" operator="between">
      <formula>80</formula>
      <formula>105</formula>
    </cfRule>
    <cfRule type="cellIs" dxfId="124" priority="5" operator="between">
      <formula>70</formula>
      <formula>79</formula>
    </cfRule>
    <cfRule type="cellIs" dxfId="123" priority="6" operator="between">
      <formula>65</formula>
      <formula>69</formula>
    </cfRule>
    <cfRule type="cellIs" dxfId="122" priority="7" operator="between">
      <formula>10</formula>
      <formula>64</formula>
    </cfRule>
  </conditionalFormatting>
  <conditionalFormatting sqref="Q515:Q1048576">
    <cfRule type="cellIs" dxfId="121" priority="2113" operator="between">
      <formula>80</formula>
      <formula>110</formula>
    </cfRule>
    <cfRule type="cellIs" dxfId="120" priority="2114" operator="between">
      <formula>70</formula>
      <formula>79</formula>
    </cfRule>
    <cfRule type="cellIs" dxfId="119" priority="2115" operator="between">
      <formula>65</formula>
      <formula>69</formula>
    </cfRule>
    <cfRule type="cellIs" dxfId="118" priority="2116" operator="between">
      <formula>10</formula>
      <formula>64</formula>
    </cfRule>
  </conditionalFormatting>
  <conditionalFormatting sqref="T1:T5 T10:T13 T16:T19 T49:T54 T74:T79 T89:T91">
    <cfRule type="containsText" dxfId="117" priority="1052" operator="containsText" text="penaltı">
      <formula>NOT(ISERROR(SEARCH("penaltı",T1)))</formula>
    </cfRule>
  </conditionalFormatting>
  <conditionalFormatting sqref="T6:T9">
    <cfRule type="cellIs" dxfId="116" priority="1034" operator="equal">
      <formula>"Penaltı"</formula>
    </cfRule>
  </conditionalFormatting>
  <conditionalFormatting sqref="T14:T15">
    <cfRule type="cellIs" dxfId="115" priority="1023" operator="equal">
      <formula>"Penaltı"</formula>
    </cfRule>
  </conditionalFormatting>
  <conditionalFormatting sqref="T20:T21">
    <cfRule type="cellIs" dxfId="114" priority="1012" operator="equal">
      <formula>"Penaltı"</formula>
    </cfRule>
  </conditionalFormatting>
  <conditionalFormatting sqref="T22:T26 T29:T32 T35">
    <cfRule type="containsText" dxfId="113" priority="997" operator="containsText" text="penaltı">
      <formula>NOT(ISERROR(SEARCH("penaltı",T22)))</formula>
    </cfRule>
  </conditionalFormatting>
  <conditionalFormatting sqref="T27:T28">
    <cfRule type="cellIs" dxfId="112" priority="990" operator="equal">
      <formula>"Penaltı"</formula>
    </cfRule>
  </conditionalFormatting>
  <conditionalFormatting sqref="T33:T34">
    <cfRule type="cellIs" dxfId="111" priority="979" operator="equal">
      <formula>"Penaltı"</formula>
    </cfRule>
  </conditionalFormatting>
  <conditionalFormatting sqref="T36:T37">
    <cfRule type="cellIs" dxfId="110" priority="968" operator="equal">
      <formula>"Penaltı"</formula>
    </cfRule>
  </conditionalFormatting>
  <conditionalFormatting sqref="T38:T42 T45:T46 T57:T66">
    <cfRule type="containsText" dxfId="109" priority="953" operator="containsText" text="penaltı">
      <formula>NOT(ISERROR(SEARCH("penaltı",T38)))</formula>
    </cfRule>
  </conditionalFormatting>
  <conditionalFormatting sqref="T43:T44">
    <cfRule type="cellIs" dxfId="108" priority="946" operator="equal">
      <formula>"Penaltı"</formula>
    </cfRule>
  </conditionalFormatting>
  <conditionalFormatting sqref="T47:T48">
    <cfRule type="cellIs" dxfId="107" priority="935" operator="equal">
      <formula>"Penaltı"</formula>
    </cfRule>
  </conditionalFormatting>
  <conditionalFormatting sqref="T55:T56">
    <cfRule type="cellIs" dxfId="106" priority="924" operator="equal">
      <formula>"Penaltı"</formula>
    </cfRule>
  </conditionalFormatting>
  <conditionalFormatting sqref="T67:T68">
    <cfRule type="cellIs" dxfId="105" priority="913" operator="equal">
      <formula>"Penaltı"</formula>
    </cfRule>
  </conditionalFormatting>
  <conditionalFormatting sqref="T69:T71 T82:T86">
    <cfRule type="containsText" dxfId="104" priority="898" operator="containsText" text="penaltı">
      <formula>NOT(ISERROR(SEARCH("penaltı",T69)))</formula>
    </cfRule>
  </conditionalFormatting>
  <conditionalFormatting sqref="T72:T73">
    <cfRule type="cellIs" dxfId="103" priority="891" operator="equal">
      <formula>"Penaltı"</formula>
    </cfRule>
  </conditionalFormatting>
  <conditionalFormatting sqref="T80:T81">
    <cfRule type="cellIs" dxfId="102" priority="880" operator="equal">
      <formula>"Penaltı"</formula>
    </cfRule>
  </conditionalFormatting>
  <conditionalFormatting sqref="T87:T88">
    <cfRule type="cellIs" dxfId="101" priority="869" operator="equal">
      <formula>"Penaltı"</formula>
    </cfRule>
  </conditionalFormatting>
  <conditionalFormatting sqref="T92:T93">
    <cfRule type="cellIs" dxfId="100" priority="858" operator="equal">
      <formula>"Penaltı"</formula>
    </cfRule>
  </conditionalFormatting>
  <conditionalFormatting sqref="T94:T100 T103:T107 T110:T114">
    <cfRule type="containsText" dxfId="99" priority="843" operator="containsText" text="penaltı">
      <formula>NOT(ISERROR(SEARCH("penaltı",T94)))</formula>
    </cfRule>
  </conditionalFormatting>
  <conditionalFormatting sqref="T101:T102">
    <cfRule type="cellIs" dxfId="98" priority="836" operator="equal">
      <formula>"Penaltı"</formula>
    </cfRule>
  </conditionalFormatting>
  <conditionalFormatting sqref="T108:T109">
    <cfRule type="cellIs" dxfId="97" priority="825" operator="equal">
      <formula>"Penaltı"</formula>
    </cfRule>
  </conditionalFormatting>
  <conditionalFormatting sqref="T115:T116">
    <cfRule type="cellIs" dxfId="96" priority="814" operator="equal">
      <formula>"Penaltı"</formula>
    </cfRule>
  </conditionalFormatting>
  <conditionalFormatting sqref="T117:T120 T123:T126 T129:T134">
    <cfRule type="containsText" dxfId="95" priority="799" operator="containsText" text="penaltı">
      <formula>NOT(ISERROR(SEARCH("penaltı",T117)))</formula>
    </cfRule>
  </conditionalFormatting>
  <conditionalFormatting sqref="T121:T122">
    <cfRule type="cellIs" dxfId="94" priority="792" operator="equal">
      <formula>"Penaltı"</formula>
    </cfRule>
  </conditionalFormatting>
  <conditionalFormatting sqref="T127:T128">
    <cfRule type="cellIs" dxfId="93" priority="781" operator="equal">
      <formula>"Penaltı"</formula>
    </cfRule>
  </conditionalFormatting>
  <conditionalFormatting sqref="T135:T136">
    <cfRule type="cellIs" dxfId="92" priority="770" operator="equal">
      <formula>"Penaltı"</formula>
    </cfRule>
  </conditionalFormatting>
  <conditionalFormatting sqref="T137:T141 T144:T147 T150:T158 T161:T165">
    <cfRule type="containsText" dxfId="91" priority="755" operator="containsText" text="penaltı">
      <formula>NOT(ISERROR(SEARCH("penaltı",T137)))</formula>
    </cfRule>
  </conditionalFormatting>
  <conditionalFormatting sqref="T142:T143">
    <cfRule type="cellIs" dxfId="90" priority="748" operator="equal">
      <formula>"Penaltı"</formula>
    </cfRule>
  </conditionalFormatting>
  <conditionalFormatting sqref="T148:T149">
    <cfRule type="cellIs" dxfId="89" priority="737" operator="equal">
      <formula>"Penaltı"</formula>
    </cfRule>
  </conditionalFormatting>
  <conditionalFormatting sqref="T159:T160">
    <cfRule type="cellIs" dxfId="88" priority="726" operator="equal">
      <formula>"Penaltı"</formula>
    </cfRule>
  </conditionalFormatting>
  <conditionalFormatting sqref="T166:T167">
    <cfRule type="cellIs" dxfId="87" priority="715" operator="equal">
      <formula>"Penaltı"</formula>
    </cfRule>
  </conditionalFormatting>
  <conditionalFormatting sqref="T168:T171 T174:T177 T180:T184 T187:T190">
    <cfRule type="containsText" dxfId="86" priority="700" operator="containsText" text="penaltı">
      <formula>NOT(ISERROR(SEARCH("penaltı",T168)))</formula>
    </cfRule>
  </conditionalFormatting>
  <conditionalFormatting sqref="T172:T173">
    <cfRule type="cellIs" dxfId="85" priority="693" operator="equal">
      <formula>"Penaltı"</formula>
    </cfRule>
  </conditionalFormatting>
  <conditionalFormatting sqref="T178:T179">
    <cfRule type="cellIs" dxfId="84" priority="682" operator="equal">
      <formula>"Penaltı"</formula>
    </cfRule>
  </conditionalFormatting>
  <conditionalFormatting sqref="T185:T186">
    <cfRule type="cellIs" dxfId="83" priority="671" operator="equal">
      <formula>"Penaltı"</formula>
    </cfRule>
  </conditionalFormatting>
  <conditionalFormatting sqref="T191:T193">
    <cfRule type="cellIs" dxfId="82" priority="1045" operator="equal">
      <formula>"Penaltı"</formula>
    </cfRule>
  </conditionalFormatting>
  <conditionalFormatting sqref="T194:T197 T200:T203 T206:T215 T218:T224">
    <cfRule type="containsText" dxfId="81" priority="645" operator="containsText" text="penaltı">
      <formula>NOT(ISERROR(SEARCH("penaltı",T194)))</formula>
    </cfRule>
  </conditionalFormatting>
  <conditionalFormatting sqref="T198:T199">
    <cfRule type="cellIs" dxfId="80" priority="638" operator="equal">
      <formula>"Penaltı"</formula>
    </cfRule>
  </conditionalFormatting>
  <conditionalFormatting sqref="T204:T205">
    <cfRule type="cellIs" dxfId="79" priority="627" operator="equal">
      <formula>"Penaltı"</formula>
    </cfRule>
  </conditionalFormatting>
  <conditionalFormatting sqref="T216:T217">
    <cfRule type="cellIs" dxfId="78" priority="616" operator="equal">
      <formula>"Penaltı"</formula>
    </cfRule>
  </conditionalFormatting>
  <conditionalFormatting sqref="T225:T226">
    <cfRule type="cellIs" dxfId="77" priority="605" operator="equal">
      <formula>"Penaltı"</formula>
    </cfRule>
  </conditionalFormatting>
  <conditionalFormatting sqref="T227 T230:T233 T236:T244 T247">
    <cfRule type="containsText" dxfId="76" priority="590" operator="containsText" text="penaltı">
      <formula>NOT(ISERROR(SEARCH("penaltı",T227)))</formula>
    </cfRule>
  </conditionalFormatting>
  <conditionalFormatting sqref="T228:T229">
    <cfRule type="cellIs" dxfId="75" priority="583" operator="equal">
      <formula>"Penaltı"</formula>
    </cfRule>
  </conditionalFormatting>
  <conditionalFormatting sqref="T234:T235">
    <cfRule type="cellIs" dxfId="74" priority="572" operator="equal">
      <formula>"Penaltı"</formula>
    </cfRule>
  </conditionalFormatting>
  <conditionalFormatting sqref="T245:T246">
    <cfRule type="cellIs" dxfId="73" priority="561" operator="equal">
      <formula>"Penaltı"</formula>
    </cfRule>
  </conditionalFormatting>
  <conditionalFormatting sqref="T248:T249">
    <cfRule type="cellIs" dxfId="72" priority="550" operator="equal">
      <formula>"Penaltı"</formula>
    </cfRule>
  </conditionalFormatting>
  <conditionalFormatting sqref="T250:T254 T257:T258 T261:T263 T266:T274">
    <cfRule type="containsText" dxfId="71" priority="535" operator="containsText" text="penaltı">
      <formula>NOT(ISERROR(SEARCH("penaltı",T250)))</formula>
    </cfRule>
  </conditionalFormatting>
  <conditionalFormatting sqref="T255:T256">
    <cfRule type="cellIs" dxfId="70" priority="528" operator="equal">
      <formula>"Penaltı"</formula>
    </cfRule>
  </conditionalFormatting>
  <conditionalFormatting sqref="T259:T260">
    <cfRule type="cellIs" dxfId="69" priority="517" operator="equal">
      <formula>"Penaltı"</formula>
    </cfRule>
  </conditionalFormatting>
  <conditionalFormatting sqref="T264:T265">
    <cfRule type="cellIs" dxfId="68" priority="506" operator="equal">
      <formula>"Penaltı"</formula>
    </cfRule>
  </conditionalFormatting>
  <conditionalFormatting sqref="T275:T276">
    <cfRule type="cellIs" dxfId="67" priority="495" operator="equal">
      <formula>"Penaltı"</formula>
    </cfRule>
  </conditionalFormatting>
  <conditionalFormatting sqref="T277:T279 T282:T285 T288:T292">
    <cfRule type="containsText" dxfId="66" priority="480" operator="containsText" text="penaltı">
      <formula>NOT(ISERROR(SEARCH("penaltı",T277)))</formula>
    </cfRule>
  </conditionalFormatting>
  <conditionalFormatting sqref="T280:T281">
    <cfRule type="cellIs" dxfId="65" priority="473" operator="equal">
      <formula>"Penaltı"</formula>
    </cfRule>
  </conditionalFormatting>
  <conditionalFormatting sqref="T286:T287">
    <cfRule type="cellIs" dxfId="64" priority="462" operator="equal">
      <formula>"Penaltı"</formula>
    </cfRule>
  </conditionalFormatting>
  <conditionalFormatting sqref="T293:T294">
    <cfRule type="cellIs" dxfId="63" priority="451" operator="equal">
      <formula>"Penaltı"</formula>
    </cfRule>
  </conditionalFormatting>
  <conditionalFormatting sqref="T295:T298 T301:T304 T307:T309 T312:T315 T318:T321">
    <cfRule type="containsText" dxfId="62" priority="436" operator="containsText" text="penaltı">
      <formula>NOT(ISERROR(SEARCH("penaltı",T295)))</formula>
    </cfRule>
  </conditionalFormatting>
  <conditionalFormatting sqref="T299:T300">
    <cfRule type="cellIs" dxfId="61" priority="429" operator="equal">
      <formula>"Penaltı"</formula>
    </cfRule>
  </conditionalFormatting>
  <conditionalFormatting sqref="T305:T306">
    <cfRule type="cellIs" dxfId="60" priority="418" operator="equal">
      <formula>"Penaltı"</formula>
    </cfRule>
  </conditionalFormatting>
  <conditionalFormatting sqref="T310:T311">
    <cfRule type="cellIs" dxfId="59" priority="407" operator="equal">
      <formula>"Penaltı"</formula>
    </cfRule>
  </conditionalFormatting>
  <conditionalFormatting sqref="T316:T317">
    <cfRule type="cellIs" dxfId="58" priority="396" operator="equal">
      <formula>"Penaltı"</formula>
    </cfRule>
  </conditionalFormatting>
  <conditionalFormatting sqref="T322:T323">
    <cfRule type="cellIs" dxfId="57" priority="385" operator="equal">
      <formula>"Penaltı"</formula>
    </cfRule>
  </conditionalFormatting>
  <conditionalFormatting sqref="T324:T326 T331:T334 T337:T341">
    <cfRule type="containsText" dxfId="56" priority="370" operator="containsText" text="penaltı">
      <formula>NOT(ISERROR(SEARCH("penaltı",T324)))</formula>
    </cfRule>
  </conditionalFormatting>
  <conditionalFormatting sqref="T327:T330">
    <cfRule type="cellIs" dxfId="55" priority="352" operator="equal">
      <formula>"Penaltı"</formula>
    </cfRule>
  </conditionalFormatting>
  <conditionalFormatting sqref="T335:T336">
    <cfRule type="cellIs" dxfId="54" priority="341" operator="equal">
      <formula>"Penaltı"</formula>
    </cfRule>
  </conditionalFormatting>
  <conditionalFormatting sqref="T342:T343">
    <cfRule type="cellIs" dxfId="53" priority="330" operator="equal">
      <formula>"Penaltı"</formula>
    </cfRule>
  </conditionalFormatting>
  <conditionalFormatting sqref="T344:T353 T356:T360 T363:T371">
    <cfRule type="containsText" dxfId="52" priority="315" operator="containsText" text="penaltı">
      <formula>NOT(ISERROR(SEARCH("penaltı",T344)))</formula>
    </cfRule>
  </conditionalFormatting>
  <conditionalFormatting sqref="T354:T355">
    <cfRule type="cellIs" dxfId="51" priority="308" operator="equal">
      <formula>"Penaltı"</formula>
    </cfRule>
  </conditionalFormatting>
  <conditionalFormatting sqref="T361:T362">
    <cfRule type="cellIs" dxfId="50" priority="297" operator="equal">
      <formula>"Penaltı"</formula>
    </cfRule>
  </conditionalFormatting>
  <conditionalFormatting sqref="T372:T373">
    <cfRule type="cellIs" dxfId="49" priority="286" operator="equal">
      <formula>"Penaltı"</formula>
    </cfRule>
  </conditionalFormatting>
  <conditionalFormatting sqref="T374:T378 T381:T383 T386:T388 T391:T400 T403:T406">
    <cfRule type="containsText" dxfId="48" priority="271" operator="containsText" text="penaltı">
      <formula>NOT(ISERROR(SEARCH("penaltı",T374)))</formula>
    </cfRule>
  </conditionalFormatting>
  <conditionalFormatting sqref="T379:T380">
    <cfRule type="cellIs" dxfId="47" priority="264" operator="equal">
      <formula>"Penaltı"</formula>
    </cfRule>
  </conditionalFormatting>
  <conditionalFormatting sqref="T384:T385">
    <cfRule type="cellIs" dxfId="46" priority="253" operator="equal">
      <formula>"Penaltı"</formula>
    </cfRule>
  </conditionalFormatting>
  <conditionalFormatting sqref="T389:T390">
    <cfRule type="cellIs" dxfId="45" priority="242" operator="equal">
      <formula>"Penaltı"</formula>
    </cfRule>
  </conditionalFormatting>
  <conditionalFormatting sqref="T401:T402">
    <cfRule type="cellIs" dxfId="44" priority="231" operator="equal">
      <formula>"Penaltı"</formula>
    </cfRule>
  </conditionalFormatting>
  <conditionalFormatting sqref="T407:T408">
    <cfRule type="cellIs" dxfId="43" priority="220" operator="equal">
      <formula>"Penaltı"</formula>
    </cfRule>
  </conditionalFormatting>
  <conditionalFormatting sqref="T409:T412 T415:T417 T420:T423">
    <cfRule type="containsText" dxfId="42" priority="205" operator="containsText" text="penaltı">
      <formula>NOT(ISERROR(SEARCH("penaltı",T409)))</formula>
    </cfRule>
  </conditionalFormatting>
  <conditionalFormatting sqref="T413:T414">
    <cfRule type="cellIs" dxfId="41" priority="198" operator="equal">
      <formula>"Penaltı"</formula>
    </cfRule>
  </conditionalFormatting>
  <conditionalFormatting sqref="T418:T419">
    <cfRule type="cellIs" dxfId="40" priority="187" operator="equal">
      <formula>"Penaltı"</formula>
    </cfRule>
  </conditionalFormatting>
  <conditionalFormatting sqref="T424:T425">
    <cfRule type="cellIs" dxfId="39" priority="176" operator="equal">
      <formula>"Penaltı"</formula>
    </cfRule>
  </conditionalFormatting>
  <conditionalFormatting sqref="T426:T429 T432:T439 T442:T450 T453:T459">
    <cfRule type="containsText" dxfId="38" priority="161" operator="containsText" text="penaltı">
      <formula>NOT(ISERROR(SEARCH("penaltı",T426)))</formula>
    </cfRule>
  </conditionalFormatting>
  <conditionalFormatting sqref="T430:T431">
    <cfRule type="cellIs" dxfId="37" priority="154" operator="equal">
      <formula>"Penaltı"</formula>
    </cfRule>
  </conditionalFormatting>
  <conditionalFormatting sqref="T440:T441">
    <cfRule type="cellIs" dxfId="36" priority="143" operator="equal">
      <formula>"Penaltı"</formula>
    </cfRule>
  </conditionalFormatting>
  <conditionalFormatting sqref="T451:T452">
    <cfRule type="cellIs" dxfId="35" priority="132" operator="equal">
      <formula>"Penaltı"</formula>
    </cfRule>
  </conditionalFormatting>
  <conditionalFormatting sqref="T460:T461">
    <cfRule type="cellIs" dxfId="34" priority="121" operator="equal">
      <formula>"Penaltı"</formula>
    </cfRule>
  </conditionalFormatting>
  <conditionalFormatting sqref="T462:T465 T468:T469 T472:T474 T477:T481">
    <cfRule type="containsText" dxfId="33" priority="106" operator="containsText" text="penaltı">
      <formula>NOT(ISERROR(SEARCH("penaltı",T462)))</formula>
    </cfRule>
  </conditionalFormatting>
  <conditionalFormatting sqref="T466:T467">
    <cfRule type="cellIs" dxfId="32" priority="99" operator="equal">
      <formula>"Penaltı"</formula>
    </cfRule>
  </conditionalFormatting>
  <conditionalFormatting sqref="T470:T471">
    <cfRule type="cellIs" dxfId="31" priority="88" operator="equal">
      <formula>"Penaltı"</formula>
    </cfRule>
  </conditionalFormatting>
  <conditionalFormatting sqref="T475:T476">
    <cfRule type="cellIs" dxfId="30" priority="77" operator="equal">
      <formula>"Penaltı"</formula>
    </cfRule>
  </conditionalFormatting>
  <conditionalFormatting sqref="T482:T483">
    <cfRule type="cellIs" dxfId="29" priority="66" operator="equal">
      <formula>"Penaltı"</formula>
    </cfRule>
  </conditionalFormatting>
  <conditionalFormatting sqref="T484:T485 T488:T493 T496:T504 T507:T512">
    <cfRule type="containsText" dxfId="28" priority="51" operator="containsText" text="penaltı">
      <formula>NOT(ISERROR(SEARCH("penaltı",T484)))</formula>
    </cfRule>
  </conditionalFormatting>
  <conditionalFormatting sqref="T486:T487">
    <cfRule type="cellIs" dxfId="27" priority="44" operator="equal">
      <formula>"Penaltı"</formula>
    </cfRule>
  </conditionalFormatting>
  <conditionalFormatting sqref="T494:T495">
    <cfRule type="cellIs" dxfId="26" priority="33" operator="equal">
      <formula>"Penaltı"</formula>
    </cfRule>
  </conditionalFormatting>
  <conditionalFormatting sqref="T505:T506">
    <cfRule type="cellIs" dxfId="25" priority="22" operator="equal">
      <formula>"Penaltı"</formula>
    </cfRule>
  </conditionalFormatting>
  <conditionalFormatting sqref="T513:T514">
    <cfRule type="cellIs" dxfId="24" priority="11" operator="equal">
      <formula>"Penaltı"</formula>
    </cfRule>
  </conditionalFormatting>
  <conditionalFormatting sqref="T515:T1048576">
    <cfRule type="containsText" dxfId="23" priority="2119" operator="containsText" text="penaltı">
      <formula>NOT(ISERROR(SEARCH("penaltı",T515)))</formula>
    </cfRule>
  </conditionalFormatting>
  <conditionalFormatting sqref="U1:W1048576">
    <cfRule type="cellIs" dxfId="22" priority="1" operator="between">
      <formula>0.6</formula>
      <formula>0.99</formula>
    </cfRule>
    <cfRule type="cellIs" dxfId="21" priority="2" operator="between">
      <formula>0.3</formula>
      <formula>0.6</formula>
    </cfRule>
    <cfRule type="cellIs" dxfId="20" priority="3" operator="between">
      <formula>0.1</formula>
      <formula>0.3</formula>
    </cfRule>
  </conditionalFormatting>
  <conditionalFormatting sqref="X1:X1048576">
    <cfRule type="cellIs" dxfId="19" priority="8" operator="equal">
      <formula>"Kendi Kalesine Gol"</formula>
    </cfRule>
    <cfRule type="cellIs" dxfId="18" priority="9" operator="equal">
      <formula>"Direkten Döndü"</formula>
    </cfRule>
    <cfRule type="cellIs" dxfId="17" priority="10" operator="equal">
      <formula>"Gol"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5983-8E36-4FFC-A226-B51C4A50FC21}">
  <dimension ref="A1:BL85"/>
  <sheetViews>
    <sheetView workbookViewId="0">
      <pane ySplit="1" topLeftCell="A41" activePane="bottomLeft" state="frozen"/>
      <selection pane="bottomLeft" activeCell="A51" sqref="A51:BI59"/>
    </sheetView>
  </sheetViews>
  <sheetFormatPr defaultRowHeight="15" x14ac:dyDescent="0.25"/>
  <cols>
    <col min="1" max="1" width="15.7109375" style="29" customWidth="1"/>
    <col min="2" max="2" width="2.7109375" style="5" customWidth="1"/>
    <col min="3" max="3" width="12.7109375" style="5" customWidth="1"/>
    <col min="4" max="5" width="2.7109375" style="7" customWidth="1"/>
    <col min="6" max="6" width="12.7109375" style="5" customWidth="1"/>
    <col min="7" max="7" width="9.7109375" style="5" customWidth="1"/>
    <col min="8" max="8" width="3.7109375" style="25" customWidth="1"/>
    <col min="9" max="9" width="3.7109375" style="26" customWidth="1"/>
    <col min="10" max="10" width="4.28515625" style="33" customWidth="1"/>
    <col min="11" max="11" width="4.28515625" style="34" customWidth="1"/>
    <col min="12" max="13" width="5.28515625" style="33" customWidth="1"/>
    <col min="14" max="15" width="5.28515625" style="34" customWidth="1"/>
    <col min="16" max="16" width="2.7109375" style="25" customWidth="1"/>
    <col min="17" max="17" width="2.7109375" style="26" customWidth="1"/>
    <col min="18" max="18" width="3.7109375" style="25" customWidth="1"/>
    <col min="19" max="19" width="3.7109375" style="26" customWidth="1"/>
    <col min="20" max="20" width="2.7109375" style="25" customWidth="1"/>
    <col min="21" max="21" width="2.7109375" style="26" customWidth="1"/>
    <col min="22" max="22" width="2.7109375" style="25" customWidth="1"/>
    <col min="23" max="23" width="2.7109375" style="26" customWidth="1"/>
    <col min="24" max="24" width="5.28515625" style="33" customWidth="1"/>
    <col min="25" max="25" width="5.28515625" style="34" customWidth="1"/>
    <col min="26" max="26" width="3.7109375" style="25" customWidth="1"/>
    <col min="27" max="27" width="3.7109375" style="26" customWidth="1"/>
    <col min="28" max="28" width="3.7109375" style="25" customWidth="1"/>
    <col min="29" max="29" width="3.7109375" style="26" customWidth="1"/>
    <col min="30" max="30" width="4.28515625" style="25" customWidth="1"/>
    <col min="31" max="31" width="4.28515625" style="26" customWidth="1"/>
    <col min="32" max="32" width="3.7109375" style="25" customWidth="1"/>
    <col min="33" max="33" width="3.7109375" style="26" customWidth="1"/>
    <col min="34" max="34" width="3.7109375" style="25" customWidth="1"/>
    <col min="35" max="35" width="3.7109375" style="26" customWidth="1"/>
    <col min="36" max="36" width="2.7109375" style="25" customWidth="1"/>
    <col min="37" max="37" width="2.7109375" style="26" customWidth="1"/>
    <col min="38" max="38" width="2.7109375" style="25" customWidth="1"/>
    <col min="39" max="39" width="2.7109375" style="26" customWidth="1"/>
    <col min="40" max="40" width="3.7109375" style="25" customWidth="1"/>
    <col min="41" max="41" width="3.7109375" style="36" customWidth="1"/>
    <col min="42" max="42" width="3.7109375" style="42" customWidth="1"/>
    <col min="43" max="43" width="5.28515625" style="83" customWidth="1"/>
    <col min="44" max="47" width="3.7109375" style="25" customWidth="1"/>
    <col min="48" max="48" width="5.28515625" style="25" customWidth="1"/>
    <col min="49" max="49" width="3.7109375" style="25" customWidth="1"/>
    <col min="50" max="50" width="3.7109375" style="26" customWidth="1"/>
    <col min="51" max="51" width="5.28515625" style="26" customWidth="1"/>
    <col min="52" max="55" width="3.7109375" style="26" customWidth="1"/>
    <col min="56" max="56" width="5.28515625" style="26" customWidth="1"/>
    <col min="57" max="57" width="3.7109375" style="43" customWidth="1"/>
    <col min="58" max="58" width="3.28515625" style="315" customWidth="1"/>
    <col min="59" max="59" width="3.28515625" style="316" customWidth="1"/>
    <col min="60" max="61" width="3.28515625" style="317" customWidth="1"/>
    <col min="62" max="62" width="7.7109375" style="38" customWidth="1"/>
    <col min="63" max="63" width="7.7109375" style="5" customWidth="1"/>
    <col min="64" max="64" width="3.7109375" style="5" customWidth="1"/>
    <col min="65" max="16384" width="9.140625" style="5"/>
  </cols>
  <sheetData>
    <row r="1" spans="1:64" x14ac:dyDescent="0.25">
      <c r="A1" s="24" t="s">
        <v>37</v>
      </c>
      <c r="B1" s="24" t="s">
        <v>38</v>
      </c>
      <c r="C1" s="1" t="s">
        <v>635</v>
      </c>
      <c r="D1" s="3" t="s">
        <v>636</v>
      </c>
      <c r="E1" s="3" t="s">
        <v>637</v>
      </c>
      <c r="F1" s="1" t="s">
        <v>638</v>
      </c>
      <c r="G1" s="1" t="s">
        <v>586</v>
      </c>
      <c r="H1" s="1" t="s">
        <v>587</v>
      </c>
      <c r="I1" s="1" t="s">
        <v>588</v>
      </c>
      <c r="J1" s="82" t="s">
        <v>589</v>
      </c>
      <c r="K1" s="82" t="s">
        <v>590</v>
      </c>
      <c r="L1" s="82" t="s">
        <v>591</v>
      </c>
      <c r="M1" s="82" t="s">
        <v>591</v>
      </c>
      <c r="N1" s="82" t="s">
        <v>592</v>
      </c>
      <c r="O1" s="82" t="s">
        <v>592</v>
      </c>
      <c r="P1" s="89" t="s">
        <v>593</v>
      </c>
      <c r="Q1" s="89" t="s">
        <v>594</v>
      </c>
      <c r="R1" s="89" t="s">
        <v>595</v>
      </c>
      <c r="S1" s="89" t="s">
        <v>596</v>
      </c>
      <c r="T1" s="27" t="s">
        <v>597</v>
      </c>
      <c r="U1" s="27" t="s">
        <v>598</v>
      </c>
      <c r="V1" s="27" t="s">
        <v>599</v>
      </c>
      <c r="W1" s="27" t="s">
        <v>600</v>
      </c>
      <c r="X1" s="81" t="s">
        <v>601</v>
      </c>
      <c r="Y1" s="81" t="s">
        <v>602</v>
      </c>
      <c r="Z1" s="1" t="s">
        <v>603</v>
      </c>
      <c r="AA1" s="1" t="s">
        <v>604</v>
      </c>
      <c r="AB1" s="1" t="s">
        <v>605</v>
      </c>
      <c r="AC1" s="1" t="s">
        <v>606</v>
      </c>
      <c r="AD1" s="1" t="s">
        <v>607</v>
      </c>
      <c r="AE1" s="1" t="s">
        <v>608</v>
      </c>
      <c r="AF1" s="1" t="s">
        <v>609</v>
      </c>
      <c r="AG1" s="1" t="s">
        <v>610</v>
      </c>
      <c r="AH1" s="1" t="s">
        <v>611</v>
      </c>
      <c r="AI1" s="1" t="s">
        <v>612</v>
      </c>
      <c r="AJ1" s="1" t="s">
        <v>613</v>
      </c>
      <c r="AK1" s="1" t="s">
        <v>614</v>
      </c>
      <c r="AL1" s="1" t="s">
        <v>615</v>
      </c>
      <c r="AM1" s="1" t="s">
        <v>616</v>
      </c>
      <c r="AN1" s="1" t="s">
        <v>617</v>
      </c>
      <c r="AO1" s="35" t="s">
        <v>618</v>
      </c>
      <c r="AP1" s="85" t="s">
        <v>619</v>
      </c>
      <c r="AQ1" s="84" t="s">
        <v>639</v>
      </c>
      <c r="AR1" s="39" t="s">
        <v>620</v>
      </c>
      <c r="AS1" s="39" t="s">
        <v>621</v>
      </c>
      <c r="AT1" s="40" t="s">
        <v>622</v>
      </c>
      <c r="AU1" s="87" t="s">
        <v>623</v>
      </c>
      <c r="AV1" s="87" t="s">
        <v>640</v>
      </c>
      <c r="AW1" s="39" t="s">
        <v>624</v>
      </c>
      <c r="AX1" s="87" t="s">
        <v>625</v>
      </c>
      <c r="AY1" s="87" t="s">
        <v>641</v>
      </c>
      <c r="AZ1" s="39" t="s">
        <v>626</v>
      </c>
      <c r="BA1" s="39" t="s">
        <v>627</v>
      </c>
      <c r="BB1" s="40" t="s">
        <v>628</v>
      </c>
      <c r="BC1" s="87" t="s">
        <v>629</v>
      </c>
      <c r="BD1" s="87" t="s">
        <v>642</v>
      </c>
      <c r="BE1" s="41" t="s">
        <v>630</v>
      </c>
      <c r="BF1" s="314" t="s">
        <v>631</v>
      </c>
      <c r="BG1" s="314" t="s">
        <v>632</v>
      </c>
      <c r="BH1" s="314" t="s">
        <v>633</v>
      </c>
      <c r="BI1" s="314" t="s">
        <v>634</v>
      </c>
      <c r="BJ1" s="37" t="s">
        <v>643</v>
      </c>
      <c r="BK1" s="24" t="s">
        <v>644</v>
      </c>
      <c r="BL1" s="24" t="s">
        <v>431</v>
      </c>
    </row>
    <row r="2" spans="1:64" x14ac:dyDescent="0.25">
      <c r="A2" s="29">
        <v>45893</v>
      </c>
      <c r="B2" s="5">
        <v>2</v>
      </c>
      <c r="C2" s="5" t="s">
        <v>92</v>
      </c>
      <c r="D2" s="7">
        <v>0</v>
      </c>
      <c r="E2" s="7">
        <v>3</v>
      </c>
      <c r="F2" s="5" t="s">
        <v>226</v>
      </c>
      <c r="H2" s="25">
        <v>35</v>
      </c>
      <c r="I2" s="26">
        <v>65</v>
      </c>
      <c r="J2" s="33">
        <v>0.5</v>
      </c>
      <c r="K2" s="34">
        <v>2.68</v>
      </c>
      <c r="L2" s="33">
        <v>0.5</v>
      </c>
      <c r="M2" s="33">
        <v>0.24</v>
      </c>
      <c r="N2" s="34">
        <v>2.68</v>
      </c>
      <c r="O2" s="34">
        <v>2.75</v>
      </c>
      <c r="P2" s="25">
        <v>0</v>
      </c>
      <c r="Q2" s="26">
        <v>4</v>
      </c>
      <c r="R2" s="25">
        <v>6</v>
      </c>
      <c r="S2" s="26">
        <v>26</v>
      </c>
      <c r="T2" s="25">
        <v>8</v>
      </c>
      <c r="U2" s="26">
        <v>3</v>
      </c>
      <c r="V2" s="25">
        <v>3</v>
      </c>
      <c r="W2" s="26">
        <v>0</v>
      </c>
      <c r="X2" s="33">
        <v>-0.09</v>
      </c>
      <c r="Y2" s="34">
        <v>0.28999999999999998</v>
      </c>
      <c r="Z2" s="25">
        <v>1</v>
      </c>
      <c r="AA2" s="26">
        <v>9</v>
      </c>
      <c r="AB2" s="25">
        <v>8</v>
      </c>
      <c r="AC2" s="26">
        <v>7</v>
      </c>
      <c r="AD2" s="25">
        <v>376</v>
      </c>
      <c r="AE2" s="26">
        <v>699</v>
      </c>
      <c r="AF2" s="25">
        <v>20</v>
      </c>
      <c r="AG2" s="26">
        <v>23</v>
      </c>
      <c r="AH2" s="25">
        <v>7</v>
      </c>
      <c r="AI2" s="26">
        <v>8</v>
      </c>
      <c r="AJ2" s="25">
        <v>2</v>
      </c>
      <c r="AK2" s="26">
        <v>1</v>
      </c>
      <c r="AL2" s="25">
        <v>0</v>
      </c>
      <c r="AM2" s="26">
        <v>0</v>
      </c>
      <c r="AN2" s="25">
        <v>0</v>
      </c>
      <c r="AO2" s="36">
        <v>0</v>
      </c>
      <c r="AP2" s="42">
        <v>3</v>
      </c>
      <c r="AQ2" s="83">
        <v>0.5</v>
      </c>
      <c r="AR2" s="25">
        <v>1</v>
      </c>
      <c r="AS2" s="25">
        <v>3</v>
      </c>
      <c r="AT2" s="25">
        <v>0</v>
      </c>
      <c r="AU2" s="25">
        <v>3</v>
      </c>
      <c r="AV2" s="86">
        <v>0.5</v>
      </c>
      <c r="AW2" s="25">
        <v>3</v>
      </c>
      <c r="AX2" s="26">
        <v>10</v>
      </c>
      <c r="AY2" s="88">
        <v>0.38461538461538464</v>
      </c>
      <c r="AZ2" s="26">
        <v>0</v>
      </c>
      <c r="BA2" s="26">
        <v>6</v>
      </c>
      <c r="BB2" s="26">
        <v>10</v>
      </c>
      <c r="BC2" s="26">
        <v>14</v>
      </c>
      <c r="BD2" s="88">
        <v>0.53846153846153844</v>
      </c>
      <c r="BE2" s="43">
        <v>12</v>
      </c>
      <c r="BF2" s="315">
        <v>0</v>
      </c>
      <c r="BG2" s="316">
        <v>2</v>
      </c>
      <c r="BH2" s="317">
        <v>0</v>
      </c>
      <c r="BI2" s="317">
        <v>0</v>
      </c>
    </row>
    <row r="3" spans="1:64" x14ac:dyDescent="0.25">
      <c r="A3" s="29">
        <v>45899</v>
      </c>
      <c r="B3" s="5">
        <v>3</v>
      </c>
      <c r="C3" s="5" t="s">
        <v>92</v>
      </c>
      <c r="D3" s="7">
        <v>1</v>
      </c>
      <c r="E3" s="7">
        <v>0</v>
      </c>
      <c r="F3" s="5" t="s">
        <v>146</v>
      </c>
      <c r="H3" s="25">
        <v>43</v>
      </c>
      <c r="I3" s="26">
        <v>57</v>
      </c>
      <c r="J3" s="33">
        <v>0.5</v>
      </c>
      <c r="K3" s="34">
        <v>1.07</v>
      </c>
      <c r="L3" s="33">
        <v>0.5</v>
      </c>
      <c r="M3" s="33">
        <v>0.8</v>
      </c>
      <c r="N3" s="34">
        <v>1.07</v>
      </c>
      <c r="O3" s="34">
        <v>1.98</v>
      </c>
      <c r="P3" s="25">
        <v>0</v>
      </c>
      <c r="Q3" s="26">
        <v>0</v>
      </c>
      <c r="R3" s="25">
        <v>8</v>
      </c>
      <c r="S3" s="26">
        <v>18</v>
      </c>
      <c r="T3" s="25">
        <v>6</v>
      </c>
      <c r="U3" s="26">
        <v>0</v>
      </c>
      <c r="V3" s="25">
        <v>2</v>
      </c>
      <c r="W3" s="26">
        <v>0</v>
      </c>
      <c r="X3" s="33">
        <v>2.1</v>
      </c>
      <c r="Y3" s="34">
        <v>-0.2</v>
      </c>
      <c r="Z3" s="25">
        <v>1</v>
      </c>
      <c r="AA3" s="26">
        <v>10</v>
      </c>
      <c r="AB3" s="25">
        <v>7</v>
      </c>
      <c r="AC3" s="26">
        <v>18</v>
      </c>
      <c r="AD3" s="25">
        <v>409</v>
      </c>
      <c r="AE3" s="26">
        <v>528</v>
      </c>
      <c r="AF3" s="25">
        <v>14</v>
      </c>
      <c r="AG3" s="26">
        <v>15</v>
      </c>
      <c r="AH3" s="25">
        <v>18</v>
      </c>
      <c r="AI3" s="26">
        <v>7</v>
      </c>
      <c r="AJ3" s="25">
        <v>2</v>
      </c>
      <c r="AK3" s="26">
        <v>1</v>
      </c>
      <c r="AL3" s="25">
        <v>0</v>
      </c>
      <c r="AM3" s="26">
        <v>0</v>
      </c>
      <c r="AN3" s="25">
        <v>0</v>
      </c>
      <c r="AO3" s="36">
        <v>0</v>
      </c>
      <c r="AP3" s="42">
        <v>1</v>
      </c>
      <c r="AQ3" s="83">
        <v>0.125</v>
      </c>
      <c r="AR3" s="25">
        <v>1</v>
      </c>
      <c r="AS3" s="25">
        <v>7</v>
      </c>
      <c r="AT3" s="25">
        <v>0</v>
      </c>
      <c r="AU3" s="25">
        <v>4</v>
      </c>
      <c r="AV3" s="86">
        <v>0.5</v>
      </c>
      <c r="AW3" s="25">
        <v>4</v>
      </c>
      <c r="AX3" s="26">
        <v>6</v>
      </c>
      <c r="AY3" s="88">
        <v>0.33333333333333331</v>
      </c>
      <c r="AZ3" s="26">
        <v>0</v>
      </c>
      <c r="BA3" s="26">
        <v>9</v>
      </c>
      <c r="BB3" s="26">
        <v>3</v>
      </c>
      <c r="BC3" s="26">
        <v>9</v>
      </c>
      <c r="BD3" s="88">
        <v>0.5</v>
      </c>
      <c r="BE3" s="43">
        <v>9</v>
      </c>
      <c r="BF3" s="315">
        <v>3</v>
      </c>
      <c r="BG3" s="316">
        <v>0</v>
      </c>
      <c r="BH3" s="317">
        <v>2</v>
      </c>
      <c r="BI3" s="317">
        <v>0</v>
      </c>
    </row>
    <row r="4" spans="1:64" x14ac:dyDescent="0.25">
      <c r="A4" s="29">
        <v>45925</v>
      </c>
      <c r="B4" s="5">
        <v>6</v>
      </c>
      <c r="C4" s="5" t="s">
        <v>92</v>
      </c>
      <c r="D4" s="7">
        <v>1</v>
      </c>
      <c r="E4" s="7">
        <v>3</v>
      </c>
      <c r="F4" s="5" t="s">
        <v>113</v>
      </c>
      <c r="H4" s="25">
        <v>21</v>
      </c>
      <c r="I4" s="26">
        <v>79</v>
      </c>
      <c r="J4" s="33">
        <v>1.04</v>
      </c>
      <c r="K4" s="34">
        <v>2.0699999999999998</v>
      </c>
      <c r="L4" s="33">
        <v>1.04</v>
      </c>
      <c r="M4" s="33">
        <v>0.99</v>
      </c>
      <c r="N4" s="34">
        <v>2.0699999999999998</v>
      </c>
      <c r="O4" s="34">
        <v>2.35</v>
      </c>
      <c r="P4" s="25">
        <v>2</v>
      </c>
      <c r="Q4" s="26">
        <v>2</v>
      </c>
      <c r="R4" s="25">
        <v>7</v>
      </c>
      <c r="S4" s="26">
        <v>22</v>
      </c>
      <c r="T4" s="25">
        <v>7</v>
      </c>
      <c r="U4" s="26">
        <v>2</v>
      </c>
      <c r="V4" s="25">
        <v>2</v>
      </c>
      <c r="W4" s="26">
        <v>0</v>
      </c>
      <c r="X4" s="33">
        <v>-0.51</v>
      </c>
      <c r="Y4" s="34">
        <v>0</v>
      </c>
      <c r="Z4" s="25">
        <v>6</v>
      </c>
      <c r="AA4" s="26">
        <v>9</v>
      </c>
      <c r="AB4" s="25">
        <v>10</v>
      </c>
      <c r="AC4" s="26">
        <v>6</v>
      </c>
      <c r="AD4" s="25">
        <v>194</v>
      </c>
      <c r="AE4" s="26">
        <v>787</v>
      </c>
      <c r="AF4" s="25">
        <v>21</v>
      </c>
      <c r="AG4" s="26">
        <v>18</v>
      </c>
      <c r="AH4" s="25">
        <v>6</v>
      </c>
      <c r="AI4" s="26">
        <v>10</v>
      </c>
      <c r="AJ4" s="25">
        <v>1</v>
      </c>
      <c r="AK4" s="26">
        <v>0</v>
      </c>
      <c r="AL4" s="25">
        <v>0</v>
      </c>
      <c r="AM4" s="26">
        <v>0</v>
      </c>
      <c r="AN4" s="25">
        <v>0</v>
      </c>
      <c r="AO4" s="36">
        <v>0</v>
      </c>
      <c r="AP4" s="42">
        <v>3</v>
      </c>
      <c r="AQ4" s="83">
        <v>0.42857142857142855</v>
      </c>
      <c r="AR4" s="25">
        <v>0</v>
      </c>
      <c r="AS4" s="25">
        <v>1</v>
      </c>
      <c r="AT4" s="25">
        <v>3</v>
      </c>
      <c r="AU4" s="25">
        <v>5</v>
      </c>
      <c r="AV4" s="86">
        <v>0.7142857142857143</v>
      </c>
      <c r="AW4" s="25">
        <v>2</v>
      </c>
      <c r="AX4" s="26">
        <v>10</v>
      </c>
      <c r="AY4" s="88">
        <v>0.45454545454545453</v>
      </c>
      <c r="AZ4" s="26">
        <v>1</v>
      </c>
      <c r="BA4" s="26">
        <v>4</v>
      </c>
      <c r="BB4" s="26">
        <v>8</v>
      </c>
      <c r="BC4" s="26">
        <v>13</v>
      </c>
      <c r="BD4" s="88">
        <v>0.59090909090909094</v>
      </c>
      <c r="BE4" s="43">
        <v>9</v>
      </c>
      <c r="BF4" s="315">
        <v>0</v>
      </c>
      <c r="BG4" s="316">
        <v>0</v>
      </c>
      <c r="BH4" s="317">
        <v>0</v>
      </c>
      <c r="BI4" s="317">
        <v>1</v>
      </c>
    </row>
    <row r="5" spans="1:64" x14ac:dyDescent="0.25">
      <c r="A5" s="29">
        <v>45934</v>
      </c>
      <c r="B5" s="5">
        <v>8</v>
      </c>
      <c r="C5" s="5" t="s">
        <v>92</v>
      </c>
      <c r="D5" s="7">
        <v>0</v>
      </c>
      <c r="E5" s="7">
        <v>2</v>
      </c>
      <c r="F5" s="5" t="s">
        <v>129</v>
      </c>
      <c r="H5" s="25">
        <v>57</v>
      </c>
      <c r="I5" s="26">
        <v>43</v>
      </c>
      <c r="J5" s="33">
        <v>1.31</v>
      </c>
      <c r="K5" s="34">
        <v>1.94</v>
      </c>
      <c r="L5" s="33">
        <v>1.31</v>
      </c>
      <c r="M5" s="33">
        <v>0.47</v>
      </c>
      <c r="N5" s="34">
        <v>1.94</v>
      </c>
      <c r="O5" s="34">
        <v>2.1800000000000002</v>
      </c>
      <c r="P5" s="25">
        <v>3</v>
      </c>
      <c r="Q5" s="26">
        <v>1</v>
      </c>
      <c r="R5" s="25">
        <v>13</v>
      </c>
      <c r="S5" s="26">
        <v>14</v>
      </c>
      <c r="T5" s="25">
        <v>3</v>
      </c>
      <c r="U5" s="26">
        <v>2</v>
      </c>
      <c r="V5" s="25">
        <v>0</v>
      </c>
      <c r="W5" s="26">
        <v>0</v>
      </c>
      <c r="X5" s="33">
        <v>0.2</v>
      </c>
      <c r="Y5" s="34">
        <v>0.54</v>
      </c>
      <c r="Z5" s="25">
        <v>9</v>
      </c>
      <c r="AA5" s="26">
        <v>3</v>
      </c>
      <c r="AB5" s="25">
        <v>10</v>
      </c>
      <c r="AC5" s="26">
        <v>10</v>
      </c>
      <c r="AD5" s="25">
        <v>484</v>
      </c>
      <c r="AE5" s="26">
        <v>370</v>
      </c>
      <c r="AF5" s="25">
        <v>15</v>
      </c>
      <c r="AG5" s="26">
        <v>14</v>
      </c>
      <c r="AH5" s="25">
        <v>10</v>
      </c>
      <c r="AI5" s="26">
        <v>10</v>
      </c>
      <c r="AJ5" s="25">
        <v>2</v>
      </c>
      <c r="AK5" s="26">
        <v>2</v>
      </c>
      <c r="AL5" s="25">
        <v>0</v>
      </c>
      <c r="AM5" s="26">
        <v>0</v>
      </c>
      <c r="AN5" s="25">
        <v>0</v>
      </c>
      <c r="AO5" s="36">
        <v>0</v>
      </c>
      <c r="AP5" s="42">
        <v>2</v>
      </c>
      <c r="AQ5" s="83">
        <v>0.15384615384615385</v>
      </c>
      <c r="AR5" s="25">
        <v>1</v>
      </c>
      <c r="AS5" s="25">
        <v>6</v>
      </c>
      <c r="AT5" s="25">
        <v>5</v>
      </c>
      <c r="AU5" s="25">
        <v>9</v>
      </c>
      <c r="AV5" s="86">
        <v>0.69230769230769229</v>
      </c>
      <c r="AW5" s="25">
        <v>4</v>
      </c>
      <c r="AX5" s="26">
        <v>5</v>
      </c>
      <c r="AY5" s="88">
        <v>0.35714285714285715</v>
      </c>
      <c r="AZ5" s="26">
        <v>0</v>
      </c>
      <c r="BA5" s="26">
        <v>1</v>
      </c>
      <c r="BB5" s="26">
        <v>8</v>
      </c>
      <c r="BC5" s="26">
        <v>9</v>
      </c>
      <c r="BD5" s="88">
        <v>0.6428571428571429</v>
      </c>
      <c r="BE5" s="43">
        <v>5</v>
      </c>
      <c r="BF5" s="315">
        <v>1</v>
      </c>
      <c r="BG5" s="316">
        <v>0</v>
      </c>
      <c r="BH5" s="317">
        <v>0</v>
      </c>
      <c r="BI5" s="317">
        <v>0</v>
      </c>
    </row>
    <row r="6" spans="1:64" x14ac:dyDescent="0.25">
      <c r="A6" s="29">
        <v>45893</v>
      </c>
      <c r="B6" s="5">
        <v>2</v>
      </c>
      <c r="C6" s="5" t="s">
        <v>146</v>
      </c>
      <c r="D6" s="7">
        <v>2</v>
      </c>
      <c r="E6" s="7">
        <v>2</v>
      </c>
      <c r="F6" s="5" t="s">
        <v>192</v>
      </c>
      <c r="H6" s="25">
        <v>62</v>
      </c>
      <c r="I6" s="26">
        <v>38</v>
      </c>
      <c r="J6" s="33">
        <v>1.0900000000000001</v>
      </c>
      <c r="K6" s="34">
        <v>1.81</v>
      </c>
      <c r="L6" s="33">
        <v>1.0900000000000001</v>
      </c>
      <c r="M6" s="33">
        <v>2</v>
      </c>
      <c r="N6" s="34">
        <v>1.1100000000000001</v>
      </c>
      <c r="O6" s="34">
        <v>0.74</v>
      </c>
      <c r="P6" s="25">
        <v>3</v>
      </c>
      <c r="Q6" s="26">
        <v>2</v>
      </c>
      <c r="R6" s="25">
        <v>15</v>
      </c>
      <c r="S6" s="26">
        <v>14</v>
      </c>
      <c r="T6" s="25">
        <v>1</v>
      </c>
      <c r="U6" s="26">
        <v>5</v>
      </c>
      <c r="V6" s="25">
        <v>0</v>
      </c>
      <c r="W6" s="26">
        <v>2</v>
      </c>
      <c r="X6" s="33">
        <v>-0.27</v>
      </c>
      <c r="Y6" s="34">
        <v>7.0000000000000007E-2</v>
      </c>
      <c r="Z6" s="25">
        <v>5</v>
      </c>
      <c r="AA6" s="26">
        <v>2</v>
      </c>
      <c r="AB6" s="25">
        <v>16</v>
      </c>
      <c r="AC6" s="26">
        <v>18</v>
      </c>
      <c r="AD6" s="25">
        <v>198</v>
      </c>
      <c r="AE6" s="26">
        <v>305</v>
      </c>
      <c r="AF6" s="25">
        <v>16</v>
      </c>
      <c r="AG6" s="26">
        <v>21</v>
      </c>
      <c r="AH6" s="25">
        <v>18</v>
      </c>
      <c r="AI6" s="26">
        <v>15</v>
      </c>
      <c r="AJ6" s="25">
        <v>2</v>
      </c>
      <c r="AK6" s="26">
        <v>2</v>
      </c>
      <c r="AL6" s="25">
        <v>0</v>
      </c>
      <c r="AM6" s="26">
        <v>0</v>
      </c>
      <c r="AN6" s="25">
        <v>0</v>
      </c>
      <c r="AO6" s="36">
        <v>0.7</v>
      </c>
      <c r="AP6" s="42">
        <v>7</v>
      </c>
      <c r="AQ6" s="83">
        <v>0.46666666666666667</v>
      </c>
      <c r="AR6" s="25">
        <v>0</v>
      </c>
      <c r="AS6" s="25">
        <v>4</v>
      </c>
      <c r="AT6" s="25">
        <v>4</v>
      </c>
      <c r="AU6" s="25">
        <v>11</v>
      </c>
      <c r="AV6" s="86">
        <v>0.73333333333333328</v>
      </c>
      <c r="AW6" s="25">
        <v>4</v>
      </c>
      <c r="AX6" s="26">
        <v>3</v>
      </c>
      <c r="AY6" s="88">
        <v>0.21428571428571427</v>
      </c>
      <c r="AZ6" s="26">
        <v>0</v>
      </c>
      <c r="BA6" s="26">
        <v>7</v>
      </c>
      <c r="BB6" s="26">
        <v>4</v>
      </c>
      <c r="BC6" s="26">
        <v>5</v>
      </c>
      <c r="BD6" s="88">
        <v>0.35714285714285715</v>
      </c>
      <c r="BE6" s="43">
        <v>9</v>
      </c>
      <c r="BF6" s="315">
        <v>0</v>
      </c>
      <c r="BG6" s="316">
        <v>0</v>
      </c>
      <c r="BH6" s="317">
        <v>0</v>
      </c>
      <c r="BI6" s="317">
        <v>1</v>
      </c>
    </row>
    <row r="7" spans="1:64" x14ac:dyDescent="0.25">
      <c r="A7" s="29">
        <v>45920</v>
      </c>
      <c r="B7" s="5">
        <v>5</v>
      </c>
      <c r="C7" s="5" t="s">
        <v>226</v>
      </c>
      <c r="D7" s="7">
        <v>2</v>
      </c>
      <c r="E7" s="7">
        <v>0</v>
      </c>
      <c r="F7" s="5" t="s">
        <v>192</v>
      </c>
      <c r="H7" s="25">
        <v>72</v>
      </c>
      <c r="I7" s="26">
        <v>28</v>
      </c>
      <c r="J7" s="33">
        <v>1.18</v>
      </c>
      <c r="K7" s="34">
        <v>0.96</v>
      </c>
      <c r="L7" s="33">
        <v>1.18</v>
      </c>
      <c r="M7" s="33">
        <v>1</v>
      </c>
      <c r="N7" s="34">
        <v>0.96</v>
      </c>
      <c r="O7" s="34">
        <v>0.18</v>
      </c>
      <c r="P7" s="25">
        <v>3</v>
      </c>
      <c r="Q7" s="26">
        <v>1</v>
      </c>
      <c r="R7" s="25">
        <v>16</v>
      </c>
      <c r="S7" s="26">
        <v>8</v>
      </c>
      <c r="T7" s="25">
        <v>1</v>
      </c>
      <c r="U7" s="26">
        <v>3</v>
      </c>
      <c r="V7" s="25">
        <v>0</v>
      </c>
      <c r="W7" s="26">
        <v>1</v>
      </c>
      <c r="X7" s="33">
        <v>0.18</v>
      </c>
      <c r="Y7" s="34">
        <v>-0.94</v>
      </c>
      <c r="Z7" s="25">
        <v>5</v>
      </c>
      <c r="AA7" s="26">
        <v>3</v>
      </c>
      <c r="AB7" s="25">
        <v>10</v>
      </c>
      <c r="AC7" s="26">
        <v>20</v>
      </c>
      <c r="AD7" s="25">
        <v>753</v>
      </c>
      <c r="AE7" s="26">
        <v>374</v>
      </c>
      <c r="AF7" s="25">
        <v>18</v>
      </c>
      <c r="AG7" s="26">
        <v>21</v>
      </c>
      <c r="AH7" s="25">
        <v>20</v>
      </c>
      <c r="AI7" s="26">
        <v>10</v>
      </c>
      <c r="AJ7" s="25">
        <v>2</v>
      </c>
      <c r="AK7" s="26">
        <v>0</v>
      </c>
      <c r="AL7" s="25">
        <v>0</v>
      </c>
      <c r="AM7" s="26">
        <v>0</v>
      </c>
      <c r="AN7" s="25">
        <v>0</v>
      </c>
      <c r="AO7" s="36">
        <v>0</v>
      </c>
      <c r="AP7" s="42">
        <v>5</v>
      </c>
      <c r="AQ7" s="83">
        <v>0.3125</v>
      </c>
      <c r="AR7" s="25">
        <v>1</v>
      </c>
      <c r="AS7" s="25">
        <v>6</v>
      </c>
      <c r="AT7" s="25">
        <v>5</v>
      </c>
      <c r="AU7" s="25">
        <v>11</v>
      </c>
      <c r="AV7" s="86">
        <v>0.6875</v>
      </c>
      <c r="AW7" s="25">
        <v>5</v>
      </c>
      <c r="AX7" s="26">
        <v>1</v>
      </c>
      <c r="AY7" s="88">
        <v>0.125</v>
      </c>
      <c r="AZ7" s="26">
        <v>0</v>
      </c>
      <c r="BA7" s="26">
        <v>2</v>
      </c>
      <c r="BB7" s="26">
        <v>5</v>
      </c>
      <c r="BC7" s="26">
        <v>5</v>
      </c>
      <c r="BD7" s="88">
        <v>0.625</v>
      </c>
      <c r="BE7" s="43">
        <v>3</v>
      </c>
      <c r="BF7" s="315">
        <v>0</v>
      </c>
      <c r="BG7" s="316">
        <v>0</v>
      </c>
      <c r="BH7" s="317">
        <v>0</v>
      </c>
      <c r="BI7" s="317">
        <v>0</v>
      </c>
    </row>
    <row r="8" spans="1:64" x14ac:dyDescent="0.25">
      <c r="A8" s="29">
        <v>45926</v>
      </c>
      <c r="B8" s="5">
        <v>7</v>
      </c>
      <c r="C8" s="5" t="s">
        <v>69</v>
      </c>
      <c r="D8" s="7">
        <v>0</v>
      </c>
      <c r="E8" s="7">
        <v>0</v>
      </c>
      <c r="F8" s="5" t="s">
        <v>192</v>
      </c>
      <c r="H8" s="25">
        <v>60</v>
      </c>
      <c r="I8" s="26">
        <v>40</v>
      </c>
      <c r="J8" s="33">
        <v>1.08</v>
      </c>
      <c r="K8" s="34">
        <v>1.08</v>
      </c>
      <c r="L8" s="33">
        <v>1.08</v>
      </c>
      <c r="M8" s="33">
        <v>0.9</v>
      </c>
      <c r="N8" s="34">
        <v>1.08</v>
      </c>
      <c r="O8" s="34">
        <v>1.67</v>
      </c>
      <c r="P8" s="25">
        <v>1</v>
      </c>
      <c r="Q8" s="26">
        <v>0</v>
      </c>
      <c r="R8" s="25">
        <v>12</v>
      </c>
      <c r="S8" s="26">
        <v>20</v>
      </c>
      <c r="T8" s="25">
        <v>5</v>
      </c>
      <c r="U8" s="26">
        <v>3</v>
      </c>
      <c r="V8" s="25">
        <v>1</v>
      </c>
      <c r="W8" s="26">
        <v>0</v>
      </c>
      <c r="X8" s="33">
        <v>1.67</v>
      </c>
      <c r="Y8" s="34">
        <v>0.89</v>
      </c>
      <c r="Z8" s="25">
        <v>8</v>
      </c>
      <c r="AA8" s="26">
        <v>4</v>
      </c>
      <c r="AB8" s="25">
        <v>9</v>
      </c>
      <c r="AC8" s="26">
        <v>11</v>
      </c>
      <c r="AD8" s="25">
        <v>522</v>
      </c>
      <c r="AE8" s="26">
        <v>338</v>
      </c>
      <c r="AF8" s="25">
        <v>6</v>
      </c>
      <c r="AG8" s="26">
        <v>20</v>
      </c>
      <c r="AH8" s="25">
        <v>11</v>
      </c>
      <c r="AI8" s="26">
        <v>9</v>
      </c>
      <c r="AJ8" s="25">
        <v>0</v>
      </c>
      <c r="AK8" s="26">
        <v>1</v>
      </c>
      <c r="AL8" s="25">
        <v>0</v>
      </c>
      <c r="AM8" s="26">
        <v>0</v>
      </c>
      <c r="AN8" s="25">
        <v>0</v>
      </c>
      <c r="AO8" s="36">
        <v>0</v>
      </c>
      <c r="AP8" s="42">
        <v>3</v>
      </c>
      <c r="AQ8" s="83">
        <v>0.25</v>
      </c>
      <c r="AR8" s="25">
        <v>0</v>
      </c>
      <c r="AS8" s="25">
        <v>4</v>
      </c>
      <c r="AT8" s="25">
        <v>5</v>
      </c>
      <c r="AU8" s="25">
        <v>7</v>
      </c>
      <c r="AV8" s="86">
        <v>0.58333333333333337</v>
      </c>
      <c r="AW8" s="25">
        <v>5</v>
      </c>
      <c r="AX8" s="26">
        <v>5</v>
      </c>
      <c r="AY8" s="88">
        <v>0.25</v>
      </c>
      <c r="AZ8" s="26">
        <v>0</v>
      </c>
      <c r="BA8" s="26">
        <v>10</v>
      </c>
      <c r="BB8" s="26">
        <v>5</v>
      </c>
      <c r="BC8" s="26">
        <v>11</v>
      </c>
      <c r="BD8" s="88">
        <v>0.55000000000000004</v>
      </c>
      <c r="BE8" s="43">
        <v>9</v>
      </c>
      <c r="BF8" s="315">
        <v>1</v>
      </c>
      <c r="BG8" s="316">
        <v>0</v>
      </c>
      <c r="BH8" s="317">
        <v>1</v>
      </c>
      <c r="BI8" s="317">
        <v>0</v>
      </c>
    </row>
    <row r="9" spans="1:64" x14ac:dyDescent="0.25">
      <c r="A9" s="229">
        <v>45947</v>
      </c>
      <c r="B9" s="230">
        <v>9</v>
      </c>
      <c r="C9" s="230" t="s">
        <v>92</v>
      </c>
      <c r="D9" s="233">
        <f>AVERAGE(D2:D8)</f>
        <v>0.8571428571428571</v>
      </c>
      <c r="E9" s="233">
        <f>AVERAGE(E2:E8)</f>
        <v>1.4285714285714286</v>
      </c>
      <c r="F9" s="230" t="s">
        <v>192</v>
      </c>
      <c r="G9" s="230"/>
      <c r="H9" s="230">
        <f t="shared" ref="H9:AM9" si="0">AVERAGE(H2:H8)</f>
        <v>50</v>
      </c>
      <c r="I9" s="230">
        <f t="shared" si="0"/>
        <v>50</v>
      </c>
      <c r="J9" s="232">
        <f t="shared" si="0"/>
        <v>0.95714285714285718</v>
      </c>
      <c r="K9" s="232">
        <f t="shared" si="0"/>
        <v>1.6585714285714288</v>
      </c>
      <c r="L9" s="232">
        <f t="shared" si="0"/>
        <v>0.95714285714285718</v>
      </c>
      <c r="M9" s="232">
        <f>AVERAGE(M2:M8)</f>
        <v>0.91428571428571437</v>
      </c>
      <c r="N9" s="102">
        <f t="shared" si="0"/>
        <v>1.5585714285714283</v>
      </c>
      <c r="O9" s="102">
        <f t="shared" si="0"/>
        <v>1.6928571428571428</v>
      </c>
      <c r="P9" s="230">
        <f t="shared" si="0"/>
        <v>1.7142857142857142</v>
      </c>
      <c r="Q9" s="230">
        <f t="shared" si="0"/>
        <v>1.4285714285714286</v>
      </c>
      <c r="R9" s="230">
        <f t="shared" si="0"/>
        <v>11</v>
      </c>
      <c r="S9" s="230">
        <f t="shared" si="0"/>
        <v>17.428571428571427</v>
      </c>
      <c r="T9" s="230">
        <f t="shared" si="0"/>
        <v>4.4285714285714288</v>
      </c>
      <c r="U9" s="230">
        <f t="shared" si="0"/>
        <v>2.5714285714285716</v>
      </c>
      <c r="V9" s="230">
        <f t="shared" si="0"/>
        <v>1.1428571428571428</v>
      </c>
      <c r="W9" s="230">
        <f t="shared" si="0"/>
        <v>0.42857142857142855</v>
      </c>
      <c r="X9" s="232">
        <f t="shared" si="0"/>
        <v>0.46857142857142858</v>
      </c>
      <c r="Y9" s="232">
        <f t="shared" si="0"/>
        <v>9.285714285714286E-2</v>
      </c>
      <c r="Z9" s="230">
        <f t="shared" si="0"/>
        <v>5</v>
      </c>
      <c r="AA9" s="230">
        <f t="shared" si="0"/>
        <v>5.7142857142857144</v>
      </c>
      <c r="AB9" s="230">
        <f t="shared" si="0"/>
        <v>10</v>
      </c>
      <c r="AC9" s="230">
        <f t="shared" si="0"/>
        <v>12.857142857142858</v>
      </c>
      <c r="AD9" s="230">
        <f t="shared" si="0"/>
        <v>419.42857142857144</v>
      </c>
      <c r="AE9" s="230">
        <f t="shared" si="0"/>
        <v>485.85714285714283</v>
      </c>
      <c r="AF9" s="230">
        <f t="shared" si="0"/>
        <v>15.714285714285714</v>
      </c>
      <c r="AG9" s="230">
        <f t="shared" si="0"/>
        <v>18.857142857142858</v>
      </c>
      <c r="AH9" s="230">
        <f t="shared" si="0"/>
        <v>12.857142857142858</v>
      </c>
      <c r="AI9" s="230">
        <f t="shared" si="0"/>
        <v>9.8571428571428577</v>
      </c>
      <c r="AJ9" s="230">
        <f t="shared" si="0"/>
        <v>1.5714285714285714</v>
      </c>
      <c r="AK9" s="230">
        <f t="shared" si="0"/>
        <v>1</v>
      </c>
      <c r="AL9" s="230">
        <f t="shared" si="0"/>
        <v>0</v>
      </c>
      <c r="AM9" s="230">
        <f t="shared" si="0"/>
        <v>0</v>
      </c>
      <c r="AN9" s="230">
        <f t="shared" ref="AN9:BI9" si="1">AVERAGE(AN2:AN8)</f>
        <v>0</v>
      </c>
      <c r="AO9" s="310">
        <f t="shared" si="1"/>
        <v>9.9999999999999992E-2</v>
      </c>
      <c r="AP9" s="311">
        <f t="shared" si="1"/>
        <v>3.4285714285714284</v>
      </c>
      <c r="AQ9" s="105">
        <f t="shared" si="1"/>
        <v>0.31951203558346419</v>
      </c>
      <c r="AR9" s="230">
        <f t="shared" si="1"/>
        <v>0.5714285714285714</v>
      </c>
      <c r="AS9" s="230">
        <f t="shared" si="1"/>
        <v>4.4285714285714288</v>
      </c>
      <c r="AT9" s="230">
        <f t="shared" si="1"/>
        <v>3.1428571428571428</v>
      </c>
      <c r="AU9" s="230">
        <f t="shared" si="1"/>
        <v>7.1428571428571432</v>
      </c>
      <c r="AV9" s="107">
        <f t="shared" si="1"/>
        <v>0.63010858189429619</v>
      </c>
      <c r="AW9" s="230">
        <f t="shared" si="1"/>
        <v>3.8571428571428572</v>
      </c>
      <c r="AX9" s="100">
        <f t="shared" si="1"/>
        <v>5.7142857142857144</v>
      </c>
      <c r="AY9" s="107">
        <f t="shared" si="1"/>
        <v>0.30270324913182056</v>
      </c>
      <c r="AZ9" s="230">
        <f t="shared" si="1"/>
        <v>0.14285714285714285</v>
      </c>
      <c r="BA9" s="230">
        <f t="shared" si="1"/>
        <v>5.5714285714285712</v>
      </c>
      <c r="BB9" s="230">
        <f t="shared" si="1"/>
        <v>6.1428571428571432</v>
      </c>
      <c r="BC9" s="230">
        <f t="shared" si="1"/>
        <v>9.4285714285714288</v>
      </c>
      <c r="BD9" s="312">
        <f t="shared" si="1"/>
        <v>0.54348151848151838</v>
      </c>
      <c r="BE9" s="313">
        <f t="shared" si="1"/>
        <v>8</v>
      </c>
      <c r="BF9" s="318">
        <f t="shared" si="1"/>
        <v>0.7142857142857143</v>
      </c>
      <c r="BG9" s="319">
        <f t="shared" si="1"/>
        <v>0.2857142857142857</v>
      </c>
      <c r="BH9" s="319">
        <f t="shared" si="1"/>
        <v>0.42857142857142855</v>
      </c>
      <c r="BI9" s="319">
        <f t="shared" si="1"/>
        <v>0.2857142857142857</v>
      </c>
    </row>
    <row r="10" spans="1:64" x14ac:dyDescent="0.25">
      <c r="A10" s="29">
        <v>45894</v>
      </c>
      <c r="B10" s="5">
        <v>2</v>
      </c>
      <c r="C10" s="5" t="s">
        <v>171</v>
      </c>
      <c r="D10" s="7">
        <v>1</v>
      </c>
      <c r="E10" s="7">
        <v>2</v>
      </c>
      <c r="F10" s="5" t="s">
        <v>161</v>
      </c>
      <c r="H10" s="25">
        <v>71</v>
      </c>
      <c r="I10" s="26">
        <v>29</v>
      </c>
      <c r="J10" s="33">
        <v>0.51</v>
      </c>
      <c r="K10" s="34">
        <v>0.71</v>
      </c>
      <c r="L10" s="33">
        <v>0.51</v>
      </c>
      <c r="M10" s="33">
        <v>0</v>
      </c>
      <c r="N10" s="34">
        <v>0.71</v>
      </c>
      <c r="O10" s="34">
        <v>0.87</v>
      </c>
      <c r="P10" s="25">
        <v>1</v>
      </c>
      <c r="Q10" s="26">
        <v>3</v>
      </c>
      <c r="R10" s="25">
        <v>12</v>
      </c>
      <c r="S10" s="26">
        <v>9</v>
      </c>
      <c r="T10" s="25">
        <v>4</v>
      </c>
      <c r="U10" s="26">
        <v>3</v>
      </c>
      <c r="V10" s="25">
        <v>0</v>
      </c>
      <c r="W10" s="26">
        <v>0</v>
      </c>
      <c r="X10" s="33">
        <v>-1.1000000000000001</v>
      </c>
      <c r="Y10" s="34">
        <v>-0.84</v>
      </c>
      <c r="Z10" s="25">
        <v>5</v>
      </c>
      <c r="AA10" s="26">
        <v>3</v>
      </c>
      <c r="AB10" s="25">
        <v>10</v>
      </c>
      <c r="AC10" s="26">
        <v>24</v>
      </c>
      <c r="AD10" s="25">
        <v>533</v>
      </c>
      <c r="AE10" s="26">
        <v>221</v>
      </c>
      <c r="AF10" s="25">
        <v>24</v>
      </c>
      <c r="AG10" s="26">
        <v>16</v>
      </c>
      <c r="AH10" s="25">
        <v>24</v>
      </c>
      <c r="AI10" s="26">
        <v>10</v>
      </c>
      <c r="AJ10" s="25">
        <v>2</v>
      </c>
      <c r="AK10" s="26">
        <v>2</v>
      </c>
      <c r="AL10" s="25">
        <v>0</v>
      </c>
      <c r="AM10" s="26">
        <v>0</v>
      </c>
      <c r="AN10" s="25">
        <v>0</v>
      </c>
      <c r="AO10" s="36">
        <v>0</v>
      </c>
      <c r="AP10" s="42">
        <v>3</v>
      </c>
      <c r="AQ10" s="83">
        <v>0.25</v>
      </c>
      <c r="AR10" s="25">
        <v>1</v>
      </c>
      <c r="AS10" s="25">
        <v>8</v>
      </c>
      <c r="AT10" s="25">
        <v>1</v>
      </c>
      <c r="AU10" s="25">
        <v>8</v>
      </c>
      <c r="AV10" s="86">
        <v>0.66666666666666663</v>
      </c>
      <c r="AW10" s="25">
        <v>4</v>
      </c>
      <c r="AX10" s="26">
        <v>6</v>
      </c>
      <c r="AY10" s="88">
        <v>0.66666666666666663</v>
      </c>
      <c r="AZ10" s="26">
        <v>0</v>
      </c>
      <c r="BA10" s="26">
        <v>1</v>
      </c>
      <c r="BB10" s="26">
        <v>2</v>
      </c>
      <c r="BC10" s="26">
        <v>3</v>
      </c>
      <c r="BD10" s="88">
        <v>0.33333333333333331</v>
      </c>
      <c r="BE10" s="43">
        <v>6</v>
      </c>
      <c r="BF10" s="315">
        <v>1</v>
      </c>
      <c r="BG10" s="316">
        <v>0</v>
      </c>
      <c r="BH10" s="317">
        <v>0</v>
      </c>
      <c r="BI10" s="317">
        <v>0</v>
      </c>
    </row>
    <row r="11" spans="1:64" x14ac:dyDescent="0.25">
      <c r="A11" s="29">
        <v>45912</v>
      </c>
      <c r="B11" s="5">
        <v>4</v>
      </c>
      <c r="C11" s="5" t="s">
        <v>171</v>
      </c>
      <c r="D11" s="7">
        <v>2</v>
      </c>
      <c r="E11" s="7">
        <v>2</v>
      </c>
      <c r="F11" s="5" t="s">
        <v>208</v>
      </c>
      <c r="H11" s="25">
        <v>53</v>
      </c>
      <c r="I11" s="26">
        <v>47</v>
      </c>
      <c r="J11" s="33">
        <v>0.4</v>
      </c>
      <c r="K11" s="34">
        <v>0.95</v>
      </c>
      <c r="L11" s="33">
        <v>0.4</v>
      </c>
      <c r="M11" s="33">
        <v>1.07</v>
      </c>
      <c r="N11" s="34">
        <v>0.95</v>
      </c>
      <c r="O11" s="34">
        <v>0.43</v>
      </c>
      <c r="P11" s="25">
        <v>0</v>
      </c>
      <c r="Q11" s="26">
        <v>3</v>
      </c>
      <c r="R11" s="25">
        <v>7</v>
      </c>
      <c r="S11" s="26">
        <v>5</v>
      </c>
      <c r="T11" s="25">
        <v>0</v>
      </c>
      <c r="U11" s="26">
        <v>1</v>
      </c>
      <c r="V11" s="25">
        <v>0</v>
      </c>
      <c r="W11" s="26">
        <v>1</v>
      </c>
      <c r="X11" s="33">
        <v>-1.1399999999999999</v>
      </c>
      <c r="Y11" s="34">
        <v>-0.91</v>
      </c>
      <c r="Z11" s="25">
        <v>2</v>
      </c>
      <c r="AA11" s="26">
        <v>2</v>
      </c>
      <c r="AB11" s="25">
        <v>23</v>
      </c>
      <c r="AC11" s="26">
        <v>19</v>
      </c>
      <c r="AD11" s="25">
        <v>392</v>
      </c>
      <c r="AE11" s="26">
        <v>362</v>
      </c>
      <c r="AF11" s="25">
        <v>22</v>
      </c>
      <c r="AG11" s="26">
        <v>25</v>
      </c>
      <c r="AH11" s="25">
        <v>19</v>
      </c>
      <c r="AI11" s="26">
        <v>23</v>
      </c>
      <c r="AJ11" s="25">
        <v>4</v>
      </c>
      <c r="AK11" s="26">
        <v>3</v>
      </c>
      <c r="AL11" s="25">
        <v>0</v>
      </c>
      <c r="AM11" s="26">
        <v>0</v>
      </c>
      <c r="AN11" s="25">
        <v>0</v>
      </c>
      <c r="AO11" s="36">
        <v>0</v>
      </c>
      <c r="AP11" s="42">
        <v>3</v>
      </c>
      <c r="AQ11" s="83">
        <v>0.42857142857142855</v>
      </c>
      <c r="AR11" s="25">
        <v>0</v>
      </c>
      <c r="AS11" s="25">
        <v>2</v>
      </c>
      <c r="AT11" s="25">
        <v>2</v>
      </c>
      <c r="AU11" s="25">
        <v>4</v>
      </c>
      <c r="AV11" s="86">
        <v>0.5714285714285714</v>
      </c>
      <c r="AW11" s="25">
        <v>3</v>
      </c>
      <c r="AX11" s="26">
        <v>2</v>
      </c>
      <c r="AY11" s="88">
        <v>0.4</v>
      </c>
      <c r="AZ11" s="26">
        <v>0</v>
      </c>
      <c r="BA11" s="26">
        <v>3</v>
      </c>
      <c r="BB11" s="26">
        <v>0</v>
      </c>
      <c r="BC11" s="26">
        <v>2</v>
      </c>
      <c r="BD11" s="88">
        <v>0.4</v>
      </c>
      <c r="BE11" s="43">
        <v>3</v>
      </c>
      <c r="BF11" s="315">
        <v>0</v>
      </c>
      <c r="BG11" s="316">
        <v>0</v>
      </c>
      <c r="BH11" s="317">
        <v>1</v>
      </c>
      <c r="BI11" s="317">
        <v>0</v>
      </c>
    </row>
    <row r="12" spans="1:64" x14ac:dyDescent="0.25">
      <c r="A12" s="29">
        <v>45923</v>
      </c>
      <c r="B12" s="5">
        <v>6</v>
      </c>
      <c r="C12" s="5" t="s">
        <v>171</v>
      </c>
      <c r="D12" s="7">
        <v>1</v>
      </c>
      <c r="E12" s="7">
        <v>2</v>
      </c>
      <c r="F12" s="5" t="s">
        <v>91</v>
      </c>
      <c r="H12" s="25">
        <v>65</v>
      </c>
      <c r="I12" s="26">
        <v>35</v>
      </c>
      <c r="J12" s="33">
        <v>0.97</v>
      </c>
      <c r="K12" s="34">
        <v>1.95</v>
      </c>
      <c r="L12" s="33">
        <v>0.97</v>
      </c>
      <c r="M12" s="33">
        <v>0.45</v>
      </c>
      <c r="N12" s="34">
        <v>1.95</v>
      </c>
      <c r="O12" s="34">
        <v>1.7</v>
      </c>
      <c r="P12" s="25">
        <v>1</v>
      </c>
      <c r="Q12" s="26">
        <v>6</v>
      </c>
      <c r="R12" s="25">
        <v>16</v>
      </c>
      <c r="S12" s="26">
        <v>12</v>
      </c>
      <c r="T12" s="25">
        <v>3</v>
      </c>
      <c r="U12" s="26">
        <v>1</v>
      </c>
      <c r="V12" s="25">
        <v>0</v>
      </c>
      <c r="W12" s="26">
        <v>1</v>
      </c>
      <c r="X12" s="33">
        <v>-0.27</v>
      </c>
      <c r="Y12" s="34">
        <v>-0.55000000000000004</v>
      </c>
      <c r="Z12" s="25">
        <v>3</v>
      </c>
      <c r="AA12" s="26">
        <v>3</v>
      </c>
      <c r="AB12" s="25">
        <v>17</v>
      </c>
      <c r="AC12" s="26">
        <v>14</v>
      </c>
      <c r="AD12" s="25">
        <v>599</v>
      </c>
      <c r="AE12" s="26">
        <v>324</v>
      </c>
      <c r="AF12" s="25">
        <v>23</v>
      </c>
      <c r="AG12" s="26">
        <v>18</v>
      </c>
      <c r="AH12" s="25">
        <v>14</v>
      </c>
      <c r="AI12" s="26">
        <v>17</v>
      </c>
      <c r="AJ12" s="25">
        <v>2</v>
      </c>
      <c r="AK12" s="26">
        <v>3</v>
      </c>
      <c r="AL12" s="25">
        <v>0</v>
      </c>
      <c r="AM12" s="26">
        <v>0</v>
      </c>
      <c r="AN12" s="25">
        <v>0</v>
      </c>
      <c r="AO12" s="36">
        <v>0</v>
      </c>
      <c r="AP12" s="42">
        <v>2</v>
      </c>
      <c r="AQ12" s="83">
        <v>0.125</v>
      </c>
      <c r="AR12" s="25">
        <v>0</v>
      </c>
      <c r="AS12" s="25">
        <v>6</v>
      </c>
      <c r="AT12" s="25">
        <v>8</v>
      </c>
      <c r="AU12" s="25">
        <v>10</v>
      </c>
      <c r="AV12" s="86">
        <v>0.625</v>
      </c>
      <c r="AW12" s="25">
        <v>6</v>
      </c>
      <c r="AX12" s="26">
        <v>5</v>
      </c>
      <c r="AY12" s="88">
        <v>0.41666666666666669</v>
      </c>
      <c r="AZ12" s="26">
        <v>0</v>
      </c>
      <c r="BA12" s="26">
        <v>4</v>
      </c>
      <c r="BB12" s="26">
        <v>3</v>
      </c>
      <c r="BC12" s="26">
        <v>11</v>
      </c>
      <c r="BD12" s="88">
        <v>0.91666666666666663</v>
      </c>
      <c r="BE12" s="43">
        <v>1</v>
      </c>
      <c r="BF12" s="315">
        <v>0</v>
      </c>
      <c r="BG12" s="316">
        <v>0</v>
      </c>
      <c r="BH12" s="317">
        <v>0</v>
      </c>
      <c r="BI12" s="317">
        <v>0</v>
      </c>
    </row>
    <row r="13" spans="1:64" x14ac:dyDescent="0.25">
      <c r="A13" s="29">
        <v>45935</v>
      </c>
      <c r="B13" s="5">
        <v>8</v>
      </c>
      <c r="C13" s="5" t="s">
        <v>171</v>
      </c>
      <c r="D13" s="7">
        <v>4</v>
      </c>
      <c r="E13" s="7">
        <v>1</v>
      </c>
      <c r="F13" s="5" t="s">
        <v>113</v>
      </c>
      <c r="H13" s="25">
        <v>39</v>
      </c>
      <c r="I13" s="26">
        <v>61</v>
      </c>
      <c r="J13" s="33">
        <v>2.8</v>
      </c>
      <c r="K13" s="34">
        <v>2.25</v>
      </c>
      <c r="L13" s="33">
        <v>2.0999999999999996</v>
      </c>
      <c r="M13" s="33">
        <v>2.2400000000000002</v>
      </c>
      <c r="N13" s="34">
        <v>1.55</v>
      </c>
      <c r="O13" s="34">
        <v>2.2999999999999998</v>
      </c>
      <c r="P13" s="25">
        <v>5</v>
      </c>
      <c r="Q13" s="26">
        <v>5</v>
      </c>
      <c r="R13" s="25">
        <v>13</v>
      </c>
      <c r="S13" s="26">
        <v>17</v>
      </c>
      <c r="T13" s="25">
        <v>7</v>
      </c>
      <c r="U13" s="26">
        <v>1</v>
      </c>
      <c r="V13" s="25">
        <v>1</v>
      </c>
      <c r="W13" s="26">
        <v>1</v>
      </c>
      <c r="X13" s="33">
        <v>1.41</v>
      </c>
      <c r="Y13" s="34">
        <v>-0.54</v>
      </c>
      <c r="Z13" s="25">
        <v>7</v>
      </c>
      <c r="AA13" s="26">
        <v>6</v>
      </c>
      <c r="AB13" s="25">
        <v>18</v>
      </c>
      <c r="AC13" s="26">
        <v>9</v>
      </c>
      <c r="AD13" s="25">
        <v>266</v>
      </c>
      <c r="AE13" s="26">
        <v>427</v>
      </c>
      <c r="AF13" s="25">
        <v>18</v>
      </c>
      <c r="AG13" s="26">
        <v>19</v>
      </c>
      <c r="AH13" s="25">
        <v>8</v>
      </c>
      <c r="AI13" s="26">
        <v>17</v>
      </c>
      <c r="AJ13" s="25">
        <v>7</v>
      </c>
      <c r="AK13" s="26">
        <v>5</v>
      </c>
      <c r="AL13" s="25">
        <v>0</v>
      </c>
      <c r="AM13" s="26">
        <v>0</v>
      </c>
      <c r="AN13" s="25">
        <v>0.7</v>
      </c>
      <c r="AO13" s="36">
        <v>0.7</v>
      </c>
      <c r="AP13" s="42">
        <v>5</v>
      </c>
      <c r="AQ13" s="83">
        <v>0.38461538461538464</v>
      </c>
      <c r="AR13" s="25">
        <v>0</v>
      </c>
      <c r="AS13" s="25">
        <v>6</v>
      </c>
      <c r="AT13" s="25">
        <v>2</v>
      </c>
      <c r="AU13" s="25">
        <v>12</v>
      </c>
      <c r="AV13" s="86">
        <v>0.92307692307692313</v>
      </c>
      <c r="AW13" s="25">
        <v>1</v>
      </c>
      <c r="AX13" s="26">
        <v>8</v>
      </c>
      <c r="AY13" s="88">
        <v>0.47058823529411764</v>
      </c>
      <c r="AZ13" s="26">
        <v>0</v>
      </c>
      <c r="BA13" s="26">
        <v>4</v>
      </c>
      <c r="BB13" s="26">
        <v>5</v>
      </c>
      <c r="BC13" s="26">
        <v>14</v>
      </c>
      <c r="BD13" s="88">
        <v>0.82352941176470584</v>
      </c>
      <c r="BE13" s="43">
        <v>3</v>
      </c>
      <c r="BF13" s="315">
        <v>0</v>
      </c>
      <c r="BG13" s="316">
        <v>1</v>
      </c>
      <c r="BH13" s="317">
        <v>0</v>
      </c>
      <c r="BI13" s="317">
        <v>0</v>
      </c>
    </row>
    <row r="14" spans="1:64" x14ac:dyDescent="0.25">
      <c r="A14" s="29">
        <v>45899</v>
      </c>
      <c r="B14" s="5">
        <v>3</v>
      </c>
      <c r="C14" s="5" t="s">
        <v>226</v>
      </c>
      <c r="D14" s="7">
        <v>2</v>
      </c>
      <c r="E14" s="7">
        <v>1</v>
      </c>
      <c r="F14" s="5" t="s">
        <v>112</v>
      </c>
      <c r="H14" s="25">
        <v>58</v>
      </c>
      <c r="I14" s="26">
        <v>42</v>
      </c>
      <c r="J14" s="33">
        <v>1.82</v>
      </c>
      <c r="K14" s="34">
        <v>0.72</v>
      </c>
      <c r="L14" s="33">
        <v>1.82</v>
      </c>
      <c r="M14" s="33">
        <v>2.13</v>
      </c>
      <c r="N14" s="34">
        <v>0.72</v>
      </c>
      <c r="O14" s="34">
        <v>0.62</v>
      </c>
      <c r="P14" s="25">
        <v>2</v>
      </c>
      <c r="Q14" s="26">
        <v>1</v>
      </c>
      <c r="R14" s="25">
        <v>17</v>
      </c>
      <c r="S14" s="26">
        <v>9</v>
      </c>
      <c r="T14" s="25">
        <v>2</v>
      </c>
      <c r="U14" s="26">
        <v>5</v>
      </c>
      <c r="V14" s="25">
        <v>1</v>
      </c>
      <c r="W14" s="26">
        <v>0</v>
      </c>
      <c r="X14" s="33">
        <v>-0.28999999999999998</v>
      </c>
      <c r="Y14" s="34">
        <v>0.25</v>
      </c>
      <c r="Z14" s="25">
        <v>4</v>
      </c>
      <c r="AA14" s="26">
        <v>5</v>
      </c>
      <c r="AB14" s="25">
        <v>12</v>
      </c>
      <c r="AC14" s="26">
        <v>7</v>
      </c>
      <c r="AD14" s="25">
        <v>538</v>
      </c>
      <c r="AE14" s="26">
        <v>382</v>
      </c>
      <c r="AF14" s="25">
        <v>13</v>
      </c>
      <c r="AG14" s="26">
        <v>14</v>
      </c>
      <c r="AH14" s="25">
        <v>7</v>
      </c>
      <c r="AI14" s="26">
        <v>12</v>
      </c>
      <c r="AJ14" s="25">
        <v>2</v>
      </c>
      <c r="AK14" s="26">
        <v>0</v>
      </c>
      <c r="AL14" s="25">
        <v>0</v>
      </c>
      <c r="AM14" s="26">
        <v>0</v>
      </c>
      <c r="AN14" s="25">
        <v>0</v>
      </c>
      <c r="AO14" s="36">
        <v>0</v>
      </c>
      <c r="AP14" s="42">
        <v>7</v>
      </c>
      <c r="AQ14" s="83">
        <v>0.41176470588235292</v>
      </c>
      <c r="AR14" s="25">
        <v>0</v>
      </c>
      <c r="AS14" s="25">
        <v>6</v>
      </c>
      <c r="AT14" s="25">
        <v>4</v>
      </c>
      <c r="AU14" s="25">
        <v>7</v>
      </c>
      <c r="AV14" s="86">
        <v>0.41176470588235292</v>
      </c>
      <c r="AW14" s="25">
        <v>10</v>
      </c>
      <c r="AX14" s="26">
        <v>5</v>
      </c>
      <c r="AY14" s="88">
        <v>0.55555555555555558</v>
      </c>
      <c r="AZ14" s="26">
        <v>0</v>
      </c>
      <c r="BA14" s="26">
        <v>2</v>
      </c>
      <c r="BB14" s="26">
        <v>2</v>
      </c>
      <c r="BC14" s="26">
        <v>8</v>
      </c>
      <c r="BD14" s="88">
        <v>0.88888888888888884</v>
      </c>
      <c r="BE14" s="43">
        <v>1</v>
      </c>
      <c r="BF14" s="315">
        <v>0</v>
      </c>
      <c r="BG14" s="316">
        <v>0</v>
      </c>
      <c r="BH14" s="317">
        <v>0</v>
      </c>
      <c r="BI14" s="317">
        <v>1</v>
      </c>
    </row>
    <row r="15" spans="1:64" x14ac:dyDescent="0.25">
      <c r="A15" s="29">
        <v>45915</v>
      </c>
      <c r="B15" s="5">
        <v>4</v>
      </c>
      <c r="C15" s="5" t="s">
        <v>192</v>
      </c>
      <c r="D15" s="7">
        <v>3</v>
      </c>
      <c r="E15" s="7">
        <v>2</v>
      </c>
      <c r="F15" s="5" t="s">
        <v>112</v>
      </c>
      <c r="H15" s="25">
        <v>38</v>
      </c>
      <c r="I15" s="26">
        <v>62</v>
      </c>
      <c r="J15" s="33">
        <v>2.46</v>
      </c>
      <c r="K15" s="34">
        <v>2.23</v>
      </c>
      <c r="L15" s="33">
        <v>1.76</v>
      </c>
      <c r="M15" s="33">
        <v>1.56</v>
      </c>
      <c r="N15" s="34">
        <v>1.53</v>
      </c>
      <c r="O15" s="34">
        <v>0.93</v>
      </c>
      <c r="P15" s="25">
        <v>4</v>
      </c>
      <c r="Q15" s="26">
        <v>2</v>
      </c>
      <c r="R15" s="25">
        <v>9</v>
      </c>
      <c r="S15" s="26">
        <v>24</v>
      </c>
      <c r="T15" s="25">
        <v>8</v>
      </c>
      <c r="U15" s="26">
        <v>0</v>
      </c>
      <c r="V15" s="25">
        <v>4</v>
      </c>
      <c r="W15" s="26">
        <v>0</v>
      </c>
      <c r="X15" s="33">
        <v>0.03</v>
      </c>
      <c r="Y15" s="34">
        <v>-0.81</v>
      </c>
      <c r="Z15" s="25">
        <v>3</v>
      </c>
      <c r="AA15" s="26">
        <v>9</v>
      </c>
      <c r="AB15" s="25">
        <v>9</v>
      </c>
      <c r="AC15" s="26">
        <v>16</v>
      </c>
      <c r="AD15" s="25">
        <v>303</v>
      </c>
      <c r="AE15" s="26">
        <v>493</v>
      </c>
      <c r="AF15" s="25">
        <v>11</v>
      </c>
      <c r="AG15" s="26">
        <v>20</v>
      </c>
      <c r="AH15" s="25">
        <v>15</v>
      </c>
      <c r="AI15" s="26">
        <v>8</v>
      </c>
      <c r="AJ15" s="25">
        <v>2</v>
      </c>
      <c r="AK15" s="26">
        <v>1</v>
      </c>
      <c r="AL15" s="25">
        <v>1</v>
      </c>
      <c r="AM15" s="26">
        <v>0</v>
      </c>
      <c r="AN15" s="25">
        <v>0.7</v>
      </c>
      <c r="AO15" s="36">
        <v>0.7</v>
      </c>
      <c r="AP15" s="42">
        <v>3</v>
      </c>
      <c r="AQ15" s="83">
        <v>0.33333333333333331</v>
      </c>
      <c r="AR15" s="25">
        <v>1</v>
      </c>
      <c r="AS15" s="25">
        <v>5</v>
      </c>
      <c r="AT15" s="25">
        <v>1</v>
      </c>
      <c r="AU15" s="25">
        <v>6</v>
      </c>
      <c r="AV15" s="86">
        <v>0.66666666666666663</v>
      </c>
      <c r="AW15" s="25">
        <v>3</v>
      </c>
      <c r="AX15" s="26">
        <v>10</v>
      </c>
      <c r="AY15" s="88">
        <v>0.41666666666666669</v>
      </c>
      <c r="AZ15" s="26">
        <v>0</v>
      </c>
      <c r="BA15" s="26">
        <v>6</v>
      </c>
      <c r="BB15" s="26">
        <v>8</v>
      </c>
      <c r="BC15" s="26">
        <v>14</v>
      </c>
      <c r="BD15" s="88">
        <v>0.58333333333333337</v>
      </c>
      <c r="BE15" s="43">
        <v>10</v>
      </c>
      <c r="BF15" s="315">
        <v>0</v>
      </c>
      <c r="BG15" s="316">
        <v>0</v>
      </c>
      <c r="BH15" s="317">
        <v>0</v>
      </c>
      <c r="BI15" s="317">
        <v>1</v>
      </c>
    </row>
    <row r="16" spans="1:64" x14ac:dyDescent="0.25">
      <c r="A16" s="29">
        <v>45924</v>
      </c>
      <c r="B16" s="5">
        <v>6</v>
      </c>
      <c r="C16" s="5" t="s">
        <v>146</v>
      </c>
      <c r="D16" s="7">
        <v>1</v>
      </c>
      <c r="E16" s="7">
        <v>0</v>
      </c>
      <c r="F16" s="5" t="s">
        <v>112</v>
      </c>
      <c r="H16" s="25">
        <v>64</v>
      </c>
      <c r="I16" s="26">
        <v>36</v>
      </c>
      <c r="J16" s="33">
        <v>2.76</v>
      </c>
      <c r="K16" s="34">
        <v>0.76</v>
      </c>
      <c r="L16" s="33">
        <v>2.76</v>
      </c>
      <c r="M16" s="33">
        <v>1.85</v>
      </c>
      <c r="N16" s="34">
        <v>0.76</v>
      </c>
      <c r="O16" s="34">
        <v>0.12</v>
      </c>
      <c r="P16" s="25">
        <v>4</v>
      </c>
      <c r="Q16" s="26">
        <v>1</v>
      </c>
      <c r="R16" s="25">
        <v>17</v>
      </c>
      <c r="S16" s="26">
        <v>7</v>
      </c>
      <c r="T16" s="25">
        <v>3</v>
      </c>
      <c r="U16" s="26">
        <v>3</v>
      </c>
      <c r="V16" s="25">
        <v>0</v>
      </c>
      <c r="W16" s="26">
        <v>2</v>
      </c>
      <c r="X16" s="33">
        <v>0.15</v>
      </c>
      <c r="Y16" s="34">
        <v>0.85</v>
      </c>
      <c r="Z16" s="25">
        <v>11</v>
      </c>
      <c r="AA16" s="26">
        <v>2</v>
      </c>
      <c r="AB16" s="25">
        <v>13</v>
      </c>
      <c r="AC16" s="26">
        <v>15</v>
      </c>
      <c r="AD16" s="25">
        <v>548</v>
      </c>
      <c r="AE16" s="26">
        <v>310</v>
      </c>
      <c r="AF16" s="25">
        <v>13</v>
      </c>
      <c r="AG16" s="26">
        <v>15</v>
      </c>
      <c r="AH16" s="25">
        <v>15</v>
      </c>
      <c r="AI16" s="26">
        <v>13</v>
      </c>
      <c r="AJ16" s="25">
        <v>2</v>
      </c>
      <c r="AK16" s="26">
        <v>2</v>
      </c>
      <c r="AL16" s="25">
        <v>0</v>
      </c>
      <c r="AM16" s="26">
        <v>0</v>
      </c>
      <c r="AN16" s="25">
        <v>0</v>
      </c>
      <c r="AO16" s="36">
        <v>0</v>
      </c>
      <c r="AP16" s="42">
        <v>4</v>
      </c>
      <c r="AQ16" s="83">
        <v>0.23529411764705882</v>
      </c>
      <c r="AR16" s="25">
        <v>0</v>
      </c>
      <c r="AS16" s="25">
        <v>10</v>
      </c>
      <c r="AT16" s="25">
        <v>3</v>
      </c>
      <c r="AU16" s="25">
        <v>12</v>
      </c>
      <c r="AV16" s="86">
        <v>0.70588235294117652</v>
      </c>
      <c r="AW16" s="25">
        <v>5</v>
      </c>
      <c r="AX16" s="26">
        <v>3</v>
      </c>
      <c r="AY16" s="88">
        <v>0.42857142857142855</v>
      </c>
      <c r="AZ16" s="26">
        <v>0</v>
      </c>
      <c r="BA16" s="26">
        <v>3</v>
      </c>
      <c r="BB16" s="26">
        <v>1</v>
      </c>
      <c r="BC16" s="26">
        <v>6</v>
      </c>
      <c r="BD16" s="88">
        <v>0.8571428571428571</v>
      </c>
      <c r="BE16" s="43">
        <v>1</v>
      </c>
      <c r="BF16" s="315">
        <v>0</v>
      </c>
      <c r="BG16" s="316">
        <v>0</v>
      </c>
      <c r="BH16" s="317">
        <v>1</v>
      </c>
      <c r="BI16" s="317">
        <v>0</v>
      </c>
    </row>
    <row r="17" spans="1:61" x14ac:dyDescent="0.25">
      <c r="A17" s="29">
        <v>45934</v>
      </c>
      <c r="B17" s="5">
        <v>8</v>
      </c>
      <c r="C17" s="5" t="s">
        <v>170</v>
      </c>
      <c r="D17" s="7">
        <v>2</v>
      </c>
      <c r="E17" s="7">
        <v>1</v>
      </c>
      <c r="F17" s="5" t="s">
        <v>112</v>
      </c>
      <c r="G17" s="5" t="s">
        <v>562</v>
      </c>
      <c r="H17" s="25">
        <v>52</v>
      </c>
      <c r="I17" s="26">
        <v>48</v>
      </c>
      <c r="J17" s="33">
        <v>2.0499999999999998</v>
      </c>
      <c r="K17" s="34">
        <v>0.32</v>
      </c>
      <c r="L17" s="33">
        <v>1.3499999999999999</v>
      </c>
      <c r="M17" s="33">
        <v>0.79</v>
      </c>
      <c r="N17" s="34">
        <v>0.32</v>
      </c>
      <c r="O17" s="34">
        <v>0.19</v>
      </c>
      <c r="P17" s="25">
        <v>2</v>
      </c>
      <c r="Q17" s="26">
        <v>1</v>
      </c>
      <c r="R17" s="25">
        <v>18</v>
      </c>
      <c r="S17" s="26">
        <v>6</v>
      </c>
      <c r="T17" s="25">
        <v>1</v>
      </c>
      <c r="U17" s="26">
        <v>3</v>
      </c>
      <c r="V17" s="25">
        <v>0</v>
      </c>
      <c r="W17" s="26">
        <v>0</v>
      </c>
      <c r="X17" s="33">
        <v>-0.83</v>
      </c>
      <c r="Y17" s="34">
        <v>-0.26</v>
      </c>
      <c r="Z17" s="25">
        <v>7</v>
      </c>
      <c r="AA17" s="26">
        <v>2</v>
      </c>
      <c r="AB17" s="25">
        <v>16</v>
      </c>
      <c r="AC17" s="26">
        <v>13</v>
      </c>
      <c r="AD17" s="25">
        <v>442</v>
      </c>
      <c r="AE17" s="26">
        <v>416</v>
      </c>
      <c r="AF17" s="25">
        <v>8</v>
      </c>
      <c r="AG17" s="26">
        <v>18</v>
      </c>
      <c r="AH17" s="25">
        <v>12</v>
      </c>
      <c r="AI17" s="26">
        <v>16</v>
      </c>
      <c r="AJ17" s="25">
        <v>4</v>
      </c>
      <c r="AK17" s="26">
        <v>6</v>
      </c>
      <c r="AL17" s="25">
        <v>0</v>
      </c>
      <c r="AM17" s="26">
        <v>1</v>
      </c>
      <c r="AN17" s="25">
        <v>0.7</v>
      </c>
      <c r="AO17" s="36">
        <v>0</v>
      </c>
      <c r="AP17" s="42">
        <v>5</v>
      </c>
      <c r="AQ17" s="83">
        <v>0.27777777777777779</v>
      </c>
      <c r="AR17" s="25">
        <v>0</v>
      </c>
      <c r="AS17" s="25">
        <v>6</v>
      </c>
      <c r="AT17" s="25">
        <v>7</v>
      </c>
      <c r="AU17" s="25">
        <v>10</v>
      </c>
      <c r="AV17" s="86">
        <v>0.55555555555555558</v>
      </c>
      <c r="AW17" s="25">
        <v>8</v>
      </c>
      <c r="AX17" s="26">
        <v>2</v>
      </c>
      <c r="AY17" s="88">
        <v>0.33333333333333331</v>
      </c>
      <c r="AZ17" s="26">
        <v>0</v>
      </c>
      <c r="BA17" s="26">
        <v>4</v>
      </c>
      <c r="BB17" s="26">
        <v>0</v>
      </c>
      <c r="BC17" s="26">
        <v>2</v>
      </c>
      <c r="BD17" s="88">
        <v>0.33333333333333331</v>
      </c>
      <c r="BE17" s="43">
        <v>4</v>
      </c>
      <c r="BF17" s="315">
        <v>0</v>
      </c>
      <c r="BG17" s="316">
        <v>0</v>
      </c>
      <c r="BH17" s="317">
        <v>0</v>
      </c>
      <c r="BI17" s="317">
        <v>0</v>
      </c>
    </row>
    <row r="18" spans="1:61" x14ac:dyDescent="0.25">
      <c r="A18" s="229">
        <v>45948</v>
      </c>
      <c r="B18" s="230">
        <v>9</v>
      </c>
      <c r="C18" s="230" t="s">
        <v>171</v>
      </c>
      <c r="D18" s="233">
        <f>AVERAGE(D10:D17)</f>
        <v>2</v>
      </c>
      <c r="E18" s="233">
        <f>AVERAGE(E10:E17)</f>
        <v>1.375</v>
      </c>
      <c r="F18" s="230" t="s">
        <v>112</v>
      </c>
      <c r="G18" s="230"/>
      <c r="H18" s="230">
        <f t="shared" ref="H18:AM18" si="2">AVERAGE(H10:H17)</f>
        <v>55</v>
      </c>
      <c r="I18" s="230">
        <f t="shared" si="2"/>
        <v>45</v>
      </c>
      <c r="J18" s="232">
        <f t="shared" si="2"/>
        <v>1.7212499999999999</v>
      </c>
      <c r="K18" s="232">
        <f t="shared" si="2"/>
        <v>1.2362499999999998</v>
      </c>
      <c r="L18" s="102">
        <f t="shared" si="2"/>
        <v>1.45875</v>
      </c>
      <c r="M18" s="102">
        <f>AVERAGE(M10:M17)</f>
        <v>1.26125</v>
      </c>
      <c r="N18" s="232">
        <f t="shared" si="2"/>
        <v>1.06125</v>
      </c>
      <c r="O18" s="232">
        <f t="shared" si="2"/>
        <v>0.89500000000000002</v>
      </c>
      <c r="P18" s="100">
        <f t="shared" si="2"/>
        <v>2.375</v>
      </c>
      <c r="Q18" s="100">
        <f t="shared" si="2"/>
        <v>2.75</v>
      </c>
      <c r="R18" s="230">
        <f t="shared" si="2"/>
        <v>13.625</v>
      </c>
      <c r="S18" s="230">
        <f t="shared" si="2"/>
        <v>11.125</v>
      </c>
      <c r="T18" s="230">
        <f t="shared" si="2"/>
        <v>3.5</v>
      </c>
      <c r="U18" s="230">
        <f t="shared" si="2"/>
        <v>2.125</v>
      </c>
      <c r="V18" s="230">
        <f t="shared" si="2"/>
        <v>0.75</v>
      </c>
      <c r="W18" s="230">
        <f t="shared" si="2"/>
        <v>0.625</v>
      </c>
      <c r="X18" s="232">
        <f t="shared" si="2"/>
        <v>-0.25500000000000006</v>
      </c>
      <c r="Y18" s="232">
        <f t="shared" si="2"/>
        <v>-0.35124999999999995</v>
      </c>
      <c r="Z18" s="230">
        <f t="shared" si="2"/>
        <v>5.25</v>
      </c>
      <c r="AA18" s="230">
        <f t="shared" si="2"/>
        <v>4</v>
      </c>
      <c r="AB18" s="230">
        <f t="shared" si="2"/>
        <v>14.75</v>
      </c>
      <c r="AC18" s="230">
        <f t="shared" si="2"/>
        <v>14.625</v>
      </c>
      <c r="AD18" s="230">
        <f t="shared" si="2"/>
        <v>452.625</v>
      </c>
      <c r="AE18" s="230">
        <f t="shared" si="2"/>
        <v>366.875</v>
      </c>
      <c r="AF18" s="230">
        <f t="shared" si="2"/>
        <v>16.5</v>
      </c>
      <c r="AG18" s="230">
        <f t="shared" si="2"/>
        <v>18.125</v>
      </c>
      <c r="AH18" s="230">
        <f t="shared" si="2"/>
        <v>14.25</v>
      </c>
      <c r="AI18" s="230">
        <f t="shared" si="2"/>
        <v>14.5</v>
      </c>
      <c r="AJ18" s="230">
        <f t="shared" si="2"/>
        <v>3.125</v>
      </c>
      <c r="AK18" s="230">
        <f t="shared" si="2"/>
        <v>2.75</v>
      </c>
      <c r="AL18" s="230">
        <f t="shared" si="2"/>
        <v>0.125</v>
      </c>
      <c r="AM18" s="230">
        <f t="shared" si="2"/>
        <v>0.125</v>
      </c>
      <c r="AN18" s="230">
        <f t="shared" ref="AN18:BI18" si="3">AVERAGE(AN10:AN17)</f>
        <v>0.26249999999999996</v>
      </c>
      <c r="AO18" s="310">
        <f t="shared" si="3"/>
        <v>0.17499999999999999</v>
      </c>
      <c r="AP18" s="311">
        <f t="shared" si="3"/>
        <v>4</v>
      </c>
      <c r="AQ18" s="105">
        <f t="shared" si="3"/>
        <v>0.30579459347841698</v>
      </c>
      <c r="AR18" s="230">
        <f t="shared" si="3"/>
        <v>0.25</v>
      </c>
      <c r="AS18" s="230">
        <f t="shared" si="3"/>
        <v>6.125</v>
      </c>
      <c r="AT18" s="230">
        <f t="shared" si="3"/>
        <v>3.5</v>
      </c>
      <c r="AU18" s="230">
        <f t="shared" si="3"/>
        <v>8.625</v>
      </c>
      <c r="AV18" s="107">
        <f t="shared" si="3"/>
        <v>0.6407551802772391</v>
      </c>
      <c r="AW18" s="230">
        <f t="shared" si="3"/>
        <v>5</v>
      </c>
      <c r="AX18" s="100">
        <f t="shared" si="3"/>
        <v>5.125</v>
      </c>
      <c r="AY18" s="107">
        <f t="shared" si="3"/>
        <v>0.46100606909430436</v>
      </c>
      <c r="AZ18" s="230">
        <f t="shared" si="3"/>
        <v>0</v>
      </c>
      <c r="BA18" s="230">
        <f t="shared" si="3"/>
        <v>3.375</v>
      </c>
      <c r="BB18" s="230">
        <f t="shared" si="3"/>
        <v>2.625</v>
      </c>
      <c r="BC18" s="230">
        <f t="shared" si="3"/>
        <v>7.5</v>
      </c>
      <c r="BD18" s="107">
        <f t="shared" si="3"/>
        <v>0.64202847805788976</v>
      </c>
      <c r="BE18" s="313">
        <f t="shared" si="3"/>
        <v>3.625</v>
      </c>
      <c r="BF18" s="318">
        <f t="shared" si="3"/>
        <v>0.125</v>
      </c>
      <c r="BG18" s="319">
        <f t="shared" si="3"/>
        <v>0.125</v>
      </c>
      <c r="BH18" s="319">
        <f t="shared" si="3"/>
        <v>0.25</v>
      </c>
      <c r="BI18" s="319">
        <f t="shared" si="3"/>
        <v>0.25</v>
      </c>
    </row>
    <row r="19" spans="1:61" x14ac:dyDescent="0.25">
      <c r="A19" s="29">
        <v>45914</v>
      </c>
      <c r="B19" s="5">
        <v>4</v>
      </c>
      <c r="C19" s="5" t="s">
        <v>113</v>
      </c>
      <c r="D19" s="7">
        <v>6</v>
      </c>
      <c r="E19" s="7">
        <v>0</v>
      </c>
      <c r="F19" s="5" t="s">
        <v>145</v>
      </c>
      <c r="H19" s="25">
        <v>72</v>
      </c>
      <c r="I19" s="26">
        <v>28</v>
      </c>
      <c r="J19" s="33">
        <v>4.0199999999999996</v>
      </c>
      <c r="K19" s="34">
        <v>0.18</v>
      </c>
      <c r="L19" s="33">
        <v>4.0199999999999996</v>
      </c>
      <c r="M19" s="33">
        <v>2.4900000000000002</v>
      </c>
      <c r="N19" s="34">
        <v>0.18</v>
      </c>
      <c r="O19" s="34">
        <v>0.28999999999999998</v>
      </c>
      <c r="P19" s="25">
        <v>6</v>
      </c>
      <c r="Q19" s="26">
        <v>0</v>
      </c>
      <c r="R19" s="25">
        <v>24</v>
      </c>
      <c r="S19" s="26">
        <v>2</v>
      </c>
      <c r="T19" s="25">
        <v>1</v>
      </c>
      <c r="U19" s="26">
        <v>5</v>
      </c>
      <c r="V19" s="25">
        <v>0</v>
      </c>
      <c r="W19" s="26">
        <v>0</v>
      </c>
      <c r="X19" s="33">
        <v>0.31</v>
      </c>
      <c r="Y19" s="34">
        <v>-3.31</v>
      </c>
      <c r="Z19" s="25">
        <v>5</v>
      </c>
      <c r="AA19" s="26">
        <v>4</v>
      </c>
      <c r="AB19" s="25">
        <v>9</v>
      </c>
      <c r="AC19" s="26">
        <v>8</v>
      </c>
      <c r="AD19" s="25">
        <v>677</v>
      </c>
      <c r="AE19" s="26">
        <v>248</v>
      </c>
      <c r="AF19" s="25">
        <v>17</v>
      </c>
      <c r="AG19" s="26">
        <v>19</v>
      </c>
      <c r="AH19" s="25">
        <v>8</v>
      </c>
      <c r="AI19" s="26">
        <v>9</v>
      </c>
      <c r="AJ19" s="25">
        <v>0</v>
      </c>
      <c r="AK19" s="26">
        <v>1</v>
      </c>
      <c r="AL19" s="25">
        <v>0</v>
      </c>
      <c r="AM19" s="26">
        <v>0</v>
      </c>
      <c r="AN19" s="25">
        <v>0</v>
      </c>
      <c r="AO19" s="36">
        <v>0</v>
      </c>
      <c r="AP19" s="42">
        <v>10</v>
      </c>
      <c r="AQ19" s="83">
        <v>0.41666666666666669</v>
      </c>
      <c r="AR19" s="25">
        <v>1</v>
      </c>
      <c r="AS19" s="25">
        <v>10</v>
      </c>
      <c r="AT19" s="25">
        <v>4</v>
      </c>
      <c r="AU19" s="25">
        <v>16</v>
      </c>
      <c r="AV19" s="86">
        <v>0.66666666666666663</v>
      </c>
      <c r="AW19" s="25">
        <v>8</v>
      </c>
      <c r="AX19" s="26">
        <v>1</v>
      </c>
      <c r="AY19" s="88">
        <v>0.5</v>
      </c>
      <c r="AZ19" s="26">
        <v>0</v>
      </c>
      <c r="BA19" s="26">
        <v>1</v>
      </c>
      <c r="BB19" s="26">
        <v>0</v>
      </c>
      <c r="BC19" s="26">
        <v>2</v>
      </c>
      <c r="BD19" s="88">
        <v>1</v>
      </c>
      <c r="BE19" s="43">
        <v>0</v>
      </c>
      <c r="BF19" s="315">
        <v>0</v>
      </c>
      <c r="BG19" s="316">
        <v>0</v>
      </c>
      <c r="BH19" s="317">
        <v>1</v>
      </c>
      <c r="BI19" s="317">
        <v>2</v>
      </c>
    </row>
    <row r="20" spans="1:61" x14ac:dyDescent="0.25">
      <c r="A20" s="29">
        <v>45921</v>
      </c>
      <c r="B20" s="5">
        <v>5</v>
      </c>
      <c r="C20" s="5" t="s">
        <v>113</v>
      </c>
      <c r="D20" s="7">
        <v>3</v>
      </c>
      <c r="E20" s="7">
        <v>0</v>
      </c>
      <c r="F20" s="5" t="s">
        <v>161</v>
      </c>
      <c r="H20" s="25">
        <v>71</v>
      </c>
      <c r="I20" s="26">
        <v>29</v>
      </c>
      <c r="J20" s="33">
        <v>1.97</v>
      </c>
      <c r="K20" s="34">
        <v>0.27</v>
      </c>
      <c r="L20" s="33">
        <v>1.97</v>
      </c>
      <c r="M20" s="33">
        <v>3.26</v>
      </c>
      <c r="N20" s="34">
        <v>0.27</v>
      </c>
      <c r="O20" s="34">
        <v>0.08</v>
      </c>
      <c r="P20" s="25">
        <v>5</v>
      </c>
      <c r="Q20" s="26">
        <v>0</v>
      </c>
      <c r="R20" s="25">
        <v>16</v>
      </c>
      <c r="S20" s="26">
        <v>3</v>
      </c>
      <c r="T20" s="25">
        <v>2</v>
      </c>
      <c r="U20" s="26">
        <v>4</v>
      </c>
      <c r="V20" s="25">
        <v>0</v>
      </c>
      <c r="W20" s="26">
        <v>0</v>
      </c>
      <c r="X20" s="33">
        <v>0.14000000000000001</v>
      </c>
      <c r="Y20" s="34">
        <v>0.31</v>
      </c>
      <c r="Z20" s="25">
        <v>3</v>
      </c>
      <c r="AA20" s="26">
        <v>2</v>
      </c>
      <c r="AB20" s="25">
        <v>9</v>
      </c>
      <c r="AC20" s="26">
        <v>16</v>
      </c>
      <c r="AD20" s="25">
        <v>738</v>
      </c>
      <c r="AE20" s="26">
        <v>300</v>
      </c>
      <c r="AF20" s="25">
        <v>12</v>
      </c>
      <c r="AG20" s="26">
        <v>22</v>
      </c>
      <c r="AH20" s="25">
        <v>16</v>
      </c>
      <c r="AI20" s="26">
        <v>9</v>
      </c>
      <c r="AJ20" s="25">
        <v>2</v>
      </c>
      <c r="AK20" s="26">
        <v>4</v>
      </c>
      <c r="AL20" s="25">
        <v>0</v>
      </c>
      <c r="AM20" s="26">
        <v>0</v>
      </c>
      <c r="AN20" s="25">
        <v>0</v>
      </c>
      <c r="AO20" s="36">
        <v>0</v>
      </c>
      <c r="AP20" s="42">
        <v>7</v>
      </c>
      <c r="AQ20" s="83">
        <v>0.4375</v>
      </c>
      <c r="AR20" s="25">
        <v>1</v>
      </c>
      <c r="AS20" s="25">
        <v>7</v>
      </c>
      <c r="AT20" s="25">
        <v>2</v>
      </c>
      <c r="AU20" s="25">
        <v>10</v>
      </c>
      <c r="AV20" s="86">
        <v>0.625</v>
      </c>
      <c r="AW20" s="25">
        <v>6</v>
      </c>
      <c r="AX20" s="26">
        <v>2</v>
      </c>
      <c r="AY20" s="88">
        <v>0.66666666666666663</v>
      </c>
      <c r="AZ20" s="26">
        <v>0</v>
      </c>
      <c r="BA20" s="26">
        <v>1</v>
      </c>
      <c r="BB20" s="26">
        <v>0</v>
      </c>
      <c r="BC20" s="26">
        <v>3</v>
      </c>
      <c r="BD20" s="88">
        <v>1</v>
      </c>
      <c r="BE20" s="43">
        <v>0</v>
      </c>
      <c r="BF20" s="315">
        <v>0</v>
      </c>
      <c r="BG20" s="316">
        <v>0</v>
      </c>
      <c r="BH20" s="317">
        <v>0</v>
      </c>
      <c r="BI20" s="317">
        <v>0</v>
      </c>
    </row>
    <row r="21" spans="1:61" x14ac:dyDescent="0.25">
      <c r="A21" s="29">
        <v>45928</v>
      </c>
      <c r="B21" s="5">
        <v>7</v>
      </c>
      <c r="C21" s="5" t="s">
        <v>113</v>
      </c>
      <c r="D21" s="7">
        <v>2</v>
      </c>
      <c r="E21" s="7">
        <v>1</v>
      </c>
      <c r="F21" s="5" t="s">
        <v>146</v>
      </c>
      <c r="H21" s="25">
        <v>75</v>
      </c>
      <c r="I21" s="26">
        <v>25</v>
      </c>
      <c r="J21" s="33">
        <v>2.21</v>
      </c>
      <c r="K21" s="34">
        <v>0.97</v>
      </c>
      <c r="L21" s="33">
        <v>2.21</v>
      </c>
      <c r="M21" s="33">
        <v>1.26</v>
      </c>
      <c r="N21" s="34">
        <v>0.97</v>
      </c>
      <c r="O21" s="34">
        <v>0.9</v>
      </c>
      <c r="P21" s="25">
        <v>4</v>
      </c>
      <c r="Q21" s="26">
        <v>2</v>
      </c>
      <c r="R21" s="25">
        <v>22</v>
      </c>
      <c r="S21" s="26">
        <v>7</v>
      </c>
      <c r="T21" s="25">
        <v>1</v>
      </c>
      <c r="U21" s="26">
        <v>8</v>
      </c>
      <c r="V21" s="25">
        <v>0</v>
      </c>
      <c r="W21" s="26">
        <v>3</v>
      </c>
      <c r="X21" s="33">
        <v>-0.05</v>
      </c>
      <c r="Y21" s="34">
        <v>-0.41</v>
      </c>
      <c r="Z21" s="25">
        <v>12</v>
      </c>
      <c r="AA21" s="26">
        <v>1</v>
      </c>
      <c r="AB21" s="25">
        <v>6</v>
      </c>
      <c r="AC21" s="26">
        <v>12</v>
      </c>
      <c r="AD21" s="25">
        <v>745</v>
      </c>
      <c r="AE21" s="26">
        <v>250</v>
      </c>
      <c r="AF21" s="25">
        <v>12</v>
      </c>
      <c r="AG21" s="26">
        <v>26</v>
      </c>
      <c r="AH21" s="25">
        <v>12</v>
      </c>
      <c r="AI21" s="26">
        <v>6</v>
      </c>
      <c r="AJ21" s="25">
        <v>1</v>
      </c>
      <c r="AK21" s="26">
        <v>2</v>
      </c>
      <c r="AL21" s="25">
        <v>0</v>
      </c>
      <c r="AM21" s="26">
        <v>0</v>
      </c>
      <c r="AN21" s="25">
        <v>0</v>
      </c>
      <c r="AO21" s="36">
        <v>0</v>
      </c>
      <c r="AP21" s="42">
        <v>12</v>
      </c>
      <c r="AQ21" s="83">
        <v>0.54545454545454541</v>
      </c>
      <c r="AR21" s="25">
        <v>1</v>
      </c>
      <c r="AS21" s="25">
        <v>5</v>
      </c>
      <c r="AT21" s="25">
        <v>5</v>
      </c>
      <c r="AU21" s="25">
        <v>14</v>
      </c>
      <c r="AV21" s="86">
        <v>0.63636363636363635</v>
      </c>
      <c r="AW21" s="25">
        <v>8</v>
      </c>
      <c r="AX21" s="26">
        <v>2</v>
      </c>
      <c r="AY21" s="88">
        <v>0.2857142857142857</v>
      </c>
      <c r="AZ21" s="26">
        <v>1</v>
      </c>
      <c r="BA21" s="26">
        <v>3</v>
      </c>
      <c r="BB21" s="26">
        <v>2</v>
      </c>
      <c r="BC21" s="26">
        <v>5</v>
      </c>
      <c r="BD21" s="88">
        <v>0.7142857142857143</v>
      </c>
      <c r="BE21" s="43">
        <v>2</v>
      </c>
      <c r="BF21" s="315">
        <v>1</v>
      </c>
      <c r="BG21" s="316">
        <v>0</v>
      </c>
      <c r="BH21" s="317">
        <v>0</v>
      </c>
      <c r="BI21" s="317">
        <v>0</v>
      </c>
    </row>
    <row r="22" spans="1:61" x14ac:dyDescent="0.25">
      <c r="A22" s="29">
        <v>45893</v>
      </c>
      <c r="B22" s="5">
        <v>2</v>
      </c>
      <c r="C22" s="5" t="s">
        <v>91</v>
      </c>
      <c r="D22" s="7">
        <v>5</v>
      </c>
      <c r="E22" s="7">
        <v>0</v>
      </c>
      <c r="F22" s="5" t="s">
        <v>69</v>
      </c>
      <c r="H22" s="25">
        <v>53</v>
      </c>
      <c r="I22" s="26">
        <v>47</v>
      </c>
      <c r="J22" s="33">
        <v>2.2999999999999998</v>
      </c>
      <c r="K22" s="34">
        <v>0.14000000000000001</v>
      </c>
      <c r="L22" s="33">
        <v>2.2999999999999998</v>
      </c>
      <c r="M22" s="33">
        <v>1.88</v>
      </c>
      <c r="N22" s="34">
        <v>0.14000000000000001</v>
      </c>
      <c r="O22" s="34">
        <v>0</v>
      </c>
      <c r="P22" s="25">
        <v>4</v>
      </c>
      <c r="Q22" s="26">
        <v>0</v>
      </c>
      <c r="R22" s="25">
        <v>19</v>
      </c>
      <c r="S22" s="26">
        <v>5</v>
      </c>
      <c r="T22" s="25">
        <v>2</v>
      </c>
      <c r="U22" s="26">
        <v>2</v>
      </c>
      <c r="V22" s="25">
        <v>0</v>
      </c>
      <c r="W22" s="26">
        <v>0</v>
      </c>
      <c r="X22" s="33">
        <v>0.05</v>
      </c>
      <c r="Y22" s="34">
        <v>-3.08</v>
      </c>
      <c r="Z22" s="25">
        <v>8</v>
      </c>
      <c r="AA22" s="26">
        <v>1</v>
      </c>
      <c r="AB22" s="25">
        <v>8</v>
      </c>
      <c r="AC22" s="26">
        <v>9</v>
      </c>
      <c r="AD22" s="25">
        <v>517</v>
      </c>
      <c r="AE22" s="26">
        <v>470</v>
      </c>
      <c r="AF22" s="25">
        <v>22</v>
      </c>
      <c r="AG22" s="26">
        <v>18</v>
      </c>
      <c r="AH22" s="25">
        <v>9</v>
      </c>
      <c r="AI22" s="26">
        <v>8</v>
      </c>
      <c r="AJ22" s="25">
        <v>1</v>
      </c>
      <c r="AK22" s="26">
        <v>2</v>
      </c>
      <c r="AL22" s="25">
        <v>0</v>
      </c>
      <c r="AM22" s="26">
        <v>0</v>
      </c>
      <c r="AN22" s="25">
        <v>0</v>
      </c>
      <c r="AO22" s="36">
        <v>0</v>
      </c>
      <c r="AP22" s="42">
        <v>7</v>
      </c>
      <c r="AQ22" s="83">
        <v>0.36842105263157893</v>
      </c>
      <c r="AR22" s="25">
        <v>0</v>
      </c>
      <c r="AS22" s="25">
        <v>7</v>
      </c>
      <c r="AT22" s="25">
        <v>5</v>
      </c>
      <c r="AU22" s="25">
        <v>13</v>
      </c>
      <c r="AV22" s="86">
        <v>0.68421052631578949</v>
      </c>
      <c r="AW22" s="25">
        <v>6</v>
      </c>
      <c r="AX22" s="26">
        <v>2</v>
      </c>
      <c r="AY22" s="88">
        <v>0.4</v>
      </c>
      <c r="AZ22" s="26">
        <v>0</v>
      </c>
      <c r="BA22" s="26">
        <v>1</v>
      </c>
      <c r="BB22" s="26">
        <v>2</v>
      </c>
      <c r="BC22" s="26">
        <v>3</v>
      </c>
      <c r="BD22" s="88">
        <v>0.6</v>
      </c>
      <c r="BE22" s="43">
        <v>2</v>
      </c>
      <c r="BF22" s="315">
        <v>0</v>
      </c>
      <c r="BG22" s="316">
        <v>0</v>
      </c>
      <c r="BH22" s="317">
        <v>0</v>
      </c>
      <c r="BI22" s="317">
        <v>1</v>
      </c>
    </row>
    <row r="23" spans="1:61" x14ac:dyDescent="0.25">
      <c r="A23" s="29">
        <v>45914</v>
      </c>
      <c r="B23" s="5">
        <v>4</v>
      </c>
      <c r="C23" s="5" t="s">
        <v>456</v>
      </c>
      <c r="D23" s="7">
        <v>1</v>
      </c>
      <c r="E23" s="7">
        <v>1</v>
      </c>
      <c r="F23" s="5" t="s">
        <v>69</v>
      </c>
      <c r="H23" s="25">
        <v>60</v>
      </c>
      <c r="I23" s="26">
        <v>40</v>
      </c>
      <c r="J23" s="33">
        <v>2.5</v>
      </c>
      <c r="K23" s="34">
        <v>0.64</v>
      </c>
      <c r="L23" s="33">
        <v>1.8</v>
      </c>
      <c r="M23" s="33">
        <v>1.86</v>
      </c>
      <c r="N23" s="34">
        <v>0.64</v>
      </c>
      <c r="O23" s="34">
        <v>1.06</v>
      </c>
      <c r="P23" s="25">
        <v>2</v>
      </c>
      <c r="Q23" s="26">
        <v>2</v>
      </c>
      <c r="R23" s="25">
        <v>21</v>
      </c>
      <c r="S23" s="26">
        <v>13</v>
      </c>
      <c r="T23" s="25">
        <v>7</v>
      </c>
      <c r="U23" s="26">
        <v>6</v>
      </c>
      <c r="V23" s="25">
        <v>1</v>
      </c>
      <c r="W23" s="26">
        <v>2</v>
      </c>
      <c r="X23" s="33">
        <v>0.24</v>
      </c>
      <c r="Y23" s="34">
        <v>1.75</v>
      </c>
      <c r="Z23" s="25">
        <v>10</v>
      </c>
      <c r="AA23" s="26">
        <v>3</v>
      </c>
      <c r="AB23" s="25">
        <v>7</v>
      </c>
      <c r="AC23" s="26">
        <v>9</v>
      </c>
      <c r="AD23" s="25">
        <v>630</v>
      </c>
      <c r="AE23" s="26">
        <v>439</v>
      </c>
      <c r="AF23" s="25">
        <v>15</v>
      </c>
      <c r="AG23" s="26">
        <v>16</v>
      </c>
      <c r="AH23" s="25">
        <v>8</v>
      </c>
      <c r="AI23" s="26">
        <v>7</v>
      </c>
      <c r="AJ23" s="25">
        <v>0</v>
      </c>
      <c r="AK23" s="26">
        <v>3</v>
      </c>
      <c r="AL23" s="25">
        <v>0</v>
      </c>
      <c r="AM23" s="26">
        <v>0</v>
      </c>
      <c r="AN23" s="25">
        <v>0.7</v>
      </c>
      <c r="AO23" s="36">
        <v>0</v>
      </c>
      <c r="AP23" s="42">
        <v>7</v>
      </c>
      <c r="AQ23" s="83">
        <v>0.33333333333333331</v>
      </c>
      <c r="AR23" s="25">
        <v>0</v>
      </c>
      <c r="AS23" s="25">
        <v>9</v>
      </c>
      <c r="AT23" s="25">
        <v>5</v>
      </c>
      <c r="AU23" s="25">
        <v>14</v>
      </c>
      <c r="AV23" s="86">
        <v>0.66666666666666663</v>
      </c>
      <c r="AW23" s="25">
        <v>7</v>
      </c>
      <c r="AX23" s="26">
        <v>8</v>
      </c>
      <c r="AY23" s="88">
        <v>0.61538461538461542</v>
      </c>
      <c r="AZ23" s="26">
        <v>0</v>
      </c>
      <c r="BA23" s="26">
        <v>2</v>
      </c>
      <c r="BB23" s="26">
        <v>3</v>
      </c>
      <c r="BC23" s="26">
        <v>10</v>
      </c>
      <c r="BD23" s="88">
        <v>0.76923076923076927</v>
      </c>
      <c r="BE23" s="43">
        <v>3</v>
      </c>
      <c r="BF23" s="315">
        <v>0</v>
      </c>
      <c r="BG23" s="316">
        <v>0</v>
      </c>
      <c r="BH23" s="317">
        <v>0</v>
      </c>
      <c r="BI23" s="317">
        <v>0</v>
      </c>
    </row>
    <row r="24" spans="1:61" x14ac:dyDescent="0.25">
      <c r="A24" s="29">
        <v>45923</v>
      </c>
      <c r="B24" s="5">
        <v>6</v>
      </c>
      <c r="C24" s="5" t="s">
        <v>170</v>
      </c>
      <c r="D24" s="7">
        <v>1</v>
      </c>
      <c r="E24" s="7">
        <v>1</v>
      </c>
      <c r="F24" s="5" t="s">
        <v>69</v>
      </c>
      <c r="H24" s="25">
        <v>67</v>
      </c>
      <c r="I24" s="26">
        <v>33</v>
      </c>
      <c r="J24" s="33">
        <v>1.46</v>
      </c>
      <c r="K24" s="34">
        <v>0.78</v>
      </c>
      <c r="L24" s="33">
        <v>1.46</v>
      </c>
      <c r="M24" s="33">
        <v>1.41</v>
      </c>
      <c r="N24" s="34">
        <v>0.78</v>
      </c>
      <c r="O24" s="34">
        <v>1.1499999999999999</v>
      </c>
      <c r="P24" s="25">
        <v>4</v>
      </c>
      <c r="Q24" s="26">
        <v>2</v>
      </c>
      <c r="R24" s="25">
        <v>17</v>
      </c>
      <c r="S24" s="26">
        <v>6</v>
      </c>
      <c r="T24" s="25">
        <v>2</v>
      </c>
      <c r="U24" s="26">
        <v>4</v>
      </c>
      <c r="V24" s="25">
        <v>0</v>
      </c>
      <c r="W24" s="26">
        <v>1</v>
      </c>
      <c r="X24" s="33">
        <v>0.19</v>
      </c>
      <c r="Y24" s="34">
        <v>0.44</v>
      </c>
      <c r="Z24" s="25">
        <v>8</v>
      </c>
      <c r="AA24" s="26">
        <v>1</v>
      </c>
      <c r="AB24" s="25">
        <v>19</v>
      </c>
      <c r="AC24" s="26">
        <v>15</v>
      </c>
      <c r="AD24" s="25">
        <v>600</v>
      </c>
      <c r="AE24" s="26">
        <v>305</v>
      </c>
      <c r="AF24" s="25">
        <v>18</v>
      </c>
      <c r="AG24" s="26">
        <v>10</v>
      </c>
      <c r="AH24" s="25">
        <v>15</v>
      </c>
      <c r="AI24" s="26">
        <v>19</v>
      </c>
      <c r="AJ24" s="25">
        <v>0</v>
      </c>
      <c r="AK24" s="26">
        <v>2</v>
      </c>
      <c r="AL24" s="25">
        <v>0</v>
      </c>
      <c r="AM24" s="26">
        <v>0</v>
      </c>
      <c r="AN24" s="25">
        <v>0</v>
      </c>
      <c r="AO24" s="36">
        <v>0</v>
      </c>
      <c r="AP24" s="42">
        <v>5</v>
      </c>
      <c r="AQ24" s="83">
        <v>0.29411764705882354</v>
      </c>
      <c r="AR24" s="25">
        <v>0</v>
      </c>
      <c r="AS24" s="25">
        <v>7</v>
      </c>
      <c r="AT24" s="25">
        <v>5</v>
      </c>
      <c r="AU24" s="25">
        <v>14</v>
      </c>
      <c r="AV24" s="86">
        <v>0.82352941176470584</v>
      </c>
      <c r="AW24" s="25">
        <v>3</v>
      </c>
      <c r="AX24" s="26">
        <v>3</v>
      </c>
      <c r="AY24" s="88">
        <v>0.5</v>
      </c>
      <c r="AZ24" s="26">
        <v>0</v>
      </c>
      <c r="BA24" s="26">
        <v>2</v>
      </c>
      <c r="BB24" s="26">
        <v>1</v>
      </c>
      <c r="BC24" s="26">
        <v>4</v>
      </c>
      <c r="BD24" s="88">
        <v>0.66666666666666663</v>
      </c>
      <c r="BE24" s="43">
        <v>2</v>
      </c>
      <c r="BF24" s="315">
        <v>1</v>
      </c>
      <c r="BG24" s="316">
        <v>0</v>
      </c>
      <c r="BH24" s="317">
        <v>1</v>
      </c>
      <c r="BI24" s="317">
        <v>1</v>
      </c>
    </row>
    <row r="25" spans="1:61" x14ac:dyDescent="0.25">
      <c r="A25" s="229">
        <v>45948</v>
      </c>
      <c r="B25" s="230">
        <v>9</v>
      </c>
      <c r="C25" s="230" t="s">
        <v>113</v>
      </c>
      <c r="D25" s="233">
        <f>AVERAGE(D19:D24)</f>
        <v>3</v>
      </c>
      <c r="E25" s="233">
        <f>AVERAGE(E19:E24)</f>
        <v>0.5</v>
      </c>
      <c r="F25" s="230" t="s">
        <v>69</v>
      </c>
      <c r="G25" s="230"/>
      <c r="H25" s="230">
        <f t="shared" ref="H25:AM25" si="4">AVERAGE(H19:H24)</f>
        <v>66.333333333333329</v>
      </c>
      <c r="I25" s="230">
        <f t="shared" si="4"/>
        <v>33.666666666666664</v>
      </c>
      <c r="J25" s="232">
        <f t="shared" si="4"/>
        <v>2.41</v>
      </c>
      <c r="K25" s="232">
        <f t="shared" si="4"/>
        <v>0.49666666666666676</v>
      </c>
      <c r="L25" s="102">
        <f t="shared" si="4"/>
        <v>2.2933333333333334</v>
      </c>
      <c r="M25" s="102">
        <f>AVERAGE(M19:M24)</f>
        <v>2.0266666666666668</v>
      </c>
      <c r="N25" s="232">
        <f t="shared" si="4"/>
        <v>0.49666666666666676</v>
      </c>
      <c r="O25" s="232">
        <f t="shared" si="4"/>
        <v>0.57999999999999996</v>
      </c>
      <c r="P25" s="100">
        <f t="shared" si="4"/>
        <v>4.166666666666667</v>
      </c>
      <c r="Q25" s="230">
        <f t="shared" si="4"/>
        <v>1</v>
      </c>
      <c r="R25" s="230">
        <f t="shared" si="4"/>
        <v>19.833333333333332</v>
      </c>
      <c r="S25" s="230">
        <f t="shared" si="4"/>
        <v>6</v>
      </c>
      <c r="T25" s="230">
        <f t="shared" si="4"/>
        <v>2.5</v>
      </c>
      <c r="U25" s="230">
        <f t="shared" si="4"/>
        <v>4.833333333333333</v>
      </c>
      <c r="V25" s="230">
        <f t="shared" si="4"/>
        <v>0.16666666666666666</v>
      </c>
      <c r="W25" s="230">
        <f t="shared" si="4"/>
        <v>1</v>
      </c>
      <c r="X25" s="232">
        <f t="shared" si="4"/>
        <v>0.14666666666666664</v>
      </c>
      <c r="Y25" s="232">
        <f t="shared" si="4"/>
        <v>-0.71666666666666667</v>
      </c>
      <c r="Z25" s="230">
        <f t="shared" si="4"/>
        <v>7.666666666666667</v>
      </c>
      <c r="AA25" s="230">
        <f t="shared" si="4"/>
        <v>2</v>
      </c>
      <c r="AB25" s="230">
        <f t="shared" si="4"/>
        <v>9.6666666666666661</v>
      </c>
      <c r="AC25" s="230">
        <f t="shared" si="4"/>
        <v>11.5</v>
      </c>
      <c r="AD25" s="230">
        <f t="shared" si="4"/>
        <v>651.16666666666663</v>
      </c>
      <c r="AE25" s="230">
        <f t="shared" si="4"/>
        <v>335.33333333333331</v>
      </c>
      <c r="AF25" s="230">
        <f t="shared" si="4"/>
        <v>16</v>
      </c>
      <c r="AG25" s="230">
        <f t="shared" si="4"/>
        <v>18.5</v>
      </c>
      <c r="AH25" s="230">
        <f t="shared" si="4"/>
        <v>11.333333333333334</v>
      </c>
      <c r="AI25" s="230">
        <f t="shared" si="4"/>
        <v>9.6666666666666661</v>
      </c>
      <c r="AJ25" s="230">
        <f t="shared" si="4"/>
        <v>0.66666666666666663</v>
      </c>
      <c r="AK25" s="230">
        <f t="shared" si="4"/>
        <v>2.3333333333333335</v>
      </c>
      <c r="AL25" s="230">
        <f t="shared" si="4"/>
        <v>0</v>
      </c>
      <c r="AM25" s="230">
        <f t="shared" si="4"/>
        <v>0</v>
      </c>
      <c r="AN25" s="230">
        <f t="shared" ref="AN25:BI25" si="5">AVERAGE(AN19:AN24)</f>
        <v>0.11666666666666665</v>
      </c>
      <c r="AO25" s="310">
        <f t="shared" si="5"/>
        <v>0</v>
      </c>
      <c r="AP25" s="104">
        <f t="shared" si="5"/>
        <v>8</v>
      </c>
      <c r="AQ25" s="105">
        <f t="shared" si="5"/>
        <v>0.39924887419082467</v>
      </c>
      <c r="AR25" s="230">
        <f t="shared" si="5"/>
        <v>0.5</v>
      </c>
      <c r="AS25" s="230">
        <f t="shared" si="5"/>
        <v>7.5</v>
      </c>
      <c r="AT25" s="230">
        <f t="shared" si="5"/>
        <v>4.333333333333333</v>
      </c>
      <c r="AU25" s="230">
        <f t="shared" si="5"/>
        <v>13.5</v>
      </c>
      <c r="AV25" s="107">
        <f t="shared" si="5"/>
        <v>0.68373948462957745</v>
      </c>
      <c r="AW25" s="230">
        <f t="shared" si="5"/>
        <v>6.333333333333333</v>
      </c>
      <c r="AX25" s="100">
        <f t="shared" si="5"/>
        <v>3</v>
      </c>
      <c r="AY25" s="107">
        <f t="shared" si="5"/>
        <v>0.49462759462759459</v>
      </c>
      <c r="AZ25" s="230">
        <f t="shared" si="5"/>
        <v>0.16666666666666666</v>
      </c>
      <c r="BA25" s="230">
        <f t="shared" si="5"/>
        <v>1.6666666666666667</v>
      </c>
      <c r="BB25" s="230">
        <f t="shared" si="5"/>
        <v>1.3333333333333333</v>
      </c>
      <c r="BC25" s="230">
        <f t="shared" si="5"/>
        <v>4.5</v>
      </c>
      <c r="BD25" s="107">
        <f t="shared" si="5"/>
        <v>0.79169719169719188</v>
      </c>
      <c r="BE25" s="313">
        <f t="shared" si="5"/>
        <v>1.5</v>
      </c>
      <c r="BF25" s="318">
        <f t="shared" si="5"/>
        <v>0.33333333333333331</v>
      </c>
      <c r="BG25" s="319">
        <f t="shared" si="5"/>
        <v>0</v>
      </c>
      <c r="BH25" s="319">
        <f t="shared" si="5"/>
        <v>0.33333333333333331</v>
      </c>
      <c r="BI25" s="319">
        <f t="shared" si="5"/>
        <v>0.66666666666666663</v>
      </c>
    </row>
    <row r="26" spans="1:61" x14ac:dyDescent="0.25">
      <c r="A26" s="29">
        <v>45884</v>
      </c>
      <c r="B26" s="5">
        <v>1</v>
      </c>
      <c r="C26" s="5" t="s">
        <v>91</v>
      </c>
      <c r="D26" s="7">
        <v>2</v>
      </c>
      <c r="E26" s="7">
        <v>0</v>
      </c>
      <c r="F26" s="5" t="s">
        <v>92</v>
      </c>
      <c r="G26" s="5" t="s">
        <v>535</v>
      </c>
      <c r="H26" s="25">
        <v>68</v>
      </c>
      <c r="I26" s="26">
        <v>32</v>
      </c>
      <c r="J26" s="33">
        <v>2.44</v>
      </c>
      <c r="K26" s="34">
        <v>0.93</v>
      </c>
      <c r="L26" s="33">
        <v>2.44</v>
      </c>
      <c r="M26" s="33">
        <v>2.11</v>
      </c>
      <c r="N26" s="34">
        <v>0.23000000000000009</v>
      </c>
      <c r="O26" s="34">
        <v>0.26</v>
      </c>
      <c r="P26" s="25">
        <v>3</v>
      </c>
      <c r="Q26" s="26">
        <v>1</v>
      </c>
      <c r="R26" s="25">
        <v>25</v>
      </c>
      <c r="S26" s="26">
        <v>5</v>
      </c>
      <c r="T26" s="25">
        <v>4</v>
      </c>
      <c r="U26" s="26">
        <v>8</v>
      </c>
      <c r="V26" s="25">
        <v>1</v>
      </c>
      <c r="W26" s="26">
        <v>2</v>
      </c>
      <c r="X26" s="33">
        <v>1.0900000000000001</v>
      </c>
      <c r="Z26" s="25">
        <v>10</v>
      </c>
      <c r="AA26" s="26">
        <v>1</v>
      </c>
      <c r="AB26" s="25">
        <v>10</v>
      </c>
      <c r="AC26" s="26">
        <v>8</v>
      </c>
      <c r="AD26" s="25">
        <v>668</v>
      </c>
      <c r="AE26" s="26">
        <v>326</v>
      </c>
      <c r="AF26" s="25">
        <v>11</v>
      </c>
      <c r="AG26" s="26">
        <v>11</v>
      </c>
      <c r="AH26" s="25">
        <v>8</v>
      </c>
      <c r="AI26" s="26">
        <v>9</v>
      </c>
      <c r="AJ26" s="25">
        <v>1</v>
      </c>
      <c r="AK26" s="26">
        <v>2</v>
      </c>
      <c r="AL26" s="25">
        <v>0</v>
      </c>
      <c r="AM26" s="26">
        <v>1</v>
      </c>
      <c r="AN26" s="25">
        <v>0</v>
      </c>
      <c r="AO26" s="36">
        <v>0.7</v>
      </c>
      <c r="AP26" s="42">
        <v>10</v>
      </c>
      <c r="AQ26" s="83">
        <v>0.4</v>
      </c>
      <c r="AR26" s="25">
        <v>0</v>
      </c>
      <c r="AS26" s="25">
        <v>11</v>
      </c>
      <c r="AT26" s="25">
        <v>4</v>
      </c>
      <c r="AU26" s="25">
        <v>17</v>
      </c>
      <c r="AV26" s="86">
        <v>0.68</v>
      </c>
      <c r="AW26" s="25">
        <v>8</v>
      </c>
      <c r="AX26" s="26">
        <v>4</v>
      </c>
      <c r="AY26" s="88">
        <v>0.8</v>
      </c>
      <c r="AZ26" s="26">
        <v>0</v>
      </c>
      <c r="BA26" s="26">
        <v>1</v>
      </c>
      <c r="BB26" s="26">
        <v>0</v>
      </c>
      <c r="BC26" s="26">
        <v>3</v>
      </c>
      <c r="BD26" s="88">
        <v>0.6</v>
      </c>
      <c r="BE26" s="43">
        <v>2</v>
      </c>
      <c r="BF26" s="315">
        <v>1</v>
      </c>
      <c r="BG26" s="316">
        <v>0</v>
      </c>
      <c r="BH26" s="317">
        <v>2</v>
      </c>
      <c r="BI26" s="317">
        <v>0</v>
      </c>
    </row>
    <row r="27" spans="1:61" x14ac:dyDescent="0.25">
      <c r="A27" s="29">
        <v>45893</v>
      </c>
      <c r="B27" s="5">
        <v>2</v>
      </c>
      <c r="C27" s="5" t="s">
        <v>91</v>
      </c>
      <c r="D27" s="7">
        <v>5</v>
      </c>
      <c r="E27" s="7">
        <v>0</v>
      </c>
      <c r="F27" s="5" t="s">
        <v>69</v>
      </c>
      <c r="H27" s="25">
        <v>53</v>
      </c>
      <c r="I27" s="26">
        <v>47</v>
      </c>
      <c r="J27" s="33">
        <v>2.2999999999999998</v>
      </c>
      <c r="K27" s="34">
        <v>0.14000000000000001</v>
      </c>
      <c r="L27" s="33">
        <v>2.2999999999999998</v>
      </c>
      <c r="M27" s="33">
        <v>1.88</v>
      </c>
      <c r="N27" s="34">
        <v>0.14000000000000001</v>
      </c>
      <c r="O27" s="34">
        <v>0</v>
      </c>
      <c r="P27" s="25">
        <v>4</v>
      </c>
      <c r="Q27" s="26">
        <v>0</v>
      </c>
      <c r="R27" s="25">
        <v>19</v>
      </c>
      <c r="S27" s="26">
        <v>5</v>
      </c>
      <c r="T27" s="25">
        <v>2</v>
      </c>
      <c r="U27" s="26">
        <v>2</v>
      </c>
      <c r="V27" s="25">
        <v>0</v>
      </c>
      <c r="W27" s="26">
        <v>0</v>
      </c>
      <c r="X27" s="33">
        <v>0.05</v>
      </c>
      <c r="Z27" s="25">
        <v>8</v>
      </c>
      <c r="AA27" s="26">
        <v>1</v>
      </c>
      <c r="AB27" s="25">
        <v>8</v>
      </c>
      <c r="AC27" s="26">
        <v>9</v>
      </c>
      <c r="AD27" s="25">
        <v>517</v>
      </c>
      <c r="AE27" s="26">
        <v>470</v>
      </c>
      <c r="AF27" s="25">
        <v>22</v>
      </c>
      <c r="AG27" s="26">
        <v>18</v>
      </c>
      <c r="AH27" s="25">
        <v>9</v>
      </c>
      <c r="AI27" s="26">
        <v>8</v>
      </c>
      <c r="AJ27" s="25">
        <v>1</v>
      </c>
      <c r="AK27" s="26">
        <v>2</v>
      </c>
      <c r="AL27" s="25">
        <v>0</v>
      </c>
      <c r="AM27" s="26">
        <v>0</v>
      </c>
      <c r="AN27" s="25">
        <v>0</v>
      </c>
      <c r="AO27" s="36">
        <v>0</v>
      </c>
      <c r="AP27" s="42">
        <v>7</v>
      </c>
      <c r="AQ27" s="83">
        <v>0.36842105263157893</v>
      </c>
      <c r="AR27" s="25">
        <v>0</v>
      </c>
      <c r="AS27" s="25">
        <v>7</v>
      </c>
      <c r="AT27" s="25">
        <v>5</v>
      </c>
      <c r="AU27" s="25">
        <v>13</v>
      </c>
      <c r="AV27" s="86">
        <v>0.68421052631578949</v>
      </c>
      <c r="AW27" s="25">
        <v>6</v>
      </c>
      <c r="AX27" s="26">
        <v>2</v>
      </c>
      <c r="AY27" s="88">
        <v>0.4</v>
      </c>
      <c r="AZ27" s="26">
        <v>0</v>
      </c>
      <c r="BA27" s="26">
        <v>1</v>
      </c>
      <c r="BB27" s="26">
        <v>2</v>
      </c>
      <c r="BC27" s="26">
        <v>3</v>
      </c>
      <c r="BD27" s="88">
        <v>0.6</v>
      </c>
      <c r="BE27" s="43">
        <v>2</v>
      </c>
      <c r="BF27" s="315">
        <v>0</v>
      </c>
      <c r="BG27" s="316">
        <v>0</v>
      </c>
      <c r="BH27" s="317">
        <v>0</v>
      </c>
      <c r="BI27" s="317">
        <v>1</v>
      </c>
    </row>
    <row r="28" spans="1:61" x14ac:dyDescent="0.25">
      <c r="A28" s="29">
        <v>45920</v>
      </c>
      <c r="B28" s="5">
        <v>5</v>
      </c>
      <c r="C28" s="5" t="s">
        <v>91</v>
      </c>
      <c r="D28" s="7">
        <v>2</v>
      </c>
      <c r="E28" s="7">
        <v>1</v>
      </c>
      <c r="F28" s="5" t="s">
        <v>227</v>
      </c>
      <c r="G28" s="5" t="s">
        <v>451</v>
      </c>
      <c r="H28" s="25">
        <v>66</v>
      </c>
      <c r="I28" s="26">
        <v>34</v>
      </c>
      <c r="J28" s="33">
        <v>2.5499999999999998</v>
      </c>
      <c r="K28" s="34">
        <v>1.8</v>
      </c>
      <c r="L28" s="33">
        <v>2.5499999999999998</v>
      </c>
      <c r="M28" s="33">
        <v>3.31</v>
      </c>
      <c r="N28" s="34">
        <v>1.1000000000000001</v>
      </c>
      <c r="O28" s="34">
        <v>1.05</v>
      </c>
      <c r="P28" s="25">
        <v>6</v>
      </c>
      <c r="Q28" s="26">
        <v>3</v>
      </c>
      <c r="R28" s="25">
        <v>26</v>
      </c>
      <c r="S28" s="26">
        <v>6</v>
      </c>
      <c r="T28" s="25">
        <v>2</v>
      </c>
      <c r="U28" s="26">
        <v>6</v>
      </c>
      <c r="V28" s="25">
        <v>0</v>
      </c>
      <c r="W28" s="26">
        <v>2</v>
      </c>
      <c r="X28" s="33">
        <v>0.86</v>
      </c>
      <c r="Z28" s="25">
        <v>7</v>
      </c>
      <c r="AA28" s="26">
        <v>0</v>
      </c>
      <c r="AB28" s="25">
        <v>10</v>
      </c>
      <c r="AC28" s="26">
        <v>11</v>
      </c>
      <c r="AD28" s="25">
        <v>502</v>
      </c>
      <c r="AE28" s="26">
        <v>274</v>
      </c>
      <c r="AF28" s="25">
        <v>15</v>
      </c>
      <c r="AG28" s="26">
        <v>20</v>
      </c>
      <c r="AH28" s="25">
        <v>11</v>
      </c>
      <c r="AI28" s="26">
        <v>9</v>
      </c>
      <c r="AJ28" s="25">
        <v>2</v>
      </c>
      <c r="AK28" s="26">
        <v>3</v>
      </c>
      <c r="AL28" s="25">
        <v>0</v>
      </c>
      <c r="AM28" s="26">
        <v>1</v>
      </c>
      <c r="AN28" s="25">
        <v>0</v>
      </c>
      <c r="AO28" s="36">
        <v>0.7</v>
      </c>
      <c r="AP28" s="42">
        <v>8</v>
      </c>
      <c r="AQ28" s="83">
        <v>0.30769230769230771</v>
      </c>
      <c r="AR28" s="25">
        <v>0</v>
      </c>
      <c r="AS28" s="25">
        <v>12</v>
      </c>
      <c r="AT28" s="25">
        <v>6</v>
      </c>
      <c r="AU28" s="25">
        <v>14</v>
      </c>
      <c r="AV28" s="86">
        <v>0.53846153846153844</v>
      </c>
      <c r="AW28" s="25">
        <v>12</v>
      </c>
      <c r="AX28" s="26">
        <v>3</v>
      </c>
      <c r="AY28" s="88">
        <v>0.5</v>
      </c>
      <c r="AZ28" s="26">
        <v>0</v>
      </c>
      <c r="BA28" s="26">
        <v>3</v>
      </c>
      <c r="BB28" s="26">
        <v>0</v>
      </c>
      <c r="BC28" s="26">
        <v>6</v>
      </c>
      <c r="BD28" s="88">
        <v>1</v>
      </c>
      <c r="BE28" s="43">
        <v>0</v>
      </c>
      <c r="BF28" s="315">
        <v>0</v>
      </c>
      <c r="BG28" s="316">
        <v>0</v>
      </c>
      <c r="BH28" s="317">
        <v>0</v>
      </c>
      <c r="BI28" s="317">
        <v>0</v>
      </c>
    </row>
    <row r="29" spans="1:61" x14ac:dyDescent="0.25">
      <c r="A29" s="29">
        <v>45927</v>
      </c>
      <c r="B29" s="5">
        <v>7</v>
      </c>
      <c r="C29" s="5" t="s">
        <v>91</v>
      </c>
      <c r="D29" s="7">
        <v>1</v>
      </c>
      <c r="E29" s="7">
        <v>0</v>
      </c>
      <c r="F29" s="5" t="s">
        <v>170</v>
      </c>
      <c r="H29" s="25">
        <v>42</v>
      </c>
      <c r="I29" s="26">
        <v>58</v>
      </c>
      <c r="J29" s="33">
        <v>1.22</v>
      </c>
      <c r="K29" s="34">
        <v>1.44</v>
      </c>
      <c r="L29" s="33">
        <v>1.22</v>
      </c>
      <c r="M29" s="33">
        <v>1.5</v>
      </c>
      <c r="N29" s="34">
        <v>1.44</v>
      </c>
      <c r="O29" s="34">
        <v>0.71</v>
      </c>
      <c r="P29" s="25">
        <v>3</v>
      </c>
      <c r="Q29" s="26">
        <v>2</v>
      </c>
      <c r="R29" s="25">
        <v>14</v>
      </c>
      <c r="S29" s="26">
        <v>16</v>
      </c>
      <c r="T29" s="25">
        <v>4</v>
      </c>
      <c r="U29" s="26">
        <v>4</v>
      </c>
      <c r="V29" s="25">
        <v>0</v>
      </c>
      <c r="W29" s="26">
        <v>0</v>
      </c>
      <c r="X29" s="33">
        <v>0.72</v>
      </c>
      <c r="Z29" s="25">
        <v>6</v>
      </c>
      <c r="AA29" s="26">
        <v>5</v>
      </c>
      <c r="AB29" s="25">
        <v>13</v>
      </c>
      <c r="AC29" s="26">
        <v>11</v>
      </c>
      <c r="AD29" s="25">
        <v>373</v>
      </c>
      <c r="AE29" s="26">
        <v>506</v>
      </c>
      <c r="AF29" s="25">
        <v>23</v>
      </c>
      <c r="AG29" s="26">
        <v>12</v>
      </c>
      <c r="AH29" s="25">
        <v>11</v>
      </c>
      <c r="AI29" s="26">
        <v>13</v>
      </c>
      <c r="AJ29" s="25">
        <v>2</v>
      </c>
      <c r="AK29" s="26">
        <v>0</v>
      </c>
      <c r="AL29" s="25">
        <v>0</v>
      </c>
      <c r="AM29" s="26">
        <v>0</v>
      </c>
      <c r="AN29" s="25">
        <v>0</v>
      </c>
      <c r="AO29" s="36">
        <v>0</v>
      </c>
      <c r="AP29" s="42">
        <v>5</v>
      </c>
      <c r="AQ29" s="83">
        <v>0.35714285714285715</v>
      </c>
      <c r="AR29" s="25">
        <v>1</v>
      </c>
      <c r="AS29" s="25">
        <v>6</v>
      </c>
      <c r="AT29" s="25">
        <v>3</v>
      </c>
      <c r="AU29" s="25">
        <v>10</v>
      </c>
      <c r="AV29" s="86">
        <v>0.7142857142857143</v>
      </c>
      <c r="AW29" s="25">
        <v>4</v>
      </c>
      <c r="AX29" s="26">
        <v>4</v>
      </c>
      <c r="AY29" s="88">
        <v>0.25</v>
      </c>
      <c r="AZ29" s="26">
        <v>1</v>
      </c>
      <c r="BA29" s="26">
        <v>5</v>
      </c>
      <c r="BB29" s="26">
        <v>7</v>
      </c>
      <c r="BC29" s="26">
        <v>10</v>
      </c>
      <c r="BD29" s="88">
        <v>0.625</v>
      </c>
      <c r="BE29" s="43">
        <v>6</v>
      </c>
      <c r="BF29" s="315">
        <v>2</v>
      </c>
      <c r="BG29" s="316">
        <v>0</v>
      </c>
      <c r="BH29" s="317">
        <v>2</v>
      </c>
      <c r="BI29" s="317">
        <v>0</v>
      </c>
    </row>
    <row r="30" spans="1:61" x14ac:dyDescent="0.25">
      <c r="A30" s="29">
        <v>45887</v>
      </c>
      <c r="B30" s="5">
        <v>1</v>
      </c>
      <c r="C30" s="5" t="s">
        <v>208</v>
      </c>
      <c r="D30" s="7">
        <v>1</v>
      </c>
      <c r="E30" s="7">
        <v>1</v>
      </c>
      <c r="F30" s="5" t="s">
        <v>209</v>
      </c>
      <c r="H30" s="25">
        <v>68</v>
      </c>
      <c r="I30" s="26">
        <v>32</v>
      </c>
      <c r="J30" s="33">
        <v>0.64</v>
      </c>
      <c r="K30" s="34">
        <v>1.86</v>
      </c>
      <c r="L30" s="33">
        <v>0.64</v>
      </c>
      <c r="M30" s="33">
        <v>0.71</v>
      </c>
      <c r="N30" s="34">
        <v>1.86</v>
      </c>
      <c r="O30" s="34">
        <v>1.46</v>
      </c>
      <c r="P30" s="25">
        <v>2</v>
      </c>
      <c r="Q30" s="26">
        <v>2</v>
      </c>
      <c r="R30" s="25">
        <v>6</v>
      </c>
      <c r="S30" s="26">
        <v>12</v>
      </c>
      <c r="T30" s="25">
        <v>3</v>
      </c>
      <c r="U30" s="26">
        <v>1</v>
      </c>
      <c r="V30" s="25">
        <v>0</v>
      </c>
      <c r="W30" s="26">
        <v>0</v>
      </c>
      <c r="X30" s="33">
        <v>0.54</v>
      </c>
      <c r="Y30" s="34">
        <v>-0.27</v>
      </c>
      <c r="Z30" s="25">
        <v>1</v>
      </c>
      <c r="AA30" s="26">
        <v>3</v>
      </c>
      <c r="AB30" s="25">
        <v>14</v>
      </c>
      <c r="AC30" s="26">
        <v>13</v>
      </c>
      <c r="AD30" s="25">
        <v>683</v>
      </c>
      <c r="AE30" s="26">
        <v>323</v>
      </c>
      <c r="AF30" s="25">
        <v>13</v>
      </c>
      <c r="AG30" s="26">
        <v>18</v>
      </c>
      <c r="AH30" s="25">
        <v>13</v>
      </c>
      <c r="AI30" s="26">
        <v>14</v>
      </c>
      <c r="AJ30" s="25">
        <v>0</v>
      </c>
      <c r="AK30" s="26">
        <v>1</v>
      </c>
      <c r="AL30" s="25">
        <v>0</v>
      </c>
      <c r="AM30" s="26">
        <v>0</v>
      </c>
      <c r="AN30" s="25">
        <v>0</v>
      </c>
      <c r="AO30" s="36">
        <v>0</v>
      </c>
      <c r="AP30" s="42">
        <v>2</v>
      </c>
      <c r="AQ30" s="83">
        <v>0.33333333333333331</v>
      </c>
      <c r="AR30" s="25">
        <v>0</v>
      </c>
      <c r="AS30" s="25">
        <v>3</v>
      </c>
      <c r="AT30" s="25">
        <v>1</v>
      </c>
      <c r="AU30" s="25">
        <v>3</v>
      </c>
      <c r="AV30" s="86">
        <v>0.5</v>
      </c>
      <c r="AW30" s="25">
        <v>3</v>
      </c>
      <c r="AX30" s="26">
        <v>4</v>
      </c>
      <c r="AY30" s="88">
        <v>0.33333333333333331</v>
      </c>
      <c r="AZ30" s="26">
        <v>0</v>
      </c>
      <c r="BA30" s="26">
        <v>4</v>
      </c>
      <c r="BB30" s="26">
        <v>4</v>
      </c>
      <c r="BC30" s="26">
        <v>6</v>
      </c>
      <c r="BD30" s="88">
        <v>0.5</v>
      </c>
      <c r="BE30" s="43">
        <v>6</v>
      </c>
      <c r="BF30" s="315">
        <v>1</v>
      </c>
      <c r="BG30" s="316">
        <v>0</v>
      </c>
      <c r="BH30" s="317">
        <v>0</v>
      </c>
      <c r="BI30" s="317">
        <v>0</v>
      </c>
    </row>
    <row r="31" spans="1:61" x14ac:dyDescent="0.25">
      <c r="A31" s="29">
        <v>45896</v>
      </c>
      <c r="B31" s="5">
        <v>6</v>
      </c>
      <c r="C31" s="5" t="s">
        <v>456</v>
      </c>
      <c r="D31" s="7">
        <v>1</v>
      </c>
      <c r="E31" s="7">
        <v>1</v>
      </c>
      <c r="F31" s="5" t="s">
        <v>209</v>
      </c>
      <c r="H31" s="25">
        <v>47</v>
      </c>
      <c r="I31" s="26">
        <v>53</v>
      </c>
      <c r="J31" s="33">
        <v>0.83</v>
      </c>
      <c r="K31" s="34">
        <v>0.33</v>
      </c>
      <c r="L31" s="33">
        <v>0.83</v>
      </c>
      <c r="M31" s="33">
        <v>0.37</v>
      </c>
      <c r="N31" s="34">
        <v>0.33</v>
      </c>
      <c r="O31" s="34">
        <v>0.44</v>
      </c>
      <c r="P31" s="25">
        <v>2</v>
      </c>
      <c r="Q31" s="26">
        <v>2</v>
      </c>
      <c r="R31" s="25">
        <v>14</v>
      </c>
      <c r="S31" s="26">
        <v>7</v>
      </c>
      <c r="T31" s="25">
        <v>0</v>
      </c>
      <c r="U31" s="26">
        <v>4</v>
      </c>
      <c r="V31" s="25">
        <v>0</v>
      </c>
      <c r="W31" s="26">
        <v>1</v>
      </c>
      <c r="X31" s="33">
        <v>-0.56000000000000005</v>
      </c>
      <c r="Y31" s="34">
        <v>-0.5</v>
      </c>
      <c r="Z31" s="25">
        <v>10</v>
      </c>
      <c r="AA31" s="26">
        <v>4</v>
      </c>
      <c r="AB31" s="25">
        <v>13</v>
      </c>
      <c r="AC31" s="26">
        <v>11</v>
      </c>
      <c r="AD31" s="25">
        <v>496</v>
      </c>
      <c r="AE31" s="26">
        <v>568</v>
      </c>
      <c r="AF31" s="25">
        <v>17</v>
      </c>
      <c r="AG31" s="26">
        <v>15</v>
      </c>
      <c r="AH31" s="25">
        <v>11</v>
      </c>
      <c r="AI31" s="26">
        <v>13</v>
      </c>
      <c r="AJ31" s="25">
        <v>1</v>
      </c>
      <c r="AK31" s="26">
        <v>2</v>
      </c>
      <c r="AL31" s="25">
        <v>0</v>
      </c>
      <c r="AM31" s="26">
        <v>0</v>
      </c>
      <c r="AN31" s="25">
        <v>0</v>
      </c>
      <c r="AO31" s="36">
        <v>0</v>
      </c>
      <c r="AP31" s="42">
        <v>5</v>
      </c>
      <c r="AQ31" s="83">
        <v>0.35714285714285715</v>
      </c>
      <c r="AR31" s="25">
        <v>0</v>
      </c>
      <c r="AS31" s="25">
        <v>6</v>
      </c>
      <c r="AT31" s="25">
        <v>3</v>
      </c>
      <c r="AU31" s="25">
        <v>10</v>
      </c>
      <c r="AV31" s="86">
        <v>0.7142857142857143</v>
      </c>
      <c r="AW31" s="25">
        <v>4</v>
      </c>
      <c r="AX31" s="26">
        <v>2</v>
      </c>
      <c r="AY31" s="88">
        <v>0.2857142857142857</v>
      </c>
      <c r="AZ31" s="26">
        <v>0</v>
      </c>
      <c r="BA31" s="26">
        <v>2</v>
      </c>
      <c r="BB31" s="26">
        <v>3</v>
      </c>
      <c r="BC31" s="26">
        <v>3</v>
      </c>
      <c r="BD31" s="88">
        <v>0.42857142857142855</v>
      </c>
      <c r="BE31" s="43">
        <v>4</v>
      </c>
      <c r="BF31" s="315">
        <v>1</v>
      </c>
      <c r="BG31" s="316">
        <v>0</v>
      </c>
      <c r="BH31" s="317">
        <v>0</v>
      </c>
      <c r="BI31" s="317">
        <v>0</v>
      </c>
    </row>
    <row r="32" spans="1:61" x14ac:dyDescent="0.25">
      <c r="A32" s="29">
        <v>45914</v>
      </c>
      <c r="B32" s="5">
        <v>4</v>
      </c>
      <c r="C32" s="5" t="s">
        <v>129</v>
      </c>
      <c r="D32" s="7">
        <v>2</v>
      </c>
      <c r="E32" s="7">
        <v>2</v>
      </c>
      <c r="F32" s="5" t="s">
        <v>209</v>
      </c>
      <c r="H32" s="25">
        <v>33</v>
      </c>
      <c r="I32" s="26">
        <v>67</v>
      </c>
      <c r="J32" s="33">
        <v>0.73</v>
      </c>
      <c r="K32" s="34">
        <v>2.12</v>
      </c>
      <c r="L32" s="33">
        <v>0.73</v>
      </c>
      <c r="M32" s="33">
        <v>1.28</v>
      </c>
      <c r="N32" s="34">
        <v>2.12</v>
      </c>
      <c r="O32" s="34">
        <v>1.53</v>
      </c>
      <c r="P32" s="25">
        <v>2</v>
      </c>
      <c r="Q32" s="26">
        <v>3</v>
      </c>
      <c r="R32" s="25">
        <v>5</v>
      </c>
      <c r="S32" s="26">
        <v>28</v>
      </c>
      <c r="T32" s="25">
        <v>7</v>
      </c>
      <c r="U32" s="26">
        <v>0</v>
      </c>
      <c r="V32" s="25">
        <v>1</v>
      </c>
      <c r="W32" s="26">
        <v>0</v>
      </c>
      <c r="X32" s="33">
        <v>-0.28000000000000003</v>
      </c>
      <c r="Y32" s="34">
        <v>-0.73</v>
      </c>
      <c r="Z32" s="25">
        <v>4</v>
      </c>
      <c r="AA32" s="26">
        <v>12</v>
      </c>
      <c r="AB32" s="25">
        <v>16</v>
      </c>
      <c r="AC32" s="26">
        <v>11</v>
      </c>
      <c r="AD32" s="25">
        <v>268</v>
      </c>
      <c r="AE32" s="26">
        <v>544</v>
      </c>
      <c r="AF32" s="25">
        <v>13</v>
      </c>
      <c r="AG32" s="26">
        <v>17</v>
      </c>
      <c r="AH32" s="25">
        <v>11</v>
      </c>
      <c r="AI32" s="26">
        <v>16</v>
      </c>
      <c r="AJ32" s="25">
        <v>4</v>
      </c>
      <c r="AK32" s="26">
        <v>2</v>
      </c>
      <c r="AL32" s="25">
        <v>0</v>
      </c>
      <c r="AM32" s="26">
        <v>0</v>
      </c>
      <c r="AN32" s="25">
        <v>0</v>
      </c>
      <c r="AO32" s="36">
        <v>0</v>
      </c>
      <c r="AP32" s="42">
        <v>2</v>
      </c>
      <c r="AQ32" s="83">
        <v>0.4</v>
      </c>
      <c r="AR32" s="25">
        <v>0</v>
      </c>
      <c r="AS32" s="25">
        <v>2</v>
      </c>
      <c r="AT32" s="25">
        <v>1</v>
      </c>
      <c r="AU32" s="25">
        <v>4</v>
      </c>
      <c r="AV32" s="86">
        <v>0.8</v>
      </c>
      <c r="AW32" s="25">
        <v>1</v>
      </c>
      <c r="AX32" s="26">
        <v>9</v>
      </c>
      <c r="AY32" s="88">
        <v>0.32142857142857145</v>
      </c>
      <c r="AZ32" s="26">
        <v>1</v>
      </c>
      <c r="BA32" s="26">
        <v>8</v>
      </c>
      <c r="BB32" s="26">
        <v>11</v>
      </c>
      <c r="BC32" s="26">
        <v>21</v>
      </c>
      <c r="BD32" s="88">
        <v>0.75</v>
      </c>
      <c r="BE32" s="43">
        <v>7</v>
      </c>
      <c r="BF32" s="315">
        <v>0</v>
      </c>
      <c r="BG32" s="316">
        <v>0</v>
      </c>
      <c r="BH32" s="317">
        <v>0</v>
      </c>
      <c r="BI32" s="317">
        <v>2</v>
      </c>
    </row>
    <row r="33" spans="1:61" x14ac:dyDescent="0.25">
      <c r="A33" s="29">
        <v>45935</v>
      </c>
      <c r="B33" s="5">
        <v>8</v>
      </c>
      <c r="C33" s="5" t="s">
        <v>192</v>
      </c>
      <c r="D33" s="7">
        <v>1</v>
      </c>
      <c r="E33" s="7">
        <v>2</v>
      </c>
      <c r="F33" s="5" t="s">
        <v>209</v>
      </c>
      <c r="H33" s="25">
        <v>50</v>
      </c>
      <c r="I33" s="26">
        <v>50</v>
      </c>
      <c r="J33" s="33">
        <v>2.2400000000000002</v>
      </c>
      <c r="K33" s="34">
        <v>1.33</v>
      </c>
      <c r="L33" s="33">
        <v>1.5400000000000003</v>
      </c>
      <c r="M33" s="33">
        <v>1.75</v>
      </c>
      <c r="N33" s="34">
        <v>1.33</v>
      </c>
      <c r="O33" s="34">
        <v>1.5</v>
      </c>
      <c r="P33" s="25">
        <v>2</v>
      </c>
      <c r="Q33" s="26">
        <v>2</v>
      </c>
      <c r="R33" s="25">
        <v>14</v>
      </c>
      <c r="S33" s="26">
        <v>12</v>
      </c>
      <c r="T33" s="25">
        <v>1</v>
      </c>
      <c r="U33" s="26">
        <v>4</v>
      </c>
      <c r="V33" s="25">
        <v>1</v>
      </c>
      <c r="W33" s="26">
        <v>2</v>
      </c>
      <c r="X33" s="33">
        <v>-0.5</v>
      </c>
      <c r="Y33" s="34">
        <v>1.38</v>
      </c>
      <c r="Z33" s="25">
        <v>10</v>
      </c>
      <c r="AA33" s="26">
        <v>5</v>
      </c>
      <c r="AB33" s="25">
        <v>16</v>
      </c>
      <c r="AC33" s="26">
        <v>4</v>
      </c>
      <c r="AD33" s="25">
        <v>448</v>
      </c>
      <c r="AE33" s="26">
        <v>463</v>
      </c>
      <c r="AF33" s="25">
        <v>15</v>
      </c>
      <c r="AG33" s="26">
        <v>17</v>
      </c>
      <c r="AH33" s="25">
        <v>3</v>
      </c>
      <c r="AI33" s="26">
        <v>16</v>
      </c>
      <c r="AJ33" s="25">
        <v>2</v>
      </c>
      <c r="AK33" s="26">
        <v>6</v>
      </c>
      <c r="AL33" s="25">
        <v>0</v>
      </c>
      <c r="AM33" s="26">
        <v>0</v>
      </c>
      <c r="AN33" s="25">
        <v>0.7</v>
      </c>
      <c r="AO33" s="36">
        <v>0</v>
      </c>
      <c r="AP33" s="42">
        <v>5</v>
      </c>
      <c r="AQ33" s="83">
        <v>0.35714285714285715</v>
      </c>
      <c r="AR33" s="25">
        <v>0</v>
      </c>
      <c r="AS33" s="25">
        <v>8</v>
      </c>
      <c r="AT33" s="25">
        <v>1</v>
      </c>
      <c r="AU33" s="25">
        <v>9</v>
      </c>
      <c r="AV33" s="86">
        <v>0.6428571428571429</v>
      </c>
      <c r="AW33" s="25">
        <v>5</v>
      </c>
      <c r="AX33" s="26">
        <v>3</v>
      </c>
      <c r="AY33" s="88">
        <v>0.25</v>
      </c>
      <c r="AZ33" s="26">
        <v>0</v>
      </c>
      <c r="BA33" s="26">
        <v>6</v>
      </c>
      <c r="BB33" s="26">
        <v>3</v>
      </c>
      <c r="BC33" s="26">
        <v>7</v>
      </c>
      <c r="BD33" s="88">
        <v>0.58333333333333337</v>
      </c>
      <c r="BE33" s="43">
        <v>5</v>
      </c>
      <c r="BF33" s="315">
        <v>0</v>
      </c>
      <c r="BG33" s="316">
        <v>0</v>
      </c>
      <c r="BH33" s="317">
        <v>0</v>
      </c>
      <c r="BI33" s="317">
        <v>0</v>
      </c>
    </row>
    <row r="34" spans="1:61" x14ac:dyDescent="0.25">
      <c r="A34" s="229">
        <v>45948</v>
      </c>
      <c r="B34" s="230">
        <v>9</v>
      </c>
      <c r="C34" s="230" t="s">
        <v>91</v>
      </c>
      <c r="D34" s="233">
        <f>AVERAGE(D26:D33)</f>
        <v>1.875</v>
      </c>
      <c r="E34" s="233">
        <f>AVERAGE(E26:E33)</f>
        <v>0.875</v>
      </c>
      <c r="F34" s="230" t="s">
        <v>209</v>
      </c>
      <c r="G34" s="230"/>
      <c r="H34" s="230">
        <f t="shared" ref="H34:AM34" si="6">AVERAGE(H26:H33)</f>
        <v>53.375</v>
      </c>
      <c r="I34" s="230">
        <f t="shared" si="6"/>
        <v>46.625</v>
      </c>
      <c r="J34" s="232">
        <f t="shared" si="6"/>
        <v>1.6187500000000001</v>
      </c>
      <c r="K34" s="232">
        <f t="shared" si="6"/>
        <v>1.2437500000000001</v>
      </c>
      <c r="L34" s="102">
        <f t="shared" si="6"/>
        <v>1.5312500000000002</v>
      </c>
      <c r="M34" s="102">
        <f>AVERAGE(M26:M33)</f>
        <v>1.61375</v>
      </c>
      <c r="N34" s="232">
        <f t="shared" si="6"/>
        <v>1.0687500000000001</v>
      </c>
      <c r="O34" s="232">
        <f t="shared" si="6"/>
        <v>0.86875000000000002</v>
      </c>
      <c r="P34" s="100">
        <f t="shared" si="6"/>
        <v>3</v>
      </c>
      <c r="Q34" s="230">
        <f t="shared" si="6"/>
        <v>1.875</v>
      </c>
      <c r="R34" s="230">
        <f t="shared" si="6"/>
        <v>15.375</v>
      </c>
      <c r="S34" s="230">
        <f t="shared" si="6"/>
        <v>11.375</v>
      </c>
      <c r="T34" s="230">
        <f t="shared" si="6"/>
        <v>2.875</v>
      </c>
      <c r="U34" s="230">
        <f t="shared" si="6"/>
        <v>3.625</v>
      </c>
      <c r="V34" s="230">
        <f t="shared" si="6"/>
        <v>0.375</v>
      </c>
      <c r="W34" s="230">
        <f t="shared" si="6"/>
        <v>0.875</v>
      </c>
      <c r="X34" s="232">
        <f t="shared" si="6"/>
        <v>0.24</v>
      </c>
      <c r="Y34" s="232">
        <f t="shared" si="6"/>
        <v>-3.0000000000000027E-2</v>
      </c>
      <c r="Z34" s="230">
        <f t="shared" si="6"/>
        <v>7</v>
      </c>
      <c r="AA34" s="230">
        <f t="shared" si="6"/>
        <v>3.875</v>
      </c>
      <c r="AB34" s="230">
        <f t="shared" si="6"/>
        <v>12.5</v>
      </c>
      <c r="AC34" s="230">
        <f t="shared" si="6"/>
        <v>9.75</v>
      </c>
      <c r="AD34" s="230">
        <f t="shared" si="6"/>
        <v>494.375</v>
      </c>
      <c r="AE34" s="230">
        <f t="shared" si="6"/>
        <v>434.25</v>
      </c>
      <c r="AF34" s="230">
        <f t="shared" si="6"/>
        <v>16.125</v>
      </c>
      <c r="AG34" s="230">
        <f t="shared" si="6"/>
        <v>16</v>
      </c>
      <c r="AH34" s="230">
        <f t="shared" si="6"/>
        <v>9.625</v>
      </c>
      <c r="AI34" s="230">
        <f t="shared" si="6"/>
        <v>12.25</v>
      </c>
      <c r="AJ34" s="230">
        <f t="shared" si="6"/>
        <v>1.625</v>
      </c>
      <c r="AK34" s="230">
        <f t="shared" si="6"/>
        <v>2.25</v>
      </c>
      <c r="AL34" s="230">
        <f t="shared" si="6"/>
        <v>0</v>
      </c>
      <c r="AM34" s="230">
        <f t="shared" si="6"/>
        <v>0.25</v>
      </c>
      <c r="AN34" s="230">
        <f t="shared" ref="AN34:BI34" si="7">AVERAGE(AN26:AN33)</f>
        <v>8.7499999999999994E-2</v>
      </c>
      <c r="AO34" s="310">
        <f t="shared" si="7"/>
        <v>0.17499999999999999</v>
      </c>
      <c r="AP34" s="104">
        <f t="shared" si="7"/>
        <v>5.5</v>
      </c>
      <c r="AQ34" s="105">
        <f t="shared" si="7"/>
        <v>0.3601094081357239</v>
      </c>
      <c r="AR34" s="230">
        <f t="shared" si="7"/>
        <v>0.125</v>
      </c>
      <c r="AS34" s="230">
        <f t="shared" si="7"/>
        <v>6.875</v>
      </c>
      <c r="AT34" s="230">
        <f t="shared" si="7"/>
        <v>3</v>
      </c>
      <c r="AU34" s="230">
        <f t="shared" si="7"/>
        <v>10</v>
      </c>
      <c r="AV34" s="107">
        <f t="shared" si="7"/>
        <v>0.65926257952573752</v>
      </c>
      <c r="AW34" s="230">
        <f t="shared" si="7"/>
        <v>5.375</v>
      </c>
      <c r="AX34" s="100">
        <f t="shared" si="7"/>
        <v>3.875</v>
      </c>
      <c r="AY34" s="107">
        <f t="shared" si="7"/>
        <v>0.39255952380952386</v>
      </c>
      <c r="AZ34" s="230">
        <f t="shared" si="7"/>
        <v>0.25</v>
      </c>
      <c r="BA34" s="230">
        <f t="shared" si="7"/>
        <v>3.75</v>
      </c>
      <c r="BB34" s="230">
        <f t="shared" si="7"/>
        <v>3.75</v>
      </c>
      <c r="BC34" s="230">
        <f t="shared" si="7"/>
        <v>7.375</v>
      </c>
      <c r="BD34" s="107">
        <f t="shared" si="7"/>
        <v>0.63586309523809514</v>
      </c>
      <c r="BE34" s="313">
        <f t="shared" si="7"/>
        <v>4</v>
      </c>
      <c r="BF34" s="318">
        <f t="shared" si="7"/>
        <v>0.625</v>
      </c>
      <c r="BG34" s="319">
        <f t="shared" si="7"/>
        <v>0</v>
      </c>
      <c r="BH34" s="319">
        <f t="shared" si="7"/>
        <v>0.5</v>
      </c>
      <c r="BI34" s="319">
        <f t="shared" si="7"/>
        <v>0.375</v>
      </c>
    </row>
    <row r="35" spans="1:61" x14ac:dyDescent="0.25">
      <c r="A35" s="29">
        <v>45892</v>
      </c>
      <c r="B35" s="5">
        <v>2</v>
      </c>
      <c r="C35" s="5" t="s">
        <v>193</v>
      </c>
      <c r="D35" s="7">
        <v>1</v>
      </c>
      <c r="E35" s="7">
        <v>1</v>
      </c>
      <c r="F35" s="5" t="s">
        <v>208</v>
      </c>
      <c r="H35" s="25">
        <v>58</v>
      </c>
      <c r="I35" s="26">
        <v>42</v>
      </c>
      <c r="J35" s="33">
        <v>1.74</v>
      </c>
      <c r="K35" s="34">
        <v>0.56999999999999995</v>
      </c>
      <c r="L35" s="33">
        <v>1.74</v>
      </c>
      <c r="M35" s="33">
        <v>0.85</v>
      </c>
      <c r="N35" s="34">
        <v>0.56999999999999995</v>
      </c>
      <c r="O35" s="34">
        <v>0.39</v>
      </c>
      <c r="P35" s="25">
        <v>3</v>
      </c>
      <c r="Q35" s="26">
        <v>1</v>
      </c>
      <c r="R35" s="25">
        <v>13</v>
      </c>
      <c r="S35" s="26">
        <v>6</v>
      </c>
      <c r="T35" s="25">
        <v>1</v>
      </c>
      <c r="U35" s="26">
        <v>5</v>
      </c>
      <c r="V35" s="25">
        <v>0</v>
      </c>
      <c r="W35" s="26">
        <v>0</v>
      </c>
      <c r="X35" s="33">
        <v>-0.59</v>
      </c>
      <c r="Z35" s="25">
        <v>10</v>
      </c>
      <c r="AA35" s="26">
        <v>2</v>
      </c>
      <c r="AB35" s="25">
        <v>14</v>
      </c>
      <c r="AC35" s="26">
        <v>7</v>
      </c>
      <c r="AD35" s="25">
        <v>545</v>
      </c>
      <c r="AE35" s="26">
        <v>413</v>
      </c>
      <c r="AF35" s="25">
        <v>20</v>
      </c>
      <c r="AG35" s="26">
        <v>19</v>
      </c>
      <c r="AH35" s="25">
        <v>7</v>
      </c>
      <c r="AI35" s="26">
        <v>14</v>
      </c>
      <c r="AJ35" s="25">
        <v>0</v>
      </c>
      <c r="AK35" s="26">
        <v>3</v>
      </c>
      <c r="AL35" s="25">
        <v>0</v>
      </c>
      <c r="AM35" s="26">
        <v>0</v>
      </c>
      <c r="AN35" s="25">
        <v>0</v>
      </c>
      <c r="AO35" s="36">
        <v>0</v>
      </c>
      <c r="AP35" s="42">
        <v>6</v>
      </c>
      <c r="AQ35" s="83">
        <v>0.46153846153846156</v>
      </c>
      <c r="AR35" s="25">
        <v>0</v>
      </c>
      <c r="AS35" s="25">
        <v>4</v>
      </c>
      <c r="AT35" s="25">
        <v>3</v>
      </c>
      <c r="AU35" s="25">
        <v>7</v>
      </c>
      <c r="AV35" s="86">
        <v>0.53846153846153844</v>
      </c>
      <c r="AW35" s="25">
        <v>6</v>
      </c>
      <c r="AX35" s="26">
        <v>2</v>
      </c>
      <c r="AY35" s="88">
        <v>0.33333333333333331</v>
      </c>
      <c r="AZ35" s="26">
        <v>0</v>
      </c>
      <c r="BA35" s="26">
        <v>3</v>
      </c>
      <c r="BB35" s="26">
        <v>1</v>
      </c>
      <c r="BC35" s="26">
        <v>5</v>
      </c>
      <c r="BD35" s="88">
        <v>0.83333333333333337</v>
      </c>
      <c r="BE35" s="43">
        <v>1</v>
      </c>
      <c r="BF35" s="315">
        <v>0</v>
      </c>
      <c r="BG35" s="316">
        <v>0</v>
      </c>
      <c r="BH35" s="317">
        <v>0</v>
      </c>
      <c r="BI35" s="317">
        <v>0</v>
      </c>
    </row>
    <row r="36" spans="1:61" x14ac:dyDescent="0.25">
      <c r="A36" s="29">
        <v>45913</v>
      </c>
      <c r="B36" s="5">
        <v>4</v>
      </c>
      <c r="C36" s="5" t="s">
        <v>193</v>
      </c>
      <c r="D36" s="7">
        <v>2</v>
      </c>
      <c r="E36" s="7">
        <v>0</v>
      </c>
      <c r="F36" s="5" t="s">
        <v>91</v>
      </c>
      <c r="H36" s="25">
        <v>61</v>
      </c>
      <c r="I36" s="26">
        <v>39</v>
      </c>
      <c r="J36" s="33">
        <v>1.01</v>
      </c>
      <c r="K36" s="34">
        <v>1.03</v>
      </c>
      <c r="L36" s="33">
        <v>1.01</v>
      </c>
      <c r="M36" s="33">
        <v>1.42</v>
      </c>
      <c r="N36" s="34">
        <v>1.03</v>
      </c>
      <c r="O36" s="34">
        <v>0.12</v>
      </c>
      <c r="P36" s="25">
        <v>3</v>
      </c>
      <c r="Q36" s="26">
        <v>1</v>
      </c>
      <c r="R36" s="25">
        <v>8</v>
      </c>
      <c r="S36" s="26">
        <v>8</v>
      </c>
      <c r="T36" s="25">
        <v>1</v>
      </c>
      <c r="U36" s="26">
        <v>1</v>
      </c>
      <c r="V36" s="25">
        <v>0</v>
      </c>
      <c r="W36" s="26">
        <v>0</v>
      </c>
      <c r="X36" s="33">
        <v>0.12</v>
      </c>
      <c r="Z36" s="25">
        <v>8</v>
      </c>
      <c r="AA36" s="26">
        <v>3</v>
      </c>
      <c r="AB36" s="25">
        <v>12</v>
      </c>
      <c r="AC36" s="26">
        <v>15</v>
      </c>
      <c r="AD36" s="25">
        <v>623</v>
      </c>
      <c r="AE36" s="26">
        <v>395</v>
      </c>
      <c r="AF36" s="25">
        <v>11</v>
      </c>
      <c r="AG36" s="26">
        <v>12</v>
      </c>
      <c r="AH36" s="25">
        <v>15</v>
      </c>
      <c r="AI36" s="26">
        <v>12</v>
      </c>
      <c r="AJ36" s="25">
        <v>2</v>
      </c>
      <c r="AK36" s="26">
        <v>4</v>
      </c>
      <c r="AL36" s="25">
        <v>0</v>
      </c>
      <c r="AM36" s="26">
        <v>0</v>
      </c>
      <c r="AN36" s="25">
        <v>0</v>
      </c>
      <c r="AO36" s="36">
        <v>0</v>
      </c>
      <c r="AP36" s="42">
        <v>3</v>
      </c>
      <c r="AQ36" s="83">
        <v>0.375</v>
      </c>
      <c r="AR36" s="25">
        <v>0</v>
      </c>
      <c r="AS36" s="25">
        <v>3</v>
      </c>
      <c r="AT36" s="25">
        <v>2</v>
      </c>
      <c r="AU36" s="25">
        <v>5</v>
      </c>
      <c r="AV36" s="86">
        <v>0.625</v>
      </c>
      <c r="AW36" s="25">
        <v>3</v>
      </c>
      <c r="AX36" s="26">
        <v>1</v>
      </c>
      <c r="AY36" s="88">
        <v>0.125</v>
      </c>
      <c r="AZ36" s="26">
        <v>1</v>
      </c>
      <c r="BA36" s="26">
        <v>4</v>
      </c>
      <c r="BB36" s="26">
        <v>3</v>
      </c>
      <c r="BC36" s="26">
        <v>5</v>
      </c>
      <c r="BD36" s="88">
        <v>0.625</v>
      </c>
      <c r="BE36" s="43">
        <v>3</v>
      </c>
      <c r="BF36" s="315">
        <v>1</v>
      </c>
      <c r="BG36" s="316">
        <v>0</v>
      </c>
      <c r="BH36" s="317">
        <v>0</v>
      </c>
      <c r="BI36" s="317">
        <v>1</v>
      </c>
    </row>
    <row r="37" spans="1:61" x14ac:dyDescent="0.25">
      <c r="A37" s="29">
        <v>45924</v>
      </c>
      <c r="B37" s="5">
        <v>6</v>
      </c>
      <c r="C37" s="5" t="s">
        <v>193</v>
      </c>
      <c r="D37" s="7">
        <v>3</v>
      </c>
      <c r="E37" s="7">
        <v>2</v>
      </c>
      <c r="F37" s="5" t="s">
        <v>70</v>
      </c>
      <c r="H37" s="25">
        <v>61</v>
      </c>
      <c r="I37" s="26">
        <v>39</v>
      </c>
      <c r="J37" s="33">
        <v>3.61</v>
      </c>
      <c r="K37" s="34">
        <v>1.6</v>
      </c>
      <c r="L37" s="33">
        <v>3.61</v>
      </c>
      <c r="M37" s="33">
        <v>3.03</v>
      </c>
      <c r="N37" s="34">
        <v>1.6</v>
      </c>
      <c r="O37" s="34">
        <v>1.39</v>
      </c>
      <c r="P37" s="25">
        <v>7</v>
      </c>
      <c r="Q37" s="26">
        <v>3</v>
      </c>
      <c r="R37" s="25">
        <v>20</v>
      </c>
      <c r="S37" s="26">
        <v>9</v>
      </c>
      <c r="T37" s="25">
        <v>1</v>
      </c>
      <c r="U37" s="26">
        <v>5</v>
      </c>
      <c r="V37" s="25">
        <v>0</v>
      </c>
      <c r="W37" s="26">
        <v>0</v>
      </c>
      <c r="X37" s="33">
        <v>-0.61</v>
      </c>
      <c r="Z37" s="25">
        <v>8</v>
      </c>
      <c r="AA37" s="26">
        <v>6</v>
      </c>
      <c r="AB37" s="25">
        <v>6</v>
      </c>
      <c r="AC37" s="26">
        <v>12</v>
      </c>
      <c r="AD37" s="25">
        <v>579</v>
      </c>
      <c r="AE37" s="26">
        <v>370</v>
      </c>
      <c r="AF37" s="25">
        <v>12</v>
      </c>
      <c r="AG37" s="26">
        <v>21</v>
      </c>
      <c r="AH37" s="25">
        <v>12</v>
      </c>
      <c r="AI37" s="26">
        <v>6</v>
      </c>
      <c r="AJ37" s="25">
        <v>3</v>
      </c>
      <c r="AK37" s="26">
        <v>5</v>
      </c>
      <c r="AL37" s="25">
        <v>0</v>
      </c>
      <c r="AM37" s="26">
        <v>0</v>
      </c>
      <c r="AN37" s="25">
        <v>0</v>
      </c>
      <c r="AO37" s="36">
        <v>0</v>
      </c>
      <c r="AP37" s="42">
        <v>8</v>
      </c>
      <c r="AQ37" s="83">
        <v>0.4</v>
      </c>
      <c r="AR37" s="25">
        <v>1</v>
      </c>
      <c r="AS37" s="25">
        <v>8</v>
      </c>
      <c r="AT37" s="25">
        <v>4</v>
      </c>
      <c r="AU37" s="25">
        <v>17</v>
      </c>
      <c r="AV37" s="86">
        <v>0.85</v>
      </c>
      <c r="AW37" s="25">
        <v>3</v>
      </c>
      <c r="AX37" s="26">
        <v>3</v>
      </c>
      <c r="AY37" s="88">
        <v>0.33333333333333331</v>
      </c>
      <c r="AZ37" s="26">
        <v>0</v>
      </c>
      <c r="BA37" s="26">
        <v>6</v>
      </c>
      <c r="BB37" s="26">
        <v>0</v>
      </c>
      <c r="BC37" s="26">
        <v>5</v>
      </c>
      <c r="BD37" s="88">
        <v>0.55555555555555558</v>
      </c>
      <c r="BE37" s="43">
        <v>4</v>
      </c>
      <c r="BF37" s="315">
        <v>1</v>
      </c>
      <c r="BG37" s="316">
        <v>1</v>
      </c>
      <c r="BH37" s="317">
        <v>0</v>
      </c>
      <c r="BI37" s="317">
        <v>0</v>
      </c>
    </row>
    <row r="38" spans="1:61" x14ac:dyDescent="0.25">
      <c r="A38" s="29">
        <v>45927</v>
      </c>
      <c r="B38" s="5">
        <v>7</v>
      </c>
      <c r="C38" s="5" t="s">
        <v>193</v>
      </c>
      <c r="D38" s="7">
        <v>5</v>
      </c>
      <c r="E38" s="7">
        <v>2</v>
      </c>
      <c r="F38" s="5" t="s">
        <v>226</v>
      </c>
      <c r="H38" s="25">
        <v>37</v>
      </c>
      <c r="I38" s="26">
        <v>63</v>
      </c>
      <c r="J38" s="33">
        <v>2.34</v>
      </c>
      <c r="K38" s="34">
        <v>0.66</v>
      </c>
      <c r="L38" s="33">
        <v>1.64</v>
      </c>
      <c r="M38" s="33">
        <v>1.41</v>
      </c>
      <c r="N38" s="34">
        <v>0.66</v>
      </c>
      <c r="O38" s="34">
        <v>0.7</v>
      </c>
      <c r="P38" s="25">
        <v>6</v>
      </c>
      <c r="Q38" s="26">
        <v>2</v>
      </c>
      <c r="R38" s="25">
        <v>13</v>
      </c>
      <c r="S38" s="26">
        <v>6</v>
      </c>
      <c r="T38" s="25">
        <v>0</v>
      </c>
      <c r="U38" s="26">
        <v>2</v>
      </c>
      <c r="V38" s="25">
        <v>0</v>
      </c>
      <c r="W38" s="26">
        <v>0</v>
      </c>
      <c r="X38" s="33">
        <v>-1.3</v>
      </c>
      <c r="Z38" s="25">
        <v>7</v>
      </c>
      <c r="AA38" s="26">
        <v>2</v>
      </c>
      <c r="AB38" s="25">
        <v>17</v>
      </c>
      <c r="AC38" s="26">
        <v>14</v>
      </c>
      <c r="AD38" s="25">
        <v>306</v>
      </c>
      <c r="AE38" s="26">
        <v>538</v>
      </c>
      <c r="AF38" s="25">
        <v>14</v>
      </c>
      <c r="AG38" s="26">
        <v>11</v>
      </c>
      <c r="AH38" s="25">
        <v>13</v>
      </c>
      <c r="AI38" s="26">
        <v>17</v>
      </c>
      <c r="AJ38" s="25">
        <v>5</v>
      </c>
      <c r="AK38" s="26">
        <v>4</v>
      </c>
      <c r="AL38" s="25">
        <v>0</v>
      </c>
      <c r="AM38" s="26">
        <v>0</v>
      </c>
      <c r="AN38" s="25">
        <v>0.7</v>
      </c>
      <c r="AO38" s="36">
        <v>0</v>
      </c>
      <c r="AP38" s="42">
        <v>7</v>
      </c>
      <c r="AQ38" s="83">
        <v>0.53846153846153844</v>
      </c>
      <c r="AR38" s="25">
        <v>1</v>
      </c>
      <c r="AS38" s="25">
        <v>4</v>
      </c>
      <c r="AT38" s="25">
        <v>2</v>
      </c>
      <c r="AU38" s="25">
        <v>8</v>
      </c>
      <c r="AV38" s="86">
        <v>0.61538461538461542</v>
      </c>
      <c r="AW38" s="25">
        <v>5</v>
      </c>
      <c r="AX38" s="26">
        <v>2</v>
      </c>
      <c r="AY38" s="88">
        <v>0.33333333333333331</v>
      </c>
      <c r="AZ38" s="26">
        <v>0</v>
      </c>
      <c r="BA38" s="26">
        <v>2</v>
      </c>
      <c r="BB38" s="26">
        <v>2</v>
      </c>
      <c r="BC38" s="26">
        <v>3</v>
      </c>
      <c r="BD38" s="88">
        <v>0.5</v>
      </c>
      <c r="BE38" s="43">
        <v>3</v>
      </c>
      <c r="BF38" s="315">
        <v>0</v>
      </c>
      <c r="BG38" s="316">
        <v>1</v>
      </c>
      <c r="BH38" s="317">
        <v>1</v>
      </c>
      <c r="BI38" s="317">
        <v>1</v>
      </c>
    </row>
    <row r="39" spans="1:61" x14ac:dyDescent="0.25">
      <c r="A39" s="29">
        <v>45900</v>
      </c>
      <c r="B39" s="5">
        <v>3</v>
      </c>
      <c r="C39" s="5" t="s">
        <v>192</v>
      </c>
      <c r="D39" s="7">
        <v>1</v>
      </c>
      <c r="E39" s="7">
        <v>0</v>
      </c>
      <c r="F39" s="5" t="s">
        <v>227</v>
      </c>
      <c r="H39" s="25">
        <v>45</v>
      </c>
      <c r="I39" s="26">
        <v>55</v>
      </c>
      <c r="J39" s="33">
        <v>1.21</v>
      </c>
      <c r="K39" s="34">
        <v>1.37</v>
      </c>
      <c r="L39" s="33">
        <v>1.21</v>
      </c>
      <c r="M39" s="33">
        <v>1.34</v>
      </c>
      <c r="N39" s="34">
        <v>1.37</v>
      </c>
      <c r="O39" s="34">
        <v>0.56999999999999995</v>
      </c>
      <c r="P39" s="25">
        <v>2</v>
      </c>
      <c r="Q39" s="26">
        <v>3</v>
      </c>
      <c r="R39" s="25">
        <v>10</v>
      </c>
      <c r="S39" s="26">
        <v>10</v>
      </c>
      <c r="T39" s="25">
        <v>3</v>
      </c>
      <c r="U39" s="26">
        <v>3</v>
      </c>
      <c r="V39" s="25">
        <v>1</v>
      </c>
      <c r="W39" s="26">
        <v>1</v>
      </c>
      <c r="Y39" s="34">
        <v>0.41</v>
      </c>
      <c r="Z39" s="25">
        <v>2</v>
      </c>
      <c r="AA39" s="26">
        <v>3</v>
      </c>
      <c r="AB39" s="25">
        <v>13</v>
      </c>
      <c r="AC39" s="26">
        <v>14</v>
      </c>
      <c r="AD39" s="25">
        <v>408</v>
      </c>
      <c r="AE39" s="26">
        <v>493</v>
      </c>
      <c r="AF39" s="25">
        <v>16</v>
      </c>
      <c r="AG39" s="26">
        <v>14</v>
      </c>
      <c r="AH39" s="25">
        <v>14</v>
      </c>
      <c r="AI39" s="26">
        <v>13</v>
      </c>
      <c r="AJ39" s="25">
        <v>2</v>
      </c>
      <c r="AK39" s="26">
        <v>3</v>
      </c>
      <c r="AL39" s="25">
        <v>0</v>
      </c>
      <c r="AM39" s="26">
        <v>0</v>
      </c>
      <c r="AN39" s="25">
        <v>0</v>
      </c>
      <c r="AO39" s="36">
        <v>0</v>
      </c>
      <c r="AP39" s="42">
        <v>4</v>
      </c>
      <c r="AQ39" s="83">
        <v>0.4</v>
      </c>
      <c r="AR39" s="25">
        <v>0</v>
      </c>
      <c r="AS39" s="25">
        <v>5</v>
      </c>
      <c r="AT39" s="25">
        <v>1</v>
      </c>
      <c r="AU39" s="25">
        <v>7</v>
      </c>
      <c r="AV39" s="86">
        <v>0.7</v>
      </c>
      <c r="AW39" s="25">
        <v>3</v>
      </c>
      <c r="AX39" s="26">
        <v>3</v>
      </c>
      <c r="AY39" s="88">
        <v>0.3</v>
      </c>
      <c r="AZ39" s="26">
        <v>1</v>
      </c>
      <c r="BA39" s="26">
        <v>5</v>
      </c>
      <c r="BB39" s="26">
        <v>2</v>
      </c>
      <c r="BC39" s="26">
        <v>6</v>
      </c>
      <c r="BD39" s="88">
        <v>0.6</v>
      </c>
      <c r="BE39" s="43">
        <v>4</v>
      </c>
      <c r="BF39" s="315">
        <v>0</v>
      </c>
      <c r="BG39" s="316">
        <v>0</v>
      </c>
      <c r="BH39" s="317">
        <v>0</v>
      </c>
      <c r="BI39" s="317">
        <v>0</v>
      </c>
    </row>
    <row r="40" spans="1:61" x14ac:dyDescent="0.25">
      <c r="A40" s="29">
        <v>45920</v>
      </c>
      <c r="B40" s="5">
        <v>5</v>
      </c>
      <c r="C40" s="5" t="s">
        <v>91</v>
      </c>
      <c r="D40" s="7">
        <v>2</v>
      </c>
      <c r="E40" s="7">
        <v>1</v>
      </c>
      <c r="F40" s="5" t="s">
        <v>227</v>
      </c>
      <c r="G40" s="5" t="s">
        <v>451</v>
      </c>
      <c r="H40" s="25">
        <v>66</v>
      </c>
      <c r="I40" s="26">
        <v>34</v>
      </c>
      <c r="J40" s="33">
        <v>2.5499999999999998</v>
      </c>
      <c r="K40" s="34">
        <v>1.8</v>
      </c>
      <c r="L40" s="33">
        <v>2.5499999999999998</v>
      </c>
      <c r="M40" s="33">
        <v>3.31</v>
      </c>
      <c r="N40" s="34">
        <v>1.1000000000000001</v>
      </c>
      <c r="O40" s="34">
        <v>1.05</v>
      </c>
      <c r="P40" s="25">
        <v>6</v>
      </c>
      <c r="Q40" s="26">
        <v>3</v>
      </c>
      <c r="R40" s="25">
        <v>26</v>
      </c>
      <c r="S40" s="26">
        <v>6</v>
      </c>
      <c r="T40" s="25">
        <v>2</v>
      </c>
      <c r="U40" s="26">
        <v>6</v>
      </c>
      <c r="V40" s="25">
        <v>0</v>
      </c>
      <c r="W40" s="26">
        <v>2</v>
      </c>
      <c r="Y40" s="34">
        <v>1.4</v>
      </c>
      <c r="Z40" s="25">
        <v>7</v>
      </c>
      <c r="AA40" s="26">
        <v>0</v>
      </c>
      <c r="AB40" s="25">
        <v>10</v>
      </c>
      <c r="AC40" s="26">
        <v>11</v>
      </c>
      <c r="AD40" s="25">
        <v>502</v>
      </c>
      <c r="AE40" s="26">
        <v>274</v>
      </c>
      <c r="AF40" s="25">
        <v>15</v>
      </c>
      <c r="AG40" s="26">
        <v>20</v>
      </c>
      <c r="AH40" s="25">
        <v>11</v>
      </c>
      <c r="AI40" s="26">
        <v>9</v>
      </c>
      <c r="AJ40" s="25">
        <v>2</v>
      </c>
      <c r="AK40" s="26">
        <v>3</v>
      </c>
      <c r="AL40" s="25">
        <v>0</v>
      </c>
      <c r="AM40" s="26">
        <v>1</v>
      </c>
      <c r="AN40" s="25">
        <v>0</v>
      </c>
      <c r="AO40" s="36">
        <v>0.7</v>
      </c>
      <c r="AP40" s="42">
        <v>8</v>
      </c>
      <c r="AQ40" s="83">
        <v>0.30769230769230771</v>
      </c>
      <c r="AR40" s="25">
        <v>0</v>
      </c>
      <c r="AS40" s="25">
        <v>12</v>
      </c>
      <c r="AT40" s="25">
        <v>6</v>
      </c>
      <c r="AU40" s="25">
        <v>14</v>
      </c>
      <c r="AV40" s="86">
        <v>0.53846153846153844</v>
      </c>
      <c r="AW40" s="25">
        <v>12</v>
      </c>
      <c r="AX40" s="26">
        <v>3</v>
      </c>
      <c r="AY40" s="88">
        <v>0.5</v>
      </c>
      <c r="AZ40" s="26">
        <v>0</v>
      </c>
      <c r="BA40" s="26">
        <v>3</v>
      </c>
      <c r="BB40" s="26">
        <v>0</v>
      </c>
      <c r="BC40" s="26">
        <v>6</v>
      </c>
      <c r="BD40" s="88">
        <v>1</v>
      </c>
      <c r="BE40" s="43">
        <v>0</v>
      </c>
      <c r="BF40" s="315">
        <v>0</v>
      </c>
      <c r="BG40" s="316">
        <v>0</v>
      </c>
      <c r="BH40" s="317">
        <v>0</v>
      </c>
      <c r="BI40" s="317">
        <v>0</v>
      </c>
    </row>
    <row r="41" spans="1:61" x14ac:dyDescent="0.25">
      <c r="A41" s="29">
        <v>45928</v>
      </c>
      <c r="B41" s="5">
        <v>7</v>
      </c>
      <c r="C41" s="5" t="s">
        <v>209</v>
      </c>
      <c r="D41" s="7">
        <v>2</v>
      </c>
      <c r="E41" s="7">
        <v>0</v>
      </c>
      <c r="F41" s="5" t="s">
        <v>227</v>
      </c>
      <c r="H41" s="25">
        <v>51</v>
      </c>
      <c r="I41" s="26">
        <v>49</v>
      </c>
      <c r="J41" s="33">
        <v>0.76</v>
      </c>
      <c r="K41" s="34">
        <v>0.7</v>
      </c>
      <c r="L41" s="33">
        <v>0.76</v>
      </c>
      <c r="M41" s="33">
        <v>1.31</v>
      </c>
      <c r="N41" s="34">
        <v>0.7</v>
      </c>
      <c r="O41" s="34">
        <v>0.09</v>
      </c>
      <c r="P41" s="25">
        <v>1</v>
      </c>
      <c r="Q41" s="26">
        <v>0</v>
      </c>
      <c r="R41" s="25">
        <v>12</v>
      </c>
      <c r="S41" s="26">
        <v>12</v>
      </c>
      <c r="T41" s="25">
        <v>1</v>
      </c>
      <c r="U41" s="26">
        <v>4</v>
      </c>
      <c r="V41" s="25">
        <v>0</v>
      </c>
      <c r="W41" s="26">
        <v>2</v>
      </c>
      <c r="Y41" s="34">
        <v>-0.62</v>
      </c>
      <c r="Z41" s="25">
        <v>5</v>
      </c>
      <c r="AA41" s="26">
        <v>5</v>
      </c>
      <c r="AB41" s="25">
        <v>6</v>
      </c>
      <c r="AC41" s="26">
        <v>7</v>
      </c>
      <c r="AD41" s="25">
        <v>519</v>
      </c>
      <c r="AE41" s="26">
        <v>493</v>
      </c>
      <c r="AF41" s="25">
        <v>13</v>
      </c>
      <c r="AG41" s="26">
        <v>12</v>
      </c>
      <c r="AH41" s="25">
        <v>7</v>
      </c>
      <c r="AI41" s="26">
        <v>6</v>
      </c>
      <c r="AJ41" s="25">
        <v>0</v>
      </c>
      <c r="AK41" s="26">
        <v>1</v>
      </c>
      <c r="AL41" s="25">
        <v>0</v>
      </c>
      <c r="AM41" s="26">
        <v>0</v>
      </c>
      <c r="AN41" s="25">
        <v>0</v>
      </c>
      <c r="AO41" s="36">
        <v>0</v>
      </c>
      <c r="AP41" s="42">
        <v>6</v>
      </c>
      <c r="AQ41" s="83">
        <v>0.5</v>
      </c>
      <c r="AR41" s="25">
        <v>0</v>
      </c>
      <c r="AS41" s="25">
        <v>3</v>
      </c>
      <c r="AT41" s="25">
        <v>3</v>
      </c>
      <c r="AU41" s="25">
        <v>6</v>
      </c>
      <c r="AV41" s="86">
        <v>0.5</v>
      </c>
      <c r="AW41" s="25">
        <v>6</v>
      </c>
      <c r="AX41" s="26">
        <v>1</v>
      </c>
      <c r="AY41" s="88">
        <v>8.3333333333333329E-2</v>
      </c>
      <c r="AZ41" s="26">
        <v>0</v>
      </c>
      <c r="BA41" s="26">
        <v>8</v>
      </c>
      <c r="BB41" s="26">
        <v>3</v>
      </c>
      <c r="BC41" s="26">
        <v>9</v>
      </c>
      <c r="BD41" s="88">
        <v>0.75</v>
      </c>
      <c r="BE41" s="43">
        <v>3</v>
      </c>
      <c r="BF41" s="315">
        <v>0</v>
      </c>
      <c r="BG41" s="316">
        <v>0</v>
      </c>
      <c r="BH41" s="317">
        <v>1</v>
      </c>
      <c r="BI41" s="317">
        <v>2</v>
      </c>
    </row>
    <row r="42" spans="1:61" x14ac:dyDescent="0.25">
      <c r="A42" s="229">
        <v>45948</v>
      </c>
      <c r="B42" s="230">
        <v>9</v>
      </c>
      <c r="C42" s="230" t="s">
        <v>193</v>
      </c>
      <c r="D42" s="233">
        <f>AVERAGE(D35:D41)</f>
        <v>2.2857142857142856</v>
      </c>
      <c r="E42" s="233">
        <f>AVERAGE(E35:E41)</f>
        <v>0.8571428571428571</v>
      </c>
      <c r="F42" s="230" t="s">
        <v>227</v>
      </c>
      <c r="G42" s="230"/>
      <c r="H42" s="230">
        <f t="shared" ref="H42:AM42" si="8">AVERAGE(H35:H41)</f>
        <v>54.142857142857146</v>
      </c>
      <c r="I42" s="230">
        <f t="shared" si="8"/>
        <v>45.857142857142854</v>
      </c>
      <c r="J42" s="232">
        <f t="shared" si="8"/>
        <v>1.8885714285714286</v>
      </c>
      <c r="K42" s="232">
        <f t="shared" si="8"/>
        <v>1.1042857142857143</v>
      </c>
      <c r="L42" s="102">
        <f t="shared" si="8"/>
        <v>1.7885714285714283</v>
      </c>
      <c r="M42" s="102">
        <f>AVERAGE(M35:M41)</f>
        <v>1.8100000000000003</v>
      </c>
      <c r="N42" s="232">
        <f t="shared" si="8"/>
        <v>1.0042857142857142</v>
      </c>
      <c r="O42" s="232">
        <f t="shared" si="8"/>
        <v>0.61571428571428566</v>
      </c>
      <c r="P42" s="100">
        <f t="shared" si="8"/>
        <v>4</v>
      </c>
      <c r="Q42" s="230">
        <f t="shared" si="8"/>
        <v>1.8571428571428572</v>
      </c>
      <c r="R42" s="230">
        <f t="shared" si="8"/>
        <v>14.571428571428571</v>
      </c>
      <c r="S42" s="230">
        <f t="shared" si="8"/>
        <v>8.1428571428571423</v>
      </c>
      <c r="T42" s="230">
        <f t="shared" si="8"/>
        <v>1.2857142857142858</v>
      </c>
      <c r="U42" s="230">
        <f t="shared" si="8"/>
        <v>3.7142857142857144</v>
      </c>
      <c r="V42" s="230">
        <f t="shared" si="8"/>
        <v>0.14285714285714285</v>
      </c>
      <c r="W42" s="230">
        <f t="shared" si="8"/>
        <v>0.7142857142857143</v>
      </c>
      <c r="X42" s="232">
        <f t="shared" si="8"/>
        <v>-0.59499999999999997</v>
      </c>
      <c r="Y42" s="232">
        <f t="shared" si="8"/>
        <v>0.39666666666666667</v>
      </c>
      <c r="Z42" s="230">
        <f t="shared" si="8"/>
        <v>6.7142857142857144</v>
      </c>
      <c r="AA42" s="230">
        <f t="shared" si="8"/>
        <v>3</v>
      </c>
      <c r="AB42" s="230">
        <f t="shared" si="8"/>
        <v>11.142857142857142</v>
      </c>
      <c r="AC42" s="230">
        <f t="shared" si="8"/>
        <v>11.428571428571429</v>
      </c>
      <c r="AD42" s="230">
        <f t="shared" si="8"/>
        <v>497.42857142857144</v>
      </c>
      <c r="AE42" s="230">
        <f t="shared" si="8"/>
        <v>425.14285714285717</v>
      </c>
      <c r="AF42" s="230">
        <f t="shared" si="8"/>
        <v>14.428571428571429</v>
      </c>
      <c r="AG42" s="230">
        <f t="shared" si="8"/>
        <v>15.571428571428571</v>
      </c>
      <c r="AH42" s="230">
        <f t="shared" si="8"/>
        <v>11.285714285714286</v>
      </c>
      <c r="AI42" s="230">
        <f t="shared" si="8"/>
        <v>11</v>
      </c>
      <c r="AJ42" s="230">
        <f t="shared" si="8"/>
        <v>2</v>
      </c>
      <c r="AK42" s="230">
        <f t="shared" si="8"/>
        <v>3.2857142857142856</v>
      </c>
      <c r="AL42" s="230">
        <f t="shared" si="8"/>
        <v>0</v>
      </c>
      <c r="AM42" s="230">
        <f t="shared" si="8"/>
        <v>0.14285714285714285</v>
      </c>
      <c r="AN42" s="230">
        <f t="shared" ref="AN42:BI42" si="9">AVERAGE(AN35:AN41)</f>
        <v>9.9999999999999992E-2</v>
      </c>
      <c r="AO42" s="310">
        <f t="shared" si="9"/>
        <v>9.9999999999999992E-2</v>
      </c>
      <c r="AP42" s="104">
        <f t="shared" si="9"/>
        <v>6</v>
      </c>
      <c r="AQ42" s="105">
        <f t="shared" si="9"/>
        <v>0.42609890109890103</v>
      </c>
      <c r="AR42" s="230">
        <f t="shared" si="9"/>
        <v>0.2857142857142857</v>
      </c>
      <c r="AS42" s="230">
        <f t="shared" si="9"/>
        <v>5.5714285714285712</v>
      </c>
      <c r="AT42" s="230">
        <f t="shared" si="9"/>
        <v>3</v>
      </c>
      <c r="AU42" s="230">
        <f t="shared" si="9"/>
        <v>9.1428571428571423</v>
      </c>
      <c r="AV42" s="107">
        <f t="shared" si="9"/>
        <v>0.62390109890109891</v>
      </c>
      <c r="AW42" s="230">
        <f t="shared" si="9"/>
        <v>5.4285714285714288</v>
      </c>
      <c r="AX42" s="100">
        <f t="shared" si="9"/>
        <v>2.1428571428571428</v>
      </c>
      <c r="AY42" s="312">
        <f t="shared" si="9"/>
        <v>0.28690476190476188</v>
      </c>
      <c r="AZ42" s="230">
        <f t="shared" si="9"/>
        <v>0.2857142857142857</v>
      </c>
      <c r="BA42" s="230">
        <f t="shared" si="9"/>
        <v>4.4285714285714288</v>
      </c>
      <c r="BB42" s="230">
        <f t="shared" si="9"/>
        <v>1.5714285714285714</v>
      </c>
      <c r="BC42" s="230">
        <f t="shared" si="9"/>
        <v>5.5714285714285712</v>
      </c>
      <c r="BD42" s="107">
        <f t="shared" si="9"/>
        <v>0.69484126984126982</v>
      </c>
      <c r="BE42" s="313">
        <f t="shared" si="9"/>
        <v>2.5714285714285716</v>
      </c>
      <c r="BF42" s="318">
        <f t="shared" si="9"/>
        <v>0.2857142857142857</v>
      </c>
      <c r="BG42" s="319">
        <f t="shared" si="9"/>
        <v>0.2857142857142857</v>
      </c>
      <c r="BH42" s="319">
        <f t="shared" si="9"/>
        <v>0.2857142857142857</v>
      </c>
      <c r="BI42" s="319">
        <f t="shared" si="9"/>
        <v>0.5714285714285714</v>
      </c>
    </row>
    <row r="43" spans="1:61" x14ac:dyDescent="0.25">
      <c r="A43" s="29">
        <v>45887</v>
      </c>
      <c r="B43" s="5">
        <v>1</v>
      </c>
      <c r="C43" s="5" t="s">
        <v>208</v>
      </c>
      <c r="D43" s="7">
        <v>1</v>
      </c>
      <c r="E43" s="7">
        <v>1</v>
      </c>
      <c r="F43" s="5" t="s">
        <v>209</v>
      </c>
      <c r="H43" s="25">
        <v>68</v>
      </c>
      <c r="I43" s="26">
        <v>32</v>
      </c>
      <c r="J43" s="33">
        <v>0.64</v>
      </c>
      <c r="K43" s="34">
        <v>1.86</v>
      </c>
      <c r="L43" s="33">
        <v>0.64</v>
      </c>
      <c r="M43" s="33">
        <v>0.71</v>
      </c>
      <c r="N43" s="34">
        <v>1.86</v>
      </c>
      <c r="O43" s="34">
        <v>1.46</v>
      </c>
      <c r="P43" s="25">
        <v>2</v>
      </c>
      <c r="Q43" s="26">
        <v>2</v>
      </c>
      <c r="R43" s="25">
        <v>6</v>
      </c>
      <c r="S43" s="26">
        <v>12</v>
      </c>
      <c r="T43" s="25">
        <v>3</v>
      </c>
      <c r="U43" s="26">
        <v>1</v>
      </c>
      <c r="V43" s="25">
        <v>0</v>
      </c>
      <c r="W43" s="26">
        <v>0</v>
      </c>
      <c r="X43" s="33">
        <v>0.54</v>
      </c>
      <c r="Y43" s="34">
        <v>-0.27</v>
      </c>
      <c r="Z43" s="25">
        <v>1</v>
      </c>
      <c r="AA43" s="26">
        <v>3</v>
      </c>
      <c r="AB43" s="25">
        <v>14</v>
      </c>
      <c r="AC43" s="26">
        <v>13</v>
      </c>
      <c r="AD43" s="25">
        <v>683</v>
      </c>
      <c r="AE43" s="26">
        <v>323</v>
      </c>
      <c r="AF43" s="25">
        <v>13</v>
      </c>
      <c r="AG43" s="26">
        <v>18</v>
      </c>
      <c r="AH43" s="25">
        <v>13</v>
      </c>
      <c r="AI43" s="26">
        <v>14</v>
      </c>
      <c r="AJ43" s="25">
        <v>0</v>
      </c>
      <c r="AK43" s="26">
        <v>1</v>
      </c>
      <c r="AL43" s="25">
        <v>0</v>
      </c>
      <c r="AM43" s="26">
        <v>0</v>
      </c>
      <c r="AN43" s="25">
        <v>0</v>
      </c>
      <c r="AO43" s="36">
        <v>0</v>
      </c>
      <c r="AP43" s="42">
        <v>2</v>
      </c>
      <c r="AQ43" s="83">
        <v>0.33333333333333331</v>
      </c>
      <c r="AR43" s="25">
        <v>0</v>
      </c>
      <c r="AS43" s="25">
        <v>3</v>
      </c>
      <c r="AT43" s="25">
        <v>1</v>
      </c>
      <c r="AU43" s="25">
        <v>3</v>
      </c>
      <c r="AV43" s="86">
        <v>0.5</v>
      </c>
      <c r="AW43" s="25">
        <v>3</v>
      </c>
      <c r="AX43" s="26">
        <v>4</v>
      </c>
      <c r="AY43" s="88">
        <v>0.33333333333333331</v>
      </c>
      <c r="AZ43" s="26">
        <v>0</v>
      </c>
      <c r="BA43" s="26">
        <v>4</v>
      </c>
      <c r="BB43" s="26">
        <v>4</v>
      </c>
      <c r="BC43" s="26">
        <v>6</v>
      </c>
      <c r="BD43" s="88">
        <v>0.5</v>
      </c>
      <c r="BE43" s="43">
        <v>6</v>
      </c>
      <c r="BF43" s="315">
        <v>1</v>
      </c>
      <c r="BG43" s="316">
        <v>0</v>
      </c>
      <c r="BH43" s="317">
        <v>0</v>
      </c>
      <c r="BI43" s="317">
        <v>0</v>
      </c>
    </row>
    <row r="44" spans="1:61" x14ac:dyDescent="0.25">
      <c r="A44" s="29">
        <v>45898</v>
      </c>
      <c r="B44" s="5">
        <v>3</v>
      </c>
      <c r="C44" s="5" t="s">
        <v>208</v>
      </c>
      <c r="D44" s="7">
        <v>2</v>
      </c>
      <c r="E44" s="7">
        <v>0</v>
      </c>
      <c r="F44" s="5" t="s">
        <v>129</v>
      </c>
      <c r="H44" s="25">
        <v>67</v>
      </c>
      <c r="I44" s="26">
        <v>33</v>
      </c>
      <c r="J44" s="33">
        <v>1.1200000000000001</v>
      </c>
      <c r="K44" s="34">
        <v>0.71</v>
      </c>
      <c r="L44" s="33">
        <v>1.1200000000000001</v>
      </c>
      <c r="M44" s="33">
        <v>1.56</v>
      </c>
      <c r="N44" s="34">
        <v>0.71</v>
      </c>
      <c r="O44" s="34">
        <v>0.23</v>
      </c>
      <c r="P44" s="25">
        <v>1</v>
      </c>
      <c r="Q44" s="26">
        <v>1</v>
      </c>
      <c r="R44" s="25">
        <v>16</v>
      </c>
      <c r="S44" s="26">
        <v>11</v>
      </c>
      <c r="T44" s="25">
        <v>1</v>
      </c>
      <c r="U44" s="26">
        <v>3</v>
      </c>
      <c r="V44" s="25">
        <v>0</v>
      </c>
      <c r="W44" s="26">
        <v>0</v>
      </c>
      <c r="X44" s="33">
        <v>0.23</v>
      </c>
      <c r="Y44" s="34">
        <v>-0.37</v>
      </c>
      <c r="Z44" s="25">
        <v>4</v>
      </c>
      <c r="AA44" s="26">
        <v>2</v>
      </c>
      <c r="AB44" s="25">
        <v>14</v>
      </c>
      <c r="AC44" s="26">
        <v>17</v>
      </c>
      <c r="AD44" s="25">
        <v>569</v>
      </c>
      <c r="AE44" s="26">
        <v>272</v>
      </c>
      <c r="AF44" s="25">
        <v>13</v>
      </c>
      <c r="AG44" s="26">
        <v>13</v>
      </c>
      <c r="AH44" s="25">
        <v>17</v>
      </c>
      <c r="AI44" s="26">
        <v>14</v>
      </c>
      <c r="AJ44" s="25">
        <v>1</v>
      </c>
      <c r="AK44" s="26">
        <v>2</v>
      </c>
      <c r="AL44" s="25">
        <v>0</v>
      </c>
      <c r="AM44" s="26">
        <v>0</v>
      </c>
      <c r="AN44" s="25">
        <v>0</v>
      </c>
      <c r="AO44" s="36">
        <v>0</v>
      </c>
      <c r="AP44" s="42">
        <v>5</v>
      </c>
      <c r="AQ44" s="83">
        <v>0.3125</v>
      </c>
      <c r="AR44" s="25">
        <v>0</v>
      </c>
      <c r="AS44" s="25">
        <v>7</v>
      </c>
      <c r="AT44" s="25">
        <v>4</v>
      </c>
      <c r="AU44" s="25">
        <v>13</v>
      </c>
      <c r="AV44" s="86">
        <v>0.8125</v>
      </c>
      <c r="AW44" s="25">
        <v>3</v>
      </c>
      <c r="AX44" s="26">
        <v>1</v>
      </c>
      <c r="AY44" s="88">
        <v>9.0909090909090912E-2</v>
      </c>
      <c r="AZ44" s="26">
        <v>0</v>
      </c>
      <c r="BA44" s="26">
        <v>8</v>
      </c>
      <c r="BB44" s="26">
        <v>2</v>
      </c>
      <c r="BC44" s="26">
        <v>5</v>
      </c>
      <c r="BD44" s="88">
        <v>0.45454545454545453</v>
      </c>
      <c r="BE44" s="43">
        <v>6</v>
      </c>
      <c r="BF44" s="315">
        <v>1</v>
      </c>
      <c r="BG44" s="316">
        <v>0</v>
      </c>
      <c r="BH44" s="317">
        <v>0</v>
      </c>
      <c r="BI44" s="317">
        <v>0</v>
      </c>
    </row>
    <row r="45" spans="1:61" x14ac:dyDescent="0.25">
      <c r="A45" s="29">
        <v>45921</v>
      </c>
      <c r="B45" s="5">
        <v>5</v>
      </c>
      <c r="C45" s="5" t="s">
        <v>208</v>
      </c>
      <c r="D45" s="7">
        <v>1</v>
      </c>
      <c r="E45" s="7">
        <v>0</v>
      </c>
      <c r="F45" s="5" t="s">
        <v>92</v>
      </c>
      <c r="H45" s="25">
        <v>61</v>
      </c>
      <c r="I45" s="26">
        <v>39</v>
      </c>
      <c r="J45" s="33">
        <v>1.55</v>
      </c>
      <c r="K45" s="34">
        <v>1.0900000000000001</v>
      </c>
      <c r="L45" s="33">
        <v>1.55</v>
      </c>
      <c r="M45" s="33">
        <v>1.43</v>
      </c>
      <c r="N45" s="34">
        <v>1.0900000000000001</v>
      </c>
      <c r="O45" s="34">
        <v>0.5</v>
      </c>
      <c r="P45" s="25">
        <v>1</v>
      </c>
      <c r="Q45" s="26">
        <v>2</v>
      </c>
      <c r="R45" s="25">
        <v>15</v>
      </c>
      <c r="S45" s="26">
        <v>12</v>
      </c>
      <c r="T45" s="25">
        <v>4</v>
      </c>
      <c r="U45" s="26">
        <v>4</v>
      </c>
      <c r="V45" s="25">
        <v>0</v>
      </c>
      <c r="W45" s="26">
        <v>0</v>
      </c>
      <c r="X45" s="33">
        <v>0.54</v>
      </c>
      <c r="Y45" s="34">
        <v>0.44</v>
      </c>
      <c r="Z45" s="25">
        <v>3</v>
      </c>
      <c r="AA45" s="26">
        <v>3</v>
      </c>
      <c r="AB45" s="25">
        <v>9</v>
      </c>
      <c r="AC45" s="26">
        <v>18</v>
      </c>
      <c r="AD45" s="25">
        <v>601</v>
      </c>
      <c r="AE45" s="26">
        <v>372</v>
      </c>
      <c r="AF45" s="25">
        <v>18</v>
      </c>
      <c r="AG45" s="26">
        <v>16</v>
      </c>
      <c r="AH45" s="25">
        <v>18</v>
      </c>
      <c r="AI45" s="26">
        <v>9</v>
      </c>
      <c r="AJ45" s="25">
        <v>2</v>
      </c>
      <c r="AK45" s="26">
        <v>2</v>
      </c>
      <c r="AL45" s="25">
        <v>0</v>
      </c>
      <c r="AM45" s="26">
        <v>0</v>
      </c>
      <c r="AN45" s="25">
        <v>0</v>
      </c>
      <c r="AO45" s="36">
        <v>0</v>
      </c>
      <c r="AP45" s="42">
        <v>5</v>
      </c>
      <c r="AQ45" s="83">
        <v>0.33333333333333331</v>
      </c>
      <c r="AR45" s="25">
        <v>1</v>
      </c>
      <c r="AS45" s="25">
        <v>4</v>
      </c>
      <c r="AT45" s="25">
        <v>6</v>
      </c>
      <c r="AU45" s="25">
        <v>10</v>
      </c>
      <c r="AV45" s="86">
        <v>0.66666666666666663</v>
      </c>
      <c r="AW45" s="25">
        <v>5</v>
      </c>
      <c r="AX45" s="26">
        <v>4</v>
      </c>
      <c r="AY45" s="88">
        <v>0.33333333333333331</v>
      </c>
      <c r="AZ45" s="26">
        <v>0</v>
      </c>
      <c r="BA45" s="26">
        <v>5</v>
      </c>
      <c r="BB45" s="26">
        <v>3</v>
      </c>
      <c r="BC45" s="26">
        <v>8</v>
      </c>
      <c r="BD45" s="88">
        <v>0.66666666666666663</v>
      </c>
      <c r="BE45" s="43">
        <v>4</v>
      </c>
      <c r="BF45" s="315">
        <v>2</v>
      </c>
      <c r="BG45" s="316">
        <v>0</v>
      </c>
      <c r="BH45" s="317">
        <v>1</v>
      </c>
      <c r="BI45" s="317">
        <v>0</v>
      </c>
    </row>
    <row r="46" spans="1:61" x14ac:dyDescent="0.25">
      <c r="A46" s="29">
        <v>45928</v>
      </c>
      <c r="B46" s="5">
        <v>7</v>
      </c>
      <c r="C46" s="5" t="s">
        <v>208</v>
      </c>
      <c r="D46" s="7">
        <v>2</v>
      </c>
      <c r="E46" s="7">
        <v>1</v>
      </c>
      <c r="F46" s="5" t="s">
        <v>456</v>
      </c>
      <c r="H46" s="25">
        <v>62</v>
      </c>
      <c r="I46" s="26">
        <v>38</v>
      </c>
      <c r="J46" s="33">
        <v>3.58</v>
      </c>
      <c r="K46" s="34">
        <v>1.77</v>
      </c>
      <c r="L46" s="33">
        <v>2.88</v>
      </c>
      <c r="M46" s="33">
        <v>2.16</v>
      </c>
      <c r="N46" s="34">
        <v>1.77</v>
      </c>
      <c r="O46" s="34">
        <v>0.27</v>
      </c>
      <c r="P46" s="25">
        <v>7</v>
      </c>
      <c r="Q46" s="26">
        <v>2</v>
      </c>
      <c r="R46" s="25">
        <v>17</v>
      </c>
      <c r="S46" s="26">
        <v>8</v>
      </c>
      <c r="T46" s="25">
        <v>1</v>
      </c>
      <c r="U46" s="26">
        <v>6</v>
      </c>
      <c r="V46" s="25">
        <v>0</v>
      </c>
      <c r="W46" s="26">
        <v>1</v>
      </c>
      <c r="X46" s="33">
        <v>-0.73</v>
      </c>
      <c r="Y46" s="34">
        <v>0.87</v>
      </c>
      <c r="Z46" s="25">
        <v>7</v>
      </c>
      <c r="AA46" s="26">
        <v>2</v>
      </c>
      <c r="AB46" s="25">
        <v>12</v>
      </c>
      <c r="AC46" s="26">
        <v>20</v>
      </c>
      <c r="AD46" s="25">
        <v>574</v>
      </c>
      <c r="AE46" s="26">
        <v>358</v>
      </c>
      <c r="AF46" s="25">
        <v>16</v>
      </c>
      <c r="AG46" s="26">
        <v>23</v>
      </c>
      <c r="AH46" s="25">
        <v>19</v>
      </c>
      <c r="AI46" s="26">
        <v>12</v>
      </c>
      <c r="AJ46" s="25">
        <v>3</v>
      </c>
      <c r="AK46" s="26">
        <v>3</v>
      </c>
      <c r="AL46" s="25">
        <v>0</v>
      </c>
      <c r="AM46" s="26">
        <v>0</v>
      </c>
      <c r="AN46" s="25">
        <v>0.7</v>
      </c>
      <c r="AO46" s="36">
        <v>0</v>
      </c>
      <c r="AP46" s="42">
        <v>8</v>
      </c>
      <c r="AQ46" s="83">
        <v>0.47058823529411764</v>
      </c>
      <c r="AR46" s="25">
        <v>0</v>
      </c>
      <c r="AS46" s="25">
        <v>4</v>
      </c>
      <c r="AT46" s="25">
        <v>5</v>
      </c>
      <c r="AU46" s="25">
        <v>15</v>
      </c>
      <c r="AV46" s="86">
        <v>0.88235294117647056</v>
      </c>
      <c r="AW46" s="25">
        <v>2</v>
      </c>
      <c r="AX46" s="26">
        <v>2</v>
      </c>
      <c r="AY46" s="88">
        <v>0.25</v>
      </c>
      <c r="AZ46" s="26">
        <v>0</v>
      </c>
      <c r="BA46" s="26">
        <v>3</v>
      </c>
      <c r="BB46" s="26">
        <v>3</v>
      </c>
      <c r="BC46" s="26">
        <v>7</v>
      </c>
      <c r="BD46" s="88">
        <v>0.875</v>
      </c>
      <c r="BE46" s="43">
        <v>1</v>
      </c>
      <c r="BF46" s="315">
        <v>1</v>
      </c>
      <c r="BG46" s="316">
        <v>0</v>
      </c>
      <c r="BH46" s="317">
        <v>0</v>
      </c>
      <c r="BI46" s="317">
        <v>0</v>
      </c>
    </row>
    <row r="47" spans="1:61" x14ac:dyDescent="0.25">
      <c r="A47" s="29">
        <v>45900</v>
      </c>
      <c r="B47" s="5">
        <v>3</v>
      </c>
      <c r="C47" s="5" t="s">
        <v>209</v>
      </c>
      <c r="D47" s="7">
        <v>1</v>
      </c>
      <c r="E47" s="7">
        <v>2</v>
      </c>
      <c r="F47" s="5" t="s">
        <v>170</v>
      </c>
      <c r="H47" s="25">
        <v>50</v>
      </c>
      <c r="I47" s="26">
        <v>50</v>
      </c>
      <c r="J47" s="33">
        <v>0.62</v>
      </c>
      <c r="K47" s="34">
        <v>1.1100000000000001</v>
      </c>
      <c r="L47" s="33">
        <v>0.62</v>
      </c>
      <c r="M47" s="33">
        <v>1.02</v>
      </c>
      <c r="N47" s="34">
        <v>1.1100000000000001</v>
      </c>
      <c r="O47" s="34">
        <v>0.73</v>
      </c>
      <c r="P47" s="25">
        <v>1</v>
      </c>
      <c r="Q47" s="26">
        <v>2</v>
      </c>
      <c r="R47" s="25">
        <v>9</v>
      </c>
      <c r="S47" s="26">
        <v>15</v>
      </c>
      <c r="T47" s="25">
        <v>5</v>
      </c>
      <c r="U47" s="26">
        <v>1</v>
      </c>
      <c r="V47" s="25">
        <v>0</v>
      </c>
      <c r="W47" s="26">
        <v>0</v>
      </c>
      <c r="X47" s="33">
        <v>-1.1399999999999999</v>
      </c>
      <c r="Y47" s="34">
        <v>0.02</v>
      </c>
      <c r="Z47" s="25">
        <v>4</v>
      </c>
      <c r="AA47" s="26">
        <v>10</v>
      </c>
      <c r="AB47" s="25">
        <v>9</v>
      </c>
      <c r="AC47" s="26">
        <v>16</v>
      </c>
      <c r="AD47" s="25">
        <v>454</v>
      </c>
      <c r="AE47" s="26">
        <v>440</v>
      </c>
      <c r="AF47" s="25">
        <v>25</v>
      </c>
      <c r="AG47" s="26">
        <v>15</v>
      </c>
      <c r="AH47" s="25">
        <v>16</v>
      </c>
      <c r="AI47" s="26">
        <v>9</v>
      </c>
      <c r="AJ47" s="25">
        <v>1</v>
      </c>
      <c r="AK47" s="26">
        <v>4</v>
      </c>
      <c r="AL47" s="25">
        <v>0</v>
      </c>
      <c r="AM47" s="26">
        <v>1</v>
      </c>
      <c r="AN47" s="25">
        <v>0</v>
      </c>
      <c r="AO47" s="36">
        <v>0</v>
      </c>
      <c r="AP47" s="42">
        <v>2</v>
      </c>
      <c r="AQ47" s="83">
        <v>0.22222222222222221</v>
      </c>
      <c r="AR47" s="25">
        <v>0</v>
      </c>
      <c r="AS47" s="25">
        <v>4</v>
      </c>
      <c r="AT47" s="25">
        <v>3</v>
      </c>
      <c r="AU47" s="25">
        <v>6</v>
      </c>
      <c r="AV47" s="86">
        <v>0.66666666666666663</v>
      </c>
      <c r="AW47" s="25">
        <v>3</v>
      </c>
      <c r="AX47" s="26">
        <v>6</v>
      </c>
      <c r="AY47" s="88">
        <v>0.4</v>
      </c>
      <c r="AZ47" s="26">
        <v>0</v>
      </c>
      <c r="BA47" s="26">
        <v>5</v>
      </c>
      <c r="BB47" s="26">
        <v>4</v>
      </c>
      <c r="BC47" s="26">
        <v>9</v>
      </c>
      <c r="BD47" s="88">
        <v>0.6</v>
      </c>
      <c r="BE47" s="43">
        <v>6</v>
      </c>
      <c r="BF47" s="315">
        <v>0</v>
      </c>
      <c r="BG47" s="316">
        <v>0</v>
      </c>
      <c r="BH47" s="317">
        <v>1</v>
      </c>
      <c r="BI47" s="317">
        <v>0</v>
      </c>
    </row>
    <row r="48" spans="1:61" x14ac:dyDescent="0.25">
      <c r="A48" s="29">
        <v>45920</v>
      </c>
      <c r="B48" s="5">
        <v>5</v>
      </c>
      <c r="C48" s="5" t="s">
        <v>145</v>
      </c>
      <c r="D48" s="7">
        <v>2</v>
      </c>
      <c r="E48" s="7">
        <v>0</v>
      </c>
      <c r="F48" s="5" t="s">
        <v>170</v>
      </c>
      <c r="G48" s="5" t="s">
        <v>455</v>
      </c>
      <c r="H48" s="25">
        <v>44</v>
      </c>
      <c r="I48" s="26">
        <v>56</v>
      </c>
      <c r="J48" s="33">
        <v>1.88</v>
      </c>
      <c r="K48" s="34">
        <v>0.49</v>
      </c>
      <c r="L48" s="33">
        <v>1.88</v>
      </c>
      <c r="M48" s="33">
        <v>2.41</v>
      </c>
      <c r="N48" s="34">
        <v>0.49</v>
      </c>
      <c r="O48" s="34">
        <v>0.49</v>
      </c>
      <c r="P48" s="25">
        <v>4</v>
      </c>
      <c r="Q48" s="26">
        <v>0</v>
      </c>
      <c r="R48" s="25">
        <v>13</v>
      </c>
      <c r="S48" s="26">
        <v>11</v>
      </c>
      <c r="T48" s="25">
        <v>6</v>
      </c>
      <c r="U48" s="26">
        <v>3</v>
      </c>
      <c r="V48" s="25">
        <v>2</v>
      </c>
      <c r="W48" s="26">
        <v>1</v>
      </c>
      <c r="X48" s="33">
        <v>0.64</v>
      </c>
      <c r="Y48" s="34">
        <v>0.47</v>
      </c>
      <c r="Z48" s="25">
        <v>5</v>
      </c>
      <c r="AA48" s="26">
        <v>6</v>
      </c>
      <c r="AB48" s="25">
        <v>13</v>
      </c>
      <c r="AC48" s="26">
        <v>6</v>
      </c>
      <c r="AD48" s="25">
        <v>378</v>
      </c>
      <c r="AE48" s="26">
        <v>486</v>
      </c>
      <c r="AF48" s="25">
        <v>20</v>
      </c>
      <c r="AG48" s="26">
        <v>14</v>
      </c>
      <c r="AH48" s="25">
        <v>6</v>
      </c>
      <c r="AI48" s="26">
        <v>13</v>
      </c>
      <c r="AJ48" s="25">
        <v>1</v>
      </c>
      <c r="AK48" s="26">
        <v>1</v>
      </c>
      <c r="AL48" s="25">
        <v>0</v>
      </c>
      <c r="AM48" s="26">
        <v>1</v>
      </c>
      <c r="AN48" s="25">
        <v>0</v>
      </c>
      <c r="AO48" s="36">
        <v>0</v>
      </c>
      <c r="AP48" s="42">
        <v>5</v>
      </c>
      <c r="AQ48" s="83">
        <v>0.38461538461538464</v>
      </c>
      <c r="AR48" s="25">
        <v>0</v>
      </c>
      <c r="AS48" s="25">
        <v>6</v>
      </c>
      <c r="AT48" s="25">
        <v>2</v>
      </c>
      <c r="AU48" s="25">
        <v>10</v>
      </c>
      <c r="AV48" s="86">
        <v>0.76923076923076927</v>
      </c>
      <c r="AW48" s="25">
        <v>3</v>
      </c>
      <c r="AX48" s="26">
        <v>5</v>
      </c>
      <c r="AY48" s="88">
        <v>0.45454545454545453</v>
      </c>
      <c r="AZ48" s="26">
        <v>0</v>
      </c>
      <c r="BA48" s="26">
        <v>2</v>
      </c>
      <c r="BB48" s="26">
        <v>4</v>
      </c>
      <c r="BC48" s="26">
        <v>7</v>
      </c>
      <c r="BD48" s="88">
        <v>0.63636363636363635</v>
      </c>
      <c r="BE48" s="43">
        <v>4</v>
      </c>
      <c r="BF48" s="315">
        <v>0</v>
      </c>
      <c r="BG48" s="316">
        <v>0</v>
      </c>
      <c r="BH48" s="317">
        <v>0</v>
      </c>
      <c r="BI48" s="317">
        <v>0</v>
      </c>
    </row>
    <row r="49" spans="1:61" x14ac:dyDescent="0.25">
      <c r="A49" s="29">
        <v>45927</v>
      </c>
      <c r="B49" s="5">
        <v>7</v>
      </c>
      <c r="C49" s="5" t="s">
        <v>91</v>
      </c>
      <c r="D49" s="7">
        <v>1</v>
      </c>
      <c r="E49" s="7">
        <v>0</v>
      </c>
      <c r="F49" s="5" t="s">
        <v>170</v>
      </c>
      <c r="H49" s="25">
        <v>42</v>
      </c>
      <c r="I49" s="26">
        <v>58</v>
      </c>
      <c r="J49" s="33">
        <v>1.22</v>
      </c>
      <c r="K49" s="34">
        <v>1.44</v>
      </c>
      <c r="L49" s="33">
        <v>1.22</v>
      </c>
      <c r="M49" s="33">
        <v>1.5</v>
      </c>
      <c r="N49" s="34">
        <v>1.44</v>
      </c>
      <c r="O49" s="34">
        <v>0.71</v>
      </c>
      <c r="P49" s="25">
        <v>3</v>
      </c>
      <c r="Q49" s="26">
        <v>2</v>
      </c>
      <c r="R49" s="25">
        <v>14</v>
      </c>
      <c r="S49" s="26">
        <v>16</v>
      </c>
      <c r="T49" s="25">
        <v>4</v>
      </c>
      <c r="U49" s="26">
        <v>4</v>
      </c>
      <c r="V49" s="25">
        <v>0</v>
      </c>
      <c r="W49" s="26">
        <v>0</v>
      </c>
      <c r="X49" s="33">
        <v>0.72</v>
      </c>
      <c r="Y49" s="34">
        <v>0.57999999999999996</v>
      </c>
      <c r="Z49" s="25">
        <v>6</v>
      </c>
      <c r="AA49" s="26">
        <v>5</v>
      </c>
      <c r="AB49" s="25">
        <v>13</v>
      </c>
      <c r="AC49" s="26">
        <v>11</v>
      </c>
      <c r="AD49" s="25">
        <v>373</v>
      </c>
      <c r="AE49" s="26">
        <v>506</v>
      </c>
      <c r="AF49" s="25">
        <v>23</v>
      </c>
      <c r="AG49" s="26">
        <v>12</v>
      </c>
      <c r="AH49" s="25">
        <v>11</v>
      </c>
      <c r="AI49" s="26">
        <v>13</v>
      </c>
      <c r="AJ49" s="25">
        <v>2</v>
      </c>
      <c r="AK49" s="26">
        <v>0</v>
      </c>
      <c r="AL49" s="25">
        <v>0</v>
      </c>
      <c r="AM49" s="26">
        <v>0</v>
      </c>
      <c r="AN49" s="25">
        <v>0</v>
      </c>
      <c r="AO49" s="36">
        <v>0</v>
      </c>
      <c r="AP49" s="42">
        <v>5</v>
      </c>
      <c r="AQ49" s="83">
        <v>0.35714285714285715</v>
      </c>
      <c r="AR49" s="25">
        <v>1</v>
      </c>
      <c r="AS49" s="25">
        <v>6</v>
      </c>
      <c r="AT49" s="25">
        <v>3</v>
      </c>
      <c r="AU49" s="25">
        <v>10</v>
      </c>
      <c r="AV49" s="86">
        <v>0.7142857142857143</v>
      </c>
      <c r="AW49" s="25">
        <v>4</v>
      </c>
      <c r="AX49" s="26">
        <v>4</v>
      </c>
      <c r="AY49" s="88">
        <v>0.25</v>
      </c>
      <c r="AZ49" s="26">
        <v>1</v>
      </c>
      <c r="BA49" s="26">
        <v>5</v>
      </c>
      <c r="BB49" s="26">
        <v>7</v>
      </c>
      <c r="BC49" s="26">
        <v>10</v>
      </c>
      <c r="BD49" s="88">
        <v>0.625</v>
      </c>
      <c r="BE49" s="43">
        <v>6</v>
      </c>
      <c r="BF49" s="315">
        <v>2</v>
      </c>
      <c r="BG49" s="316">
        <v>0</v>
      </c>
      <c r="BH49" s="317">
        <v>2</v>
      </c>
      <c r="BI49" s="317">
        <v>0</v>
      </c>
    </row>
    <row r="50" spans="1:61" x14ac:dyDescent="0.25">
      <c r="A50" s="229">
        <v>45949</v>
      </c>
      <c r="B50" s="230">
        <v>9</v>
      </c>
      <c r="C50" s="230" t="s">
        <v>208</v>
      </c>
      <c r="D50" s="233">
        <f>AVERAGE(D43:D49)</f>
        <v>1.4285714285714286</v>
      </c>
      <c r="E50" s="233">
        <f>AVERAGE(E43:E49)</f>
        <v>0.5714285714285714</v>
      </c>
      <c r="F50" s="230" t="s">
        <v>170</v>
      </c>
      <c r="G50" s="230"/>
      <c r="H50" s="230">
        <f t="shared" ref="H50:AM50" si="10">AVERAGE(H43:H49)</f>
        <v>56.285714285714285</v>
      </c>
      <c r="I50" s="230">
        <f t="shared" si="10"/>
        <v>43.714285714285715</v>
      </c>
      <c r="J50" s="232">
        <f t="shared" si="10"/>
        <v>1.5157142857142858</v>
      </c>
      <c r="K50" s="232">
        <f t="shared" si="10"/>
        <v>1.2100000000000002</v>
      </c>
      <c r="L50" s="102">
        <f t="shared" si="10"/>
        <v>1.4157142857142859</v>
      </c>
      <c r="M50" s="102">
        <f>AVERAGE(M43:M49)</f>
        <v>1.5414285714285716</v>
      </c>
      <c r="N50" s="102">
        <f t="shared" si="10"/>
        <v>1.2100000000000002</v>
      </c>
      <c r="O50" s="232">
        <f t="shared" si="10"/>
        <v>0.62714285714285711</v>
      </c>
      <c r="P50" s="100">
        <f t="shared" si="10"/>
        <v>2.7142857142857144</v>
      </c>
      <c r="Q50" s="230">
        <f t="shared" si="10"/>
        <v>1.5714285714285714</v>
      </c>
      <c r="R50" s="230">
        <f t="shared" si="10"/>
        <v>12.857142857142858</v>
      </c>
      <c r="S50" s="230">
        <f t="shared" si="10"/>
        <v>12.142857142857142</v>
      </c>
      <c r="T50" s="230">
        <f t="shared" si="10"/>
        <v>3.4285714285714284</v>
      </c>
      <c r="U50" s="230">
        <f t="shared" si="10"/>
        <v>3.1428571428571428</v>
      </c>
      <c r="V50" s="230">
        <f t="shared" si="10"/>
        <v>0.2857142857142857</v>
      </c>
      <c r="W50" s="230">
        <f t="shared" si="10"/>
        <v>0.2857142857142857</v>
      </c>
      <c r="X50" s="232">
        <f t="shared" si="10"/>
        <v>0.11428571428571431</v>
      </c>
      <c r="Y50" s="232">
        <f t="shared" si="10"/>
        <v>0.24857142857142853</v>
      </c>
      <c r="Z50" s="230">
        <f t="shared" si="10"/>
        <v>4.2857142857142856</v>
      </c>
      <c r="AA50" s="230">
        <f t="shared" si="10"/>
        <v>4.4285714285714288</v>
      </c>
      <c r="AB50" s="230">
        <f t="shared" si="10"/>
        <v>12</v>
      </c>
      <c r="AC50" s="230">
        <f t="shared" si="10"/>
        <v>14.428571428571429</v>
      </c>
      <c r="AD50" s="230">
        <f t="shared" si="10"/>
        <v>518.85714285714289</v>
      </c>
      <c r="AE50" s="230">
        <f t="shared" si="10"/>
        <v>393.85714285714283</v>
      </c>
      <c r="AF50" s="230">
        <f t="shared" si="10"/>
        <v>18.285714285714285</v>
      </c>
      <c r="AG50" s="230">
        <f t="shared" si="10"/>
        <v>15.857142857142858</v>
      </c>
      <c r="AH50" s="230">
        <f t="shared" si="10"/>
        <v>14.285714285714286</v>
      </c>
      <c r="AI50" s="230">
        <f t="shared" si="10"/>
        <v>12</v>
      </c>
      <c r="AJ50" s="230">
        <f t="shared" si="10"/>
        <v>1.4285714285714286</v>
      </c>
      <c r="AK50" s="230">
        <f t="shared" si="10"/>
        <v>1.8571428571428572</v>
      </c>
      <c r="AL50" s="230">
        <f t="shared" si="10"/>
        <v>0</v>
      </c>
      <c r="AM50" s="230">
        <f t="shared" si="10"/>
        <v>0.2857142857142857</v>
      </c>
      <c r="AN50" s="230">
        <f t="shared" ref="AN50:BI50" si="11">AVERAGE(AN43:AN49)</f>
        <v>9.9999999999999992E-2</v>
      </c>
      <c r="AO50" s="310">
        <f t="shared" si="11"/>
        <v>0</v>
      </c>
      <c r="AP50" s="104">
        <f t="shared" si="11"/>
        <v>4.5714285714285712</v>
      </c>
      <c r="AQ50" s="105">
        <f t="shared" si="11"/>
        <v>0.34481933799160691</v>
      </c>
      <c r="AR50" s="230">
        <f t="shared" si="11"/>
        <v>0.2857142857142857</v>
      </c>
      <c r="AS50" s="230">
        <f t="shared" si="11"/>
        <v>4.8571428571428568</v>
      </c>
      <c r="AT50" s="230">
        <f t="shared" si="11"/>
        <v>3.4285714285714284</v>
      </c>
      <c r="AU50" s="230">
        <f t="shared" si="11"/>
        <v>9.5714285714285712</v>
      </c>
      <c r="AV50" s="107">
        <f t="shared" si="11"/>
        <v>0.71595753686089825</v>
      </c>
      <c r="AW50" s="230">
        <f t="shared" si="11"/>
        <v>3.2857142857142856</v>
      </c>
      <c r="AX50" s="100">
        <f t="shared" si="11"/>
        <v>3.7142857142857144</v>
      </c>
      <c r="AY50" s="107">
        <f t="shared" si="11"/>
        <v>0.30173160173160174</v>
      </c>
      <c r="AZ50" s="230">
        <f t="shared" si="11"/>
        <v>0.14285714285714285</v>
      </c>
      <c r="BA50" s="230">
        <f t="shared" si="11"/>
        <v>4.5714285714285712</v>
      </c>
      <c r="BB50" s="230">
        <f t="shared" si="11"/>
        <v>3.8571428571428572</v>
      </c>
      <c r="BC50" s="230">
        <f t="shared" si="11"/>
        <v>7.4285714285714288</v>
      </c>
      <c r="BD50" s="107">
        <f t="shared" si="11"/>
        <v>0.62251082251082246</v>
      </c>
      <c r="BE50" s="313">
        <f t="shared" si="11"/>
        <v>4.7142857142857144</v>
      </c>
      <c r="BF50" s="318">
        <f t="shared" si="11"/>
        <v>1</v>
      </c>
      <c r="BG50" s="319">
        <f t="shared" si="11"/>
        <v>0</v>
      </c>
      <c r="BH50" s="319">
        <f t="shared" si="11"/>
        <v>0.5714285714285714</v>
      </c>
      <c r="BI50" s="319">
        <f t="shared" si="11"/>
        <v>0</v>
      </c>
    </row>
    <row r="51" spans="1:61" x14ac:dyDescent="0.25">
      <c r="A51" s="29">
        <v>45886</v>
      </c>
      <c r="B51" s="5">
        <v>1</v>
      </c>
      <c r="C51" s="5" t="s">
        <v>456</v>
      </c>
      <c r="D51" s="7">
        <v>0</v>
      </c>
      <c r="E51" s="7">
        <v>2</v>
      </c>
      <c r="F51" s="5" t="s">
        <v>161</v>
      </c>
      <c r="H51" s="25">
        <v>69</v>
      </c>
      <c r="I51" s="26">
        <v>31</v>
      </c>
      <c r="J51" s="33">
        <v>0.73</v>
      </c>
      <c r="K51" s="34">
        <v>1.43</v>
      </c>
      <c r="L51" s="33">
        <v>0.73</v>
      </c>
      <c r="M51" s="33">
        <v>0.34</v>
      </c>
      <c r="N51" s="34">
        <v>1.43</v>
      </c>
      <c r="O51" s="34">
        <v>1.68</v>
      </c>
      <c r="P51" s="25">
        <v>1</v>
      </c>
      <c r="Q51" s="26">
        <v>2</v>
      </c>
      <c r="R51" s="25">
        <v>11</v>
      </c>
      <c r="S51" s="26">
        <v>10</v>
      </c>
      <c r="T51" s="25">
        <v>1</v>
      </c>
      <c r="U51" s="26">
        <v>4</v>
      </c>
      <c r="V51" s="25">
        <v>0</v>
      </c>
      <c r="W51" s="26">
        <v>2</v>
      </c>
      <c r="X51" s="33">
        <v>-0.28000000000000003</v>
      </c>
      <c r="Y51" s="34">
        <v>0.44</v>
      </c>
      <c r="Z51" s="25">
        <v>9</v>
      </c>
      <c r="AA51" s="26">
        <v>3</v>
      </c>
      <c r="AB51" s="25">
        <v>15</v>
      </c>
      <c r="AC51" s="26">
        <v>17</v>
      </c>
      <c r="AD51" s="25">
        <v>571</v>
      </c>
      <c r="AE51" s="26">
        <v>257</v>
      </c>
      <c r="AF51" s="25">
        <v>23</v>
      </c>
      <c r="AG51" s="26">
        <v>21</v>
      </c>
      <c r="AH51" s="25">
        <v>17</v>
      </c>
      <c r="AI51" s="26">
        <v>15</v>
      </c>
      <c r="AJ51" s="25">
        <v>3</v>
      </c>
      <c r="AK51" s="26">
        <v>2</v>
      </c>
      <c r="AL51" s="25">
        <v>0</v>
      </c>
      <c r="AM51" s="26">
        <v>0</v>
      </c>
      <c r="AN51" s="25">
        <v>0</v>
      </c>
      <c r="AO51" s="36">
        <v>0</v>
      </c>
      <c r="AP51" s="42">
        <v>3</v>
      </c>
      <c r="AQ51" s="83">
        <v>0.27272727272727271</v>
      </c>
      <c r="AR51" s="25">
        <v>0</v>
      </c>
      <c r="AS51" s="25">
        <v>3</v>
      </c>
      <c r="AT51" s="25">
        <v>5</v>
      </c>
      <c r="AU51" s="25">
        <v>6</v>
      </c>
      <c r="AV51" s="86">
        <v>0.54545454545454541</v>
      </c>
      <c r="AW51" s="25">
        <v>5</v>
      </c>
      <c r="AX51" s="26">
        <v>3</v>
      </c>
      <c r="AY51" s="88">
        <v>0.3</v>
      </c>
      <c r="AZ51" s="26">
        <v>0</v>
      </c>
      <c r="BA51" s="26">
        <v>3</v>
      </c>
      <c r="BB51" s="26">
        <v>4</v>
      </c>
      <c r="BC51" s="26">
        <v>6</v>
      </c>
      <c r="BD51" s="88">
        <v>0.6</v>
      </c>
      <c r="BE51" s="43">
        <v>4</v>
      </c>
      <c r="BF51" s="315">
        <v>1</v>
      </c>
      <c r="BG51" s="316">
        <v>1</v>
      </c>
      <c r="BH51" s="317">
        <v>1</v>
      </c>
      <c r="BI51" s="317">
        <v>0</v>
      </c>
    </row>
    <row r="52" spans="1:61" x14ac:dyDescent="0.25">
      <c r="A52" s="29">
        <v>45896</v>
      </c>
      <c r="B52" s="5">
        <v>6</v>
      </c>
      <c r="C52" s="5" t="s">
        <v>456</v>
      </c>
      <c r="D52" s="7">
        <v>1</v>
      </c>
      <c r="E52" s="7">
        <v>1</v>
      </c>
      <c r="F52" s="5" t="s">
        <v>209</v>
      </c>
      <c r="H52" s="25">
        <v>47</v>
      </c>
      <c r="I52" s="26">
        <v>53</v>
      </c>
      <c r="J52" s="33">
        <v>0.83</v>
      </c>
      <c r="K52" s="34">
        <v>0.33</v>
      </c>
      <c r="L52" s="33">
        <v>0.83</v>
      </c>
      <c r="M52" s="33">
        <v>0.37</v>
      </c>
      <c r="N52" s="34">
        <v>0.33</v>
      </c>
      <c r="O52" s="34">
        <v>0.44</v>
      </c>
      <c r="P52" s="25">
        <v>2</v>
      </c>
      <c r="Q52" s="26">
        <v>2</v>
      </c>
      <c r="R52" s="25">
        <v>14</v>
      </c>
      <c r="S52" s="26">
        <v>7</v>
      </c>
      <c r="T52" s="25">
        <v>0</v>
      </c>
      <c r="U52" s="26">
        <v>4</v>
      </c>
      <c r="V52" s="25">
        <v>0</v>
      </c>
      <c r="W52" s="26">
        <v>1</v>
      </c>
      <c r="X52" s="33">
        <v>-0.56000000000000005</v>
      </c>
      <c r="Y52" s="34">
        <v>-0.5</v>
      </c>
      <c r="Z52" s="25">
        <v>10</v>
      </c>
      <c r="AA52" s="26">
        <v>4</v>
      </c>
      <c r="AB52" s="25">
        <v>13</v>
      </c>
      <c r="AC52" s="26">
        <v>11</v>
      </c>
      <c r="AD52" s="25">
        <v>496</v>
      </c>
      <c r="AE52" s="26">
        <v>568</v>
      </c>
      <c r="AF52" s="25">
        <v>17</v>
      </c>
      <c r="AG52" s="26">
        <v>15</v>
      </c>
      <c r="AH52" s="25">
        <v>11</v>
      </c>
      <c r="AI52" s="26">
        <v>13</v>
      </c>
      <c r="AJ52" s="25">
        <v>1</v>
      </c>
      <c r="AK52" s="26">
        <v>2</v>
      </c>
      <c r="AL52" s="25">
        <v>0</v>
      </c>
      <c r="AM52" s="26">
        <v>0</v>
      </c>
      <c r="AN52" s="25">
        <v>0</v>
      </c>
      <c r="AO52" s="36">
        <v>0</v>
      </c>
      <c r="AP52" s="42">
        <v>5</v>
      </c>
      <c r="AQ52" s="83">
        <v>0.35714285714285715</v>
      </c>
      <c r="AR52" s="25">
        <v>0</v>
      </c>
      <c r="AS52" s="25">
        <v>6</v>
      </c>
      <c r="AT52" s="25">
        <v>3</v>
      </c>
      <c r="AU52" s="25">
        <v>10</v>
      </c>
      <c r="AV52" s="86">
        <v>0.7142857142857143</v>
      </c>
      <c r="AW52" s="25">
        <v>4</v>
      </c>
      <c r="AX52" s="26">
        <v>2</v>
      </c>
      <c r="AY52" s="88">
        <v>0.2857142857142857</v>
      </c>
      <c r="AZ52" s="26">
        <v>0</v>
      </c>
      <c r="BA52" s="26">
        <v>2</v>
      </c>
      <c r="BB52" s="26">
        <v>3</v>
      </c>
      <c r="BC52" s="26">
        <v>3</v>
      </c>
      <c r="BD52" s="88">
        <v>0.42857142857142855</v>
      </c>
      <c r="BE52" s="43">
        <v>4</v>
      </c>
      <c r="BF52" s="315">
        <v>1</v>
      </c>
      <c r="BG52" s="316">
        <v>0</v>
      </c>
      <c r="BH52" s="317">
        <v>0</v>
      </c>
      <c r="BI52" s="317">
        <v>0</v>
      </c>
    </row>
    <row r="53" spans="1:61" x14ac:dyDescent="0.25">
      <c r="A53" s="29">
        <v>45900</v>
      </c>
      <c r="B53" s="5">
        <v>3</v>
      </c>
      <c r="C53" s="5" t="s">
        <v>456</v>
      </c>
      <c r="D53" s="7">
        <v>1</v>
      </c>
      <c r="E53" s="7">
        <v>1</v>
      </c>
      <c r="F53" s="5" t="s">
        <v>91</v>
      </c>
      <c r="H53" s="25">
        <v>65</v>
      </c>
      <c r="I53" s="26">
        <v>35</v>
      </c>
      <c r="J53" s="33">
        <v>0.96</v>
      </c>
      <c r="K53" s="34">
        <v>1.04</v>
      </c>
      <c r="L53" s="33">
        <v>0.96</v>
      </c>
      <c r="M53" s="33">
        <v>0.67</v>
      </c>
      <c r="N53" s="34">
        <v>1.04</v>
      </c>
      <c r="O53" s="34">
        <v>0.82</v>
      </c>
      <c r="P53" s="25">
        <v>2</v>
      </c>
      <c r="Q53" s="26">
        <v>1</v>
      </c>
      <c r="R53" s="25">
        <v>10</v>
      </c>
      <c r="S53" s="26">
        <v>8</v>
      </c>
      <c r="T53" s="25">
        <v>2</v>
      </c>
      <c r="U53" s="26">
        <v>2</v>
      </c>
      <c r="V53" s="25">
        <v>0</v>
      </c>
      <c r="W53" s="26">
        <v>0</v>
      </c>
      <c r="X53" s="33">
        <v>-0.1</v>
      </c>
      <c r="Y53" s="34">
        <v>-0.3</v>
      </c>
      <c r="Z53" s="25">
        <v>1</v>
      </c>
      <c r="AA53" s="26">
        <v>5</v>
      </c>
      <c r="AB53" s="25">
        <v>11</v>
      </c>
      <c r="AC53" s="26">
        <v>8</v>
      </c>
      <c r="AD53" s="25">
        <v>742</v>
      </c>
      <c r="AE53" s="26">
        <v>394</v>
      </c>
      <c r="AF53" s="25">
        <v>19</v>
      </c>
      <c r="AG53" s="26">
        <v>28</v>
      </c>
      <c r="AH53" s="25">
        <v>8</v>
      </c>
      <c r="AI53" s="26">
        <v>11</v>
      </c>
      <c r="AJ53" s="25">
        <v>1</v>
      </c>
      <c r="AK53" s="26">
        <v>1</v>
      </c>
      <c r="AL53" s="25">
        <v>0</v>
      </c>
      <c r="AM53" s="26">
        <v>0</v>
      </c>
      <c r="AN53" s="25">
        <v>0</v>
      </c>
      <c r="AO53" s="36">
        <v>0</v>
      </c>
      <c r="AP53" s="42">
        <v>2</v>
      </c>
      <c r="AQ53" s="83">
        <v>0.2</v>
      </c>
      <c r="AR53" s="25">
        <v>0</v>
      </c>
      <c r="AS53" s="25">
        <v>4</v>
      </c>
      <c r="AT53" s="25">
        <v>4</v>
      </c>
      <c r="AU53" s="25">
        <v>6</v>
      </c>
      <c r="AV53" s="86">
        <v>0.6</v>
      </c>
      <c r="AW53" s="25">
        <v>4</v>
      </c>
      <c r="AX53" s="26">
        <v>3</v>
      </c>
      <c r="AY53" s="88">
        <v>0.375</v>
      </c>
      <c r="AZ53" s="26">
        <v>0</v>
      </c>
      <c r="BA53" s="26">
        <v>4</v>
      </c>
      <c r="BB53" s="26">
        <v>1</v>
      </c>
      <c r="BC53" s="26">
        <v>5</v>
      </c>
      <c r="BD53" s="88">
        <v>0.625</v>
      </c>
      <c r="BE53" s="43">
        <v>3</v>
      </c>
      <c r="BF53" s="315">
        <v>0</v>
      </c>
      <c r="BG53" s="316">
        <v>0</v>
      </c>
      <c r="BH53" s="317">
        <v>2</v>
      </c>
      <c r="BI53" s="317">
        <v>0</v>
      </c>
    </row>
    <row r="54" spans="1:61" x14ac:dyDescent="0.25">
      <c r="A54" s="29">
        <v>45914</v>
      </c>
      <c r="B54" s="5">
        <v>4</v>
      </c>
      <c r="C54" s="5" t="s">
        <v>456</v>
      </c>
      <c r="D54" s="7">
        <v>1</v>
      </c>
      <c r="E54" s="7">
        <v>1</v>
      </c>
      <c r="F54" s="5" t="s">
        <v>69</v>
      </c>
      <c r="H54" s="25">
        <v>60</v>
      </c>
      <c r="I54" s="26">
        <v>40</v>
      </c>
      <c r="J54" s="33">
        <v>2.5</v>
      </c>
      <c r="K54" s="34">
        <v>0.64</v>
      </c>
      <c r="L54" s="33">
        <v>1.8</v>
      </c>
      <c r="M54" s="33">
        <v>1.86</v>
      </c>
      <c r="N54" s="34">
        <v>0.64</v>
      </c>
      <c r="O54" s="34">
        <v>1.06</v>
      </c>
      <c r="P54" s="25">
        <v>2</v>
      </c>
      <c r="Q54" s="26">
        <v>2</v>
      </c>
      <c r="R54" s="25">
        <v>21</v>
      </c>
      <c r="S54" s="26">
        <v>13</v>
      </c>
      <c r="T54" s="25">
        <v>7</v>
      </c>
      <c r="U54" s="26">
        <v>6</v>
      </c>
      <c r="V54" s="25">
        <v>1</v>
      </c>
      <c r="W54" s="26">
        <v>2</v>
      </c>
      <c r="X54" s="33">
        <v>0.24</v>
      </c>
      <c r="Y54" s="34">
        <v>1.75</v>
      </c>
      <c r="Z54" s="25">
        <v>10</v>
      </c>
      <c r="AA54" s="26">
        <v>3</v>
      </c>
      <c r="AB54" s="25">
        <v>7</v>
      </c>
      <c r="AC54" s="26">
        <v>9</v>
      </c>
      <c r="AD54" s="25">
        <v>630</v>
      </c>
      <c r="AE54" s="26">
        <v>439</v>
      </c>
      <c r="AF54" s="25">
        <v>15</v>
      </c>
      <c r="AG54" s="26">
        <v>16</v>
      </c>
      <c r="AH54" s="25">
        <v>8</v>
      </c>
      <c r="AI54" s="26">
        <v>7</v>
      </c>
      <c r="AJ54" s="25">
        <v>0</v>
      </c>
      <c r="AK54" s="26">
        <v>3</v>
      </c>
      <c r="AL54" s="25">
        <v>0</v>
      </c>
      <c r="AM54" s="26">
        <v>0</v>
      </c>
      <c r="AN54" s="25">
        <v>0.7</v>
      </c>
      <c r="AO54" s="36">
        <v>0</v>
      </c>
      <c r="AP54" s="42">
        <v>7</v>
      </c>
      <c r="AQ54" s="83">
        <v>0.33333333333333331</v>
      </c>
      <c r="AR54" s="25">
        <v>0</v>
      </c>
      <c r="AS54" s="25">
        <v>9</v>
      </c>
      <c r="AT54" s="25">
        <v>5</v>
      </c>
      <c r="AU54" s="25">
        <v>14</v>
      </c>
      <c r="AV54" s="86">
        <v>0.66666666666666663</v>
      </c>
      <c r="AW54" s="25">
        <v>7</v>
      </c>
      <c r="AX54" s="26">
        <v>8</v>
      </c>
      <c r="AY54" s="88">
        <v>0.61538461538461542</v>
      </c>
      <c r="AZ54" s="26">
        <v>0</v>
      </c>
      <c r="BA54" s="26">
        <v>2</v>
      </c>
      <c r="BB54" s="26">
        <v>3</v>
      </c>
      <c r="BC54" s="26">
        <v>10</v>
      </c>
      <c r="BD54" s="88">
        <v>0.76923076923076927</v>
      </c>
      <c r="BE54" s="43">
        <v>3</v>
      </c>
      <c r="BF54" s="315">
        <v>0</v>
      </c>
      <c r="BG54" s="316">
        <v>0</v>
      </c>
      <c r="BH54" s="317">
        <v>0</v>
      </c>
      <c r="BI54" s="317">
        <v>0</v>
      </c>
    </row>
    <row r="55" spans="1:61" x14ac:dyDescent="0.25">
      <c r="A55" s="29">
        <v>45935</v>
      </c>
      <c r="B55" s="5">
        <v>8</v>
      </c>
      <c r="C55" s="5" t="s">
        <v>456</v>
      </c>
      <c r="D55" s="7">
        <v>1</v>
      </c>
      <c r="E55" s="7">
        <v>1</v>
      </c>
      <c r="F55" s="5" t="s">
        <v>193</v>
      </c>
      <c r="G55" s="5" t="s">
        <v>582</v>
      </c>
      <c r="H55" s="25">
        <v>59</v>
      </c>
      <c r="I55" s="26">
        <v>41</v>
      </c>
      <c r="J55" s="33">
        <v>1.92</v>
      </c>
      <c r="K55" s="34">
        <v>0.3</v>
      </c>
      <c r="L55" s="33">
        <v>1.92</v>
      </c>
      <c r="M55" s="33">
        <v>1.56</v>
      </c>
      <c r="N55" s="34">
        <v>0.3</v>
      </c>
      <c r="O55" s="34">
        <v>0.19</v>
      </c>
      <c r="P55" s="25">
        <v>3</v>
      </c>
      <c r="Q55" s="26">
        <v>1</v>
      </c>
      <c r="R55" s="25">
        <v>18</v>
      </c>
      <c r="S55" s="26">
        <v>6</v>
      </c>
      <c r="T55" s="25">
        <v>1</v>
      </c>
      <c r="U55" s="26">
        <v>3</v>
      </c>
      <c r="V55" s="25">
        <v>0</v>
      </c>
      <c r="W55" s="26">
        <v>1</v>
      </c>
      <c r="X55" s="33">
        <v>-0.84</v>
      </c>
      <c r="Y55" s="34">
        <v>0.56000000000000005</v>
      </c>
      <c r="Z55" s="25">
        <v>6</v>
      </c>
      <c r="AA55" s="26">
        <v>3</v>
      </c>
      <c r="AB55" s="25">
        <v>7</v>
      </c>
      <c r="AC55" s="26">
        <v>10</v>
      </c>
      <c r="AD55" s="25">
        <v>726</v>
      </c>
      <c r="AE55" s="26">
        <v>501</v>
      </c>
      <c r="AF55" s="25">
        <v>18</v>
      </c>
      <c r="AG55" s="26">
        <v>14</v>
      </c>
      <c r="AH55" s="25">
        <v>10</v>
      </c>
      <c r="AI55" s="26">
        <v>7</v>
      </c>
      <c r="AJ55" s="25">
        <v>1</v>
      </c>
      <c r="AK55" s="26">
        <v>3</v>
      </c>
      <c r="AL55" s="25">
        <v>0</v>
      </c>
      <c r="AM55" s="26">
        <v>1</v>
      </c>
      <c r="AN55" s="25">
        <v>0</v>
      </c>
      <c r="AO55" s="36">
        <v>0</v>
      </c>
      <c r="AP55" s="42">
        <v>4</v>
      </c>
      <c r="AQ55" s="83">
        <v>0.22222222222222221</v>
      </c>
      <c r="AR55" s="25">
        <v>0</v>
      </c>
      <c r="AS55" s="25">
        <v>11</v>
      </c>
      <c r="AT55" s="25">
        <v>3</v>
      </c>
      <c r="AU55" s="25">
        <v>9</v>
      </c>
      <c r="AV55" s="86">
        <v>0.5</v>
      </c>
      <c r="AW55" s="25">
        <v>9</v>
      </c>
      <c r="AX55" s="26">
        <v>1</v>
      </c>
      <c r="AY55" s="88">
        <v>0.16666666666666666</v>
      </c>
      <c r="AZ55" s="26">
        <v>0</v>
      </c>
      <c r="BA55" s="26">
        <v>4</v>
      </c>
      <c r="BB55" s="26">
        <v>1</v>
      </c>
      <c r="BC55" s="26">
        <v>4</v>
      </c>
      <c r="BD55" s="88">
        <v>0.66666666666666663</v>
      </c>
      <c r="BE55" s="43">
        <v>2</v>
      </c>
      <c r="BF55" s="315">
        <v>0</v>
      </c>
      <c r="BG55" s="316">
        <v>0</v>
      </c>
      <c r="BH55" s="317">
        <v>1</v>
      </c>
      <c r="BI55" s="317">
        <v>0</v>
      </c>
    </row>
    <row r="56" spans="1:61" x14ac:dyDescent="0.25">
      <c r="A56" s="29">
        <v>45899</v>
      </c>
      <c r="B56" s="5">
        <v>3</v>
      </c>
      <c r="C56" s="5" t="s">
        <v>92</v>
      </c>
      <c r="D56" s="7">
        <v>1</v>
      </c>
      <c r="E56" s="7">
        <v>0</v>
      </c>
      <c r="F56" s="5" t="s">
        <v>146</v>
      </c>
      <c r="H56" s="25">
        <v>43</v>
      </c>
      <c r="I56" s="26">
        <v>57</v>
      </c>
      <c r="J56" s="33">
        <v>0.5</v>
      </c>
      <c r="K56" s="34">
        <v>1.07</v>
      </c>
      <c r="L56" s="33">
        <v>0.5</v>
      </c>
      <c r="M56" s="33">
        <v>0.8</v>
      </c>
      <c r="N56" s="34">
        <v>1.07</v>
      </c>
      <c r="O56" s="34">
        <v>1.98</v>
      </c>
      <c r="P56" s="25">
        <v>0</v>
      </c>
      <c r="Q56" s="26">
        <v>0</v>
      </c>
      <c r="R56" s="25">
        <v>8</v>
      </c>
      <c r="S56" s="26">
        <v>18</v>
      </c>
      <c r="T56" s="25">
        <v>6</v>
      </c>
      <c r="U56" s="26">
        <v>0</v>
      </c>
      <c r="V56" s="25">
        <v>2</v>
      </c>
      <c r="W56" s="26">
        <v>0</v>
      </c>
      <c r="X56" s="33">
        <v>2.1</v>
      </c>
      <c r="Y56" s="34">
        <v>-0.2</v>
      </c>
      <c r="Z56" s="25">
        <v>1</v>
      </c>
      <c r="AA56" s="26">
        <v>10</v>
      </c>
      <c r="AB56" s="25">
        <v>7</v>
      </c>
      <c r="AC56" s="26">
        <v>18</v>
      </c>
      <c r="AD56" s="25">
        <v>409</v>
      </c>
      <c r="AE56" s="26">
        <v>528</v>
      </c>
      <c r="AF56" s="25">
        <v>14</v>
      </c>
      <c r="AG56" s="26">
        <v>15</v>
      </c>
      <c r="AH56" s="25">
        <v>18</v>
      </c>
      <c r="AI56" s="26">
        <v>7</v>
      </c>
      <c r="AJ56" s="25">
        <v>2</v>
      </c>
      <c r="AK56" s="26">
        <v>1</v>
      </c>
      <c r="AL56" s="25">
        <v>0</v>
      </c>
      <c r="AM56" s="26">
        <v>0</v>
      </c>
      <c r="AN56" s="25">
        <v>0</v>
      </c>
      <c r="AO56" s="36">
        <v>0</v>
      </c>
      <c r="AP56" s="42">
        <v>1</v>
      </c>
      <c r="AQ56" s="83">
        <v>0.125</v>
      </c>
      <c r="AR56" s="25">
        <v>1</v>
      </c>
      <c r="AS56" s="25">
        <v>7</v>
      </c>
      <c r="AT56" s="25">
        <v>0</v>
      </c>
      <c r="AU56" s="25">
        <v>4</v>
      </c>
      <c r="AV56" s="86">
        <v>0.5</v>
      </c>
      <c r="AW56" s="25">
        <v>4</v>
      </c>
      <c r="AX56" s="26">
        <v>6</v>
      </c>
      <c r="AY56" s="88">
        <v>0.33333333333333331</v>
      </c>
      <c r="AZ56" s="26">
        <v>0</v>
      </c>
      <c r="BA56" s="26">
        <v>9</v>
      </c>
      <c r="BB56" s="26">
        <v>3</v>
      </c>
      <c r="BC56" s="26">
        <v>9</v>
      </c>
      <c r="BD56" s="88">
        <v>0.5</v>
      </c>
      <c r="BE56" s="43">
        <v>9</v>
      </c>
      <c r="BF56" s="315">
        <v>3</v>
      </c>
      <c r="BG56" s="316">
        <v>0</v>
      </c>
      <c r="BH56" s="317">
        <v>2</v>
      </c>
      <c r="BI56" s="317">
        <v>0</v>
      </c>
    </row>
    <row r="57" spans="1:61" x14ac:dyDescent="0.25">
      <c r="A57" s="29">
        <v>45919</v>
      </c>
      <c r="B57" s="5">
        <v>5</v>
      </c>
      <c r="C57" s="5" t="s">
        <v>209</v>
      </c>
      <c r="D57" s="7">
        <v>3</v>
      </c>
      <c r="E57" s="7">
        <v>1</v>
      </c>
      <c r="F57" s="5" t="s">
        <v>146</v>
      </c>
      <c r="H57" s="25">
        <v>50</v>
      </c>
      <c r="I57" s="26">
        <v>50</v>
      </c>
      <c r="J57" s="33">
        <v>2.25</v>
      </c>
      <c r="K57" s="34">
        <v>0.67</v>
      </c>
      <c r="L57" s="33">
        <v>2.25</v>
      </c>
      <c r="M57" s="33">
        <v>3.06</v>
      </c>
      <c r="N57" s="34">
        <v>0.67</v>
      </c>
      <c r="O57" s="34">
        <v>1.37</v>
      </c>
      <c r="P57" s="25">
        <v>3</v>
      </c>
      <c r="Q57" s="26">
        <v>1</v>
      </c>
      <c r="R57" s="25">
        <v>21</v>
      </c>
      <c r="S57" s="26">
        <v>11</v>
      </c>
      <c r="T57" s="25">
        <v>4</v>
      </c>
      <c r="U57" s="26">
        <v>4</v>
      </c>
      <c r="V57" s="25">
        <v>0</v>
      </c>
      <c r="W57" s="26">
        <v>1</v>
      </c>
      <c r="X57" s="33">
        <v>-0.21</v>
      </c>
      <c r="Y57" s="34">
        <v>0.06</v>
      </c>
      <c r="Z57" s="25">
        <v>3</v>
      </c>
      <c r="AA57" s="26">
        <v>5</v>
      </c>
      <c r="AB57" s="25">
        <v>7</v>
      </c>
      <c r="AC57" s="26">
        <v>20</v>
      </c>
      <c r="AD57" s="25">
        <v>491</v>
      </c>
      <c r="AE57" s="26">
        <v>481</v>
      </c>
      <c r="AF57" s="25">
        <v>26</v>
      </c>
      <c r="AG57" s="26">
        <v>25</v>
      </c>
      <c r="AH57" s="25">
        <v>20</v>
      </c>
      <c r="AI57" s="26">
        <v>7</v>
      </c>
      <c r="AJ57" s="25">
        <v>3</v>
      </c>
      <c r="AK57" s="26">
        <v>6</v>
      </c>
      <c r="AL57" s="25">
        <v>0</v>
      </c>
      <c r="AM57" s="26">
        <v>0</v>
      </c>
      <c r="AN57" s="25">
        <v>0</v>
      </c>
      <c r="AO57" s="36">
        <v>0</v>
      </c>
      <c r="AP57" s="42">
        <v>6</v>
      </c>
      <c r="AQ57" s="83">
        <v>0.2857142857142857</v>
      </c>
      <c r="AR57" s="25">
        <v>1</v>
      </c>
      <c r="AS57" s="25">
        <v>8</v>
      </c>
      <c r="AT57" s="25">
        <v>7</v>
      </c>
      <c r="AU57" s="25">
        <v>12</v>
      </c>
      <c r="AV57" s="86">
        <v>0.5714285714285714</v>
      </c>
      <c r="AW57" s="25">
        <v>9</v>
      </c>
      <c r="AX57" s="26">
        <v>5</v>
      </c>
      <c r="AY57" s="88">
        <v>0.45454545454545453</v>
      </c>
      <c r="AZ57" s="26">
        <v>0</v>
      </c>
      <c r="BA57" s="26">
        <v>2</v>
      </c>
      <c r="BB57" s="26">
        <v>4</v>
      </c>
      <c r="BC57" s="26">
        <v>8</v>
      </c>
      <c r="BD57" s="88">
        <v>0.72727272727272729</v>
      </c>
      <c r="BE57" s="43">
        <v>3</v>
      </c>
      <c r="BF57" s="315">
        <v>1</v>
      </c>
      <c r="BG57" s="316">
        <v>1</v>
      </c>
      <c r="BH57" s="317">
        <v>1</v>
      </c>
      <c r="BI57" s="317">
        <v>1</v>
      </c>
    </row>
    <row r="58" spans="1:61" x14ac:dyDescent="0.25">
      <c r="A58" s="29">
        <v>45928</v>
      </c>
      <c r="B58" s="5">
        <v>7</v>
      </c>
      <c r="C58" s="5" t="s">
        <v>113</v>
      </c>
      <c r="D58" s="7">
        <v>2</v>
      </c>
      <c r="E58" s="7">
        <v>1</v>
      </c>
      <c r="F58" s="5" t="s">
        <v>146</v>
      </c>
      <c r="H58" s="25">
        <v>75</v>
      </c>
      <c r="I58" s="26">
        <v>25</v>
      </c>
      <c r="J58" s="33">
        <v>2.21</v>
      </c>
      <c r="K58" s="34">
        <v>0.97</v>
      </c>
      <c r="L58" s="33">
        <v>2.21</v>
      </c>
      <c r="M58" s="33">
        <v>1.26</v>
      </c>
      <c r="N58" s="34">
        <v>0.97</v>
      </c>
      <c r="O58" s="34">
        <v>0.9</v>
      </c>
      <c r="P58" s="25">
        <v>4</v>
      </c>
      <c r="Q58" s="26">
        <v>2</v>
      </c>
      <c r="R58" s="25">
        <v>22</v>
      </c>
      <c r="S58" s="26">
        <v>7</v>
      </c>
      <c r="T58" s="25">
        <v>1</v>
      </c>
      <c r="U58" s="26">
        <v>8</v>
      </c>
      <c r="V58" s="25">
        <v>0</v>
      </c>
      <c r="W58" s="26">
        <v>3</v>
      </c>
      <c r="X58" s="33">
        <v>-0.05</v>
      </c>
      <c r="Y58" s="34">
        <v>-0.41</v>
      </c>
      <c r="Z58" s="25">
        <v>12</v>
      </c>
      <c r="AA58" s="26">
        <v>1</v>
      </c>
      <c r="AB58" s="25">
        <v>6</v>
      </c>
      <c r="AC58" s="26">
        <v>12</v>
      </c>
      <c r="AD58" s="25">
        <v>745</v>
      </c>
      <c r="AE58" s="26">
        <v>250</v>
      </c>
      <c r="AF58" s="25">
        <v>12</v>
      </c>
      <c r="AG58" s="26">
        <v>26</v>
      </c>
      <c r="AH58" s="25">
        <v>12</v>
      </c>
      <c r="AI58" s="26">
        <v>6</v>
      </c>
      <c r="AJ58" s="25">
        <v>1</v>
      </c>
      <c r="AK58" s="26">
        <v>2</v>
      </c>
      <c r="AL58" s="25">
        <v>0</v>
      </c>
      <c r="AM58" s="26">
        <v>0</v>
      </c>
      <c r="AN58" s="25">
        <v>0</v>
      </c>
      <c r="AO58" s="36">
        <v>0</v>
      </c>
      <c r="AP58" s="42">
        <v>12</v>
      </c>
      <c r="AQ58" s="83">
        <v>0.54545454545454541</v>
      </c>
      <c r="AR58" s="25">
        <v>1</v>
      </c>
      <c r="AS58" s="25">
        <v>5</v>
      </c>
      <c r="AT58" s="25">
        <v>5</v>
      </c>
      <c r="AU58" s="25">
        <v>14</v>
      </c>
      <c r="AV58" s="86">
        <v>0.63636363636363635</v>
      </c>
      <c r="AW58" s="25">
        <v>8</v>
      </c>
      <c r="AX58" s="26">
        <v>2</v>
      </c>
      <c r="AY58" s="88">
        <v>0.2857142857142857</v>
      </c>
      <c r="AZ58" s="26">
        <v>1</v>
      </c>
      <c r="BA58" s="26">
        <v>3</v>
      </c>
      <c r="BB58" s="26">
        <v>2</v>
      </c>
      <c r="BC58" s="26">
        <v>5</v>
      </c>
      <c r="BD58" s="88">
        <v>0.7142857142857143</v>
      </c>
      <c r="BE58" s="43">
        <v>2</v>
      </c>
      <c r="BF58" s="315">
        <v>1</v>
      </c>
      <c r="BG58" s="316">
        <v>0</v>
      </c>
      <c r="BH58" s="317">
        <v>0</v>
      </c>
      <c r="BI58" s="317">
        <v>0</v>
      </c>
    </row>
    <row r="59" spans="1:61" x14ac:dyDescent="0.25">
      <c r="A59" s="229">
        <v>45949</v>
      </c>
      <c r="B59" s="230">
        <v>9</v>
      </c>
      <c r="C59" s="230" t="s">
        <v>456</v>
      </c>
      <c r="D59" s="233">
        <f>AVERAGE(D51:D58)</f>
        <v>1.25</v>
      </c>
      <c r="E59" s="233">
        <f>AVERAGE(E51:E58)</f>
        <v>1</v>
      </c>
      <c r="F59" s="230" t="s">
        <v>146</v>
      </c>
      <c r="G59" s="230"/>
      <c r="H59" s="230">
        <f t="shared" ref="H59:AM59" si="12">AVERAGE(H51:H58)</f>
        <v>58.5</v>
      </c>
      <c r="I59" s="230">
        <f t="shared" si="12"/>
        <v>41.5</v>
      </c>
      <c r="J59" s="232">
        <f t="shared" si="12"/>
        <v>1.4874999999999998</v>
      </c>
      <c r="K59" s="232">
        <f t="shared" si="12"/>
        <v>0.80624999999999991</v>
      </c>
      <c r="L59" s="102">
        <f t="shared" si="12"/>
        <v>1.4</v>
      </c>
      <c r="M59" s="102">
        <f>AVERAGE(M51:M58)</f>
        <v>1.24</v>
      </c>
      <c r="N59" s="232">
        <f t="shared" si="12"/>
        <v>0.80624999999999991</v>
      </c>
      <c r="O59" s="232">
        <f t="shared" si="12"/>
        <v>1.0549999999999999</v>
      </c>
      <c r="P59" s="100">
        <f t="shared" si="12"/>
        <v>2.125</v>
      </c>
      <c r="Q59" s="230">
        <f t="shared" si="12"/>
        <v>1.375</v>
      </c>
      <c r="R59" s="230">
        <f t="shared" si="12"/>
        <v>15.625</v>
      </c>
      <c r="S59" s="230">
        <f t="shared" si="12"/>
        <v>10</v>
      </c>
      <c r="T59" s="230">
        <f t="shared" si="12"/>
        <v>2.75</v>
      </c>
      <c r="U59" s="230">
        <f t="shared" si="12"/>
        <v>3.875</v>
      </c>
      <c r="V59" s="230">
        <f t="shared" si="12"/>
        <v>0.375</v>
      </c>
      <c r="W59" s="230">
        <f t="shared" si="12"/>
        <v>1.25</v>
      </c>
      <c r="X59" s="232">
        <f t="shared" si="12"/>
        <v>3.7500000000000012E-2</v>
      </c>
      <c r="Y59" s="232">
        <f t="shared" si="12"/>
        <v>0.17500000000000004</v>
      </c>
      <c r="Z59" s="230">
        <f t="shared" si="12"/>
        <v>6.5</v>
      </c>
      <c r="AA59" s="230">
        <f t="shared" si="12"/>
        <v>4.25</v>
      </c>
      <c r="AB59" s="230">
        <f t="shared" si="12"/>
        <v>9.125</v>
      </c>
      <c r="AC59" s="230">
        <f t="shared" si="12"/>
        <v>13.125</v>
      </c>
      <c r="AD59" s="230">
        <f t="shared" si="12"/>
        <v>601.25</v>
      </c>
      <c r="AE59" s="230">
        <f t="shared" si="12"/>
        <v>427.25</v>
      </c>
      <c r="AF59" s="230">
        <f t="shared" si="12"/>
        <v>18</v>
      </c>
      <c r="AG59" s="230">
        <f t="shared" si="12"/>
        <v>20</v>
      </c>
      <c r="AH59" s="230">
        <f t="shared" si="12"/>
        <v>13</v>
      </c>
      <c r="AI59" s="230">
        <f t="shared" si="12"/>
        <v>9.125</v>
      </c>
      <c r="AJ59" s="230">
        <f t="shared" si="12"/>
        <v>1.5</v>
      </c>
      <c r="AK59" s="230">
        <f t="shared" si="12"/>
        <v>2.5</v>
      </c>
      <c r="AL59" s="230">
        <f t="shared" si="12"/>
        <v>0</v>
      </c>
      <c r="AM59" s="230">
        <f t="shared" si="12"/>
        <v>0.125</v>
      </c>
      <c r="AN59" s="230">
        <f t="shared" ref="AN59:BI59" si="13">AVERAGE(AN51:AN58)</f>
        <v>8.7499999999999994E-2</v>
      </c>
      <c r="AO59" s="310">
        <f t="shared" si="13"/>
        <v>0</v>
      </c>
      <c r="AP59" s="104">
        <f t="shared" si="13"/>
        <v>5</v>
      </c>
      <c r="AQ59" s="105">
        <f t="shared" si="13"/>
        <v>0.29269931457431453</v>
      </c>
      <c r="AR59" s="230">
        <f t="shared" si="13"/>
        <v>0.375</v>
      </c>
      <c r="AS59" s="230">
        <f t="shared" si="13"/>
        <v>6.625</v>
      </c>
      <c r="AT59" s="230">
        <f t="shared" si="13"/>
        <v>4</v>
      </c>
      <c r="AU59" s="230">
        <f t="shared" si="13"/>
        <v>9.375</v>
      </c>
      <c r="AV59" s="107">
        <f t="shared" si="13"/>
        <v>0.59177489177489184</v>
      </c>
      <c r="AW59" s="230">
        <f t="shared" si="13"/>
        <v>6.25</v>
      </c>
      <c r="AX59" s="100">
        <f t="shared" si="13"/>
        <v>3.75</v>
      </c>
      <c r="AY59" s="107">
        <f t="shared" si="13"/>
        <v>0.35204483016983018</v>
      </c>
      <c r="AZ59" s="230">
        <f t="shared" si="13"/>
        <v>0.125</v>
      </c>
      <c r="BA59" s="230">
        <f t="shared" si="13"/>
        <v>3.625</v>
      </c>
      <c r="BB59" s="230">
        <f t="shared" si="13"/>
        <v>2.625</v>
      </c>
      <c r="BC59" s="230">
        <f t="shared" si="13"/>
        <v>6.25</v>
      </c>
      <c r="BD59" s="107">
        <f t="shared" si="13"/>
        <v>0.6288784132534132</v>
      </c>
      <c r="BE59" s="313">
        <f t="shared" si="13"/>
        <v>3.75</v>
      </c>
      <c r="BF59" s="318">
        <f t="shared" si="13"/>
        <v>0.875</v>
      </c>
      <c r="BG59" s="319">
        <f t="shared" si="13"/>
        <v>0.25</v>
      </c>
      <c r="BH59" s="319">
        <f t="shared" si="13"/>
        <v>0.875</v>
      </c>
      <c r="BI59" s="319">
        <f t="shared" si="13"/>
        <v>0.125</v>
      </c>
    </row>
    <row r="60" spans="1:61" x14ac:dyDescent="0.25">
      <c r="A60" s="29">
        <v>45892</v>
      </c>
      <c r="B60" s="5">
        <v>2</v>
      </c>
      <c r="C60" s="5" t="s">
        <v>129</v>
      </c>
      <c r="D60" s="7">
        <v>2</v>
      </c>
      <c r="E60" s="7">
        <v>3</v>
      </c>
      <c r="F60" s="5" t="s">
        <v>113</v>
      </c>
      <c r="H60" s="25">
        <v>18</v>
      </c>
      <c r="I60" s="26">
        <v>82</v>
      </c>
      <c r="J60" s="33">
        <v>2.14</v>
      </c>
      <c r="K60" s="34">
        <v>1.93</v>
      </c>
      <c r="L60" s="33">
        <v>2.14</v>
      </c>
      <c r="M60" s="33">
        <v>1.89</v>
      </c>
      <c r="N60" s="34">
        <v>1.93</v>
      </c>
      <c r="O60" s="34">
        <v>2.31</v>
      </c>
      <c r="P60" s="25">
        <v>6</v>
      </c>
      <c r="Q60" s="26">
        <v>3</v>
      </c>
      <c r="R60" s="25">
        <v>8</v>
      </c>
      <c r="S60" s="26">
        <v>26</v>
      </c>
      <c r="T60" s="25">
        <v>9</v>
      </c>
      <c r="U60" s="26">
        <v>3</v>
      </c>
      <c r="V60" s="25">
        <v>1</v>
      </c>
      <c r="W60" s="26">
        <v>0</v>
      </c>
      <c r="X60" s="33">
        <v>-0.47</v>
      </c>
      <c r="Y60" s="34">
        <v>0.69</v>
      </c>
      <c r="Z60" s="25">
        <v>0</v>
      </c>
      <c r="AA60" s="26">
        <v>11</v>
      </c>
      <c r="AB60" s="25">
        <v>10</v>
      </c>
      <c r="AC60" s="26">
        <v>8</v>
      </c>
      <c r="AD60" s="25">
        <v>160</v>
      </c>
      <c r="AE60" s="26">
        <v>761</v>
      </c>
      <c r="AF60" s="25">
        <v>31</v>
      </c>
      <c r="AG60" s="26">
        <v>11</v>
      </c>
      <c r="AH60" s="25">
        <v>7</v>
      </c>
      <c r="AI60" s="26">
        <v>10</v>
      </c>
      <c r="AJ60" s="25">
        <v>3</v>
      </c>
      <c r="AK60" s="26">
        <v>1</v>
      </c>
      <c r="AL60" s="25">
        <v>0</v>
      </c>
      <c r="AM60" s="26">
        <v>0</v>
      </c>
      <c r="AN60" s="25">
        <v>0</v>
      </c>
      <c r="AO60" s="36">
        <v>0</v>
      </c>
      <c r="AP60" s="42">
        <v>5</v>
      </c>
      <c r="AQ60" s="83">
        <v>0.625</v>
      </c>
      <c r="AR60" s="25">
        <v>0</v>
      </c>
      <c r="AS60" s="25">
        <v>1</v>
      </c>
      <c r="AT60" s="25">
        <v>2</v>
      </c>
      <c r="AU60" s="25">
        <v>8</v>
      </c>
      <c r="AV60" s="86">
        <v>1</v>
      </c>
      <c r="AW60" s="25">
        <v>0</v>
      </c>
      <c r="AX60" s="26">
        <v>10</v>
      </c>
      <c r="AY60" s="88">
        <v>0.38461538461538464</v>
      </c>
      <c r="AZ60" s="26">
        <v>1</v>
      </c>
      <c r="BA60" s="26">
        <v>8</v>
      </c>
      <c r="BB60" s="26">
        <v>8</v>
      </c>
      <c r="BC60" s="26">
        <v>16</v>
      </c>
      <c r="BD60" s="88">
        <v>0.61538461538461542</v>
      </c>
      <c r="BE60" s="43">
        <v>10</v>
      </c>
      <c r="BF60" s="315">
        <v>0</v>
      </c>
      <c r="BG60" s="316">
        <v>0</v>
      </c>
      <c r="BH60" s="317">
        <v>0</v>
      </c>
      <c r="BI60" s="317">
        <v>0</v>
      </c>
    </row>
    <row r="61" spans="1:61" x14ac:dyDescent="0.25">
      <c r="A61" s="29">
        <v>45914</v>
      </c>
      <c r="B61" s="5">
        <v>4</v>
      </c>
      <c r="C61" s="5" t="s">
        <v>129</v>
      </c>
      <c r="D61" s="7">
        <v>2</v>
      </c>
      <c r="E61" s="7">
        <v>2</v>
      </c>
      <c r="F61" s="5" t="s">
        <v>209</v>
      </c>
      <c r="H61" s="25">
        <v>33</v>
      </c>
      <c r="I61" s="26">
        <v>67</v>
      </c>
      <c r="J61" s="33">
        <v>0.73</v>
      </c>
      <c r="K61" s="34">
        <v>2.12</v>
      </c>
      <c r="L61" s="33">
        <v>0.73</v>
      </c>
      <c r="M61" s="33">
        <v>1.28</v>
      </c>
      <c r="N61" s="34">
        <v>2.12</v>
      </c>
      <c r="O61" s="34">
        <v>1.53</v>
      </c>
      <c r="P61" s="25">
        <v>2</v>
      </c>
      <c r="Q61" s="26">
        <v>3</v>
      </c>
      <c r="R61" s="25">
        <v>5</v>
      </c>
      <c r="S61" s="26">
        <v>28</v>
      </c>
      <c r="T61" s="25">
        <v>7</v>
      </c>
      <c r="U61" s="26">
        <v>0</v>
      </c>
      <c r="V61" s="25">
        <v>1</v>
      </c>
      <c r="W61" s="26">
        <v>0</v>
      </c>
      <c r="X61" s="33">
        <v>-0.28000000000000003</v>
      </c>
      <c r="Y61" s="34">
        <v>-0.73</v>
      </c>
      <c r="Z61" s="25">
        <v>4</v>
      </c>
      <c r="AA61" s="26">
        <v>12</v>
      </c>
      <c r="AB61" s="25">
        <v>16</v>
      </c>
      <c r="AC61" s="26">
        <v>11</v>
      </c>
      <c r="AD61" s="25">
        <v>268</v>
      </c>
      <c r="AE61" s="26">
        <v>544</v>
      </c>
      <c r="AF61" s="25">
        <v>13</v>
      </c>
      <c r="AG61" s="26">
        <v>17</v>
      </c>
      <c r="AH61" s="25">
        <v>11</v>
      </c>
      <c r="AI61" s="26">
        <v>16</v>
      </c>
      <c r="AJ61" s="25">
        <v>4</v>
      </c>
      <c r="AK61" s="26">
        <v>2</v>
      </c>
      <c r="AL61" s="25">
        <v>0</v>
      </c>
      <c r="AM61" s="26">
        <v>0</v>
      </c>
      <c r="AN61" s="25">
        <v>0</v>
      </c>
      <c r="AO61" s="36">
        <v>0</v>
      </c>
      <c r="AP61" s="42">
        <v>2</v>
      </c>
      <c r="AQ61" s="83">
        <v>0.4</v>
      </c>
      <c r="AR61" s="25">
        <v>0</v>
      </c>
      <c r="AS61" s="25">
        <v>2</v>
      </c>
      <c r="AT61" s="25">
        <v>1</v>
      </c>
      <c r="AU61" s="25">
        <v>4</v>
      </c>
      <c r="AV61" s="86">
        <v>0.8</v>
      </c>
      <c r="AW61" s="25">
        <v>1</v>
      </c>
      <c r="AX61" s="26">
        <v>9</v>
      </c>
      <c r="AY61" s="88">
        <v>0.32142857142857145</v>
      </c>
      <c r="AZ61" s="26">
        <v>1</v>
      </c>
      <c r="BA61" s="26">
        <v>8</v>
      </c>
      <c r="BB61" s="26">
        <v>11</v>
      </c>
      <c r="BC61" s="26">
        <v>21</v>
      </c>
      <c r="BD61" s="88">
        <v>0.75</v>
      </c>
      <c r="BE61" s="43">
        <v>7</v>
      </c>
      <c r="BF61" s="315">
        <v>0</v>
      </c>
      <c r="BG61" s="316">
        <v>0</v>
      </c>
      <c r="BH61" s="317">
        <v>0</v>
      </c>
      <c r="BI61" s="317">
        <v>2</v>
      </c>
    </row>
    <row r="62" spans="1:61" x14ac:dyDescent="0.25">
      <c r="A62" s="29">
        <v>45923</v>
      </c>
      <c r="B62" s="5">
        <v>6</v>
      </c>
      <c r="C62" s="5" t="s">
        <v>129</v>
      </c>
      <c r="D62" s="7">
        <v>1</v>
      </c>
      <c r="E62" s="7">
        <v>4</v>
      </c>
      <c r="F62" s="5" t="s">
        <v>226</v>
      </c>
      <c r="H62" s="25">
        <v>37</v>
      </c>
      <c r="I62" s="26">
        <v>63</v>
      </c>
      <c r="J62" s="33">
        <v>1.6</v>
      </c>
      <c r="K62" s="34">
        <v>3.94</v>
      </c>
      <c r="L62" s="33">
        <v>1.6</v>
      </c>
      <c r="M62" s="33">
        <v>1.0900000000000001</v>
      </c>
      <c r="N62" s="34">
        <v>3.24</v>
      </c>
      <c r="O62" s="34">
        <v>3.04</v>
      </c>
      <c r="P62" s="25">
        <v>3</v>
      </c>
      <c r="Q62" s="26">
        <v>6</v>
      </c>
      <c r="R62" s="25">
        <v>11</v>
      </c>
      <c r="S62" s="26">
        <v>24</v>
      </c>
      <c r="T62" s="25">
        <v>6</v>
      </c>
      <c r="U62" s="26">
        <v>1</v>
      </c>
      <c r="V62" s="25">
        <v>1</v>
      </c>
      <c r="W62" s="26">
        <v>0</v>
      </c>
      <c r="X62" s="33">
        <v>0.12</v>
      </c>
      <c r="Y62" s="34">
        <v>0.09</v>
      </c>
      <c r="Z62" s="25">
        <v>1</v>
      </c>
      <c r="AA62" s="26">
        <v>7</v>
      </c>
      <c r="AB62" s="25">
        <v>17</v>
      </c>
      <c r="AC62" s="26">
        <v>9</v>
      </c>
      <c r="AD62" s="25">
        <v>416</v>
      </c>
      <c r="AE62" s="26">
        <v>696</v>
      </c>
      <c r="AF62" s="25">
        <v>19</v>
      </c>
      <c r="AG62" s="26">
        <v>22</v>
      </c>
      <c r="AH62" s="25">
        <v>9</v>
      </c>
      <c r="AI62" s="26">
        <v>16</v>
      </c>
      <c r="AJ62" s="25">
        <v>1</v>
      </c>
      <c r="AK62" s="26">
        <v>1</v>
      </c>
      <c r="AL62" s="25">
        <v>0</v>
      </c>
      <c r="AM62" s="26">
        <v>0</v>
      </c>
      <c r="AN62" s="25">
        <v>0</v>
      </c>
      <c r="AO62" s="36">
        <v>0.7</v>
      </c>
      <c r="AP62" s="42">
        <v>2</v>
      </c>
      <c r="AQ62" s="83">
        <v>0.18181818181818182</v>
      </c>
      <c r="AR62" s="25">
        <v>0</v>
      </c>
      <c r="AS62" s="25">
        <v>3</v>
      </c>
      <c r="AT62" s="25">
        <v>6</v>
      </c>
      <c r="AU62" s="25">
        <v>8</v>
      </c>
      <c r="AV62" s="86">
        <v>0.72727272727272729</v>
      </c>
      <c r="AW62" s="25">
        <v>3</v>
      </c>
      <c r="AX62" s="26">
        <v>10</v>
      </c>
      <c r="AY62" s="88">
        <v>0.41666666666666669</v>
      </c>
      <c r="AZ62" s="26">
        <v>1</v>
      </c>
      <c r="BA62" s="26">
        <v>11</v>
      </c>
      <c r="BB62" s="26">
        <v>3</v>
      </c>
      <c r="BC62" s="26">
        <v>16</v>
      </c>
      <c r="BD62" s="88">
        <v>0.66666666666666663</v>
      </c>
      <c r="BE62" s="43">
        <v>8</v>
      </c>
      <c r="BF62" s="315">
        <v>3</v>
      </c>
      <c r="BG62" s="316">
        <v>0</v>
      </c>
      <c r="BH62" s="317">
        <v>1</v>
      </c>
      <c r="BI62" s="317">
        <v>0</v>
      </c>
    </row>
    <row r="63" spans="1:61" x14ac:dyDescent="0.25">
      <c r="A63" s="29">
        <v>45884</v>
      </c>
      <c r="B63" s="5">
        <v>1</v>
      </c>
      <c r="C63" s="5" t="s">
        <v>69</v>
      </c>
      <c r="D63" s="7">
        <v>1</v>
      </c>
      <c r="E63" s="7">
        <v>3</v>
      </c>
      <c r="F63" s="5" t="s">
        <v>70</v>
      </c>
      <c r="G63" s="5" t="s">
        <v>534</v>
      </c>
      <c r="H63" s="25">
        <v>44</v>
      </c>
      <c r="I63" s="26">
        <v>56</v>
      </c>
      <c r="J63" s="33">
        <v>0.56000000000000005</v>
      </c>
      <c r="K63" s="34">
        <v>3.43</v>
      </c>
      <c r="L63" s="33">
        <v>0.56000000000000005</v>
      </c>
      <c r="M63" s="33">
        <v>0.68</v>
      </c>
      <c r="N63" s="34">
        <v>2.7300000000000004</v>
      </c>
      <c r="O63" s="34">
        <v>1.66</v>
      </c>
      <c r="P63" s="25">
        <v>1</v>
      </c>
      <c r="Q63" s="26">
        <v>4</v>
      </c>
      <c r="R63" s="25">
        <v>7</v>
      </c>
      <c r="S63" s="26">
        <v>16</v>
      </c>
      <c r="T63" s="25">
        <v>2</v>
      </c>
      <c r="U63" s="26">
        <v>1</v>
      </c>
      <c r="V63" s="25">
        <v>0</v>
      </c>
      <c r="W63" s="26">
        <v>0</v>
      </c>
      <c r="X63" s="33">
        <v>0.2</v>
      </c>
      <c r="Y63" s="34">
        <v>-0.28000000000000003</v>
      </c>
      <c r="Z63" s="25">
        <v>2</v>
      </c>
      <c r="AA63" s="26">
        <v>4</v>
      </c>
      <c r="AB63" s="25">
        <v>8</v>
      </c>
      <c r="AC63" s="26">
        <v>17</v>
      </c>
      <c r="AD63" s="25">
        <v>382</v>
      </c>
      <c r="AE63" s="26">
        <v>481</v>
      </c>
      <c r="AF63" s="25">
        <v>13</v>
      </c>
      <c r="AG63" s="26">
        <v>27</v>
      </c>
      <c r="AH63" s="25">
        <v>17</v>
      </c>
      <c r="AI63" s="26">
        <v>7</v>
      </c>
      <c r="AJ63" s="25">
        <v>0</v>
      </c>
      <c r="AK63" s="26">
        <v>1</v>
      </c>
      <c r="AL63" s="25">
        <v>1</v>
      </c>
      <c r="AM63" s="26">
        <v>0</v>
      </c>
      <c r="AN63" s="25">
        <v>0</v>
      </c>
      <c r="AO63" s="36">
        <v>0.7</v>
      </c>
      <c r="AP63" s="42">
        <v>2</v>
      </c>
      <c r="AQ63" s="83">
        <v>0.2857142857142857</v>
      </c>
      <c r="AR63" s="25">
        <v>0</v>
      </c>
      <c r="AS63" s="25">
        <v>2</v>
      </c>
      <c r="AT63" s="25">
        <v>3</v>
      </c>
      <c r="AU63" s="25">
        <v>3</v>
      </c>
      <c r="AV63" s="86">
        <v>0.42857142857142855</v>
      </c>
      <c r="AW63" s="25">
        <v>4</v>
      </c>
      <c r="AX63" s="26">
        <v>5</v>
      </c>
      <c r="AY63" s="88">
        <v>0.3125</v>
      </c>
      <c r="AZ63" s="26">
        <v>0</v>
      </c>
      <c r="BA63" s="26">
        <v>10</v>
      </c>
      <c r="BB63" s="26">
        <v>1</v>
      </c>
      <c r="BC63" s="26">
        <v>12</v>
      </c>
      <c r="BD63" s="88">
        <v>0.75</v>
      </c>
      <c r="BE63" s="43">
        <v>4</v>
      </c>
      <c r="BF63" s="315">
        <v>2</v>
      </c>
      <c r="BG63" s="316">
        <v>1</v>
      </c>
      <c r="BH63" s="317">
        <v>1</v>
      </c>
      <c r="BI63" s="317">
        <v>0</v>
      </c>
    </row>
    <row r="64" spans="1:61" x14ac:dyDescent="0.25">
      <c r="A64" s="29">
        <v>45894</v>
      </c>
      <c r="B64" s="5">
        <v>2</v>
      </c>
      <c r="C64" s="5" t="s">
        <v>170</v>
      </c>
      <c r="D64" s="7">
        <v>1</v>
      </c>
      <c r="E64" s="7">
        <v>0</v>
      </c>
      <c r="F64" s="5" t="s">
        <v>70</v>
      </c>
      <c r="H64" s="25">
        <v>41</v>
      </c>
      <c r="I64" s="26">
        <v>59</v>
      </c>
      <c r="J64" s="33">
        <v>1.51</v>
      </c>
      <c r="K64" s="34">
        <v>0.28999999999999998</v>
      </c>
      <c r="L64" s="33">
        <v>0.81</v>
      </c>
      <c r="M64" s="33">
        <v>0.46</v>
      </c>
      <c r="N64" s="34">
        <v>0.28999999999999998</v>
      </c>
      <c r="O64" s="34">
        <v>0.17</v>
      </c>
      <c r="P64" s="25">
        <v>2</v>
      </c>
      <c r="Q64" s="26">
        <v>1</v>
      </c>
      <c r="R64" s="25">
        <v>11</v>
      </c>
      <c r="S64" s="26">
        <v>6</v>
      </c>
      <c r="T64" s="25">
        <v>1</v>
      </c>
      <c r="U64" s="26">
        <v>3</v>
      </c>
      <c r="V64" s="25">
        <v>0</v>
      </c>
      <c r="W64" s="26">
        <v>1</v>
      </c>
      <c r="X64" s="33">
        <v>0.17</v>
      </c>
      <c r="Y64" s="34">
        <v>0.26</v>
      </c>
      <c r="Z64" s="25">
        <v>3</v>
      </c>
      <c r="AA64" s="26">
        <v>6</v>
      </c>
      <c r="AB64" s="25">
        <v>13</v>
      </c>
      <c r="AC64" s="26">
        <v>13</v>
      </c>
      <c r="AD64" s="25">
        <v>334</v>
      </c>
      <c r="AE64" s="26">
        <v>498</v>
      </c>
      <c r="AF64" s="25">
        <v>14</v>
      </c>
      <c r="AG64" s="26">
        <v>16</v>
      </c>
      <c r="AH64" s="25">
        <v>12</v>
      </c>
      <c r="AI64" s="26">
        <v>13</v>
      </c>
      <c r="AJ64" s="25">
        <v>0</v>
      </c>
      <c r="AK64" s="26">
        <v>4</v>
      </c>
      <c r="AL64" s="25">
        <v>0</v>
      </c>
      <c r="AM64" s="26">
        <v>0</v>
      </c>
      <c r="AN64" s="25">
        <v>0.7</v>
      </c>
      <c r="AO64" s="36">
        <v>0</v>
      </c>
      <c r="AP64" s="42">
        <v>4</v>
      </c>
      <c r="AQ64" s="83">
        <v>0.36363636363636365</v>
      </c>
      <c r="AR64" s="25">
        <v>0</v>
      </c>
      <c r="AS64" s="25">
        <v>3</v>
      </c>
      <c r="AT64" s="25">
        <v>4</v>
      </c>
      <c r="AU64" s="25">
        <v>5</v>
      </c>
      <c r="AV64" s="86">
        <v>0.45454545454545453</v>
      </c>
      <c r="AW64" s="25">
        <v>6</v>
      </c>
      <c r="AX64" s="26">
        <v>1</v>
      </c>
      <c r="AY64" s="88">
        <v>0.16666666666666666</v>
      </c>
      <c r="AZ64" s="26">
        <v>0</v>
      </c>
      <c r="BA64" s="26">
        <v>2</v>
      </c>
      <c r="BB64" s="26">
        <v>3</v>
      </c>
      <c r="BC64" s="26">
        <v>2</v>
      </c>
      <c r="BD64" s="88">
        <v>0.33333333333333331</v>
      </c>
      <c r="BE64" s="43">
        <v>4</v>
      </c>
      <c r="BF64" s="315">
        <v>1</v>
      </c>
      <c r="BG64" s="316">
        <v>0</v>
      </c>
      <c r="BH64" s="317">
        <v>0</v>
      </c>
      <c r="BI64" s="317">
        <v>0</v>
      </c>
    </row>
    <row r="65" spans="1:61" x14ac:dyDescent="0.25">
      <c r="A65" s="29">
        <v>45914</v>
      </c>
      <c r="B65" s="5">
        <v>4</v>
      </c>
      <c r="C65" s="5" t="s">
        <v>227</v>
      </c>
      <c r="D65" s="7">
        <v>2</v>
      </c>
      <c r="E65" s="7">
        <v>0</v>
      </c>
      <c r="F65" s="5" t="s">
        <v>70</v>
      </c>
      <c r="H65" s="25">
        <v>38</v>
      </c>
      <c r="I65" s="26">
        <v>64</v>
      </c>
      <c r="J65" s="33">
        <v>1.59</v>
      </c>
      <c r="K65" s="34">
        <v>1.0900000000000001</v>
      </c>
      <c r="L65" s="33">
        <v>1.59</v>
      </c>
      <c r="M65" s="33">
        <v>2.02</v>
      </c>
      <c r="N65" s="34">
        <v>1.0900000000000001</v>
      </c>
      <c r="O65" s="34">
        <v>1.18</v>
      </c>
      <c r="P65" s="25">
        <v>3</v>
      </c>
      <c r="Q65" s="26">
        <v>0</v>
      </c>
      <c r="R65" s="25">
        <v>9</v>
      </c>
      <c r="S65" s="26">
        <v>19</v>
      </c>
      <c r="T65" s="25">
        <v>6</v>
      </c>
      <c r="U65" s="26">
        <v>4</v>
      </c>
      <c r="V65" s="25">
        <v>0</v>
      </c>
      <c r="W65" s="26">
        <v>1</v>
      </c>
      <c r="X65" s="33">
        <v>1.28</v>
      </c>
      <c r="Y65" s="34">
        <v>0.03</v>
      </c>
      <c r="Z65" s="25">
        <v>3</v>
      </c>
      <c r="AA65" s="26">
        <v>6</v>
      </c>
      <c r="AB65" s="25">
        <v>13</v>
      </c>
      <c r="AC65" s="26">
        <v>7</v>
      </c>
      <c r="AD65" s="25">
        <v>306</v>
      </c>
      <c r="AE65" s="26">
        <v>539</v>
      </c>
      <c r="AF65" s="25">
        <v>9</v>
      </c>
      <c r="AG65" s="26">
        <v>13</v>
      </c>
      <c r="AH65" s="25">
        <v>7</v>
      </c>
      <c r="AI65" s="26">
        <v>13</v>
      </c>
      <c r="AJ65" s="25">
        <v>3</v>
      </c>
      <c r="AK65" s="26">
        <v>2</v>
      </c>
      <c r="AL65" s="25">
        <v>0</v>
      </c>
      <c r="AM65" s="26">
        <v>0</v>
      </c>
      <c r="AN65" s="25">
        <v>0</v>
      </c>
      <c r="AO65" s="36">
        <v>0</v>
      </c>
      <c r="AP65" s="42">
        <v>7</v>
      </c>
      <c r="AQ65" s="83">
        <v>0.77777777777777779</v>
      </c>
      <c r="AR65" s="25">
        <v>0</v>
      </c>
      <c r="AS65" s="25">
        <v>1</v>
      </c>
      <c r="AT65" s="25">
        <v>1</v>
      </c>
      <c r="AU65" s="25">
        <v>6</v>
      </c>
      <c r="AV65" s="86">
        <v>0.66666666666666663</v>
      </c>
      <c r="AW65" s="25">
        <v>3</v>
      </c>
      <c r="AX65" s="26">
        <v>6</v>
      </c>
      <c r="AY65" s="88">
        <v>0.31578947368421051</v>
      </c>
      <c r="AZ65" s="26">
        <v>1</v>
      </c>
      <c r="BA65" s="26">
        <v>7</v>
      </c>
      <c r="BB65" s="26">
        <v>6</v>
      </c>
      <c r="BC65" s="26">
        <v>12</v>
      </c>
      <c r="BD65" s="88">
        <v>0.63157894736842102</v>
      </c>
      <c r="BE65" s="43">
        <v>7</v>
      </c>
      <c r="BF65" s="315">
        <v>0</v>
      </c>
      <c r="BG65" s="316">
        <v>0</v>
      </c>
      <c r="BH65" s="317">
        <v>1</v>
      </c>
      <c r="BI65" s="317">
        <v>0</v>
      </c>
    </row>
    <row r="66" spans="1:61" x14ac:dyDescent="0.25">
      <c r="A66" s="29">
        <v>45924</v>
      </c>
      <c r="B66" s="5">
        <v>6</v>
      </c>
      <c r="C66" s="5" t="s">
        <v>193</v>
      </c>
      <c r="D66" s="7">
        <v>3</v>
      </c>
      <c r="E66" s="7">
        <v>2</v>
      </c>
      <c r="F66" s="5" t="s">
        <v>70</v>
      </c>
      <c r="H66" s="25">
        <v>61</v>
      </c>
      <c r="I66" s="26">
        <v>39</v>
      </c>
      <c r="J66" s="33">
        <v>3.61</v>
      </c>
      <c r="K66" s="34">
        <v>1.6</v>
      </c>
      <c r="L66" s="33">
        <v>3.61</v>
      </c>
      <c r="M66" s="33">
        <v>3.03</v>
      </c>
      <c r="N66" s="34">
        <v>1.6</v>
      </c>
      <c r="O66" s="34">
        <v>1.39</v>
      </c>
      <c r="P66" s="25">
        <v>7</v>
      </c>
      <c r="Q66" s="26">
        <v>3</v>
      </c>
      <c r="R66" s="25">
        <v>20</v>
      </c>
      <c r="S66" s="26">
        <v>9</v>
      </c>
      <c r="T66" s="25">
        <v>1</v>
      </c>
      <c r="U66" s="26">
        <v>5</v>
      </c>
      <c r="V66" s="25">
        <v>0</v>
      </c>
      <c r="W66" s="26">
        <v>0</v>
      </c>
      <c r="X66" s="33">
        <v>-0.61</v>
      </c>
      <c r="Y66" s="34">
        <v>0.04</v>
      </c>
      <c r="Z66" s="25">
        <v>8</v>
      </c>
      <c r="AA66" s="26">
        <v>6</v>
      </c>
      <c r="AB66" s="25">
        <v>6</v>
      </c>
      <c r="AC66" s="26">
        <v>12</v>
      </c>
      <c r="AD66" s="25">
        <v>579</v>
      </c>
      <c r="AE66" s="26">
        <v>370</v>
      </c>
      <c r="AF66" s="25">
        <v>12</v>
      </c>
      <c r="AG66" s="26">
        <v>21</v>
      </c>
      <c r="AH66" s="25">
        <v>12</v>
      </c>
      <c r="AI66" s="26">
        <v>6</v>
      </c>
      <c r="AJ66" s="25">
        <v>3</v>
      </c>
      <c r="AK66" s="26">
        <v>5</v>
      </c>
      <c r="AL66" s="25">
        <v>0</v>
      </c>
      <c r="AM66" s="26">
        <v>0</v>
      </c>
      <c r="AN66" s="25">
        <v>0</v>
      </c>
      <c r="AO66" s="36">
        <v>0</v>
      </c>
      <c r="AP66" s="42">
        <v>8</v>
      </c>
      <c r="AQ66" s="83">
        <v>0.4</v>
      </c>
      <c r="AR66" s="25">
        <v>1</v>
      </c>
      <c r="AS66" s="25">
        <v>8</v>
      </c>
      <c r="AT66" s="25">
        <v>4</v>
      </c>
      <c r="AU66" s="25">
        <v>17</v>
      </c>
      <c r="AV66" s="86">
        <v>0.85</v>
      </c>
      <c r="AW66" s="25">
        <v>3</v>
      </c>
      <c r="AX66" s="26">
        <v>3</v>
      </c>
      <c r="AY66" s="88">
        <v>0.33333333333333331</v>
      </c>
      <c r="AZ66" s="26">
        <v>0</v>
      </c>
      <c r="BA66" s="26">
        <v>6</v>
      </c>
      <c r="BB66" s="26">
        <v>0</v>
      </c>
      <c r="BC66" s="26">
        <v>5</v>
      </c>
      <c r="BD66" s="88">
        <v>0.55555555555555558</v>
      </c>
      <c r="BE66" s="43">
        <v>4</v>
      </c>
      <c r="BF66" s="315">
        <v>1</v>
      </c>
      <c r="BG66" s="316">
        <v>1</v>
      </c>
      <c r="BH66" s="317">
        <v>0</v>
      </c>
      <c r="BI66" s="317">
        <v>0</v>
      </c>
    </row>
    <row r="67" spans="1:61" x14ac:dyDescent="0.25">
      <c r="A67" s="29">
        <v>45935</v>
      </c>
      <c r="B67" s="5">
        <v>8</v>
      </c>
      <c r="C67" s="5" t="s">
        <v>146</v>
      </c>
      <c r="D67" s="7">
        <v>0</v>
      </c>
      <c r="E67" s="7">
        <v>1</v>
      </c>
      <c r="F67" s="5" t="s">
        <v>70</v>
      </c>
      <c r="H67" s="25">
        <v>51</v>
      </c>
      <c r="I67" s="26">
        <v>49</v>
      </c>
      <c r="J67" s="33">
        <v>0.79</v>
      </c>
      <c r="K67" s="34">
        <v>0.8</v>
      </c>
      <c r="L67" s="33">
        <v>0.79</v>
      </c>
      <c r="M67" s="33">
        <v>0.99</v>
      </c>
      <c r="N67" s="34">
        <v>0.8</v>
      </c>
      <c r="O67" s="34">
        <v>0.62</v>
      </c>
      <c r="P67" s="25">
        <v>1</v>
      </c>
      <c r="Q67" s="26">
        <v>3</v>
      </c>
      <c r="R67" s="25">
        <v>10</v>
      </c>
      <c r="S67" s="26">
        <v>7</v>
      </c>
      <c r="T67" s="25">
        <v>1</v>
      </c>
      <c r="U67" s="26">
        <v>3</v>
      </c>
      <c r="V67" s="25">
        <v>1</v>
      </c>
      <c r="W67" s="26">
        <v>0</v>
      </c>
      <c r="X67" s="33">
        <v>-0.38</v>
      </c>
      <c r="Y67" s="34">
        <v>1.02</v>
      </c>
      <c r="Z67" s="25">
        <v>7</v>
      </c>
      <c r="AA67" s="26">
        <v>5</v>
      </c>
      <c r="AB67" s="25">
        <v>13</v>
      </c>
      <c r="AC67" s="26">
        <v>21</v>
      </c>
      <c r="AD67" s="25">
        <v>421</v>
      </c>
      <c r="AE67" s="26">
        <v>414</v>
      </c>
      <c r="AF67" s="25">
        <v>11</v>
      </c>
      <c r="AG67" s="26">
        <v>13</v>
      </c>
      <c r="AH67" s="25">
        <v>21</v>
      </c>
      <c r="AI67" s="26">
        <v>13</v>
      </c>
      <c r="AJ67" s="25">
        <v>1</v>
      </c>
      <c r="AK67" s="26">
        <v>2</v>
      </c>
      <c r="AL67" s="25">
        <v>0</v>
      </c>
      <c r="AM67" s="26">
        <v>0</v>
      </c>
      <c r="AN67" s="25">
        <v>0</v>
      </c>
      <c r="AO67" s="36">
        <v>0</v>
      </c>
      <c r="AP67" s="42">
        <v>3</v>
      </c>
      <c r="AQ67" s="83">
        <v>0.3</v>
      </c>
      <c r="AR67" s="25">
        <v>0</v>
      </c>
      <c r="AS67" s="25">
        <v>1</v>
      </c>
      <c r="AT67" s="25">
        <v>6</v>
      </c>
      <c r="AU67" s="25">
        <v>7</v>
      </c>
      <c r="AV67" s="86">
        <v>0.7</v>
      </c>
      <c r="AW67" s="25">
        <v>3</v>
      </c>
      <c r="AX67" s="26">
        <v>2</v>
      </c>
      <c r="AY67" s="88">
        <v>0.2857142857142857</v>
      </c>
      <c r="AZ67" s="26">
        <v>0</v>
      </c>
      <c r="BA67" s="26">
        <v>3</v>
      </c>
      <c r="BB67" s="26">
        <v>2</v>
      </c>
      <c r="BC67" s="26">
        <v>5</v>
      </c>
      <c r="BD67" s="88">
        <v>0.7142857142857143</v>
      </c>
      <c r="BE67" s="43">
        <v>2</v>
      </c>
      <c r="BF67" s="315">
        <v>1</v>
      </c>
      <c r="BG67" s="316">
        <v>0</v>
      </c>
      <c r="BH67" s="317">
        <v>0</v>
      </c>
      <c r="BI67" s="317">
        <v>0</v>
      </c>
    </row>
    <row r="68" spans="1:61" x14ac:dyDescent="0.25">
      <c r="A68" s="99">
        <v>45949</v>
      </c>
      <c r="B68" s="100">
        <v>9</v>
      </c>
      <c r="C68" s="100" t="s">
        <v>129</v>
      </c>
      <c r="D68" s="101">
        <f>AVERAGE(D60:D67)</f>
        <v>1.5</v>
      </c>
      <c r="E68" s="101">
        <f>AVERAGE(E60:E67)</f>
        <v>1.875</v>
      </c>
      <c r="F68" s="100" t="s">
        <v>70</v>
      </c>
      <c r="G68" s="100"/>
      <c r="H68" s="100">
        <f t="shared" ref="H68:AM68" si="14">AVERAGE(H60:H67)</f>
        <v>40.375</v>
      </c>
      <c r="I68" s="100">
        <f t="shared" si="14"/>
        <v>59.875</v>
      </c>
      <c r="J68" s="102">
        <f t="shared" si="14"/>
        <v>1.5662500000000001</v>
      </c>
      <c r="K68" s="102">
        <f t="shared" si="14"/>
        <v>1.9</v>
      </c>
      <c r="L68" s="102">
        <f t="shared" si="14"/>
        <v>1.4787500000000002</v>
      </c>
      <c r="M68" s="102">
        <f>AVERAGE(M60:M67)</f>
        <v>1.43</v>
      </c>
      <c r="N68" s="102">
        <f t="shared" si="14"/>
        <v>1.7249999999999999</v>
      </c>
      <c r="O68" s="102">
        <f t="shared" si="14"/>
        <v>1.4874999999999998</v>
      </c>
      <c r="P68" s="100">
        <f t="shared" si="14"/>
        <v>3.125</v>
      </c>
      <c r="Q68" s="100">
        <f t="shared" si="14"/>
        <v>2.875</v>
      </c>
      <c r="R68" s="100">
        <f t="shared" si="14"/>
        <v>10.125</v>
      </c>
      <c r="S68" s="100">
        <f t="shared" si="14"/>
        <v>16.875</v>
      </c>
      <c r="T68" s="100">
        <f t="shared" si="14"/>
        <v>4.125</v>
      </c>
      <c r="U68" s="100">
        <f t="shared" si="14"/>
        <v>2.5</v>
      </c>
      <c r="V68" s="100">
        <f t="shared" si="14"/>
        <v>0.5</v>
      </c>
      <c r="W68" s="100">
        <f t="shared" si="14"/>
        <v>0.25</v>
      </c>
      <c r="X68" s="102">
        <f t="shared" si="14"/>
        <v>3.7500000000000033E-3</v>
      </c>
      <c r="Y68" s="102">
        <f t="shared" si="14"/>
        <v>0.13999999999999999</v>
      </c>
      <c r="Z68" s="100">
        <f t="shared" si="14"/>
        <v>3.5</v>
      </c>
      <c r="AA68" s="100">
        <f t="shared" si="14"/>
        <v>7.125</v>
      </c>
      <c r="AB68" s="100">
        <f t="shared" si="14"/>
        <v>12</v>
      </c>
      <c r="AC68" s="100">
        <f t="shared" si="14"/>
        <v>12.25</v>
      </c>
      <c r="AD68" s="100">
        <f t="shared" si="14"/>
        <v>358.25</v>
      </c>
      <c r="AE68" s="100">
        <f t="shared" si="14"/>
        <v>537.875</v>
      </c>
      <c r="AF68" s="100">
        <f t="shared" si="14"/>
        <v>15.25</v>
      </c>
      <c r="AG68" s="100">
        <f t="shared" si="14"/>
        <v>17.5</v>
      </c>
      <c r="AH68" s="100">
        <f t="shared" si="14"/>
        <v>12</v>
      </c>
      <c r="AI68" s="100">
        <f t="shared" si="14"/>
        <v>11.75</v>
      </c>
      <c r="AJ68" s="100">
        <f t="shared" si="14"/>
        <v>1.875</v>
      </c>
      <c r="AK68" s="100">
        <f t="shared" si="14"/>
        <v>2.25</v>
      </c>
      <c r="AL68" s="100">
        <f t="shared" si="14"/>
        <v>0.125</v>
      </c>
      <c r="AM68" s="100">
        <f t="shared" si="14"/>
        <v>0</v>
      </c>
      <c r="AN68" s="100">
        <f t="shared" ref="AN68:BI68" si="15">AVERAGE(AN60:AN67)</f>
        <v>8.7499999999999994E-2</v>
      </c>
      <c r="AO68" s="103">
        <f t="shared" si="15"/>
        <v>0.17499999999999999</v>
      </c>
      <c r="AP68" s="104">
        <f t="shared" si="15"/>
        <v>4.125</v>
      </c>
      <c r="AQ68" s="105">
        <f t="shared" si="15"/>
        <v>0.4167433261183261</v>
      </c>
      <c r="AR68" s="100">
        <f t="shared" si="15"/>
        <v>0.125</v>
      </c>
      <c r="AS68" s="100">
        <f t="shared" si="15"/>
        <v>2.625</v>
      </c>
      <c r="AT68" s="100">
        <f t="shared" si="15"/>
        <v>3.375</v>
      </c>
      <c r="AU68" s="100">
        <f t="shared" si="15"/>
        <v>7.25</v>
      </c>
      <c r="AV68" s="107">
        <f t="shared" si="15"/>
        <v>0.70338203463203464</v>
      </c>
      <c r="AW68" s="100">
        <f t="shared" si="15"/>
        <v>2.875</v>
      </c>
      <c r="AX68" s="100">
        <f t="shared" si="15"/>
        <v>5.75</v>
      </c>
      <c r="AY68" s="107">
        <f t="shared" si="15"/>
        <v>0.31708929776363987</v>
      </c>
      <c r="AZ68" s="100">
        <f t="shared" si="15"/>
        <v>0.5</v>
      </c>
      <c r="BA68" s="100">
        <f t="shared" si="15"/>
        <v>6.875</v>
      </c>
      <c r="BB68" s="100">
        <f t="shared" si="15"/>
        <v>4.25</v>
      </c>
      <c r="BC68" s="100">
        <f t="shared" si="15"/>
        <v>11.125</v>
      </c>
      <c r="BD68" s="107">
        <f t="shared" si="15"/>
        <v>0.62710060407428825</v>
      </c>
      <c r="BE68" s="106">
        <f t="shared" si="15"/>
        <v>5.75</v>
      </c>
      <c r="BF68" s="320">
        <f t="shared" si="15"/>
        <v>1</v>
      </c>
      <c r="BG68" s="321">
        <f t="shared" si="15"/>
        <v>0.25</v>
      </c>
      <c r="BH68" s="321">
        <f t="shared" si="15"/>
        <v>0.375</v>
      </c>
      <c r="BI68" s="321">
        <f t="shared" si="15"/>
        <v>0.25</v>
      </c>
    </row>
    <row r="69" spans="1:61" x14ac:dyDescent="0.25">
      <c r="A69" s="29">
        <v>45913</v>
      </c>
      <c r="B69" s="5">
        <v>4</v>
      </c>
      <c r="C69" s="5" t="s">
        <v>161</v>
      </c>
      <c r="D69" s="7">
        <v>2</v>
      </c>
      <c r="E69" s="7">
        <v>0</v>
      </c>
      <c r="F69" s="5" t="s">
        <v>92</v>
      </c>
      <c r="G69" s="5" t="s">
        <v>537</v>
      </c>
      <c r="H69" s="25">
        <v>48</v>
      </c>
      <c r="I69" s="26">
        <v>52</v>
      </c>
      <c r="J69" s="33">
        <v>0.75</v>
      </c>
      <c r="K69" s="34">
        <v>0.46</v>
      </c>
      <c r="L69" s="33">
        <v>0.75</v>
      </c>
      <c r="M69" s="33">
        <v>1.67</v>
      </c>
      <c r="N69" s="34">
        <v>0.46</v>
      </c>
      <c r="O69" s="34">
        <v>0.05</v>
      </c>
      <c r="P69" s="25">
        <v>2</v>
      </c>
      <c r="Q69" s="26">
        <v>1</v>
      </c>
      <c r="R69" s="25">
        <v>10</v>
      </c>
      <c r="S69" s="26">
        <v>5</v>
      </c>
      <c r="T69" s="25">
        <v>1</v>
      </c>
      <c r="U69" s="26">
        <v>1</v>
      </c>
      <c r="V69" s="25">
        <v>0</v>
      </c>
      <c r="W69" s="26">
        <v>1</v>
      </c>
      <c r="X69" s="33">
        <v>0.06</v>
      </c>
      <c r="Y69" s="34">
        <v>-0.32</v>
      </c>
      <c r="Z69" s="25">
        <v>4</v>
      </c>
      <c r="AA69" s="26">
        <v>3</v>
      </c>
      <c r="AB69" s="25">
        <v>12</v>
      </c>
      <c r="AC69" s="26">
        <v>18</v>
      </c>
      <c r="AD69" s="25">
        <v>342</v>
      </c>
      <c r="AE69" s="26">
        <v>373</v>
      </c>
      <c r="AF69" s="25">
        <v>16</v>
      </c>
      <c r="AG69" s="26">
        <v>20</v>
      </c>
      <c r="AH69" s="25">
        <v>18</v>
      </c>
      <c r="AI69" s="26">
        <v>12</v>
      </c>
      <c r="AJ69" s="25">
        <v>2</v>
      </c>
      <c r="AK69" s="26">
        <v>5</v>
      </c>
      <c r="AL69" s="25">
        <v>0</v>
      </c>
      <c r="AM69" s="26">
        <v>1</v>
      </c>
      <c r="AN69" s="25">
        <v>0</v>
      </c>
      <c r="AO69" s="36">
        <v>0</v>
      </c>
      <c r="AP69" s="42">
        <v>3</v>
      </c>
      <c r="AQ69" s="83">
        <v>0.3</v>
      </c>
      <c r="AR69" s="25">
        <v>0</v>
      </c>
      <c r="AS69" s="25">
        <v>4</v>
      </c>
      <c r="AT69" s="25">
        <v>3</v>
      </c>
      <c r="AU69" s="25">
        <v>6</v>
      </c>
      <c r="AV69" s="86">
        <v>0.6</v>
      </c>
      <c r="AW69" s="25">
        <v>4</v>
      </c>
      <c r="AX69" s="26">
        <v>1</v>
      </c>
      <c r="AY69" s="88">
        <v>0.2</v>
      </c>
      <c r="AZ69" s="26">
        <v>1</v>
      </c>
      <c r="BA69" s="26">
        <v>2</v>
      </c>
      <c r="BB69" s="26">
        <v>2</v>
      </c>
      <c r="BC69" s="26">
        <v>1</v>
      </c>
      <c r="BD69" s="88">
        <v>0.2</v>
      </c>
      <c r="BE69" s="43">
        <v>4</v>
      </c>
      <c r="BF69" s="315">
        <v>0</v>
      </c>
      <c r="BG69" s="316">
        <v>0</v>
      </c>
      <c r="BH69" s="317">
        <v>1</v>
      </c>
      <c r="BI69" s="317">
        <v>1</v>
      </c>
    </row>
    <row r="70" spans="1:61" x14ac:dyDescent="0.25">
      <c r="A70" s="29">
        <v>45924</v>
      </c>
      <c r="B70" s="5">
        <v>6</v>
      </c>
      <c r="C70" s="5" t="s">
        <v>161</v>
      </c>
      <c r="D70" s="7">
        <v>1</v>
      </c>
      <c r="E70" s="7">
        <v>1</v>
      </c>
      <c r="F70" s="5" t="s">
        <v>128</v>
      </c>
      <c r="H70" s="25">
        <v>46</v>
      </c>
      <c r="I70" s="26">
        <v>54</v>
      </c>
      <c r="J70" s="33">
        <v>0.24</v>
      </c>
      <c r="K70" s="34">
        <v>0.56999999999999995</v>
      </c>
      <c r="L70" s="33">
        <v>0.24</v>
      </c>
      <c r="M70" s="33">
        <v>0.46</v>
      </c>
      <c r="N70" s="34">
        <v>0.56999999999999995</v>
      </c>
      <c r="O70" s="34">
        <v>0.62</v>
      </c>
      <c r="P70" s="25">
        <v>1</v>
      </c>
      <c r="Q70" s="26">
        <v>2</v>
      </c>
      <c r="R70" s="25">
        <v>7</v>
      </c>
      <c r="S70" s="26">
        <v>10</v>
      </c>
      <c r="T70" s="25">
        <v>4</v>
      </c>
      <c r="U70" s="26">
        <v>0</v>
      </c>
      <c r="V70" s="25">
        <v>1</v>
      </c>
      <c r="W70" s="26">
        <v>0</v>
      </c>
      <c r="X70" s="33">
        <v>-0.34</v>
      </c>
      <c r="Y70" s="34">
        <v>-0.66</v>
      </c>
      <c r="Z70" s="25">
        <v>2</v>
      </c>
      <c r="AA70" s="26">
        <v>7</v>
      </c>
      <c r="AB70" s="25">
        <v>14</v>
      </c>
      <c r="AC70" s="26">
        <v>20</v>
      </c>
      <c r="AD70" s="25">
        <v>304</v>
      </c>
      <c r="AE70" s="26">
        <v>352</v>
      </c>
      <c r="AF70" s="25">
        <v>25</v>
      </c>
      <c r="AG70" s="26">
        <v>15</v>
      </c>
      <c r="AH70" s="25">
        <v>20</v>
      </c>
      <c r="AI70" s="26">
        <v>14</v>
      </c>
      <c r="AJ70" s="25">
        <v>2</v>
      </c>
      <c r="AK70" s="26">
        <v>3</v>
      </c>
      <c r="AL70" s="25">
        <v>0</v>
      </c>
      <c r="AM70" s="26">
        <v>0</v>
      </c>
      <c r="AN70" s="25">
        <v>0</v>
      </c>
      <c r="AO70" s="36">
        <v>0</v>
      </c>
      <c r="AP70" s="42">
        <v>1</v>
      </c>
      <c r="AQ70" s="83">
        <v>0.14285714285714285</v>
      </c>
      <c r="AR70" s="25">
        <v>0</v>
      </c>
      <c r="AS70" s="25">
        <v>1</v>
      </c>
      <c r="AT70" s="25">
        <v>5</v>
      </c>
      <c r="AU70" s="25">
        <v>3</v>
      </c>
      <c r="AV70" s="86">
        <v>0.42857142857142855</v>
      </c>
      <c r="AW70" s="25">
        <v>4</v>
      </c>
      <c r="AX70" s="26">
        <v>4</v>
      </c>
      <c r="AY70" s="88">
        <v>0.4</v>
      </c>
      <c r="AZ70" s="26">
        <v>0</v>
      </c>
      <c r="BA70" s="26">
        <v>3</v>
      </c>
      <c r="BB70" s="26">
        <v>3</v>
      </c>
      <c r="BC70" s="26">
        <v>6</v>
      </c>
      <c r="BD70" s="88">
        <v>0.6</v>
      </c>
      <c r="BE70" s="43">
        <v>4</v>
      </c>
      <c r="BF70" s="315">
        <v>2</v>
      </c>
      <c r="BG70" s="316">
        <v>0</v>
      </c>
      <c r="BH70" s="317">
        <v>0</v>
      </c>
      <c r="BI70" s="317">
        <v>0</v>
      </c>
    </row>
    <row r="71" spans="1:61" x14ac:dyDescent="0.25">
      <c r="A71" s="29">
        <v>45927</v>
      </c>
      <c r="B71" s="5">
        <v>7</v>
      </c>
      <c r="C71" s="5" t="s">
        <v>161</v>
      </c>
      <c r="D71" s="7">
        <v>1</v>
      </c>
      <c r="E71" s="7">
        <v>1</v>
      </c>
      <c r="F71" s="5" t="s">
        <v>129</v>
      </c>
      <c r="H71" s="25">
        <v>54</v>
      </c>
      <c r="I71" s="26">
        <v>46</v>
      </c>
      <c r="J71" s="33">
        <v>0.55000000000000004</v>
      </c>
      <c r="K71" s="34">
        <v>1.24</v>
      </c>
      <c r="L71" s="33">
        <v>0.55000000000000004</v>
      </c>
      <c r="M71" s="33">
        <v>0.74</v>
      </c>
      <c r="N71" s="34">
        <v>1.24</v>
      </c>
      <c r="O71" s="34">
        <v>1.22</v>
      </c>
      <c r="P71" s="25">
        <v>2</v>
      </c>
      <c r="Q71" s="26">
        <v>3</v>
      </c>
      <c r="R71" s="25">
        <v>11</v>
      </c>
      <c r="S71" s="26">
        <v>11</v>
      </c>
      <c r="T71" s="25">
        <v>2</v>
      </c>
      <c r="U71" s="26">
        <v>3</v>
      </c>
      <c r="V71" s="25">
        <v>0</v>
      </c>
      <c r="W71" s="26">
        <v>1</v>
      </c>
      <c r="X71" s="33">
        <v>-0.48</v>
      </c>
      <c r="Y71" s="34">
        <v>0.02</v>
      </c>
      <c r="Z71" s="25">
        <v>6</v>
      </c>
      <c r="AA71" s="26">
        <v>2</v>
      </c>
      <c r="AB71" s="25">
        <v>15</v>
      </c>
      <c r="AC71" s="26">
        <v>16</v>
      </c>
      <c r="AD71" s="25">
        <v>328</v>
      </c>
      <c r="AE71" s="26">
        <v>288</v>
      </c>
      <c r="AF71" s="25">
        <v>19</v>
      </c>
      <c r="AG71" s="26">
        <v>18</v>
      </c>
      <c r="AH71" s="25">
        <v>16</v>
      </c>
      <c r="AI71" s="26">
        <v>15</v>
      </c>
      <c r="AJ71" s="25">
        <v>4</v>
      </c>
      <c r="AK71" s="26">
        <v>3</v>
      </c>
      <c r="AL71" s="25">
        <v>0</v>
      </c>
      <c r="AM71" s="26">
        <v>0</v>
      </c>
      <c r="AN71" s="25">
        <v>0</v>
      </c>
      <c r="AO71" s="36">
        <v>0</v>
      </c>
      <c r="AP71" s="42">
        <v>4</v>
      </c>
      <c r="AQ71" s="83">
        <v>0.36363636363636365</v>
      </c>
      <c r="AR71" s="25">
        <v>0</v>
      </c>
      <c r="AS71" s="25">
        <v>6</v>
      </c>
      <c r="AT71" s="25">
        <v>1</v>
      </c>
      <c r="AU71" s="25">
        <v>3</v>
      </c>
      <c r="AV71" s="86">
        <v>0.27272727272727271</v>
      </c>
      <c r="AW71" s="25">
        <v>8</v>
      </c>
      <c r="AX71" s="26">
        <v>3</v>
      </c>
      <c r="AY71" s="88">
        <v>0.27272727272727271</v>
      </c>
      <c r="AZ71" s="26">
        <v>0</v>
      </c>
      <c r="BA71" s="26">
        <v>6</v>
      </c>
      <c r="BB71" s="26">
        <v>2</v>
      </c>
      <c r="BC71" s="26">
        <v>7</v>
      </c>
      <c r="BD71" s="88">
        <v>0.63636363636363635</v>
      </c>
      <c r="BE71" s="43">
        <v>4</v>
      </c>
      <c r="BF71" s="315">
        <v>1</v>
      </c>
      <c r="BG71" s="316">
        <v>0</v>
      </c>
      <c r="BH71" s="317">
        <v>0</v>
      </c>
      <c r="BI71" s="317">
        <v>0</v>
      </c>
    </row>
    <row r="72" spans="1:61" x14ac:dyDescent="0.25">
      <c r="A72" s="29">
        <v>45893</v>
      </c>
      <c r="B72" s="5">
        <v>2</v>
      </c>
      <c r="C72" s="5" t="s">
        <v>92</v>
      </c>
      <c r="D72" s="7">
        <v>0</v>
      </c>
      <c r="E72" s="7">
        <v>3</v>
      </c>
      <c r="F72" s="5" t="s">
        <v>226</v>
      </c>
      <c r="H72" s="25">
        <v>35</v>
      </c>
      <c r="I72" s="26">
        <v>65</v>
      </c>
      <c r="J72" s="33">
        <v>0.5</v>
      </c>
      <c r="K72" s="34">
        <v>2.68</v>
      </c>
      <c r="L72" s="33">
        <v>0.5</v>
      </c>
      <c r="M72" s="33">
        <v>0.24</v>
      </c>
      <c r="N72" s="34">
        <v>2.68</v>
      </c>
      <c r="O72" s="34">
        <v>2.75</v>
      </c>
      <c r="P72" s="25">
        <v>0</v>
      </c>
      <c r="Q72" s="26">
        <v>4</v>
      </c>
      <c r="R72" s="25">
        <v>6</v>
      </c>
      <c r="S72" s="26">
        <v>26</v>
      </c>
      <c r="T72" s="25">
        <v>8</v>
      </c>
      <c r="U72" s="26">
        <v>3</v>
      </c>
      <c r="V72" s="25">
        <v>3</v>
      </c>
      <c r="W72" s="26">
        <v>0</v>
      </c>
      <c r="X72" s="33">
        <v>-0.09</v>
      </c>
      <c r="Y72" s="34">
        <v>0.28999999999999998</v>
      </c>
      <c r="Z72" s="25">
        <v>1</v>
      </c>
      <c r="AA72" s="26">
        <v>9</v>
      </c>
      <c r="AB72" s="25">
        <v>8</v>
      </c>
      <c r="AC72" s="26">
        <v>7</v>
      </c>
      <c r="AD72" s="25">
        <v>376</v>
      </c>
      <c r="AE72" s="26">
        <v>699</v>
      </c>
      <c r="AF72" s="25">
        <v>20</v>
      </c>
      <c r="AG72" s="26">
        <v>23</v>
      </c>
      <c r="AH72" s="25">
        <v>7</v>
      </c>
      <c r="AI72" s="26">
        <v>8</v>
      </c>
      <c r="AJ72" s="25">
        <v>2</v>
      </c>
      <c r="AK72" s="26">
        <v>1</v>
      </c>
      <c r="AL72" s="25">
        <v>0</v>
      </c>
      <c r="AM72" s="26">
        <v>0</v>
      </c>
      <c r="AN72" s="25">
        <v>0</v>
      </c>
      <c r="AO72" s="36">
        <v>0</v>
      </c>
      <c r="AP72" s="42">
        <v>3</v>
      </c>
      <c r="AQ72" s="83">
        <v>0.5</v>
      </c>
      <c r="AR72" s="25">
        <v>1</v>
      </c>
      <c r="AS72" s="25">
        <v>3</v>
      </c>
      <c r="AT72" s="25">
        <v>0</v>
      </c>
      <c r="AU72" s="25">
        <v>3</v>
      </c>
      <c r="AV72" s="86">
        <v>0.5</v>
      </c>
      <c r="AW72" s="25">
        <v>3</v>
      </c>
      <c r="AX72" s="26">
        <v>10</v>
      </c>
      <c r="AY72" s="88">
        <v>0.38461538461538464</v>
      </c>
      <c r="AZ72" s="26">
        <v>0</v>
      </c>
      <c r="BA72" s="26">
        <v>6</v>
      </c>
      <c r="BB72" s="26">
        <v>10</v>
      </c>
      <c r="BC72" s="26">
        <v>14</v>
      </c>
      <c r="BD72" s="88">
        <v>0.53846153846153844</v>
      </c>
      <c r="BE72" s="43">
        <v>12</v>
      </c>
      <c r="BF72" s="315">
        <v>0</v>
      </c>
      <c r="BG72" s="316">
        <v>2</v>
      </c>
      <c r="BH72" s="317">
        <v>0</v>
      </c>
      <c r="BI72" s="317">
        <v>0</v>
      </c>
    </row>
    <row r="73" spans="1:61" x14ac:dyDescent="0.25">
      <c r="A73" s="29">
        <v>45913</v>
      </c>
      <c r="B73" s="5">
        <v>4</v>
      </c>
      <c r="C73" s="5" t="s">
        <v>146</v>
      </c>
      <c r="D73" s="7">
        <v>1</v>
      </c>
      <c r="E73" s="7">
        <v>2</v>
      </c>
      <c r="F73" s="5" t="s">
        <v>226</v>
      </c>
      <c r="G73" s="5" t="s">
        <v>538</v>
      </c>
      <c r="H73" s="25">
        <v>64</v>
      </c>
      <c r="I73" s="26">
        <v>36</v>
      </c>
      <c r="J73" s="33">
        <v>2.23</v>
      </c>
      <c r="K73" s="34">
        <v>2.42</v>
      </c>
      <c r="L73" s="33">
        <v>1.53</v>
      </c>
      <c r="M73" s="33">
        <v>0.18</v>
      </c>
      <c r="N73" s="34">
        <v>2.42</v>
      </c>
      <c r="O73" s="34">
        <v>2.1800000000000002</v>
      </c>
      <c r="P73" s="25">
        <v>5</v>
      </c>
      <c r="Q73" s="26">
        <v>3</v>
      </c>
      <c r="R73" s="25">
        <v>23</v>
      </c>
      <c r="S73" s="26">
        <v>16</v>
      </c>
      <c r="T73" s="25">
        <v>4</v>
      </c>
      <c r="U73" s="26">
        <v>3</v>
      </c>
      <c r="V73" s="25">
        <v>1</v>
      </c>
      <c r="W73" s="26">
        <v>0</v>
      </c>
      <c r="X73" s="33">
        <v>0.42</v>
      </c>
      <c r="Y73" s="34">
        <v>-0.02</v>
      </c>
      <c r="Z73" s="25">
        <v>12</v>
      </c>
      <c r="AA73" s="26">
        <v>4</v>
      </c>
      <c r="AB73" s="25">
        <v>17</v>
      </c>
      <c r="AC73" s="26">
        <v>7</v>
      </c>
      <c r="AD73" s="25">
        <v>521</v>
      </c>
      <c r="AE73" s="26">
        <v>314</v>
      </c>
      <c r="AF73" s="25">
        <v>13</v>
      </c>
      <c r="AG73" s="26">
        <v>9</v>
      </c>
      <c r="AH73" s="25">
        <v>6</v>
      </c>
      <c r="AI73" s="26">
        <v>17</v>
      </c>
      <c r="AJ73" s="25">
        <v>2</v>
      </c>
      <c r="AK73" s="26">
        <v>1</v>
      </c>
      <c r="AL73" s="25">
        <v>0</v>
      </c>
      <c r="AM73" s="26">
        <v>1</v>
      </c>
      <c r="AN73" s="25">
        <v>0.7</v>
      </c>
      <c r="AO73" s="36">
        <v>0</v>
      </c>
      <c r="AP73" s="42">
        <v>4</v>
      </c>
      <c r="AQ73" s="83">
        <v>0.17391304347826086</v>
      </c>
      <c r="AR73" s="25">
        <v>0</v>
      </c>
      <c r="AS73" s="25">
        <v>7</v>
      </c>
      <c r="AT73" s="25">
        <v>12</v>
      </c>
      <c r="AU73" s="25">
        <v>15</v>
      </c>
      <c r="AV73" s="86">
        <v>0.65217391304347827</v>
      </c>
      <c r="AW73" s="25">
        <v>8</v>
      </c>
      <c r="AX73" s="26">
        <v>6</v>
      </c>
      <c r="AY73" s="88">
        <v>0.375</v>
      </c>
      <c r="AZ73" s="26">
        <v>2</v>
      </c>
      <c r="BA73" s="26">
        <v>7</v>
      </c>
      <c r="BB73" s="26">
        <v>3</v>
      </c>
      <c r="BC73" s="26">
        <v>14</v>
      </c>
      <c r="BD73" s="88">
        <v>0.875</v>
      </c>
      <c r="BE73" s="43">
        <v>2</v>
      </c>
      <c r="BF73" s="315">
        <v>0</v>
      </c>
      <c r="BG73" s="316">
        <v>1</v>
      </c>
      <c r="BH73" s="317">
        <v>0</v>
      </c>
      <c r="BI73" s="317">
        <v>0</v>
      </c>
    </row>
    <row r="74" spans="1:61" x14ac:dyDescent="0.25">
      <c r="A74" s="29">
        <v>45923</v>
      </c>
      <c r="B74" s="5">
        <v>6</v>
      </c>
      <c r="C74" s="5" t="s">
        <v>129</v>
      </c>
      <c r="D74" s="7">
        <v>1</v>
      </c>
      <c r="E74" s="7">
        <v>4</v>
      </c>
      <c r="F74" s="5" t="s">
        <v>226</v>
      </c>
      <c r="H74" s="25">
        <v>37</v>
      </c>
      <c r="I74" s="26">
        <v>63</v>
      </c>
      <c r="J74" s="33">
        <v>1.6</v>
      </c>
      <c r="K74" s="34">
        <v>3.94</v>
      </c>
      <c r="L74" s="33">
        <v>1.6</v>
      </c>
      <c r="M74" s="33">
        <v>1.0900000000000001</v>
      </c>
      <c r="N74" s="34">
        <v>3.24</v>
      </c>
      <c r="O74" s="34">
        <v>3.04</v>
      </c>
      <c r="P74" s="25">
        <v>3</v>
      </c>
      <c r="Q74" s="26">
        <v>6</v>
      </c>
      <c r="R74" s="25">
        <v>11</v>
      </c>
      <c r="S74" s="26">
        <v>24</v>
      </c>
      <c r="T74" s="25">
        <v>6</v>
      </c>
      <c r="U74" s="26">
        <v>1</v>
      </c>
      <c r="V74" s="25">
        <v>1</v>
      </c>
      <c r="W74" s="26">
        <v>0</v>
      </c>
      <c r="X74" s="33">
        <v>0.12</v>
      </c>
      <c r="Y74" s="34">
        <v>0.09</v>
      </c>
      <c r="Z74" s="25">
        <v>1</v>
      </c>
      <c r="AA74" s="26">
        <v>7</v>
      </c>
      <c r="AB74" s="25">
        <v>17</v>
      </c>
      <c r="AC74" s="26">
        <v>9</v>
      </c>
      <c r="AD74" s="25">
        <v>416</v>
      </c>
      <c r="AE74" s="26">
        <v>696</v>
      </c>
      <c r="AF74" s="25">
        <v>19</v>
      </c>
      <c r="AG74" s="26">
        <v>22</v>
      </c>
      <c r="AH74" s="25">
        <v>9</v>
      </c>
      <c r="AI74" s="26">
        <v>16</v>
      </c>
      <c r="AJ74" s="25">
        <v>1</v>
      </c>
      <c r="AK74" s="26">
        <v>1</v>
      </c>
      <c r="AL74" s="25">
        <v>0</v>
      </c>
      <c r="AM74" s="26">
        <v>0</v>
      </c>
      <c r="AN74" s="25">
        <v>0</v>
      </c>
      <c r="AO74" s="36">
        <v>0.7</v>
      </c>
      <c r="AP74" s="42">
        <v>2</v>
      </c>
      <c r="AQ74" s="83">
        <v>0.18181818181818182</v>
      </c>
      <c r="AR74" s="25">
        <v>0</v>
      </c>
      <c r="AS74" s="25">
        <v>3</v>
      </c>
      <c r="AT74" s="25">
        <v>6</v>
      </c>
      <c r="AU74" s="25">
        <v>8</v>
      </c>
      <c r="AV74" s="86">
        <v>0.72727272727272729</v>
      </c>
      <c r="AW74" s="25">
        <v>3</v>
      </c>
      <c r="AX74" s="26">
        <v>10</v>
      </c>
      <c r="AY74" s="88">
        <v>0.41666666666666669</v>
      </c>
      <c r="AZ74" s="26">
        <v>1</v>
      </c>
      <c r="BA74" s="26">
        <v>11</v>
      </c>
      <c r="BB74" s="26">
        <v>3</v>
      </c>
      <c r="BC74" s="26">
        <v>16</v>
      </c>
      <c r="BD74" s="88">
        <v>0.66666666666666663</v>
      </c>
      <c r="BE74" s="43">
        <v>8</v>
      </c>
      <c r="BF74" s="315">
        <v>3</v>
      </c>
      <c r="BG74" s="316">
        <v>0</v>
      </c>
      <c r="BH74" s="317">
        <v>1</v>
      </c>
      <c r="BI74" s="317">
        <v>0</v>
      </c>
    </row>
    <row r="75" spans="1:61" x14ac:dyDescent="0.25">
      <c r="A75" s="29">
        <v>45927</v>
      </c>
      <c r="B75" s="5">
        <v>7</v>
      </c>
      <c r="C75" s="5" t="s">
        <v>193</v>
      </c>
      <c r="D75" s="7">
        <v>5</v>
      </c>
      <c r="E75" s="7">
        <v>2</v>
      </c>
      <c r="F75" s="5" t="s">
        <v>226</v>
      </c>
      <c r="H75" s="25">
        <v>37</v>
      </c>
      <c r="I75" s="26">
        <v>63</v>
      </c>
      <c r="J75" s="33">
        <v>2.34</v>
      </c>
      <c r="K75" s="34">
        <v>0.66</v>
      </c>
      <c r="L75" s="33">
        <v>1.64</v>
      </c>
      <c r="M75" s="33">
        <v>1.41</v>
      </c>
      <c r="N75" s="34">
        <v>0.66</v>
      </c>
      <c r="O75" s="34">
        <v>0.7</v>
      </c>
      <c r="P75" s="25">
        <v>6</v>
      </c>
      <c r="Q75" s="26">
        <v>2</v>
      </c>
      <c r="R75" s="25">
        <v>13</v>
      </c>
      <c r="S75" s="26">
        <v>6</v>
      </c>
      <c r="T75" s="25">
        <v>0</v>
      </c>
      <c r="U75" s="26">
        <v>2</v>
      </c>
      <c r="V75" s="25">
        <v>0</v>
      </c>
      <c r="W75" s="26">
        <v>0</v>
      </c>
      <c r="X75" s="33">
        <v>-1.3</v>
      </c>
      <c r="Y75" s="34">
        <v>-2.98</v>
      </c>
      <c r="Z75" s="25">
        <v>7</v>
      </c>
      <c r="AA75" s="26">
        <v>2</v>
      </c>
      <c r="AB75" s="25">
        <v>17</v>
      </c>
      <c r="AC75" s="26">
        <v>14</v>
      </c>
      <c r="AD75" s="25">
        <v>306</v>
      </c>
      <c r="AE75" s="26">
        <v>538</v>
      </c>
      <c r="AF75" s="25">
        <v>14</v>
      </c>
      <c r="AG75" s="26">
        <v>11</v>
      </c>
      <c r="AH75" s="25">
        <v>13</v>
      </c>
      <c r="AI75" s="26">
        <v>17</v>
      </c>
      <c r="AJ75" s="25">
        <v>5</v>
      </c>
      <c r="AK75" s="26">
        <v>4</v>
      </c>
      <c r="AL75" s="25">
        <v>0</v>
      </c>
      <c r="AM75" s="26">
        <v>0</v>
      </c>
      <c r="AN75" s="25">
        <v>0.7</v>
      </c>
      <c r="AO75" s="36">
        <v>0</v>
      </c>
      <c r="AP75" s="42">
        <v>7</v>
      </c>
      <c r="AQ75" s="83">
        <v>0.53846153846153844</v>
      </c>
      <c r="AR75" s="25">
        <v>1</v>
      </c>
      <c r="AS75" s="25">
        <v>4</v>
      </c>
      <c r="AT75" s="25">
        <v>2</v>
      </c>
      <c r="AU75" s="25">
        <v>8</v>
      </c>
      <c r="AV75" s="86">
        <v>0.61538461538461542</v>
      </c>
      <c r="AW75" s="25">
        <v>5</v>
      </c>
      <c r="AX75" s="26">
        <v>2</v>
      </c>
      <c r="AY75" s="88">
        <v>0.33333333333333331</v>
      </c>
      <c r="AZ75" s="26">
        <v>0</v>
      </c>
      <c r="BA75" s="26">
        <v>2</v>
      </c>
      <c r="BB75" s="26">
        <v>2</v>
      </c>
      <c r="BC75" s="26">
        <v>3</v>
      </c>
      <c r="BD75" s="88">
        <v>0.5</v>
      </c>
      <c r="BE75" s="43">
        <v>3</v>
      </c>
      <c r="BF75" s="315">
        <v>0</v>
      </c>
      <c r="BG75" s="316">
        <v>1</v>
      </c>
      <c r="BH75" s="317">
        <v>1</v>
      </c>
      <c r="BI75" s="317">
        <v>1</v>
      </c>
    </row>
    <row r="76" spans="1:61" x14ac:dyDescent="0.25">
      <c r="A76" s="99">
        <v>45949</v>
      </c>
      <c r="B76" s="100">
        <v>9</v>
      </c>
      <c r="C76" s="100" t="s">
        <v>161</v>
      </c>
      <c r="D76" s="101">
        <f>AVERAGE(D69:D75)</f>
        <v>1.5714285714285714</v>
      </c>
      <c r="E76" s="101">
        <f>AVERAGE(E69:E75)</f>
        <v>1.8571428571428572</v>
      </c>
      <c r="F76" s="100" t="s">
        <v>226</v>
      </c>
      <c r="G76" s="100"/>
      <c r="H76" s="100">
        <f t="shared" ref="H76:AM76" si="16">AVERAGE(H69:H75)</f>
        <v>45.857142857142854</v>
      </c>
      <c r="I76" s="100">
        <f t="shared" si="16"/>
        <v>54.142857142857146</v>
      </c>
      <c r="J76" s="102">
        <f t="shared" si="16"/>
        <v>1.1728571428571428</v>
      </c>
      <c r="K76" s="102">
        <f t="shared" si="16"/>
        <v>1.7100000000000002</v>
      </c>
      <c r="L76" s="102">
        <f t="shared" si="16"/>
        <v>0.97285714285714275</v>
      </c>
      <c r="M76" s="102">
        <f>AVERAGE(M69:M75)</f>
        <v>0.82714285714285729</v>
      </c>
      <c r="N76" s="102">
        <f t="shared" si="16"/>
        <v>1.6099999999999999</v>
      </c>
      <c r="O76" s="102">
        <f t="shared" si="16"/>
        <v>1.5085714285714285</v>
      </c>
      <c r="P76" s="100">
        <f t="shared" si="16"/>
        <v>2.7142857142857144</v>
      </c>
      <c r="Q76" s="100">
        <f t="shared" si="16"/>
        <v>3</v>
      </c>
      <c r="R76" s="100">
        <f t="shared" si="16"/>
        <v>11.571428571428571</v>
      </c>
      <c r="S76" s="100">
        <f t="shared" si="16"/>
        <v>14</v>
      </c>
      <c r="T76" s="100">
        <f t="shared" si="16"/>
        <v>3.5714285714285716</v>
      </c>
      <c r="U76" s="100">
        <f t="shared" si="16"/>
        <v>1.8571428571428572</v>
      </c>
      <c r="V76" s="100">
        <f t="shared" si="16"/>
        <v>0.8571428571428571</v>
      </c>
      <c r="W76" s="100">
        <f t="shared" si="16"/>
        <v>0.2857142857142857</v>
      </c>
      <c r="X76" s="102">
        <f t="shared" si="16"/>
        <v>-0.23</v>
      </c>
      <c r="Y76" s="102">
        <f t="shared" si="16"/>
        <v>-0.51142857142857145</v>
      </c>
      <c r="Z76" s="100">
        <f t="shared" si="16"/>
        <v>4.7142857142857144</v>
      </c>
      <c r="AA76" s="100">
        <f t="shared" si="16"/>
        <v>4.8571428571428568</v>
      </c>
      <c r="AB76" s="100">
        <f t="shared" si="16"/>
        <v>14.285714285714286</v>
      </c>
      <c r="AC76" s="100">
        <f t="shared" si="16"/>
        <v>13</v>
      </c>
      <c r="AD76" s="100">
        <f t="shared" si="16"/>
        <v>370.42857142857144</v>
      </c>
      <c r="AE76" s="100">
        <f t="shared" si="16"/>
        <v>465.71428571428572</v>
      </c>
      <c r="AF76" s="100">
        <f t="shared" si="16"/>
        <v>18</v>
      </c>
      <c r="AG76" s="100">
        <f t="shared" si="16"/>
        <v>16.857142857142858</v>
      </c>
      <c r="AH76" s="100">
        <f t="shared" si="16"/>
        <v>12.714285714285714</v>
      </c>
      <c r="AI76" s="100">
        <f t="shared" si="16"/>
        <v>14.142857142857142</v>
      </c>
      <c r="AJ76" s="100">
        <f t="shared" si="16"/>
        <v>2.5714285714285716</v>
      </c>
      <c r="AK76" s="100">
        <f t="shared" si="16"/>
        <v>2.5714285714285716</v>
      </c>
      <c r="AL76" s="100">
        <f t="shared" si="16"/>
        <v>0</v>
      </c>
      <c r="AM76" s="100">
        <f t="shared" si="16"/>
        <v>0.2857142857142857</v>
      </c>
      <c r="AN76" s="100">
        <f t="shared" ref="AN76:BI76" si="17">AVERAGE(AN69:AN75)</f>
        <v>0.19999999999999998</v>
      </c>
      <c r="AO76" s="103">
        <f t="shared" si="17"/>
        <v>9.9999999999999992E-2</v>
      </c>
      <c r="AP76" s="104">
        <f t="shared" si="17"/>
        <v>3.4285714285714284</v>
      </c>
      <c r="AQ76" s="105">
        <f t="shared" si="17"/>
        <v>0.31438375289306963</v>
      </c>
      <c r="AR76" s="100">
        <f t="shared" si="17"/>
        <v>0.2857142857142857</v>
      </c>
      <c r="AS76" s="100">
        <f t="shared" si="17"/>
        <v>4</v>
      </c>
      <c r="AT76" s="100">
        <f t="shared" si="17"/>
        <v>4.1428571428571432</v>
      </c>
      <c r="AU76" s="100">
        <f t="shared" si="17"/>
        <v>6.5714285714285712</v>
      </c>
      <c r="AV76" s="107">
        <f t="shared" si="17"/>
        <v>0.54230427957136029</v>
      </c>
      <c r="AW76" s="100">
        <f t="shared" si="17"/>
        <v>5</v>
      </c>
      <c r="AX76" s="100">
        <f t="shared" si="17"/>
        <v>5.1428571428571432</v>
      </c>
      <c r="AY76" s="107">
        <f t="shared" si="17"/>
        <v>0.34033466533466539</v>
      </c>
      <c r="AZ76" s="100">
        <f t="shared" si="17"/>
        <v>0.5714285714285714</v>
      </c>
      <c r="BA76" s="100">
        <f t="shared" si="17"/>
        <v>5.2857142857142856</v>
      </c>
      <c r="BB76" s="100">
        <f t="shared" si="17"/>
        <v>3.5714285714285716</v>
      </c>
      <c r="BC76" s="100">
        <f t="shared" si="17"/>
        <v>8.7142857142857135</v>
      </c>
      <c r="BD76" s="107">
        <f t="shared" si="17"/>
        <v>0.57378454878454888</v>
      </c>
      <c r="BE76" s="106">
        <f t="shared" si="17"/>
        <v>5.2857142857142856</v>
      </c>
      <c r="BF76" s="320">
        <f t="shared" si="17"/>
        <v>0.8571428571428571</v>
      </c>
      <c r="BG76" s="321">
        <f t="shared" si="17"/>
        <v>0.5714285714285714</v>
      </c>
      <c r="BH76" s="321">
        <f t="shared" si="17"/>
        <v>0.42857142857142855</v>
      </c>
      <c r="BI76" s="321">
        <f t="shared" si="17"/>
        <v>0.2857142857142857</v>
      </c>
    </row>
    <row r="77" spans="1:61" x14ac:dyDescent="0.25">
      <c r="A77" s="29">
        <v>45885</v>
      </c>
      <c r="B77" s="5">
        <v>1</v>
      </c>
      <c r="C77" s="5" t="s">
        <v>128</v>
      </c>
      <c r="D77" s="7">
        <v>2</v>
      </c>
      <c r="E77" s="7">
        <v>1</v>
      </c>
      <c r="F77" s="5" t="s">
        <v>129</v>
      </c>
      <c r="H77" s="25">
        <v>62</v>
      </c>
      <c r="I77" s="26">
        <v>38</v>
      </c>
      <c r="J77" s="33">
        <v>1.29</v>
      </c>
      <c r="K77" s="34">
        <v>0.87</v>
      </c>
      <c r="L77" s="33">
        <v>1.29</v>
      </c>
      <c r="M77" s="33">
        <v>2.16</v>
      </c>
      <c r="N77" s="34">
        <v>0.87</v>
      </c>
      <c r="O77" s="34">
        <v>1.31</v>
      </c>
      <c r="P77" s="25">
        <v>2</v>
      </c>
      <c r="Q77" s="26">
        <v>1</v>
      </c>
      <c r="R77" s="25">
        <v>15</v>
      </c>
      <c r="S77" s="26">
        <v>7</v>
      </c>
      <c r="T77" s="25">
        <v>2</v>
      </c>
      <c r="U77" s="26">
        <v>2</v>
      </c>
      <c r="V77" s="25">
        <v>0</v>
      </c>
      <c r="W77" s="26">
        <v>1</v>
      </c>
      <c r="X77" s="33">
        <v>0.34</v>
      </c>
      <c r="Y77" s="34">
        <v>0.22</v>
      </c>
      <c r="Z77" s="25">
        <v>10</v>
      </c>
      <c r="AA77" s="26">
        <v>1</v>
      </c>
      <c r="AB77" s="25">
        <v>15</v>
      </c>
      <c r="AC77" s="26">
        <v>13</v>
      </c>
      <c r="AD77" s="25">
        <v>471</v>
      </c>
      <c r="AE77" s="26">
        <v>296</v>
      </c>
      <c r="AF77" s="25">
        <v>15</v>
      </c>
      <c r="AG77" s="26">
        <v>16</v>
      </c>
      <c r="AH77" s="25">
        <v>13</v>
      </c>
      <c r="AI77" s="26">
        <v>15</v>
      </c>
      <c r="AJ77" s="25">
        <v>0</v>
      </c>
      <c r="AK77" s="26">
        <v>1</v>
      </c>
      <c r="AL77" s="25">
        <v>0</v>
      </c>
      <c r="AM77" s="26">
        <v>0</v>
      </c>
      <c r="AN77" s="25">
        <v>0</v>
      </c>
      <c r="AO77" s="36">
        <v>0</v>
      </c>
      <c r="AP77" s="42">
        <v>4</v>
      </c>
      <c r="AQ77" s="83">
        <v>0.26666666666666666</v>
      </c>
      <c r="AR77" s="25">
        <v>0</v>
      </c>
      <c r="AS77" s="25">
        <v>7</v>
      </c>
      <c r="AT77" s="25">
        <v>4</v>
      </c>
      <c r="AU77" s="25">
        <v>10</v>
      </c>
      <c r="AV77" s="86">
        <v>0.66666666666666663</v>
      </c>
      <c r="AW77" s="25">
        <v>5</v>
      </c>
      <c r="AX77" s="26">
        <v>3</v>
      </c>
      <c r="AY77" s="88">
        <v>0.42857142857142855</v>
      </c>
      <c r="AZ77" s="26">
        <v>0</v>
      </c>
      <c r="BA77" s="26">
        <v>1</v>
      </c>
      <c r="BB77" s="26">
        <v>3</v>
      </c>
      <c r="BC77" s="26">
        <v>4</v>
      </c>
      <c r="BD77" s="88">
        <v>0.5714285714285714</v>
      </c>
      <c r="BE77" s="43">
        <v>3</v>
      </c>
      <c r="BF77" s="315">
        <v>0</v>
      </c>
      <c r="BG77" s="316">
        <v>0</v>
      </c>
      <c r="BH77" s="317">
        <v>0</v>
      </c>
      <c r="BI77" s="317">
        <v>1</v>
      </c>
    </row>
    <row r="78" spans="1:61" x14ac:dyDescent="0.25">
      <c r="A78" s="29">
        <v>45899</v>
      </c>
      <c r="B78" s="5">
        <v>3</v>
      </c>
      <c r="C78" s="5" t="s">
        <v>128</v>
      </c>
      <c r="D78" s="7">
        <v>1</v>
      </c>
      <c r="E78" s="7">
        <v>1</v>
      </c>
      <c r="F78" s="5" t="s">
        <v>193</v>
      </c>
      <c r="H78" s="25">
        <v>40</v>
      </c>
      <c r="I78" s="26">
        <v>60</v>
      </c>
      <c r="J78" s="33">
        <v>0.91</v>
      </c>
      <c r="K78" s="34">
        <v>1.06</v>
      </c>
      <c r="L78" s="33">
        <v>0.21000000000000008</v>
      </c>
      <c r="M78" s="33">
        <v>0</v>
      </c>
      <c r="N78" s="34">
        <v>1.06</v>
      </c>
      <c r="O78" s="34">
        <v>2.27</v>
      </c>
      <c r="P78" s="25">
        <v>1</v>
      </c>
      <c r="Q78" s="26">
        <v>1</v>
      </c>
      <c r="R78" s="25">
        <v>5</v>
      </c>
      <c r="S78" s="26">
        <v>15</v>
      </c>
      <c r="T78" s="25">
        <v>5</v>
      </c>
      <c r="U78" s="26">
        <v>1</v>
      </c>
      <c r="V78" s="25">
        <v>0</v>
      </c>
      <c r="W78" s="26">
        <v>0</v>
      </c>
      <c r="X78" s="33">
        <v>1.33</v>
      </c>
      <c r="Y78" s="34">
        <v>0.24</v>
      </c>
      <c r="Z78" s="25">
        <v>1</v>
      </c>
      <c r="AA78" s="26">
        <v>6</v>
      </c>
      <c r="AB78" s="25">
        <v>10</v>
      </c>
      <c r="AC78" s="26">
        <v>17</v>
      </c>
      <c r="AD78" s="25">
        <v>377</v>
      </c>
      <c r="AE78" s="26">
        <v>550</v>
      </c>
      <c r="AF78" s="25">
        <v>14</v>
      </c>
      <c r="AG78" s="26">
        <v>19</v>
      </c>
      <c r="AH78" s="25">
        <v>16</v>
      </c>
      <c r="AI78" s="26">
        <v>10</v>
      </c>
      <c r="AJ78" s="25">
        <v>2</v>
      </c>
      <c r="AK78" s="26">
        <v>3</v>
      </c>
      <c r="AL78" s="25">
        <v>0</v>
      </c>
      <c r="AM78" s="26">
        <v>0</v>
      </c>
      <c r="AN78" s="25">
        <v>0.7</v>
      </c>
      <c r="AO78" s="36">
        <v>0</v>
      </c>
      <c r="AP78" s="42">
        <v>2</v>
      </c>
      <c r="AQ78" s="83">
        <v>0.4</v>
      </c>
      <c r="AR78" s="25">
        <v>0</v>
      </c>
      <c r="AS78" s="25">
        <v>2</v>
      </c>
      <c r="AT78" s="25">
        <v>1</v>
      </c>
      <c r="AU78" s="25">
        <v>3</v>
      </c>
      <c r="AV78" s="86">
        <v>0.6</v>
      </c>
      <c r="AW78" s="25">
        <v>2</v>
      </c>
      <c r="AX78" s="26">
        <v>6</v>
      </c>
      <c r="AY78" s="88">
        <v>0.4</v>
      </c>
      <c r="AZ78" s="26">
        <v>1</v>
      </c>
      <c r="BA78" s="26">
        <v>6</v>
      </c>
      <c r="BB78" s="26">
        <v>3</v>
      </c>
      <c r="BC78" s="26">
        <v>11</v>
      </c>
      <c r="BD78" s="88">
        <v>0.73333333333333328</v>
      </c>
      <c r="BE78" s="43">
        <v>4</v>
      </c>
      <c r="BF78" s="315">
        <v>1</v>
      </c>
      <c r="BG78" s="316">
        <v>0</v>
      </c>
      <c r="BH78" s="317">
        <v>1</v>
      </c>
      <c r="BI78" s="317">
        <v>0</v>
      </c>
    </row>
    <row r="79" spans="1:61" x14ac:dyDescent="0.25">
      <c r="A79" s="29">
        <v>45920</v>
      </c>
      <c r="B79" s="5">
        <v>5</v>
      </c>
      <c r="C79" s="5" t="s">
        <v>128</v>
      </c>
      <c r="D79" s="7">
        <v>1</v>
      </c>
      <c r="E79" s="7">
        <v>2</v>
      </c>
      <c r="F79" s="5" t="s">
        <v>171</v>
      </c>
      <c r="H79" s="25">
        <v>48</v>
      </c>
      <c r="I79" s="26">
        <v>52</v>
      </c>
      <c r="J79" s="33">
        <v>0.95</v>
      </c>
      <c r="K79" s="34">
        <v>0.48</v>
      </c>
      <c r="L79" s="33">
        <v>0.25</v>
      </c>
      <c r="M79" s="33">
        <v>0</v>
      </c>
      <c r="N79" s="34">
        <v>0.48</v>
      </c>
      <c r="O79" s="34">
        <v>1.52</v>
      </c>
      <c r="P79" s="25">
        <v>1</v>
      </c>
      <c r="Q79" s="26">
        <v>2</v>
      </c>
      <c r="R79" s="25">
        <v>8</v>
      </c>
      <c r="S79" s="26">
        <v>9</v>
      </c>
      <c r="T79" s="25">
        <v>1</v>
      </c>
      <c r="U79" s="26">
        <v>4</v>
      </c>
      <c r="V79" s="25">
        <v>0</v>
      </c>
      <c r="W79" s="26">
        <v>0</v>
      </c>
      <c r="X79" s="33">
        <v>-0.48</v>
      </c>
      <c r="Y79" s="34">
        <v>0</v>
      </c>
      <c r="Z79" s="25">
        <v>4</v>
      </c>
      <c r="AA79" s="26">
        <v>4</v>
      </c>
      <c r="AB79" s="25">
        <v>20</v>
      </c>
      <c r="AC79" s="26">
        <v>19</v>
      </c>
      <c r="AD79" s="25">
        <v>394</v>
      </c>
      <c r="AE79" s="26">
        <v>423</v>
      </c>
      <c r="AF79" s="25">
        <v>21</v>
      </c>
      <c r="AG79" s="26">
        <v>20</v>
      </c>
      <c r="AH79" s="25">
        <v>18</v>
      </c>
      <c r="AI79" s="26">
        <v>20</v>
      </c>
      <c r="AJ79" s="25">
        <v>1</v>
      </c>
      <c r="AK79" s="26">
        <v>7</v>
      </c>
      <c r="AL79" s="25">
        <v>0</v>
      </c>
      <c r="AM79" s="26">
        <v>0</v>
      </c>
      <c r="AN79" s="25">
        <v>0.7</v>
      </c>
      <c r="AO79" s="36">
        <v>0</v>
      </c>
      <c r="AP79" s="42">
        <v>5</v>
      </c>
      <c r="AQ79" s="83">
        <v>0.625</v>
      </c>
      <c r="AR79" s="25">
        <v>0</v>
      </c>
      <c r="AS79" s="25">
        <v>2</v>
      </c>
      <c r="AT79" s="25">
        <v>1</v>
      </c>
      <c r="AU79" s="25">
        <v>4</v>
      </c>
      <c r="AV79" s="86">
        <v>0.5</v>
      </c>
      <c r="AW79" s="25">
        <v>4</v>
      </c>
      <c r="AX79" s="26">
        <v>3</v>
      </c>
      <c r="AY79" s="88">
        <v>0.33333333333333331</v>
      </c>
      <c r="AZ79" s="26">
        <v>0</v>
      </c>
      <c r="BA79" s="26">
        <v>4</v>
      </c>
      <c r="BB79" s="26">
        <v>2</v>
      </c>
      <c r="BC79" s="26">
        <v>5</v>
      </c>
      <c r="BD79" s="88">
        <v>0.55555555555555558</v>
      </c>
      <c r="BE79" s="43">
        <v>4</v>
      </c>
      <c r="BF79" s="315">
        <v>0</v>
      </c>
      <c r="BG79" s="316">
        <v>1</v>
      </c>
      <c r="BH79" s="317">
        <v>0</v>
      </c>
      <c r="BI79" s="317">
        <v>0</v>
      </c>
    </row>
    <row r="80" spans="1:61" x14ac:dyDescent="0.25">
      <c r="A80" s="29">
        <v>45935</v>
      </c>
      <c r="B80" s="5">
        <v>8</v>
      </c>
      <c r="C80" s="5" t="s">
        <v>128</v>
      </c>
      <c r="D80" s="7">
        <v>3</v>
      </c>
      <c r="E80" s="7">
        <v>1</v>
      </c>
      <c r="F80" s="5" t="s">
        <v>208</v>
      </c>
      <c r="G80" s="5" t="s">
        <v>564</v>
      </c>
      <c r="H80" s="25">
        <v>47</v>
      </c>
      <c r="I80" s="26">
        <v>53</v>
      </c>
      <c r="J80" s="33">
        <v>2.42</v>
      </c>
      <c r="K80" s="34">
        <v>0.38</v>
      </c>
      <c r="L80" s="33">
        <v>1.72</v>
      </c>
      <c r="M80" s="33">
        <v>1.64</v>
      </c>
      <c r="N80" s="34">
        <v>0.38</v>
      </c>
      <c r="O80" s="34">
        <v>0.11</v>
      </c>
      <c r="P80" s="25">
        <v>3</v>
      </c>
      <c r="Q80" s="26">
        <v>2</v>
      </c>
      <c r="R80" s="25">
        <v>25</v>
      </c>
      <c r="S80" s="26">
        <v>6</v>
      </c>
      <c r="T80" s="25">
        <v>2</v>
      </c>
      <c r="U80" s="26">
        <v>2</v>
      </c>
      <c r="V80" s="25">
        <v>0</v>
      </c>
      <c r="W80" s="26">
        <v>2</v>
      </c>
      <c r="X80" s="33">
        <v>-0.8</v>
      </c>
      <c r="Y80" s="34">
        <v>-0.37</v>
      </c>
      <c r="Z80" s="25">
        <v>14</v>
      </c>
      <c r="AA80" s="26">
        <v>4</v>
      </c>
      <c r="AB80" s="25">
        <v>13</v>
      </c>
      <c r="AC80" s="26">
        <v>9</v>
      </c>
      <c r="AD80" s="25">
        <v>395</v>
      </c>
      <c r="AE80" s="26">
        <v>461</v>
      </c>
      <c r="AF80" s="25">
        <v>20</v>
      </c>
      <c r="AG80" s="26">
        <v>18</v>
      </c>
      <c r="AH80" s="25">
        <v>8</v>
      </c>
      <c r="AI80" s="26">
        <v>13</v>
      </c>
      <c r="AJ80" s="25">
        <v>3</v>
      </c>
      <c r="AK80" s="26">
        <v>1</v>
      </c>
      <c r="AL80" s="25">
        <v>0</v>
      </c>
      <c r="AM80" s="26">
        <v>1</v>
      </c>
      <c r="AN80" s="25">
        <v>0.7</v>
      </c>
      <c r="AO80" s="36">
        <v>0</v>
      </c>
      <c r="AP80" s="42">
        <v>5</v>
      </c>
      <c r="AQ80" s="83">
        <v>0.2</v>
      </c>
      <c r="AR80" s="25">
        <v>0</v>
      </c>
      <c r="AS80" s="25">
        <v>8</v>
      </c>
      <c r="AT80" s="25">
        <v>12</v>
      </c>
      <c r="AU80" s="25">
        <v>14</v>
      </c>
      <c r="AV80" s="86">
        <v>0.56000000000000005</v>
      </c>
      <c r="AW80" s="25">
        <v>11</v>
      </c>
      <c r="AX80" s="26">
        <v>3</v>
      </c>
      <c r="AY80" s="88">
        <v>0.5</v>
      </c>
      <c r="AZ80" s="26">
        <v>0</v>
      </c>
      <c r="BA80" s="26">
        <v>1</v>
      </c>
      <c r="BB80" s="26">
        <v>2</v>
      </c>
      <c r="BC80" s="26">
        <v>3</v>
      </c>
      <c r="BD80" s="88">
        <v>0.5</v>
      </c>
      <c r="BE80" s="43">
        <v>3</v>
      </c>
      <c r="BF80" s="315">
        <v>0</v>
      </c>
      <c r="BG80" s="316">
        <v>0</v>
      </c>
      <c r="BH80" s="317">
        <v>0</v>
      </c>
      <c r="BI80" s="317">
        <v>0</v>
      </c>
    </row>
    <row r="81" spans="1:61" x14ac:dyDescent="0.25">
      <c r="A81" s="29">
        <v>45893</v>
      </c>
      <c r="B81" s="5">
        <v>2</v>
      </c>
      <c r="C81" s="5" t="s">
        <v>227</v>
      </c>
      <c r="D81" s="7">
        <v>1</v>
      </c>
      <c r="E81" s="7">
        <v>0</v>
      </c>
      <c r="F81" s="5" t="s">
        <v>145</v>
      </c>
      <c r="H81" s="25">
        <v>56</v>
      </c>
      <c r="I81" s="26">
        <v>44</v>
      </c>
      <c r="J81" s="33">
        <v>0.83</v>
      </c>
      <c r="K81" s="34">
        <v>0.41</v>
      </c>
      <c r="L81" s="33">
        <v>0.83</v>
      </c>
      <c r="M81" s="33">
        <v>0.56000000000000005</v>
      </c>
      <c r="N81" s="34">
        <v>0.41</v>
      </c>
      <c r="O81" s="34">
        <v>0</v>
      </c>
      <c r="P81" s="25">
        <v>1</v>
      </c>
      <c r="Q81" s="26">
        <v>1</v>
      </c>
      <c r="R81" s="25">
        <v>16</v>
      </c>
      <c r="S81" s="26">
        <v>4</v>
      </c>
      <c r="T81" s="25">
        <v>1</v>
      </c>
      <c r="U81" s="26">
        <v>3</v>
      </c>
      <c r="V81" s="25">
        <v>1</v>
      </c>
      <c r="W81" s="26">
        <v>1</v>
      </c>
      <c r="X81" s="33">
        <v>0.02</v>
      </c>
      <c r="Y81" s="34">
        <v>-0.34</v>
      </c>
      <c r="Z81" s="25">
        <v>3</v>
      </c>
      <c r="AA81" s="26">
        <v>4</v>
      </c>
      <c r="AB81" s="25">
        <v>14</v>
      </c>
      <c r="AC81" s="26">
        <v>13</v>
      </c>
      <c r="AD81" s="25">
        <v>464</v>
      </c>
      <c r="AE81" s="26">
        <v>370</v>
      </c>
      <c r="AF81" s="25">
        <v>13</v>
      </c>
      <c r="AG81" s="26">
        <v>12</v>
      </c>
      <c r="AH81" s="25">
        <v>13</v>
      </c>
      <c r="AI81" s="26">
        <v>14</v>
      </c>
      <c r="AJ81" s="25">
        <v>2</v>
      </c>
      <c r="AK81" s="26">
        <v>1</v>
      </c>
      <c r="AL81" s="25">
        <v>0</v>
      </c>
      <c r="AM81" s="26">
        <v>1</v>
      </c>
      <c r="AN81" s="25">
        <v>0</v>
      </c>
      <c r="AO81" s="36">
        <v>0</v>
      </c>
      <c r="AP81" s="42">
        <v>4</v>
      </c>
      <c r="AQ81" s="83">
        <v>0.25</v>
      </c>
      <c r="AR81" s="25">
        <v>0</v>
      </c>
      <c r="AS81" s="25">
        <v>6</v>
      </c>
      <c r="AT81" s="25">
        <v>6</v>
      </c>
      <c r="AU81" s="25">
        <v>9</v>
      </c>
      <c r="AV81" s="86">
        <v>0.5625</v>
      </c>
      <c r="AW81" s="25">
        <v>7</v>
      </c>
      <c r="AX81" s="26">
        <v>1</v>
      </c>
      <c r="AY81" s="88">
        <v>0.25</v>
      </c>
      <c r="AZ81" s="26">
        <v>0</v>
      </c>
      <c r="BA81" s="26">
        <v>2</v>
      </c>
      <c r="BB81" s="26">
        <v>1</v>
      </c>
      <c r="BC81" s="26">
        <v>1</v>
      </c>
      <c r="BD81" s="88">
        <v>0.25</v>
      </c>
      <c r="BE81" s="43">
        <v>3</v>
      </c>
      <c r="BF81" s="315">
        <v>0</v>
      </c>
      <c r="BG81" s="316">
        <v>0</v>
      </c>
      <c r="BH81" s="317">
        <v>0</v>
      </c>
      <c r="BI81" s="317">
        <v>0</v>
      </c>
    </row>
    <row r="82" spans="1:61" x14ac:dyDescent="0.25">
      <c r="A82" s="29">
        <v>45914</v>
      </c>
      <c r="B82" s="5">
        <v>4</v>
      </c>
      <c r="C82" s="5" t="s">
        <v>113</v>
      </c>
      <c r="D82" s="7">
        <v>6</v>
      </c>
      <c r="E82" s="7">
        <v>0</v>
      </c>
      <c r="F82" s="5" t="s">
        <v>145</v>
      </c>
      <c r="H82" s="25">
        <v>72</v>
      </c>
      <c r="I82" s="26">
        <v>28</v>
      </c>
      <c r="J82" s="33">
        <v>4.0199999999999996</v>
      </c>
      <c r="K82" s="34">
        <v>0.18</v>
      </c>
      <c r="L82" s="33">
        <v>4.0199999999999996</v>
      </c>
      <c r="M82" s="33">
        <v>2.4900000000000002</v>
      </c>
      <c r="N82" s="34">
        <v>0.18</v>
      </c>
      <c r="O82" s="34">
        <v>0.28999999999999998</v>
      </c>
      <c r="P82" s="25">
        <v>6</v>
      </c>
      <c r="Q82" s="26">
        <v>0</v>
      </c>
      <c r="R82" s="25">
        <v>24</v>
      </c>
      <c r="S82" s="26">
        <v>2</v>
      </c>
      <c r="T82" s="25">
        <v>1</v>
      </c>
      <c r="U82" s="26">
        <v>5</v>
      </c>
      <c r="V82" s="25">
        <v>0</v>
      </c>
      <c r="W82" s="26">
        <v>0</v>
      </c>
      <c r="X82" s="33">
        <v>0.31</v>
      </c>
      <c r="Y82" s="34">
        <v>-3.31</v>
      </c>
      <c r="Z82" s="25">
        <v>5</v>
      </c>
      <c r="AA82" s="26">
        <v>4</v>
      </c>
      <c r="AB82" s="25">
        <v>9</v>
      </c>
      <c r="AC82" s="26">
        <v>8</v>
      </c>
      <c r="AD82" s="25">
        <v>677</v>
      </c>
      <c r="AE82" s="26">
        <v>248</v>
      </c>
      <c r="AF82" s="25">
        <v>17</v>
      </c>
      <c r="AG82" s="26">
        <v>19</v>
      </c>
      <c r="AH82" s="25">
        <v>8</v>
      </c>
      <c r="AI82" s="26">
        <v>9</v>
      </c>
      <c r="AJ82" s="25">
        <v>0</v>
      </c>
      <c r="AK82" s="26">
        <v>1</v>
      </c>
      <c r="AL82" s="25">
        <v>0</v>
      </c>
      <c r="AM82" s="26">
        <v>0</v>
      </c>
      <c r="AN82" s="25">
        <v>0</v>
      </c>
      <c r="AO82" s="36">
        <v>0</v>
      </c>
      <c r="AP82" s="42">
        <v>10</v>
      </c>
      <c r="AQ82" s="83">
        <v>0.41666666666666669</v>
      </c>
      <c r="AR82" s="25">
        <v>1</v>
      </c>
      <c r="AS82" s="25">
        <v>10</v>
      </c>
      <c r="AT82" s="25">
        <v>4</v>
      </c>
      <c r="AU82" s="25">
        <v>16</v>
      </c>
      <c r="AV82" s="86">
        <v>0.66666666666666663</v>
      </c>
      <c r="AW82" s="25">
        <v>8</v>
      </c>
      <c r="AX82" s="26">
        <v>1</v>
      </c>
      <c r="AY82" s="88">
        <v>0.5</v>
      </c>
      <c r="AZ82" s="26">
        <v>0</v>
      </c>
      <c r="BA82" s="26">
        <v>1</v>
      </c>
      <c r="BB82" s="26">
        <v>0</v>
      </c>
      <c r="BC82" s="26">
        <v>2</v>
      </c>
      <c r="BD82" s="88">
        <v>1</v>
      </c>
      <c r="BE82" s="43">
        <v>0</v>
      </c>
      <c r="BF82" s="315">
        <v>0</v>
      </c>
      <c r="BG82" s="316">
        <v>0</v>
      </c>
      <c r="BH82" s="317">
        <v>1</v>
      </c>
      <c r="BI82" s="317">
        <v>2</v>
      </c>
    </row>
    <row r="83" spans="1:61" x14ac:dyDescent="0.25">
      <c r="A83" s="29">
        <v>45923</v>
      </c>
      <c r="B83" s="5">
        <v>6</v>
      </c>
      <c r="C83" s="5" t="s">
        <v>192</v>
      </c>
      <c r="D83" s="7">
        <v>2</v>
      </c>
      <c r="E83" s="7">
        <v>2</v>
      </c>
      <c r="F83" s="5" t="s">
        <v>145</v>
      </c>
      <c r="H83" s="25">
        <v>56</v>
      </c>
      <c r="I83" s="26">
        <v>44</v>
      </c>
      <c r="J83" s="33">
        <v>2.57</v>
      </c>
      <c r="K83" s="34">
        <v>0.74</v>
      </c>
      <c r="L83" s="33">
        <v>2.57</v>
      </c>
      <c r="M83" s="33">
        <v>2.41</v>
      </c>
      <c r="N83" s="34">
        <v>0.74</v>
      </c>
      <c r="O83" s="34">
        <v>1.42</v>
      </c>
      <c r="P83" s="25">
        <v>7</v>
      </c>
      <c r="Q83" s="26">
        <v>2</v>
      </c>
      <c r="R83" s="25">
        <v>21</v>
      </c>
      <c r="S83" s="26">
        <v>5</v>
      </c>
      <c r="T83" s="25">
        <v>0</v>
      </c>
      <c r="U83" s="26">
        <v>6</v>
      </c>
      <c r="V83" s="25">
        <v>0</v>
      </c>
      <c r="W83" s="26">
        <v>0</v>
      </c>
      <c r="X83" s="33">
        <v>-0.68</v>
      </c>
      <c r="Y83" s="34">
        <v>0.45</v>
      </c>
      <c r="Z83" s="25">
        <v>8</v>
      </c>
      <c r="AA83" s="26">
        <v>3</v>
      </c>
      <c r="AB83" s="25">
        <v>9</v>
      </c>
      <c r="AC83" s="26">
        <v>9</v>
      </c>
      <c r="AD83" s="25">
        <v>440</v>
      </c>
      <c r="AE83" s="26">
        <v>369</v>
      </c>
      <c r="AF83" s="25">
        <v>7</v>
      </c>
      <c r="AG83" s="26">
        <v>25</v>
      </c>
      <c r="AH83" s="25">
        <v>9</v>
      </c>
      <c r="AI83" s="26">
        <v>9</v>
      </c>
      <c r="AJ83" s="25">
        <v>1</v>
      </c>
      <c r="AK83" s="26">
        <v>4</v>
      </c>
      <c r="AL83" s="25">
        <v>0</v>
      </c>
      <c r="AM83" s="26">
        <v>0</v>
      </c>
      <c r="AN83" s="25">
        <v>0</v>
      </c>
      <c r="AO83" s="36">
        <v>0</v>
      </c>
      <c r="AP83" s="42">
        <v>10</v>
      </c>
      <c r="AQ83" s="83">
        <v>0.47619047619047616</v>
      </c>
      <c r="AR83" s="25">
        <v>0</v>
      </c>
      <c r="AS83" s="25">
        <v>7</v>
      </c>
      <c r="AT83" s="25">
        <v>4</v>
      </c>
      <c r="AU83" s="25">
        <v>15</v>
      </c>
      <c r="AV83" s="86">
        <v>0.7142857142857143</v>
      </c>
      <c r="AW83" s="25">
        <v>6</v>
      </c>
      <c r="AX83" s="26">
        <v>2</v>
      </c>
      <c r="AY83" s="88">
        <v>0.4</v>
      </c>
      <c r="AZ83" s="26">
        <v>0</v>
      </c>
      <c r="BA83" s="26">
        <v>2</v>
      </c>
      <c r="BB83" s="26">
        <v>1</v>
      </c>
      <c r="BC83" s="26">
        <v>4</v>
      </c>
      <c r="BD83" s="88">
        <v>0.8</v>
      </c>
      <c r="BE83" s="43">
        <v>1</v>
      </c>
      <c r="BF83" s="315">
        <v>0</v>
      </c>
      <c r="BG83" s="316">
        <v>0</v>
      </c>
      <c r="BH83" s="317">
        <v>0</v>
      </c>
      <c r="BI83" s="317">
        <v>0</v>
      </c>
    </row>
    <row r="84" spans="1:61" x14ac:dyDescent="0.25">
      <c r="A84" s="29">
        <v>45934</v>
      </c>
      <c r="B84" s="5">
        <v>8</v>
      </c>
      <c r="C84" s="5" t="s">
        <v>69</v>
      </c>
      <c r="D84" s="7">
        <v>2</v>
      </c>
      <c r="E84" s="7">
        <v>1</v>
      </c>
      <c r="F84" s="5" t="s">
        <v>145</v>
      </c>
      <c r="G84" s="5" t="s">
        <v>557</v>
      </c>
      <c r="H84" s="25">
        <v>45</v>
      </c>
      <c r="I84" s="26">
        <v>55</v>
      </c>
      <c r="J84" s="33">
        <v>1.02</v>
      </c>
      <c r="K84" s="34">
        <v>1.1399999999999999</v>
      </c>
      <c r="L84" s="33">
        <v>1.02</v>
      </c>
      <c r="M84" s="33">
        <v>2.37</v>
      </c>
      <c r="N84" s="34">
        <v>1.1399999999999999</v>
      </c>
      <c r="O84" s="34">
        <v>0.76</v>
      </c>
      <c r="P84" s="25">
        <v>3</v>
      </c>
      <c r="Q84" s="26">
        <v>3</v>
      </c>
      <c r="R84" s="25">
        <v>4</v>
      </c>
      <c r="S84" s="26">
        <v>19</v>
      </c>
      <c r="T84" s="25">
        <v>5</v>
      </c>
      <c r="U84" s="26">
        <v>2</v>
      </c>
      <c r="V84" s="25">
        <v>2</v>
      </c>
      <c r="W84" s="26">
        <v>0</v>
      </c>
      <c r="X84" s="33">
        <v>-0.09</v>
      </c>
      <c r="Y84" s="34">
        <v>0.12</v>
      </c>
      <c r="Z84" s="25">
        <v>0</v>
      </c>
      <c r="AA84" s="26">
        <v>7</v>
      </c>
      <c r="AB84" s="25">
        <v>13</v>
      </c>
      <c r="AC84" s="26">
        <v>12</v>
      </c>
      <c r="AD84" s="25">
        <v>387</v>
      </c>
      <c r="AE84" s="26">
        <v>461</v>
      </c>
      <c r="AF84" s="25">
        <v>10</v>
      </c>
      <c r="AG84" s="26">
        <v>10</v>
      </c>
      <c r="AH84" s="25">
        <v>12</v>
      </c>
      <c r="AI84" s="26">
        <v>13</v>
      </c>
      <c r="AJ84" s="25">
        <v>5</v>
      </c>
      <c r="AK84" s="26">
        <v>1</v>
      </c>
      <c r="AL84" s="25">
        <v>1</v>
      </c>
      <c r="AM84" s="26">
        <v>0</v>
      </c>
      <c r="AN84" s="25">
        <v>0</v>
      </c>
      <c r="AO84" s="36">
        <v>0</v>
      </c>
      <c r="AP84" s="42">
        <v>4</v>
      </c>
      <c r="AQ84" s="83">
        <v>1</v>
      </c>
      <c r="AR84" s="25">
        <v>0</v>
      </c>
      <c r="AS84" s="25">
        <v>0</v>
      </c>
      <c r="AT84" s="25">
        <v>0</v>
      </c>
      <c r="AU84" s="25">
        <v>3</v>
      </c>
      <c r="AV84" s="86">
        <v>0.75</v>
      </c>
      <c r="AW84" s="25">
        <v>1</v>
      </c>
      <c r="AX84" s="26">
        <v>6</v>
      </c>
      <c r="AY84" s="88">
        <v>0.31578947368421051</v>
      </c>
      <c r="AZ84" s="26">
        <v>1</v>
      </c>
      <c r="BA84" s="26">
        <v>8</v>
      </c>
      <c r="BB84" s="26">
        <v>5</v>
      </c>
      <c r="BC84" s="26">
        <v>9</v>
      </c>
      <c r="BD84" s="88">
        <v>0.47368421052631576</v>
      </c>
      <c r="BE84" s="43">
        <v>10</v>
      </c>
      <c r="BF84" s="315">
        <v>1</v>
      </c>
      <c r="BG84" s="316">
        <v>0</v>
      </c>
      <c r="BH84" s="317">
        <v>0</v>
      </c>
      <c r="BI84" s="317">
        <v>0</v>
      </c>
    </row>
    <row r="85" spans="1:61" x14ac:dyDescent="0.25">
      <c r="A85" s="99">
        <v>45950</v>
      </c>
      <c r="B85" s="100">
        <v>9</v>
      </c>
      <c r="C85" s="100" t="s">
        <v>128</v>
      </c>
      <c r="D85" s="101">
        <f>AVERAGE(D77:D84)</f>
        <v>2.25</v>
      </c>
      <c r="E85" s="101">
        <f>AVERAGE(E77:E84)</f>
        <v>1</v>
      </c>
      <c r="F85" s="100" t="s">
        <v>145</v>
      </c>
      <c r="G85" s="100"/>
      <c r="H85" s="100">
        <f t="shared" ref="H85:AM85" si="18">AVERAGE(H77:H84)</f>
        <v>53.25</v>
      </c>
      <c r="I85" s="100">
        <f t="shared" si="18"/>
        <v>46.75</v>
      </c>
      <c r="J85" s="102">
        <f t="shared" si="18"/>
        <v>1.75125</v>
      </c>
      <c r="K85" s="102">
        <f t="shared" si="18"/>
        <v>0.65749999999999997</v>
      </c>
      <c r="L85" s="102">
        <f t="shared" si="18"/>
        <v>1.48875</v>
      </c>
      <c r="M85" s="102">
        <f>AVERAGE(M77:M84)</f>
        <v>1.4537499999999999</v>
      </c>
      <c r="N85" s="102">
        <f t="shared" si="18"/>
        <v>0.65749999999999997</v>
      </c>
      <c r="O85" s="102">
        <f t="shared" si="18"/>
        <v>0.96</v>
      </c>
      <c r="P85" s="100">
        <f t="shared" si="18"/>
        <v>3</v>
      </c>
      <c r="Q85" s="100">
        <f t="shared" si="18"/>
        <v>1.5</v>
      </c>
      <c r="R85" s="100">
        <f t="shared" si="18"/>
        <v>14.75</v>
      </c>
      <c r="S85" s="100">
        <f t="shared" si="18"/>
        <v>8.375</v>
      </c>
      <c r="T85" s="100">
        <f t="shared" si="18"/>
        <v>2.125</v>
      </c>
      <c r="U85" s="100">
        <f t="shared" si="18"/>
        <v>3.125</v>
      </c>
      <c r="V85" s="100">
        <f t="shared" si="18"/>
        <v>0.375</v>
      </c>
      <c r="W85" s="100">
        <f t="shared" si="18"/>
        <v>0.5</v>
      </c>
      <c r="X85" s="102">
        <f t="shared" si="18"/>
        <v>-6.2499999999999813E-3</v>
      </c>
      <c r="Y85" s="102">
        <f t="shared" si="18"/>
        <v>-0.37374999999999997</v>
      </c>
      <c r="Z85" s="100">
        <f t="shared" si="18"/>
        <v>5.625</v>
      </c>
      <c r="AA85" s="100">
        <f t="shared" si="18"/>
        <v>4.125</v>
      </c>
      <c r="AB85" s="100">
        <f t="shared" si="18"/>
        <v>12.875</v>
      </c>
      <c r="AC85" s="100">
        <f t="shared" si="18"/>
        <v>12.5</v>
      </c>
      <c r="AD85" s="100">
        <f t="shared" si="18"/>
        <v>450.625</v>
      </c>
      <c r="AE85" s="100">
        <f t="shared" si="18"/>
        <v>397.25</v>
      </c>
      <c r="AF85" s="100">
        <f t="shared" si="18"/>
        <v>14.625</v>
      </c>
      <c r="AG85" s="100">
        <f t="shared" si="18"/>
        <v>17.375</v>
      </c>
      <c r="AH85" s="100">
        <f t="shared" si="18"/>
        <v>12.125</v>
      </c>
      <c r="AI85" s="100">
        <f t="shared" si="18"/>
        <v>12.875</v>
      </c>
      <c r="AJ85" s="100">
        <f t="shared" si="18"/>
        <v>1.75</v>
      </c>
      <c r="AK85" s="100">
        <f t="shared" si="18"/>
        <v>2.375</v>
      </c>
      <c r="AL85" s="100">
        <f t="shared" si="18"/>
        <v>0.125</v>
      </c>
      <c r="AM85" s="100">
        <f t="shared" si="18"/>
        <v>0.25</v>
      </c>
      <c r="AN85" s="100">
        <f t="shared" ref="AN85:BI85" si="19">AVERAGE(AN77:AN84)</f>
        <v>0.26249999999999996</v>
      </c>
      <c r="AO85" s="103">
        <f t="shared" si="19"/>
        <v>0</v>
      </c>
      <c r="AP85" s="104">
        <f t="shared" si="19"/>
        <v>5.5</v>
      </c>
      <c r="AQ85" s="105">
        <f t="shared" si="19"/>
        <v>0.45431547619047619</v>
      </c>
      <c r="AR85" s="100">
        <f t="shared" si="19"/>
        <v>0.125</v>
      </c>
      <c r="AS85" s="100">
        <f t="shared" si="19"/>
        <v>5.25</v>
      </c>
      <c r="AT85" s="100">
        <f t="shared" si="19"/>
        <v>4</v>
      </c>
      <c r="AU85" s="100">
        <f t="shared" si="19"/>
        <v>9.25</v>
      </c>
      <c r="AV85" s="107">
        <f t="shared" si="19"/>
        <v>0.62751488095238095</v>
      </c>
      <c r="AW85" s="100">
        <f t="shared" si="19"/>
        <v>5.5</v>
      </c>
      <c r="AX85" s="100">
        <f t="shared" si="19"/>
        <v>3.125</v>
      </c>
      <c r="AY85" s="107">
        <f t="shared" si="19"/>
        <v>0.39096177944862154</v>
      </c>
      <c r="AZ85" s="100">
        <f t="shared" si="19"/>
        <v>0.25</v>
      </c>
      <c r="BA85" s="100">
        <f t="shared" si="19"/>
        <v>3.125</v>
      </c>
      <c r="BB85" s="100">
        <f t="shared" si="19"/>
        <v>2.125</v>
      </c>
      <c r="BC85" s="100">
        <f t="shared" si="19"/>
        <v>4.875</v>
      </c>
      <c r="BD85" s="107">
        <f t="shared" si="19"/>
        <v>0.61050020885547196</v>
      </c>
      <c r="BE85" s="106">
        <f t="shared" si="19"/>
        <v>3.5</v>
      </c>
      <c r="BF85" s="320">
        <f t="shared" si="19"/>
        <v>0.25</v>
      </c>
      <c r="BG85" s="321">
        <f t="shared" si="19"/>
        <v>0.125</v>
      </c>
      <c r="BH85" s="321">
        <f t="shared" si="19"/>
        <v>0.25</v>
      </c>
      <c r="BI85" s="321">
        <f t="shared" si="19"/>
        <v>0.375</v>
      </c>
    </row>
  </sheetData>
  <autoFilter ref="A1:BI1" xr:uid="{59015983-8E36-4FFC-A226-B51C4A50FC21}"/>
  <conditionalFormatting sqref="L2:O85">
    <cfRule type="cellIs" dxfId="16" priority="15" operator="greaterThan">
      <formula>1.79</formula>
    </cfRule>
    <cfRule type="cellIs" dxfId="15" priority="16" operator="greaterThan">
      <formula>1.19</formula>
    </cfRule>
  </conditionalFormatting>
  <conditionalFormatting sqref="P2:Q85">
    <cfRule type="cellIs" dxfId="14" priority="1" operator="greaterThan">
      <formula>4</formula>
    </cfRule>
    <cfRule type="cellIs" dxfId="13" priority="2" operator="greaterThan">
      <formula>2</formula>
    </cfRule>
  </conditionalFormatting>
  <conditionalFormatting sqref="AP2:AP85">
    <cfRule type="cellIs" dxfId="12" priority="11" operator="greaterThan">
      <formula>7</formula>
    </cfRule>
    <cfRule type="cellIs" dxfId="11" priority="12" operator="greaterThan">
      <formula>4</formula>
    </cfRule>
  </conditionalFormatting>
  <conditionalFormatting sqref="AQ2:AQ85">
    <cfRule type="cellIs" dxfId="10" priority="13" operator="greaterThan">
      <formula>0.49</formula>
    </cfRule>
    <cfRule type="cellIs" dxfId="9" priority="14" operator="greaterThan">
      <formula>0.29</formula>
    </cfRule>
  </conditionalFormatting>
  <conditionalFormatting sqref="AV2:AV85">
    <cfRule type="cellIs" dxfId="8" priority="9" operator="greaterThan">
      <formula>0.79</formula>
    </cfRule>
    <cfRule type="cellIs" dxfId="7" priority="10" operator="greaterThan">
      <formula>0.59</formula>
    </cfRule>
  </conditionalFormatting>
  <conditionalFormatting sqref="AX2:AX85">
    <cfRule type="cellIs" dxfId="6" priority="5" operator="greaterThan">
      <formula>5</formula>
    </cfRule>
    <cfRule type="cellIs" dxfId="5" priority="6" operator="greaterThan">
      <formula>2</formula>
    </cfRule>
  </conditionalFormatting>
  <conditionalFormatting sqref="AY2:AY85">
    <cfRule type="cellIs" dxfId="4" priority="7" operator="greaterThan">
      <formula>0.49</formula>
    </cfRule>
    <cfRule type="cellIs" dxfId="3" priority="8" operator="greaterThan">
      <formula>0.29</formula>
    </cfRule>
  </conditionalFormatting>
  <conditionalFormatting sqref="BD2:BD85">
    <cfRule type="cellIs" dxfId="2" priority="3" operator="greaterThan">
      <formula>0.79</formula>
    </cfRule>
    <cfRule type="cellIs" dxfId="1" priority="4" operator="greaterThan">
      <formula>0.59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Genel Fikstür</vt:lpstr>
      <vt:lpstr>İstatistikler</vt:lpstr>
      <vt:lpstr>11. Hafta İstatistikler</vt:lpstr>
      <vt:lpstr>Karışlaştırma Fikstürü</vt:lpstr>
      <vt:lpstr>Sakat-Cezalı</vt:lpstr>
      <vt:lpstr>10. Hafta İstatistikler</vt:lpstr>
      <vt:lpstr>9. Hafta Fikstür</vt:lpstr>
      <vt:lpstr>9. Hafta Büyük Şans Dağılımları</vt:lpstr>
      <vt:lpstr>9. Hafta İstatistikler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 - Noname</dc:creator>
  <cp:lastModifiedBy>Noname - Noname</cp:lastModifiedBy>
  <dcterms:created xsi:type="dcterms:W3CDTF">2025-08-31T11:10:11Z</dcterms:created>
  <dcterms:modified xsi:type="dcterms:W3CDTF">2025-11-03T14:51:51Z</dcterms:modified>
</cp:coreProperties>
</file>