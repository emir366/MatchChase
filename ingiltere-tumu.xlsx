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Downloads/"/>
    </mc:Choice>
  </mc:AlternateContent>
  <xr:revisionPtr revIDLastSave="0" documentId="8_{8CBB6D79-3B6C-2B43-9081-0FEB0669B9FC}" xr6:coauthVersionLast="47" xr6:coauthVersionMax="47" xr10:uidLastSave="{00000000-0000-0000-0000-000000000000}"/>
  <bookViews>
    <workbookView xWindow="680" yWindow="500" windowWidth="28800" windowHeight="15840" xr2:uid="{B3216503-253B-436C-A488-A94793EDE54E}"/>
  </bookViews>
  <sheets>
    <sheet name="Sayfa1" sheetId="1" r:id="rId1"/>
  </sheets>
  <definedNames>
    <definedName name="_xlnm._FilterDatabase" localSheetId="0" hidden="1">Sayfa1!$A$1:$Y$532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32" i="1" l="1"/>
  <c r="W532" i="1" s="1"/>
  <c r="V531" i="1"/>
  <c r="W531" i="1" s="1"/>
  <c r="V530" i="1"/>
  <c r="W530" i="1" s="1"/>
  <c r="V529" i="1"/>
  <c r="W529" i="1" s="1"/>
  <c r="V528" i="1"/>
  <c r="W528" i="1" s="1"/>
  <c r="V527" i="1"/>
  <c r="W527" i="1" s="1"/>
  <c r="V526" i="1"/>
  <c r="W526" i="1" s="1"/>
  <c r="V525" i="1"/>
  <c r="W525" i="1" s="1"/>
  <c r="V524" i="1"/>
  <c r="W524" i="1" s="1"/>
  <c r="V523" i="1"/>
  <c r="W523" i="1" s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V516" i="1"/>
  <c r="W516" i="1" s="1"/>
  <c r="V515" i="1"/>
  <c r="W515" i="1" s="1"/>
  <c r="V514" i="1"/>
  <c r="W514" i="1" s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V507" i="1"/>
  <c r="W507" i="1" s="1"/>
  <c r="V506" i="1"/>
  <c r="W506" i="1" s="1"/>
  <c r="V505" i="1"/>
  <c r="W505" i="1" s="1"/>
  <c r="V504" i="1"/>
  <c r="W504" i="1" s="1"/>
  <c r="V503" i="1" l="1"/>
  <c r="W503" i="1" s="1"/>
  <c r="V502" i="1"/>
  <c r="W502" i="1" s="1"/>
  <c r="V501" i="1"/>
  <c r="W501" i="1" s="1"/>
  <c r="V500" i="1"/>
  <c r="W500" i="1" s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V493" i="1"/>
  <c r="W493" i="1" s="1"/>
  <c r="V492" i="1"/>
  <c r="W492" i="1" s="1"/>
  <c r="V491" i="1"/>
  <c r="W491" i="1" s="1"/>
  <c r="V490" i="1"/>
  <c r="W490" i="1" s="1"/>
  <c r="V489" i="1"/>
  <c r="W489" i="1" s="1"/>
  <c r="V488" i="1"/>
  <c r="W488" i="1" s="1"/>
  <c r="V487" i="1"/>
  <c r="W487" i="1" s="1"/>
  <c r="V486" i="1"/>
  <c r="W486" i="1" s="1"/>
  <c r="V485" i="1"/>
  <c r="W485" i="1" s="1"/>
  <c r="V484" i="1"/>
  <c r="W484" i="1" s="1"/>
  <c r="V483" i="1"/>
  <c r="W483" i="1" s="1"/>
  <c r="V482" i="1"/>
  <c r="W482" i="1" s="1"/>
  <c r="V481" i="1"/>
  <c r="W481" i="1" s="1"/>
  <c r="V480" i="1"/>
  <c r="W480" i="1" s="1"/>
  <c r="V479" i="1" l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V471" i="1"/>
  <c r="W471" i="1" s="1"/>
  <c r="V470" i="1"/>
  <c r="W470" i="1" s="1"/>
  <c r="V469" i="1"/>
  <c r="W469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 s="1"/>
  <c r="V454" i="1"/>
  <c r="W454" i="1" s="1"/>
  <c r="V453" i="1"/>
  <c r="W453" i="1" s="1"/>
  <c r="V452" i="1" l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V445" i="1"/>
  <c r="W445" i="1" s="1"/>
  <c r="V444" i="1"/>
  <c r="W444" i="1" s="1"/>
  <c r="V443" i="1"/>
  <c r="W443" i="1" s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/>
  <c r="W430" i="1" s="1"/>
  <c r="V429" i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 l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V397" i="1"/>
  <c r="W397" i="1" s="1"/>
  <c r="V396" i="1"/>
  <c r="W396" i="1" s="1"/>
  <c r="V395" i="1" l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V380" i="1"/>
  <c r="W380" i="1" s="1"/>
  <c r="V379" i="1"/>
  <c r="W379" i="1" s="1"/>
  <c r="V378" i="1"/>
  <c r="W378" i="1" s="1"/>
  <c r="V377" i="1"/>
  <c r="W377" i="1" s="1"/>
  <c r="V376" i="1"/>
  <c r="W376" i="1" s="1"/>
  <c r="V375" i="1"/>
  <c r="W375" i="1" s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V365" i="1"/>
  <c r="W365" i="1" s="1"/>
  <c r="V364" i="1" l="1"/>
  <c r="W364" i="1" s="1"/>
  <c r="V363" i="1"/>
  <c r="W363" i="1" s="1"/>
  <c r="V362" i="1"/>
  <c r="W362" i="1" s="1"/>
  <c r="V361" i="1"/>
  <c r="W361" i="1" s="1"/>
  <c r="V360" i="1"/>
  <c r="W360" i="1" s="1"/>
  <c r="V359" i="1"/>
  <c r="W359" i="1" s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7" i="1"/>
  <c r="W347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 l="1"/>
  <c r="W336" i="1" s="1"/>
  <c r="V335" i="1"/>
  <c r="W335" i="1" s="1"/>
  <c r="V334" i="1"/>
  <c r="W334" i="1" s="1"/>
  <c r="V333" i="1"/>
  <c r="W333" i="1" s="1"/>
  <c r="V332" i="1"/>
  <c r="W332" i="1" s="1"/>
  <c r="V331" i="1"/>
  <c r="W331" i="1" s="1"/>
  <c r="V330" i="1"/>
  <c r="W330" i="1" s="1"/>
  <c r="V329" i="1"/>
  <c r="W329" i="1" s="1"/>
  <c r="V328" i="1"/>
  <c r="W328" i="1" s="1"/>
  <c r="V327" i="1"/>
  <c r="W327" i="1" s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V317" i="1"/>
  <c r="W317" i="1" s="1"/>
  <c r="V316" i="1"/>
  <c r="W316" i="1" s="1"/>
  <c r="V315" i="1"/>
  <c r="W315" i="1" s="1"/>
  <c r="V314" i="1"/>
  <c r="W314" i="1" s="1"/>
  <c r="V313" i="1"/>
  <c r="W313" i="1" s="1"/>
  <c r="V312" i="1"/>
  <c r="W312" i="1" s="1"/>
  <c r="V311" i="1" l="1"/>
  <c r="W311" i="1" s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V301" i="1"/>
  <c r="W301" i="1" s="1"/>
  <c r="V300" i="1"/>
  <c r="W300" i="1" s="1"/>
  <c r="V299" i="1"/>
  <c r="W299" i="1" s="1"/>
  <c r="V298" i="1"/>
  <c r="W298" i="1" s="1"/>
  <c r="V297" i="1"/>
  <c r="W297" i="1" s="1"/>
  <c r="V296" i="1"/>
  <c r="W296" i="1" s="1"/>
  <c r="V295" i="1"/>
  <c r="W295" i="1" s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V285" i="1"/>
  <c r="W285" i="1" s="1"/>
  <c r="V284" i="1"/>
  <c r="W284" i="1" s="1"/>
  <c r="V283" i="1"/>
  <c r="W283" i="1" s="1"/>
  <c r="V282" i="1"/>
  <c r="W282" i="1" s="1"/>
  <c r="V281" i="1"/>
  <c r="W281" i="1" s="1"/>
  <c r="V280" i="1"/>
  <c r="W280" i="1" s="1"/>
  <c r="V279" i="1"/>
  <c r="W279" i="1" s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V269" i="1"/>
  <c r="W269" i="1" s="1"/>
  <c r="V268" i="1"/>
  <c r="W268" i="1" s="1"/>
  <c r="V267" i="1"/>
  <c r="W267" i="1" s="1"/>
  <c r="V266" i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 l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V210" i="1"/>
  <c r="W210" i="1" s="1"/>
  <c r="V209" i="1" l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 l="1"/>
  <c r="W185" i="1" s="1"/>
  <c r="V184" i="1"/>
  <c r="W184" i="1" s="1"/>
  <c r="V183" i="1"/>
  <c r="W183" i="1" s="1"/>
  <c r="V182" i="1"/>
  <c r="W182" i="1" s="1"/>
  <c r="V181" i="1"/>
  <c r="W181" i="1" s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V174" i="1"/>
  <c r="W174" i="1" s="1"/>
  <c r="V173" i="1"/>
  <c r="W173" i="1" s="1"/>
  <c r="V172" i="1"/>
  <c r="W172" i="1" s="1"/>
  <c r="V171" i="1"/>
  <c r="W171" i="1" s="1"/>
  <c r="V170" i="1"/>
  <c r="W170" i="1" s="1"/>
  <c r="V169" i="1"/>
  <c r="W169" i="1" s="1"/>
  <c r="V168" i="1"/>
  <c r="W168" i="1" s="1"/>
  <c r="V167" i="1"/>
  <c r="W167" i="1" s="1"/>
  <c r="V166" i="1"/>
  <c r="W166" i="1" s="1"/>
  <c r="V165" i="1"/>
  <c r="W165" i="1" s="1"/>
  <c r="V164" i="1"/>
  <c r="W164" i="1" s="1"/>
  <c r="V163" i="1"/>
  <c r="W163" i="1" s="1"/>
  <c r="V162" i="1"/>
  <c r="W162" i="1" s="1"/>
  <c r="V161" i="1" l="1"/>
  <c r="W161" i="1" s="1"/>
  <c r="V160" i="1"/>
  <c r="W160" i="1" s="1"/>
  <c r="V159" i="1"/>
  <c r="W159" i="1" s="1"/>
  <c r="V158" i="1"/>
  <c r="W158" i="1" s="1"/>
  <c r="V157" i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V134" i="1"/>
  <c r="W134" i="1" s="1"/>
  <c r="V133" i="1"/>
  <c r="W133" i="1" s="1"/>
  <c r="V132" i="1"/>
  <c r="W132" i="1" s="1"/>
  <c r="V131" i="1" l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V121" i="1"/>
  <c r="W121" i="1" s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/>
  <c r="W112" i="1" s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V103" i="1" l="1"/>
  <c r="W103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3" i="1"/>
  <c r="W93" i="1" s="1"/>
  <c r="V92" i="1"/>
  <c r="W92" i="1" s="1"/>
  <c r="V91" i="1"/>
  <c r="W91" i="1" s="1"/>
  <c r="V90" i="1"/>
  <c r="W90" i="1" s="1"/>
  <c r="V89" i="1"/>
  <c r="W89" i="1" s="1"/>
  <c r="V88" i="1"/>
  <c r="W88" i="1" s="1"/>
  <c r="V87" i="1"/>
  <c r="W87" i="1" s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V80" i="1"/>
  <c r="W80" i="1" s="1"/>
  <c r="V79" i="1"/>
  <c r="W79" i="1" s="1"/>
  <c r="V78" i="1"/>
  <c r="W78" i="1" s="1"/>
  <c r="V77" i="1"/>
  <c r="W77" i="1" s="1"/>
  <c r="V76" i="1"/>
  <c r="W76" i="1" s="1"/>
  <c r="V75" i="1"/>
  <c r="W75" i="1" s="1"/>
  <c r="V74" i="1" l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V59" i="1"/>
  <c r="W59" i="1" s="1"/>
  <c r="V58" i="1"/>
  <c r="W58" i="1" s="1"/>
  <c r="V57" i="1"/>
  <c r="W57" i="1" s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 l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  <c r="V2" i="1"/>
  <c r="W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1" authorId="0" shapeId="0" xr:uid="{1C3CC921-64CB-4D4C-A652-749ED13E11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Forma Numarası</t>
        </r>
      </text>
    </comment>
    <comment ref="N1" authorId="0" shapeId="0" xr:uid="{A660B50B-39E1-43B1-886B-80E6BE1A1D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Mevcut Piyasa Değeri</t>
        </r>
      </text>
    </comment>
    <comment ref="Q1" authorId="0" shapeId="0" xr:uid="{6C1936BB-7013-4AEE-8EBD-E8A05EDE80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Transfer Olurken Piyasa Değeri</t>
        </r>
      </text>
    </comment>
    <comment ref="R1" authorId="0" shapeId="0" xr:uid="{7D1FB590-EF42-4011-9144-91C3A4D926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Transfer Bedeli/Durumu</t>
        </r>
      </text>
    </comment>
  </commentList>
</comments>
</file>

<file path=xl/sharedStrings.xml><?xml version="1.0" encoding="utf-8"?>
<sst xmlns="http://schemas.openxmlformats.org/spreadsheetml/2006/main" count="6485" uniqueCount="1708">
  <si>
    <t>Ülke</t>
  </si>
  <si>
    <t>Lig</t>
  </si>
  <si>
    <t>Takım</t>
  </si>
  <si>
    <t>FN</t>
  </si>
  <si>
    <t>Adı</t>
  </si>
  <si>
    <t>Soyadı</t>
  </si>
  <si>
    <t>Görünen Adı</t>
  </si>
  <si>
    <t>Doğum Yeri</t>
  </si>
  <si>
    <t>Uyruk</t>
  </si>
  <si>
    <t>Pozisyon</t>
  </si>
  <si>
    <t>Yan Pozisyon</t>
  </si>
  <si>
    <t>Transfermarkt ID</t>
  </si>
  <si>
    <t>M.P.D.</t>
  </si>
  <si>
    <t>Transfer Tarihi</t>
  </si>
  <si>
    <t>Transfer Olduğu Takım</t>
  </si>
  <si>
    <t>Piyasa Değeri</t>
  </si>
  <si>
    <t>Transfer Bedeli</t>
  </si>
  <si>
    <t>Durumu</t>
  </si>
  <si>
    <t>Sözleşme Sonu</t>
  </si>
  <si>
    <t>Doğum tarihi</t>
  </si>
  <si>
    <t>Güncel Tarih</t>
  </si>
  <si>
    <t>Yaş</t>
  </si>
  <si>
    <t>Boy</t>
  </si>
  <si>
    <t>Kilo</t>
  </si>
  <si>
    <t>İngiltere</t>
  </si>
  <si>
    <t>Premier League</t>
  </si>
  <si>
    <t>24/25</t>
  </si>
  <si>
    <t>Arsenal</t>
  </si>
  <si>
    <t>David</t>
  </si>
  <si>
    <t>Raya</t>
  </si>
  <si>
    <t>İspanya</t>
  </si>
  <si>
    <t>Kaleci</t>
  </si>
  <si>
    <t>https://www.transfermarkt.com.tr/david-raya/profil/spieler/262749</t>
  </si>
  <si>
    <t>Brentford FC</t>
  </si>
  <si>
    <t>As Kadro</t>
  </si>
  <si>
    <t>-</t>
  </si>
  <si>
    <t>Neto</t>
  </si>
  <si>
    <t>Brezilya</t>
  </si>
  <si>
    <t>https://www.transfermarkt.com.tr/neto/profil/spieler/111819</t>
  </si>
  <si>
    <t>AFC Bournemouth</t>
  </si>
  <si>
    <t>Kiralık</t>
  </si>
  <si>
    <t>William</t>
  </si>
  <si>
    <t>Saliba</t>
  </si>
  <si>
    <t>Fransa</t>
  </si>
  <si>
    <t>Stoper</t>
  </si>
  <si>
    <t>https://www.transfermarkt.com.tr/william-saliba/profil/spieler/495666</t>
  </si>
  <si>
    <t>AS Saint-Étienne</t>
  </si>
  <si>
    <t>Gabriel</t>
  </si>
  <si>
    <t>Magalhaes</t>
  </si>
  <si>
    <t>https://www.transfermarkt.com.tr/gabriel-magalhaes/profil/spieler/435338</t>
  </si>
  <si>
    <t>Jurrien</t>
  </si>
  <si>
    <t>Timber</t>
  </si>
  <si>
    <t>Hollanda</t>
  </si>
  <si>
    <t>https://www.transfermarkt.com.tr/jurrien-timber/profil/spieler/420243</t>
  </si>
  <si>
    <t>Ajax Amsterdam</t>
  </si>
  <si>
    <t>Jakub</t>
  </si>
  <si>
    <t>Kiwior</t>
  </si>
  <si>
    <t>Polonya</t>
  </si>
  <si>
    <t>https://www.transfermarkt.com.tr/jakub-kiwior/profil/spieler/425918</t>
  </si>
  <si>
    <t>Spezia Calcio</t>
  </si>
  <si>
    <t>Riccardo</t>
  </si>
  <si>
    <t>Calafiori</t>
  </si>
  <si>
    <t>İtalya</t>
  </si>
  <si>
    <t>Sol Bek</t>
  </si>
  <si>
    <t>https://www.transfermarkt.com.tr/riccardo-calafiori/profil/spieler/502821</t>
  </si>
  <si>
    <t>Bologna FC</t>
  </si>
  <si>
    <t>Yeni Transfer</t>
  </si>
  <si>
    <t>Oleksandr</t>
  </si>
  <si>
    <t>Zinchenko</t>
  </si>
  <si>
    <t>Ukrayna</t>
  </si>
  <si>
    <t>https://www.transfermarkt.com.tr/oleksandr-zinchenko/profil/spieler/203853</t>
  </si>
  <si>
    <t>Manchester City</t>
  </si>
  <si>
    <t>Kieran</t>
  </si>
  <si>
    <t>Tierney</t>
  </si>
  <si>
    <t>Man Adası</t>
  </si>
  <si>
    <t>İskoçya</t>
  </si>
  <si>
    <t>https://www.transfermarkt.com.tr/kieran-tierney/profil/spieler/300716</t>
  </si>
  <si>
    <t>Celtic Glasgow</t>
  </si>
  <si>
    <t>Ben</t>
  </si>
  <si>
    <t>White</t>
  </si>
  <si>
    <t>Sağ Bek</t>
  </si>
  <si>
    <t>https://www.transfermarkt.com.tr/ben-white/profil/spieler/335721</t>
  </si>
  <si>
    <t>Brighton &amp; Hove Albion</t>
  </si>
  <si>
    <t>Takehiro</t>
  </si>
  <si>
    <t>Tomiyasu</t>
  </si>
  <si>
    <t>Japonya</t>
  </si>
  <si>
    <t>https://www.transfermarkt.com.tr/takehiro-tomiyasu/profil/spieler/331560</t>
  </si>
  <si>
    <t>Declan</t>
  </si>
  <si>
    <t>Rice</t>
  </si>
  <si>
    <t>Orta Saha</t>
  </si>
  <si>
    <t>https://www.transfermarkt.com.tr/declan-rice/profil/spieler/357662</t>
  </si>
  <si>
    <t>West Ham United</t>
  </si>
  <si>
    <t>Thomas</t>
  </si>
  <si>
    <t>Partey</t>
  </si>
  <si>
    <t>Gana</t>
  </si>
  <si>
    <t>Ön Libero</t>
  </si>
  <si>
    <t>https://www.transfermarkt.com.tr/thomas-partey/profil/spieler/230784</t>
  </si>
  <si>
    <t>Atlético Madrid</t>
  </si>
  <si>
    <t>Yedek</t>
  </si>
  <si>
    <t>Jorginho</t>
  </si>
  <si>
    <t>https://www.transfermarkt.com.tr/jorginho/profil/spieler/102017</t>
  </si>
  <si>
    <t>Chelsea FC</t>
  </si>
  <si>
    <t>Myles</t>
  </si>
  <si>
    <t>Lewis-Skelly</t>
  </si>
  <si>
    <t>https://www.transfermarkt.com.tr/myles-lewis-skelly/profil/spieler/890721</t>
  </si>
  <si>
    <t>Arsenal U21</t>
  </si>
  <si>
    <t>Mikel</t>
  </si>
  <si>
    <t>Merino</t>
  </si>
  <si>
    <t>https://www.transfermarkt.com.tr/mikel-merino/profil/spieler/338424</t>
  </si>
  <si>
    <t>Real Sociedad</t>
  </si>
  <si>
    <t>Martin</t>
  </si>
  <si>
    <t>Odegaard</t>
  </si>
  <si>
    <t>Norveç</t>
  </si>
  <si>
    <t>Ofansif Orta Saha</t>
  </si>
  <si>
    <t>https://www.transfermarkt.com.tr/martin-odegaard/profil/spieler/316264</t>
  </si>
  <si>
    <t>Real Madrid</t>
  </si>
  <si>
    <t>Ethan</t>
  </si>
  <si>
    <t>Nwaneri</t>
  </si>
  <si>
    <t>https://www.transfermarkt.com.tr/ethan-nwaneri/profil/spieler/890719</t>
  </si>
  <si>
    <t>Martinelli</t>
  </si>
  <si>
    <t>Sol Forvet</t>
  </si>
  <si>
    <t>https://www.transfermarkt.com.tr/gabriel-martinelli/profil/spieler/655488</t>
  </si>
  <si>
    <t>Ituano Futebol Clube (SP)</t>
  </si>
  <si>
    <t>Leandro</t>
  </si>
  <si>
    <t>Trossard</t>
  </si>
  <si>
    <t>Belçika</t>
  </si>
  <si>
    <t>https://www.transfermarkt.com.tr/leandro-trossard/profil/spieler/144028</t>
  </si>
  <si>
    <t>Raheem</t>
  </si>
  <si>
    <t>Sterling</t>
  </si>
  <si>
    <t>Jamaika</t>
  </si>
  <si>
    <t>https://www.transfermarkt.com.tr/raheem-sterling/profil/spieler/134425</t>
  </si>
  <si>
    <t>Bukayo</t>
  </si>
  <si>
    <t>Saka</t>
  </si>
  <si>
    <t>Sağ Forvet</t>
  </si>
  <si>
    <t>https://www.transfermarkt.com.tr/bukayo-saka/profil/spieler/433177</t>
  </si>
  <si>
    <t>Arsenal FC U23</t>
  </si>
  <si>
    <t>Kai</t>
  </si>
  <si>
    <t>Havertz</t>
  </si>
  <si>
    <t>Almanya</t>
  </si>
  <si>
    <t>Santrafor</t>
  </si>
  <si>
    <t>https://www.transfermarkt.com.tr/kai-havertz/profil/spieler/309400</t>
  </si>
  <si>
    <t>Jesus</t>
  </si>
  <si>
    <t>https://www.transfermarkt.com.tr/gabriel-jesus/profil/spieler/363205</t>
  </si>
  <si>
    <t>Aston Villa</t>
  </si>
  <si>
    <t>Emiliano</t>
  </si>
  <si>
    <t>Martinez</t>
  </si>
  <si>
    <t>Arjantin</t>
  </si>
  <si>
    <t>https://www.transfermarkt.com.tr/emiliano-martinez/profil/spieler/111873</t>
  </si>
  <si>
    <t>Joe</t>
  </si>
  <si>
    <t>Gauci</t>
  </si>
  <si>
    <t>Avustralya</t>
  </si>
  <si>
    <t>https://www.transfermarkt.com.tr/joe-gauci/profil/spieler/591844</t>
  </si>
  <si>
    <t>Adelaide United</t>
  </si>
  <si>
    <t>Robin</t>
  </si>
  <si>
    <t>Olsen</t>
  </si>
  <si>
    <t>İsveç</t>
  </si>
  <si>
    <t>https://www.transfermarkt.com.tr/robin-olsen/profil/spieler/75458</t>
  </si>
  <si>
    <t>AS Roma</t>
  </si>
  <si>
    <t>Pau</t>
  </si>
  <si>
    <t>Torres</t>
  </si>
  <si>
    <t>https://www.transfermarkt.com.tr/pau-torres/profil/spieler/399776</t>
  </si>
  <si>
    <t>Villarreal CF</t>
  </si>
  <si>
    <t>Ezri</t>
  </si>
  <si>
    <t>Konsa</t>
  </si>
  <si>
    <t>https://www.transfermarkt.com.tr/ezri-konsa/profil/spieler/413403</t>
  </si>
  <si>
    <t>Diego</t>
  </si>
  <si>
    <t>Carlos</t>
  </si>
  <si>
    <t>https://www.transfermarkt.com.tr/diego-carlos/profil/spieler/329145</t>
  </si>
  <si>
    <t>Sevilla FC</t>
  </si>
  <si>
    <t>Tyrone</t>
  </si>
  <si>
    <t>Mings</t>
  </si>
  <si>
    <t>https://www.transfermarkt.com.tr/tyrone-mings/profil/spieler/253677</t>
  </si>
  <si>
    <t>Kortney</t>
  </si>
  <si>
    <t>Hause</t>
  </si>
  <si>
    <t>https://www.transfermarkt.com.tr/kortney-hause/profil/spieler/233124</t>
  </si>
  <si>
    <t>Wolverhampton Wanderers</t>
  </si>
  <si>
    <t>Lamare</t>
  </si>
  <si>
    <t>Bogarde</t>
  </si>
  <si>
    <t>https://www.transfermarkt.com.tr/lamare-bogarde/profil/spieler/645686</t>
  </si>
  <si>
    <t>Aston Villa U21</t>
  </si>
  <si>
    <t>Ian</t>
  </si>
  <si>
    <t>Maatsen</t>
  </si>
  <si>
    <t>https://www.transfermarkt.com.tr/ian-maatsen/profil/spieler/485585</t>
  </si>
  <si>
    <t>Lucas</t>
  </si>
  <si>
    <t>Digne</t>
  </si>
  <si>
    <t>https://www.transfermarkt.com.tr/lucas-digne/profil/spieler/126664</t>
  </si>
  <si>
    <t>Everton FC</t>
  </si>
  <si>
    <t>Matty</t>
  </si>
  <si>
    <t>Cash</t>
  </si>
  <si>
    <t>https://www.transfermarkt.com.tr/matty-cash/profil/spieler/425334</t>
  </si>
  <si>
    <t>Nottingham Forest</t>
  </si>
  <si>
    <t>Kosta</t>
  </si>
  <si>
    <t>Nedeljkovic</t>
  </si>
  <si>
    <t>Sırbistan</t>
  </si>
  <si>
    <t>https://www.transfermarkt.com.tr/kosta-nedeljkovic/profil/spieler/848682</t>
  </si>
  <si>
    <t>FK Kızılyıldız</t>
  </si>
  <si>
    <t>Kiradan Döndü</t>
  </si>
  <si>
    <t>Amadou</t>
  </si>
  <si>
    <t>Onana</t>
  </si>
  <si>
    <t>Senegal</t>
  </si>
  <si>
    <t>https://www.transfermarkt.com.tr/amadou-onana/profil/spieler/485706</t>
  </si>
  <si>
    <t>Boubacar</t>
  </si>
  <si>
    <t>Kamara</t>
  </si>
  <si>
    <t>https://www.transfermarkt.com.tr/boubacar-kamara/profil/spieler/394327</t>
  </si>
  <si>
    <t>Olympique Marsilya</t>
  </si>
  <si>
    <t>Bedelsiz</t>
  </si>
  <si>
    <t>John</t>
  </si>
  <si>
    <t>McGinn</t>
  </si>
  <si>
    <t>https://www.transfermarkt.com.tr/john-mcginn/profil/spieler/193116</t>
  </si>
  <si>
    <t>Hibernian FC</t>
  </si>
  <si>
    <t>Youri</t>
  </si>
  <si>
    <t>Tielemans</t>
  </si>
  <si>
    <t>https://www.transfermarkt.com.tr/youri-tielemans/profil/spieler/249565</t>
  </si>
  <si>
    <t>Leicester City</t>
  </si>
  <si>
    <t>Ross</t>
  </si>
  <si>
    <t>Barkley</t>
  </si>
  <si>
    <t>https://www.transfermarkt.com.tr/ross-barkley/profil/spieler/131978</t>
  </si>
  <si>
    <t>Luton Town</t>
  </si>
  <si>
    <t>Jacob</t>
  </si>
  <si>
    <t>Ramsey</t>
  </si>
  <si>
    <t>https://www.transfermarkt.com.tr/jacob-ramsey/profil/spieler/503749</t>
  </si>
  <si>
    <t>Aston Villa U23</t>
  </si>
  <si>
    <t>Morgan</t>
  </si>
  <si>
    <t>Rogers</t>
  </si>
  <si>
    <t>https://www.transfermarkt.com.tr/morgan-rogers/profil/spieler/503743</t>
  </si>
  <si>
    <t>Middlesbrough</t>
  </si>
  <si>
    <t>Buendia</t>
  </si>
  <si>
    <t>https://www.transfermarkt.com.tr/emiliano-buendia/profil/spieler/321247</t>
  </si>
  <si>
    <t>Norwich City</t>
  </si>
  <si>
    <t>Jaden</t>
  </si>
  <si>
    <t>Philogene</t>
  </si>
  <si>
    <t>https://www.transfermarkt.com.tr/jaden-philogene/profil/spieler/665390</t>
  </si>
  <si>
    <t>Hull City</t>
  </si>
  <si>
    <t>Leon</t>
  </si>
  <si>
    <t>Bailey</t>
  </si>
  <si>
    <t>https://www.transfermarkt.com.tr/leon-bailey/profil/spieler/387626</t>
  </si>
  <si>
    <t>Bayer 04 Leverkusen</t>
  </si>
  <si>
    <t>Ollie</t>
  </si>
  <si>
    <t>Watkins</t>
  </si>
  <si>
    <t>https://www.transfermarkt.com.tr/ollie-watkins/profil/spieler/324358</t>
  </si>
  <si>
    <t>Jhon</t>
  </si>
  <si>
    <t>Duran</t>
  </si>
  <si>
    <t>Kolombiya</t>
  </si>
  <si>
    <t>https://www.transfermarkt.com.tr/jhon-duran/profil/spieler/649317</t>
  </si>
  <si>
    <t>Chicago Fire FC</t>
  </si>
  <si>
    <t>Kepa</t>
  </si>
  <si>
    <t>Arrizabalaga</t>
  </si>
  <si>
    <t>https://www.transfermarkt.com.tr/kepa-arrizabalaga/profil/spieler/192279</t>
  </si>
  <si>
    <t>Mark</t>
  </si>
  <si>
    <t>Travers</t>
  </si>
  <si>
    <t>İrlanda</t>
  </si>
  <si>
    <t>https://www.transfermarkt.com.tr/mark-travers/profil/spieler/357658</t>
  </si>
  <si>
    <t>AFC Bournemouth U21</t>
  </si>
  <si>
    <t>Will</t>
  </si>
  <si>
    <t>Dennis</t>
  </si>
  <si>
    <t>https://www.transfermarkt.com.tr/will-dennis/profil/spieler/582078</t>
  </si>
  <si>
    <t>Ilya</t>
  </si>
  <si>
    <t>Zabarnyi</t>
  </si>
  <si>
    <t>https://www.transfermarkt.com.tr/ilya-zabarnyi/profil/spieler/659089</t>
  </si>
  <si>
    <t>Dinamo Kiev</t>
  </si>
  <si>
    <t>Marcos</t>
  </si>
  <si>
    <t>Senesi</t>
  </si>
  <si>
    <t>https://www.transfermarkt.com.tr/marcos-senesi/profil/spieler/469781</t>
  </si>
  <si>
    <t>Feyenoord Rotterdam</t>
  </si>
  <si>
    <t>Dean</t>
  </si>
  <si>
    <t>Huijsen</t>
  </si>
  <si>
    <t>https://www.transfermarkt.com.tr/dean-huijsen/profil/spieler/890290</t>
  </si>
  <si>
    <t>Juventus</t>
  </si>
  <si>
    <t>James</t>
  </si>
  <si>
    <t>Hill</t>
  </si>
  <si>
    <t>https://www.transfermarkt.com.tr/james-hill/profil/spieler/611793</t>
  </si>
  <si>
    <t>Fleetwood Town</t>
  </si>
  <si>
    <t>Milos</t>
  </si>
  <si>
    <t>Kerkez</t>
  </si>
  <si>
    <t>Macaristan</t>
  </si>
  <si>
    <t>https://www.transfermarkt.com.tr/milos-kerkez/profil/spieler/730861</t>
  </si>
  <si>
    <t>AZ Alkmaar</t>
  </si>
  <si>
    <t>Max</t>
  </si>
  <si>
    <t>Aarons</t>
  </si>
  <si>
    <t>https://www.transfermarkt.com.tr/max-aarons/profil/spieler/471690</t>
  </si>
  <si>
    <t>Julian</t>
  </si>
  <si>
    <t>Araujo</t>
  </si>
  <si>
    <t>ABD</t>
  </si>
  <si>
    <t>Meksika</t>
  </si>
  <si>
    <t>https://www.transfermarkt.com.tr/julian-araujo/profil/spieler/513970</t>
  </si>
  <si>
    <t>FC Barcelona</t>
  </si>
  <si>
    <t xml:space="preserve">Adam </t>
  </si>
  <si>
    <t>Smith</t>
  </si>
  <si>
    <t>https://www.transfermarkt.com.tr/adam-smith/profil/spieler/61841</t>
  </si>
  <si>
    <t>Tottenham Hotspur U21</t>
  </si>
  <si>
    <t>?</t>
  </si>
  <si>
    <t>Tyler</t>
  </si>
  <si>
    <t>Adams</t>
  </si>
  <si>
    <t>https://www.transfermarkt.com.tr/tyler-adams/profil/spieler/332705</t>
  </si>
  <si>
    <t>Leeds United</t>
  </si>
  <si>
    <t>Alex</t>
  </si>
  <si>
    <t>Scott</t>
  </si>
  <si>
    <t>https://www.transfermarkt.com.tr/alex-scott/profil/spieler/855256</t>
  </si>
  <si>
    <t>Bristol City</t>
  </si>
  <si>
    <t>Lewis</t>
  </si>
  <si>
    <t>Cook</t>
  </si>
  <si>
    <t>https://www.transfermarkt.com.tr/lewis-cook/profil/spieler/249089</t>
  </si>
  <si>
    <t>Philip</t>
  </si>
  <si>
    <t>Billing</t>
  </si>
  <si>
    <t>Danimarka</t>
  </si>
  <si>
    <t>https://www.transfermarkt.com.tr/philip-billing/profil/spieler/320411</t>
  </si>
  <si>
    <t>Huddersfield Town</t>
  </si>
  <si>
    <t>Ryan</t>
  </si>
  <si>
    <t>Christie</t>
  </si>
  <si>
    <t>https://www.transfermarkt.com.tr/ryan-christie/profil/spieler/188077</t>
  </si>
  <si>
    <t>Marcus</t>
  </si>
  <si>
    <t>Tavernier</t>
  </si>
  <si>
    <t>https://www.transfermarkt.com.tr/marcus-tavernier/profil/spieler/399434</t>
  </si>
  <si>
    <t>Justin</t>
  </si>
  <si>
    <t>Kluivert</t>
  </si>
  <si>
    <t>https://www.transfermarkt.com.tr/justin-kluivert/profil/spieler/330659</t>
  </si>
  <si>
    <t>Dango</t>
  </si>
  <si>
    <t>Ouattara</t>
  </si>
  <si>
    <t>Burkina Faso</t>
  </si>
  <si>
    <t>https://www.transfermarkt.com.tr/dango-ouattara/profil/spieler/823231</t>
  </si>
  <si>
    <t>FC Lorient</t>
  </si>
  <si>
    <t>Luis</t>
  </si>
  <si>
    <t>Sinisterra</t>
  </si>
  <si>
    <t>https://www.transfermarkt.com.tr/luis-sinisterra/profil/spieler/512385</t>
  </si>
  <si>
    <t>Antoine</t>
  </si>
  <si>
    <t>Semenyo</t>
  </si>
  <si>
    <t>https://www.transfermarkt.com.tr/antoine-semenyo/profil/spieler/583255</t>
  </si>
  <si>
    <t>Brooks</t>
  </si>
  <si>
    <t>Galler</t>
  </si>
  <si>
    <t>https://www.transfermarkt.com.tr/david-brooks/profil/spieler/277033</t>
  </si>
  <si>
    <t>Sheffield United</t>
  </si>
  <si>
    <t>Evanilson</t>
  </si>
  <si>
    <t>https://www.transfermarkt.com.tr/evanilson/profil/spieler/711337</t>
  </si>
  <si>
    <t>FC Porto</t>
  </si>
  <si>
    <t>Enes</t>
  </si>
  <si>
    <t>Ünal</t>
  </si>
  <si>
    <t>Türkiye</t>
  </si>
  <si>
    <t>https://www.transfermarkt.com.tr/enes-unal/profil/spieler/251106</t>
  </si>
  <si>
    <t>Getafe CF</t>
  </si>
  <si>
    <t>Flekken</t>
  </si>
  <si>
    <t>https://www.transfermarkt.com.tr/mark-flekken/profil/spieler/125714</t>
  </si>
  <si>
    <t>SC Freiburg</t>
  </si>
  <si>
    <t>Hakon Rafn</t>
  </si>
  <si>
    <t>Valdimarsson</t>
  </si>
  <si>
    <t>İzlanda</t>
  </si>
  <si>
    <t>https://www.transfermarkt.com.tr/hakon-rafn-valdimarsson/profil/spieler/488935</t>
  </si>
  <si>
    <t>IF Elfsborg</t>
  </si>
  <si>
    <t>Matthew</t>
  </si>
  <si>
    <t>Cox</t>
  </si>
  <si>
    <t>https://www.transfermarkt.com.tr/matthew-cox/profil/spieler/741236</t>
  </si>
  <si>
    <t>Brentford B</t>
  </si>
  <si>
    <t>Nathan</t>
  </si>
  <si>
    <t>Collins</t>
  </si>
  <si>
    <t>https://www.transfermarkt.com.tr/nathan-collins/profil/spieler/469050</t>
  </si>
  <si>
    <t>Sepp</t>
  </si>
  <si>
    <t>van den Berg</t>
  </si>
  <si>
    <t>https://www.transfermarkt.com.tr/sepp-van-den-berg/profil/spieler/541231</t>
  </si>
  <si>
    <t>Liverpool FC</t>
  </si>
  <si>
    <t>Kristoffer</t>
  </si>
  <si>
    <t>Ajer</t>
  </si>
  <si>
    <t>https://www.transfermarkt.com.tr/kristoffer-ajer/profil/spieler/328658</t>
  </si>
  <si>
    <t>Pinnock</t>
  </si>
  <si>
    <t>https://www.transfermarkt.com.tr/ethan-pinnock/profil/spieler/442248</t>
  </si>
  <si>
    <t>FC Barnsley</t>
  </si>
  <si>
    <t>Mee</t>
  </si>
  <si>
    <t>https://www.transfermarkt.com.tr/ben-mee/profil/spieler/74810</t>
  </si>
  <si>
    <t>Burnley FC</t>
  </si>
  <si>
    <t>Ji-Soo</t>
  </si>
  <si>
    <t>Kim</t>
  </si>
  <si>
    <t>Güney Kore</t>
  </si>
  <si>
    <t>https://www.transfermarkt.com.tr/ji-soo-kim/profil/spieler/709767</t>
  </si>
  <si>
    <t>Seongnam FC</t>
  </si>
  <si>
    <t>Genç</t>
  </si>
  <si>
    <t>Rico</t>
  </si>
  <si>
    <t>Henry</t>
  </si>
  <si>
    <t>https://www.transfermarkt.com.tr/rico-henry/profil/spieler/339556</t>
  </si>
  <si>
    <t>FC Walsall</t>
  </si>
  <si>
    <t>Jayden</t>
  </si>
  <si>
    <t>Meghoma</t>
  </si>
  <si>
    <t>https://www.transfermarkt.com.tr/jayden-meghoma/profil/spieler/954104</t>
  </si>
  <si>
    <t>Southampton FC U21</t>
  </si>
  <si>
    <t>Aaron</t>
  </si>
  <si>
    <t>Hickey</t>
  </si>
  <si>
    <t>https://www.transfermarkt.com.tr/aaron-hickey/profil/spieler/591949</t>
  </si>
  <si>
    <t>Mads</t>
  </si>
  <si>
    <t>Roerslev</t>
  </si>
  <si>
    <t>https://www.transfermarkt.com.tr/mads-roerslev/profil/spieler/391005</t>
  </si>
  <si>
    <t>FC Kopenhag</t>
  </si>
  <si>
    <t>Vitaly</t>
  </si>
  <si>
    <t>Janelt</t>
  </si>
  <si>
    <t>https://www.transfermarkt.com.tr/vitaly-janelt/profil/spieler/270171</t>
  </si>
  <si>
    <t>VfL Bochum</t>
  </si>
  <si>
    <t>Christian</t>
  </si>
  <si>
    <t>Norgaard</t>
  </si>
  <si>
    <t>https://www.transfermarkt.com.tr/christian-norgaard/profil/spieler/148367</t>
  </si>
  <si>
    <t>Fiorentina</t>
  </si>
  <si>
    <t>Yunus Emre</t>
  </si>
  <si>
    <t>Konak</t>
  </si>
  <si>
    <t>https://www.transfermarkt.com.tr/yunus-emre-konak/profil/spieler/1141628</t>
  </si>
  <si>
    <t>Sivasspor</t>
  </si>
  <si>
    <t>Mathias</t>
  </si>
  <si>
    <t>Jensen</t>
  </si>
  <si>
    <t>https://www.transfermarkt.com.tr/mathias-jensen/profil/spieler/319859</t>
  </si>
  <si>
    <t>Celta Vigo</t>
  </si>
  <si>
    <t>Josh</t>
  </si>
  <si>
    <t>Dasilva</t>
  </si>
  <si>
    <t>https://www.transfermarkt.com.tr/josh-dasilva/profil/spieler/340321</t>
  </si>
  <si>
    <t>Paris</t>
  </si>
  <si>
    <t>Maghoma</t>
  </si>
  <si>
    <t>https://www.transfermarkt.com.tr/paris-maghoma/profil/spieler/470596</t>
  </si>
  <si>
    <t>Tottenham Hotspur U23</t>
  </si>
  <si>
    <t>Trevitt</t>
  </si>
  <si>
    <t>https://www.transfermarkt.com.tr/ryan-trevitt/profil/spieler/874538</t>
  </si>
  <si>
    <t>Leatherhead FC</t>
  </si>
  <si>
    <t>Fabio</t>
  </si>
  <si>
    <t>Carvalho</t>
  </si>
  <si>
    <t>Portekiz</t>
  </si>
  <si>
    <t>https://www.transfermarkt.com.tr/fabio-carvalho/profil/spieler/559263</t>
  </si>
  <si>
    <t>Yegor</t>
  </si>
  <si>
    <t>Yarmolyuk</t>
  </si>
  <si>
    <t>https://www.transfermarkt.com.tr/yegor-yarmolyuk/profil/spieler/717411</t>
  </si>
  <si>
    <t>SK Dnipro</t>
  </si>
  <si>
    <t>Kevin</t>
  </si>
  <si>
    <t>Schade</t>
  </si>
  <si>
    <t>https://www.transfermarkt.com.tr/kevin-schade/profil/spieler/473050</t>
  </si>
  <si>
    <t>Keane</t>
  </si>
  <si>
    <t>Lewis-Potter</t>
  </si>
  <si>
    <t>https://www.transfermarkt.com.tr/keane-lewis-potter/profil/spieler/644401</t>
  </si>
  <si>
    <t>Mikkel</t>
  </si>
  <si>
    <t>Damsgaard</t>
  </si>
  <si>
    <t>https://www.transfermarkt.com.tr/mikkel-damsgaard/profil/spieler/540941</t>
  </si>
  <si>
    <t>Sampdoria</t>
  </si>
  <si>
    <t>Gustavo</t>
  </si>
  <si>
    <t>Nunes</t>
  </si>
  <si>
    <t>https://www.transfermarkt.com.tr/gustavo-nunes/profil/spieler/1086375</t>
  </si>
  <si>
    <t>Grêmio FBPA</t>
  </si>
  <si>
    <t>Bryan</t>
  </si>
  <si>
    <t>Mbeumo</t>
  </si>
  <si>
    <t>Kamerun</t>
  </si>
  <si>
    <t>https://www.transfermarkt.com.tr/bryan-mbeumo/profil/spieler/413039</t>
  </si>
  <si>
    <t>Troyes</t>
  </si>
  <si>
    <t>Yoane</t>
  </si>
  <si>
    <t>Wissa</t>
  </si>
  <si>
    <t>Demokratik Kongo Cumhuriyeti</t>
  </si>
  <si>
    <t>https://www.transfermarkt.com.tr/yoane-wissa/profil/spieler/388165</t>
  </si>
  <si>
    <t>Igor</t>
  </si>
  <si>
    <t>Thiago</t>
  </si>
  <si>
    <t>https://www.transfermarkt.com.tr/igor-thiago/profil/spieler/739443</t>
  </si>
  <si>
    <t>Club Brugge</t>
  </si>
  <si>
    <t>Bart</t>
  </si>
  <si>
    <t>Verbruggen</t>
  </si>
  <si>
    <t>https://www.transfermarkt.com.tr/bart-verbruggen/profil/spieler/565093</t>
  </si>
  <si>
    <t>RSC Anderlecht</t>
  </si>
  <si>
    <t>Jason</t>
  </si>
  <si>
    <t>Steele</t>
  </si>
  <si>
    <t>https://www.transfermarkt.com.tr/jason-steele/profil/spieler/73564</t>
  </si>
  <si>
    <t>Sunderland</t>
  </si>
  <si>
    <t>Jan Paul</t>
  </si>
  <si>
    <t>van Hecke</t>
  </si>
  <si>
    <t>https://www.transfermarkt.com.tr/jan-paul-van-hecke/profil/spieler/576314</t>
  </si>
  <si>
    <t>NAC Breda</t>
  </si>
  <si>
    <t>https://www.transfermarkt.com.tr/igor/profil/spieler/380350</t>
  </si>
  <si>
    <t>Adam</t>
  </si>
  <si>
    <t>Webster</t>
  </si>
  <si>
    <t>https://www.transfermarkt.com.tr/adam-webster/profil/spieler/212847</t>
  </si>
  <si>
    <t>Dunk</t>
  </si>
  <si>
    <t>https://www.transfermarkt.com.tr/lewis-dunk/profil/spieler/148153</t>
  </si>
  <si>
    <t>Brighton &amp; Hove Albion U21</t>
  </si>
  <si>
    <t xml:space="preserve">Ferdi </t>
  </si>
  <si>
    <t>Kadıoğlu</t>
  </si>
  <si>
    <t>https://www.transfermarkt.com.tr/ferdi-kadioglu/profil/spieler/369316</t>
  </si>
  <si>
    <t>Fenerbahçe</t>
  </si>
  <si>
    <t>Pervis</t>
  </si>
  <si>
    <t>Estupinan</t>
  </si>
  <si>
    <t>Ekvador</t>
  </si>
  <si>
    <t>https://www.transfermarkt.com.tr/pervis-estupinan/profil/spieler/349599</t>
  </si>
  <si>
    <t>Imari</t>
  </si>
  <si>
    <t>Samuels</t>
  </si>
  <si>
    <t>https://www.transfermarkt.com.tr/imari-samuels/profil/spieler/565846</t>
  </si>
  <si>
    <t>Genç Oyuncu</t>
  </si>
  <si>
    <t>Tariq</t>
  </si>
  <si>
    <t>Lamptey</t>
  </si>
  <si>
    <t>https://www.transfermarkt.com.tr/tariq-lamptey/profil/spieler/504148</t>
  </si>
  <si>
    <t>Chelsea FC U23</t>
  </si>
  <si>
    <t>Joel</t>
  </si>
  <si>
    <t>Veltman</t>
  </si>
  <si>
    <t>https://www.transfermarkt.com.tr/joel-veltman/profil/spieler/111195</t>
  </si>
  <si>
    <t>Mats</t>
  </si>
  <si>
    <t>Wieffer</t>
  </si>
  <si>
    <t>https://www.transfermarkt.com.tr/mats-wieffer/profil/spieler/415381</t>
  </si>
  <si>
    <t>Baleba</t>
  </si>
  <si>
    <t>https://www.transfermarkt.com.tr/carlos-baleba/profil/spieler/973085</t>
  </si>
  <si>
    <t>LOSC Lille</t>
  </si>
  <si>
    <t>Matt</t>
  </si>
  <si>
    <t>O'Riley</t>
  </si>
  <si>
    <t>https://www.transfermarkt.com.tr/matt-oriley/profil/spieler/406634</t>
  </si>
  <si>
    <t>Jack</t>
  </si>
  <si>
    <t>Hinshelwood</t>
  </si>
  <si>
    <t>https://www.transfermarkt.com.tr/jack-hinshelwood/profil/spieler/867688</t>
  </si>
  <si>
    <t>Moder</t>
  </si>
  <si>
    <t>https://www.transfermarkt.com.tr/jakub-moder/profil/spieler/384461</t>
  </si>
  <si>
    <t>Lech Poznan</t>
  </si>
  <si>
    <t>Yasin</t>
  </si>
  <si>
    <t>Ayari</t>
  </si>
  <si>
    <t>https://www.transfermarkt.com.tr/yasin-ayari/profil/spieler/667287</t>
  </si>
  <si>
    <t>AIK</t>
  </si>
  <si>
    <t>Milner</t>
  </si>
  <si>
    <t>https://www.transfermarkt.com.tr/james-milner/profil/spieler/3333</t>
  </si>
  <si>
    <t>Julio</t>
  </si>
  <si>
    <t>Encuso</t>
  </si>
  <si>
    <t>Paraguay</t>
  </si>
  <si>
    <t>https://www.transfermarkt.com.tr/julio-enciso/profil/spieler/660867</t>
  </si>
  <si>
    <t>Club Libertad Asunción</t>
  </si>
  <si>
    <t>Kaoru</t>
  </si>
  <si>
    <t>Mitoma</t>
  </si>
  <si>
    <t>https://www.transfermarkt.com.tr/kaoru-mitoma/profil/spieler/504849</t>
  </si>
  <si>
    <t>Kawasaki Frontale</t>
  </si>
  <si>
    <t>Simon</t>
  </si>
  <si>
    <t>Adingra</t>
  </si>
  <si>
    <t>Fildişi Sahili</t>
  </si>
  <si>
    <t>https://www.transfermarkt.com.tr/simon-adingra/profil/spieler/658536</t>
  </si>
  <si>
    <t>FC Nordsjaelland</t>
  </si>
  <si>
    <t>Yankuba</t>
  </si>
  <si>
    <t>Minteh</t>
  </si>
  <si>
    <t>Gambiya</t>
  </si>
  <si>
    <t>https://www.transfermarkt.com.tr/yankuba-minteh/profil/spieler/1012534</t>
  </si>
  <si>
    <t>Newcastle United</t>
  </si>
  <si>
    <t>Brajan</t>
  </si>
  <si>
    <t>Gruda</t>
  </si>
  <si>
    <t>https://www.transfermarkt.com.tr/brajan-gruda/profil/spieler/700106</t>
  </si>
  <si>
    <t>1.FSV Mainz 05</t>
  </si>
  <si>
    <t>Solly</t>
  </si>
  <si>
    <t>March</t>
  </si>
  <si>
    <t>https://www.transfermarkt.com.tr/solly-march/profil/spieler/209212</t>
  </si>
  <si>
    <t>Joao</t>
  </si>
  <si>
    <t>Pedro</t>
  </si>
  <si>
    <t>https://www.transfermarkt.com.tr/joao-pedro/profil/spieler/626724</t>
  </si>
  <si>
    <t>Watford FC</t>
  </si>
  <si>
    <t>Evan</t>
  </si>
  <si>
    <t>Ferguson</t>
  </si>
  <si>
    <t>https://www.transfermarkt.com.tr/evan-ferguson/profil/spieler/648046</t>
  </si>
  <si>
    <t>Georginio</t>
  </si>
  <si>
    <t>Rutter</t>
  </si>
  <si>
    <t>https://www.transfermarkt.com.tr/georginio-rutter/profil/spieler/538977</t>
  </si>
  <si>
    <t>Danny</t>
  </si>
  <si>
    <t>Welbeck</t>
  </si>
  <si>
    <t>https://www.transfermarkt.com.tr/danny-welbeck/profil/spieler/67063</t>
  </si>
  <si>
    <t>Robert</t>
  </si>
  <si>
    <t>Sanchez</t>
  </si>
  <si>
    <t>https://www.transfermarkt.com.tr/robert-sanchez/profil/spieler/403151</t>
  </si>
  <si>
    <t>Filip</t>
  </si>
  <si>
    <t>Jorgensen</t>
  </si>
  <si>
    <t>https://www.transfermarkt.com.tr/filip-jorgensen/profil/spieler/585323</t>
  </si>
  <si>
    <t>Bettinelli</t>
  </si>
  <si>
    <t>https://www.transfermarkt.com.tr/marcus-bettinelli/profil/spieler/116648</t>
  </si>
  <si>
    <t>Fulham FC</t>
  </si>
  <si>
    <t>Bergström</t>
  </si>
  <si>
    <t>Finlandiya</t>
  </si>
  <si>
    <t>https://www.transfermarkt.com.tr/lucas-bergstrom/profil/spieler/490606</t>
  </si>
  <si>
    <t>Chelsea FC U21</t>
  </si>
  <si>
    <t>Levi</t>
  </si>
  <si>
    <t>Colwill</t>
  </si>
  <si>
    <t>https://www.transfermarkt.com.tr/levi-colwill/profil/spieler/614258</t>
  </si>
  <si>
    <t>Axel</t>
  </si>
  <si>
    <t>Disasi</t>
  </si>
  <si>
    <t>https://www.transfermarkt.com.tr/axel-disasi/profil/spieler/386047</t>
  </si>
  <si>
    <t>AS Monaco</t>
  </si>
  <si>
    <t>Benoit</t>
  </si>
  <si>
    <t>Bediashile</t>
  </si>
  <si>
    <t>https://www.transfermarkt.com.tr/benoit-badiashile/profil/spieler/463603</t>
  </si>
  <si>
    <t>Wesley</t>
  </si>
  <si>
    <t>Fofana</t>
  </si>
  <si>
    <t>https://www.transfermarkt.com.tr/wesley-fofana/profil/spieler/475411</t>
  </si>
  <si>
    <t>Tosin</t>
  </si>
  <si>
    <t>Adarabioyo</t>
  </si>
  <si>
    <t>https://www.transfermarkt.com.tr/tosin-adarabioyo/profil/spieler/258878</t>
  </si>
  <si>
    <t>Renato</t>
  </si>
  <si>
    <t>Veiga</t>
  </si>
  <si>
    <t>https://www.transfermarkt.com.tr/renato-veiga/profil/spieler/805714</t>
  </si>
  <si>
    <t>FC Basel 1893</t>
  </si>
  <si>
    <t>Marc</t>
  </si>
  <si>
    <t>Cucurella</t>
  </si>
  <si>
    <t>https://www.transfermarkt.com.tr/marc-cucurella/profil/spieler/284857</t>
  </si>
  <si>
    <t>Chilwell</t>
  </si>
  <si>
    <t>https://www.transfermarkt.com.tr/ben-chilwell/profil/spieler/316125</t>
  </si>
  <si>
    <t>Reece</t>
  </si>
  <si>
    <t>https://www.transfermarkt.com.tr/reece-james/profil/spieler/472423</t>
  </si>
  <si>
    <t>Malo</t>
  </si>
  <si>
    <t>Gusto</t>
  </si>
  <si>
    <t>https://www.transfermarkt.com.tr/malo-gusto/profil/spieler/620322</t>
  </si>
  <si>
    <t>Olympique Lyon</t>
  </si>
  <si>
    <t>Moises</t>
  </si>
  <si>
    <t>Caicedo</t>
  </si>
  <si>
    <t>https://www.transfermarkt.com.tr/moises-caicedo/profil/spieler/687626</t>
  </si>
  <si>
    <t>Romeo</t>
  </si>
  <si>
    <t>Lavia</t>
  </si>
  <si>
    <t>https://www.transfermarkt.com.tr/romeo-lavia/profil/spieler/628451</t>
  </si>
  <si>
    <t>Southampton FC</t>
  </si>
  <si>
    <t>Enzo</t>
  </si>
  <si>
    <t>Fernandez</t>
  </si>
  <si>
    <t>https://www.transfermarkt.com.tr/enzo-fernandez/profil/spieler/648195</t>
  </si>
  <si>
    <t>SL Benfica</t>
  </si>
  <si>
    <t>Kiernan</t>
  </si>
  <si>
    <t>Dewsbury-Hall</t>
  </si>
  <si>
    <t>https://www.transfermarkt.com.tr/kiernan-dewsbury-hall/profil/spieler/475188</t>
  </si>
  <si>
    <t>Carney</t>
  </si>
  <si>
    <t>Chukwuemeka</t>
  </si>
  <si>
    <t>Avusturya</t>
  </si>
  <si>
    <t>https://www.transfermarkt.com.tr/carney-chukwuemeka/profil/spieler/659459</t>
  </si>
  <si>
    <t>Cesare</t>
  </si>
  <si>
    <t>Casadei</t>
  </si>
  <si>
    <t>https://www.transfermarkt.com.tr/cesare-casadei/profil/spieler/622380</t>
  </si>
  <si>
    <t>Inter Primavera</t>
  </si>
  <si>
    <t>Cole</t>
  </si>
  <si>
    <t>Palmer</t>
  </si>
  <si>
    <t>https://www.transfermarkt.com.tr/cole-palmer/profil/spieler/568177</t>
  </si>
  <si>
    <t>Christopher</t>
  </si>
  <si>
    <t>Nkunku</t>
  </si>
  <si>
    <t>https://www.transfermarkt.com.tr/christopher-nkunku/profil/spieler/344381</t>
  </si>
  <si>
    <t>RB Leipzig</t>
  </si>
  <si>
    <t>Mykhaylo</t>
  </si>
  <si>
    <t>Mudryk</t>
  </si>
  <si>
    <t>https://www.transfermarkt.com.tr/mykhaylo-mudryk/profil/spieler/537860</t>
  </si>
  <si>
    <t>Shakhtar Donetsk</t>
  </si>
  <si>
    <t>Jadon</t>
  </si>
  <si>
    <t>Sancho</t>
  </si>
  <si>
    <t>https://www.transfermarkt.com.tr/jadon-sancho/profil/spieler/401173</t>
  </si>
  <si>
    <t>Manchester United</t>
  </si>
  <si>
    <t>https://www.transfermarkt.com.tr/pedro-neto/profil/spieler/487465</t>
  </si>
  <si>
    <t>Noni</t>
  </si>
  <si>
    <t>Madueke</t>
  </si>
  <si>
    <t>https://www.transfermarkt.com.tr/noni-madueke/profil/spieler/503987</t>
  </si>
  <si>
    <t>PSV Eindhoven</t>
  </si>
  <si>
    <t>Felix</t>
  </si>
  <si>
    <t>https://www.transfermarkt.com.tr/joao-felix/profil/spieler/462250</t>
  </si>
  <si>
    <t>Nicolas</t>
  </si>
  <si>
    <t>Jackson</t>
  </si>
  <si>
    <t>https://www.transfermarkt.com.tr/nicolas-jackson/profil/spieler/776890</t>
  </si>
  <si>
    <t>Devid</t>
  </si>
  <si>
    <t>Washington</t>
  </si>
  <si>
    <t>https://www.transfermarkt.com.tr/deivid-washington/profil/spieler/1082850</t>
  </si>
  <si>
    <t>Santos FC</t>
  </si>
  <si>
    <t>Guiu</t>
  </si>
  <si>
    <t>https://www.transfermarkt.com.tr/marc-guiu/profil/spieler/938158</t>
  </si>
  <si>
    <t>Crystal Palace</t>
  </si>
  <si>
    <t>Henderson</t>
  </si>
  <si>
    <t>https://www.transfermarkt.com.tr/dean-henderson/profil/spieler/258919</t>
  </si>
  <si>
    <t>Turner</t>
  </si>
  <si>
    <t>https://www.transfermarkt.com.tr/matt-turner/profil/spieler/425306</t>
  </si>
  <si>
    <t>Remi</t>
  </si>
  <si>
    <t>Matthews</t>
  </si>
  <si>
    <t>https://www.transfermarkt.com.tr/remi-matthews/profil/spieler/196722</t>
  </si>
  <si>
    <t>Guehi</t>
  </si>
  <si>
    <t>Fildişi Sahilleri</t>
  </si>
  <si>
    <t>https://www.transfermarkt.com.tr/marc-guehi/profil/spieler/392757</t>
  </si>
  <si>
    <t>Maxence</t>
  </si>
  <si>
    <t>Lacroix</t>
  </si>
  <si>
    <t>https://www.transfermarkt.com.tr/maxence-lacroix/profil/spieler/434224</t>
  </si>
  <si>
    <t>VfL Wolfsburg</t>
  </si>
  <si>
    <t>Chadi</t>
  </si>
  <si>
    <t>Riad</t>
  </si>
  <si>
    <t>Fas</t>
  </si>
  <si>
    <t>https://www.transfermarkt.com.tr/chadi-riad/profil/spieler/689637</t>
  </si>
  <si>
    <t>Real Betis</t>
  </si>
  <si>
    <t>Trevoh</t>
  </si>
  <si>
    <t>Chalobah</t>
  </si>
  <si>
    <t>Sierra Leone</t>
  </si>
  <si>
    <t>https://www.transfermarkt.com.tr/trevoh-chalobah/profil/spieler/346314</t>
  </si>
  <si>
    <t>Chris</t>
  </si>
  <si>
    <t>Richards</t>
  </si>
  <si>
    <t>https://www.transfermarkt.com.tr/chris-richards/profil/spieler/578539</t>
  </si>
  <si>
    <t xml:space="preserve">FC Bayern Münih </t>
  </si>
  <si>
    <t>Rob</t>
  </si>
  <si>
    <t>Holding</t>
  </si>
  <si>
    <t>https://www.transfermarkt.com.tr/rob-holding/profil/spieler/253341</t>
  </si>
  <si>
    <t>Tyrick</t>
  </si>
  <si>
    <t>Mitchell</t>
  </si>
  <si>
    <t>https://www.transfermarkt.com.tr/tyrick-mitchell/profil/spieler/730893</t>
  </si>
  <si>
    <t>Crystal Palace U21</t>
  </si>
  <si>
    <t>Daniel</t>
  </si>
  <si>
    <t>Munoz</t>
  </si>
  <si>
    <t>https://www.transfermarkt.com.tr/daniel-munoz/profil/spieler/493003</t>
  </si>
  <si>
    <t>KRC Genk</t>
  </si>
  <si>
    <t>Nathaniel</t>
  </si>
  <si>
    <t>Clyne</t>
  </si>
  <si>
    <t>https://www.transfermarkt.com.tr/nathaniel-clyne/profil/spieler/85177</t>
  </si>
  <si>
    <t>Ward</t>
  </si>
  <si>
    <t>https://www.transfermarkt.com.tr/joel-ward/profil/spieler/92572</t>
  </si>
  <si>
    <t>FC Portsmouth</t>
  </si>
  <si>
    <t>Cheick</t>
  </si>
  <si>
    <t>Doucoure</t>
  </si>
  <si>
    <t>Mali</t>
  </si>
  <si>
    <t>https://www.transfermarkt.com.tr/cheick-doucoure/profil/spieler/543387</t>
  </si>
  <si>
    <t>RC Lens</t>
  </si>
  <si>
    <t>Wharton</t>
  </si>
  <si>
    <t>https://www.transfermarkt.com.tr/adam-wharton/profil/spieler/744149</t>
  </si>
  <si>
    <t>Blackburn Rovers</t>
  </si>
  <si>
    <t>Jefferson</t>
  </si>
  <si>
    <t>Lerma</t>
  </si>
  <si>
    <t>https://www.transfermarkt.com.tr/jefferson-lerma/profil/spieler/262980</t>
  </si>
  <si>
    <t>Hughes</t>
  </si>
  <si>
    <t>https://www.transfermarkt.com.tr/will-hughes/profil/spieler/207014</t>
  </si>
  <si>
    <t>Jeffrey</t>
  </si>
  <si>
    <t>Schlupp</t>
  </si>
  <si>
    <t>https://www.transfermarkt.com.tr/jeffrey-schlupp/profil/spieler/157506</t>
  </si>
  <si>
    <t>Eberechi</t>
  </si>
  <si>
    <t>Eze</t>
  </si>
  <si>
    <t>https://www.transfermarkt.com.tr/eberechi-eze/profil/spieler/479999</t>
  </si>
  <si>
    <t>Queens Park Rangers</t>
  </si>
  <si>
    <t>Daichi</t>
  </si>
  <si>
    <t>Kamada</t>
  </si>
  <si>
    <t>https://www.transfermarkt.com.tr/daichi-kamada/profil/spieler/356141</t>
  </si>
  <si>
    <t>SS Lazio</t>
  </si>
  <si>
    <t>Matheus</t>
  </si>
  <si>
    <t>França</t>
  </si>
  <si>
    <t>https://www.transfermarkt.com.tr/matheus-franca/profil/spieler/743597</t>
  </si>
  <si>
    <t>CR Flamengo</t>
  </si>
  <si>
    <t>Ismaila</t>
  </si>
  <si>
    <t>Sarr</t>
  </si>
  <si>
    <t>https://www.transfermarkt.com.tr/ismaila-sarr/profil/spieler/410225</t>
  </si>
  <si>
    <t>Eddie</t>
  </si>
  <si>
    <t>Nketiah</t>
  </si>
  <si>
    <t>https://www.transfermarkt.com.tr/eddie-nketiah/profil/spieler/340324</t>
  </si>
  <si>
    <t>Jean-Philippe</t>
  </si>
  <si>
    <t>Mateta</t>
  </si>
  <si>
    <t>https://www.transfermarkt.com.tr/jean-philippe-mateta/profil/spieler/420002</t>
  </si>
  <si>
    <t>Jordan</t>
  </si>
  <si>
    <t>Pickford</t>
  </si>
  <si>
    <t>https://www.transfermarkt.com.tr/jordan-pickford/profil/spieler/130164</t>
  </si>
  <si>
    <t>Virginia</t>
  </si>
  <si>
    <t>https://www.transfermarkt.com.tr/joao-virginia/profil/spieler/329813</t>
  </si>
  <si>
    <t>FC Everton U23</t>
  </si>
  <si>
    <t>Asmir</t>
  </si>
  <si>
    <t>Begovic</t>
  </si>
  <si>
    <t>Bosna-Hersek</t>
  </si>
  <si>
    <t>https://www.transfermarkt.com.tr/asmir-begovic/profil/spieler/33873</t>
  </si>
  <si>
    <t>Jarrad</t>
  </si>
  <si>
    <t>Branthwaite</t>
  </si>
  <si>
    <t>https://www.transfermarkt.com.tr/jarrad-branthwaite/profil/spieler/661053</t>
  </si>
  <si>
    <t>Carlisle United</t>
  </si>
  <si>
    <t>Jake</t>
  </si>
  <si>
    <t>O'Brien</t>
  </si>
  <si>
    <t>https://www.transfermarkt.com.tr/jake-obrien/profil/spieler/711544</t>
  </si>
  <si>
    <t>Tarkowski</t>
  </si>
  <si>
    <t>https://www.transfermarkt.com.tr/james-tarkowski/profil/spieler/173504</t>
  </si>
  <si>
    <t>Michael</t>
  </si>
  <si>
    <t>https://www.transfermarkt.com.tr/michael-keane/profil/spieler/118534</t>
  </si>
  <si>
    <t>Vitaliy</t>
  </si>
  <si>
    <t>Mykolenko</t>
  </si>
  <si>
    <t>https://www.transfermarkt.com.tr/vitaliy-mykolenko/profil/spieler/404842</t>
  </si>
  <si>
    <t>Ashley</t>
  </si>
  <si>
    <t>Young</t>
  </si>
  <si>
    <t>https://www.transfermarkt.com.tr/ashley-young/profil/spieler/14086</t>
  </si>
  <si>
    <t>Patterson</t>
  </si>
  <si>
    <t>https://www.transfermarkt.com.tr/nathan-patterson/profil/spieler/424015</t>
  </si>
  <si>
    <t>Glasgow Rangers</t>
  </si>
  <si>
    <t>Seamus</t>
  </si>
  <si>
    <t>Coleman</t>
  </si>
  <si>
    <t>https://www.transfermarkt.com.tr/seamus-coleman/profil/spieler/68390</t>
  </si>
  <si>
    <t>Sligo Rovers</t>
  </si>
  <si>
    <t>Garner</t>
  </si>
  <si>
    <t>https://www.transfermarkt.com.tr/james-garner/profil/spieler/505219</t>
  </si>
  <si>
    <t>Orel</t>
  </si>
  <si>
    <t>Mangala</t>
  </si>
  <si>
    <t>https://www.transfermarkt.com.tr/orel-mangala/profil/spieler/289592</t>
  </si>
  <si>
    <t>Abdoulaye</t>
  </si>
  <si>
    <t>https://www.transfermarkt.com.tr/abdoulaye-doucoure/profil/spieler/127187</t>
  </si>
  <si>
    <t>Tim</t>
  </si>
  <si>
    <t>Iroegbunam</t>
  </si>
  <si>
    <t>https://www.transfermarkt.com.tr/tim-iroegbunam/profil/spieler/696589</t>
  </si>
  <si>
    <t>Idrissa</t>
  </si>
  <si>
    <t>Gueye</t>
  </si>
  <si>
    <t>https://www.transfermarkt.com.tr/idrissa-gueye/profil/spieler/126665</t>
  </si>
  <si>
    <t>Paris Saint-Germain</t>
  </si>
  <si>
    <t>Dwight</t>
  </si>
  <si>
    <t>McNeil</t>
  </si>
  <si>
    <t>https://www.transfermarkt.com.tr/dwight-mcneil/profil/spieler/584769</t>
  </si>
  <si>
    <t>Iliman</t>
  </si>
  <si>
    <t>Ndiaye</t>
  </si>
  <si>
    <t>https://www.transfermarkt.com.tr/iliman-ndiaye/profil/spieler/623570</t>
  </si>
  <si>
    <t>Jesper</t>
  </si>
  <si>
    <t>Lindstrom</t>
  </si>
  <si>
    <t>https://www.transfermarkt.com.tr/jesper-lindstrom/profil/spieler/513245</t>
  </si>
  <si>
    <t>SSC Napoli</t>
  </si>
  <si>
    <t>Harrison</t>
  </si>
  <si>
    <t>https://www.transfermarkt.com.tr/jack-harrison/profil/spieler/417346</t>
  </si>
  <si>
    <t>Dominic</t>
  </si>
  <si>
    <t>Calvert-Lewin</t>
  </si>
  <si>
    <t>https://www.transfermarkt.com.tr/dominic-calvert-lewin/profil/spieler/306024</t>
  </si>
  <si>
    <t>Beto</t>
  </si>
  <si>
    <t>Gine-Bissau</t>
  </si>
  <si>
    <t>https://www.transfermarkt.com.tr/beto/profil/spieler/595809</t>
  </si>
  <si>
    <t>Udinese Calcio</t>
  </si>
  <si>
    <t>Armando</t>
  </si>
  <si>
    <t>Broja</t>
  </si>
  <si>
    <t>Arnavutluk</t>
  </si>
  <si>
    <t>https://www.transfermarkt.com.tr/armando-broja/profil/spieler/571743</t>
  </si>
  <si>
    <t>Chermiti</t>
  </si>
  <si>
    <t>https://www.transfermarkt.com.tr/chermiti/profil/spieler/670688</t>
  </si>
  <si>
    <t>Sporting Lizbon</t>
  </si>
  <si>
    <t>Bernd</t>
  </si>
  <si>
    <t>Leno</t>
  </si>
  <si>
    <t>https://www.transfermarkt.com.tr/bernd-leno/profil/spieler/72476</t>
  </si>
  <si>
    <t>Steven</t>
  </si>
  <si>
    <t>Benda</t>
  </si>
  <si>
    <t>https://www.transfermarkt.com.tr/steven-benda/profil/spieler/381469</t>
  </si>
  <si>
    <t>Swansea City</t>
  </si>
  <si>
    <t>Joachim</t>
  </si>
  <si>
    <t>Andersen</t>
  </si>
  <si>
    <t>https://www.transfermarkt.com.tr/joachim-andersen/profil/spieler/260827</t>
  </si>
  <si>
    <t>Issa</t>
  </si>
  <si>
    <t>Diop</t>
  </si>
  <si>
    <t>https://www.transfermarkt.com.tr/issa-diop/profil/spieler/272622</t>
  </si>
  <si>
    <t>Calvin</t>
  </si>
  <si>
    <t>Bassey</t>
  </si>
  <si>
    <t>Nijerya</t>
  </si>
  <si>
    <t>https://www.transfermarkt.com.tr/calvin-bassey/profil/spieler/461883</t>
  </si>
  <si>
    <t>Jorge</t>
  </si>
  <si>
    <t>Cuenca</t>
  </si>
  <si>
    <t>https://www.transfermarkt.com.tr/jorge-cuenca/profil/spieler/494880</t>
  </si>
  <si>
    <t>Antonee</t>
  </si>
  <si>
    <t>Robinson</t>
  </si>
  <si>
    <t>https://www.transfermarkt.com.tr/antonee-robinson/profil/spieler/349701</t>
  </si>
  <si>
    <t>Wigan Athletic</t>
  </si>
  <si>
    <t>Sessegnon</t>
  </si>
  <si>
    <t>https://www.transfermarkt.com.tr/ryan-sessegnon/profil/spieler/392775</t>
  </si>
  <si>
    <t>Tottenham Hotspur</t>
  </si>
  <si>
    <t>Timothy</t>
  </si>
  <si>
    <t>Castagne</t>
  </si>
  <si>
    <t>https://www.transfermarkt.com.tr/timothy-castagne/profil/spieler/262226</t>
  </si>
  <si>
    <t>Kenny</t>
  </si>
  <si>
    <t>Tete</t>
  </si>
  <si>
    <t>https://www.transfermarkt.com.tr/kenny-tete/profil/spieler/206746</t>
  </si>
  <si>
    <t>Sander</t>
  </si>
  <si>
    <t>Berge</t>
  </si>
  <si>
    <t>https://www.transfermarkt.com.tr/sander-berge/profil/spieler/333014</t>
  </si>
  <si>
    <t>Reed</t>
  </si>
  <si>
    <t>https://www.transfermarkt.com.tr/harrison-reed/profil/spieler/226973</t>
  </si>
  <si>
    <t>Sasa</t>
  </si>
  <si>
    <t>Lukic</t>
  </si>
  <si>
    <t>https://www.transfermarkt.com.tr/sasa-lukic/profil/spieler/245056</t>
  </si>
  <si>
    <t>Torino FC</t>
  </si>
  <si>
    <t>Tom</t>
  </si>
  <si>
    <t>Cairney</t>
  </si>
  <si>
    <t>https://www.transfermarkt.com.tr/tom-cairney/profil/spieler/123275</t>
  </si>
  <si>
    <t>Emile</t>
  </si>
  <si>
    <t>Smith Rowe</t>
  </si>
  <si>
    <t>https://www.transfermarkt.com.tr/emile-smith-rowe/profil/spieler/392765</t>
  </si>
  <si>
    <t>Andreas</t>
  </si>
  <si>
    <t>Pereira</t>
  </si>
  <si>
    <t>https://www.transfermarkt.com.tr/andreas-pereira/profil/spieler/203394</t>
  </si>
  <si>
    <t>Iwobi</t>
  </si>
  <si>
    <t>https://www.transfermarkt.com.tr/alex-iwobi/profil/spieler/242631</t>
  </si>
  <si>
    <t>Harry</t>
  </si>
  <si>
    <t>Wilson</t>
  </si>
  <si>
    <t>https://www.transfermarkt.com.tr/harry-wilson/profil/spieler/279455</t>
  </si>
  <si>
    <t>Reiss</t>
  </si>
  <si>
    <t>Nelson</t>
  </si>
  <si>
    <t>https://www.transfermarkt.com.tr/reiss-nelson/profil/spieler/340325</t>
  </si>
  <si>
    <t>Adama</t>
  </si>
  <si>
    <t>Traore</t>
  </si>
  <si>
    <t>https://www.transfermarkt.com.tr/adama-traore/profil/spieler/204103</t>
  </si>
  <si>
    <t>Rodrigo</t>
  </si>
  <si>
    <t>Muniz</t>
  </si>
  <si>
    <t>https://www.transfermarkt.com.tr/rodrigo-muniz/profil/spieler/735571</t>
  </si>
  <si>
    <t>Raul</t>
  </si>
  <si>
    <t>Jimenez</t>
  </si>
  <si>
    <t>https://www.transfermarkt.com.tr/raul-jimenez/profil/spieler/206040</t>
  </si>
  <si>
    <t>Vinicius</t>
  </si>
  <si>
    <t>https://www.transfermarkt.com.tr/carlos-vinicius/profil/spieler/525287</t>
  </si>
  <si>
    <t>Ipswich Town</t>
  </si>
  <si>
    <t>Arijanet</t>
  </si>
  <si>
    <t>Muric</t>
  </si>
  <si>
    <t>İsviçre</t>
  </si>
  <si>
    <t>Kosova</t>
  </si>
  <si>
    <t>https://www.transfermarkt.com.tr/arijanet-muric/profil/spieler/371021</t>
  </si>
  <si>
    <t>Walton</t>
  </si>
  <si>
    <t>https://www.transfermarkt.com.tr/christian-walton/profil/spieler/208379</t>
  </si>
  <si>
    <t>Cieran</t>
  </si>
  <si>
    <t>Slicker</t>
  </si>
  <si>
    <t>https://www.transfermarkt.com.tr/cieran-slicker/profil/spieler/621997</t>
  </si>
  <si>
    <t>Manchester City U21</t>
  </si>
  <si>
    <t>Greaves</t>
  </si>
  <si>
    <t>https://www.transfermarkt.com.tr/jacob-greaves/profil/spieler/693095</t>
  </si>
  <si>
    <t>Dara</t>
  </si>
  <si>
    <t>O'Shea</t>
  </si>
  <si>
    <t>https://www.transfermarkt.com.tr/dara-oshea/profil/spieler/401320</t>
  </si>
  <si>
    <t>Tuanzebe</t>
  </si>
  <si>
    <t>https://www.transfermarkt.com.tr/axel-tuanzebe/profil/spieler/342046</t>
  </si>
  <si>
    <t>Kulüpsüz</t>
  </si>
  <si>
    <t>Luke</t>
  </si>
  <si>
    <t>Woolfenden</t>
  </si>
  <si>
    <t>https://www.transfermarkt.com.tr/luke-woolfenden/profil/spieler/527425</t>
  </si>
  <si>
    <t>Ipswich Town U18</t>
  </si>
  <si>
    <t>Cameron</t>
  </si>
  <si>
    <t>Burgess</t>
  </si>
  <si>
    <t>https://www.transfermarkt.com.tr/cameron-burgess/profil/spieler/255788</t>
  </si>
  <si>
    <t>Accrington Stanley</t>
  </si>
  <si>
    <t>Leif</t>
  </si>
  <si>
    <t>Davis</t>
  </si>
  <si>
    <t>https://www.transfermarkt.com.tr/leif-davis/profil/spieler/596446</t>
  </si>
  <si>
    <t>Conor</t>
  </si>
  <si>
    <t>Townsend</t>
  </si>
  <si>
    <t>https://www.transfermarkt.com.tr/conor-townsend/profil/spieler/146509</t>
  </si>
  <si>
    <t>West Bromwich</t>
  </si>
  <si>
    <t>Jonhnson</t>
  </si>
  <si>
    <t>https://www.transfermarkt.com.tr/ben-johnson/profil/spieler/468002</t>
  </si>
  <si>
    <t>Clarke</t>
  </si>
  <si>
    <t>https://www.transfermarkt.com.tr/harry-clarke/profil/spieler/528892</t>
  </si>
  <si>
    <t>Kalvin</t>
  </si>
  <si>
    <t>Phillips</t>
  </si>
  <si>
    <t>https://www.transfermarkt.com.tr/kalvin-phillips/profil/spieler/351749</t>
  </si>
  <si>
    <t>Jens</t>
  </si>
  <si>
    <t>Cajuste</t>
  </si>
  <si>
    <t>https://www.transfermarkt.com.tr/jens-cajuste/profil/spieler/468066</t>
  </si>
  <si>
    <t>Taylor</t>
  </si>
  <si>
    <t>https://www.transfermarkt.com.tr/jack-taylor/profil/spieler/458178</t>
  </si>
  <si>
    <t>Peterborough United</t>
  </si>
  <si>
    <t>Sam</t>
  </si>
  <si>
    <t>Morsy</t>
  </si>
  <si>
    <t>Mısır</t>
  </si>
  <si>
    <t>https://www.transfermarkt.com.tr/sam-morsy/profil/spieler/123551</t>
  </si>
  <si>
    <t>Massimo</t>
  </si>
  <si>
    <t>Luongo</t>
  </si>
  <si>
    <t>https://www.transfermarkt.com.tr/massimo-luongo/profil/spieler/181687</t>
  </si>
  <si>
    <t>Sammie</t>
  </si>
  <si>
    <t>Szmodics</t>
  </si>
  <si>
    <t>https://www.transfermarkt.com.tr/sammie-szmodics/profil/spieler/292139</t>
  </si>
  <si>
    <t>https://www.transfermarkt.com.tr/jack-clarke/profil/spieler/559794</t>
  </si>
  <si>
    <t>Broadhead</t>
  </si>
  <si>
    <t>https://www.transfermarkt.com.tr/nathan-broadhead/profil/spieler/344009</t>
  </si>
  <si>
    <t>Omari</t>
  </si>
  <si>
    <t>Hutchinson</t>
  </si>
  <si>
    <t>https://www.transfermarkt.com.tr/omari-hutchinson/profil/spieler/741238</t>
  </si>
  <si>
    <t>Chiedozie</t>
  </si>
  <si>
    <t>Ogbene</t>
  </si>
  <si>
    <t>https://www.transfermarkt.com.tr/chiedozie-ogbene/profil/spieler/392591</t>
  </si>
  <si>
    <t>Wes</t>
  </si>
  <si>
    <t>Burns</t>
  </si>
  <si>
    <t>https://www.transfermarkt.com.tr/wes-burns/profil/spieler/255731</t>
  </si>
  <si>
    <t>Chaplin</t>
  </si>
  <si>
    <t>https://www.transfermarkt.com.tr/conor-chaplin/profil/spieler/349503</t>
  </si>
  <si>
    <t>Liam</t>
  </si>
  <si>
    <t>Delap</t>
  </si>
  <si>
    <t>https://www.transfermarkt.com.tr/liam-delap/profil/spieler/610849</t>
  </si>
  <si>
    <t>Manchester City U23</t>
  </si>
  <si>
    <t>George</t>
  </si>
  <si>
    <t>Hirst</t>
  </si>
  <si>
    <t>https://www.transfermarkt.com.tr/george-hirst/profil/spieler/420808</t>
  </si>
  <si>
    <t>Ali</t>
  </si>
  <si>
    <t>Al-Hamadi</t>
  </si>
  <si>
    <t>Irak</t>
  </si>
  <si>
    <t>https://www.transfermarkt.com.tr/ali-al-hamadi/profil/spieler/610581</t>
  </si>
  <si>
    <t>AFC Wimbledon</t>
  </si>
  <si>
    <t>Hermansen</t>
  </si>
  <si>
    <t>https://www.transfermarkt.com.tr/mads-hermansen/profil/spieler/400536</t>
  </si>
  <si>
    <t>Bröndby IF</t>
  </si>
  <si>
    <t>Iversen</t>
  </si>
  <si>
    <t>https://www.transfermarkt.com.tr/daniel-iversen/profil/spieler/260841</t>
  </si>
  <si>
    <t>Leicester City U21</t>
  </si>
  <si>
    <t>https://www.transfermarkt.com.tr/danny-ward/profil/spieler/203026</t>
  </si>
  <si>
    <t>Stolarczyk</t>
  </si>
  <si>
    <t>https://www.transfermarkt.com.tr/jakub-stolarczyk/profil/spieler/486144</t>
  </si>
  <si>
    <t>Wout</t>
  </si>
  <si>
    <t>Faes</t>
  </si>
  <si>
    <t>https://www.transfermarkt.com.tr/wout-faes/profil/spieler/292808</t>
  </si>
  <si>
    <t>Stade Reims</t>
  </si>
  <si>
    <t>Caleb</t>
  </si>
  <si>
    <t>Okoli</t>
  </si>
  <si>
    <t>https://www.transfermarkt.com.tr/caleb-okoli/profil/spieler/461833</t>
  </si>
  <si>
    <t>Atalanta Bergamo</t>
  </si>
  <si>
    <t>Coady</t>
  </si>
  <si>
    <t>https://www.transfermarkt.com.tr/conor-coady/profil/spieler/128901</t>
  </si>
  <si>
    <t>Jannik</t>
  </si>
  <si>
    <t>Vestergaard</t>
  </si>
  <si>
    <t>https://www.transfermarkt.com.tr/jannik-vestergaard/profil/spieler/99331</t>
  </si>
  <si>
    <t>FC Southampton</t>
  </si>
  <si>
    <t>Victor</t>
  </si>
  <si>
    <t>Kristiansen</t>
  </si>
  <si>
    <t>https://www.transfermarkt.com.tr/victor-kristiansen/profil/spieler/564529</t>
  </si>
  <si>
    <t>https://www.transfermarkt.com.tr/luke-thomas/profil/spieler/505194</t>
  </si>
  <si>
    <t>https://www.transfermarkt.com.tr/james-justin/profil/spieler/413220</t>
  </si>
  <si>
    <t>Ricardo</t>
  </si>
  <si>
    <t>https://www.transfermarkt.com.tr/ricardo-pereira/profil/spieler/215876</t>
  </si>
  <si>
    <t>Oliver</t>
  </si>
  <si>
    <t>Skipp</t>
  </si>
  <si>
    <t>https://www.transfermarkt.com.tr/oliver-skipp/profil/spieler/406638</t>
  </si>
  <si>
    <t>Wilfred</t>
  </si>
  <si>
    <t>Ndidi</t>
  </si>
  <si>
    <t>https://www.transfermarkt.com.tr/wilfred-ndidi/profil/spieler/274839</t>
  </si>
  <si>
    <t>Boubakary</t>
  </si>
  <si>
    <t>Soumare</t>
  </si>
  <si>
    <t>https://www.transfermarkt.com.tr/boubakary-soumare/profil/spieler/344605</t>
  </si>
  <si>
    <t>Winks</t>
  </si>
  <si>
    <t>https://www.transfermarkt.com.tr/harry-winks/profil/spieler/249126</t>
  </si>
  <si>
    <t>Hamza</t>
  </si>
  <si>
    <t>Choudhury</t>
  </si>
  <si>
    <t>https://www.transfermarkt.com.tr/hamza-choudhury/profil/spieler/341501</t>
  </si>
  <si>
    <t>Golding</t>
  </si>
  <si>
    <t>https://www.transfermarkt.com.tr/michael-golding/profil/spieler/936842</t>
  </si>
  <si>
    <t>Bilal</t>
  </si>
  <si>
    <t>El Khannouss</t>
  </si>
  <si>
    <t>https://www.transfermarkt.com.tr/bilal-el-khannouss/profil/spieler/654982</t>
  </si>
  <si>
    <t>Facundo</t>
  </si>
  <si>
    <t>Buonanotte</t>
  </si>
  <si>
    <t>https://www.transfermarkt.com.tr/facundo-buonanotte/profil/spieler/983989</t>
  </si>
  <si>
    <t>Stephy</t>
  </si>
  <si>
    <t>Mavididi</t>
  </si>
  <si>
    <t>https://www.transfermarkt.com.tr/stephy-mavididi/profil/spieler/340328</t>
  </si>
  <si>
    <t>Montpellier HSC</t>
  </si>
  <si>
    <t>Issahaku</t>
  </si>
  <si>
    <t>Fatawu</t>
  </si>
  <si>
    <t>https://www.transfermarkt.com.tr/issahaku-fatawu/profil/spieler/864121</t>
  </si>
  <si>
    <t>Bobby De</t>
  </si>
  <si>
    <t>Cordova-Reid</t>
  </si>
  <si>
    <t>https://www.transfermarkt.com.tr/bobby-de-cordova-reid/profil/spieler/186186</t>
  </si>
  <si>
    <t>Kasey</t>
  </si>
  <si>
    <t>McAteer</t>
  </si>
  <si>
    <t>https://www.transfermarkt.com.tr/kasey-mcateer/profil/spieler/621193</t>
  </si>
  <si>
    <t>Odsonne</t>
  </si>
  <si>
    <t>Edouard</t>
  </si>
  <si>
    <t>Fransız Guyanası</t>
  </si>
  <si>
    <t>https://www.transfermarkt.com.tr/odsonne-edouard/profil/spieler/344152</t>
  </si>
  <si>
    <t>Patson</t>
  </si>
  <si>
    <t>Daka</t>
  </si>
  <si>
    <t>Zambiya</t>
  </si>
  <si>
    <t>https://www.transfermarkt.com.tr/patson-daka/profil/spieler/365172</t>
  </si>
  <si>
    <t>Red Bull Salzburg</t>
  </si>
  <si>
    <t>Ayew</t>
  </si>
  <si>
    <t>https://www.transfermarkt.com.tr/jordan-ayew/profil/spieler/108354</t>
  </si>
  <si>
    <t>Jamie</t>
  </si>
  <si>
    <t>Vardy</t>
  </si>
  <si>
    <t>https://www.transfermarkt.com.tr/jamie-vardy/profil/spieler/197838</t>
  </si>
  <si>
    <t>Alisson</t>
  </si>
  <si>
    <t>https://www.transfermarkt.com.tr/alisson/profil/spieler/105470</t>
  </si>
  <si>
    <t>Caoimhin</t>
  </si>
  <si>
    <t>Keller</t>
  </si>
  <si>
    <t>https://www.transfermarkt.com.tr/caoimhin-kelleher/profil/spieler/340918</t>
  </si>
  <si>
    <t>FC Liverpool U23</t>
  </si>
  <si>
    <t>Vitezslav</t>
  </si>
  <si>
    <t>Jaros</t>
  </si>
  <si>
    <t>Çekya</t>
  </si>
  <si>
    <t>https://www.transfermarkt.com.tr/vitezslav-jaros/profil/spieler/486604</t>
  </si>
  <si>
    <t>Ibrahima</t>
  </si>
  <si>
    <t>Konate</t>
  </si>
  <si>
    <t>https://www.transfermarkt.com.tr/ibrahima-konate/profil/spieler/357119</t>
  </si>
  <si>
    <t>Virgil</t>
  </si>
  <si>
    <t>van Dijk</t>
  </si>
  <si>
    <t>https://www.transfermarkt.com.tr/virgil-van-dijk/profil/spieler/139208</t>
  </si>
  <si>
    <t>Gomez</t>
  </si>
  <si>
    <t>https://www.transfermarkt.com.tr/joe-gomez/profil/spieler/256178</t>
  </si>
  <si>
    <t>Charlton Athletic</t>
  </si>
  <si>
    <t>Jarell</t>
  </si>
  <si>
    <t>Quansah</t>
  </si>
  <si>
    <t>https://www.transfermarkt.com.tr/jarell-quansah/profil/spieler/632349</t>
  </si>
  <si>
    <t>Andrew</t>
  </si>
  <si>
    <t>Robertson</t>
  </si>
  <si>
    <t>https://www.transfermarkt.com.tr/andrew-robertson/profil/spieler/234803</t>
  </si>
  <si>
    <t>Konstantinos</t>
  </si>
  <si>
    <t>Tsimikas</t>
  </si>
  <si>
    <t>Yunanistan</t>
  </si>
  <si>
    <t>https://www.transfermarkt.com.tr/konstantinos-tsimikas/profil/spieler/338070</t>
  </si>
  <si>
    <t>Olympiakos Pire</t>
  </si>
  <si>
    <t>Trent</t>
  </si>
  <si>
    <t>Alexander-Arnold</t>
  </si>
  <si>
    <t>https://www.transfermarkt.com.tr/trent-alexander-arnold/profil/spieler/314353</t>
  </si>
  <si>
    <t>Bradley</t>
  </si>
  <si>
    <t>Kuzey İrlanda</t>
  </si>
  <si>
    <t>https://www.transfermarkt.com.tr/conor-bradley/profil/spieler/624258</t>
  </si>
  <si>
    <t>Gravenberch</t>
  </si>
  <si>
    <t>https://www.transfermarkt.com.tr/ryan-gravenberch/profil/spieler/478573</t>
  </si>
  <si>
    <t>Wataru</t>
  </si>
  <si>
    <t>Endo</t>
  </si>
  <si>
    <t>https://www.transfermarkt.com.tr/wataru-endo/profil/spieler/146310</t>
  </si>
  <si>
    <t>VfB Stuttgart</t>
  </si>
  <si>
    <t>Morton</t>
  </si>
  <si>
    <t>https://www.transfermarkt.com.tr/tyler-morton/profil/spieler/618494</t>
  </si>
  <si>
    <t>Alexis</t>
  </si>
  <si>
    <t>Mac Allister</t>
  </si>
  <si>
    <t>https://www.transfermarkt.com.tr/alexis-mac-allister/profil/spieler/534033</t>
  </si>
  <si>
    <t>Curtis</t>
  </si>
  <si>
    <t>Jones</t>
  </si>
  <si>
    <t>https://www.transfermarkt.com.tr/curtis-jones/profil/spieler/433188</t>
  </si>
  <si>
    <t>Harvey</t>
  </si>
  <si>
    <t>Elliott</t>
  </si>
  <si>
    <t>https://www.transfermarkt.com.tr/harvey-elliott/profil/spieler/565822</t>
  </si>
  <si>
    <t>Dominik</t>
  </si>
  <si>
    <t>Szoboszlai</t>
  </si>
  <si>
    <t>https://www.transfermarkt.com.tr/dominik-szoboszlai/profil/spieler/451276</t>
  </si>
  <si>
    <t>Diaz</t>
  </si>
  <si>
    <t>https://www.transfermarkt.com.tr/luis-diaz/profil/spieler/480692</t>
  </si>
  <si>
    <t>Cody</t>
  </si>
  <si>
    <t>Gakpo</t>
  </si>
  <si>
    <t>https://www.transfermarkt.com.tr/cody-gakpo/profil/spieler/434675</t>
  </si>
  <si>
    <t>Mohamed</t>
  </si>
  <si>
    <t>Salah</t>
  </si>
  <si>
    <t>https://www.transfermarkt.com.tr/mohamed-salah/profil/spieler/148455</t>
  </si>
  <si>
    <t>Federico</t>
  </si>
  <si>
    <t>Chiesa</t>
  </si>
  <si>
    <t>https://www.transfermarkt.com.tr/federico-chiesa/profil/spieler/341092</t>
  </si>
  <si>
    <t>Darwin</t>
  </si>
  <si>
    <t>Nunez</t>
  </si>
  <si>
    <t>Uruguay</t>
  </si>
  <si>
    <t>https://www.transfermarkt.com.tr/darwin-nunez/profil/spieler/546543</t>
  </si>
  <si>
    <t>Diogo</t>
  </si>
  <si>
    <t>Jota</t>
  </si>
  <si>
    <t>https://www.transfermarkt.com.tr/diogo-jota/profil/spieler/340950</t>
  </si>
  <si>
    <t>Ederson</t>
  </si>
  <si>
    <t>https://www.transfermarkt.com.tr/ederson/profil/spieler/238223</t>
  </si>
  <si>
    <t>SL Benfica Lizbon</t>
  </si>
  <si>
    <t>Stefan</t>
  </si>
  <si>
    <t>Ortega</t>
  </si>
  <si>
    <t>https://www.transfermarkt.com.tr/stefan-ortega/profil/spieler/85941</t>
  </si>
  <si>
    <t>Arminia Bielefeld</t>
  </si>
  <si>
    <t>Carson</t>
  </si>
  <si>
    <t>https://www.transfermarkt.com.tr/scott-carson/profil/spieler/14555</t>
  </si>
  <si>
    <t>Derby County</t>
  </si>
  <si>
    <t>Ruben</t>
  </si>
  <si>
    <t>Dias</t>
  </si>
  <si>
    <t>https://www.transfermarkt.com.tr/ruben-dias/profil/spieler/258004</t>
  </si>
  <si>
    <t>Manuel</t>
  </si>
  <si>
    <t>Akanji</t>
  </si>
  <si>
    <t>https://www.transfermarkt.com.tr/manuel-akanji/profil/spieler/284730</t>
  </si>
  <si>
    <t>Borussia Dortmund</t>
  </si>
  <si>
    <t>Ake</t>
  </si>
  <si>
    <t>https://www.transfermarkt.com.tr/nathan-ake/profil/spieler/177476</t>
  </si>
  <si>
    <t>Stones</t>
  </si>
  <si>
    <t>https://www.transfermarkt.com.tr/john-stones/profil/spieler/186590</t>
  </si>
  <si>
    <t>Jahmal</t>
  </si>
  <si>
    <t>Simpson-Pusey</t>
  </si>
  <si>
    <t>https://www.transfermarkt.com.tr/jahmai-simpson-pusey/profil/spieler/942497</t>
  </si>
  <si>
    <t>Josko</t>
  </si>
  <si>
    <t>Gvardiol</t>
  </si>
  <si>
    <t>Hırvatistan</t>
  </si>
  <si>
    <t>https://www.transfermarkt.com.tr/josko-gvardiol/profil/spieler/475959</t>
  </si>
  <si>
    <t>Wilson-Esbrand</t>
  </si>
  <si>
    <t>https://www.transfermarkt.com.tr/josh-wilson-esbrand/profil/spieler/576121</t>
  </si>
  <si>
    <t>https://www.transfermarkt.com.tr/rico-lewis/profil/spieler/701057</t>
  </si>
  <si>
    <t>Kyle</t>
  </si>
  <si>
    <t>Walker</t>
  </si>
  <si>
    <t>https://www.transfermarkt.com.tr/kyle-walker/profil/spieler/95424</t>
  </si>
  <si>
    <t>Rodri</t>
  </si>
  <si>
    <t>https://www.transfermarkt.com.tr/rodri/profil/spieler/357565</t>
  </si>
  <si>
    <t>https://www.transfermarkt.com.tr/matheus-nunes/profil/spieler/601883</t>
  </si>
  <si>
    <t>Mateo</t>
  </si>
  <si>
    <t>Kovacic</t>
  </si>
  <si>
    <t>https://www.transfermarkt.com.tr/mateo-kovacic/profil/spieler/51471</t>
  </si>
  <si>
    <t>İlkay</t>
  </si>
  <si>
    <t>Gündoğan</t>
  </si>
  <si>
    <t>https://www.transfermarkt.com.tr/ilkay-gundogan/profil/spieler/53622</t>
  </si>
  <si>
    <t>Bernardo</t>
  </si>
  <si>
    <t>Silva</t>
  </si>
  <si>
    <t>https://www.transfermarkt.com.tr/bernardo-silva/profil/spieler/241641</t>
  </si>
  <si>
    <t>De Bruyne</t>
  </si>
  <si>
    <t>https://www.transfermarkt.com.tr/kevin-de-bruyne/profil/spieler/88755</t>
  </si>
  <si>
    <t>McAtee</t>
  </si>
  <si>
    <t>https://www.transfermarkt.com.tr/james-mcatee/profil/spieler/583199</t>
  </si>
  <si>
    <t>Jeremy</t>
  </si>
  <si>
    <t>Doku</t>
  </si>
  <si>
    <t>https://www.transfermarkt.com.tr/jeremy-doku/profil/spieler/486049</t>
  </si>
  <si>
    <t>Stade Rennes FC</t>
  </si>
  <si>
    <t>Grealish</t>
  </si>
  <si>
    <t>https://www.transfermarkt.com.tr/jack-grealish/profil/spieler/203460</t>
  </si>
  <si>
    <t>Phil</t>
  </si>
  <si>
    <t>Foden</t>
  </si>
  <si>
    <t>https://www.transfermarkt.com.tr/phil-foden/profil/spieler/406635</t>
  </si>
  <si>
    <t>Savinho</t>
  </si>
  <si>
    <t>https://www.transfermarkt.com.tr/savinho/profil/spieler/743591</t>
  </si>
  <si>
    <t>Oscar</t>
  </si>
  <si>
    <t>Bobb</t>
  </si>
  <si>
    <t>https://www.transfermarkt.com.tr/oscar-bobb/profil/spieler/661207</t>
  </si>
  <si>
    <t>Erling</t>
  </si>
  <si>
    <t>Haaland</t>
  </si>
  <si>
    <t>https://www.transfermarkt.com.tr/erling-haaland/profil/spieler/418560</t>
  </si>
  <si>
    <t>Andre</t>
  </si>
  <si>
    <t>https://www.transfermarkt.com.tr/andre-onana/profil/spieler/234509</t>
  </si>
  <si>
    <t>Inter Milan</t>
  </si>
  <si>
    <t>Altay</t>
  </si>
  <si>
    <t>Bayındır</t>
  </si>
  <si>
    <t>https://www.transfermarkt.com.tr/altay-bayindir/profil/spieler/336077</t>
  </si>
  <si>
    <t>Heaton</t>
  </si>
  <si>
    <t>https://www.transfermarkt.com.tr/tom-heaton/profil/spieler/34130</t>
  </si>
  <si>
    <t>Matthijs</t>
  </si>
  <si>
    <t>de Ligt</t>
  </si>
  <si>
    <t>https://www.transfermarkt.com.tr/matthijs-de-ligt/profil/spieler/326031</t>
  </si>
  <si>
    <t>Leny</t>
  </si>
  <si>
    <t>Yoro</t>
  </si>
  <si>
    <t>https://www.transfermarkt.com.tr/leny-yoro/profil/spieler/923831</t>
  </si>
  <si>
    <t>Lisandro</t>
  </si>
  <si>
    <t>https://www.transfermarkt.com.tr/lisandro-martinez/profil/spieler/480762</t>
  </si>
  <si>
    <t>Maguire</t>
  </si>
  <si>
    <t>https://www.transfermarkt.com.tr/harry-maguire/profil/spieler/177907</t>
  </si>
  <si>
    <t>Lindelöf</t>
  </si>
  <si>
    <t>https://www.transfermarkt.com.tr/victor-lindelof/profil/spieler/184573</t>
  </si>
  <si>
    <t>Jonny</t>
  </si>
  <si>
    <t>Evans</t>
  </si>
  <si>
    <t>https://www.transfermarkt.com.tr/jonny-evans/profil/spieler/42412</t>
  </si>
  <si>
    <t>Shaw</t>
  </si>
  <si>
    <t>https://www.transfermarkt.com.tr/luke-shaw/profil/spieler/183288</t>
  </si>
  <si>
    <t>Tyrell</t>
  </si>
  <si>
    <t>Malacia</t>
  </si>
  <si>
    <t>https://www.transfermarkt.com.tr/tyrell-malacia/profil/spieler/339340</t>
  </si>
  <si>
    <t>Dalot</t>
  </si>
  <si>
    <t>https://www.transfermarkt.com.tr/diogo-dalot/profil/spieler/357147</t>
  </si>
  <si>
    <t>Noussair</t>
  </si>
  <si>
    <t>Mazraoui</t>
  </si>
  <si>
    <t>https://www.transfermarkt.com.tr/noussair-mazraoui/profil/spieler/340456</t>
  </si>
  <si>
    <t>Ugarte</t>
  </si>
  <si>
    <t>https://www.transfermarkt.com.tr/manuel-ugarte/profil/spieler/476701</t>
  </si>
  <si>
    <t>Casemiro</t>
  </si>
  <si>
    <t>https://www.transfermarkt.com.tr/casemiro/profil/spieler/16306</t>
  </si>
  <si>
    <t>Toby</t>
  </si>
  <si>
    <t>Collyer</t>
  </si>
  <si>
    <t>https://www.transfermarkt.com.tr/toby-collyer/profil/spieler/654253</t>
  </si>
  <si>
    <t>Manchester United U21</t>
  </si>
  <si>
    <t>Kobbie</t>
  </si>
  <si>
    <t>Mainoo</t>
  </si>
  <si>
    <t>https://www.transfermarkt.com.tr/kobbie-mainoo/profil/spieler/820374</t>
  </si>
  <si>
    <t>Eriksen</t>
  </si>
  <si>
    <t>https://www.transfermarkt.com.tr/christian-eriksen/profil/spieler/69633</t>
  </si>
  <si>
    <t>Gore</t>
  </si>
  <si>
    <t>https://www.transfermarkt.com.tr/daniel-gore/profil/spieler/747153</t>
  </si>
  <si>
    <t>Bruno</t>
  </si>
  <si>
    <t>Fernandes</t>
  </si>
  <si>
    <t>https://www.transfermarkt.com.tr/bruno-fernandes/profil/spieler/240306</t>
  </si>
  <si>
    <t>Mason</t>
  </si>
  <si>
    <t>Mount</t>
  </si>
  <si>
    <t>https://www.transfermarkt.com.tr/mason-mount/profil/spieler/346483</t>
  </si>
  <si>
    <t>Rashford</t>
  </si>
  <si>
    <t>https://www.transfermarkt.com.tr/marcus-rashford/profil/spieler/258923</t>
  </si>
  <si>
    <t>Alejandro</t>
  </si>
  <si>
    <t>Garnacho</t>
  </si>
  <si>
    <t>https://www.transfermarkt.com.tr/alejandro-garnacho/profil/spieler/811779</t>
  </si>
  <si>
    <t>Amad</t>
  </si>
  <si>
    <t>Diallo</t>
  </si>
  <si>
    <t>https://www.transfermarkt.com.tr/amad-diallo/profil/spieler/536835</t>
  </si>
  <si>
    <t>Antony</t>
  </si>
  <si>
    <t>https://www.transfermarkt.com.tr/antony/profil/spieler/602105</t>
  </si>
  <si>
    <t>Rasmus</t>
  </si>
  <si>
    <t>Hojlund</t>
  </si>
  <si>
    <t>https://www.transfermarkt.com.tr/rasmus-hojlund/profil/spieler/610442</t>
  </si>
  <si>
    <t>Joshua</t>
  </si>
  <si>
    <t>Zirkzee</t>
  </si>
  <si>
    <t>https://www.transfermarkt.com.tr/joshua-zirkzee/profil/spieler/435648</t>
  </si>
  <si>
    <t>Wheatley</t>
  </si>
  <si>
    <t>https://www.transfermarkt.com.tr/ethan-wheatley/profil/spieler/888639</t>
  </si>
  <si>
    <t>Nick</t>
  </si>
  <si>
    <t>Pope</t>
  </si>
  <si>
    <t>https://www.transfermarkt.com.tr/nick-pope/profil/spieler/192080</t>
  </si>
  <si>
    <t>Odysseas</t>
  </si>
  <si>
    <t>Vlachodimos</t>
  </si>
  <si>
    <t>https://www.transfermarkt.com.tr/odysseas-vlachodimos/profil/spieler/124419</t>
  </si>
  <si>
    <t>Dubravka</t>
  </si>
  <si>
    <t>Slovakya</t>
  </si>
  <si>
    <t>https://www.transfermarkt.com.tr/martin-dubravka/profil/spieler/74960</t>
  </si>
  <si>
    <t>AC Sparta Prag</t>
  </si>
  <si>
    <t>Gillespie</t>
  </si>
  <si>
    <t>https://www.transfermarkt.com.tr/mark-gillespie/profil/spieler/142389</t>
  </si>
  <si>
    <t>Motherwell FC</t>
  </si>
  <si>
    <t>Ruddy</t>
  </si>
  <si>
    <t>https://www.transfermarkt.com.tr/john-ruddy/profil/spieler/29712</t>
  </si>
  <si>
    <t>Birmingham City</t>
  </si>
  <si>
    <t>Sven</t>
  </si>
  <si>
    <t>Botman</t>
  </si>
  <si>
    <t>https://www.transfermarkt.com.tr/sven-botman/profil/spieler/361093</t>
  </si>
  <si>
    <t>Lloyd</t>
  </si>
  <si>
    <t>Kelly</t>
  </si>
  <si>
    <t>https://www.transfermarkt.com.tr/lloyd-kelly/profil/spieler/480116</t>
  </si>
  <si>
    <t>Fabian</t>
  </si>
  <si>
    <t>Schar</t>
  </si>
  <si>
    <t>https://www.transfermarkt.com.tr/fabian-schar/profil/spieler/135343</t>
  </si>
  <si>
    <t>Deportivo La Coruña</t>
  </si>
  <si>
    <t>Dan</t>
  </si>
  <si>
    <t>Burn</t>
  </si>
  <si>
    <t>https://www.transfermarkt.com.tr/dan-burn/profil/spieler/134270</t>
  </si>
  <si>
    <t>Jamaal</t>
  </si>
  <si>
    <t>Lascelles</t>
  </si>
  <si>
    <t>https://www.transfermarkt.com.tr/jamaal-lascelles/profil/spieler/183318</t>
  </si>
  <si>
    <t xml:space="preserve">Lewis </t>
  </si>
  <si>
    <t>Hall</t>
  </si>
  <si>
    <t>https://www.transfermarkt.com.tr/lewis-hall/profil/spieler/670858</t>
  </si>
  <si>
    <t>Targett</t>
  </si>
  <si>
    <t>https://www.transfermarkt.com.tr/matt-targett/profil/spieler/250478</t>
  </si>
  <si>
    <t>Murphy</t>
  </si>
  <si>
    <t>https://www.transfermarkt.com.tr/alex-murphy/profil/spieler/900601</t>
  </si>
  <si>
    <t>Newcastle United U23</t>
  </si>
  <si>
    <t>Tino</t>
  </si>
  <si>
    <t>Livramento</t>
  </si>
  <si>
    <t>https://www.transfermarkt.com.tr/tino-livramento/profil/spieler/503981</t>
  </si>
  <si>
    <t>Trippier</t>
  </si>
  <si>
    <t>https://www.transfermarkt.com.tr/kieran-trippier/profil/spieler/95810</t>
  </si>
  <si>
    <t>Emil</t>
  </si>
  <si>
    <t>Krafth</t>
  </si>
  <si>
    <t>https://www.transfermarkt.com.tr/emil-krafth/profil/spieler/184528</t>
  </si>
  <si>
    <t>Amiens SC</t>
  </si>
  <si>
    <t>Guimaraes</t>
  </si>
  <si>
    <t>https://www.transfermarkt.com.tr/bruno-guimaraes/profil/spieler/520624</t>
  </si>
  <si>
    <t>Isaac</t>
  </si>
  <si>
    <t>Hayden</t>
  </si>
  <si>
    <t>FC Arsenal U21</t>
  </si>
  <si>
    <t>Joelinton</t>
  </si>
  <si>
    <t>https://www.transfermarkt.com.tr/joelinton/profil/spieler/333241</t>
  </si>
  <si>
    <t>TSG 1899 Hoffenheim</t>
  </si>
  <si>
    <t>Sandro</t>
  </si>
  <si>
    <t>Tonali</t>
  </si>
  <si>
    <t>İrtalya</t>
  </si>
  <si>
    <t>https://www.transfermarkt.com.tr/sandro-tonali/profil/spieler/397033</t>
  </si>
  <si>
    <t>AC Milan</t>
  </si>
  <si>
    <t>Willock</t>
  </si>
  <si>
    <t>https://www.transfermarkt.com.tr/joe-willock/profil/spieler/340329</t>
  </si>
  <si>
    <t>Sean</t>
  </si>
  <si>
    <t>Longstaff</t>
  </si>
  <si>
    <t>https://www.transfermarkt.com.tr/sean-longstaff/profil/spieler/346707</t>
  </si>
  <si>
    <t>Miley</t>
  </si>
  <si>
    <t>https://www.transfermarkt.com.tr/lewis-miley/profil/spieler/922769</t>
  </si>
  <si>
    <t>Anthony</t>
  </si>
  <si>
    <t>Gordon</t>
  </si>
  <si>
    <t>https://www.transfermarkt.com.tr/anthony-gordon/profil/spieler/503733</t>
  </si>
  <si>
    <t>Barnes</t>
  </si>
  <si>
    <t>https://www.transfermarkt.com.tr/harvey-barnes/profil/spieler/398065</t>
  </si>
  <si>
    <t>Garang</t>
  </si>
  <si>
    <t>Kuol</t>
  </si>
  <si>
    <t>https://www.transfermarkt.com.tr/garang-kuol/profil/spieler/967948</t>
  </si>
  <si>
    <t>Central Coast Mariners</t>
  </si>
  <si>
    <t>Miguel</t>
  </si>
  <si>
    <t>Almiron</t>
  </si>
  <si>
    <t>https://www.transfermarkt.com.tr/miguel-almiron/profil/spieler/272999</t>
  </si>
  <si>
    <t>Atlanta United FC</t>
  </si>
  <si>
    <t>https://www.transfermarkt.com.tr/jacob-murphy/profil/spieler/199527</t>
  </si>
  <si>
    <t>Alexander</t>
  </si>
  <si>
    <t>Isak</t>
  </si>
  <si>
    <t>https://www.transfermarkt.com.tr/alexander-isak/profil/spieler/349066</t>
  </si>
  <si>
    <t>Callum</t>
  </si>
  <si>
    <t>https://www.transfermarkt.com.tr/callum-wilson/profil/spieler/123682</t>
  </si>
  <si>
    <t>Osula</t>
  </si>
  <si>
    <t>https://www.transfermarkt.com.tr/william-osula/profil/spieler/609556</t>
  </si>
  <si>
    <t>Matz</t>
  </si>
  <si>
    <t>Sels</t>
  </si>
  <si>
    <t>https://www.transfermarkt.com.tr/matz-sels/profil/spieler/127202</t>
  </si>
  <si>
    <t>RC Strasbourg Alsace</t>
  </si>
  <si>
    <t>https://www.transfermarkt.com.tr/carlos-miguel/profil/spieler/641458</t>
  </si>
  <si>
    <t>Sport Club Corinthians Paulista</t>
  </si>
  <si>
    <t>Nikola</t>
  </si>
  <si>
    <t>Milenkovic</t>
  </si>
  <si>
    <t>https://www.transfermarkt.com.tr/nikola-milenkovic/profil/spieler/413507</t>
  </si>
  <si>
    <t>ACF Fiorentina</t>
  </si>
  <si>
    <t>Morato</t>
  </si>
  <si>
    <t>https://www.transfermarkt.com.tr/morato/profil/spieler/673492</t>
  </si>
  <si>
    <t>Omobamidele</t>
  </si>
  <si>
    <t>https://www.transfermarkt.com.tr/andrew-omobamidele/profil/spieler/621993</t>
  </si>
  <si>
    <t>Willy</t>
  </si>
  <si>
    <t>Boly</t>
  </si>
  <si>
    <t>https://www.transfermarkt.com.tr/willy-boly/profil/spieler/142310</t>
  </si>
  <si>
    <t>Moreno</t>
  </si>
  <si>
    <t>https://www.transfermarkt.com.tr/alex-moreno/profil/spieler/193098</t>
  </si>
  <si>
    <t>Toffolo</t>
  </si>
  <si>
    <t>https://www.transfermarkt.com.tr/harry-toffolo/profil/spieler/198516</t>
  </si>
  <si>
    <t>Neco</t>
  </si>
  <si>
    <t>Williams</t>
  </si>
  <si>
    <t>https://www.transfermarkt.com.tr/neco-williams/profil/spieler/503680</t>
  </si>
  <si>
    <t>Ola</t>
  </si>
  <si>
    <t>Aina</t>
  </si>
  <si>
    <t>https://www.transfermarkt.com.tr/ola-aina/profil/spieler/236490</t>
  </si>
  <si>
    <t>Ibrahim</t>
  </si>
  <si>
    <t>Sangare</t>
  </si>
  <si>
    <t>https://www.transfermarkt.com.tr/ibrahim-sangare/profil/spieler/375885</t>
  </si>
  <si>
    <t>Danilo</t>
  </si>
  <si>
    <t>https://www.transfermarkt.com.tr/danilo/profil/spieler/808509</t>
  </si>
  <si>
    <t>Sociedade Esportiva Palmeiras</t>
  </si>
  <si>
    <t>Elliot</t>
  </si>
  <si>
    <t>Anderson</t>
  </si>
  <si>
    <t>https://www.transfermarkt.com.tr/elliot-anderson/profil/spieler/567576</t>
  </si>
  <si>
    <t>Ward-Prowse</t>
  </si>
  <si>
    <t>https://www.transfermarkt.com.tr/james-ward-prowse/profil/spieler/181579</t>
  </si>
  <si>
    <t>Dominguez</t>
  </si>
  <si>
    <t>https://www.transfermarkt.com.tr/nicolas-dominguez/profil/spieler/497291</t>
  </si>
  <si>
    <t>Yates</t>
  </si>
  <si>
    <t>https://www.transfermarkt.com.tr/ryan-yates/profil/spieler/425902</t>
  </si>
  <si>
    <t>Nottingham Forest U18</t>
  </si>
  <si>
    <t>Gibbs-White</t>
  </si>
  <si>
    <t>https://www.transfermarkt.com.tr/morgan-gibbs-white/profil/spieler/429014</t>
  </si>
  <si>
    <t>Hudson-Odoi</t>
  </si>
  <si>
    <t>https://www.transfermarkt.com.tr/callum-hudson-odoi/profil/spieler/392768</t>
  </si>
  <si>
    <t>Ramon</t>
  </si>
  <si>
    <t>Sosa</t>
  </si>
  <si>
    <t>https://www.transfermarkt.com.tr/ramon-sosa/profil/spieler/745191</t>
  </si>
  <si>
    <t>CA Talleres</t>
  </si>
  <si>
    <t>https://www.transfermarkt.com.tr/jota-silva/profil/spieler/663244</t>
  </si>
  <si>
    <t>Vitória Guimarães SC</t>
  </si>
  <si>
    <t>Elanga</t>
  </si>
  <si>
    <t>https://www.transfermarkt.com.tr/anthony-elanga/profil/spieler/583189</t>
  </si>
  <si>
    <t>Eric Da  Silva</t>
  </si>
  <si>
    <t>Moreira</t>
  </si>
  <si>
    <t>https://www.transfermarkt.com.tr/eric-da-silva-moreira/profil/spieler/897481</t>
  </si>
  <si>
    <t>St. Pauli</t>
  </si>
  <si>
    <t>Taiwo</t>
  </si>
  <si>
    <t>Awoniyi</t>
  </si>
  <si>
    <t>https://www.transfermarkt.com.tr/taiwo-awoniyi/profil/spieler/295313</t>
  </si>
  <si>
    <t>1.FC Union Berlin</t>
  </si>
  <si>
    <t>Wood</t>
  </si>
  <si>
    <t>Yeni Zelanda</t>
  </si>
  <si>
    <t>https://www.transfermarkt.com.tr/chris-wood/profil/spieler/108725</t>
  </si>
  <si>
    <t>Emmanuel</t>
  </si>
  <si>
    <t>https://www.transfermarkt.com.tr/emmanuel-dennis/profil/spieler/448854</t>
  </si>
  <si>
    <t>Ramsdale</t>
  </si>
  <si>
    <t>https://www.transfermarkt.com.tr/aaron-ramsdale/profil/spieler/427568</t>
  </si>
  <si>
    <t>Gavin</t>
  </si>
  <si>
    <t>Bazunu</t>
  </si>
  <si>
    <t>https://www.transfermarkt.com.tr/gavin-bazunu/profil/spieler/585550</t>
  </si>
  <si>
    <t>Lumley</t>
  </si>
  <si>
    <t>https://www.transfermarkt.com.tr/joe-lumley/profil/spieler/336367</t>
  </si>
  <si>
    <t>McCarthy</t>
  </si>
  <si>
    <t>https://www.transfermarkt.com.tr/alex-mccarthy/profil/spieler/95976</t>
  </si>
  <si>
    <t>Harwood-Bellis</t>
  </si>
  <si>
    <t>https://www.transfermarkt.com.tr/taylor-harwood-bellis/profil/spieler/503977</t>
  </si>
  <si>
    <t>Armel</t>
  </si>
  <si>
    <t>Bella-Kotchap</t>
  </si>
  <si>
    <t>https://www.transfermarkt.com.tr/armel-bella-kotchap/profil/spieler/467563</t>
  </si>
  <si>
    <t>Jan</t>
  </si>
  <si>
    <t>Bednarek</t>
  </si>
  <si>
    <t>https://www.transfermarkt.com.tr/jan-bednarek/profil/spieler/243028</t>
  </si>
  <si>
    <t>Ronnie</t>
  </si>
  <si>
    <t>Edwards</t>
  </si>
  <si>
    <t>https://www.transfermarkt.com.tr/ronnie-edwards/profil/spieler/732165</t>
  </si>
  <si>
    <t>https://www.transfermarkt.com.tr/nathan-wood/profil/spieler/503990</t>
  </si>
  <si>
    <t>Stephens</t>
  </si>
  <si>
    <t>https://www.transfermarkt.com.tr/jack-stephens/profil/spieler/163744</t>
  </si>
  <si>
    <t>FC Southampton U21</t>
  </si>
  <si>
    <t>Juan</t>
  </si>
  <si>
    <t>Larios</t>
  </si>
  <si>
    <t>https://www.transfermarkt.com.tr/juan-larios/profil/spieler/646738</t>
  </si>
  <si>
    <t>Manning</t>
  </si>
  <si>
    <t>https://www.transfermarkt.com.tr/ryan-manning/profil/spieler/262300</t>
  </si>
  <si>
    <t>Charlie</t>
  </si>
  <si>
    <t>https://www.transfermarkt.com.tr/charlie-taylor/profil/spieler/195633</t>
  </si>
  <si>
    <t>Walker-Peters</t>
  </si>
  <si>
    <t>https://www.transfermarkt.com.tr/kyle-walker-peters/profil/spieler/341051</t>
  </si>
  <si>
    <t>Yukinari</t>
  </si>
  <si>
    <t>Sugawara</t>
  </si>
  <si>
    <t>https://www.transfermarkt.com.tr/yukinari-sugawara/profil/spieler/405385</t>
  </si>
  <si>
    <t>Bree</t>
  </si>
  <si>
    <t>https://www.transfermarkt.com.tr/james-bree/profil/spieler/324223</t>
  </si>
  <si>
    <t>Lesley</t>
  </si>
  <si>
    <t>Ugochukwu</t>
  </si>
  <si>
    <t>https://www.transfermarkt.com.tr/lesley-ugochukwu/profil/spieler/711999</t>
  </si>
  <si>
    <t>Flynn</t>
  </si>
  <si>
    <t>Downes</t>
  </si>
  <si>
    <t>https://www.transfermarkt.com.tr/flynn-downes/profil/spieler/506189</t>
  </si>
  <si>
    <t>Mateus</t>
  </si>
  <si>
    <t>https://www.transfermarkt.com.tr/mateus-fernandes/profil/spieler/880245</t>
  </si>
  <si>
    <t>Smallbone</t>
  </si>
  <si>
    <t>https://www.transfermarkt.com.tr/will-smallbone/profil/spieler/444211</t>
  </si>
  <si>
    <t>Southampton FC U23</t>
  </si>
  <si>
    <t>Aribo</t>
  </si>
  <si>
    <t>https://www.transfermarkt.com.tr/joe-aribo/profil/spieler/468198</t>
  </si>
  <si>
    <t>Lallana</t>
  </si>
  <si>
    <t>https://www.transfermarkt.com.tr/adam-lallana/profil/spieler/43530</t>
  </si>
  <si>
    <t>Kamaldeen</t>
  </si>
  <si>
    <t>Sulemana</t>
  </si>
  <si>
    <t>https://www.transfermarkt.com.tr/kamaldeen-sulemana/profil/spieler/746695</t>
  </si>
  <si>
    <t>Stade Rennes</t>
  </si>
  <si>
    <t>Maxwel</t>
  </si>
  <si>
    <t>Cornet</t>
  </si>
  <si>
    <t>https://www.transfermarkt.com.tr/maxwel-cornet/profil/spieler/234781</t>
  </si>
  <si>
    <t>Fraser</t>
  </si>
  <si>
    <t>https://www.transfermarkt.com.tr/ryan-fraser/profil/spieler/146795</t>
  </si>
  <si>
    <t>Dibling</t>
  </si>
  <si>
    <t>https://www.transfermarkt.com.tr/tyler-dibling/profil/spieler/866655</t>
  </si>
  <si>
    <t>Samuel</t>
  </si>
  <si>
    <t>Amo-Ameyaw</t>
  </si>
  <si>
    <t>https://www.transfermarkt.com.tr/samuel-amo-ameyaw/profil/spieler/933900</t>
  </si>
  <si>
    <t>Armstrong</t>
  </si>
  <si>
    <t>https://www.transfermarkt.com.tr/adam-armstrong/profil/spieler/250426</t>
  </si>
  <si>
    <t>Archer</t>
  </si>
  <si>
    <t>https://www.transfermarkt.com.tr/cameron-archer/profil/spieler/533662</t>
  </si>
  <si>
    <t>Paul</t>
  </si>
  <si>
    <t>Onuachu</t>
  </si>
  <si>
    <t>https://www.transfermarkt.com.tr/paul-onuachu/profil/spieler/272855</t>
  </si>
  <si>
    <t>Breton</t>
  </si>
  <si>
    <t>Şili</t>
  </si>
  <si>
    <t>https://www.transfermarkt.com.tr/ben-brereton-diaz/profil/spieler/426192</t>
  </si>
  <si>
    <t>Stewart</t>
  </si>
  <si>
    <t>https://www.transfermarkt.com.tr/ross-stewart/profil/spieler/447995</t>
  </si>
  <si>
    <t>Guglielmo</t>
  </si>
  <si>
    <t>Vicario</t>
  </si>
  <si>
    <t>https://www.transfermarkt.com.tr/guglielmo-vicario/profil/spieler/286047</t>
  </si>
  <si>
    <t>Empoli FC</t>
  </si>
  <si>
    <t>Forster</t>
  </si>
  <si>
    <t>https://www.transfermarkt.com.tr/fraser-forster/profil/spieler/52570</t>
  </si>
  <si>
    <t>Brandon</t>
  </si>
  <si>
    <t>Austin</t>
  </si>
  <si>
    <t>https://www.transfermarkt.com.tr/brandon-austin/profil/spieler/428016</t>
  </si>
  <si>
    <t>Alfie</t>
  </si>
  <si>
    <t>Whiteman</t>
  </si>
  <si>
    <t>https://www.transfermarkt.com.tr/alfie-whiteman/profil/spieler/282823</t>
  </si>
  <si>
    <t>Cristian</t>
  </si>
  <si>
    <t>Romero</t>
  </si>
  <si>
    <t>https://www.transfermarkt.com.tr/cristian-romero/profil/spieler/355915</t>
  </si>
  <si>
    <t>Micky</t>
  </si>
  <si>
    <t>van de Ven</t>
  </si>
  <si>
    <t>https://www.transfermarkt.com.tr/micky-van-de-ven/profil/spieler/557459</t>
  </si>
  <si>
    <t>Radu</t>
  </si>
  <si>
    <t>Draguşin</t>
  </si>
  <si>
    <t>Romanya</t>
  </si>
  <si>
    <t>https://www.transfermarkt.com.tr/radu-dragusin/profil/spieler/568559</t>
  </si>
  <si>
    <t>Genoa CFC</t>
  </si>
  <si>
    <t>Davies</t>
  </si>
  <si>
    <t>https://www.transfermarkt.com.tr/ben-davies/profil/spieler/192765</t>
  </si>
  <si>
    <t>Destiny</t>
  </si>
  <si>
    <t>Udogie</t>
  </si>
  <si>
    <t>https://www.transfermarkt.com.tr/destiny-udogie/profil/spieler/556385</t>
  </si>
  <si>
    <t>Sergio</t>
  </si>
  <si>
    <t>Reguilon</t>
  </si>
  <si>
    <t>https://www.transfermarkt.com.tr/sergio-reguilon/profil/spieler/282429</t>
  </si>
  <si>
    <t>Porro</t>
  </si>
  <si>
    <t>https://www.transfermarkt.com.tr/pedro-porro/profil/spieler/553875</t>
  </si>
  <si>
    <t>Archie</t>
  </si>
  <si>
    <t>Gray</t>
  </si>
  <si>
    <t>https://www.transfermarkt.com.tr/archie-gray/profil/spieler/922693</t>
  </si>
  <si>
    <t>Djed</t>
  </si>
  <si>
    <t>Spence</t>
  </si>
  <si>
    <t>https://www.transfermarkt.com.tr/djed-spence/profil/spieler/483348</t>
  </si>
  <si>
    <t>Yves</t>
  </si>
  <si>
    <t>Bissouma</t>
  </si>
  <si>
    <t>https://www.transfermarkt.com.tr/yves-bissouma/profil/spieler/410425</t>
  </si>
  <si>
    <t>Bentancur</t>
  </si>
  <si>
    <t>https://www.transfermarkt.com.tr/rodrigo-bentancur/profil/spieler/354362</t>
  </si>
  <si>
    <t>Pape Mater</t>
  </si>
  <si>
    <t>https://www.transfermarkt.com.tr/pape-matar-sarr/profil/spieler/568693</t>
  </si>
  <si>
    <t>FC Metz</t>
  </si>
  <si>
    <t>Bergvall</t>
  </si>
  <si>
    <t>https://www.transfermarkt.com.tr/lucas-bergvall/profil/spieler/866246</t>
  </si>
  <si>
    <t>Djurgårdens IF</t>
  </si>
  <si>
    <t>Maddison</t>
  </si>
  <si>
    <t>https://www.transfermarkt.com.tr/james-maddison/profil/spieler/294057</t>
  </si>
  <si>
    <t>Dejan</t>
  </si>
  <si>
    <t>Kulusevski</t>
  </si>
  <si>
    <t>https://www.transfermarkt.com.tr/dejan-kulusevski/profil/spieler/431755</t>
  </si>
  <si>
    <t>Heung-Min</t>
  </si>
  <si>
    <t>Son</t>
  </si>
  <si>
    <t>https://www.transfermarkt.com.tr/heung-min-son/profil/spieler/91845</t>
  </si>
  <si>
    <t>Timo</t>
  </si>
  <si>
    <t>Werner</t>
  </si>
  <si>
    <t>https://www.transfermarkt.com.tr/timo-werner/profil/spieler/170527</t>
  </si>
  <si>
    <t>Mikey</t>
  </si>
  <si>
    <t>Moore</t>
  </si>
  <si>
    <t>https://www.transfermarkt.com.tr/mikey-moore/profil/spieler/1011147</t>
  </si>
  <si>
    <t>Brennan</t>
  </si>
  <si>
    <t>Johnson</t>
  </si>
  <si>
    <t>https://www.transfermarkt.com.tr/brennan-johnson/profil/spieler/470607</t>
  </si>
  <si>
    <t>Odobert</t>
  </si>
  <si>
    <t>https://www.transfermarkt.com.tr/wilson-odobert/profil/spieler/743498</t>
  </si>
  <si>
    <t>Solanke</t>
  </si>
  <si>
    <t>https://www.transfermarkt.com.tr/dominic-solanke/profil/spieler/258889</t>
  </si>
  <si>
    <t>Richarlison</t>
  </si>
  <si>
    <t>https://www.transfermarkt.com.tr/richarlison/profil/spieler/378710</t>
  </si>
  <si>
    <t>Lankshear</t>
  </si>
  <si>
    <t>https://www.transfermarkt.com.tr/will-lankshear/profil/spieler/879768</t>
  </si>
  <si>
    <t>Alphonse</t>
  </si>
  <si>
    <t>Areola</t>
  </si>
  <si>
    <t>https://www.transfermarkt.com.tr/alphonse-areola/profil/spieler/120629</t>
  </si>
  <si>
    <t>Foderingham</t>
  </si>
  <si>
    <t>https://www.transfermarkt.com.tr/wes-foderingham/profil/spieler/61697</t>
  </si>
  <si>
    <t>Lukasz</t>
  </si>
  <si>
    <t>Fabianski</t>
  </si>
  <si>
    <t>https://www.transfermarkt.com.tr/lukasz-fabianski/profil/spieler/29692</t>
  </si>
  <si>
    <t>Maximilian</t>
  </si>
  <si>
    <t>Kilman</t>
  </si>
  <si>
    <t>https://www.transfermarkt.com.tr/maximilian-kilman/profil/spieler/525247</t>
  </si>
  <si>
    <t>Jean-Clair</t>
  </si>
  <si>
    <t>Todibo</t>
  </si>
  <si>
    <t>https://www.transfermarkt.com.tr/jean-clair-todibo/profil/spieler/605184</t>
  </si>
  <si>
    <t>OGC Nice</t>
  </si>
  <si>
    <t>Mavropanos</t>
  </si>
  <si>
    <t>https://www.transfermarkt.com.tr/konstantinos-mavropanos/profil/spieler/415912</t>
  </si>
  <si>
    <t>Kaelan</t>
  </si>
  <si>
    <t>Casey</t>
  </si>
  <si>
    <t>https://www.transfermarkt.com.tr/kaelan-casey/profil/spieler/845321</t>
  </si>
  <si>
    <t>West Ham United U21</t>
  </si>
  <si>
    <t>Emerson</t>
  </si>
  <si>
    <t>https://www.transfermarkt.com.tr/emerson/profil/spieler/181778</t>
  </si>
  <si>
    <t>Cresswell</t>
  </si>
  <si>
    <t>https://www.transfermarkt.com.tr/aaron-cresswell/profil/spieler/92571</t>
  </si>
  <si>
    <t>Wan-Bissaka</t>
  </si>
  <si>
    <t>https://www.transfermarkt.com.tr/aaron-wan-bissaka/profil/spieler/477758</t>
  </si>
  <si>
    <t>Vladimir</t>
  </si>
  <si>
    <t>Coufal</t>
  </si>
  <si>
    <t>https://www.transfermarkt.com.tr/vladimir-coufal/profil/spieler/157672</t>
  </si>
  <si>
    <t>SK Slavia Prag</t>
  </si>
  <si>
    <t>Edson</t>
  </si>
  <si>
    <t>Alvarez</t>
  </si>
  <si>
    <t>https://www.transfermarkt.com.tr/edson-alvarez/profil/spieler/401356</t>
  </si>
  <si>
    <t>Tomas</t>
  </si>
  <si>
    <t>Soucek</t>
  </si>
  <si>
    <t>https://www.transfermarkt.com.tr/tomas-soucek/profil/spieler/283628</t>
  </si>
  <si>
    <t>Guido</t>
  </si>
  <si>
    <t>Rodriguez</t>
  </si>
  <si>
    <t>https://www.transfermarkt.com.tr/guido-rodriguez/profil/spieler/342385</t>
  </si>
  <si>
    <t>Soler</t>
  </si>
  <si>
    <t>https://www.transfermarkt.com.tr/carlos-soler/profil/spieler/372246</t>
  </si>
  <si>
    <t>Andy</t>
  </si>
  <si>
    <t>Irving</t>
  </si>
  <si>
    <t>https://www.transfermarkt.com.tr/andy-irving/profil/spieler/430310</t>
  </si>
  <si>
    <t>SK Austria Klagenfurt</t>
  </si>
  <si>
    <t>Paqueta</t>
  </si>
  <si>
    <t>https://www.transfermarkt.com.tr/lucas-paqueta/profil/spieler/444523</t>
  </si>
  <si>
    <t>Crysencio</t>
  </si>
  <si>
    <t>Summerville</t>
  </si>
  <si>
    <t>https://www.transfermarkt.com.tr/crysencio-summerville/profil/spieler/474701</t>
  </si>
  <si>
    <t>Mohammed</t>
  </si>
  <si>
    <t>Kudus</t>
  </si>
  <si>
    <t>https://www.transfermarkt.com.tr/mohammed-kudus/profil/spieler/543499</t>
  </si>
  <si>
    <t>Jarrod</t>
  </si>
  <si>
    <t>Bowen</t>
  </si>
  <si>
    <t>https://www.transfermarkt.com.tr/jarrod-bowen/profil/spieler/314875</t>
  </si>
  <si>
    <t>Guilherme</t>
  </si>
  <si>
    <t>https://www.transfermarkt.com.tr/luis-guilherme/profil/spieler/991800</t>
  </si>
  <si>
    <t>Niclas</t>
  </si>
  <si>
    <t>Füllkrug</t>
  </si>
  <si>
    <t>https://www.transfermarkt.com.tr/niclas-fullkrug/profil/spieler/75489</t>
  </si>
  <si>
    <t>Ings</t>
  </si>
  <si>
    <t>https://www.transfermarkt.com.tr/danny-ings/profil/spieler/134294</t>
  </si>
  <si>
    <t>Michail</t>
  </si>
  <si>
    <t>Antonio</t>
  </si>
  <si>
    <t>https://www.transfermarkt.com.tr/michail-antonio/profil/spieler/104124</t>
  </si>
  <si>
    <t>Jose</t>
  </si>
  <si>
    <t>Sa</t>
  </si>
  <si>
    <t>https://www.transfermarkt.com.tr/jose-sa/profil/spieler/249994</t>
  </si>
  <si>
    <t>Johnstone</t>
  </si>
  <si>
    <t>https://www.transfermarkt.com.tr/sam-johnstone/profil/spieler/110864</t>
  </si>
  <si>
    <t>Bentley</t>
  </si>
  <si>
    <t>https://www.transfermarkt.com.tr/daniel-bentley/profil/spieler/136401</t>
  </si>
  <si>
    <t>King</t>
  </si>
  <si>
    <t>https://www.transfermarkt.com.tr/tom-king/profil/spieler/215810</t>
  </si>
  <si>
    <t>Northampton Town</t>
  </si>
  <si>
    <t>Toti</t>
  </si>
  <si>
    <t>https://www.transfermarkt.com.tr/toti/profil/spieler/606718</t>
  </si>
  <si>
    <t>Estoril Praia U23</t>
  </si>
  <si>
    <t>Santiago</t>
  </si>
  <si>
    <t>Bueno</t>
  </si>
  <si>
    <t>https://www.transfermarkt.com.tr/santiago-bueno/profil/spieler/438001</t>
  </si>
  <si>
    <t>Girona FC</t>
  </si>
  <si>
    <t>Yerson</t>
  </si>
  <si>
    <t>Mosquera</t>
  </si>
  <si>
    <t>https://www.transfermarkt.com.tr/yerson-mosquera/profil/spieler/716276</t>
  </si>
  <si>
    <t>Atlético Nacional</t>
  </si>
  <si>
    <t>Bastien</t>
  </si>
  <si>
    <t>Meupiyou</t>
  </si>
  <si>
    <t>https://www.transfermarkt.com.tr/bastien-meupiyou/profil/spieler/955253</t>
  </si>
  <si>
    <t>FC Nantes</t>
  </si>
  <si>
    <t>Craig</t>
  </si>
  <si>
    <t>Dawson</t>
  </si>
  <si>
    <t>https://www.transfermarkt.com.tr/craig-dawson/profil/spieler/121477</t>
  </si>
  <si>
    <t>Rayan</t>
  </si>
  <si>
    <t>Ait-Nouri</t>
  </si>
  <si>
    <t>Cezayir</t>
  </si>
  <si>
    <t>https://www.transfermarkt.com.tr/rayan-ait-nouri/profil/spieler/578391</t>
  </si>
  <si>
    <t>Angers SCO</t>
  </si>
  <si>
    <t>Samedo</t>
  </si>
  <si>
    <t>https://www.transfermarkt.com.tr/nelson-semedo/profil/spieler/231572</t>
  </si>
  <si>
    <t>Lima</t>
  </si>
  <si>
    <t>https://www.transfermarkt.com.tr/pedro-lima/profil/spieler/1193867</t>
  </si>
  <si>
    <t>Sport Club do Recife</t>
  </si>
  <si>
    <t>Doherty</t>
  </si>
  <si>
    <t>https://www.transfermarkt.com.tr/matt-doherty/profil/spieler/171679</t>
  </si>
  <si>
    <t>https://www.transfermarkt.com.tr/andre/profil/spieler/800176</t>
  </si>
  <si>
    <t>Fluminense Football Club</t>
  </si>
  <si>
    <t>Mario</t>
  </si>
  <si>
    <t>Lemina</t>
  </si>
  <si>
    <t>Gabon</t>
  </si>
  <si>
    <t>https://www.transfermarkt.com.tr/mario-lemina/profil/spieler/170934</t>
  </si>
  <si>
    <t>https://www.transfermarkt.com.tr/boubacar-traore/profil/spieler/649020</t>
  </si>
  <si>
    <t>Gomes</t>
  </si>
  <si>
    <t>https://www.transfermarkt.com.tr/joao-gomes/profil/spieler/735570</t>
  </si>
  <si>
    <t>Jean-Ricner</t>
  </si>
  <si>
    <t>Bellegarde</t>
  </si>
  <si>
    <t>https://www.transfermarkt.com.tr/jean-ricner-bellegarde/profil/spieler/450050</t>
  </si>
  <si>
    <t>Tommy</t>
  </si>
  <si>
    <t>Doyle</t>
  </si>
  <si>
    <t>https://www.transfermarkt.com.tr/tommy-doyle/profil/spieler/433183</t>
  </si>
  <si>
    <t>Cundle</t>
  </si>
  <si>
    <t>https://www.transfermarkt.com.tr/luke-cundle/profil/spieler/532541</t>
  </si>
  <si>
    <t>Wolverhampton Wanderers U21</t>
  </si>
  <si>
    <t>https://www.transfermarkt.com.tr/rodrigo-gomes/profil/spieler/667121</t>
  </si>
  <si>
    <t>SC Braga</t>
  </si>
  <si>
    <t>Gonçalo</t>
  </si>
  <si>
    <t>Guedes</t>
  </si>
  <si>
    <t>https://www.transfermarkt.com.tr/goncalo-guedes/profil/spieler/225122</t>
  </si>
  <si>
    <t>Valencia CF</t>
  </si>
  <si>
    <t>Forbs</t>
  </si>
  <si>
    <t>https://www.transfermarkt.com.tr/carlos-forbs/profil/spieler/742451</t>
  </si>
  <si>
    <t>Enso</t>
  </si>
  <si>
    <t>Gonzalez</t>
  </si>
  <si>
    <t>https://www.transfermarkt.com.tr/enso-gonzalez/profil/spieler/1060740</t>
  </si>
  <si>
    <t>Pablo</t>
  </si>
  <si>
    <t>Sarabia</t>
  </si>
  <si>
    <t>https://www.transfermarkt.com.tr/pablo-sarabia/profil/spieler/74230</t>
  </si>
  <si>
    <t>Cunha</t>
  </si>
  <si>
    <t>https://www.transfermarkt.com.tr/matheus-cunha/profil/spieler/517894</t>
  </si>
  <si>
    <t>Jorgen Strand</t>
  </si>
  <si>
    <t>Larsen</t>
  </si>
  <si>
    <t>https://www.transfermarkt.com.tr/jorgen-strand-larsen/profil/spieler/429983</t>
  </si>
  <si>
    <t>Hee-Chan</t>
  </si>
  <si>
    <t>Hwang</t>
  </si>
  <si>
    <t>https://www.transfermarkt.com.tr/hee-chan-hwang/profil/spieler/292246</t>
  </si>
  <si>
    <t>Kalajdzic</t>
  </si>
  <si>
    <t>https://www.transfermarkt.com.tr/sasa-kalajdzic/profil/spieler/369567</t>
  </si>
  <si>
    <t>Sezon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</si>
</sst>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2" fontId="0" fillId="0" borderId="1" xfId="0" applyNumberFormat="1" applyBorder="1"/>
    <xf numFmtId="15" fontId="0" fillId="0" borderId="1" xfId="0" applyNumberFormat="1" applyBorder="1"/>
    <xf numFmtId="49" fontId="0" fillId="0" borderId="1" xfId="0" applyNumberFormat="1" applyBorder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  <xf numFmtId="1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39BF-BA4C-4604-9587-550B3EAD4FBC}">
  <dimension ref="A1:Y532"/>
  <sheetViews>
    <sheetView tabSelected="1" workbookViewId="0">
      <selection activeCell="H12" sqref="H12"/>
    </sheetView>
  </sheetViews>
  <sheetFormatPr baseColWidth="10" defaultColWidth="9.1640625" defaultRowHeight="15" x14ac:dyDescent="0.2"/>
  <cols>
    <col min="1" max="1" width="9.1640625" style="1"/>
    <col min="2" max="2" width="16.5" style="1" customWidth="1"/>
    <col min="3" max="3" width="8.5" style="1" customWidth="1"/>
    <col min="4" max="4" width="26.5" style="1" customWidth="1"/>
    <col min="5" max="5" width="4.6640625" style="1" customWidth="1"/>
    <col min="6" max="6" width="11.1640625" style="1" customWidth="1"/>
    <col min="7" max="8" width="12.33203125" style="1" customWidth="1"/>
    <col min="9" max="9" width="13.6640625" style="1" customWidth="1"/>
    <col min="10" max="10" width="15.6640625" style="1" customWidth="1"/>
    <col min="11" max="11" width="11.6640625" style="1" customWidth="1"/>
    <col min="12" max="12" width="8" style="1" customWidth="1"/>
    <col min="13" max="13" width="10.6640625" style="1" customWidth="1"/>
    <col min="14" max="14" width="6.5" style="3" customWidth="1"/>
    <col min="15" max="16" width="10" style="1" customWidth="1"/>
    <col min="17" max="17" width="6.6640625" style="3" customWidth="1"/>
    <col min="18" max="18" width="10" style="6" customWidth="1"/>
    <col min="19" max="19" width="8.6640625" style="7" customWidth="1"/>
    <col min="20" max="21" width="10.6640625" style="1" customWidth="1"/>
    <col min="22" max="22" width="5.5" style="1" customWidth="1"/>
    <col min="23" max="23" width="5.6640625" style="1" customWidth="1"/>
    <col min="24" max="24" width="5.5" style="1" customWidth="1"/>
    <col min="25" max="25" width="4.6640625" style="1" customWidth="1"/>
    <col min="26" max="16384" width="9.1640625" style="1"/>
  </cols>
  <sheetData>
    <row r="1" spans="1:25" ht="14.25" customHeight="1" x14ac:dyDescent="0.2">
      <c r="A1" s="1" t="s">
        <v>0</v>
      </c>
      <c r="B1" s="1" t="s">
        <v>1</v>
      </c>
      <c r="C1" s="1" t="s">
        <v>1707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s="1" t="s">
        <v>25</v>
      </c>
      <c r="C2" s="1" t="s">
        <v>26</v>
      </c>
      <c r="D2" s="1" t="s">
        <v>27</v>
      </c>
      <c r="E2" s="1">
        <v>22</v>
      </c>
      <c r="F2" s="1" t="s">
        <v>28</v>
      </c>
      <c r="G2" s="1" t="s">
        <v>29</v>
      </c>
      <c r="I2" s="1" t="s">
        <v>30</v>
      </c>
      <c r="J2" s="1" t="s">
        <v>30</v>
      </c>
      <c r="K2" s="1" t="s">
        <v>31</v>
      </c>
      <c r="M2" s="1" t="s">
        <v>32</v>
      </c>
      <c r="N2" s="3">
        <v>35</v>
      </c>
      <c r="O2" s="4">
        <v>45153</v>
      </c>
      <c r="P2" s="5" t="s">
        <v>33</v>
      </c>
      <c r="Q2" s="3">
        <v>30</v>
      </c>
      <c r="R2" s="6">
        <v>35.4</v>
      </c>
      <c r="S2" s="7" t="s">
        <v>34</v>
      </c>
      <c r="T2" s="4">
        <v>46934</v>
      </c>
      <c r="U2" s="4">
        <v>34957</v>
      </c>
      <c r="V2" s="4">
        <f ca="1">TODAY()</f>
        <v>45919</v>
      </c>
      <c r="W2" s="8">
        <f ca="1">(V2-U2)/365.25</f>
        <v>30.012320328542096</v>
      </c>
    </row>
    <row r="3" spans="1:25" x14ac:dyDescent="0.2">
      <c r="A3" s="1" t="s">
        <v>24</v>
      </c>
      <c r="B3" s="1" t="s">
        <v>25</v>
      </c>
      <c r="C3" s="1" t="s">
        <v>26</v>
      </c>
      <c r="D3" s="1" t="s">
        <v>27</v>
      </c>
      <c r="E3" s="1">
        <v>32</v>
      </c>
      <c r="F3" s="1" t="s">
        <v>35</v>
      </c>
      <c r="G3" s="1" t="s">
        <v>36</v>
      </c>
      <c r="I3" s="1" t="s">
        <v>37</v>
      </c>
      <c r="J3" s="1" t="s">
        <v>37</v>
      </c>
      <c r="K3" s="1" t="s">
        <v>31</v>
      </c>
      <c r="M3" s="1" t="s">
        <v>38</v>
      </c>
      <c r="N3" s="3">
        <v>2.5</v>
      </c>
      <c r="O3" s="4">
        <v>45534</v>
      </c>
      <c r="P3" s="5" t="s">
        <v>39</v>
      </c>
      <c r="Q3" s="3">
        <v>2.5</v>
      </c>
      <c r="R3" s="6" t="s">
        <v>40</v>
      </c>
      <c r="S3" s="7" t="s">
        <v>40</v>
      </c>
      <c r="T3" s="4">
        <v>45838</v>
      </c>
      <c r="U3" s="4">
        <v>32708</v>
      </c>
      <c r="V3" s="4">
        <f t="shared" ref="V3:V25" ca="1" si="0">TODAY()</f>
        <v>45919</v>
      </c>
      <c r="W3" s="8">
        <f t="shared" ref="W3:W25" ca="1" si="1">(V3-U3)/365.25</f>
        <v>36.16974674880219</v>
      </c>
    </row>
    <row r="4" spans="1:25" x14ac:dyDescent="0.2">
      <c r="A4" s="1" t="s">
        <v>24</v>
      </c>
      <c r="B4" s="1" t="s">
        <v>25</v>
      </c>
      <c r="C4" s="1" t="s">
        <v>26</v>
      </c>
      <c r="D4" s="1" t="s">
        <v>27</v>
      </c>
      <c r="E4" s="1">
        <v>2</v>
      </c>
      <c r="F4" s="1" t="s">
        <v>41</v>
      </c>
      <c r="G4" s="1" t="s">
        <v>42</v>
      </c>
      <c r="I4" s="1" t="s">
        <v>43</v>
      </c>
      <c r="J4" s="1" t="s">
        <v>43</v>
      </c>
      <c r="K4" s="1" t="s">
        <v>44</v>
      </c>
      <c r="M4" s="1" t="s">
        <v>45</v>
      </c>
      <c r="N4" s="3">
        <v>80</v>
      </c>
      <c r="O4" s="4">
        <v>43671</v>
      </c>
      <c r="P4" s="9" t="s">
        <v>46</v>
      </c>
      <c r="Q4" s="3">
        <v>12</v>
      </c>
      <c r="R4" s="6">
        <v>30</v>
      </c>
      <c r="S4" s="7" t="s">
        <v>34</v>
      </c>
      <c r="T4" s="4">
        <v>46568</v>
      </c>
      <c r="U4" s="4">
        <v>36974</v>
      </c>
      <c r="V4" s="4">
        <f t="shared" ca="1" si="0"/>
        <v>45919</v>
      </c>
      <c r="W4" s="8">
        <f t="shared" ca="1" si="1"/>
        <v>24.490075290896645</v>
      </c>
    </row>
    <row r="5" spans="1:25" x14ac:dyDescent="0.2">
      <c r="A5" s="1" t="s">
        <v>24</v>
      </c>
      <c r="B5" s="1" t="s">
        <v>25</v>
      </c>
      <c r="C5" s="1" t="s">
        <v>26</v>
      </c>
      <c r="D5" s="1" t="s">
        <v>27</v>
      </c>
      <c r="E5" s="1">
        <v>6</v>
      </c>
      <c r="F5" s="1" t="s">
        <v>47</v>
      </c>
      <c r="G5" s="1" t="s">
        <v>48</v>
      </c>
      <c r="I5" s="1" t="s">
        <v>37</v>
      </c>
      <c r="J5" s="1" t="s">
        <v>37</v>
      </c>
      <c r="K5" s="1" t="s">
        <v>44</v>
      </c>
      <c r="M5" s="1" t="s">
        <v>49</v>
      </c>
      <c r="N5" s="3">
        <v>75</v>
      </c>
      <c r="O5" s="4">
        <v>44075</v>
      </c>
      <c r="P5" s="1" t="s">
        <v>492</v>
      </c>
      <c r="Q5" s="3">
        <v>20</v>
      </c>
      <c r="R5" s="6">
        <v>26</v>
      </c>
      <c r="S5" s="7" t="s">
        <v>34</v>
      </c>
      <c r="T5" s="4">
        <v>46568</v>
      </c>
      <c r="U5" s="4">
        <v>35783</v>
      </c>
      <c r="V5" s="4">
        <f t="shared" ca="1" si="0"/>
        <v>45919</v>
      </c>
      <c r="W5" s="8">
        <f ca="1">(V5-U5)/365.25</f>
        <v>27.750855578370977</v>
      </c>
    </row>
    <row r="6" spans="1:25" x14ac:dyDescent="0.2">
      <c r="A6" s="1" t="s">
        <v>24</v>
      </c>
      <c r="B6" s="1" t="s">
        <v>25</v>
      </c>
      <c r="C6" s="1" t="s">
        <v>26</v>
      </c>
      <c r="D6" s="1" t="s">
        <v>27</v>
      </c>
      <c r="E6" s="1">
        <v>12</v>
      </c>
      <c r="F6" s="1" t="s">
        <v>50</v>
      </c>
      <c r="G6" s="1" t="s">
        <v>51</v>
      </c>
      <c r="I6" s="1" t="s">
        <v>52</v>
      </c>
      <c r="J6" s="1" t="s">
        <v>52</v>
      </c>
      <c r="K6" s="1" t="s">
        <v>44</v>
      </c>
      <c r="M6" s="1" t="s">
        <v>53</v>
      </c>
      <c r="N6" s="3">
        <v>38</v>
      </c>
      <c r="O6" s="4">
        <v>45121</v>
      </c>
      <c r="P6" s="5" t="s">
        <v>54</v>
      </c>
      <c r="Q6" s="3">
        <v>42</v>
      </c>
      <c r="R6" s="6">
        <v>40</v>
      </c>
      <c r="S6" s="7" t="s">
        <v>34</v>
      </c>
      <c r="T6" s="4">
        <v>46934</v>
      </c>
      <c r="U6" s="4">
        <v>37059</v>
      </c>
      <c r="V6" s="4">
        <f t="shared" ca="1" si="0"/>
        <v>45919</v>
      </c>
      <c r="W6" s="8">
        <f t="shared" ca="1" si="1"/>
        <v>24.257357973990416</v>
      </c>
    </row>
    <row r="7" spans="1:25" x14ac:dyDescent="0.2">
      <c r="A7" s="1" t="s">
        <v>24</v>
      </c>
      <c r="B7" s="1" t="s">
        <v>25</v>
      </c>
      <c r="C7" s="1" t="s">
        <v>26</v>
      </c>
      <c r="D7" s="1" t="s">
        <v>27</v>
      </c>
      <c r="E7" s="1">
        <v>15</v>
      </c>
      <c r="F7" s="1" t="s">
        <v>55</v>
      </c>
      <c r="G7" s="1" t="s">
        <v>56</v>
      </c>
      <c r="I7" s="1" t="s">
        <v>57</v>
      </c>
      <c r="J7" s="1" t="s">
        <v>57</v>
      </c>
      <c r="K7" s="1" t="s">
        <v>44</v>
      </c>
      <c r="M7" s="1" t="s">
        <v>58</v>
      </c>
      <c r="N7" s="3">
        <v>30</v>
      </c>
      <c r="O7" s="4">
        <v>44949</v>
      </c>
      <c r="P7" s="5" t="s">
        <v>59</v>
      </c>
      <c r="Q7" s="3">
        <v>8</v>
      </c>
      <c r="R7" s="6">
        <v>19.5</v>
      </c>
      <c r="S7" s="7" t="s">
        <v>34</v>
      </c>
      <c r="T7" s="4">
        <v>46934</v>
      </c>
      <c r="U7" s="4">
        <v>36571</v>
      </c>
      <c r="V7" s="4">
        <f t="shared" ca="1" si="0"/>
        <v>45919</v>
      </c>
      <c r="W7" s="8">
        <f ca="1">(V7-U7)/365.25</f>
        <v>25.593429158110883</v>
      </c>
    </row>
    <row r="8" spans="1:25" x14ac:dyDescent="0.2">
      <c r="A8" s="1" t="s">
        <v>24</v>
      </c>
      <c r="B8" s="1" t="s">
        <v>25</v>
      </c>
      <c r="C8" s="1" t="s">
        <v>26</v>
      </c>
      <c r="D8" s="1" t="s">
        <v>27</v>
      </c>
      <c r="E8" s="1">
        <v>33</v>
      </c>
      <c r="F8" s="1" t="s">
        <v>60</v>
      </c>
      <c r="G8" s="1" t="s">
        <v>61</v>
      </c>
      <c r="I8" s="1" t="s">
        <v>62</v>
      </c>
      <c r="J8" s="1" t="s">
        <v>62</v>
      </c>
      <c r="K8" s="1" t="s">
        <v>63</v>
      </c>
      <c r="M8" s="1" t="s">
        <v>64</v>
      </c>
      <c r="N8" s="3">
        <v>45</v>
      </c>
      <c r="O8" s="4">
        <v>45502</v>
      </c>
      <c r="P8" s="5" t="s">
        <v>65</v>
      </c>
      <c r="Q8" s="3">
        <v>45</v>
      </c>
      <c r="R8" s="6">
        <v>45</v>
      </c>
      <c r="S8" s="7" t="s">
        <v>66</v>
      </c>
      <c r="T8" s="4">
        <v>47299</v>
      </c>
      <c r="U8" s="4">
        <v>37395</v>
      </c>
      <c r="V8" s="4">
        <f t="shared" ca="1" si="0"/>
        <v>45919</v>
      </c>
      <c r="W8" s="8">
        <f t="shared" ca="1" si="1"/>
        <v>23.337440109514031</v>
      </c>
    </row>
    <row r="9" spans="1:25" x14ac:dyDescent="0.2">
      <c r="A9" s="1" t="s">
        <v>24</v>
      </c>
      <c r="B9" s="1" t="s">
        <v>25</v>
      </c>
      <c r="C9" s="1" t="s">
        <v>26</v>
      </c>
      <c r="D9" s="1" t="s">
        <v>27</v>
      </c>
      <c r="E9" s="1">
        <v>17</v>
      </c>
      <c r="F9" s="1" t="s">
        <v>67</v>
      </c>
      <c r="G9" s="1" t="s">
        <v>68</v>
      </c>
      <c r="I9" s="1" t="s">
        <v>69</v>
      </c>
      <c r="J9" s="1" t="s">
        <v>69</v>
      </c>
      <c r="K9" s="1" t="s">
        <v>63</v>
      </c>
      <c r="M9" s="1" t="s">
        <v>70</v>
      </c>
      <c r="N9" s="3">
        <v>35</v>
      </c>
      <c r="O9" s="4">
        <v>44764</v>
      </c>
      <c r="P9" s="5" t="s">
        <v>71</v>
      </c>
      <c r="Q9" s="3">
        <v>25</v>
      </c>
      <c r="R9" s="6">
        <v>35</v>
      </c>
      <c r="S9" s="7" t="s">
        <v>34</v>
      </c>
      <c r="T9" s="4">
        <v>46203</v>
      </c>
      <c r="U9" s="4">
        <v>35414</v>
      </c>
      <c r="V9" s="4">
        <f t="shared" ca="1" si="0"/>
        <v>45919</v>
      </c>
      <c r="W9" s="8">
        <f t="shared" ca="1" si="1"/>
        <v>28.761122518822724</v>
      </c>
    </row>
    <row r="10" spans="1:25" x14ac:dyDescent="0.2">
      <c r="A10" s="1" t="s">
        <v>24</v>
      </c>
      <c r="B10" s="1" t="s">
        <v>25</v>
      </c>
      <c r="C10" s="1" t="s">
        <v>26</v>
      </c>
      <c r="D10" s="1" t="s">
        <v>27</v>
      </c>
      <c r="E10" s="1">
        <v>3</v>
      </c>
      <c r="F10" s="1" t="s">
        <v>72</v>
      </c>
      <c r="G10" s="1" t="s">
        <v>73</v>
      </c>
      <c r="I10" s="1" t="s">
        <v>74</v>
      </c>
      <c r="J10" s="1" t="s">
        <v>75</v>
      </c>
      <c r="K10" s="1" t="s">
        <v>63</v>
      </c>
      <c r="M10" s="1" t="s">
        <v>76</v>
      </c>
      <c r="N10" s="3">
        <v>10</v>
      </c>
      <c r="O10" s="4">
        <v>43685</v>
      </c>
      <c r="P10" s="5" t="s">
        <v>77</v>
      </c>
      <c r="Q10" s="3">
        <v>12.5</v>
      </c>
      <c r="R10" s="6">
        <v>27</v>
      </c>
      <c r="S10" s="7" t="s">
        <v>34</v>
      </c>
      <c r="T10" s="4">
        <v>46203</v>
      </c>
      <c r="U10" s="4">
        <v>35586</v>
      </c>
      <c r="V10" s="4">
        <f t="shared" ca="1" si="0"/>
        <v>45919</v>
      </c>
      <c r="W10" s="8">
        <f ca="1">(V10-U10)/365.25</f>
        <v>28.290212183436001</v>
      </c>
    </row>
    <row r="11" spans="1:25" x14ac:dyDescent="0.2">
      <c r="A11" s="1" t="s">
        <v>24</v>
      </c>
      <c r="B11" s="1" t="s">
        <v>25</v>
      </c>
      <c r="C11" s="1" t="s">
        <v>26</v>
      </c>
      <c r="D11" s="1" t="s">
        <v>27</v>
      </c>
      <c r="E11" s="1">
        <v>4</v>
      </c>
      <c r="F11" s="1" t="s">
        <v>78</v>
      </c>
      <c r="G11" s="1" t="s">
        <v>79</v>
      </c>
      <c r="I11" s="1" t="s">
        <v>24</v>
      </c>
      <c r="J11" s="1" t="s">
        <v>24</v>
      </c>
      <c r="K11" s="1" t="s">
        <v>80</v>
      </c>
      <c r="M11" s="1" t="s">
        <v>81</v>
      </c>
      <c r="N11" s="3">
        <v>55</v>
      </c>
      <c r="O11" s="4">
        <v>44407</v>
      </c>
      <c r="P11" s="5" t="s">
        <v>82</v>
      </c>
      <c r="Q11" s="3">
        <v>28</v>
      </c>
      <c r="R11" s="6">
        <v>58.5</v>
      </c>
      <c r="S11" s="7" t="s">
        <v>34</v>
      </c>
      <c r="T11" s="4">
        <v>46934</v>
      </c>
      <c r="U11" s="4">
        <v>35711</v>
      </c>
      <c r="V11" s="4">
        <f t="shared" ca="1" si="0"/>
        <v>45919</v>
      </c>
      <c r="W11" s="8">
        <f t="shared" ca="1" si="1"/>
        <v>27.94798083504449</v>
      </c>
    </row>
    <row r="12" spans="1:25" x14ac:dyDescent="0.2">
      <c r="A12" s="1" t="s">
        <v>24</v>
      </c>
      <c r="B12" s="1" t="s">
        <v>25</v>
      </c>
      <c r="C12" s="1" t="s">
        <v>26</v>
      </c>
      <c r="D12" s="1" t="s">
        <v>27</v>
      </c>
      <c r="E12" s="1">
        <v>18</v>
      </c>
      <c r="F12" s="1" t="s">
        <v>83</v>
      </c>
      <c r="G12" s="1" t="s">
        <v>84</v>
      </c>
      <c r="I12" s="1" t="s">
        <v>85</v>
      </c>
      <c r="J12" s="1" t="s">
        <v>85</v>
      </c>
      <c r="K12" s="1" t="s">
        <v>80</v>
      </c>
      <c r="M12" s="1" t="s">
        <v>86</v>
      </c>
      <c r="N12" s="3">
        <v>35</v>
      </c>
      <c r="O12" s="4">
        <v>44439</v>
      </c>
      <c r="P12" s="5" t="s">
        <v>65</v>
      </c>
      <c r="Q12" s="3">
        <v>20</v>
      </c>
      <c r="R12" s="6">
        <v>18.600000000000001</v>
      </c>
      <c r="S12" s="7" t="s">
        <v>34</v>
      </c>
      <c r="T12" s="4">
        <v>46203</v>
      </c>
      <c r="U12" s="4">
        <v>36104</v>
      </c>
      <c r="V12" s="4">
        <f t="shared" ca="1" si="0"/>
        <v>45919</v>
      </c>
      <c r="W12" s="8">
        <f t="shared" ca="1" si="1"/>
        <v>26.872005475701574</v>
      </c>
    </row>
    <row r="13" spans="1:25" x14ac:dyDescent="0.2">
      <c r="A13" s="1" t="s">
        <v>24</v>
      </c>
      <c r="B13" s="1" t="s">
        <v>25</v>
      </c>
      <c r="C13" s="1" t="s">
        <v>26</v>
      </c>
      <c r="D13" s="1" t="s">
        <v>27</v>
      </c>
      <c r="E13" s="1">
        <v>41</v>
      </c>
      <c r="F13" s="1" t="s">
        <v>87</v>
      </c>
      <c r="G13" s="1" t="s">
        <v>88</v>
      </c>
      <c r="I13" s="1" t="s">
        <v>24</v>
      </c>
      <c r="J13" s="1" t="s">
        <v>24</v>
      </c>
      <c r="K13" s="1" t="s">
        <v>89</v>
      </c>
      <c r="M13" s="1" t="s">
        <v>90</v>
      </c>
      <c r="N13" s="3">
        <v>120</v>
      </c>
      <c r="O13" s="4">
        <v>45122</v>
      </c>
      <c r="P13" s="5" t="s">
        <v>91</v>
      </c>
      <c r="Q13" s="3">
        <v>90</v>
      </c>
      <c r="R13" s="6">
        <v>116.6</v>
      </c>
      <c r="S13" s="7" t="s">
        <v>34</v>
      </c>
      <c r="T13" s="4">
        <v>46934</v>
      </c>
      <c r="U13" s="4">
        <v>36174</v>
      </c>
      <c r="V13" s="4">
        <f t="shared" ca="1" si="0"/>
        <v>45919</v>
      </c>
      <c r="W13" s="8">
        <f ca="1">(V13-U13)/365.25</f>
        <v>26.680355920602327</v>
      </c>
    </row>
    <row r="14" spans="1:25" x14ac:dyDescent="0.2">
      <c r="A14" s="1" t="s">
        <v>24</v>
      </c>
      <c r="B14" s="1" t="s">
        <v>25</v>
      </c>
      <c r="C14" s="1" t="s">
        <v>26</v>
      </c>
      <c r="D14" s="1" t="s">
        <v>27</v>
      </c>
      <c r="E14" s="1">
        <v>5</v>
      </c>
      <c r="F14" s="1" t="s">
        <v>92</v>
      </c>
      <c r="G14" s="1" t="s">
        <v>93</v>
      </c>
      <c r="I14" s="1" t="s">
        <v>94</v>
      </c>
      <c r="J14" s="1" t="s">
        <v>94</v>
      </c>
      <c r="K14" s="1" t="s">
        <v>95</v>
      </c>
      <c r="M14" s="1" t="s">
        <v>96</v>
      </c>
      <c r="N14" s="3">
        <v>18</v>
      </c>
      <c r="O14" s="4">
        <v>44109</v>
      </c>
      <c r="P14" s="5" t="s">
        <v>97</v>
      </c>
      <c r="Q14" s="3">
        <v>40</v>
      </c>
      <c r="R14" s="6">
        <v>50</v>
      </c>
      <c r="S14" s="7" t="s">
        <v>98</v>
      </c>
      <c r="T14" s="4">
        <v>45838</v>
      </c>
      <c r="U14" s="4">
        <v>34133</v>
      </c>
      <c r="V14" s="4">
        <f t="shared" ca="1" si="0"/>
        <v>45919</v>
      </c>
      <c r="W14" s="8">
        <f t="shared" ref="W14" ca="1" si="2">(V14-U14)/365.25</f>
        <v>32.268309377138948</v>
      </c>
    </row>
    <row r="15" spans="1:25" x14ac:dyDescent="0.2">
      <c r="A15" s="1" t="s">
        <v>24</v>
      </c>
      <c r="B15" s="1" t="s">
        <v>25</v>
      </c>
      <c r="C15" s="1" t="s">
        <v>26</v>
      </c>
      <c r="D15" s="1" t="s">
        <v>27</v>
      </c>
      <c r="E15" s="1">
        <v>20</v>
      </c>
      <c r="F15" s="1" t="s">
        <v>35</v>
      </c>
      <c r="G15" s="1" t="s">
        <v>99</v>
      </c>
      <c r="I15" s="1" t="s">
        <v>37</v>
      </c>
      <c r="J15" s="1" t="s">
        <v>62</v>
      </c>
      <c r="K15" s="1" t="s">
        <v>95</v>
      </c>
      <c r="M15" s="1" t="s">
        <v>100</v>
      </c>
      <c r="N15" s="3">
        <v>12</v>
      </c>
      <c r="O15" s="4">
        <v>44957</v>
      </c>
      <c r="P15" s="5" t="s">
        <v>101</v>
      </c>
      <c r="Q15" s="3">
        <v>35</v>
      </c>
      <c r="R15" s="6">
        <v>11.3</v>
      </c>
      <c r="S15" s="7" t="s">
        <v>98</v>
      </c>
      <c r="T15" s="4">
        <v>45838</v>
      </c>
      <c r="U15" s="4">
        <v>33592</v>
      </c>
      <c r="V15" s="4">
        <f t="shared" ca="1" si="0"/>
        <v>45919</v>
      </c>
      <c r="W15" s="8">
        <f t="shared" ca="1" si="1"/>
        <v>33.74948665297741</v>
      </c>
    </row>
    <row r="16" spans="1:25" x14ac:dyDescent="0.2">
      <c r="A16" s="1" t="s">
        <v>24</v>
      </c>
      <c r="B16" s="1" t="s">
        <v>25</v>
      </c>
      <c r="C16" s="1" t="s">
        <v>26</v>
      </c>
      <c r="D16" s="1" t="s">
        <v>27</v>
      </c>
      <c r="E16" s="1">
        <v>49</v>
      </c>
      <c r="F16" s="1" t="s">
        <v>102</v>
      </c>
      <c r="G16" s="1" t="s">
        <v>103</v>
      </c>
      <c r="I16" s="1" t="s">
        <v>24</v>
      </c>
      <c r="J16" s="1" t="s">
        <v>24</v>
      </c>
      <c r="K16" s="1" t="s">
        <v>95</v>
      </c>
      <c r="M16" s="1" t="s">
        <v>104</v>
      </c>
      <c r="N16" s="3">
        <v>5</v>
      </c>
      <c r="O16" s="4">
        <v>45474</v>
      </c>
      <c r="P16" s="5" t="s">
        <v>105</v>
      </c>
      <c r="Q16" s="3">
        <v>2</v>
      </c>
      <c r="R16" s="6">
        <v>0</v>
      </c>
      <c r="S16" s="7" t="s">
        <v>98</v>
      </c>
      <c r="T16" s="4" t="s">
        <v>35</v>
      </c>
      <c r="U16" s="4">
        <v>38986</v>
      </c>
      <c r="V16" s="4">
        <f t="shared" ca="1" si="0"/>
        <v>45919</v>
      </c>
      <c r="W16" s="8">
        <f ca="1">(V16-U16)/365.25</f>
        <v>18.981519507186857</v>
      </c>
    </row>
    <row r="17" spans="1:23" x14ac:dyDescent="0.2">
      <c r="A17" s="1" t="s">
        <v>24</v>
      </c>
      <c r="B17" s="1" t="s">
        <v>25</v>
      </c>
      <c r="C17" s="1" t="s">
        <v>26</v>
      </c>
      <c r="D17" s="1" t="s">
        <v>27</v>
      </c>
      <c r="E17" s="1">
        <v>23</v>
      </c>
      <c r="F17" s="1" t="s">
        <v>106</v>
      </c>
      <c r="G17" s="1" t="s">
        <v>107</v>
      </c>
      <c r="I17" s="1" t="s">
        <v>30</v>
      </c>
      <c r="J17" s="1" t="s">
        <v>30</v>
      </c>
      <c r="K17" s="1" t="s">
        <v>89</v>
      </c>
      <c r="M17" s="1" t="s">
        <v>108</v>
      </c>
      <c r="N17" s="3">
        <v>50</v>
      </c>
      <c r="O17" s="4">
        <v>45531</v>
      </c>
      <c r="P17" s="7" t="s">
        <v>109</v>
      </c>
      <c r="Q17" s="3">
        <v>50</v>
      </c>
      <c r="R17" s="6">
        <v>32</v>
      </c>
      <c r="S17" s="7" t="s">
        <v>66</v>
      </c>
      <c r="T17" s="4">
        <v>46934</v>
      </c>
      <c r="U17" s="4">
        <v>35238</v>
      </c>
      <c r="V17" s="4">
        <f t="shared" ca="1" si="0"/>
        <v>45919</v>
      </c>
      <c r="W17" s="8">
        <f ca="1">(V17-U17)/365.25</f>
        <v>29.242984257357975</v>
      </c>
    </row>
    <row r="18" spans="1:23" x14ac:dyDescent="0.2">
      <c r="A18" s="1" t="s">
        <v>24</v>
      </c>
      <c r="B18" s="1" t="s">
        <v>25</v>
      </c>
      <c r="C18" s="1" t="s">
        <v>26</v>
      </c>
      <c r="D18" s="1" t="s">
        <v>27</v>
      </c>
      <c r="E18" s="1">
        <v>8</v>
      </c>
      <c r="F18" s="1" t="s">
        <v>110</v>
      </c>
      <c r="G18" s="1" t="s">
        <v>111</v>
      </c>
      <c r="I18" s="1" t="s">
        <v>112</v>
      </c>
      <c r="J18" s="1" t="s">
        <v>112</v>
      </c>
      <c r="K18" s="1" t="s">
        <v>113</v>
      </c>
      <c r="M18" s="1" t="s">
        <v>114</v>
      </c>
      <c r="N18" s="3">
        <v>110</v>
      </c>
      <c r="O18" s="4">
        <v>44213</v>
      </c>
      <c r="P18" s="5" t="s">
        <v>115</v>
      </c>
      <c r="Q18" s="3">
        <v>40</v>
      </c>
      <c r="R18" s="6">
        <v>37</v>
      </c>
      <c r="S18" s="7" t="s">
        <v>34</v>
      </c>
      <c r="T18" s="4">
        <v>46934</v>
      </c>
      <c r="U18" s="4">
        <v>36146</v>
      </c>
      <c r="V18" s="4">
        <f t="shared" ca="1" si="0"/>
        <v>45919</v>
      </c>
      <c r="W18" s="8">
        <f ca="1">(V18-U18)/365.25</f>
        <v>26.757015742642025</v>
      </c>
    </row>
    <row r="19" spans="1:23" x14ac:dyDescent="0.2">
      <c r="A19" s="1" t="s">
        <v>24</v>
      </c>
      <c r="B19" s="1" t="s">
        <v>25</v>
      </c>
      <c r="C19" s="1" t="s">
        <v>26</v>
      </c>
      <c r="D19" s="1" t="s">
        <v>27</v>
      </c>
      <c r="E19" s="1">
        <v>53</v>
      </c>
      <c r="F19" s="1" t="s">
        <v>116</v>
      </c>
      <c r="G19" s="1" t="s">
        <v>117</v>
      </c>
      <c r="I19" s="1" t="s">
        <v>24</v>
      </c>
      <c r="J19" s="1" t="s">
        <v>24</v>
      </c>
      <c r="K19" s="1" t="s">
        <v>113</v>
      </c>
      <c r="M19" s="1" t="s">
        <v>118</v>
      </c>
      <c r="N19" s="3">
        <v>12</v>
      </c>
      <c r="O19" s="4">
        <v>45474</v>
      </c>
      <c r="P19" s="1" t="s">
        <v>105</v>
      </c>
      <c r="Q19" s="3">
        <v>8</v>
      </c>
      <c r="R19" s="6">
        <v>0</v>
      </c>
      <c r="S19" s="7" t="s">
        <v>98</v>
      </c>
      <c r="T19" s="4" t="s">
        <v>35</v>
      </c>
      <c r="U19" s="4">
        <v>39162</v>
      </c>
      <c r="V19" s="4">
        <f t="shared" ca="1" si="0"/>
        <v>45919</v>
      </c>
      <c r="W19" s="8">
        <f ca="1">(V19-U19)/365.25</f>
        <v>18.499657768651609</v>
      </c>
    </row>
    <row r="20" spans="1:23" x14ac:dyDescent="0.2">
      <c r="A20" s="1" t="s">
        <v>24</v>
      </c>
      <c r="B20" s="1" t="s">
        <v>25</v>
      </c>
      <c r="C20" s="1" t="s">
        <v>26</v>
      </c>
      <c r="D20" s="1" t="s">
        <v>27</v>
      </c>
      <c r="E20" s="1">
        <v>11</v>
      </c>
      <c r="F20" s="1" t="s">
        <v>47</v>
      </c>
      <c r="G20" s="1" t="s">
        <v>119</v>
      </c>
      <c r="I20" s="1" t="s">
        <v>37</v>
      </c>
      <c r="J20" s="1" t="s">
        <v>37</v>
      </c>
      <c r="K20" s="1" t="s">
        <v>120</v>
      </c>
      <c r="M20" s="1" t="s">
        <v>121</v>
      </c>
      <c r="N20" s="3">
        <v>60</v>
      </c>
      <c r="O20" s="4">
        <v>43648</v>
      </c>
      <c r="P20" s="1" t="s">
        <v>122</v>
      </c>
      <c r="Q20" s="3">
        <v>0</v>
      </c>
      <c r="R20" s="6">
        <v>7.1</v>
      </c>
      <c r="S20" s="7" t="s">
        <v>34</v>
      </c>
      <c r="T20" s="4">
        <v>46568</v>
      </c>
      <c r="U20" s="4">
        <v>37060</v>
      </c>
      <c r="V20" s="4">
        <f t="shared" ca="1" si="0"/>
        <v>45919</v>
      </c>
      <c r="W20" s="8">
        <f t="shared" ca="1" si="1"/>
        <v>24.254620123203285</v>
      </c>
    </row>
    <row r="21" spans="1:23" x14ac:dyDescent="0.2">
      <c r="A21" s="1" t="s">
        <v>24</v>
      </c>
      <c r="B21" s="1" t="s">
        <v>25</v>
      </c>
      <c r="C21" s="1" t="s">
        <v>26</v>
      </c>
      <c r="D21" s="1" t="s">
        <v>27</v>
      </c>
      <c r="E21" s="1">
        <v>19</v>
      </c>
      <c r="F21" s="1" t="s">
        <v>123</v>
      </c>
      <c r="G21" s="1" t="s">
        <v>124</v>
      </c>
      <c r="I21" s="1" t="s">
        <v>125</v>
      </c>
      <c r="J21" s="1" t="s">
        <v>125</v>
      </c>
      <c r="K21" s="1" t="s">
        <v>120</v>
      </c>
      <c r="M21" s="1" t="s">
        <v>126</v>
      </c>
      <c r="N21" s="3">
        <v>35</v>
      </c>
      <c r="O21" s="4">
        <v>44946</v>
      </c>
      <c r="P21" s="5" t="s">
        <v>82</v>
      </c>
      <c r="Q21" s="3">
        <v>30</v>
      </c>
      <c r="R21" s="6">
        <v>24</v>
      </c>
      <c r="S21" s="7" t="s">
        <v>34</v>
      </c>
      <c r="T21" s="4">
        <v>46203</v>
      </c>
      <c r="U21" s="4">
        <v>34672</v>
      </c>
      <c r="V21" s="4">
        <f t="shared" ca="1" si="0"/>
        <v>45919</v>
      </c>
      <c r="W21" s="8">
        <f t="shared" ca="1" si="1"/>
        <v>30.792607802874745</v>
      </c>
    </row>
    <row r="22" spans="1:23" x14ac:dyDescent="0.2">
      <c r="A22" s="1" t="s">
        <v>24</v>
      </c>
      <c r="B22" s="1" t="s">
        <v>25</v>
      </c>
      <c r="C22" s="1" t="s">
        <v>26</v>
      </c>
      <c r="D22" s="1" t="s">
        <v>27</v>
      </c>
      <c r="E22" s="1">
        <v>30</v>
      </c>
      <c r="F22" s="1" t="s">
        <v>127</v>
      </c>
      <c r="G22" s="1" t="s">
        <v>128</v>
      </c>
      <c r="I22" s="1" t="s">
        <v>129</v>
      </c>
      <c r="J22" s="1" t="s">
        <v>24</v>
      </c>
      <c r="K22" s="1" t="s">
        <v>120</v>
      </c>
      <c r="M22" s="1" t="s">
        <v>130</v>
      </c>
      <c r="N22" s="3">
        <v>35</v>
      </c>
      <c r="O22" s="4">
        <v>45534</v>
      </c>
      <c r="P22" s="5" t="s">
        <v>101</v>
      </c>
      <c r="Q22" s="3">
        <v>35</v>
      </c>
      <c r="R22" s="6" t="s">
        <v>40</v>
      </c>
      <c r="S22" s="7" t="s">
        <v>40</v>
      </c>
      <c r="T22" s="4">
        <v>45838</v>
      </c>
      <c r="U22" s="4">
        <v>34676</v>
      </c>
      <c r="V22" s="4">
        <f t="shared" ca="1" si="0"/>
        <v>45919</v>
      </c>
      <c r="W22" s="8">
        <f t="shared" ca="1" si="1"/>
        <v>30.781656399726216</v>
      </c>
    </row>
    <row r="23" spans="1:23" x14ac:dyDescent="0.2">
      <c r="A23" s="1" t="s">
        <v>24</v>
      </c>
      <c r="B23" s="1" t="s">
        <v>25</v>
      </c>
      <c r="C23" s="1" t="s">
        <v>26</v>
      </c>
      <c r="D23" s="1" t="s">
        <v>27</v>
      </c>
      <c r="E23" s="1">
        <v>7</v>
      </c>
      <c r="F23" s="1" t="s">
        <v>131</v>
      </c>
      <c r="G23" s="1" t="s">
        <v>132</v>
      </c>
      <c r="I23" s="1" t="s">
        <v>24</v>
      </c>
      <c r="J23" s="1" t="s">
        <v>24</v>
      </c>
      <c r="K23" s="1" t="s">
        <v>133</v>
      </c>
      <c r="M23" s="1" t="s">
        <v>134</v>
      </c>
      <c r="N23" s="3">
        <v>140</v>
      </c>
      <c r="O23" s="4">
        <v>43647</v>
      </c>
      <c r="P23" s="5" t="s">
        <v>135</v>
      </c>
      <c r="Q23" s="3">
        <v>0</v>
      </c>
      <c r="R23" s="6">
        <v>0</v>
      </c>
      <c r="S23" s="7" t="s">
        <v>34</v>
      </c>
      <c r="T23" s="4">
        <v>46568</v>
      </c>
      <c r="U23" s="4">
        <v>37139</v>
      </c>
      <c r="V23" s="4">
        <f t="shared" ca="1" si="0"/>
        <v>45919</v>
      </c>
      <c r="W23" s="8">
        <f t="shared" ca="1" si="1"/>
        <v>24.038329911019851</v>
      </c>
    </row>
    <row r="24" spans="1:23" x14ac:dyDescent="0.2">
      <c r="A24" s="1" t="s">
        <v>24</v>
      </c>
      <c r="B24" s="1" t="s">
        <v>25</v>
      </c>
      <c r="C24" s="1" t="s">
        <v>26</v>
      </c>
      <c r="D24" s="1" t="s">
        <v>27</v>
      </c>
      <c r="E24" s="1">
        <v>29</v>
      </c>
      <c r="F24" s="1" t="s">
        <v>136</v>
      </c>
      <c r="G24" s="1" t="s">
        <v>137</v>
      </c>
      <c r="I24" s="1" t="s">
        <v>138</v>
      </c>
      <c r="J24" s="1" t="s">
        <v>138</v>
      </c>
      <c r="K24" s="1" t="s">
        <v>139</v>
      </c>
      <c r="M24" s="1" t="s">
        <v>140</v>
      </c>
      <c r="N24" s="3">
        <v>75</v>
      </c>
      <c r="O24" s="4">
        <v>45108</v>
      </c>
      <c r="P24" s="5" t="s">
        <v>101</v>
      </c>
      <c r="Q24" s="3">
        <v>55</v>
      </c>
      <c r="R24" s="6">
        <v>75</v>
      </c>
      <c r="S24" s="7" t="s">
        <v>34</v>
      </c>
      <c r="T24" s="4">
        <v>46934</v>
      </c>
      <c r="U24" s="4">
        <v>36322</v>
      </c>
      <c r="V24" s="4">
        <f t="shared" ca="1" si="0"/>
        <v>45919</v>
      </c>
      <c r="W24" s="8">
        <f ca="1">(V24-U24)/365.25</f>
        <v>26.275154004106778</v>
      </c>
    </row>
    <row r="25" spans="1:23" x14ac:dyDescent="0.2">
      <c r="A25" s="1" t="s">
        <v>24</v>
      </c>
      <c r="B25" s="1" t="s">
        <v>25</v>
      </c>
      <c r="C25" s="1" t="s">
        <v>26</v>
      </c>
      <c r="D25" s="1" t="s">
        <v>27</v>
      </c>
      <c r="E25" s="1">
        <v>9</v>
      </c>
      <c r="F25" s="1" t="s">
        <v>47</v>
      </c>
      <c r="G25" s="1" t="s">
        <v>141</v>
      </c>
      <c r="I25" s="1" t="s">
        <v>37</v>
      </c>
      <c r="J25" s="1" t="s">
        <v>37</v>
      </c>
      <c r="K25" s="1" t="s">
        <v>139</v>
      </c>
      <c r="M25" s="1" t="s">
        <v>142</v>
      </c>
      <c r="N25" s="3">
        <v>55</v>
      </c>
      <c r="O25" s="4">
        <v>44746</v>
      </c>
      <c r="P25" s="1" t="s">
        <v>71</v>
      </c>
      <c r="Q25" s="3">
        <v>50</v>
      </c>
      <c r="R25" s="6">
        <v>52.2</v>
      </c>
      <c r="S25" s="7" t="s">
        <v>34</v>
      </c>
      <c r="T25" s="4">
        <v>46568</v>
      </c>
      <c r="U25" s="4">
        <v>35523</v>
      </c>
      <c r="V25" s="4">
        <f t="shared" ca="1" si="0"/>
        <v>45919</v>
      </c>
      <c r="W25" s="8">
        <f t="shared" ca="1" si="1"/>
        <v>28.462696783025326</v>
      </c>
    </row>
    <row r="26" spans="1:23" x14ac:dyDescent="0.2">
      <c r="A26" s="1" t="s">
        <v>24</v>
      </c>
      <c r="B26" s="1" t="s">
        <v>25</v>
      </c>
      <c r="C26" s="1" t="s">
        <v>26</v>
      </c>
      <c r="D26" s="1" t="s">
        <v>143</v>
      </c>
      <c r="E26" s="1">
        <v>23</v>
      </c>
      <c r="F26" s="1" t="s">
        <v>144</v>
      </c>
      <c r="G26" s="1" t="s">
        <v>145</v>
      </c>
      <c r="I26" s="1" t="s">
        <v>146</v>
      </c>
      <c r="J26" s="1" t="s">
        <v>146</v>
      </c>
      <c r="K26" s="1" t="s">
        <v>31</v>
      </c>
      <c r="M26" s="1" t="s">
        <v>147</v>
      </c>
      <c r="N26" s="3">
        <v>28</v>
      </c>
      <c r="O26" s="4">
        <v>44090</v>
      </c>
      <c r="P26" s="5" t="s">
        <v>27</v>
      </c>
      <c r="Q26" s="3">
        <v>8</v>
      </c>
      <c r="R26" s="6">
        <v>17.399999999999999</v>
      </c>
      <c r="S26" s="7" t="s">
        <v>34</v>
      </c>
      <c r="T26" s="4">
        <v>47299</v>
      </c>
      <c r="U26" s="4">
        <v>33849</v>
      </c>
      <c r="V26" s="4">
        <f ca="1">TODAY()</f>
        <v>45919</v>
      </c>
      <c r="W26" s="8">
        <f ca="1">(V26-U26)/365.25</f>
        <v>33.045859000684466</v>
      </c>
    </row>
    <row r="27" spans="1:23" x14ac:dyDescent="0.2">
      <c r="A27" s="1" t="s">
        <v>24</v>
      </c>
      <c r="B27" s="1" t="s">
        <v>25</v>
      </c>
      <c r="C27" s="1" t="s">
        <v>26</v>
      </c>
      <c r="D27" s="1" t="s">
        <v>143</v>
      </c>
      <c r="E27" s="1">
        <v>18</v>
      </c>
      <c r="F27" s="1" t="s">
        <v>148</v>
      </c>
      <c r="G27" s="1" t="s">
        <v>149</v>
      </c>
      <c r="I27" s="1" t="s">
        <v>150</v>
      </c>
      <c r="J27" s="1" t="s">
        <v>150</v>
      </c>
      <c r="K27" s="1" t="s">
        <v>31</v>
      </c>
      <c r="M27" s="1" t="s">
        <v>151</v>
      </c>
      <c r="N27" s="3">
        <v>1.5</v>
      </c>
      <c r="O27" s="4">
        <v>45323</v>
      </c>
      <c r="P27" s="5" t="s">
        <v>152</v>
      </c>
      <c r="Q27" s="3">
        <v>0.55000000000000004</v>
      </c>
      <c r="R27" s="6">
        <v>1.5</v>
      </c>
      <c r="S27" s="7" t="s">
        <v>98</v>
      </c>
      <c r="T27" s="4">
        <v>46934</v>
      </c>
      <c r="U27" s="4">
        <v>36711</v>
      </c>
      <c r="V27" s="4">
        <f t="shared" ref="V27:V50" ca="1" si="3">TODAY()</f>
        <v>45919</v>
      </c>
      <c r="W27" s="8">
        <f t="shared" ref="W27:W50" ca="1" si="4">(V27-U27)/365.25</f>
        <v>25.21013004791239</v>
      </c>
    </row>
    <row r="28" spans="1:23" x14ac:dyDescent="0.2">
      <c r="A28" s="1" t="s">
        <v>24</v>
      </c>
      <c r="B28" s="1" t="s">
        <v>25</v>
      </c>
      <c r="C28" s="1" t="s">
        <v>26</v>
      </c>
      <c r="D28" s="1" t="s">
        <v>143</v>
      </c>
      <c r="E28" s="1">
        <v>25</v>
      </c>
      <c r="F28" s="1" t="s">
        <v>153</v>
      </c>
      <c r="G28" s="1" t="s">
        <v>154</v>
      </c>
      <c r="I28" s="1" t="s">
        <v>155</v>
      </c>
      <c r="J28" s="1" t="s">
        <v>155</v>
      </c>
      <c r="K28" s="1" t="s">
        <v>31</v>
      </c>
      <c r="M28" s="1" t="s">
        <v>156</v>
      </c>
      <c r="N28" s="3">
        <v>1.5</v>
      </c>
      <c r="O28" s="4">
        <v>44579</v>
      </c>
      <c r="P28" s="5" t="s">
        <v>157</v>
      </c>
      <c r="Q28" s="3">
        <v>2</v>
      </c>
      <c r="R28" s="6">
        <v>3.5</v>
      </c>
      <c r="S28" s="7" t="s">
        <v>98</v>
      </c>
      <c r="T28" s="4">
        <v>45838</v>
      </c>
      <c r="U28" s="4">
        <v>32881</v>
      </c>
      <c r="V28" s="4">
        <f t="shared" ca="1" si="3"/>
        <v>45919</v>
      </c>
      <c r="W28" s="8">
        <f t="shared" ca="1" si="4"/>
        <v>35.696098562628336</v>
      </c>
    </row>
    <row r="29" spans="1:23" x14ac:dyDescent="0.2">
      <c r="A29" s="1" t="s">
        <v>24</v>
      </c>
      <c r="B29" s="1" t="s">
        <v>25</v>
      </c>
      <c r="C29" s="1" t="s">
        <v>26</v>
      </c>
      <c r="D29" s="1" t="s">
        <v>143</v>
      </c>
      <c r="E29" s="1">
        <v>14</v>
      </c>
      <c r="F29" s="1" t="s">
        <v>158</v>
      </c>
      <c r="G29" s="1" t="s">
        <v>159</v>
      </c>
      <c r="I29" s="1" t="s">
        <v>30</v>
      </c>
      <c r="J29" s="1" t="s">
        <v>30</v>
      </c>
      <c r="K29" s="1" t="s">
        <v>44</v>
      </c>
      <c r="M29" s="1" t="s">
        <v>160</v>
      </c>
      <c r="N29" s="3">
        <v>45</v>
      </c>
      <c r="O29" s="4">
        <v>45119</v>
      </c>
      <c r="P29" s="5" t="s">
        <v>161</v>
      </c>
      <c r="Q29" s="3">
        <v>45</v>
      </c>
      <c r="R29" s="6">
        <v>33</v>
      </c>
      <c r="S29" s="7" t="s">
        <v>34</v>
      </c>
      <c r="T29" s="4">
        <v>46934</v>
      </c>
      <c r="U29" s="4">
        <v>35446</v>
      </c>
      <c r="V29" s="4">
        <f t="shared" ca="1" si="3"/>
        <v>45919</v>
      </c>
      <c r="W29" s="8">
        <f ca="1">(V29-U29)/365.25</f>
        <v>28.673511293634498</v>
      </c>
    </row>
    <row r="30" spans="1:23" x14ac:dyDescent="0.2">
      <c r="A30" s="1" t="s">
        <v>24</v>
      </c>
      <c r="B30" s="1" t="s">
        <v>25</v>
      </c>
      <c r="C30" s="1" t="s">
        <v>26</v>
      </c>
      <c r="D30" s="1" t="s">
        <v>143</v>
      </c>
      <c r="E30" s="1">
        <v>4</v>
      </c>
      <c r="F30" s="1" t="s">
        <v>162</v>
      </c>
      <c r="G30" s="1" t="s">
        <v>163</v>
      </c>
      <c r="I30" s="1" t="s">
        <v>24</v>
      </c>
      <c r="J30" s="1" t="s">
        <v>24</v>
      </c>
      <c r="K30" s="1" t="s">
        <v>44</v>
      </c>
      <c r="M30" s="1" t="s">
        <v>164</v>
      </c>
      <c r="N30" s="3">
        <v>35</v>
      </c>
      <c r="O30" s="4">
        <v>43657</v>
      </c>
      <c r="P30" s="5" t="s">
        <v>33</v>
      </c>
      <c r="Q30" s="3">
        <v>3.5</v>
      </c>
      <c r="R30" s="6">
        <v>13.3</v>
      </c>
      <c r="S30" s="7" t="s">
        <v>34</v>
      </c>
      <c r="T30" s="4">
        <v>46934</v>
      </c>
      <c r="U30" s="4">
        <v>35726</v>
      </c>
      <c r="V30" s="4">
        <f t="shared" ca="1" si="3"/>
        <v>45919</v>
      </c>
      <c r="W30" s="8">
        <f t="shared" ca="1" si="4"/>
        <v>27.906913073237508</v>
      </c>
    </row>
    <row r="31" spans="1:23" x14ac:dyDescent="0.2">
      <c r="A31" s="1" t="s">
        <v>24</v>
      </c>
      <c r="B31" s="1" t="s">
        <v>25</v>
      </c>
      <c r="C31" s="1" t="s">
        <v>26</v>
      </c>
      <c r="D31" s="1" t="s">
        <v>143</v>
      </c>
      <c r="E31" s="1">
        <v>3</v>
      </c>
      <c r="F31" s="1" t="s">
        <v>165</v>
      </c>
      <c r="G31" s="1" t="s">
        <v>166</v>
      </c>
      <c r="I31" s="1" t="s">
        <v>37</v>
      </c>
      <c r="J31" s="1" t="s">
        <v>37</v>
      </c>
      <c r="K31" s="1" t="s">
        <v>44</v>
      </c>
      <c r="M31" s="1" t="s">
        <v>167</v>
      </c>
      <c r="N31" s="3">
        <v>12</v>
      </c>
      <c r="O31" s="4">
        <v>44743</v>
      </c>
      <c r="P31" s="5" t="s">
        <v>168</v>
      </c>
      <c r="Q31" s="3">
        <v>40</v>
      </c>
      <c r="R31" s="6">
        <v>31</v>
      </c>
      <c r="S31" s="7" t="s">
        <v>34</v>
      </c>
      <c r="T31" s="4">
        <v>46203</v>
      </c>
      <c r="U31" s="4">
        <v>34043</v>
      </c>
      <c r="V31" s="4">
        <f t="shared" ca="1" si="3"/>
        <v>45919</v>
      </c>
      <c r="W31" s="8">
        <f ca="1">(V31-U31)/365.25</f>
        <v>32.514715947980832</v>
      </c>
    </row>
    <row r="32" spans="1:23" x14ac:dyDescent="0.2">
      <c r="A32" s="1" t="s">
        <v>24</v>
      </c>
      <c r="B32" s="1" t="s">
        <v>25</v>
      </c>
      <c r="C32" s="1" t="s">
        <v>26</v>
      </c>
      <c r="D32" s="1" t="s">
        <v>143</v>
      </c>
      <c r="E32" s="1">
        <v>5</v>
      </c>
      <c r="F32" s="1" t="s">
        <v>169</v>
      </c>
      <c r="G32" s="1" t="s">
        <v>170</v>
      </c>
      <c r="I32" s="1" t="s">
        <v>24</v>
      </c>
      <c r="J32" s="1" t="s">
        <v>24</v>
      </c>
      <c r="K32" s="1" t="s">
        <v>44</v>
      </c>
      <c r="M32" s="1" t="s">
        <v>171</v>
      </c>
      <c r="N32" s="3">
        <v>10</v>
      </c>
      <c r="O32" s="4">
        <v>43496</v>
      </c>
      <c r="P32" s="5" t="s">
        <v>39</v>
      </c>
      <c r="Q32" s="3">
        <v>3.5</v>
      </c>
      <c r="R32" s="6">
        <v>22.3</v>
      </c>
      <c r="S32" s="7" t="s">
        <v>34</v>
      </c>
      <c r="T32" s="4">
        <v>46203</v>
      </c>
      <c r="U32" s="4">
        <v>34041</v>
      </c>
      <c r="V32" s="4">
        <f t="shared" ca="1" si="3"/>
        <v>45919</v>
      </c>
      <c r="W32" s="8">
        <f t="shared" ca="1" si="4"/>
        <v>32.520191649555102</v>
      </c>
    </row>
    <row r="33" spans="1:23" x14ac:dyDescent="0.2">
      <c r="A33" s="1" t="s">
        <v>24</v>
      </c>
      <c r="B33" s="1" t="s">
        <v>25</v>
      </c>
      <c r="C33" s="1" t="s">
        <v>26</v>
      </c>
      <c r="D33" s="1" t="s">
        <v>143</v>
      </c>
      <c r="E33" s="1">
        <v>30</v>
      </c>
      <c r="F33" s="1" t="s">
        <v>172</v>
      </c>
      <c r="G33" s="1" t="s">
        <v>173</v>
      </c>
      <c r="I33" s="1" t="s">
        <v>24</v>
      </c>
      <c r="J33" s="1" t="s">
        <v>24</v>
      </c>
      <c r="K33" s="1" t="s">
        <v>44</v>
      </c>
      <c r="M33" s="1" t="s">
        <v>174</v>
      </c>
      <c r="N33" s="3">
        <v>2</v>
      </c>
      <c r="O33" s="4">
        <v>43472</v>
      </c>
      <c r="P33" s="5" t="s">
        <v>175</v>
      </c>
      <c r="Q33" s="3">
        <v>1</v>
      </c>
      <c r="R33" s="6">
        <v>3.4</v>
      </c>
      <c r="S33" s="7" t="s">
        <v>98</v>
      </c>
      <c r="T33" s="4">
        <v>45838</v>
      </c>
      <c r="U33" s="4">
        <v>34896</v>
      </c>
      <c r="V33" s="4">
        <f t="shared" ca="1" si="3"/>
        <v>45919</v>
      </c>
      <c r="W33" s="8">
        <f t="shared" ca="1" si="4"/>
        <v>30.179329226557151</v>
      </c>
    </row>
    <row r="34" spans="1:23" x14ac:dyDescent="0.2">
      <c r="A34" s="1" t="s">
        <v>24</v>
      </c>
      <c r="B34" s="1" t="s">
        <v>25</v>
      </c>
      <c r="C34" s="1" t="s">
        <v>26</v>
      </c>
      <c r="D34" s="1" t="s">
        <v>143</v>
      </c>
      <c r="E34" s="1">
        <v>26</v>
      </c>
      <c r="F34" s="1" t="s">
        <v>176</v>
      </c>
      <c r="G34" s="1" t="s">
        <v>177</v>
      </c>
      <c r="I34" s="1" t="s">
        <v>52</v>
      </c>
      <c r="J34" s="1" t="s">
        <v>52</v>
      </c>
      <c r="K34" s="1" t="s">
        <v>44</v>
      </c>
      <c r="M34" s="1" t="s">
        <v>178</v>
      </c>
      <c r="N34" s="3">
        <v>0.45</v>
      </c>
      <c r="O34" s="4">
        <v>45474</v>
      </c>
      <c r="P34" s="5" t="s">
        <v>179</v>
      </c>
      <c r="Q34" s="3">
        <v>0.45</v>
      </c>
      <c r="R34" s="6">
        <v>0</v>
      </c>
      <c r="S34" s="7" t="s">
        <v>98</v>
      </c>
      <c r="T34" s="4" t="s">
        <v>35</v>
      </c>
      <c r="U34" s="4">
        <v>37991</v>
      </c>
      <c r="V34" s="4">
        <f t="shared" ca="1" si="3"/>
        <v>45919</v>
      </c>
      <c r="W34" s="8">
        <f ca="1">(V34-U34)/365.25</f>
        <v>21.7056810403833</v>
      </c>
    </row>
    <row r="35" spans="1:23" x14ac:dyDescent="0.2">
      <c r="A35" s="1" t="s">
        <v>24</v>
      </c>
      <c r="B35" s="1" t="s">
        <v>25</v>
      </c>
      <c r="C35" s="1" t="s">
        <v>26</v>
      </c>
      <c r="D35" s="1" t="s">
        <v>143</v>
      </c>
      <c r="E35" s="1">
        <v>22</v>
      </c>
      <c r="F35" s="1" t="s">
        <v>180</v>
      </c>
      <c r="G35" s="1" t="s">
        <v>181</v>
      </c>
      <c r="I35" s="1" t="s">
        <v>52</v>
      </c>
      <c r="J35" s="1" t="s">
        <v>52</v>
      </c>
      <c r="K35" s="1" t="s">
        <v>63</v>
      </c>
      <c r="M35" s="1" t="s">
        <v>182</v>
      </c>
      <c r="N35" s="3">
        <v>40</v>
      </c>
      <c r="O35" s="4">
        <v>45474</v>
      </c>
      <c r="P35" s="5" t="s">
        <v>101</v>
      </c>
      <c r="Q35" s="3">
        <v>40</v>
      </c>
      <c r="R35" s="6">
        <v>44.5</v>
      </c>
      <c r="S35" s="7" t="s">
        <v>66</v>
      </c>
      <c r="T35" s="4">
        <v>47664</v>
      </c>
      <c r="U35" s="4">
        <v>37325</v>
      </c>
      <c r="V35" s="4">
        <f t="shared" ca="1" si="3"/>
        <v>45919</v>
      </c>
      <c r="W35" s="8">
        <f t="shared" ca="1" si="4"/>
        <v>23.529089664613277</v>
      </c>
    </row>
    <row r="36" spans="1:23" x14ac:dyDescent="0.2">
      <c r="A36" s="1" t="s">
        <v>24</v>
      </c>
      <c r="B36" s="1" t="s">
        <v>25</v>
      </c>
      <c r="C36" s="1" t="s">
        <v>26</v>
      </c>
      <c r="D36" s="1" t="s">
        <v>143</v>
      </c>
      <c r="E36" s="1">
        <v>12</v>
      </c>
      <c r="F36" s="1" t="s">
        <v>183</v>
      </c>
      <c r="G36" s="1" t="s">
        <v>184</v>
      </c>
      <c r="I36" s="1" t="s">
        <v>43</v>
      </c>
      <c r="J36" s="1" t="s">
        <v>43</v>
      </c>
      <c r="K36" s="1" t="s">
        <v>63</v>
      </c>
      <c r="M36" s="1" t="s">
        <v>185</v>
      </c>
      <c r="N36" s="3">
        <v>12</v>
      </c>
      <c r="O36" s="4">
        <v>44574</v>
      </c>
      <c r="P36" s="5" t="s">
        <v>186</v>
      </c>
      <c r="Q36" s="3">
        <v>30</v>
      </c>
      <c r="R36" s="6">
        <v>30</v>
      </c>
      <c r="S36" s="7" t="s">
        <v>34</v>
      </c>
      <c r="T36" s="4">
        <v>46203</v>
      </c>
      <c r="U36" s="4">
        <v>34170</v>
      </c>
      <c r="V36" s="4">
        <f t="shared" ca="1" si="3"/>
        <v>45919</v>
      </c>
      <c r="W36" s="8">
        <f t="shared" ca="1" si="4"/>
        <v>32.167008898015055</v>
      </c>
    </row>
    <row r="37" spans="1:23" x14ac:dyDescent="0.2">
      <c r="A37" s="1" t="s">
        <v>24</v>
      </c>
      <c r="B37" s="1" t="s">
        <v>25</v>
      </c>
      <c r="C37" s="1" t="s">
        <v>26</v>
      </c>
      <c r="D37" s="1" t="s">
        <v>143</v>
      </c>
      <c r="E37" s="1">
        <v>2</v>
      </c>
      <c r="F37" s="1" t="s">
        <v>187</v>
      </c>
      <c r="G37" s="1" t="s">
        <v>188</v>
      </c>
      <c r="I37" s="1" t="s">
        <v>24</v>
      </c>
      <c r="J37" s="1" t="s">
        <v>57</v>
      </c>
      <c r="K37" s="1" t="s">
        <v>80</v>
      </c>
      <c r="M37" s="1" t="s">
        <v>189</v>
      </c>
      <c r="N37" s="3">
        <v>28</v>
      </c>
      <c r="O37" s="4">
        <v>44077</v>
      </c>
      <c r="P37" s="5" t="s">
        <v>190</v>
      </c>
      <c r="Q37" s="3">
        <v>4.8</v>
      </c>
      <c r="R37" s="6">
        <v>15.75</v>
      </c>
      <c r="S37" s="7" t="s">
        <v>34</v>
      </c>
      <c r="T37" s="4">
        <v>46568</v>
      </c>
      <c r="U37" s="4">
        <v>35649</v>
      </c>
      <c r="V37" s="4">
        <f t="shared" ca="1" si="3"/>
        <v>45919</v>
      </c>
      <c r="W37" s="8">
        <f ca="1">(V37-U37)/365.25</f>
        <v>28.11772758384668</v>
      </c>
    </row>
    <row r="38" spans="1:23" x14ac:dyDescent="0.2">
      <c r="A38" s="1" t="s">
        <v>24</v>
      </c>
      <c r="B38" s="1" t="s">
        <v>25</v>
      </c>
      <c r="C38" s="1" t="s">
        <v>26</v>
      </c>
      <c r="D38" s="1" t="s">
        <v>143</v>
      </c>
      <c r="E38" s="1">
        <v>20</v>
      </c>
      <c r="F38" s="1" t="s">
        <v>191</v>
      </c>
      <c r="G38" s="1" t="s">
        <v>192</v>
      </c>
      <c r="I38" s="1" t="s">
        <v>193</v>
      </c>
      <c r="J38" s="1" t="s">
        <v>193</v>
      </c>
      <c r="K38" s="1" t="s">
        <v>80</v>
      </c>
      <c r="M38" s="1" t="s">
        <v>194</v>
      </c>
      <c r="N38" s="3">
        <v>8</v>
      </c>
      <c r="O38" s="4">
        <v>45313</v>
      </c>
      <c r="P38" s="5" t="s">
        <v>195</v>
      </c>
      <c r="Q38" s="3">
        <v>2.5</v>
      </c>
      <c r="R38" s="6">
        <v>7.6</v>
      </c>
      <c r="S38" s="7" t="s">
        <v>196</v>
      </c>
      <c r="T38" s="4">
        <v>47299</v>
      </c>
      <c r="U38" s="4">
        <v>38702</v>
      </c>
      <c r="V38" s="4">
        <f t="shared" ca="1" si="3"/>
        <v>45919</v>
      </c>
      <c r="W38" s="8">
        <f t="shared" ref="W38" ca="1" si="5">(V38-U38)/365.25</f>
        <v>19.759069130732374</v>
      </c>
    </row>
    <row r="39" spans="1:23" x14ac:dyDescent="0.2">
      <c r="A39" s="1" t="s">
        <v>24</v>
      </c>
      <c r="B39" s="1" t="s">
        <v>25</v>
      </c>
      <c r="C39" s="1" t="s">
        <v>26</v>
      </c>
      <c r="D39" s="1" t="s">
        <v>143</v>
      </c>
      <c r="E39" s="1">
        <v>24</v>
      </c>
      <c r="F39" s="1" t="s">
        <v>197</v>
      </c>
      <c r="G39" s="1" t="s">
        <v>198</v>
      </c>
      <c r="I39" s="1" t="s">
        <v>199</v>
      </c>
      <c r="J39" s="1" t="s">
        <v>125</v>
      </c>
      <c r="K39" s="1" t="s">
        <v>95</v>
      </c>
      <c r="M39" s="1" t="s">
        <v>200</v>
      </c>
      <c r="N39" s="3">
        <v>55</v>
      </c>
      <c r="O39" s="4">
        <v>45495</v>
      </c>
      <c r="P39" s="5" t="s">
        <v>186</v>
      </c>
      <c r="Q39" s="3">
        <v>50</v>
      </c>
      <c r="R39" s="6">
        <v>59.35</v>
      </c>
      <c r="S39" s="7" t="s">
        <v>66</v>
      </c>
      <c r="T39" s="4">
        <v>47299</v>
      </c>
      <c r="U39" s="4">
        <v>37119</v>
      </c>
      <c r="V39" s="4">
        <f t="shared" ca="1" si="3"/>
        <v>45919</v>
      </c>
      <c r="W39" s="8">
        <f t="shared" ca="1" si="4"/>
        <v>24.093086926762492</v>
      </c>
    </row>
    <row r="40" spans="1:23" x14ac:dyDescent="0.2">
      <c r="A40" s="1" t="s">
        <v>24</v>
      </c>
      <c r="B40" s="1" t="s">
        <v>25</v>
      </c>
      <c r="C40" s="1" t="s">
        <v>26</v>
      </c>
      <c r="D40" s="1" t="s">
        <v>143</v>
      </c>
      <c r="E40" s="1">
        <v>44</v>
      </c>
      <c r="F40" s="1" t="s">
        <v>201</v>
      </c>
      <c r="G40" s="1" t="s">
        <v>202</v>
      </c>
      <c r="I40" s="1" t="s">
        <v>43</v>
      </c>
      <c r="J40" s="1" t="s">
        <v>43</v>
      </c>
      <c r="K40" s="1" t="s">
        <v>95</v>
      </c>
      <c r="M40" s="1" t="s">
        <v>203</v>
      </c>
      <c r="N40" s="3">
        <v>38</v>
      </c>
      <c r="O40" s="4">
        <v>44743</v>
      </c>
      <c r="P40" s="5" t="s">
        <v>204</v>
      </c>
      <c r="Q40" s="3">
        <v>25</v>
      </c>
      <c r="R40" s="6" t="s">
        <v>205</v>
      </c>
      <c r="S40" s="7" t="s">
        <v>34</v>
      </c>
      <c r="T40" s="4">
        <v>46568</v>
      </c>
      <c r="U40" s="4">
        <v>36487</v>
      </c>
      <c r="V40" s="4">
        <f t="shared" ca="1" si="3"/>
        <v>45919</v>
      </c>
      <c r="W40" s="8">
        <f ca="1">(V40-U40)/365.25</f>
        <v>25.82340862422998</v>
      </c>
    </row>
    <row r="41" spans="1:23" x14ac:dyDescent="0.2">
      <c r="A41" s="1" t="s">
        <v>24</v>
      </c>
      <c r="B41" s="1" t="s">
        <v>25</v>
      </c>
      <c r="C41" s="1" t="s">
        <v>26</v>
      </c>
      <c r="D41" s="1" t="s">
        <v>143</v>
      </c>
      <c r="E41" s="1">
        <v>7</v>
      </c>
      <c r="F41" s="1" t="s">
        <v>206</v>
      </c>
      <c r="G41" s="1" t="s">
        <v>207</v>
      </c>
      <c r="I41" s="1" t="s">
        <v>75</v>
      </c>
      <c r="J41" s="1" t="s">
        <v>75</v>
      </c>
      <c r="K41" s="1" t="s">
        <v>89</v>
      </c>
      <c r="M41" s="1" t="s">
        <v>208</v>
      </c>
      <c r="N41" s="3">
        <v>30</v>
      </c>
      <c r="O41" s="4">
        <v>43320</v>
      </c>
      <c r="P41" s="5" t="s">
        <v>209</v>
      </c>
      <c r="Q41" s="3">
        <v>1.75</v>
      </c>
      <c r="R41" s="6">
        <v>3.1</v>
      </c>
      <c r="S41" s="7" t="s">
        <v>34</v>
      </c>
      <c r="T41" s="4">
        <v>46568</v>
      </c>
      <c r="U41" s="4">
        <v>34625</v>
      </c>
      <c r="V41" s="4">
        <f t="shared" ca="1" si="3"/>
        <v>45919</v>
      </c>
      <c r="W41" s="8">
        <f ca="1">(V41-U41)/365.25</f>
        <v>30.921286789869953</v>
      </c>
    </row>
    <row r="42" spans="1:23" x14ac:dyDescent="0.2">
      <c r="A42" s="1" t="s">
        <v>24</v>
      </c>
      <c r="B42" s="1" t="s">
        <v>25</v>
      </c>
      <c r="C42" s="1" t="s">
        <v>26</v>
      </c>
      <c r="D42" s="1" t="s">
        <v>143</v>
      </c>
      <c r="E42" s="1">
        <v>8</v>
      </c>
      <c r="F42" s="1" t="s">
        <v>210</v>
      </c>
      <c r="G42" s="1" t="s">
        <v>211</v>
      </c>
      <c r="I42" s="1" t="s">
        <v>125</v>
      </c>
      <c r="J42" s="1" t="s">
        <v>125</v>
      </c>
      <c r="K42" s="1" t="s">
        <v>89</v>
      </c>
      <c r="M42" s="1" t="s">
        <v>212</v>
      </c>
      <c r="N42" s="3">
        <v>30</v>
      </c>
      <c r="O42" s="4">
        <v>45108</v>
      </c>
      <c r="P42" s="5" t="s">
        <v>213</v>
      </c>
      <c r="Q42" s="3">
        <v>25</v>
      </c>
      <c r="R42" s="6" t="s">
        <v>205</v>
      </c>
      <c r="S42" s="7" t="s">
        <v>34</v>
      </c>
      <c r="T42" s="4">
        <v>46568</v>
      </c>
      <c r="U42" s="4">
        <v>35557</v>
      </c>
      <c r="V42" s="4">
        <f t="shared" ca="1" si="3"/>
        <v>45919</v>
      </c>
      <c r="W42" s="8">
        <f ca="1">(V42-U42)/365.25</f>
        <v>28.369609856262834</v>
      </c>
    </row>
    <row r="43" spans="1:23" x14ac:dyDescent="0.2">
      <c r="A43" s="1" t="s">
        <v>24</v>
      </c>
      <c r="B43" s="1" t="s">
        <v>25</v>
      </c>
      <c r="C43" s="1" t="s">
        <v>26</v>
      </c>
      <c r="D43" s="1" t="s">
        <v>143</v>
      </c>
      <c r="E43" s="1">
        <v>6</v>
      </c>
      <c r="F43" s="1" t="s">
        <v>214</v>
      </c>
      <c r="G43" s="1" t="s">
        <v>215</v>
      </c>
      <c r="I43" s="1" t="s">
        <v>24</v>
      </c>
      <c r="J43" s="1" t="s">
        <v>24</v>
      </c>
      <c r="K43" s="1" t="s">
        <v>89</v>
      </c>
      <c r="M43" s="1" t="s">
        <v>216</v>
      </c>
      <c r="N43" s="3">
        <v>8</v>
      </c>
      <c r="O43" s="4">
        <v>45474</v>
      </c>
      <c r="P43" s="5" t="s">
        <v>217</v>
      </c>
      <c r="Q43" s="3">
        <v>8</v>
      </c>
      <c r="R43" s="6">
        <v>5.9</v>
      </c>
      <c r="S43" s="7" t="s">
        <v>66</v>
      </c>
      <c r="T43" s="4" t="s">
        <v>35</v>
      </c>
      <c r="U43" s="4">
        <v>34308</v>
      </c>
      <c r="V43" s="4">
        <f t="shared" ca="1" si="3"/>
        <v>45919</v>
      </c>
      <c r="W43" s="8">
        <f ca="1">(V43-U43)/365.25</f>
        <v>31.789185489390828</v>
      </c>
    </row>
    <row r="44" spans="1:23" x14ac:dyDescent="0.2">
      <c r="A44" s="1" t="s">
        <v>24</v>
      </c>
      <c r="B44" s="1" t="s">
        <v>25</v>
      </c>
      <c r="C44" s="1" t="s">
        <v>26</v>
      </c>
      <c r="D44" s="1" t="s">
        <v>143</v>
      </c>
      <c r="E44" s="1">
        <v>41</v>
      </c>
      <c r="F44" s="1" t="s">
        <v>218</v>
      </c>
      <c r="G44" s="1" t="s">
        <v>219</v>
      </c>
      <c r="I44" s="1" t="s">
        <v>24</v>
      </c>
      <c r="J44" s="1" t="s">
        <v>24</v>
      </c>
      <c r="K44" s="1" t="s">
        <v>113</v>
      </c>
      <c r="M44" s="1" t="s">
        <v>220</v>
      </c>
      <c r="N44" s="3">
        <v>32</v>
      </c>
      <c r="O44" s="4">
        <v>44013</v>
      </c>
      <c r="P44" s="5" t="s">
        <v>221</v>
      </c>
      <c r="Q44" s="3">
        <v>0</v>
      </c>
      <c r="R44" s="6">
        <v>0</v>
      </c>
      <c r="S44" s="7" t="s">
        <v>34</v>
      </c>
      <c r="T44" s="4">
        <v>46568</v>
      </c>
      <c r="U44" s="4">
        <v>37039</v>
      </c>
      <c r="V44" s="4">
        <f t="shared" ca="1" si="3"/>
        <v>45919</v>
      </c>
      <c r="W44" s="8">
        <f t="shared" ca="1" si="4"/>
        <v>24.312114989733061</v>
      </c>
    </row>
    <row r="45" spans="1:23" x14ac:dyDescent="0.2">
      <c r="A45" s="1" t="s">
        <v>24</v>
      </c>
      <c r="B45" s="1" t="s">
        <v>25</v>
      </c>
      <c r="C45" s="1" t="s">
        <v>26</v>
      </c>
      <c r="D45" s="1" t="s">
        <v>143</v>
      </c>
      <c r="E45" s="1">
        <v>27</v>
      </c>
      <c r="F45" s="1" t="s">
        <v>222</v>
      </c>
      <c r="G45" s="1" t="s">
        <v>223</v>
      </c>
      <c r="I45" s="1" t="s">
        <v>24</v>
      </c>
      <c r="J45" s="1" t="s">
        <v>24</v>
      </c>
      <c r="K45" s="1" t="s">
        <v>113</v>
      </c>
      <c r="M45" s="1" t="s">
        <v>224</v>
      </c>
      <c r="N45" s="3">
        <v>22</v>
      </c>
      <c r="O45" s="4">
        <v>45323</v>
      </c>
      <c r="P45" s="5" t="s">
        <v>225</v>
      </c>
      <c r="Q45" s="3">
        <v>2.8</v>
      </c>
      <c r="R45" s="6">
        <v>9.4</v>
      </c>
      <c r="S45" s="7" t="s">
        <v>34</v>
      </c>
      <c r="T45" s="4">
        <v>47664</v>
      </c>
      <c r="U45" s="4">
        <v>37463</v>
      </c>
      <c r="V45" s="4">
        <f t="shared" ca="1" si="3"/>
        <v>45919</v>
      </c>
      <c r="W45" s="8">
        <f t="shared" ca="1" si="4"/>
        <v>23.15126625598905</v>
      </c>
    </row>
    <row r="46" spans="1:23" x14ac:dyDescent="0.2">
      <c r="A46" s="1" t="s">
        <v>24</v>
      </c>
      <c r="B46" s="1" t="s">
        <v>25</v>
      </c>
      <c r="C46" s="1" t="s">
        <v>26</v>
      </c>
      <c r="D46" s="1" t="s">
        <v>143</v>
      </c>
      <c r="E46" s="1">
        <v>10</v>
      </c>
      <c r="F46" s="1" t="s">
        <v>144</v>
      </c>
      <c r="G46" s="1" t="s">
        <v>226</v>
      </c>
      <c r="I46" s="1" t="s">
        <v>146</v>
      </c>
      <c r="J46" s="1" t="s">
        <v>146</v>
      </c>
      <c r="K46" s="1" t="s">
        <v>113</v>
      </c>
      <c r="M46" s="1" t="s">
        <v>227</v>
      </c>
      <c r="N46" s="3">
        <v>20</v>
      </c>
      <c r="O46" s="4">
        <v>44378</v>
      </c>
      <c r="P46" s="5" t="s">
        <v>228</v>
      </c>
      <c r="Q46" s="3">
        <v>35</v>
      </c>
      <c r="R46" s="6">
        <v>38.4</v>
      </c>
      <c r="S46" s="7" t="s">
        <v>34</v>
      </c>
      <c r="T46" s="4">
        <v>46203</v>
      </c>
      <c r="U46" s="4">
        <v>35424</v>
      </c>
      <c r="V46" s="4">
        <f t="shared" ca="1" si="3"/>
        <v>45919</v>
      </c>
      <c r="W46" s="8">
        <f t="shared" ca="1" si="4"/>
        <v>28.733744010951405</v>
      </c>
    </row>
    <row r="47" spans="1:23" x14ac:dyDescent="0.2">
      <c r="A47" s="1" t="s">
        <v>24</v>
      </c>
      <c r="B47" s="1" t="s">
        <v>25</v>
      </c>
      <c r="C47" s="1" t="s">
        <v>26</v>
      </c>
      <c r="D47" s="1" t="s">
        <v>143</v>
      </c>
      <c r="E47" s="1">
        <v>19</v>
      </c>
      <c r="F47" s="1" t="s">
        <v>229</v>
      </c>
      <c r="G47" s="1" t="s">
        <v>230</v>
      </c>
      <c r="I47" s="1" t="s">
        <v>24</v>
      </c>
      <c r="J47" s="1" t="s">
        <v>24</v>
      </c>
      <c r="K47" s="1" t="s">
        <v>120</v>
      </c>
      <c r="M47" s="1" t="s">
        <v>231</v>
      </c>
      <c r="N47" s="3">
        <v>15</v>
      </c>
      <c r="O47" s="4">
        <v>45492</v>
      </c>
      <c r="P47" s="5" t="s">
        <v>232</v>
      </c>
      <c r="Q47" s="3">
        <v>15</v>
      </c>
      <c r="R47" s="6">
        <v>16</v>
      </c>
      <c r="S47" s="7" t="s">
        <v>66</v>
      </c>
      <c r="T47" s="4">
        <v>47299</v>
      </c>
      <c r="U47" s="4">
        <v>37295</v>
      </c>
      <c r="V47" s="4">
        <f t="shared" ca="1" si="3"/>
        <v>45919</v>
      </c>
      <c r="W47" s="8">
        <f t="shared" ca="1" si="4"/>
        <v>23.611225188227241</v>
      </c>
    </row>
    <row r="48" spans="1:23" x14ac:dyDescent="0.2">
      <c r="A48" s="1" t="s">
        <v>24</v>
      </c>
      <c r="B48" s="1" t="s">
        <v>25</v>
      </c>
      <c r="C48" s="1" t="s">
        <v>26</v>
      </c>
      <c r="D48" s="1" t="s">
        <v>143</v>
      </c>
      <c r="E48" s="1">
        <v>31</v>
      </c>
      <c r="F48" s="1" t="s">
        <v>233</v>
      </c>
      <c r="G48" s="1" t="s">
        <v>234</v>
      </c>
      <c r="I48" s="1" t="s">
        <v>129</v>
      </c>
      <c r="J48" s="1" t="s">
        <v>129</v>
      </c>
      <c r="K48" s="1" t="s">
        <v>133</v>
      </c>
      <c r="M48" s="1" t="s">
        <v>235</v>
      </c>
      <c r="N48" s="3">
        <v>42</v>
      </c>
      <c r="O48" s="4">
        <v>44412</v>
      </c>
      <c r="P48" s="5" t="s">
        <v>236</v>
      </c>
      <c r="Q48" s="3">
        <v>35</v>
      </c>
      <c r="R48" s="6">
        <v>32</v>
      </c>
      <c r="S48" s="7" t="s">
        <v>34</v>
      </c>
      <c r="T48" s="4">
        <v>46568</v>
      </c>
      <c r="U48" s="4">
        <v>35651</v>
      </c>
      <c r="V48" s="4">
        <f t="shared" ca="1" si="3"/>
        <v>45919</v>
      </c>
      <c r="W48" s="8">
        <f ca="1">(V48-U48)/365.25</f>
        <v>28.112251882272417</v>
      </c>
    </row>
    <row r="49" spans="1:23" x14ac:dyDescent="0.2">
      <c r="A49" s="1" t="s">
        <v>24</v>
      </c>
      <c r="B49" s="1" t="s">
        <v>25</v>
      </c>
      <c r="C49" s="1" t="s">
        <v>26</v>
      </c>
      <c r="D49" s="1" t="s">
        <v>143</v>
      </c>
      <c r="E49" s="1">
        <v>11</v>
      </c>
      <c r="F49" s="1" t="s">
        <v>237</v>
      </c>
      <c r="G49" s="1" t="s">
        <v>238</v>
      </c>
      <c r="I49" s="1" t="s">
        <v>24</v>
      </c>
      <c r="J49" s="1" t="s">
        <v>24</v>
      </c>
      <c r="K49" s="1" t="s">
        <v>139</v>
      </c>
      <c r="M49" s="1" t="s">
        <v>239</v>
      </c>
      <c r="N49" s="3">
        <v>65</v>
      </c>
      <c r="O49" s="4">
        <v>44083</v>
      </c>
      <c r="P49" s="5" t="s">
        <v>33</v>
      </c>
      <c r="Q49" s="3">
        <v>12</v>
      </c>
      <c r="R49" s="6">
        <v>34</v>
      </c>
      <c r="S49" s="7" t="s">
        <v>34</v>
      </c>
      <c r="T49" s="4">
        <v>46934</v>
      </c>
      <c r="U49" s="4">
        <v>35063</v>
      </c>
      <c r="V49" s="4">
        <f t="shared" ca="1" si="3"/>
        <v>45919</v>
      </c>
      <c r="W49" s="8">
        <f t="shared" ca="1" si="4"/>
        <v>29.722108145106091</v>
      </c>
    </row>
    <row r="50" spans="1:23" x14ac:dyDescent="0.2">
      <c r="A50" s="1" t="s">
        <v>24</v>
      </c>
      <c r="B50" s="1" t="s">
        <v>25</v>
      </c>
      <c r="C50" s="1" t="s">
        <v>26</v>
      </c>
      <c r="D50" s="1" t="s">
        <v>143</v>
      </c>
      <c r="E50" s="1">
        <v>9</v>
      </c>
      <c r="F50" s="1" t="s">
        <v>240</v>
      </c>
      <c r="G50" s="1" t="s">
        <v>241</v>
      </c>
      <c r="I50" s="1" t="s">
        <v>242</v>
      </c>
      <c r="J50" s="1" t="s">
        <v>242</v>
      </c>
      <c r="K50" s="1" t="s">
        <v>139</v>
      </c>
      <c r="M50" s="1" t="s">
        <v>243</v>
      </c>
      <c r="N50" s="3">
        <v>35</v>
      </c>
      <c r="O50" s="4">
        <v>44949</v>
      </c>
      <c r="P50" s="5" t="s">
        <v>244</v>
      </c>
      <c r="Q50" s="3">
        <v>6</v>
      </c>
      <c r="R50" s="6">
        <v>16.84</v>
      </c>
      <c r="S50" s="7" t="s">
        <v>34</v>
      </c>
      <c r="T50" s="4">
        <v>47664</v>
      </c>
      <c r="U50" s="4">
        <v>37968</v>
      </c>
      <c r="V50" s="4">
        <f t="shared" ca="1" si="3"/>
        <v>45919</v>
      </c>
      <c r="W50" s="8">
        <f t="shared" ca="1" si="4"/>
        <v>21.768651608487339</v>
      </c>
    </row>
    <row r="51" spans="1:23" x14ac:dyDescent="0.2">
      <c r="A51" s="1" t="s">
        <v>24</v>
      </c>
      <c r="B51" s="1" t="s">
        <v>25</v>
      </c>
      <c r="C51" s="1" t="s">
        <v>26</v>
      </c>
      <c r="D51" s="5" t="s">
        <v>39</v>
      </c>
      <c r="E51" s="1">
        <v>13</v>
      </c>
      <c r="F51" s="1" t="s">
        <v>245</v>
      </c>
      <c r="G51" s="1" t="s">
        <v>246</v>
      </c>
      <c r="I51" s="1" t="s">
        <v>30</v>
      </c>
      <c r="J51" s="1" t="s">
        <v>30</v>
      </c>
      <c r="K51" s="1" t="s">
        <v>31</v>
      </c>
      <c r="M51" s="1" t="s">
        <v>247</v>
      </c>
      <c r="N51" s="3">
        <v>11</v>
      </c>
      <c r="O51" s="4">
        <v>45533</v>
      </c>
      <c r="P51" s="5" t="s">
        <v>101</v>
      </c>
      <c r="Q51" s="3">
        <v>12</v>
      </c>
      <c r="R51" s="6" t="s">
        <v>40</v>
      </c>
      <c r="S51" s="7" t="s">
        <v>40</v>
      </c>
      <c r="T51" s="4">
        <v>45838</v>
      </c>
      <c r="U51" s="4">
        <v>34610</v>
      </c>
      <c r="V51" s="4">
        <f ca="1">TODAY()</f>
        <v>45919</v>
      </c>
      <c r="W51" s="8">
        <f ca="1">(V51-U51)/365.25</f>
        <v>30.962354551676935</v>
      </c>
    </row>
    <row r="52" spans="1:23" x14ac:dyDescent="0.2">
      <c r="A52" s="1" t="s">
        <v>24</v>
      </c>
      <c r="B52" s="1" t="s">
        <v>25</v>
      </c>
      <c r="C52" s="1" t="s">
        <v>26</v>
      </c>
      <c r="D52" s="5" t="s">
        <v>39</v>
      </c>
      <c r="E52" s="1">
        <v>42</v>
      </c>
      <c r="F52" s="1" t="s">
        <v>248</v>
      </c>
      <c r="G52" s="1" t="s">
        <v>249</v>
      </c>
      <c r="I52" s="1" t="s">
        <v>250</v>
      </c>
      <c r="J52" s="1" t="s">
        <v>250</v>
      </c>
      <c r="K52" s="1" t="s">
        <v>31</v>
      </c>
      <c r="M52" s="1" t="s">
        <v>251</v>
      </c>
      <c r="N52" s="3">
        <v>4</v>
      </c>
      <c r="O52" s="4">
        <v>44013</v>
      </c>
      <c r="P52" s="5" t="s">
        <v>252</v>
      </c>
      <c r="Q52" s="3">
        <v>0.25</v>
      </c>
      <c r="R52" s="6">
        <v>0</v>
      </c>
      <c r="S52" s="7" t="s">
        <v>34</v>
      </c>
      <c r="T52" s="4">
        <v>46568</v>
      </c>
      <c r="U52" s="4">
        <v>36298</v>
      </c>
      <c r="V52" s="4">
        <f t="shared" ref="V52:V74" ca="1" si="6">TODAY()</f>
        <v>45919</v>
      </c>
      <c r="W52" s="8">
        <f t="shared" ref="W52:W74" ca="1" si="7">(V52-U52)/365.25</f>
        <v>26.340862422997947</v>
      </c>
    </row>
    <row r="53" spans="1:23" x14ac:dyDescent="0.2">
      <c r="A53" s="1" t="s">
        <v>24</v>
      </c>
      <c r="B53" s="1" t="s">
        <v>25</v>
      </c>
      <c r="C53" s="1" t="s">
        <v>26</v>
      </c>
      <c r="D53" s="5" t="s">
        <v>39</v>
      </c>
      <c r="E53" s="1">
        <v>40</v>
      </c>
      <c r="F53" s="1" t="s">
        <v>253</v>
      </c>
      <c r="G53" s="1" t="s">
        <v>254</v>
      </c>
      <c r="I53" s="1" t="s">
        <v>24</v>
      </c>
      <c r="J53" s="1" t="s">
        <v>24</v>
      </c>
      <c r="K53" s="1" t="s">
        <v>31</v>
      </c>
      <c r="M53" s="1" t="s">
        <v>255</v>
      </c>
      <c r="N53" s="3">
        <v>0.35</v>
      </c>
      <c r="O53" s="4">
        <v>44409</v>
      </c>
      <c r="P53" s="5" t="s">
        <v>252</v>
      </c>
      <c r="Q53" s="3">
        <v>0.1</v>
      </c>
      <c r="R53" s="6">
        <v>0</v>
      </c>
      <c r="S53" s="7" t="s">
        <v>98</v>
      </c>
      <c r="T53" s="4">
        <v>46203</v>
      </c>
      <c r="U53" s="4">
        <v>36717</v>
      </c>
      <c r="V53" s="4">
        <f t="shared" ca="1" si="6"/>
        <v>45919</v>
      </c>
      <c r="W53" s="8">
        <f t="shared" ca="1" si="7"/>
        <v>25.193702943189596</v>
      </c>
    </row>
    <row r="54" spans="1:23" x14ac:dyDescent="0.2">
      <c r="A54" s="1" t="s">
        <v>24</v>
      </c>
      <c r="B54" s="1" t="s">
        <v>25</v>
      </c>
      <c r="C54" s="1" t="s">
        <v>26</v>
      </c>
      <c r="D54" s="5" t="s">
        <v>39</v>
      </c>
      <c r="E54" s="1">
        <v>27</v>
      </c>
      <c r="F54" s="1" t="s">
        <v>256</v>
      </c>
      <c r="G54" s="1" t="s">
        <v>257</v>
      </c>
      <c r="I54" s="1" t="s">
        <v>69</v>
      </c>
      <c r="J54" s="1" t="s">
        <v>69</v>
      </c>
      <c r="K54" s="1" t="s">
        <v>44</v>
      </c>
      <c r="M54" s="1" t="s">
        <v>258</v>
      </c>
      <c r="N54" s="3">
        <v>38</v>
      </c>
      <c r="O54" s="4">
        <v>44957</v>
      </c>
      <c r="P54" s="5" t="s">
        <v>259</v>
      </c>
      <c r="Q54" s="3">
        <v>15</v>
      </c>
      <c r="R54" s="6">
        <v>22.7</v>
      </c>
      <c r="S54" s="7" t="s">
        <v>34</v>
      </c>
      <c r="T54" s="4">
        <v>47299</v>
      </c>
      <c r="U54" s="4">
        <v>37500</v>
      </c>
      <c r="V54" s="4">
        <f t="shared" ca="1" si="6"/>
        <v>45919</v>
      </c>
      <c r="W54" s="8">
        <f ca="1">(V54-U54)/365.25</f>
        <v>23.049965776865161</v>
      </c>
    </row>
    <row r="55" spans="1:23" x14ac:dyDescent="0.2">
      <c r="A55" s="1" t="s">
        <v>24</v>
      </c>
      <c r="B55" s="1" t="s">
        <v>25</v>
      </c>
      <c r="C55" s="1" t="s">
        <v>26</v>
      </c>
      <c r="D55" s="5" t="s">
        <v>39</v>
      </c>
      <c r="E55" s="1">
        <v>5</v>
      </c>
      <c r="F55" s="1" t="s">
        <v>260</v>
      </c>
      <c r="G55" s="1" t="s">
        <v>261</v>
      </c>
      <c r="I55" s="1" t="s">
        <v>146</v>
      </c>
      <c r="J55" s="1" t="s">
        <v>146</v>
      </c>
      <c r="K55" s="1" t="s">
        <v>44</v>
      </c>
      <c r="M55" s="1" t="s">
        <v>262</v>
      </c>
      <c r="N55" s="3">
        <v>24</v>
      </c>
      <c r="O55" s="4">
        <v>44781</v>
      </c>
      <c r="P55" s="5" t="s">
        <v>263</v>
      </c>
      <c r="Q55" s="3">
        <v>17</v>
      </c>
      <c r="R55" s="6">
        <v>15</v>
      </c>
      <c r="S55" s="7" t="s">
        <v>34</v>
      </c>
      <c r="T55" s="4">
        <v>46203</v>
      </c>
      <c r="U55" s="4">
        <v>35560</v>
      </c>
      <c r="V55" s="4">
        <f t="shared" ca="1" si="6"/>
        <v>45919</v>
      </c>
      <c r="W55" s="8">
        <f t="shared" ca="1" si="7"/>
        <v>28.361396303901437</v>
      </c>
    </row>
    <row r="56" spans="1:23" x14ac:dyDescent="0.2">
      <c r="A56" s="1" t="s">
        <v>24</v>
      </c>
      <c r="B56" s="1" t="s">
        <v>25</v>
      </c>
      <c r="C56" s="1" t="s">
        <v>26</v>
      </c>
      <c r="D56" s="5" t="s">
        <v>39</v>
      </c>
      <c r="E56" s="1">
        <v>2</v>
      </c>
      <c r="F56" s="1" t="s">
        <v>264</v>
      </c>
      <c r="G56" s="1" t="s">
        <v>265</v>
      </c>
      <c r="I56" s="1" t="s">
        <v>52</v>
      </c>
      <c r="J56" s="1" t="s">
        <v>30</v>
      </c>
      <c r="K56" s="1" t="s">
        <v>44</v>
      </c>
      <c r="M56" s="1" t="s">
        <v>266</v>
      </c>
      <c r="N56" s="3">
        <v>18</v>
      </c>
      <c r="O56" s="4">
        <v>45503</v>
      </c>
      <c r="P56" s="5" t="s">
        <v>267</v>
      </c>
      <c r="Q56" s="3">
        <v>10</v>
      </c>
      <c r="R56" s="6">
        <v>15.2</v>
      </c>
      <c r="S56" s="7" t="s">
        <v>66</v>
      </c>
      <c r="T56" s="4">
        <v>47664</v>
      </c>
      <c r="U56" s="4">
        <v>38456</v>
      </c>
      <c r="V56" s="4">
        <f t="shared" ca="1" si="6"/>
        <v>45919</v>
      </c>
      <c r="W56" s="8">
        <f ca="1">(V56-U56)/365.25</f>
        <v>20.432580424366872</v>
      </c>
    </row>
    <row r="57" spans="1:23" x14ac:dyDescent="0.2">
      <c r="A57" s="1" t="s">
        <v>24</v>
      </c>
      <c r="B57" s="1" t="s">
        <v>25</v>
      </c>
      <c r="C57" s="1" t="s">
        <v>26</v>
      </c>
      <c r="D57" s="5" t="s">
        <v>39</v>
      </c>
      <c r="E57" s="1">
        <v>23</v>
      </c>
      <c r="F57" s="1" t="s">
        <v>268</v>
      </c>
      <c r="G57" s="1" t="s">
        <v>269</v>
      </c>
      <c r="I57" s="1" t="s">
        <v>24</v>
      </c>
      <c r="J57" s="1" t="s">
        <v>24</v>
      </c>
      <c r="K57" s="1" t="s">
        <v>44</v>
      </c>
      <c r="M57" s="1" t="s">
        <v>270</v>
      </c>
      <c r="N57" s="3">
        <v>2</v>
      </c>
      <c r="O57" s="4">
        <v>44566</v>
      </c>
      <c r="P57" s="5" t="s">
        <v>271</v>
      </c>
      <c r="Q57" s="3">
        <v>0</v>
      </c>
      <c r="R57" s="6">
        <v>1.2</v>
      </c>
      <c r="S57" s="7" t="s">
        <v>98</v>
      </c>
      <c r="T57" s="4">
        <v>46203</v>
      </c>
      <c r="U57" s="4">
        <v>37266</v>
      </c>
      <c r="V57" s="4">
        <f t="shared" ca="1" si="6"/>
        <v>45919</v>
      </c>
      <c r="W57" s="8">
        <f t="shared" ca="1" si="7"/>
        <v>23.690622861054074</v>
      </c>
    </row>
    <row r="58" spans="1:23" x14ac:dyDescent="0.2">
      <c r="A58" s="1" t="s">
        <v>24</v>
      </c>
      <c r="B58" s="1" t="s">
        <v>25</v>
      </c>
      <c r="C58" s="1" t="s">
        <v>26</v>
      </c>
      <c r="D58" s="5" t="s">
        <v>39</v>
      </c>
      <c r="E58" s="1">
        <v>3</v>
      </c>
      <c r="F58" s="1" t="s">
        <v>272</v>
      </c>
      <c r="G58" s="1" t="s">
        <v>273</v>
      </c>
      <c r="I58" s="1" t="s">
        <v>274</v>
      </c>
      <c r="J58" s="1" t="s">
        <v>274</v>
      </c>
      <c r="K58" s="1" t="s">
        <v>63</v>
      </c>
      <c r="M58" s="1" t="s">
        <v>275</v>
      </c>
      <c r="N58" s="3">
        <v>28</v>
      </c>
      <c r="O58" s="4">
        <v>45127</v>
      </c>
      <c r="P58" s="5" t="s">
        <v>276</v>
      </c>
      <c r="Q58" s="3">
        <v>15</v>
      </c>
      <c r="R58" s="6">
        <v>17.87</v>
      </c>
      <c r="S58" s="7" t="s">
        <v>34</v>
      </c>
      <c r="T58" s="4">
        <v>46934</v>
      </c>
      <c r="U58" s="4">
        <v>37932</v>
      </c>
      <c r="V58" s="4">
        <f t="shared" ca="1" si="6"/>
        <v>45919</v>
      </c>
      <c r="W58" s="8">
        <f t="shared" ca="1" si="7"/>
        <v>21.867214236824093</v>
      </c>
    </row>
    <row r="59" spans="1:23" x14ac:dyDescent="0.2">
      <c r="A59" s="1" t="s">
        <v>24</v>
      </c>
      <c r="B59" s="1" t="s">
        <v>25</v>
      </c>
      <c r="C59" s="1" t="s">
        <v>26</v>
      </c>
      <c r="D59" s="5" t="s">
        <v>39</v>
      </c>
      <c r="E59" s="1">
        <v>37</v>
      </c>
      <c r="F59" s="1" t="s">
        <v>277</v>
      </c>
      <c r="G59" s="1" t="s">
        <v>278</v>
      </c>
      <c r="I59" s="1" t="s">
        <v>24</v>
      </c>
      <c r="J59" s="1" t="s">
        <v>24</v>
      </c>
      <c r="K59" s="1" t="s">
        <v>63</v>
      </c>
      <c r="M59" s="1" t="s">
        <v>279</v>
      </c>
      <c r="N59" s="3">
        <v>16</v>
      </c>
      <c r="O59" s="4">
        <v>45148</v>
      </c>
      <c r="P59" s="5" t="s">
        <v>228</v>
      </c>
      <c r="Q59" s="3">
        <v>16</v>
      </c>
      <c r="R59" s="6">
        <v>8.1</v>
      </c>
      <c r="S59" s="7" t="s">
        <v>34</v>
      </c>
      <c r="T59" s="4" t="s">
        <v>35</v>
      </c>
      <c r="U59" s="4">
        <v>36529</v>
      </c>
      <c r="V59" s="4">
        <f t="shared" ca="1" si="6"/>
        <v>45919</v>
      </c>
      <c r="W59" s="8">
        <f ca="1">(V59-U59)/365.25</f>
        <v>25.708418891170432</v>
      </c>
    </row>
    <row r="60" spans="1:23" x14ac:dyDescent="0.2">
      <c r="A60" s="1" t="s">
        <v>24</v>
      </c>
      <c r="B60" s="1" t="s">
        <v>25</v>
      </c>
      <c r="C60" s="1" t="s">
        <v>26</v>
      </c>
      <c r="D60" s="5" t="s">
        <v>39</v>
      </c>
      <c r="E60" s="1">
        <v>22</v>
      </c>
      <c r="F60" s="1" t="s">
        <v>280</v>
      </c>
      <c r="G60" s="1" t="s">
        <v>281</v>
      </c>
      <c r="I60" s="1" t="s">
        <v>282</v>
      </c>
      <c r="J60" s="1" t="s">
        <v>283</v>
      </c>
      <c r="K60" s="1" t="s">
        <v>80</v>
      </c>
      <c r="M60" s="1" t="s">
        <v>284</v>
      </c>
      <c r="N60" s="3">
        <v>10</v>
      </c>
      <c r="O60" s="4">
        <v>45517</v>
      </c>
      <c r="P60" s="5" t="s">
        <v>285</v>
      </c>
      <c r="Q60" s="3">
        <v>8</v>
      </c>
      <c r="R60" s="6">
        <v>10</v>
      </c>
      <c r="S60" s="7" t="s">
        <v>66</v>
      </c>
      <c r="T60" s="4">
        <v>47299</v>
      </c>
      <c r="U60" s="4">
        <v>37116</v>
      </c>
      <c r="V60" s="4">
        <f t="shared" ca="1" si="6"/>
        <v>45919</v>
      </c>
      <c r="W60" s="8">
        <f t="shared" ca="1" si="7"/>
        <v>24.101300479123889</v>
      </c>
    </row>
    <row r="61" spans="1:23" x14ac:dyDescent="0.2">
      <c r="A61" s="1" t="s">
        <v>24</v>
      </c>
      <c r="B61" s="1" t="s">
        <v>25</v>
      </c>
      <c r="C61" s="1" t="s">
        <v>26</v>
      </c>
      <c r="D61" s="5" t="s">
        <v>39</v>
      </c>
      <c r="E61" s="1">
        <v>15</v>
      </c>
      <c r="F61" s="1" t="s">
        <v>286</v>
      </c>
      <c r="G61" s="1" t="s">
        <v>287</v>
      </c>
      <c r="I61" s="1" t="s">
        <v>24</v>
      </c>
      <c r="J61" s="1" t="s">
        <v>24</v>
      </c>
      <c r="K61" s="1" t="s">
        <v>80</v>
      </c>
      <c r="M61" s="1" t="s">
        <v>288</v>
      </c>
      <c r="N61" s="3">
        <v>1</v>
      </c>
      <c r="O61" s="4">
        <v>41667</v>
      </c>
      <c r="P61" s="5" t="s">
        <v>289</v>
      </c>
      <c r="Q61" s="3">
        <v>0.3</v>
      </c>
      <c r="R61" s="6" t="s">
        <v>290</v>
      </c>
      <c r="S61" s="7" t="s">
        <v>98</v>
      </c>
      <c r="T61" s="4">
        <v>46203</v>
      </c>
      <c r="U61" s="4">
        <v>33357</v>
      </c>
      <c r="V61" s="4">
        <f t="shared" ca="1" si="6"/>
        <v>45919</v>
      </c>
      <c r="W61" s="8">
        <f t="shared" ca="1" si="7"/>
        <v>34.392881587953454</v>
      </c>
    </row>
    <row r="62" spans="1:23" x14ac:dyDescent="0.2">
      <c r="A62" s="1" t="s">
        <v>24</v>
      </c>
      <c r="B62" s="1" t="s">
        <v>25</v>
      </c>
      <c r="C62" s="1" t="s">
        <v>26</v>
      </c>
      <c r="D62" s="5" t="s">
        <v>39</v>
      </c>
      <c r="E62" s="1">
        <v>12</v>
      </c>
      <c r="F62" s="1" t="s">
        <v>291</v>
      </c>
      <c r="G62" s="1" t="s">
        <v>292</v>
      </c>
      <c r="I62" s="1" t="s">
        <v>282</v>
      </c>
      <c r="J62" s="1" t="s">
        <v>282</v>
      </c>
      <c r="K62" s="1" t="s">
        <v>95</v>
      </c>
      <c r="M62" s="1" t="s">
        <v>293</v>
      </c>
      <c r="N62" s="3">
        <v>15</v>
      </c>
      <c r="O62" s="4">
        <v>45158</v>
      </c>
      <c r="P62" s="5" t="s">
        <v>294</v>
      </c>
      <c r="Q62" s="3">
        <v>18</v>
      </c>
      <c r="R62" s="6">
        <v>26.9</v>
      </c>
      <c r="S62" s="7" t="s">
        <v>34</v>
      </c>
      <c r="T62" s="4">
        <v>46934</v>
      </c>
      <c r="U62" s="4">
        <v>36205</v>
      </c>
      <c r="V62" s="4">
        <f t="shared" ca="1" si="6"/>
        <v>45919</v>
      </c>
      <c r="W62" s="8">
        <f ca="1">(V62-U62)/365.25</f>
        <v>26.595482546201232</v>
      </c>
    </row>
    <row r="63" spans="1:23" x14ac:dyDescent="0.2">
      <c r="A63" s="1" t="s">
        <v>24</v>
      </c>
      <c r="B63" s="1" t="s">
        <v>25</v>
      </c>
      <c r="C63" s="1" t="s">
        <v>26</v>
      </c>
      <c r="D63" s="5" t="s">
        <v>39</v>
      </c>
      <c r="E63" s="1">
        <v>8</v>
      </c>
      <c r="F63" s="1" t="s">
        <v>295</v>
      </c>
      <c r="G63" s="1" t="s">
        <v>296</v>
      </c>
      <c r="I63" s="1" t="s">
        <v>24</v>
      </c>
      <c r="J63" s="1" t="s">
        <v>24</v>
      </c>
      <c r="K63" s="1" t="s">
        <v>89</v>
      </c>
      <c r="M63" s="1" t="s">
        <v>297</v>
      </c>
      <c r="N63" s="3">
        <v>20</v>
      </c>
      <c r="O63" s="4">
        <v>45148</v>
      </c>
      <c r="P63" s="5" t="s">
        <v>298</v>
      </c>
      <c r="Q63" s="3">
        <v>20</v>
      </c>
      <c r="R63" s="6">
        <v>23</v>
      </c>
      <c r="S63" s="7" t="s">
        <v>34</v>
      </c>
      <c r="T63" s="4">
        <v>46934</v>
      </c>
      <c r="U63" s="4">
        <v>37854</v>
      </c>
      <c r="V63" s="4">
        <f t="shared" ca="1" si="6"/>
        <v>45919</v>
      </c>
      <c r="W63" s="8">
        <f t="shared" ref="W63" ca="1" si="8">(V63-U63)/365.25</f>
        <v>22.080766598220396</v>
      </c>
    </row>
    <row r="64" spans="1:23" x14ac:dyDescent="0.2">
      <c r="A64" s="1" t="s">
        <v>24</v>
      </c>
      <c r="B64" s="1" t="s">
        <v>25</v>
      </c>
      <c r="C64" s="1" t="s">
        <v>26</v>
      </c>
      <c r="D64" s="5" t="s">
        <v>39</v>
      </c>
      <c r="E64" s="1">
        <v>4</v>
      </c>
      <c r="F64" s="1" t="s">
        <v>299</v>
      </c>
      <c r="G64" s="1" t="s">
        <v>300</v>
      </c>
      <c r="I64" s="1" t="s">
        <v>24</v>
      </c>
      <c r="J64" s="1" t="s">
        <v>24</v>
      </c>
      <c r="K64" s="1" t="s">
        <v>89</v>
      </c>
      <c r="M64" s="1" t="s">
        <v>301</v>
      </c>
      <c r="N64" s="3">
        <v>14</v>
      </c>
      <c r="O64" s="4">
        <v>42559</v>
      </c>
      <c r="P64" s="5" t="s">
        <v>294</v>
      </c>
      <c r="Q64" s="3">
        <v>4</v>
      </c>
      <c r="R64" s="6">
        <v>7</v>
      </c>
      <c r="S64" s="7" t="s">
        <v>34</v>
      </c>
      <c r="T64" s="4">
        <v>46934</v>
      </c>
      <c r="U64" s="4">
        <v>35464</v>
      </c>
      <c r="V64" s="4">
        <f t="shared" ca="1" si="6"/>
        <v>45919</v>
      </c>
      <c r="W64" s="8">
        <f t="shared" ca="1" si="7"/>
        <v>28.624229979466119</v>
      </c>
    </row>
    <row r="65" spans="1:23" x14ac:dyDescent="0.2">
      <c r="A65" s="1" t="s">
        <v>24</v>
      </c>
      <c r="B65" s="1" t="s">
        <v>25</v>
      </c>
      <c r="C65" s="1" t="s">
        <v>26</v>
      </c>
      <c r="D65" s="5" t="s">
        <v>39</v>
      </c>
      <c r="E65" s="1">
        <v>29</v>
      </c>
      <c r="F65" s="1" t="s">
        <v>302</v>
      </c>
      <c r="G65" s="1" t="s">
        <v>303</v>
      </c>
      <c r="I65" s="1" t="s">
        <v>304</v>
      </c>
      <c r="J65" s="1" t="s">
        <v>304</v>
      </c>
      <c r="K65" s="1" t="s">
        <v>89</v>
      </c>
      <c r="M65" s="1" t="s">
        <v>305</v>
      </c>
      <c r="N65" s="3">
        <v>14</v>
      </c>
      <c r="O65" s="4">
        <v>43675</v>
      </c>
      <c r="P65" s="5" t="s">
        <v>306</v>
      </c>
      <c r="Q65" s="3">
        <v>7</v>
      </c>
      <c r="R65" s="6">
        <v>16.5</v>
      </c>
      <c r="S65" s="7" t="s">
        <v>34</v>
      </c>
      <c r="T65" s="4">
        <v>46568</v>
      </c>
      <c r="U65" s="4">
        <v>35227</v>
      </c>
      <c r="V65" s="4">
        <f t="shared" ca="1" si="6"/>
        <v>45919</v>
      </c>
      <c r="W65" s="8">
        <f ca="1">(V65-U65)/365.25</f>
        <v>29.273100616016428</v>
      </c>
    </row>
    <row r="66" spans="1:23" x14ac:dyDescent="0.2">
      <c r="A66" s="1" t="s">
        <v>24</v>
      </c>
      <c r="B66" s="1" t="s">
        <v>25</v>
      </c>
      <c r="C66" s="1" t="s">
        <v>26</v>
      </c>
      <c r="D66" s="5" t="s">
        <v>39</v>
      </c>
      <c r="E66" s="1">
        <v>10</v>
      </c>
      <c r="F66" s="1" t="s">
        <v>307</v>
      </c>
      <c r="G66" s="1" t="s">
        <v>308</v>
      </c>
      <c r="I66" s="1" t="s">
        <v>75</v>
      </c>
      <c r="J66" s="1" t="s">
        <v>75</v>
      </c>
      <c r="K66" s="1" t="s">
        <v>89</v>
      </c>
      <c r="M66" s="1" t="s">
        <v>309</v>
      </c>
      <c r="N66" s="3">
        <v>12</v>
      </c>
      <c r="O66" s="4">
        <v>44439</v>
      </c>
      <c r="P66" s="5" t="s">
        <v>77</v>
      </c>
      <c r="Q66" s="3">
        <v>7</v>
      </c>
      <c r="R66" s="6">
        <v>2.9</v>
      </c>
      <c r="S66" s="7" t="s">
        <v>34</v>
      </c>
      <c r="T66" s="4">
        <v>46568</v>
      </c>
      <c r="U66" s="4">
        <v>34752</v>
      </c>
      <c r="V66" s="4">
        <f t="shared" ca="1" si="6"/>
        <v>45919</v>
      </c>
      <c r="W66" s="8">
        <f ca="1">(V66-U66)/365.25</f>
        <v>30.573579739904176</v>
      </c>
    </row>
    <row r="67" spans="1:23" x14ac:dyDescent="0.2">
      <c r="A67" s="1" t="s">
        <v>24</v>
      </c>
      <c r="B67" s="1" t="s">
        <v>25</v>
      </c>
      <c r="C67" s="1" t="s">
        <v>26</v>
      </c>
      <c r="D67" s="5" t="s">
        <v>39</v>
      </c>
      <c r="E67" s="1">
        <v>16</v>
      </c>
      <c r="F67" s="1" t="s">
        <v>310</v>
      </c>
      <c r="G67" s="1" t="s">
        <v>311</v>
      </c>
      <c r="I67" s="1" t="s">
        <v>24</v>
      </c>
      <c r="J67" s="1" t="s">
        <v>24</v>
      </c>
      <c r="K67" s="1" t="s">
        <v>120</v>
      </c>
      <c r="M67" s="1" t="s">
        <v>312</v>
      </c>
      <c r="N67" s="3">
        <v>20</v>
      </c>
      <c r="O67" s="4">
        <v>44774</v>
      </c>
      <c r="P67" s="5" t="s">
        <v>225</v>
      </c>
      <c r="Q67" s="3">
        <v>4.5</v>
      </c>
      <c r="R67" s="6">
        <v>11.9</v>
      </c>
      <c r="S67" s="7" t="s">
        <v>34</v>
      </c>
      <c r="T67" s="4">
        <v>46934</v>
      </c>
      <c r="U67" s="4">
        <v>36241</v>
      </c>
      <c r="V67" s="4">
        <f t="shared" ca="1" si="6"/>
        <v>45919</v>
      </c>
      <c r="W67" s="8">
        <f ca="1">(V67-U67)/365.25</f>
        <v>26.496919917864478</v>
      </c>
    </row>
    <row r="68" spans="1:23" x14ac:dyDescent="0.2">
      <c r="A68" s="1" t="s">
        <v>24</v>
      </c>
      <c r="B68" s="1" t="s">
        <v>25</v>
      </c>
      <c r="C68" s="1" t="s">
        <v>26</v>
      </c>
      <c r="D68" s="5" t="s">
        <v>39</v>
      </c>
      <c r="E68" s="1">
        <v>19</v>
      </c>
      <c r="F68" s="1" t="s">
        <v>313</v>
      </c>
      <c r="G68" s="1" t="s">
        <v>314</v>
      </c>
      <c r="I68" s="1" t="s">
        <v>52</v>
      </c>
      <c r="J68" s="1" t="s">
        <v>52</v>
      </c>
      <c r="K68" s="1" t="s">
        <v>120</v>
      </c>
      <c r="M68" s="1" t="s">
        <v>315</v>
      </c>
      <c r="N68" s="3">
        <v>22</v>
      </c>
      <c r="O68" s="4">
        <v>45108</v>
      </c>
      <c r="P68" s="5" t="s">
        <v>157</v>
      </c>
      <c r="Q68" s="3">
        <v>14</v>
      </c>
      <c r="R68" s="6">
        <v>10.8</v>
      </c>
      <c r="S68" s="7" t="s">
        <v>34</v>
      </c>
      <c r="T68" s="4">
        <v>46934</v>
      </c>
      <c r="U68" s="4">
        <v>36285</v>
      </c>
      <c r="V68" s="4">
        <f t="shared" ca="1" si="6"/>
        <v>45919</v>
      </c>
      <c r="W68" s="8">
        <f ca="1">(V68-U68)/365.25</f>
        <v>26.376454483230663</v>
      </c>
    </row>
    <row r="69" spans="1:23" x14ac:dyDescent="0.2">
      <c r="A69" s="1" t="s">
        <v>24</v>
      </c>
      <c r="B69" s="1" t="s">
        <v>25</v>
      </c>
      <c r="C69" s="1" t="s">
        <v>26</v>
      </c>
      <c r="D69" s="5" t="s">
        <v>39</v>
      </c>
      <c r="E69" s="1">
        <v>11</v>
      </c>
      <c r="F69" s="1" t="s">
        <v>316</v>
      </c>
      <c r="G69" s="1" t="s">
        <v>317</v>
      </c>
      <c r="I69" s="1" t="s">
        <v>318</v>
      </c>
      <c r="J69" s="1" t="s">
        <v>318</v>
      </c>
      <c r="K69" s="1" t="s">
        <v>120</v>
      </c>
      <c r="M69" s="1" t="s">
        <v>319</v>
      </c>
      <c r="N69" s="3">
        <v>20</v>
      </c>
      <c r="O69" s="4">
        <v>44945</v>
      </c>
      <c r="P69" s="5" t="s">
        <v>320</v>
      </c>
      <c r="Q69" s="3">
        <v>10</v>
      </c>
      <c r="R69" s="6">
        <v>22.5</v>
      </c>
      <c r="S69" s="7" t="s">
        <v>34</v>
      </c>
      <c r="T69" s="4">
        <v>46934</v>
      </c>
      <c r="U69" s="4">
        <v>37298</v>
      </c>
      <c r="V69" s="4">
        <f t="shared" ca="1" si="6"/>
        <v>45919</v>
      </c>
      <c r="W69" s="8">
        <f t="shared" ca="1" si="7"/>
        <v>23.603011635865844</v>
      </c>
    </row>
    <row r="70" spans="1:23" x14ac:dyDescent="0.2">
      <c r="A70" s="1" t="s">
        <v>24</v>
      </c>
      <c r="B70" s="1" t="s">
        <v>25</v>
      </c>
      <c r="C70" s="1" t="s">
        <v>26</v>
      </c>
      <c r="D70" s="5" t="s">
        <v>39</v>
      </c>
      <c r="E70" s="1">
        <v>17</v>
      </c>
      <c r="F70" s="1" t="s">
        <v>321</v>
      </c>
      <c r="G70" s="1" t="s">
        <v>322</v>
      </c>
      <c r="I70" s="1" t="s">
        <v>242</v>
      </c>
      <c r="J70" s="1" t="s">
        <v>242</v>
      </c>
      <c r="K70" s="1" t="s">
        <v>120</v>
      </c>
      <c r="M70" s="1" t="s">
        <v>323</v>
      </c>
      <c r="N70" s="3">
        <v>17</v>
      </c>
      <c r="O70" s="4">
        <v>45170</v>
      </c>
      <c r="P70" s="5" t="s">
        <v>294</v>
      </c>
      <c r="Q70" s="3">
        <v>22</v>
      </c>
      <c r="R70" s="6">
        <v>23.4</v>
      </c>
      <c r="S70" s="7" t="s">
        <v>34</v>
      </c>
      <c r="T70" s="4" t="s">
        <v>35</v>
      </c>
      <c r="U70" s="4">
        <v>36328</v>
      </c>
      <c r="V70" s="4">
        <f t="shared" ca="1" si="6"/>
        <v>45919</v>
      </c>
      <c r="W70" s="8">
        <f t="shared" ca="1" si="7"/>
        <v>26.258726899383984</v>
      </c>
    </row>
    <row r="71" spans="1:23" x14ac:dyDescent="0.2">
      <c r="A71" s="1" t="s">
        <v>24</v>
      </c>
      <c r="B71" s="1" t="s">
        <v>25</v>
      </c>
      <c r="C71" s="1" t="s">
        <v>26</v>
      </c>
      <c r="D71" s="5" t="s">
        <v>39</v>
      </c>
      <c r="E71" s="1">
        <v>24</v>
      </c>
      <c r="F71" s="1" t="s">
        <v>324</v>
      </c>
      <c r="G71" s="1" t="s">
        <v>325</v>
      </c>
      <c r="I71" s="1" t="s">
        <v>24</v>
      </c>
      <c r="J71" s="1" t="s">
        <v>94</v>
      </c>
      <c r="K71" s="1" t="s">
        <v>133</v>
      </c>
      <c r="M71" s="1" t="s">
        <v>326</v>
      </c>
      <c r="N71" s="3">
        <v>28</v>
      </c>
      <c r="O71" s="4">
        <v>44953</v>
      </c>
      <c r="P71" s="5" t="s">
        <v>298</v>
      </c>
      <c r="Q71" s="3">
        <v>3</v>
      </c>
      <c r="R71" s="6">
        <v>10.25</v>
      </c>
      <c r="S71" s="7" t="s">
        <v>34</v>
      </c>
      <c r="T71" s="4">
        <v>47299</v>
      </c>
      <c r="U71" s="4">
        <v>36532</v>
      </c>
      <c r="V71" s="4">
        <f t="shared" ca="1" si="6"/>
        <v>45919</v>
      </c>
      <c r="W71" s="8">
        <f t="shared" ca="1" si="7"/>
        <v>25.700205338809035</v>
      </c>
    </row>
    <row r="72" spans="1:23" x14ac:dyDescent="0.2">
      <c r="A72" s="1" t="s">
        <v>24</v>
      </c>
      <c r="B72" s="1" t="s">
        <v>25</v>
      </c>
      <c r="C72" s="1" t="s">
        <v>26</v>
      </c>
      <c r="D72" s="5" t="s">
        <v>39</v>
      </c>
      <c r="E72" s="1">
        <v>7</v>
      </c>
      <c r="F72" s="1" t="s">
        <v>28</v>
      </c>
      <c r="G72" s="1" t="s">
        <v>327</v>
      </c>
      <c r="I72" s="1" t="s">
        <v>24</v>
      </c>
      <c r="J72" s="1" t="s">
        <v>328</v>
      </c>
      <c r="K72" s="1" t="s">
        <v>133</v>
      </c>
      <c r="M72" s="1" t="s">
        <v>329</v>
      </c>
      <c r="N72" s="3">
        <v>9</v>
      </c>
      <c r="O72" s="4">
        <v>43282</v>
      </c>
      <c r="P72" s="5" t="s">
        <v>330</v>
      </c>
      <c r="Q72" s="3">
        <v>5</v>
      </c>
      <c r="R72" s="6">
        <v>11.3</v>
      </c>
      <c r="S72" s="7" t="s">
        <v>196</v>
      </c>
      <c r="T72" s="4">
        <v>46203</v>
      </c>
      <c r="U72" s="4">
        <v>35619</v>
      </c>
      <c r="V72" s="4">
        <f t="shared" ca="1" si="6"/>
        <v>45919</v>
      </c>
      <c r="W72" s="8">
        <f t="shared" ca="1" si="7"/>
        <v>28.199863107460644</v>
      </c>
    </row>
    <row r="73" spans="1:23" x14ac:dyDescent="0.2">
      <c r="A73" s="1" t="s">
        <v>24</v>
      </c>
      <c r="B73" s="1" t="s">
        <v>25</v>
      </c>
      <c r="C73" s="1" t="s">
        <v>26</v>
      </c>
      <c r="D73" s="5" t="s">
        <v>39</v>
      </c>
      <c r="E73" s="1">
        <v>9</v>
      </c>
      <c r="F73" s="1" t="s">
        <v>35</v>
      </c>
      <c r="G73" s="1" t="s">
        <v>331</v>
      </c>
      <c r="I73" s="1" t="s">
        <v>37</v>
      </c>
      <c r="J73" s="1" t="s">
        <v>37</v>
      </c>
      <c r="K73" s="1" t="s">
        <v>139</v>
      </c>
      <c r="M73" s="1" t="s">
        <v>332</v>
      </c>
      <c r="N73" s="3">
        <v>35</v>
      </c>
      <c r="O73" s="4">
        <v>45520</v>
      </c>
      <c r="P73" s="5" t="s">
        <v>333</v>
      </c>
      <c r="Q73" s="3">
        <v>35</v>
      </c>
      <c r="R73" s="6">
        <v>37</v>
      </c>
      <c r="S73" s="7" t="s">
        <v>66</v>
      </c>
      <c r="T73" s="4" t="s">
        <v>35</v>
      </c>
      <c r="U73" s="4">
        <v>36439</v>
      </c>
      <c r="V73" s="4">
        <f t="shared" ca="1" si="6"/>
        <v>45919</v>
      </c>
      <c r="W73" s="8">
        <f ca="1">(V73-U73)/365.25</f>
        <v>25.95482546201232</v>
      </c>
    </row>
    <row r="74" spans="1:23" x14ac:dyDescent="0.2">
      <c r="A74" s="1" t="s">
        <v>24</v>
      </c>
      <c r="B74" s="1" t="s">
        <v>25</v>
      </c>
      <c r="C74" s="1" t="s">
        <v>26</v>
      </c>
      <c r="D74" s="5" t="s">
        <v>39</v>
      </c>
      <c r="E74" s="1">
        <v>26</v>
      </c>
      <c r="F74" s="1" t="s">
        <v>334</v>
      </c>
      <c r="G74" s="1" t="s">
        <v>335</v>
      </c>
      <c r="I74" s="1" t="s">
        <v>336</v>
      </c>
      <c r="J74" s="1" t="s">
        <v>336</v>
      </c>
      <c r="K74" s="1" t="s">
        <v>139</v>
      </c>
      <c r="M74" s="1" t="s">
        <v>337</v>
      </c>
      <c r="N74" s="3">
        <v>13</v>
      </c>
      <c r="O74" s="4">
        <v>45323</v>
      </c>
      <c r="P74" s="5" t="s">
        <v>338</v>
      </c>
      <c r="Q74" s="3">
        <v>25</v>
      </c>
      <c r="R74" s="6">
        <v>16.5</v>
      </c>
      <c r="S74" s="7" t="s">
        <v>34</v>
      </c>
      <c r="T74" s="4">
        <v>46934</v>
      </c>
      <c r="U74" s="4">
        <v>35560</v>
      </c>
      <c r="V74" s="4">
        <f t="shared" ca="1" si="6"/>
        <v>45919</v>
      </c>
      <c r="W74" s="8">
        <f t="shared" ca="1" si="7"/>
        <v>28.361396303901437</v>
      </c>
    </row>
    <row r="75" spans="1:23" x14ac:dyDescent="0.2">
      <c r="A75" s="1" t="s">
        <v>24</v>
      </c>
      <c r="B75" s="1" t="s">
        <v>25</v>
      </c>
      <c r="C75" s="1" t="s">
        <v>26</v>
      </c>
      <c r="D75" s="5" t="s">
        <v>33</v>
      </c>
      <c r="E75" s="1">
        <v>1</v>
      </c>
      <c r="F75" s="1" t="s">
        <v>248</v>
      </c>
      <c r="G75" s="1" t="s">
        <v>339</v>
      </c>
      <c r="I75" s="1" t="s">
        <v>52</v>
      </c>
      <c r="J75" s="1" t="s">
        <v>52</v>
      </c>
      <c r="K75" s="1" t="s">
        <v>31</v>
      </c>
      <c r="M75" s="1" t="s">
        <v>340</v>
      </c>
      <c r="N75" s="3">
        <v>10</v>
      </c>
      <c r="O75" s="4">
        <v>45108</v>
      </c>
      <c r="P75" s="5" t="s">
        <v>341</v>
      </c>
      <c r="Q75" s="3">
        <v>10</v>
      </c>
      <c r="R75" s="6">
        <v>13</v>
      </c>
      <c r="S75" s="7" t="s">
        <v>34</v>
      </c>
      <c r="T75" s="4">
        <v>46568</v>
      </c>
      <c r="U75" s="4">
        <v>34133</v>
      </c>
      <c r="V75" s="4">
        <f ca="1">TODAY()</f>
        <v>45919</v>
      </c>
      <c r="W75" s="8">
        <f ca="1">(V75-U75)/365.25</f>
        <v>32.268309377138948</v>
      </c>
    </row>
    <row r="76" spans="1:23" x14ac:dyDescent="0.2">
      <c r="A76" s="1" t="s">
        <v>24</v>
      </c>
      <c r="B76" s="1" t="s">
        <v>25</v>
      </c>
      <c r="C76" s="1" t="s">
        <v>26</v>
      </c>
      <c r="D76" s="5" t="s">
        <v>33</v>
      </c>
      <c r="E76" s="1">
        <v>12</v>
      </c>
      <c r="F76" s="1" t="s">
        <v>342</v>
      </c>
      <c r="G76" s="1" t="s">
        <v>343</v>
      </c>
      <c r="I76" s="1" t="s">
        <v>344</v>
      </c>
      <c r="J76" s="1" t="s">
        <v>344</v>
      </c>
      <c r="K76" s="1" t="s">
        <v>31</v>
      </c>
      <c r="M76" s="1" t="s">
        <v>345</v>
      </c>
      <c r="N76" s="3">
        <v>2.5</v>
      </c>
      <c r="O76" s="4">
        <v>45317</v>
      </c>
      <c r="P76" s="5" t="s">
        <v>346</v>
      </c>
      <c r="Q76" s="3">
        <v>1.8</v>
      </c>
      <c r="R76" s="6">
        <v>3</v>
      </c>
      <c r="S76" s="7" t="s">
        <v>34</v>
      </c>
      <c r="T76" s="4">
        <v>46934</v>
      </c>
      <c r="U76" s="4">
        <v>37177</v>
      </c>
      <c r="V76" s="4">
        <f t="shared" ref="V76:V103" ca="1" si="9">TODAY()</f>
        <v>45919</v>
      </c>
      <c r="W76" s="8">
        <f t="shared" ref="W76:W99" ca="1" si="10">(V76-U76)/365.25</f>
        <v>23.93429158110883</v>
      </c>
    </row>
    <row r="77" spans="1:23" x14ac:dyDescent="0.2">
      <c r="A77" s="1" t="s">
        <v>24</v>
      </c>
      <c r="B77" s="1" t="s">
        <v>25</v>
      </c>
      <c r="C77" s="1" t="s">
        <v>26</v>
      </c>
      <c r="D77" s="5" t="s">
        <v>33</v>
      </c>
      <c r="E77" s="1">
        <v>13</v>
      </c>
      <c r="F77" s="1" t="s">
        <v>347</v>
      </c>
      <c r="G77" s="1" t="s">
        <v>348</v>
      </c>
      <c r="I77" s="1" t="s">
        <v>24</v>
      </c>
      <c r="J77" s="1" t="s">
        <v>24</v>
      </c>
      <c r="K77" s="1" t="s">
        <v>31</v>
      </c>
      <c r="M77" s="1" t="s">
        <v>349</v>
      </c>
      <c r="N77" s="3">
        <v>0.8</v>
      </c>
      <c r="O77" s="4">
        <v>44743</v>
      </c>
      <c r="P77" s="9" t="s">
        <v>350</v>
      </c>
      <c r="Q77" s="3">
        <v>0</v>
      </c>
      <c r="R77" s="6">
        <v>0</v>
      </c>
      <c r="S77" s="7" t="s">
        <v>98</v>
      </c>
      <c r="T77" s="4">
        <v>46568</v>
      </c>
      <c r="U77" s="4">
        <v>36974</v>
      </c>
      <c r="V77" s="4">
        <f t="shared" ca="1" si="9"/>
        <v>45919</v>
      </c>
      <c r="W77" s="8">
        <f t="shared" ca="1" si="10"/>
        <v>24.490075290896645</v>
      </c>
    </row>
    <row r="78" spans="1:23" x14ac:dyDescent="0.2">
      <c r="A78" s="1" t="s">
        <v>24</v>
      </c>
      <c r="B78" s="1" t="s">
        <v>25</v>
      </c>
      <c r="C78" s="1" t="s">
        <v>26</v>
      </c>
      <c r="D78" s="5" t="s">
        <v>33</v>
      </c>
      <c r="E78" s="1">
        <v>22</v>
      </c>
      <c r="F78" s="1" t="s">
        <v>351</v>
      </c>
      <c r="G78" s="1" t="s">
        <v>352</v>
      </c>
      <c r="I78" s="1" t="s">
        <v>250</v>
      </c>
      <c r="J78" s="1" t="s">
        <v>250</v>
      </c>
      <c r="K78" s="1" t="s">
        <v>44</v>
      </c>
      <c r="M78" s="1" t="s">
        <v>353</v>
      </c>
      <c r="N78" s="3">
        <v>28</v>
      </c>
      <c r="O78" s="4">
        <v>45111</v>
      </c>
      <c r="P78" s="5" t="s">
        <v>175</v>
      </c>
      <c r="Q78" s="3">
        <v>22</v>
      </c>
      <c r="R78" s="6">
        <v>26.85</v>
      </c>
      <c r="S78" s="7" t="s">
        <v>34</v>
      </c>
      <c r="T78" s="4">
        <v>47299</v>
      </c>
      <c r="U78" s="4">
        <v>37011</v>
      </c>
      <c r="V78" s="4">
        <f t="shared" ca="1" si="9"/>
        <v>45919</v>
      </c>
      <c r="W78" s="8">
        <f ca="1">(V78-U78)/365.25</f>
        <v>24.388774811772759</v>
      </c>
    </row>
    <row r="79" spans="1:23" x14ac:dyDescent="0.2">
      <c r="A79" s="1" t="s">
        <v>24</v>
      </c>
      <c r="B79" s="1" t="s">
        <v>25</v>
      </c>
      <c r="C79" s="1" t="s">
        <v>26</v>
      </c>
      <c r="D79" s="5" t="s">
        <v>33</v>
      </c>
      <c r="E79" s="1">
        <v>4</v>
      </c>
      <c r="F79" s="1" t="s">
        <v>354</v>
      </c>
      <c r="G79" s="1" t="s">
        <v>355</v>
      </c>
      <c r="I79" s="1" t="s">
        <v>52</v>
      </c>
      <c r="J79" s="1" t="s">
        <v>52</v>
      </c>
      <c r="K79" s="1" t="s">
        <v>44</v>
      </c>
      <c r="M79" s="1" t="s">
        <v>356</v>
      </c>
      <c r="N79" s="3">
        <v>18</v>
      </c>
      <c r="O79" s="4">
        <v>45526</v>
      </c>
      <c r="P79" s="5" t="s">
        <v>357</v>
      </c>
      <c r="Q79" s="3">
        <v>12</v>
      </c>
      <c r="R79" s="6">
        <v>23.6</v>
      </c>
      <c r="S79" s="7" t="s">
        <v>66</v>
      </c>
      <c r="T79" s="4">
        <v>47299</v>
      </c>
      <c r="U79" s="4">
        <v>37245</v>
      </c>
      <c r="V79" s="4">
        <f t="shared" ca="1" si="9"/>
        <v>45919</v>
      </c>
      <c r="W79" s="8">
        <f t="shared" ca="1" si="10"/>
        <v>23.748117727583846</v>
      </c>
    </row>
    <row r="80" spans="1:23" x14ac:dyDescent="0.2">
      <c r="A80" s="1" t="s">
        <v>24</v>
      </c>
      <c r="B80" s="1" t="s">
        <v>25</v>
      </c>
      <c r="C80" s="1" t="s">
        <v>26</v>
      </c>
      <c r="D80" s="5" t="s">
        <v>33</v>
      </c>
      <c r="E80" s="1">
        <v>20</v>
      </c>
      <c r="F80" s="1" t="s">
        <v>358</v>
      </c>
      <c r="G80" s="1" t="s">
        <v>359</v>
      </c>
      <c r="I80" s="1" t="s">
        <v>112</v>
      </c>
      <c r="J80" s="1" t="s">
        <v>112</v>
      </c>
      <c r="K80" s="1" t="s">
        <v>44</v>
      </c>
      <c r="M80" s="1" t="s">
        <v>360</v>
      </c>
      <c r="N80" s="3">
        <v>18</v>
      </c>
      <c r="O80" s="4">
        <v>44398</v>
      </c>
      <c r="P80" s="5" t="s">
        <v>77</v>
      </c>
      <c r="Q80" s="3">
        <v>7</v>
      </c>
      <c r="R80" s="6">
        <v>15.7</v>
      </c>
      <c r="S80" s="7" t="s">
        <v>34</v>
      </c>
      <c r="T80" s="4">
        <v>46934</v>
      </c>
      <c r="U80" s="4">
        <v>35902</v>
      </c>
      <c r="V80" s="4">
        <f t="shared" ca="1" si="9"/>
        <v>45919</v>
      </c>
      <c r="W80" s="8">
        <f ca="1">(V80-U80)/365.25</f>
        <v>27.42505133470226</v>
      </c>
    </row>
    <row r="81" spans="1:23" x14ac:dyDescent="0.2">
      <c r="A81" s="1" t="s">
        <v>24</v>
      </c>
      <c r="B81" s="1" t="s">
        <v>25</v>
      </c>
      <c r="C81" s="1" t="s">
        <v>26</v>
      </c>
      <c r="D81" s="5" t="s">
        <v>33</v>
      </c>
      <c r="E81" s="1">
        <v>5</v>
      </c>
      <c r="F81" s="1" t="s">
        <v>116</v>
      </c>
      <c r="G81" s="1" t="s">
        <v>361</v>
      </c>
      <c r="I81" s="1" t="s">
        <v>24</v>
      </c>
      <c r="J81" s="1" t="s">
        <v>129</v>
      </c>
      <c r="K81" s="1" t="s">
        <v>44</v>
      </c>
      <c r="M81" s="1" t="s">
        <v>362</v>
      </c>
      <c r="N81" s="3">
        <v>8</v>
      </c>
      <c r="O81" s="4">
        <v>43648</v>
      </c>
      <c r="P81" s="5" t="s">
        <v>363</v>
      </c>
      <c r="Q81" s="3">
        <v>0.5</v>
      </c>
      <c r="R81" s="6">
        <v>3.35</v>
      </c>
      <c r="S81" s="7" t="s">
        <v>34</v>
      </c>
      <c r="T81" s="4">
        <v>46568</v>
      </c>
      <c r="U81" s="4">
        <v>34118</v>
      </c>
      <c r="V81" s="4">
        <f t="shared" ca="1" si="9"/>
        <v>45919</v>
      </c>
      <c r="W81" s="8">
        <f t="shared" ca="1" si="10"/>
        <v>32.309377138945926</v>
      </c>
    </row>
    <row r="82" spans="1:23" x14ac:dyDescent="0.2">
      <c r="A82" s="1" t="s">
        <v>24</v>
      </c>
      <c r="B82" s="1" t="s">
        <v>25</v>
      </c>
      <c r="C82" s="1" t="s">
        <v>26</v>
      </c>
      <c r="D82" s="5" t="s">
        <v>33</v>
      </c>
      <c r="E82" s="1">
        <v>16</v>
      </c>
      <c r="F82" s="1" t="s">
        <v>78</v>
      </c>
      <c r="G82" s="1" t="s">
        <v>364</v>
      </c>
      <c r="I82" s="1" t="s">
        <v>24</v>
      </c>
      <c r="J82" s="1" t="s">
        <v>24</v>
      </c>
      <c r="K82" s="1" t="s">
        <v>44</v>
      </c>
      <c r="M82" s="1" t="s">
        <v>365</v>
      </c>
      <c r="N82" s="3">
        <v>0.9</v>
      </c>
      <c r="O82" s="4">
        <v>44764</v>
      </c>
      <c r="P82" s="5" t="s">
        <v>366</v>
      </c>
      <c r="Q82" s="3">
        <v>2.5</v>
      </c>
      <c r="R82" s="6" t="s">
        <v>205</v>
      </c>
      <c r="S82" s="7" t="s">
        <v>98</v>
      </c>
      <c r="T82" s="4">
        <v>45838</v>
      </c>
      <c r="U82" s="4">
        <v>32772</v>
      </c>
      <c r="V82" s="4">
        <f t="shared" ca="1" si="9"/>
        <v>45919</v>
      </c>
      <c r="W82" s="8">
        <f t="shared" ca="1" si="10"/>
        <v>35.994524298425738</v>
      </c>
    </row>
    <row r="83" spans="1:23" x14ac:dyDescent="0.2">
      <c r="A83" s="1" t="s">
        <v>24</v>
      </c>
      <c r="B83" s="1" t="s">
        <v>25</v>
      </c>
      <c r="C83" s="1" t="s">
        <v>26</v>
      </c>
      <c r="D83" s="5" t="s">
        <v>33</v>
      </c>
      <c r="E83" s="1">
        <v>36</v>
      </c>
      <c r="F83" s="1" t="s">
        <v>367</v>
      </c>
      <c r="G83" s="1" t="s">
        <v>368</v>
      </c>
      <c r="I83" s="1" t="s">
        <v>369</v>
      </c>
      <c r="J83" s="1" t="s">
        <v>369</v>
      </c>
      <c r="K83" s="1" t="s">
        <v>44</v>
      </c>
      <c r="M83" s="1" t="s">
        <v>370</v>
      </c>
      <c r="N83" s="3">
        <v>0.6</v>
      </c>
      <c r="O83" s="4">
        <v>45108</v>
      </c>
      <c r="P83" s="5" t="s">
        <v>371</v>
      </c>
      <c r="Q83" s="3">
        <v>0.5</v>
      </c>
      <c r="R83" s="6">
        <v>0.64</v>
      </c>
      <c r="S83" s="7" t="s">
        <v>372</v>
      </c>
      <c r="T83" s="4">
        <v>46568</v>
      </c>
      <c r="U83" s="4">
        <v>38345</v>
      </c>
      <c r="V83" s="4">
        <f t="shared" ca="1" si="9"/>
        <v>45919</v>
      </c>
      <c r="W83" s="8">
        <f ca="1">(V83-U83)/365.25</f>
        <v>20.736481861738536</v>
      </c>
    </row>
    <row r="84" spans="1:23" x14ac:dyDescent="0.2">
      <c r="A84" s="1" t="s">
        <v>24</v>
      </c>
      <c r="B84" s="1" t="s">
        <v>25</v>
      </c>
      <c r="C84" s="1" t="s">
        <v>26</v>
      </c>
      <c r="D84" s="5" t="s">
        <v>33</v>
      </c>
      <c r="E84" s="1">
        <v>3</v>
      </c>
      <c r="F84" s="1" t="s">
        <v>373</v>
      </c>
      <c r="G84" s="1" t="s">
        <v>374</v>
      </c>
      <c r="I84" s="1" t="s">
        <v>24</v>
      </c>
      <c r="J84" s="1" t="s">
        <v>24</v>
      </c>
      <c r="K84" s="1" t="s">
        <v>63</v>
      </c>
      <c r="M84" s="1" t="s">
        <v>375</v>
      </c>
      <c r="N84" s="3">
        <v>20</v>
      </c>
      <c r="O84" s="4">
        <v>42613</v>
      </c>
      <c r="P84" s="5" t="s">
        <v>376</v>
      </c>
      <c r="Q84" s="3">
        <v>0.5</v>
      </c>
      <c r="R84" s="6">
        <v>1.8</v>
      </c>
      <c r="S84" s="7" t="s">
        <v>34</v>
      </c>
      <c r="T84" s="4">
        <v>46203</v>
      </c>
      <c r="U84" s="4">
        <v>35619</v>
      </c>
      <c r="V84" s="4">
        <f t="shared" ca="1" si="9"/>
        <v>45919</v>
      </c>
      <c r="W84" s="8">
        <f t="shared" ca="1" si="10"/>
        <v>28.199863107460644</v>
      </c>
    </row>
    <row r="85" spans="1:23" x14ac:dyDescent="0.2">
      <c r="A85" s="1" t="s">
        <v>24</v>
      </c>
      <c r="B85" s="1" t="s">
        <v>25</v>
      </c>
      <c r="C85" s="1" t="s">
        <v>26</v>
      </c>
      <c r="D85" s="5" t="s">
        <v>33</v>
      </c>
      <c r="E85" s="1">
        <v>21</v>
      </c>
      <c r="F85" s="1" t="s">
        <v>377</v>
      </c>
      <c r="G85" s="1" t="s">
        <v>378</v>
      </c>
      <c r="I85" s="1" t="s">
        <v>24</v>
      </c>
      <c r="J85" s="1" t="s">
        <v>24</v>
      </c>
      <c r="K85" s="1" t="s">
        <v>63</v>
      </c>
      <c r="M85" s="1" t="s">
        <v>379</v>
      </c>
      <c r="N85" s="3">
        <v>0</v>
      </c>
      <c r="O85" s="4">
        <v>45534</v>
      </c>
      <c r="P85" s="5" t="s">
        <v>380</v>
      </c>
      <c r="Q85" s="3">
        <v>0</v>
      </c>
      <c r="R85" s="6">
        <v>5.9</v>
      </c>
      <c r="S85" s="7" t="s">
        <v>66</v>
      </c>
      <c r="T85" s="4">
        <v>46934</v>
      </c>
      <c r="U85" s="4">
        <v>38896</v>
      </c>
      <c r="V85" s="4">
        <f t="shared" ca="1" si="9"/>
        <v>45919</v>
      </c>
      <c r="W85" s="8">
        <f t="shared" ca="1" si="10"/>
        <v>19.227926078028748</v>
      </c>
    </row>
    <row r="86" spans="1:23" x14ac:dyDescent="0.2">
      <c r="A86" s="1" t="s">
        <v>24</v>
      </c>
      <c r="B86" s="1" t="s">
        <v>25</v>
      </c>
      <c r="C86" s="1" t="s">
        <v>26</v>
      </c>
      <c r="D86" s="5" t="s">
        <v>33</v>
      </c>
      <c r="E86" s="1">
        <v>2</v>
      </c>
      <c r="F86" s="1" t="s">
        <v>381</v>
      </c>
      <c r="G86" s="1" t="s">
        <v>382</v>
      </c>
      <c r="I86" s="1" t="s">
        <v>75</v>
      </c>
      <c r="J86" s="1" t="s">
        <v>75</v>
      </c>
      <c r="K86" s="1" t="s">
        <v>80</v>
      </c>
      <c r="M86" s="1" t="s">
        <v>383</v>
      </c>
      <c r="N86" s="3">
        <v>22</v>
      </c>
      <c r="O86" s="4">
        <v>44751</v>
      </c>
      <c r="P86" s="5" t="s">
        <v>65</v>
      </c>
      <c r="Q86" s="3">
        <v>18</v>
      </c>
      <c r="R86" s="6">
        <v>14.25</v>
      </c>
      <c r="S86" s="7" t="s">
        <v>34</v>
      </c>
      <c r="T86" s="4">
        <v>46203</v>
      </c>
      <c r="U86" s="4">
        <v>37417</v>
      </c>
      <c r="V86" s="4">
        <f t="shared" ca="1" si="9"/>
        <v>45919</v>
      </c>
      <c r="W86" s="8">
        <f ca="1">(V86-U86)/365.25</f>
        <v>23.277207392197127</v>
      </c>
    </row>
    <row r="87" spans="1:23" x14ac:dyDescent="0.2">
      <c r="A87" s="1" t="s">
        <v>24</v>
      </c>
      <c r="B87" s="1" t="s">
        <v>25</v>
      </c>
      <c r="C87" s="1" t="s">
        <v>26</v>
      </c>
      <c r="D87" s="5" t="s">
        <v>33</v>
      </c>
      <c r="E87" s="1">
        <v>30</v>
      </c>
      <c r="F87" s="1" t="s">
        <v>384</v>
      </c>
      <c r="G87" s="1" t="s">
        <v>385</v>
      </c>
      <c r="I87" s="1" t="s">
        <v>304</v>
      </c>
      <c r="J87" s="1" t="s">
        <v>304</v>
      </c>
      <c r="K87" s="1" t="s">
        <v>80</v>
      </c>
      <c r="M87" s="1" t="s">
        <v>386</v>
      </c>
      <c r="N87" s="3">
        <v>12</v>
      </c>
      <c r="O87" s="4">
        <v>43684</v>
      </c>
      <c r="P87" s="5" t="s">
        <v>387</v>
      </c>
      <c r="Q87" s="3">
        <v>0.25</v>
      </c>
      <c r="R87" s="6">
        <v>0.06</v>
      </c>
      <c r="S87" s="7" t="s">
        <v>34</v>
      </c>
      <c r="T87" s="4">
        <v>46203</v>
      </c>
      <c r="U87" s="4">
        <v>36335</v>
      </c>
      <c r="V87" s="4">
        <f t="shared" ca="1" si="9"/>
        <v>45919</v>
      </c>
      <c r="W87" s="8">
        <f t="shared" ref="W87" ca="1" si="11">(V87-U87)/365.25</f>
        <v>26.239561943874058</v>
      </c>
    </row>
    <row r="88" spans="1:23" x14ac:dyDescent="0.2">
      <c r="A88" s="1" t="s">
        <v>24</v>
      </c>
      <c r="B88" s="1" t="s">
        <v>25</v>
      </c>
      <c r="C88" s="1" t="s">
        <v>26</v>
      </c>
      <c r="D88" s="5" t="s">
        <v>33</v>
      </c>
      <c r="E88" s="1">
        <v>27</v>
      </c>
      <c r="F88" s="1" t="s">
        <v>388</v>
      </c>
      <c r="G88" s="1" t="s">
        <v>389</v>
      </c>
      <c r="I88" s="1" t="s">
        <v>138</v>
      </c>
      <c r="J88" s="1" t="s">
        <v>138</v>
      </c>
      <c r="K88" s="1" t="s">
        <v>95</v>
      </c>
      <c r="M88" s="1" t="s">
        <v>390</v>
      </c>
      <c r="N88" s="3">
        <v>22</v>
      </c>
      <c r="O88" s="4">
        <v>44107</v>
      </c>
      <c r="P88" s="5" t="s">
        <v>391</v>
      </c>
      <c r="Q88" s="3">
        <v>0.67500000000000004</v>
      </c>
      <c r="R88" s="6">
        <v>0.6</v>
      </c>
      <c r="S88" s="7" t="s">
        <v>34</v>
      </c>
      <c r="T88" s="4">
        <v>46203</v>
      </c>
      <c r="U88" s="4">
        <v>35925</v>
      </c>
      <c r="V88" s="4">
        <f t="shared" ca="1" si="9"/>
        <v>45919</v>
      </c>
      <c r="W88" s="8">
        <f t="shared" ca="1" si="10"/>
        <v>27.362080766598222</v>
      </c>
    </row>
    <row r="89" spans="1:23" x14ac:dyDescent="0.2">
      <c r="A89" s="1" t="s">
        <v>24</v>
      </c>
      <c r="B89" s="1" t="s">
        <v>25</v>
      </c>
      <c r="C89" s="1" t="s">
        <v>26</v>
      </c>
      <c r="D89" s="5" t="s">
        <v>33</v>
      </c>
      <c r="E89" s="1">
        <v>6</v>
      </c>
      <c r="F89" s="1" t="s">
        <v>392</v>
      </c>
      <c r="G89" s="1" t="s">
        <v>393</v>
      </c>
      <c r="I89" s="1" t="s">
        <v>304</v>
      </c>
      <c r="J89" s="1" t="s">
        <v>304</v>
      </c>
      <c r="K89" s="1" t="s">
        <v>95</v>
      </c>
      <c r="M89" s="1" t="s">
        <v>394</v>
      </c>
      <c r="N89" s="3">
        <v>15</v>
      </c>
      <c r="O89" s="4">
        <v>43647</v>
      </c>
      <c r="P89" s="5" t="s">
        <v>395</v>
      </c>
      <c r="Q89" s="3">
        <v>2</v>
      </c>
      <c r="R89" s="6">
        <v>3.5</v>
      </c>
      <c r="S89" s="7" t="s">
        <v>34</v>
      </c>
      <c r="T89" s="4">
        <v>45838</v>
      </c>
      <c r="U89" s="4">
        <v>34403</v>
      </c>
      <c r="V89" s="4">
        <f t="shared" ca="1" si="9"/>
        <v>45919</v>
      </c>
      <c r="W89" s="8">
        <f ca="1">(V89-U89)/365.25</f>
        <v>31.529089664613277</v>
      </c>
    </row>
    <row r="90" spans="1:23" x14ac:dyDescent="0.2">
      <c r="A90" s="1" t="s">
        <v>24</v>
      </c>
      <c r="B90" s="1" t="s">
        <v>25</v>
      </c>
      <c r="C90" s="1" t="s">
        <v>26</v>
      </c>
      <c r="D90" s="5" t="s">
        <v>33</v>
      </c>
      <c r="E90" s="1">
        <v>26</v>
      </c>
      <c r="F90" s="1" t="s">
        <v>396</v>
      </c>
      <c r="G90" s="1" t="s">
        <v>397</v>
      </c>
      <c r="I90" s="1" t="s">
        <v>336</v>
      </c>
      <c r="J90" s="1" t="s">
        <v>336</v>
      </c>
      <c r="K90" s="1" t="s">
        <v>95</v>
      </c>
      <c r="M90" s="1" t="s">
        <v>398</v>
      </c>
      <c r="N90" s="3">
        <v>4.5</v>
      </c>
      <c r="O90" s="4">
        <v>45302</v>
      </c>
      <c r="P90" s="7" t="s">
        <v>399</v>
      </c>
      <c r="Q90" s="3">
        <v>1.8</v>
      </c>
      <c r="R90" s="6">
        <v>4.5</v>
      </c>
      <c r="S90" s="7" t="s">
        <v>372</v>
      </c>
      <c r="T90" s="4">
        <v>47299</v>
      </c>
      <c r="U90" s="4">
        <v>38727</v>
      </c>
      <c r="V90" s="4">
        <f t="shared" ca="1" si="9"/>
        <v>45919</v>
      </c>
      <c r="W90" s="8">
        <f ca="1">(V90-U90)/365.25</f>
        <v>19.690622861054074</v>
      </c>
    </row>
    <row r="91" spans="1:23" x14ac:dyDescent="0.2">
      <c r="A91" s="1" t="s">
        <v>24</v>
      </c>
      <c r="B91" s="1" t="s">
        <v>25</v>
      </c>
      <c r="C91" s="1" t="s">
        <v>26</v>
      </c>
      <c r="D91" s="5" t="s">
        <v>33</v>
      </c>
      <c r="E91" s="1">
        <v>8</v>
      </c>
      <c r="F91" s="1" t="s">
        <v>400</v>
      </c>
      <c r="G91" s="1" t="s">
        <v>401</v>
      </c>
      <c r="I91" s="1" t="s">
        <v>304</v>
      </c>
      <c r="J91" s="1" t="s">
        <v>304</v>
      </c>
      <c r="K91" s="1" t="s">
        <v>89</v>
      </c>
      <c r="M91" s="1" t="s">
        <v>402</v>
      </c>
      <c r="N91" s="3">
        <v>25</v>
      </c>
      <c r="O91" s="4">
        <v>43656</v>
      </c>
      <c r="P91" s="5" t="s">
        <v>403</v>
      </c>
      <c r="Q91" s="3">
        <v>2.5</v>
      </c>
      <c r="R91" s="6">
        <v>3.8</v>
      </c>
      <c r="S91" s="7" t="s">
        <v>34</v>
      </c>
      <c r="T91" s="4">
        <v>46203</v>
      </c>
      <c r="U91" s="4">
        <v>35065</v>
      </c>
      <c r="V91" s="4">
        <f t="shared" ca="1" si="9"/>
        <v>45919</v>
      </c>
      <c r="W91" s="8">
        <f ca="1">(V91-U91)/365.25</f>
        <v>29.716632443531829</v>
      </c>
    </row>
    <row r="92" spans="1:23" x14ac:dyDescent="0.2">
      <c r="A92" s="1" t="s">
        <v>24</v>
      </c>
      <c r="B92" s="1" t="s">
        <v>25</v>
      </c>
      <c r="C92" s="1" t="s">
        <v>26</v>
      </c>
      <c r="D92" s="5" t="s">
        <v>33</v>
      </c>
      <c r="E92" s="1">
        <v>10</v>
      </c>
      <c r="F92" s="1" t="s">
        <v>404</v>
      </c>
      <c r="G92" s="1" t="s">
        <v>405</v>
      </c>
      <c r="I92" s="1" t="s">
        <v>24</v>
      </c>
      <c r="J92" s="1" t="s">
        <v>24</v>
      </c>
      <c r="K92" s="1" t="s">
        <v>89</v>
      </c>
      <c r="M92" s="1" t="s">
        <v>406</v>
      </c>
      <c r="N92" s="3">
        <v>10</v>
      </c>
      <c r="O92" s="4">
        <v>43333</v>
      </c>
      <c r="P92" s="1" t="s">
        <v>135</v>
      </c>
      <c r="Q92" s="3">
        <v>0</v>
      </c>
      <c r="R92" s="6" t="s">
        <v>205</v>
      </c>
      <c r="S92" s="7" t="s">
        <v>34</v>
      </c>
      <c r="T92" s="4">
        <v>45838</v>
      </c>
      <c r="U92" s="4">
        <v>36091</v>
      </c>
      <c r="V92" s="4">
        <f t="shared" ca="1" si="9"/>
        <v>45919</v>
      </c>
      <c r="W92" s="8">
        <f ca="1">(V92-U92)/365.25</f>
        <v>26.90759753593429</v>
      </c>
    </row>
    <row r="93" spans="1:23" x14ac:dyDescent="0.2">
      <c r="A93" s="1" t="s">
        <v>24</v>
      </c>
      <c r="B93" s="1" t="s">
        <v>25</v>
      </c>
      <c r="C93" s="1" t="s">
        <v>26</v>
      </c>
      <c r="D93" s="5" t="s">
        <v>33</v>
      </c>
      <c r="E93" s="1">
        <v>32</v>
      </c>
      <c r="F93" s="1" t="s">
        <v>407</v>
      </c>
      <c r="G93" s="1" t="s">
        <v>408</v>
      </c>
      <c r="I93" s="1" t="s">
        <v>24</v>
      </c>
      <c r="J93" s="1" t="s">
        <v>24</v>
      </c>
      <c r="K93" s="1" t="s">
        <v>89</v>
      </c>
      <c r="M93" s="1" t="s">
        <v>409</v>
      </c>
      <c r="N93" s="3">
        <v>0.35</v>
      </c>
      <c r="O93" s="4">
        <v>43846</v>
      </c>
      <c r="P93" s="5" t="s">
        <v>410</v>
      </c>
      <c r="Q93" s="3">
        <v>0</v>
      </c>
      <c r="R93" s="6" t="s">
        <v>290</v>
      </c>
      <c r="S93" s="7" t="s">
        <v>196</v>
      </c>
      <c r="T93" s="4">
        <v>46568</v>
      </c>
      <c r="U93" s="4">
        <v>37019</v>
      </c>
      <c r="V93" s="4">
        <f t="shared" ca="1" si="9"/>
        <v>45919</v>
      </c>
      <c r="W93" s="8">
        <f t="shared" ca="1" si="10"/>
        <v>24.366872005475702</v>
      </c>
    </row>
    <row r="94" spans="1:23" x14ac:dyDescent="0.2">
      <c r="A94" s="1" t="s">
        <v>24</v>
      </c>
      <c r="B94" s="1" t="s">
        <v>25</v>
      </c>
      <c r="C94" s="1" t="s">
        <v>26</v>
      </c>
      <c r="D94" s="5" t="s">
        <v>33</v>
      </c>
      <c r="E94" s="1">
        <v>28</v>
      </c>
      <c r="F94" s="1" t="s">
        <v>307</v>
      </c>
      <c r="G94" s="1" t="s">
        <v>411</v>
      </c>
      <c r="I94" s="1" t="s">
        <v>24</v>
      </c>
      <c r="J94" s="1" t="s">
        <v>24</v>
      </c>
      <c r="K94" s="1" t="s">
        <v>89</v>
      </c>
      <c r="M94" s="1" t="s">
        <v>412</v>
      </c>
      <c r="N94" s="3">
        <v>0.27500000000000002</v>
      </c>
      <c r="O94" s="4">
        <v>44207</v>
      </c>
      <c r="P94" s="5" t="s">
        <v>413</v>
      </c>
      <c r="Q94" s="3">
        <v>0</v>
      </c>
      <c r="R94" s="6" t="s">
        <v>290</v>
      </c>
      <c r="S94" s="7" t="s">
        <v>196</v>
      </c>
      <c r="T94" s="4">
        <v>46203</v>
      </c>
      <c r="U94" s="4">
        <v>37692</v>
      </c>
      <c r="V94" s="4">
        <f t="shared" ca="1" si="9"/>
        <v>45919</v>
      </c>
      <c r="W94" s="8">
        <f t="shared" ca="1" si="10"/>
        <v>22.524298425735797</v>
      </c>
    </row>
    <row r="95" spans="1:23" x14ac:dyDescent="0.2">
      <c r="A95" s="1" t="s">
        <v>24</v>
      </c>
      <c r="B95" s="1" t="s">
        <v>25</v>
      </c>
      <c r="C95" s="1" t="s">
        <v>26</v>
      </c>
      <c r="D95" s="5" t="s">
        <v>33</v>
      </c>
      <c r="E95" s="1">
        <v>14</v>
      </c>
      <c r="F95" s="1" t="s">
        <v>414</v>
      </c>
      <c r="G95" s="1" t="s">
        <v>415</v>
      </c>
      <c r="I95" s="1" t="s">
        <v>416</v>
      </c>
      <c r="J95" s="1" t="s">
        <v>416</v>
      </c>
      <c r="K95" s="1" t="s">
        <v>113</v>
      </c>
      <c r="M95" s="1" t="s">
        <v>417</v>
      </c>
      <c r="N95" s="3">
        <v>18</v>
      </c>
      <c r="O95" s="4">
        <v>45516</v>
      </c>
      <c r="P95" s="5" t="s">
        <v>357</v>
      </c>
      <c r="Q95" s="3">
        <v>14</v>
      </c>
      <c r="R95" s="6">
        <v>23.4</v>
      </c>
      <c r="S95" s="7" t="s">
        <v>66</v>
      </c>
      <c r="T95" s="4">
        <v>47299</v>
      </c>
      <c r="U95" s="4">
        <v>37498</v>
      </c>
      <c r="V95" s="4">
        <f t="shared" ca="1" si="9"/>
        <v>45919</v>
      </c>
      <c r="W95" s="8">
        <f t="shared" ca="1" si="10"/>
        <v>23.055441478439427</v>
      </c>
    </row>
    <row r="96" spans="1:23" x14ac:dyDescent="0.2">
      <c r="A96" s="1" t="s">
        <v>24</v>
      </c>
      <c r="B96" s="1" t="s">
        <v>25</v>
      </c>
      <c r="C96" s="1" t="s">
        <v>26</v>
      </c>
      <c r="D96" s="5" t="s">
        <v>33</v>
      </c>
      <c r="E96" s="1">
        <v>18</v>
      </c>
      <c r="F96" s="1" t="s">
        <v>418</v>
      </c>
      <c r="G96" s="1" t="s">
        <v>419</v>
      </c>
      <c r="I96" s="1" t="s">
        <v>69</v>
      </c>
      <c r="J96" s="1" t="s">
        <v>69</v>
      </c>
      <c r="K96" s="1" t="s">
        <v>113</v>
      </c>
      <c r="M96" s="1" t="s">
        <v>420</v>
      </c>
      <c r="N96" s="3">
        <v>12</v>
      </c>
      <c r="O96" s="4">
        <v>44756</v>
      </c>
      <c r="P96" s="5" t="s">
        <v>421</v>
      </c>
      <c r="Q96" s="3">
        <v>0.4</v>
      </c>
      <c r="R96" s="6">
        <v>1.5</v>
      </c>
      <c r="S96" s="7" t="s">
        <v>34</v>
      </c>
      <c r="T96" s="4">
        <v>46934</v>
      </c>
      <c r="U96" s="4">
        <v>38047</v>
      </c>
      <c r="V96" s="4">
        <f t="shared" ca="1" si="9"/>
        <v>45919</v>
      </c>
      <c r="W96" s="8">
        <f t="shared" ca="1" si="10"/>
        <v>21.552361396303901</v>
      </c>
    </row>
    <row r="97" spans="1:23" x14ac:dyDescent="0.2">
      <c r="A97" s="1" t="s">
        <v>24</v>
      </c>
      <c r="B97" s="1" t="s">
        <v>25</v>
      </c>
      <c r="C97" s="1" t="s">
        <v>26</v>
      </c>
      <c r="D97" s="5" t="s">
        <v>33</v>
      </c>
      <c r="E97" s="1">
        <v>7</v>
      </c>
      <c r="F97" s="1" t="s">
        <v>422</v>
      </c>
      <c r="G97" s="1" t="s">
        <v>423</v>
      </c>
      <c r="I97" s="1" t="s">
        <v>138</v>
      </c>
      <c r="J97" s="1" t="s">
        <v>138</v>
      </c>
      <c r="K97" s="1" t="s">
        <v>120</v>
      </c>
      <c r="M97" s="1" t="s">
        <v>424</v>
      </c>
      <c r="N97" s="3">
        <v>22</v>
      </c>
      <c r="O97" s="4">
        <v>44930</v>
      </c>
      <c r="P97" s="5" t="s">
        <v>341</v>
      </c>
      <c r="Q97" s="3">
        <v>12</v>
      </c>
      <c r="R97" s="6">
        <v>26</v>
      </c>
      <c r="S97" s="7" t="s">
        <v>34</v>
      </c>
      <c r="T97" s="4">
        <v>46934</v>
      </c>
      <c r="U97" s="4">
        <v>37222</v>
      </c>
      <c r="V97" s="4">
        <f t="shared" ca="1" si="9"/>
        <v>45919</v>
      </c>
      <c r="W97" s="8">
        <f ca="1">(V97-U97)/365.25</f>
        <v>23.811088295687885</v>
      </c>
    </row>
    <row r="98" spans="1:23" x14ac:dyDescent="0.2">
      <c r="A98" s="1" t="s">
        <v>24</v>
      </c>
      <c r="B98" s="1" t="s">
        <v>25</v>
      </c>
      <c r="C98" s="1" t="s">
        <v>26</v>
      </c>
      <c r="D98" s="5" t="s">
        <v>33</v>
      </c>
      <c r="E98" s="1">
        <v>23</v>
      </c>
      <c r="F98" s="1" t="s">
        <v>425</v>
      </c>
      <c r="G98" s="1" t="s">
        <v>426</v>
      </c>
      <c r="I98" s="1" t="s">
        <v>24</v>
      </c>
      <c r="J98" s="1" t="s">
        <v>24</v>
      </c>
      <c r="K98" s="1" t="s">
        <v>120</v>
      </c>
      <c r="M98" s="1" t="s">
        <v>427</v>
      </c>
      <c r="N98" s="3">
        <v>20</v>
      </c>
      <c r="O98" s="4">
        <v>44754</v>
      </c>
      <c r="P98" s="5" t="s">
        <v>232</v>
      </c>
      <c r="Q98" s="3">
        <v>12</v>
      </c>
      <c r="R98" s="6">
        <v>19</v>
      </c>
      <c r="S98" s="7" t="s">
        <v>34</v>
      </c>
      <c r="T98" s="4">
        <v>46934</v>
      </c>
      <c r="U98" s="4">
        <v>36944</v>
      </c>
      <c r="V98" s="4">
        <f t="shared" ca="1" si="9"/>
        <v>45919</v>
      </c>
      <c r="W98" s="8">
        <f t="shared" ca="1" si="10"/>
        <v>24.572210814510608</v>
      </c>
    </row>
    <row r="99" spans="1:23" x14ac:dyDescent="0.2">
      <c r="A99" s="1" t="s">
        <v>24</v>
      </c>
      <c r="B99" s="1" t="s">
        <v>25</v>
      </c>
      <c r="C99" s="1" t="s">
        <v>26</v>
      </c>
      <c r="D99" s="5" t="s">
        <v>33</v>
      </c>
      <c r="E99" s="1">
        <v>24</v>
      </c>
      <c r="F99" s="1" t="s">
        <v>428</v>
      </c>
      <c r="G99" s="1" t="s">
        <v>429</v>
      </c>
      <c r="I99" s="1" t="s">
        <v>304</v>
      </c>
      <c r="J99" s="1" t="s">
        <v>304</v>
      </c>
      <c r="K99" s="1" t="s">
        <v>120</v>
      </c>
      <c r="M99" s="1" t="s">
        <v>430</v>
      </c>
      <c r="N99" s="3">
        <v>15</v>
      </c>
      <c r="O99" s="4">
        <v>44783</v>
      </c>
      <c r="P99" s="5" t="s">
        <v>431</v>
      </c>
      <c r="Q99" s="3">
        <v>15</v>
      </c>
      <c r="R99" s="6">
        <v>15</v>
      </c>
      <c r="S99" s="7" t="s">
        <v>34</v>
      </c>
      <c r="T99" s="4">
        <v>46568</v>
      </c>
      <c r="U99" s="4">
        <v>36710</v>
      </c>
      <c r="V99" s="4">
        <f t="shared" ca="1" si="9"/>
        <v>45919</v>
      </c>
      <c r="W99" s="8">
        <f t="shared" ca="1" si="10"/>
        <v>25.212867898699521</v>
      </c>
    </row>
    <row r="100" spans="1:23" x14ac:dyDescent="0.2">
      <c r="A100" s="1" t="s">
        <v>24</v>
      </c>
      <c r="B100" s="1" t="s">
        <v>25</v>
      </c>
      <c r="C100" s="1" t="s">
        <v>26</v>
      </c>
      <c r="D100" s="5" t="s">
        <v>33</v>
      </c>
      <c r="E100" s="1">
        <v>39</v>
      </c>
      <c r="F100" s="1" t="s">
        <v>432</v>
      </c>
      <c r="G100" s="1" t="s">
        <v>433</v>
      </c>
      <c r="I100" s="1" t="s">
        <v>37</v>
      </c>
      <c r="J100" s="1" t="s">
        <v>37</v>
      </c>
      <c r="K100" s="1" t="s">
        <v>120</v>
      </c>
      <c r="M100" s="1" t="s">
        <v>434</v>
      </c>
      <c r="N100" s="3">
        <v>10</v>
      </c>
      <c r="O100" s="4">
        <v>45532</v>
      </c>
      <c r="P100" s="5" t="s">
        <v>435</v>
      </c>
      <c r="Q100" s="3">
        <v>10</v>
      </c>
      <c r="R100" s="6">
        <v>12</v>
      </c>
      <c r="S100" s="7" t="s">
        <v>66</v>
      </c>
      <c r="T100" s="4">
        <v>47664</v>
      </c>
      <c r="U100" s="4">
        <v>38676</v>
      </c>
      <c r="V100" s="4">
        <f t="shared" ca="1" si="9"/>
        <v>45919</v>
      </c>
      <c r="W100" s="8">
        <f ca="1">(V100-U100)/365.25</f>
        <v>19.83025325119781</v>
      </c>
    </row>
    <row r="101" spans="1:23" x14ac:dyDescent="0.2">
      <c r="A101" s="1" t="s">
        <v>24</v>
      </c>
      <c r="B101" s="1" t="s">
        <v>25</v>
      </c>
      <c r="C101" s="1" t="s">
        <v>26</v>
      </c>
      <c r="D101" s="5" t="s">
        <v>33</v>
      </c>
      <c r="E101" s="1">
        <v>19</v>
      </c>
      <c r="F101" s="1" t="s">
        <v>436</v>
      </c>
      <c r="G101" s="1" t="s">
        <v>437</v>
      </c>
      <c r="I101" s="1" t="s">
        <v>43</v>
      </c>
      <c r="J101" s="1" t="s">
        <v>438</v>
      </c>
      <c r="K101" s="1" t="s">
        <v>139</v>
      </c>
      <c r="M101" s="1" t="s">
        <v>439</v>
      </c>
      <c r="N101" s="3">
        <v>50</v>
      </c>
      <c r="O101" s="4">
        <v>43682</v>
      </c>
      <c r="P101" s="5" t="s">
        <v>440</v>
      </c>
      <c r="Q101" s="3">
        <v>3.5</v>
      </c>
      <c r="R101" s="6">
        <v>6.5</v>
      </c>
      <c r="S101" s="7" t="s">
        <v>34</v>
      </c>
      <c r="T101" s="4">
        <v>46203</v>
      </c>
      <c r="U101" s="4">
        <v>36379</v>
      </c>
      <c r="V101" s="4">
        <f t="shared" ca="1" si="9"/>
        <v>45919</v>
      </c>
      <c r="W101" s="8">
        <f t="shared" ref="W101:W102" ca="1" si="12">(V101-U101)/365.25</f>
        <v>26.119096509240247</v>
      </c>
    </row>
    <row r="102" spans="1:23" x14ac:dyDescent="0.2">
      <c r="A102" s="1" t="s">
        <v>24</v>
      </c>
      <c r="B102" s="1" t="s">
        <v>25</v>
      </c>
      <c r="C102" s="1" t="s">
        <v>26</v>
      </c>
      <c r="D102" s="5" t="s">
        <v>33</v>
      </c>
      <c r="E102" s="1">
        <v>11</v>
      </c>
      <c r="F102" s="1" t="s">
        <v>441</v>
      </c>
      <c r="G102" s="1" t="s">
        <v>442</v>
      </c>
      <c r="I102" s="1" t="s">
        <v>43</v>
      </c>
      <c r="J102" s="1" t="s">
        <v>443</v>
      </c>
      <c r="K102" s="1" t="s">
        <v>139</v>
      </c>
      <c r="M102" s="1" t="s">
        <v>444</v>
      </c>
      <c r="N102" s="3">
        <v>28</v>
      </c>
      <c r="O102" s="4">
        <v>44418</v>
      </c>
      <c r="P102" s="5" t="s">
        <v>320</v>
      </c>
      <c r="Q102" s="3">
        <v>10</v>
      </c>
      <c r="R102" s="6">
        <v>10</v>
      </c>
      <c r="S102" s="7" t="s">
        <v>34</v>
      </c>
      <c r="T102" s="4">
        <v>46203</v>
      </c>
      <c r="U102" s="4">
        <v>35311</v>
      </c>
      <c r="V102" s="4">
        <f t="shared" ca="1" si="9"/>
        <v>45919</v>
      </c>
      <c r="W102" s="8">
        <f t="shared" ca="1" si="12"/>
        <v>29.043121149897331</v>
      </c>
    </row>
    <row r="103" spans="1:23" x14ac:dyDescent="0.2">
      <c r="A103" s="1" t="s">
        <v>24</v>
      </c>
      <c r="B103" s="1" t="s">
        <v>25</v>
      </c>
      <c r="C103" s="1" t="s">
        <v>26</v>
      </c>
      <c r="D103" s="5" t="s">
        <v>33</v>
      </c>
      <c r="E103" s="1">
        <v>9</v>
      </c>
      <c r="F103" s="1" t="s">
        <v>445</v>
      </c>
      <c r="G103" s="1" t="s">
        <v>446</v>
      </c>
      <c r="I103" s="1" t="s">
        <v>37</v>
      </c>
      <c r="J103" s="1" t="s">
        <v>37</v>
      </c>
      <c r="K103" s="1" t="s">
        <v>139</v>
      </c>
      <c r="M103" s="1" t="s">
        <v>447</v>
      </c>
      <c r="N103" s="3">
        <v>25</v>
      </c>
      <c r="O103" s="4">
        <v>45474</v>
      </c>
      <c r="P103" s="5" t="s">
        <v>448</v>
      </c>
      <c r="Q103" s="3">
        <v>25</v>
      </c>
      <c r="R103" s="6">
        <v>33</v>
      </c>
      <c r="S103" s="7" t="s">
        <v>66</v>
      </c>
      <c r="T103" s="4">
        <v>47299</v>
      </c>
      <c r="U103" s="4">
        <v>37068</v>
      </c>
      <c r="V103" s="4">
        <f t="shared" ca="1" si="9"/>
        <v>45919</v>
      </c>
      <c r="W103" s="8">
        <f ca="1">(V103-U103)/365.25</f>
        <v>24.232717316906228</v>
      </c>
    </row>
    <row r="104" spans="1:23" x14ac:dyDescent="0.2">
      <c r="A104" s="1" t="s">
        <v>24</v>
      </c>
      <c r="B104" s="1" t="s">
        <v>25</v>
      </c>
      <c r="C104" s="1" t="s">
        <v>26</v>
      </c>
      <c r="D104" s="5" t="s">
        <v>82</v>
      </c>
      <c r="E104" s="1">
        <v>1</v>
      </c>
      <c r="F104" s="1" t="s">
        <v>449</v>
      </c>
      <c r="G104" s="1" t="s">
        <v>450</v>
      </c>
      <c r="I104" s="1" t="s">
        <v>52</v>
      </c>
      <c r="J104" s="1" t="s">
        <v>52</v>
      </c>
      <c r="K104" s="1" t="s">
        <v>31</v>
      </c>
      <c r="M104" s="1" t="s">
        <v>451</v>
      </c>
      <c r="N104" s="3">
        <v>22</v>
      </c>
      <c r="O104" s="4">
        <v>45110</v>
      </c>
      <c r="P104" s="5" t="s">
        <v>452</v>
      </c>
      <c r="Q104" s="3">
        <v>10</v>
      </c>
      <c r="R104" s="6">
        <v>20</v>
      </c>
      <c r="S104" s="7" t="s">
        <v>34</v>
      </c>
      <c r="T104" s="4">
        <v>46934</v>
      </c>
      <c r="U104" s="4">
        <v>37486</v>
      </c>
      <c r="V104" s="4">
        <f ca="1">TODAY()</f>
        <v>45919</v>
      </c>
      <c r="W104" s="8">
        <f ca="1">(V104-U104)/365.25</f>
        <v>23.088295687885012</v>
      </c>
    </row>
    <row r="105" spans="1:23" x14ac:dyDescent="0.2">
      <c r="A105" s="1" t="s">
        <v>24</v>
      </c>
      <c r="B105" s="1" t="s">
        <v>25</v>
      </c>
      <c r="C105" s="1" t="s">
        <v>26</v>
      </c>
      <c r="D105" s="5" t="s">
        <v>82</v>
      </c>
      <c r="E105" s="1">
        <v>23</v>
      </c>
      <c r="F105" s="1" t="s">
        <v>453</v>
      </c>
      <c r="G105" s="1" t="s">
        <v>454</v>
      </c>
      <c r="I105" s="1" t="s">
        <v>24</v>
      </c>
      <c r="J105" s="1" t="s">
        <v>24</v>
      </c>
      <c r="K105" s="1" t="s">
        <v>31</v>
      </c>
      <c r="M105" s="1" t="s">
        <v>455</v>
      </c>
      <c r="N105" s="3">
        <v>3.5</v>
      </c>
      <c r="O105" s="4">
        <v>43282</v>
      </c>
      <c r="P105" s="5" t="s">
        <v>456</v>
      </c>
      <c r="Q105" s="3">
        <v>0.75</v>
      </c>
      <c r="R105" s="6" t="s">
        <v>205</v>
      </c>
      <c r="S105" s="7" t="s">
        <v>98</v>
      </c>
      <c r="T105" s="4">
        <v>46203</v>
      </c>
      <c r="U105" s="4">
        <v>33103</v>
      </c>
      <c r="V105" s="4">
        <f t="shared" ref="V105:V131" ca="1" si="13">TODAY()</f>
        <v>45919</v>
      </c>
      <c r="W105" s="8">
        <f t="shared" ref="W105:W127" ca="1" si="14">(V105-U105)/365.25</f>
        <v>35.088295687885008</v>
      </c>
    </row>
    <row r="106" spans="1:23" x14ac:dyDescent="0.2">
      <c r="A106" s="1" t="s">
        <v>24</v>
      </c>
      <c r="B106" s="1" t="s">
        <v>25</v>
      </c>
      <c r="C106" s="1" t="s">
        <v>26</v>
      </c>
      <c r="D106" s="5" t="s">
        <v>82</v>
      </c>
      <c r="E106" s="1">
        <v>29</v>
      </c>
      <c r="F106" s="1" t="s">
        <v>457</v>
      </c>
      <c r="G106" s="1" t="s">
        <v>458</v>
      </c>
      <c r="I106" s="1" t="s">
        <v>52</v>
      </c>
      <c r="J106" s="1" t="s">
        <v>52</v>
      </c>
      <c r="K106" s="1" t="s">
        <v>44</v>
      </c>
      <c r="M106" s="1" t="s">
        <v>459</v>
      </c>
      <c r="N106" s="3">
        <v>22</v>
      </c>
      <c r="O106" s="4">
        <v>44084</v>
      </c>
      <c r="P106" s="5" t="s">
        <v>460</v>
      </c>
      <c r="Q106" s="3">
        <v>1.8</v>
      </c>
      <c r="R106" s="6">
        <v>2</v>
      </c>
      <c r="S106" s="7" t="s">
        <v>34</v>
      </c>
      <c r="T106" s="4">
        <v>46568</v>
      </c>
      <c r="U106" s="4">
        <v>36685</v>
      </c>
      <c r="V106" s="4">
        <f ca="1">TODAY()</f>
        <v>45919</v>
      </c>
      <c r="W106" s="8">
        <f ca="1">(V106-U106)/365.25</f>
        <v>25.281314168377822</v>
      </c>
    </row>
    <row r="107" spans="1:23" x14ac:dyDescent="0.2">
      <c r="A107" s="1" t="s">
        <v>24</v>
      </c>
      <c r="B107" s="1" t="s">
        <v>25</v>
      </c>
      <c r="C107" s="1" t="s">
        <v>26</v>
      </c>
      <c r="D107" s="5" t="s">
        <v>82</v>
      </c>
      <c r="E107" s="1">
        <v>3</v>
      </c>
      <c r="F107" s="1" t="s">
        <v>35</v>
      </c>
      <c r="G107" s="1" t="s">
        <v>445</v>
      </c>
      <c r="I107" s="1" t="s">
        <v>37</v>
      </c>
      <c r="J107" s="1" t="s">
        <v>37</v>
      </c>
      <c r="K107" s="1" t="s">
        <v>44</v>
      </c>
      <c r="M107" s="1" t="s">
        <v>461</v>
      </c>
      <c r="N107" s="3">
        <v>17</v>
      </c>
      <c r="O107" s="4">
        <v>45133</v>
      </c>
      <c r="P107" s="5" t="s">
        <v>395</v>
      </c>
      <c r="Q107" s="3">
        <v>10</v>
      </c>
      <c r="R107" s="6">
        <v>16.149999999999999</v>
      </c>
      <c r="S107" s="7" t="s">
        <v>34</v>
      </c>
      <c r="T107" s="4">
        <v>46568</v>
      </c>
      <c r="U107" s="4">
        <v>35833</v>
      </c>
      <c r="V107" s="4">
        <f t="shared" ca="1" si="13"/>
        <v>45919</v>
      </c>
      <c r="W107" s="8">
        <f t="shared" ref="W107" ca="1" si="15">(V107-U107)/365.25</f>
        <v>27.613963039014372</v>
      </c>
    </row>
    <row r="108" spans="1:23" x14ac:dyDescent="0.2">
      <c r="A108" s="1" t="s">
        <v>24</v>
      </c>
      <c r="B108" s="1" t="s">
        <v>25</v>
      </c>
      <c r="C108" s="1" t="s">
        <v>26</v>
      </c>
      <c r="D108" s="5" t="s">
        <v>82</v>
      </c>
      <c r="E108" s="1">
        <v>4</v>
      </c>
      <c r="F108" s="1" t="s">
        <v>462</v>
      </c>
      <c r="G108" s="1" t="s">
        <v>463</v>
      </c>
      <c r="I108" s="1" t="s">
        <v>24</v>
      </c>
      <c r="J108" s="1" t="s">
        <v>24</v>
      </c>
      <c r="K108" s="1" t="s">
        <v>44</v>
      </c>
      <c r="M108" s="1" t="s">
        <v>464</v>
      </c>
      <c r="N108" s="3">
        <v>15</v>
      </c>
      <c r="O108" s="4">
        <v>43680</v>
      </c>
      <c r="P108" s="5" t="s">
        <v>298</v>
      </c>
      <c r="Q108" s="3">
        <v>9</v>
      </c>
      <c r="R108" s="6">
        <v>22.22</v>
      </c>
      <c r="S108" s="7" t="s">
        <v>34</v>
      </c>
      <c r="T108" s="4">
        <v>46203</v>
      </c>
      <c r="U108" s="4">
        <v>34703</v>
      </c>
      <c r="V108" s="4">
        <f t="shared" ca="1" si="13"/>
        <v>45919</v>
      </c>
      <c r="W108" s="8">
        <f t="shared" ca="1" si="14"/>
        <v>30.70773442847365</v>
      </c>
    </row>
    <row r="109" spans="1:23" x14ac:dyDescent="0.2">
      <c r="A109" s="1" t="s">
        <v>24</v>
      </c>
      <c r="B109" s="1" t="s">
        <v>25</v>
      </c>
      <c r="C109" s="1" t="s">
        <v>26</v>
      </c>
      <c r="D109" s="5" t="s">
        <v>82</v>
      </c>
      <c r="E109" s="1">
        <v>5</v>
      </c>
      <c r="F109" s="1" t="s">
        <v>299</v>
      </c>
      <c r="G109" s="1" t="s">
        <v>465</v>
      </c>
      <c r="I109" s="1" t="s">
        <v>24</v>
      </c>
      <c r="J109" s="1" t="s">
        <v>24</v>
      </c>
      <c r="K109" s="1" t="s">
        <v>44</v>
      </c>
      <c r="M109" s="1" t="s">
        <v>466</v>
      </c>
      <c r="N109" s="3">
        <v>12</v>
      </c>
      <c r="O109" s="4">
        <v>40298</v>
      </c>
      <c r="P109" s="5" t="s">
        <v>467</v>
      </c>
      <c r="Q109" s="3">
        <v>0</v>
      </c>
      <c r="R109" s="6">
        <v>0</v>
      </c>
      <c r="S109" s="7" t="s">
        <v>34</v>
      </c>
      <c r="T109" s="4">
        <v>46203</v>
      </c>
      <c r="U109" s="4">
        <v>33563</v>
      </c>
      <c r="V109" s="4">
        <f t="shared" ca="1" si="13"/>
        <v>45919</v>
      </c>
      <c r="W109" s="8">
        <f ca="1">(V109-U109)/365.25</f>
        <v>33.828884325804246</v>
      </c>
    </row>
    <row r="110" spans="1:23" x14ac:dyDescent="0.2">
      <c r="A110" s="1" t="s">
        <v>24</v>
      </c>
      <c r="B110" s="1" t="s">
        <v>25</v>
      </c>
      <c r="C110" s="1" t="s">
        <v>26</v>
      </c>
      <c r="D110" s="5" t="s">
        <v>82</v>
      </c>
      <c r="E110" s="1">
        <v>24</v>
      </c>
      <c r="F110" s="1" t="s">
        <v>468</v>
      </c>
      <c r="G110" s="1" t="s">
        <v>469</v>
      </c>
      <c r="I110" s="1" t="s">
        <v>52</v>
      </c>
      <c r="J110" s="1" t="s">
        <v>336</v>
      </c>
      <c r="K110" s="1" t="s">
        <v>63</v>
      </c>
      <c r="M110" s="1" t="s">
        <v>470</v>
      </c>
      <c r="N110" s="3">
        <v>30</v>
      </c>
      <c r="O110" s="4">
        <v>45528</v>
      </c>
      <c r="P110" s="1" t="s">
        <v>471</v>
      </c>
      <c r="Q110" s="3">
        <v>30</v>
      </c>
      <c r="R110" s="6">
        <v>30</v>
      </c>
      <c r="S110" s="7" t="s">
        <v>66</v>
      </c>
      <c r="T110" s="4">
        <v>46934</v>
      </c>
      <c r="U110" s="4">
        <v>36440</v>
      </c>
      <c r="V110" s="4">
        <f t="shared" ca="1" si="13"/>
        <v>45919</v>
      </c>
      <c r="W110" s="8">
        <f t="shared" ca="1" si="14"/>
        <v>25.952087611225188</v>
      </c>
    </row>
    <row r="111" spans="1:23" x14ac:dyDescent="0.2">
      <c r="A111" s="1" t="s">
        <v>24</v>
      </c>
      <c r="B111" s="1" t="s">
        <v>25</v>
      </c>
      <c r="C111" s="1" t="s">
        <v>26</v>
      </c>
      <c r="D111" s="5" t="s">
        <v>82</v>
      </c>
      <c r="E111" s="1">
        <v>30</v>
      </c>
      <c r="F111" s="1" t="s">
        <v>472</v>
      </c>
      <c r="G111" s="1" t="s">
        <v>473</v>
      </c>
      <c r="I111" s="1" t="s">
        <v>474</v>
      </c>
      <c r="J111" s="1" t="s">
        <v>474</v>
      </c>
      <c r="K111" s="1" t="s">
        <v>63</v>
      </c>
      <c r="M111" s="1" t="s">
        <v>475</v>
      </c>
      <c r="N111" s="3">
        <v>30</v>
      </c>
      <c r="O111" s="4">
        <v>44789</v>
      </c>
      <c r="P111" s="5" t="s">
        <v>161</v>
      </c>
      <c r="Q111" s="3">
        <v>20</v>
      </c>
      <c r="R111" s="6">
        <v>17.8</v>
      </c>
      <c r="S111" s="7" t="s">
        <v>34</v>
      </c>
      <c r="T111" s="4">
        <v>46568</v>
      </c>
      <c r="U111" s="4">
        <v>35816</v>
      </c>
      <c r="V111" s="4">
        <f t="shared" ca="1" si="13"/>
        <v>45919</v>
      </c>
      <c r="W111" s="8">
        <f ca="1">(V111-U111)/365.25</f>
        <v>27.66050650239562</v>
      </c>
    </row>
    <row r="112" spans="1:23" x14ac:dyDescent="0.2">
      <c r="A112" s="1" t="s">
        <v>24</v>
      </c>
      <c r="B112" s="1" t="s">
        <v>25</v>
      </c>
      <c r="C112" s="1" t="s">
        <v>26</v>
      </c>
      <c r="D112" s="5" t="s">
        <v>82</v>
      </c>
      <c r="E112" s="1">
        <v>47</v>
      </c>
      <c r="F112" s="1" t="s">
        <v>476</v>
      </c>
      <c r="G112" s="1" t="s">
        <v>477</v>
      </c>
      <c r="I112" s="1" t="s">
        <v>24</v>
      </c>
      <c r="J112" s="1" t="s">
        <v>24</v>
      </c>
      <c r="K112" s="1" t="s">
        <v>63</v>
      </c>
      <c r="M112" s="1" t="s">
        <v>478</v>
      </c>
      <c r="N112" s="3">
        <v>0.1</v>
      </c>
      <c r="O112" s="4">
        <v>45474</v>
      </c>
      <c r="P112" s="5" t="s">
        <v>467</v>
      </c>
      <c r="Q112" s="3">
        <v>0.1</v>
      </c>
      <c r="R112" s="6">
        <v>0</v>
      </c>
      <c r="S112" s="7" t="s">
        <v>479</v>
      </c>
      <c r="T112" s="4">
        <v>45838</v>
      </c>
      <c r="U112" s="4">
        <v>37657</v>
      </c>
      <c r="V112" s="4">
        <f t="shared" ca="1" si="13"/>
        <v>45919</v>
      </c>
      <c r="W112" s="8">
        <f t="shared" ca="1" si="14"/>
        <v>22.62012320328542</v>
      </c>
    </row>
    <row r="113" spans="1:23" x14ac:dyDescent="0.2">
      <c r="A113" s="1" t="s">
        <v>24</v>
      </c>
      <c r="B113" s="1" t="s">
        <v>25</v>
      </c>
      <c r="C113" s="1" t="s">
        <v>26</v>
      </c>
      <c r="D113" s="5" t="s">
        <v>82</v>
      </c>
      <c r="E113" s="1">
        <v>2</v>
      </c>
      <c r="F113" s="1" t="s">
        <v>480</v>
      </c>
      <c r="G113" s="1" t="s">
        <v>481</v>
      </c>
      <c r="I113" s="1" t="s">
        <v>24</v>
      </c>
      <c r="J113" s="1" t="s">
        <v>94</v>
      </c>
      <c r="K113" s="1" t="s">
        <v>80</v>
      </c>
      <c r="M113" s="1" t="s">
        <v>482</v>
      </c>
      <c r="N113" s="3">
        <v>12</v>
      </c>
      <c r="O113" s="4">
        <v>43861</v>
      </c>
      <c r="P113" s="5" t="s">
        <v>483</v>
      </c>
      <c r="Q113" s="3">
        <v>0</v>
      </c>
      <c r="R113" s="6">
        <v>1.2</v>
      </c>
      <c r="S113" s="7" t="s">
        <v>34</v>
      </c>
      <c r="T113" s="4">
        <v>45838</v>
      </c>
      <c r="U113" s="4">
        <v>36799</v>
      </c>
      <c r="V113" s="4">
        <f t="shared" ca="1" si="13"/>
        <v>45919</v>
      </c>
      <c r="W113" s="8">
        <f t="shared" ca="1" si="14"/>
        <v>24.969199178644764</v>
      </c>
    </row>
    <row r="114" spans="1:23" x14ac:dyDescent="0.2">
      <c r="A114" s="1" t="s">
        <v>24</v>
      </c>
      <c r="B114" s="1" t="s">
        <v>25</v>
      </c>
      <c r="C114" s="1" t="s">
        <v>26</v>
      </c>
      <c r="D114" s="5" t="s">
        <v>82</v>
      </c>
      <c r="E114" s="1">
        <v>34</v>
      </c>
      <c r="F114" s="1" t="s">
        <v>484</v>
      </c>
      <c r="G114" s="1" t="s">
        <v>485</v>
      </c>
      <c r="I114" s="1" t="s">
        <v>52</v>
      </c>
      <c r="J114" s="1" t="s">
        <v>52</v>
      </c>
      <c r="K114" s="1" t="s">
        <v>80</v>
      </c>
      <c r="M114" s="1" t="s">
        <v>486</v>
      </c>
      <c r="N114" s="3">
        <v>8</v>
      </c>
      <c r="O114" s="4">
        <v>44041</v>
      </c>
      <c r="P114" s="5" t="s">
        <v>54</v>
      </c>
      <c r="Q114" s="3">
        <v>8</v>
      </c>
      <c r="R114" s="6">
        <v>1</v>
      </c>
      <c r="S114" s="7" t="s">
        <v>34</v>
      </c>
      <c r="T114" s="4">
        <v>45838</v>
      </c>
      <c r="U114" s="4">
        <v>33618</v>
      </c>
      <c r="V114" s="4">
        <f t="shared" ca="1" si="13"/>
        <v>45919</v>
      </c>
      <c r="W114" s="8">
        <f ca="1">(V114-U114)/365.25</f>
        <v>33.678302532511978</v>
      </c>
    </row>
    <row r="115" spans="1:23" x14ac:dyDescent="0.2">
      <c r="A115" s="1" t="s">
        <v>24</v>
      </c>
      <c r="B115" s="1" t="s">
        <v>25</v>
      </c>
      <c r="C115" s="1" t="s">
        <v>26</v>
      </c>
      <c r="D115" s="5" t="s">
        <v>82</v>
      </c>
      <c r="E115" s="1">
        <v>27</v>
      </c>
      <c r="F115" s="1" t="s">
        <v>487</v>
      </c>
      <c r="G115" s="1" t="s">
        <v>488</v>
      </c>
      <c r="I115" s="1" t="s">
        <v>52</v>
      </c>
      <c r="J115" s="1" t="s">
        <v>52</v>
      </c>
      <c r="K115" s="1" t="s">
        <v>95</v>
      </c>
      <c r="M115" s="1" t="s">
        <v>489</v>
      </c>
      <c r="N115" s="3">
        <v>30</v>
      </c>
      <c r="O115" s="4">
        <v>45478</v>
      </c>
      <c r="P115" s="5" t="s">
        <v>263</v>
      </c>
      <c r="Q115" s="3">
        <v>30</v>
      </c>
      <c r="R115" s="6">
        <v>32</v>
      </c>
      <c r="S115" s="7" t="s">
        <v>66</v>
      </c>
      <c r="T115" s="4">
        <v>47299</v>
      </c>
      <c r="U115" s="4">
        <v>36480</v>
      </c>
      <c r="V115" s="4">
        <f t="shared" ca="1" si="13"/>
        <v>45919</v>
      </c>
      <c r="W115" s="8">
        <f t="shared" ca="1" si="14"/>
        <v>25.842573579739906</v>
      </c>
    </row>
    <row r="116" spans="1:23" x14ac:dyDescent="0.2">
      <c r="A116" s="1" t="s">
        <v>24</v>
      </c>
      <c r="B116" s="1" t="s">
        <v>25</v>
      </c>
      <c r="C116" s="1" t="s">
        <v>26</v>
      </c>
      <c r="D116" s="5" t="s">
        <v>82</v>
      </c>
      <c r="E116" s="1">
        <v>20</v>
      </c>
      <c r="F116" s="1" t="s">
        <v>166</v>
      </c>
      <c r="G116" s="1" t="s">
        <v>490</v>
      </c>
      <c r="I116" s="1" t="s">
        <v>438</v>
      </c>
      <c r="J116" s="1" t="s">
        <v>438</v>
      </c>
      <c r="K116" s="1" t="s">
        <v>95</v>
      </c>
      <c r="M116" s="1" t="s">
        <v>491</v>
      </c>
      <c r="N116" s="3">
        <v>22</v>
      </c>
      <c r="O116" s="4">
        <v>45167</v>
      </c>
      <c r="P116" s="5" t="s">
        <v>492</v>
      </c>
      <c r="Q116" s="3">
        <v>5</v>
      </c>
      <c r="R116" s="6">
        <v>27</v>
      </c>
      <c r="S116" s="7" t="s">
        <v>34</v>
      </c>
      <c r="T116" s="4">
        <v>46934</v>
      </c>
      <c r="U116" s="4">
        <v>37989</v>
      </c>
      <c r="V116" s="4">
        <f t="shared" ca="1" si="13"/>
        <v>45919</v>
      </c>
      <c r="W116" s="8">
        <f t="shared" ca="1" si="14"/>
        <v>21.711156741957563</v>
      </c>
    </row>
    <row r="117" spans="1:23" x14ac:dyDescent="0.2">
      <c r="A117" s="1" t="s">
        <v>24</v>
      </c>
      <c r="B117" s="1" t="s">
        <v>25</v>
      </c>
      <c r="C117" s="1" t="s">
        <v>26</v>
      </c>
      <c r="D117" s="5" t="s">
        <v>82</v>
      </c>
      <c r="E117" s="1">
        <v>33</v>
      </c>
      <c r="F117" s="1" t="s">
        <v>493</v>
      </c>
      <c r="G117" s="1" t="s">
        <v>494</v>
      </c>
      <c r="I117" s="1" t="s">
        <v>24</v>
      </c>
      <c r="J117" s="1" t="s">
        <v>304</v>
      </c>
      <c r="K117" s="1" t="s">
        <v>89</v>
      </c>
      <c r="M117" s="1" t="s">
        <v>495</v>
      </c>
      <c r="N117" s="3">
        <v>20</v>
      </c>
      <c r="O117" s="4">
        <v>45530</v>
      </c>
      <c r="P117" s="5" t="s">
        <v>77</v>
      </c>
      <c r="Q117" s="3">
        <v>20</v>
      </c>
      <c r="R117" s="6">
        <v>29.5</v>
      </c>
      <c r="S117" s="7" t="s">
        <v>66</v>
      </c>
      <c r="T117" s="4">
        <v>47299</v>
      </c>
      <c r="U117" s="4">
        <v>36851</v>
      </c>
      <c r="V117" s="4">
        <f t="shared" ca="1" si="13"/>
        <v>45919</v>
      </c>
      <c r="W117" s="8">
        <f ca="1">(V117-U117)/365.25</f>
        <v>24.826830937713893</v>
      </c>
    </row>
    <row r="118" spans="1:23" x14ac:dyDescent="0.2">
      <c r="A118" s="1" t="s">
        <v>24</v>
      </c>
      <c r="B118" s="1" t="s">
        <v>25</v>
      </c>
      <c r="C118" s="1" t="s">
        <v>26</v>
      </c>
      <c r="D118" s="5" t="s">
        <v>82</v>
      </c>
      <c r="E118" s="1">
        <v>41</v>
      </c>
      <c r="F118" s="1" t="s">
        <v>496</v>
      </c>
      <c r="G118" s="1" t="s">
        <v>497</v>
      </c>
      <c r="I118" s="1" t="s">
        <v>24</v>
      </c>
      <c r="J118" s="1" t="s">
        <v>24</v>
      </c>
      <c r="K118" s="1" t="s">
        <v>89</v>
      </c>
      <c r="M118" s="1" t="s">
        <v>498</v>
      </c>
      <c r="N118" s="3">
        <v>20</v>
      </c>
      <c r="O118" s="4">
        <v>45108</v>
      </c>
      <c r="P118" s="5" t="s">
        <v>467</v>
      </c>
      <c r="Q118" s="3">
        <v>0</v>
      </c>
      <c r="R118" s="6">
        <v>0</v>
      </c>
      <c r="S118" s="7" t="s">
        <v>34</v>
      </c>
      <c r="T118" s="4">
        <v>46934</v>
      </c>
      <c r="U118" s="4">
        <v>38453</v>
      </c>
      <c r="V118" s="4">
        <f t="shared" ca="1" si="13"/>
        <v>45919</v>
      </c>
      <c r="W118" s="8">
        <f t="shared" ref="W118" ca="1" si="16">(V118-U118)/365.25</f>
        <v>20.440793976728269</v>
      </c>
    </row>
    <row r="119" spans="1:23" x14ac:dyDescent="0.2">
      <c r="A119" s="1" t="s">
        <v>24</v>
      </c>
      <c r="B119" s="1" t="s">
        <v>25</v>
      </c>
      <c r="C119" s="1" t="s">
        <v>26</v>
      </c>
      <c r="D119" s="5" t="s">
        <v>82</v>
      </c>
      <c r="E119" s="1">
        <v>15</v>
      </c>
      <c r="F119" s="1" t="s">
        <v>55</v>
      </c>
      <c r="G119" s="1" t="s">
        <v>499</v>
      </c>
      <c r="I119" s="1" t="s">
        <v>57</v>
      </c>
      <c r="J119" s="1" t="s">
        <v>57</v>
      </c>
      <c r="K119" s="1" t="s">
        <v>89</v>
      </c>
      <c r="M119" s="1" t="s">
        <v>500</v>
      </c>
      <c r="N119" s="3">
        <v>10</v>
      </c>
      <c r="O119" s="4">
        <v>44108</v>
      </c>
      <c r="P119" s="5" t="s">
        <v>501</v>
      </c>
      <c r="Q119" s="3">
        <v>3</v>
      </c>
      <c r="R119" s="6">
        <v>11</v>
      </c>
      <c r="S119" s="7" t="s">
        <v>98</v>
      </c>
      <c r="T119" s="4">
        <v>45838</v>
      </c>
      <c r="U119" s="4">
        <v>36257</v>
      </c>
      <c r="V119" s="4">
        <f t="shared" ca="1" si="13"/>
        <v>45919</v>
      </c>
      <c r="W119" s="8">
        <f t="shared" ca="1" si="14"/>
        <v>26.453114305270361</v>
      </c>
    </row>
    <row r="120" spans="1:23" x14ac:dyDescent="0.2">
      <c r="A120" s="1" t="s">
        <v>24</v>
      </c>
      <c r="B120" s="1" t="s">
        <v>25</v>
      </c>
      <c r="C120" s="1" t="s">
        <v>26</v>
      </c>
      <c r="D120" s="5" t="s">
        <v>82</v>
      </c>
      <c r="E120" s="1">
        <v>26</v>
      </c>
      <c r="F120" s="1" t="s">
        <v>502</v>
      </c>
      <c r="G120" s="1" t="s">
        <v>503</v>
      </c>
      <c r="I120" s="1" t="s">
        <v>155</v>
      </c>
      <c r="J120" s="1" t="s">
        <v>155</v>
      </c>
      <c r="K120" s="1" t="s">
        <v>89</v>
      </c>
      <c r="M120" s="1" t="s">
        <v>504</v>
      </c>
      <c r="N120" s="3">
        <v>4.5</v>
      </c>
      <c r="O120" s="4">
        <v>44956</v>
      </c>
      <c r="P120" s="5" t="s">
        <v>505</v>
      </c>
      <c r="Q120" s="3">
        <v>4</v>
      </c>
      <c r="R120" s="6">
        <v>4</v>
      </c>
      <c r="S120" s="7" t="s">
        <v>196</v>
      </c>
      <c r="T120" s="4">
        <v>46568</v>
      </c>
      <c r="U120" s="4">
        <v>37900</v>
      </c>
      <c r="V120" s="4">
        <f t="shared" ca="1" si="13"/>
        <v>45919</v>
      </c>
      <c r="W120" s="8">
        <f ca="1">(V120-U120)/365.25</f>
        <v>21.95482546201232</v>
      </c>
    </row>
    <row r="121" spans="1:23" x14ac:dyDescent="0.2">
      <c r="A121" s="1" t="s">
        <v>24</v>
      </c>
      <c r="B121" s="1" t="s">
        <v>25</v>
      </c>
      <c r="C121" s="1" t="s">
        <v>26</v>
      </c>
      <c r="D121" s="5" t="s">
        <v>82</v>
      </c>
      <c r="E121" s="1">
        <v>6</v>
      </c>
      <c r="F121" s="1" t="s">
        <v>268</v>
      </c>
      <c r="G121" s="1" t="s">
        <v>506</v>
      </c>
      <c r="I121" s="1" t="s">
        <v>24</v>
      </c>
      <c r="J121" s="1" t="s">
        <v>24</v>
      </c>
      <c r="K121" s="1" t="s">
        <v>89</v>
      </c>
      <c r="M121" s="1" t="s">
        <v>507</v>
      </c>
      <c r="N121" s="3">
        <v>1</v>
      </c>
      <c r="O121" s="4">
        <v>45108</v>
      </c>
      <c r="P121" s="5" t="s">
        <v>357</v>
      </c>
      <c r="Q121" s="3">
        <v>1.5</v>
      </c>
      <c r="R121" s="6" t="s">
        <v>205</v>
      </c>
      <c r="S121" s="7" t="s">
        <v>98</v>
      </c>
      <c r="T121" s="4">
        <v>45838</v>
      </c>
      <c r="U121" s="4">
        <v>31416</v>
      </c>
      <c r="V121" s="4">
        <f t="shared" ca="1" si="13"/>
        <v>45919</v>
      </c>
      <c r="W121" s="8">
        <f ca="1">(V121-U121)/365.25</f>
        <v>39.707049965776868</v>
      </c>
    </row>
    <row r="122" spans="1:23" x14ac:dyDescent="0.2">
      <c r="A122" s="1" t="s">
        <v>24</v>
      </c>
      <c r="B122" s="1" t="s">
        <v>25</v>
      </c>
      <c r="C122" s="1" t="s">
        <v>26</v>
      </c>
      <c r="D122" s="5" t="s">
        <v>82</v>
      </c>
      <c r="E122" s="1">
        <v>10</v>
      </c>
      <c r="F122" s="1" t="s">
        <v>508</v>
      </c>
      <c r="G122" s="1" t="s">
        <v>509</v>
      </c>
      <c r="I122" s="1" t="s">
        <v>510</v>
      </c>
      <c r="J122" s="1" t="s">
        <v>510</v>
      </c>
      <c r="K122" s="1" t="s">
        <v>113</v>
      </c>
      <c r="M122" s="1" t="s">
        <v>511</v>
      </c>
      <c r="N122" s="3">
        <v>22</v>
      </c>
      <c r="O122" s="4">
        <v>44743</v>
      </c>
      <c r="P122" s="5" t="s">
        <v>512</v>
      </c>
      <c r="Q122" s="3">
        <v>11</v>
      </c>
      <c r="R122" s="6">
        <v>11.6</v>
      </c>
      <c r="S122" s="7" t="s">
        <v>34</v>
      </c>
      <c r="T122" s="4">
        <v>46934</v>
      </c>
      <c r="U122" s="4">
        <v>38009</v>
      </c>
      <c r="V122" s="4">
        <f t="shared" ca="1" si="13"/>
        <v>45919</v>
      </c>
      <c r="W122" s="8">
        <f ca="1">(V122-U122)/365.25</f>
        <v>21.656399726214921</v>
      </c>
    </row>
    <row r="123" spans="1:23" x14ac:dyDescent="0.2">
      <c r="A123" s="1" t="s">
        <v>24</v>
      </c>
      <c r="B123" s="1" t="s">
        <v>25</v>
      </c>
      <c r="C123" s="1" t="s">
        <v>26</v>
      </c>
      <c r="D123" s="5" t="s">
        <v>82</v>
      </c>
      <c r="E123" s="1">
        <v>22</v>
      </c>
      <c r="F123" s="1" t="s">
        <v>513</v>
      </c>
      <c r="G123" s="1" t="s">
        <v>514</v>
      </c>
      <c r="I123" s="1" t="s">
        <v>85</v>
      </c>
      <c r="J123" s="1" t="s">
        <v>85</v>
      </c>
      <c r="K123" s="1" t="s">
        <v>120</v>
      </c>
      <c r="M123" s="1" t="s">
        <v>515</v>
      </c>
      <c r="N123" s="3">
        <v>45</v>
      </c>
      <c r="O123" s="4">
        <v>44418</v>
      </c>
      <c r="P123" s="5" t="s">
        <v>516</v>
      </c>
      <c r="Q123" s="3">
        <v>1.8</v>
      </c>
      <c r="R123" s="6">
        <v>3</v>
      </c>
      <c r="S123" s="7" t="s">
        <v>34</v>
      </c>
      <c r="T123" s="4">
        <v>46568</v>
      </c>
      <c r="U123" s="4">
        <v>35570</v>
      </c>
      <c r="V123" s="4">
        <f t="shared" ca="1" si="13"/>
        <v>45919</v>
      </c>
      <c r="W123" s="8">
        <f ca="1">(V123-U123)/365.25</f>
        <v>28.334017796030118</v>
      </c>
    </row>
    <row r="124" spans="1:23" x14ac:dyDescent="0.2">
      <c r="A124" s="1" t="s">
        <v>24</v>
      </c>
      <c r="B124" s="1" t="s">
        <v>25</v>
      </c>
      <c r="C124" s="1" t="s">
        <v>26</v>
      </c>
      <c r="D124" s="5" t="s">
        <v>82</v>
      </c>
      <c r="E124" s="1">
        <v>11</v>
      </c>
      <c r="F124" s="1" t="s">
        <v>517</v>
      </c>
      <c r="G124" s="1" t="s">
        <v>518</v>
      </c>
      <c r="I124" s="1" t="s">
        <v>519</v>
      </c>
      <c r="J124" s="1" t="s">
        <v>519</v>
      </c>
      <c r="K124" s="1" t="s">
        <v>133</v>
      </c>
      <c r="M124" s="1" t="s">
        <v>520</v>
      </c>
      <c r="N124" s="3">
        <v>30</v>
      </c>
      <c r="O124" s="4">
        <v>44743</v>
      </c>
      <c r="P124" s="5" t="s">
        <v>521</v>
      </c>
      <c r="Q124" s="3">
        <v>1.5</v>
      </c>
      <c r="R124" s="6">
        <v>8</v>
      </c>
      <c r="S124" s="7" t="s">
        <v>34</v>
      </c>
      <c r="T124" s="4">
        <v>46203</v>
      </c>
      <c r="U124" s="4">
        <v>37257</v>
      </c>
      <c r="V124" s="4">
        <f t="shared" ca="1" si="13"/>
        <v>45919</v>
      </c>
      <c r="W124" s="8">
        <f t="shared" ca="1" si="14"/>
        <v>23.715263518138261</v>
      </c>
    </row>
    <row r="125" spans="1:23" x14ac:dyDescent="0.2">
      <c r="A125" s="1" t="s">
        <v>24</v>
      </c>
      <c r="B125" s="1" t="s">
        <v>25</v>
      </c>
      <c r="C125" s="1" t="s">
        <v>26</v>
      </c>
      <c r="D125" s="5" t="s">
        <v>82</v>
      </c>
      <c r="E125" s="1">
        <v>17</v>
      </c>
      <c r="F125" s="1" t="s">
        <v>522</v>
      </c>
      <c r="G125" s="1" t="s">
        <v>523</v>
      </c>
      <c r="I125" s="1" t="s">
        <v>524</v>
      </c>
      <c r="J125" s="1" t="s">
        <v>524</v>
      </c>
      <c r="K125" s="1" t="s">
        <v>133</v>
      </c>
      <c r="M125" s="1" t="s">
        <v>525</v>
      </c>
      <c r="N125" s="3">
        <v>28</v>
      </c>
      <c r="O125" s="4">
        <v>45474</v>
      </c>
      <c r="P125" s="5" t="s">
        <v>526</v>
      </c>
      <c r="Q125" s="3">
        <v>16</v>
      </c>
      <c r="R125" s="6">
        <v>35</v>
      </c>
      <c r="S125" s="7" t="s">
        <v>66</v>
      </c>
      <c r="T125" s="4">
        <v>47299</v>
      </c>
      <c r="U125" s="4">
        <v>38190</v>
      </c>
      <c r="V125" s="4">
        <f t="shared" ca="1" si="13"/>
        <v>45919</v>
      </c>
      <c r="W125" s="8">
        <f t="shared" ca="1" si="14"/>
        <v>21.160848733744011</v>
      </c>
    </row>
    <row r="126" spans="1:23" x14ac:dyDescent="0.2">
      <c r="A126" s="1" t="s">
        <v>24</v>
      </c>
      <c r="B126" s="1" t="s">
        <v>25</v>
      </c>
      <c r="C126" s="1" t="s">
        <v>26</v>
      </c>
      <c r="D126" s="5" t="s">
        <v>82</v>
      </c>
      <c r="E126" s="1">
        <v>8</v>
      </c>
      <c r="F126" s="1" t="s">
        <v>527</v>
      </c>
      <c r="G126" s="1" t="s">
        <v>528</v>
      </c>
      <c r="I126" s="1" t="s">
        <v>138</v>
      </c>
      <c r="J126" s="1" t="s">
        <v>138</v>
      </c>
      <c r="K126" s="1" t="s">
        <v>133</v>
      </c>
      <c r="M126" s="1" t="s">
        <v>529</v>
      </c>
      <c r="N126" s="3">
        <v>25</v>
      </c>
      <c r="O126" s="4">
        <v>45518</v>
      </c>
      <c r="P126" s="5" t="s">
        <v>530</v>
      </c>
      <c r="Q126" s="3">
        <v>20</v>
      </c>
      <c r="R126" s="6">
        <v>31.5</v>
      </c>
      <c r="S126" s="7" t="s">
        <v>66</v>
      </c>
      <c r="T126" s="4">
        <v>46934</v>
      </c>
      <c r="U126" s="4">
        <v>38138</v>
      </c>
      <c r="V126" s="4">
        <f t="shared" ca="1" si="13"/>
        <v>45919</v>
      </c>
      <c r="W126" s="8">
        <f t="shared" ca="1" si="14"/>
        <v>21.303216974674879</v>
      </c>
    </row>
    <row r="127" spans="1:23" x14ac:dyDescent="0.2">
      <c r="A127" s="1" t="s">
        <v>24</v>
      </c>
      <c r="B127" s="1" t="s">
        <v>25</v>
      </c>
      <c r="C127" s="1" t="s">
        <v>26</v>
      </c>
      <c r="D127" s="5" t="s">
        <v>82</v>
      </c>
      <c r="E127" s="1">
        <v>7</v>
      </c>
      <c r="F127" s="1" t="s">
        <v>531</v>
      </c>
      <c r="G127" s="1" t="s">
        <v>532</v>
      </c>
      <c r="I127" s="1" t="s">
        <v>24</v>
      </c>
      <c r="J127" s="1" t="s">
        <v>24</v>
      </c>
      <c r="K127" s="1" t="s">
        <v>133</v>
      </c>
      <c r="M127" s="1" t="s">
        <v>533</v>
      </c>
      <c r="N127" s="3">
        <v>15</v>
      </c>
      <c r="O127" s="4">
        <v>43282</v>
      </c>
      <c r="P127" s="5" t="s">
        <v>467</v>
      </c>
      <c r="Q127" s="3">
        <v>0</v>
      </c>
      <c r="R127" s="6">
        <v>0</v>
      </c>
      <c r="S127" s="7" t="s">
        <v>34</v>
      </c>
      <c r="T127" s="4">
        <v>46203</v>
      </c>
      <c r="U127" s="4">
        <v>34535</v>
      </c>
      <c r="V127" s="4">
        <f t="shared" ca="1" si="13"/>
        <v>45919</v>
      </c>
      <c r="W127" s="8">
        <f t="shared" ca="1" si="14"/>
        <v>31.167693360711841</v>
      </c>
    </row>
    <row r="128" spans="1:23" x14ac:dyDescent="0.2">
      <c r="A128" s="1" t="s">
        <v>24</v>
      </c>
      <c r="B128" s="1" t="s">
        <v>25</v>
      </c>
      <c r="C128" s="1" t="s">
        <v>26</v>
      </c>
      <c r="D128" s="5" t="s">
        <v>82</v>
      </c>
      <c r="E128" s="1">
        <v>9</v>
      </c>
      <c r="F128" s="1" t="s">
        <v>534</v>
      </c>
      <c r="G128" s="1" t="s">
        <v>535</v>
      </c>
      <c r="I128" s="1" t="s">
        <v>37</v>
      </c>
      <c r="J128" s="1" t="s">
        <v>37</v>
      </c>
      <c r="K128" s="1" t="s">
        <v>139</v>
      </c>
      <c r="M128" s="1" t="s">
        <v>536</v>
      </c>
      <c r="N128" s="3">
        <v>50</v>
      </c>
      <c r="O128" s="4">
        <v>45108</v>
      </c>
      <c r="P128" s="5" t="s">
        <v>537</v>
      </c>
      <c r="Q128" s="3">
        <v>32</v>
      </c>
      <c r="R128" s="6">
        <v>34.200000000000003</v>
      </c>
      <c r="S128" s="7" t="s">
        <v>34</v>
      </c>
      <c r="T128" s="4">
        <v>46934</v>
      </c>
      <c r="U128" s="4">
        <v>37160</v>
      </c>
      <c r="V128" s="4">
        <f t="shared" ca="1" si="13"/>
        <v>45919</v>
      </c>
      <c r="W128" s="8">
        <f ca="1">(V128-U128)/365.25</f>
        <v>23.980835044490075</v>
      </c>
    </row>
    <row r="129" spans="1:23" x14ac:dyDescent="0.2">
      <c r="A129" s="1" t="s">
        <v>24</v>
      </c>
      <c r="B129" s="1" t="s">
        <v>25</v>
      </c>
      <c r="C129" s="1" t="s">
        <v>26</v>
      </c>
      <c r="D129" s="5" t="s">
        <v>82</v>
      </c>
      <c r="E129" s="1">
        <v>28</v>
      </c>
      <c r="F129" s="1" t="s">
        <v>538</v>
      </c>
      <c r="G129" s="1" t="s">
        <v>539</v>
      </c>
      <c r="I129" s="1" t="s">
        <v>250</v>
      </c>
      <c r="J129" s="1" t="s">
        <v>250</v>
      </c>
      <c r="K129" s="1" t="s">
        <v>139</v>
      </c>
      <c r="M129" s="1" t="s">
        <v>540</v>
      </c>
      <c r="N129" s="3">
        <v>45</v>
      </c>
      <c r="O129" s="4">
        <v>44743</v>
      </c>
      <c r="P129" s="5" t="s">
        <v>467</v>
      </c>
      <c r="Q129" s="3">
        <v>0.8</v>
      </c>
      <c r="R129" s="6">
        <v>0</v>
      </c>
      <c r="S129" s="7" t="s">
        <v>34</v>
      </c>
      <c r="T129" s="4">
        <v>47299</v>
      </c>
      <c r="U129" s="4">
        <v>38279</v>
      </c>
      <c r="V129" s="4">
        <f t="shared" ca="1" si="13"/>
        <v>45919</v>
      </c>
      <c r="W129" s="8">
        <f t="shared" ref="W129:W131" ca="1" si="17">(V129-U129)/365.25</f>
        <v>20.917180013689254</v>
      </c>
    </row>
    <row r="130" spans="1:23" x14ac:dyDescent="0.2">
      <c r="A130" s="1" t="s">
        <v>24</v>
      </c>
      <c r="B130" s="1" t="s">
        <v>25</v>
      </c>
      <c r="C130" s="1" t="s">
        <v>26</v>
      </c>
      <c r="D130" s="5" t="s">
        <v>82</v>
      </c>
      <c r="E130" s="1">
        <v>14</v>
      </c>
      <c r="F130" s="1" t="s">
        <v>541</v>
      </c>
      <c r="G130" s="1" t="s">
        <v>542</v>
      </c>
      <c r="I130" s="1" t="s">
        <v>43</v>
      </c>
      <c r="J130" s="1" t="s">
        <v>43</v>
      </c>
      <c r="K130" s="1" t="s">
        <v>139</v>
      </c>
      <c r="M130" s="1" t="s">
        <v>543</v>
      </c>
      <c r="N130" s="3">
        <v>28</v>
      </c>
      <c r="O130" s="4">
        <v>45523</v>
      </c>
      <c r="P130" s="5" t="s">
        <v>294</v>
      </c>
      <c r="Q130" s="3">
        <v>18</v>
      </c>
      <c r="R130" s="6">
        <v>46.7</v>
      </c>
      <c r="S130" s="7" t="s">
        <v>66</v>
      </c>
      <c r="T130" s="4">
        <v>46934</v>
      </c>
      <c r="U130" s="4">
        <v>37366</v>
      </c>
      <c r="V130" s="4">
        <f t="shared" ca="1" si="13"/>
        <v>45919</v>
      </c>
      <c r="W130" s="8">
        <f t="shared" ca="1" si="17"/>
        <v>23.416837782340863</v>
      </c>
    </row>
    <row r="131" spans="1:23" x14ac:dyDescent="0.2">
      <c r="A131" s="1" t="s">
        <v>24</v>
      </c>
      <c r="B131" s="1" t="s">
        <v>25</v>
      </c>
      <c r="C131" s="1" t="s">
        <v>26</v>
      </c>
      <c r="D131" s="5" t="s">
        <v>82</v>
      </c>
      <c r="E131" s="1">
        <v>18</v>
      </c>
      <c r="F131" s="1" t="s">
        <v>544</v>
      </c>
      <c r="G131" s="1" t="s">
        <v>545</v>
      </c>
      <c r="I131" s="1" t="s">
        <v>24</v>
      </c>
      <c r="J131" s="1" t="s">
        <v>24</v>
      </c>
      <c r="K131" s="1" t="s">
        <v>139</v>
      </c>
      <c r="M131" s="1" t="s">
        <v>546</v>
      </c>
      <c r="N131" s="3">
        <v>5</v>
      </c>
      <c r="O131" s="4">
        <v>44122</v>
      </c>
      <c r="P131" s="5" t="s">
        <v>537</v>
      </c>
      <c r="Q131" s="3">
        <v>5.5</v>
      </c>
      <c r="R131" s="6" t="s">
        <v>205</v>
      </c>
      <c r="S131" s="7" t="s">
        <v>98</v>
      </c>
      <c r="T131" s="4">
        <v>46203</v>
      </c>
      <c r="U131" s="4">
        <v>33203</v>
      </c>
      <c r="V131" s="4">
        <f t="shared" ca="1" si="13"/>
        <v>45919</v>
      </c>
      <c r="W131" s="8">
        <f t="shared" ca="1" si="17"/>
        <v>34.814510609171798</v>
      </c>
    </row>
    <row r="132" spans="1:23" x14ac:dyDescent="0.2">
      <c r="A132" s="1" t="s">
        <v>24</v>
      </c>
      <c r="B132" s="1" t="s">
        <v>25</v>
      </c>
      <c r="C132" s="1" t="s">
        <v>26</v>
      </c>
      <c r="D132" s="5" t="s">
        <v>101</v>
      </c>
      <c r="E132" s="1">
        <v>1</v>
      </c>
      <c r="F132" s="1" t="s">
        <v>547</v>
      </c>
      <c r="G132" s="1" t="s">
        <v>548</v>
      </c>
      <c r="I132" s="1" t="s">
        <v>30</v>
      </c>
      <c r="J132" s="1" t="s">
        <v>30</v>
      </c>
      <c r="K132" s="1" t="s">
        <v>31</v>
      </c>
      <c r="M132" s="1" t="s">
        <v>549</v>
      </c>
      <c r="N132" s="3">
        <v>20</v>
      </c>
      <c r="O132" s="4">
        <v>45143</v>
      </c>
      <c r="P132" s="5" t="s">
        <v>82</v>
      </c>
      <c r="Q132" s="3">
        <v>22</v>
      </c>
      <c r="R132" s="6">
        <v>23</v>
      </c>
      <c r="S132" s="7" t="s">
        <v>34</v>
      </c>
      <c r="T132" s="4">
        <v>47664</v>
      </c>
      <c r="U132" s="4">
        <v>35752</v>
      </c>
      <c r="V132" s="4">
        <f ca="1">TODAY()</f>
        <v>45919</v>
      </c>
      <c r="W132" s="8">
        <f ca="1">(V132-U132)/365.25</f>
        <v>27.835728952772072</v>
      </c>
    </row>
    <row r="133" spans="1:23" x14ac:dyDescent="0.2">
      <c r="A133" s="1" t="s">
        <v>24</v>
      </c>
      <c r="B133" s="1" t="s">
        <v>25</v>
      </c>
      <c r="C133" s="1" t="s">
        <v>26</v>
      </c>
      <c r="D133" s="5" t="s">
        <v>101</v>
      </c>
      <c r="E133" s="1">
        <v>12</v>
      </c>
      <c r="F133" s="1" t="s">
        <v>550</v>
      </c>
      <c r="G133" s="1" t="s">
        <v>551</v>
      </c>
      <c r="I133" s="1" t="s">
        <v>155</v>
      </c>
      <c r="J133" s="1" t="s">
        <v>304</v>
      </c>
      <c r="K133" s="1" t="s">
        <v>31</v>
      </c>
      <c r="M133" s="1" t="s">
        <v>552</v>
      </c>
      <c r="N133" s="3">
        <v>20</v>
      </c>
      <c r="O133" s="4">
        <v>45503</v>
      </c>
      <c r="P133" s="5" t="s">
        <v>161</v>
      </c>
      <c r="Q133" s="3">
        <v>20</v>
      </c>
      <c r="R133" s="6">
        <v>24.5</v>
      </c>
      <c r="S133" s="7" t="s">
        <v>66</v>
      </c>
      <c r="T133" s="4">
        <v>48029</v>
      </c>
      <c r="U133" s="4">
        <v>37362</v>
      </c>
      <c r="V133" s="4">
        <f t="shared" ref="V133:V161" ca="1" si="18">TODAY()</f>
        <v>45919</v>
      </c>
      <c r="W133" s="8">
        <f t="shared" ref="W133:W155" ca="1" si="19">(V133-U133)/365.25</f>
        <v>23.427789185489392</v>
      </c>
    </row>
    <row r="134" spans="1:23" x14ac:dyDescent="0.2">
      <c r="A134" s="1" t="s">
        <v>24</v>
      </c>
      <c r="B134" s="1" t="s">
        <v>25</v>
      </c>
      <c r="C134" s="1" t="s">
        <v>26</v>
      </c>
      <c r="D134" s="5" t="s">
        <v>101</v>
      </c>
      <c r="E134" s="1">
        <v>13</v>
      </c>
      <c r="F134" s="1" t="s">
        <v>310</v>
      </c>
      <c r="G134" s="1" t="s">
        <v>553</v>
      </c>
      <c r="I134" s="1" t="s">
        <v>24</v>
      </c>
      <c r="J134" s="1" t="s">
        <v>24</v>
      </c>
      <c r="K134" s="1" t="s">
        <v>31</v>
      </c>
      <c r="M134" s="1" t="s">
        <v>554</v>
      </c>
      <c r="N134" s="3">
        <v>1</v>
      </c>
      <c r="O134" s="4">
        <v>44403</v>
      </c>
      <c r="P134" s="5" t="s">
        <v>555</v>
      </c>
      <c r="Q134" s="3">
        <v>2.5</v>
      </c>
      <c r="R134" s="6" t="s">
        <v>205</v>
      </c>
      <c r="S134" s="7" t="s">
        <v>98</v>
      </c>
      <c r="T134" s="4">
        <v>46203</v>
      </c>
      <c r="U134" s="4">
        <v>33748</v>
      </c>
      <c r="V134" s="4">
        <f ca="1">TODAY()</f>
        <v>45919</v>
      </c>
      <c r="W134" s="8">
        <f ca="1">(V134-U134)/365.25</f>
        <v>33.322381930184804</v>
      </c>
    </row>
    <row r="135" spans="1:23" x14ac:dyDescent="0.2">
      <c r="A135" s="1" t="s">
        <v>24</v>
      </c>
      <c r="B135" s="1" t="s">
        <v>25</v>
      </c>
      <c r="C135" s="1" t="s">
        <v>26</v>
      </c>
      <c r="D135" s="5" t="s">
        <v>101</v>
      </c>
      <c r="E135" s="1">
        <v>47</v>
      </c>
      <c r="F135" s="1" t="s">
        <v>183</v>
      </c>
      <c r="G135" s="1" t="s">
        <v>556</v>
      </c>
      <c r="I135" s="1" t="s">
        <v>557</v>
      </c>
      <c r="J135" s="1" t="s">
        <v>557</v>
      </c>
      <c r="K135" s="1" t="s">
        <v>31</v>
      </c>
      <c r="M135" s="1" t="s">
        <v>558</v>
      </c>
      <c r="N135" s="3">
        <v>0.7</v>
      </c>
      <c r="O135" s="4">
        <v>45108</v>
      </c>
      <c r="P135" s="5" t="s">
        <v>559</v>
      </c>
      <c r="Q135" s="3">
        <v>0.25</v>
      </c>
      <c r="R135" s="6">
        <v>0</v>
      </c>
      <c r="S135" s="7" t="s">
        <v>196</v>
      </c>
      <c r="T135" s="4">
        <v>45838</v>
      </c>
      <c r="U135" s="4">
        <v>37504</v>
      </c>
      <c r="V135" s="4">
        <f t="shared" ca="1" si="18"/>
        <v>45919</v>
      </c>
      <c r="W135" s="8">
        <f t="shared" ref="W135" ca="1" si="20">(V135-U135)/365.25</f>
        <v>23.039014373716633</v>
      </c>
    </row>
    <row r="136" spans="1:23" x14ac:dyDescent="0.2">
      <c r="A136" s="1" t="s">
        <v>24</v>
      </c>
      <c r="B136" s="1" t="s">
        <v>25</v>
      </c>
      <c r="C136" s="1" t="s">
        <v>26</v>
      </c>
      <c r="D136" s="5" t="s">
        <v>101</v>
      </c>
      <c r="E136" s="1">
        <v>6</v>
      </c>
      <c r="F136" s="1" t="s">
        <v>560</v>
      </c>
      <c r="G136" s="1" t="s">
        <v>561</v>
      </c>
      <c r="I136" s="1" t="s">
        <v>24</v>
      </c>
      <c r="J136" s="1" t="s">
        <v>24</v>
      </c>
      <c r="K136" s="1" t="s">
        <v>44</v>
      </c>
      <c r="M136" s="1" t="s">
        <v>562</v>
      </c>
      <c r="N136" s="3">
        <v>50</v>
      </c>
      <c r="O136" s="4">
        <v>44743</v>
      </c>
      <c r="P136" s="5" t="s">
        <v>483</v>
      </c>
      <c r="Q136" s="3">
        <v>5</v>
      </c>
      <c r="R136" s="6">
        <v>0</v>
      </c>
      <c r="S136" s="7" t="s">
        <v>34</v>
      </c>
      <c r="T136" s="4">
        <v>47299</v>
      </c>
      <c r="U136" s="4">
        <v>37678</v>
      </c>
      <c r="V136" s="4">
        <f t="shared" ca="1" si="18"/>
        <v>45919</v>
      </c>
      <c r="W136" s="8">
        <f t="shared" ca="1" si="19"/>
        <v>22.562628336755647</v>
      </c>
    </row>
    <row r="137" spans="1:23" x14ac:dyDescent="0.2">
      <c r="A137" s="1" t="s">
        <v>24</v>
      </c>
      <c r="B137" s="1" t="s">
        <v>25</v>
      </c>
      <c r="C137" s="1" t="s">
        <v>26</v>
      </c>
      <c r="D137" s="5" t="s">
        <v>101</v>
      </c>
      <c r="E137" s="1">
        <v>2</v>
      </c>
      <c r="F137" s="1" t="s">
        <v>563</v>
      </c>
      <c r="G137" s="1" t="s">
        <v>564</v>
      </c>
      <c r="I137" s="1" t="s">
        <v>43</v>
      </c>
      <c r="J137" s="1" t="s">
        <v>43</v>
      </c>
      <c r="K137" s="1" t="s">
        <v>44</v>
      </c>
      <c r="M137" s="1" t="s">
        <v>565</v>
      </c>
      <c r="N137" s="3">
        <v>35</v>
      </c>
      <c r="O137" s="4">
        <v>45142</v>
      </c>
      <c r="P137" s="5" t="s">
        <v>566</v>
      </c>
      <c r="Q137" s="3">
        <v>30</v>
      </c>
      <c r="R137" s="6">
        <v>45</v>
      </c>
      <c r="S137" s="7" t="s">
        <v>34</v>
      </c>
      <c r="T137" s="4">
        <v>47299</v>
      </c>
      <c r="U137" s="4">
        <v>35865</v>
      </c>
      <c r="V137" s="4">
        <f t="shared" ca="1" si="18"/>
        <v>45919</v>
      </c>
      <c r="W137" s="8">
        <f ca="1">(V137-U137)/365.25</f>
        <v>27.526351813826146</v>
      </c>
    </row>
    <row r="138" spans="1:23" x14ac:dyDescent="0.2">
      <c r="A138" s="1" t="s">
        <v>24</v>
      </c>
      <c r="B138" s="1" t="s">
        <v>25</v>
      </c>
      <c r="C138" s="1" t="s">
        <v>26</v>
      </c>
      <c r="D138" s="5" t="s">
        <v>101</v>
      </c>
      <c r="E138" s="1">
        <v>5</v>
      </c>
      <c r="F138" s="1" t="s">
        <v>567</v>
      </c>
      <c r="G138" s="1" t="s">
        <v>568</v>
      </c>
      <c r="I138" s="1" t="s">
        <v>43</v>
      </c>
      <c r="J138" s="1" t="s">
        <v>43</v>
      </c>
      <c r="K138" s="1" t="s">
        <v>44</v>
      </c>
      <c r="M138" s="1" t="s">
        <v>569</v>
      </c>
      <c r="N138" s="3">
        <v>30</v>
      </c>
      <c r="O138" s="4">
        <v>44932</v>
      </c>
      <c r="P138" s="5" t="s">
        <v>566</v>
      </c>
      <c r="Q138" s="3">
        <v>40</v>
      </c>
      <c r="R138" s="6">
        <v>38</v>
      </c>
      <c r="S138" s="7" t="s">
        <v>34</v>
      </c>
      <c r="T138" s="4">
        <v>47664</v>
      </c>
      <c r="U138" s="4">
        <v>36976</v>
      </c>
      <c r="V138" s="4">
        <f t="shared" ca="1" si="18"/>
        <v>45919</v>
      </c>
      <c r="W138" s="8">
        <f t="shared" ca="1" si="19"/>
        <v>24.484599589322382</v>
      </c>
    </row>
    <row r="139" spans="1:23" x14ac:dyDescent="0.2">
      <c r="A139" s="1" t="s">
        <v>24</v>
      </c>
      <c r="B139" s="1" t="s">
        <v>25</v>
      </c>
      <c r="C139" s="1" t="s">
        <v>26</v>
      </c>
      <c r="D139" s="5" t="s">
        <v>101</v>
      </c>
      <c r="E139" s="1">
        <v>29</v>
      </c>
      <c r="F139" s="1" t="s">
        <v>570</v>
      </c>
      <c r="G139" s="1" t="s">
        <v>571</v>
      </c>
      <c r="I139" s="1" t="s">
        <v>43</v>
      </c>
      <c r="J139" s="1" t="s">
        <v>43</v>
      </c>
      <c r="K139" s="1" t="s">
        <v>44</v>
      </c>
      <c r="M139" s="1" t="s">
        <v>572</v>
      </c>
      <c r="N139" s="3">
        <v>25</v>
      </c>
      <c r="O139" s="4">
        <v>44804</v>
      </c>
      <c r="P139" s="5" t="s">
        <v>213</v>
      </c>
      <c r="Q139" s="3">
        <v>40</v>
      </c>
      <c r="R139" s="6">
        <v>80.400000000000006</v>
      </c>
      <c r="S139" s="7" t="s">
        <v>34</v>
      </c>
      <c r="T139" s="4">
        <v>47299</v>
      </c>
      <c r="U139" s="4">
        <v>36877</v>
      </c>
      <c r="V139" s="4">
        <f t="shared" ca="1" si="18"/>
        <v>45919</v>
      </c>
      <c r="W139" s="8">
        <f ca="1">(V139-U139)/365.25</f>
        <v>24.755646817248461</v>
      </c>
    </row>
    <row r="140" spans="1:23" x14ac:dyDescent="0.2">
      <c r="A140" s="1" t="s">
        <v>24</v>
      </c>
      <c r="B140" s="1" t="s">
        <v>25</v>
      </c>
      <c r="C140" s="1" t="s">
        <v>26</v>
      </c>
      <c r="D140" s="5" t="s">
        <v>101</v>
      </c>
      <c r="E140" s="1">
        <v>4</v>
      </c>
      <c r="F140" s="1" t="s">
        <v>573</v>
      </c>
      <c r="G140" s="1" t="s">
        <v>574</v>
      </c>
      <c r="I140" s="1" t="s">
        <v>24</v>
      </c>
      <c r="J140" s="1" t="s">
        <v>24</v>
      </c>
      <c r="K140" s="1" t="s">
        <v>44</v>
      </c>
      <c r="M140" s="1" t="s">
        <v>575</v>
      </c>
      <c r="N140" s="3">
        <v>20</v>
      </c>
      <c r="O140" s="4">
        <v>45474</v>
      </c>
      <c r="P140" s="5" t="s">
        <v>555</v>
      </c>
      <c r="Q140" s="3">
        <v>20</v>
      </c>
      <c r="R140" s="6" t="s">
        <v>205</v>
      </c>
      <c r="S140" s="7" t="s">
        <v>66</v>
      </c>
      <c r="T140" s="4">
        <v>46934</v>
      </c>
      <c r="U140" s="4">
        <v>35697</v>
      </c>
      <c r="V140" s="4">
        <f t="shared" ca="1" si="18"/>
        <v>45919</v>
      </c>
      <c r="W140" s="8">
        <f t="shared" ca="1" si="19"/>
        <v>27.986310746064341</v>
      </c>
    </row>
    <row r="141" spans="1:23" x14ac:dyDescent="0.2">
      <c r="A141" s="1" t="s">
        <v>24</v>
      </c>
      <c r="B141" s="1" t="s">
        <v>25</v>
      </c>
      <c r="C141" s="1" t="s">
        <v>26</v>
      </c>
      <c r="D141" s="5" t="s">
        <v>101</v>
      </c>
      <c r="E141" s="1">
        <v>40</v>
      </c>
      <c r="F141" s="1" t="s">
        <v>576</v>
      </c>
      <c r="G141" s="1" t="s">
        <v>577</v>
      </c>
      <c r="I141" s="1" t="s">
        <v>416</v>
      </c>
      <c r="J141" s="1" t="s">
        <v>416</v>
      </c>
      <c r="K141" s="1" t="s">
        <v>44</v>
      </c>
      <c r="M141" s="1" t="s">
        <v>578</v>
      </c>
      <c r="N141" s="3">
        <v>8</v>
      </c>
      <c r="O141" s="4">
        <v>45485</v>
      </c>
      <c r="P141" s="5" t="s">
        <v>579</v>
      </c>
      <c r="Q141" s="3">
        <v>3</v>
      </c>
      <c r="R141" s="6">
        <v>14</v>
      </c>
      <c r="S141" s="7" t="s">
        <v>66</v>
      </c>
      <c r="T141" s="4">
        <v>48029</v>
      </c>
      <c r="U141" s="4">
        <v>37831</v>
      </c>
      <c r="V141" s="4">
        <f t="shared" ca="1" si="18"/>
        <v>45919</v>
      </c>
      <c r="W141" s="8">
        <f t="shared" ca="1" si="19"/>
        <v>22.143737166324435</v>
      </c>
    </row>
    <row r="142" spans="1:23" x14ac:dyDescent="0.2">
      <c r="A142" s="1" t="s">
        <v>24</v>
      </c>
      <c r="B142" s="1" t="s">
        <v>25</v>
      </c>
      <c r="C142" s="1" t="s">
        <v>26</v>
      </c>
      <c r="D142" s="5" t="s">
        <v>101</v>
      </c>
      <c r="E142" s="1">
        <v>3</v>
      </c>
      <c r="F142" s="1" t="s">
        <v>580</v>
      </c>
      <c r="G142" s="1" t="s">
        <v>581</v>
      </c>
      <c r="I142" s="1" t="s">
        <v>30</v>
      </c>
      <c r="J142" s="1" t="s">
        <v>30</v>
      </c>
      <c r="K142" s="1" t="s">
        <v>63</v>
      </c>
      <c r="M142" s="1" t="s">
        <v>582</v>
      </c>
      <c r="N142" s="3">
        <v>30</v>
      </c>
      <c r="O142" s="4">
        <v>44778</v>
      </c>
      <c r="P142" s="5" t="s">
        <v>82</v>
      </c>
      <c r="Q142" s="3">
        <v>28</v>
      </c>
      <c r="R142" s="6">
        <v>65.3</v>
      </c>
      <c r="S142" s="7" t="s">
        <v>34</v>
      </c>
      <c r="T142" s="4">
        <v>46934</v>
      </c>
      <c r="U142" s="4">
        <v>35998</v>
      </c>
      <c r="V142" s="4">
        <f t="shared" ca="1" si="18"/>
        <v>45919</v>
      </c>
      <c r="W142" s="8">
        <f ca="1">(V142-U142)/365.25</f>
        <v>27.162217659137578</v>
      </c>
    </row>
    <row r="143" spans="1:23" x14ac:dyDescent="0.2">
      <c r="A143" s="1" t="s">
        <v>24</v>
      </c>
      <c r="B143" s="1" t="s">
        <v>25</v>
      </c>
      <c r="C143" s="1" t="s">
        <v>26</v>
      </c>
      <c r="D143" s="5" t="s">
        <v>101</v>
      </c>
      <c r="E143" s="1">
        <v>21</v>
      </c>
      <c r="F143" s="1" t="s">
        <v>78</v>
      </c>
      <c r="G143" s="1" t="s">
        <v>583</v>
      </c>
      <c r="I143" s="1" t="s">
        <v>24</v>
      </c>
      <c r="J143" s="1" t="s">
        <v>24</v>
      </c>
      <c r="K143" s="1" t="s">
        <v>63</v>
      </c>
      <c r="M143" s="1" t="s">
        <v>584</v>
      </c>
      <c r="N143" s="3">
        <v>22</v>
      </c>
      <c r="O143" s="4">
        <v>44069</v>
      </c>
      <c r="P143" s="5" t="s">
        <v>213</v>
      </c>
      <c r="Q143" s="3">
        <v>40</v>
      </c>
      <c r="R143" s="6">
        <v>50.2</v>
      </c>
      <c r="S143" s="7" t="s">
        <v>34</v>
      </c>
      <c r="T143" s="4">
        <v>46568</v>
      </c>
      <c r="U143" s="4">
        <v>35420</v>
      </c>
      <c r="V143" s="4">
        <f t="shared" ca="1" si="18"/>
        <v>45919</v>
      </c>
      <c r="W143" s="8">
        <f t="shared" ca="1" si="19"/>
        <v>28.744695414099933</v>
      </c>
    </row>
    <row r="144" spans="1:23" x14ac:dyDescent="0.2">
      <c r="A144" s="1" t="s">
        <v>24</v>
      </c>
      <c r="B144" s="1" t="s">
        <v>25</v>
      </c>
      <c r="C144" s="1" t="s">
        <v>26</v>
      </c>
      <c r="D144" s="5" t="s">
        <v>101</v>
      </c>
      <c r="E144" s="1">
        <v>24</v>
      </c>
      <c r="F144" s="1" t="s">
        <v>585</v>
      </c>
      <c r="G144" s="1" t="s">
        <v>268</v>
      </c>
      <c r="I144" s="1" t="s">
        <v>24</v>
      </c>
      <c r="J144" s="1" t="s">
        <v>24</v>
      </c>
      <c r="K144" s="1" t="s">
        <v>80</v>
      </c>
      <c r="M144" s="1" t="s">
        <v>586</v>
      </c>
      <c r="N144" s="3">
        <v>35</v>
      </c>
      <c r="O144" s="4">
        <v>43647</v>
      </c>
      <c r="P144" s="5" t="s">
        <v>483</v>
      </c>
      <c r="Q144" s="3">
        <v>7</v>
      </c>
      <c r="R144" s="6">
        <v>0</v>
      </c>
      <c r="S144" s="7" t="s">
        <v>34</v>
      </c>
      <c r="T144" s="4">
        <v>46934</v>
      </c>
      <c r="U144" s="4">
        <v>36502</v>
      </c>
      <c r="V144" s="4">
        <f t="shared" ca="1" si="18"/>
        <v>45919</v>
      </c>
      <c r="W144" s="8">
        <f t="shared" ca="1" si="19"/>
        <v>25.782340862422998</v>
      </c>
    </row>
    <row r="145" spans="1:23" x14ac:dyDescent="0.2">
      <c r="A145" s="1" t="s">
        <v>24</v>
      </c>
      <c r="B145" s="1" t="s">
        <v>25</v>
      </c>
      <c r="C145" s="1" t="s">
        <v>26</v>
      </c>
      <c r="D145" s="5" t="s">
        <v>101</v>
      </c>
      <c r="E145" s="1">
        <v>27</v>
      </c>
      <c r="F145" s="1" t="s">
        <v>587</v>
      </c>
      <c r="G145" s="1" t="s">
        <v>588</v>
      </c>
      <c r="I145" s="1" t="s">
        <v>43</v>
      </c>
      <c r="J145" s="1" t="s">
        <v>43</v>
      </c>
      <c r="K145" s="1" t="s">
        <v>80</v>
      </c>
      <c r="M145" s="1" t="s">
        <v>589</v>
      </c>
      <c r="N145" s="3">
        <v>35</v>
      </c>
      <c r="O145" s="4">
        <v>44955</v>
      </c>
      <c r="P145" s="5" t="s">
        <v>590</v>
      </c>
      <c r="Q145" s="3">
        <v>15</v>
      </c>
      <c r="R145" s="6">
        <v>30</v>
      </c>
      <c r="S145" s="7" t="s">
        <v>34</v>
      </c>
      <c r="T145" s="4">
        <v>47664</v>
      </c>
      <c r="U145" s="4">
        <v>37760</v>
      </c>
      <c r="V145" s="4">
        <f t="shared" ca="1" si="18"/>
        <v>45919</v>
      </c>
      <c r="W145" s="8">
        <f ca="1">(V145-U145)/365.25</f>
        <v>22.338124572210816</v>
      </c>
    </row>
    <row r="146" spans="1:23" x14ac:dyDescent="0.2">
      <c r="A146" s="1" t="s">
        <v>24</v>
      </c>
      <c r="B146" s="1" t="s">
        <v>25</v>
      </c>
      <c r="C146" s="1" t="s">
        <v>26</v>
      </c>
      <c r="D146" s="5" t="s">
        <v>101</v>
      </c>
      <c r="E146" s="1">
        <v>25</v>
      </c>
      <c r="F146" s="1" t="s">
        <v>591</v>
      </c>
      <c r="G146" s="1" t="s">
        <v>592</v>
      </c>
      <c r="I146" s="1" t="s">
        <v>474</v>
      </c>
      <c r="J146" s="1" t="s">
        <v>474</v>
      </c>
      <c r="K146" s="1" t="s">
        <v>95</v>
      </c>
      <c r="M146" s="1" t="s">
        <v>593</v>
      </c>
      <c r="N146" s="3">
        <v>75</v>
      </c>
      <c r="O146" s="4">
        <v>44787</v>
      </c>
      <c r="P146" s="5" t="s">
        <v>82</v>
      </c>
      <c r="Q146" s="3">
        <v>75</v>
      </c>
      <c r="R146" s="6">
        <v>116</v>
      </c>
      <c r="S146" s="7" t="s">
        <v>34</v>
      </c>
      <c r="T146" s="4">
        <v>48029</v>
      </c>
      <c r="U146" s="4">
        <v>37197</v>
      </c>
      <c r="V146" s="4">
        <f t="shared" ca="1" si="18"/>
        <v>45919</v>
      </c>
      <c r="W146" s="8">
        <f t="shared" ref="W146" ca="1" si="21">(V146-U146)/365.25</f>
        <v>23.879534565366189</v>
      </c>
    </row>
    <row r="147" spans="1:23" x14ac:dyDescent="0.2">
      <c r="A147" s="1" t="s">
        <v>24</v>
      </c>
      <c r="B147" s="1" t="s">
        <v>25</v>
      </c>
      <c r="C147" s="1" t="s">
        <v>26</v>
      </c>
      <c r="D147" s="5" t="s">
        <v>101</v>
      </c>
      <c r="E147" s="1">
        <v>45</v>
      </c>
      <c r="F147" s="1" t="s">
        <v>594</v>
      </c>
      <c r="G147" s="1" t="s">
        <v>595</v>
      </c>
      <c r="I147" s="1" t="s">
        <v>125</v>
      </c>
      <c r="J147" s="1" t="s">
        <v>125</v>
      </c>
      <c r="K147" s="1" t="s">
        <v>95</v>
      </c>
      <c r="M147" s="1" t="s">
        <v>596</v>
      </c>
      <c r="N147" s="3">
        <v>35</v>
      </c>
      <c r="O147" s="4">
        <v>45156</v>
      </c>
      <c r="P147" s="5" t="s">
        <v>597</v>
      </c>
      <c r="Q147" s="3">
        <v>32</v>
      </c>
      <c r="R147" s="6">
        <v>62.1</v>
      </c>
      <c r="S147" s="7" t="s">
        <v>34</v>
      </c>
      <c r="T147" s="4">
        <v>47664</v>
      </c>
      <c r="U147" s="4">
        <v>37992</v>
      </c>
      <c r="V147" s="4">
        <f t="shared" ca="1" si="18"/>
        <v>45919</v>
      </c>
      <c r="W147" s="8">
        <f t="shared" ca="1" si="19"/>
        <v>21.702943189596166</v>
      </c>
    </row>
    <row r="148" spans="1:23" x14ac:dyDescent="0.2">
      <c r="A148" s="1" t="s">
        <v>24</v>
      </c>
      <c r="B148" s="1" t="s">
        <v>25</v>
      </c>
      <c r="C148" s="1" t="s">
        <v>26</v>
      </c>
      <c r="D148" s="5" t="s">
        <v>101</v>
      </c>
      <c r="E148" s="1">
        <v>8</v>
      </c>
      <c r="F148" s="1" t="s">
        <v>598</v>
      </c>
      <c r="G148" s="1" t="s">
        <v>599</v>
      </c>
      <c r="I148" s="1" t="s">
        <v>146</v>
      </c>
      <c r="J148" s="1" t="s">
        <v>146</v>
      </c>
      <c r="K148" s="1" t="s">
        <v>89</v>
      </c>
      <c r="M148" s="1" t="s">
        <v>600</v>
      </c>
      <c r="N148" s="3">
        <v>75</v>
      </c>
      <c r="O148" s="4">
        <v>44957</v>
      </c>
      <c r="P148" s="5" t="s">
        <v>601</v>
      </c>
      <c r="Q148" s="3">
        <v>55</v>
      </c>
      <c r="R148" s="6">
        <v>121</v>
      </c>
      <c r="S148" s="7" t="s">
        <v>34</v>
      </c>
      <c r="T148" s="4">
        <v>48395</v>
      </c>
      <c r="U148" s="4">
        <v>36908</v>
      </c>
      <c r="V148" s="4">
        <f t="shared" ca="1" si="18"/>
        <v>45919</v>
      </c>
      <c r="W148" s="8">
        <f ca="1">(V148-U148)/365.25</f>
        <v>24.670773442847366</v>
      </c>
    </row>
    <row r="149" spans="1:23" x14ac:dyDescent="0.2">
      <c r="A149" s="1" t="s">
        <v>24</v>
      </c>
      <c r="B149" s="1" t="s">
        <v>25</v>
      </c>
      <c r="C149" s="1" t="s">
        <v>26</v>
      </c>
      <c r="D149" s="5" t="s">
        <v>101</v>
      </c>
      <c r="E149" s="1">
        <v>22</v>
      </c>
      <c r="F149" s="1" t="s">
        <v>602</v>
      </c>
      <c r="G149" s="1" t="s">
        <v>603</v>
      </c>
      <c r="I149" s="1" t="s">
        <v>24</v>
      </c>
      <c r="J149" s="1" t="s">
        <v>24</v>
      </c>
      <c r="K149" s="1" t="s">
        <v>89</v>
      </c>
      <c r="M149" s="1" t="s">
        <v>604</v>
      </c>
      <c r="N149" s="3">
        <v>30</v>
      </c>
      <c r="O149" s="4">
        <v>45475</v>
      </c>
      <c r="P149" s="5" t="s">
        <v>213</v>
      </c>
      <c r="Q149" s="3">
        <v>30</v>
      </c>
      <c r="R149" s="6">
        <v>35.4</v>
      </c>
      <c r="S149" s="7" t="s">
        <v>66</v>
      </c>
      <c r="T149" s="4">
        <v>47299</v>
      </c>
      <c r="U149" s="4">
        <v>36044</v>
      </c>
      <c r="V149" s="4">
        <f t="shared" ca="1" si="18"/>
        <v>45919</v>
      </c>
      <c r="W149" s="8">
        <f ca="1">(V149-U149)/365.25</f>
        <v>27.036276522929501</v>
      </c>
    </row>
    <row r="150" spans="1:23" x14ac:dyDescent="0.2">
      <c r="A150" s="1" t="s">
        <v>24</v>
      </c>
      <c r="B150" s="1" t="s">
        <v>25</v>
      </c>
      <c r="C150" s="1" t="s">
        <v>26</v>
      </c>
      <c r="D150" s="5" t="s">
        <v>101</v>
      </c>
      <c r="E150" s="1">
        <v>17</v>
      </c>
      <c r="F150" s="1" t="s">
        <v>605</v>
      </c>
      <c r="G150" s="1" t="s">
        <v>606</v>
      </c>
      <c r="I150" s="1" t="s">
        <v>607</v>
      </c>
      <c r="J150" s="1" t="s">
        <v>24</v>
      </c>
      <c r="K150" s="1" t="s">
        <v>89</v>
      </c>
      <c r="M150" s="1" t="s">
        <v>608</v>
      </c>
      <c r="N150" s="3">
        <v>15</v>
      </c>
      <c r="O150" s="4">
        <v>44777</v>
      </c>
      <c r="P150" s="5" t="s">
        <v>143</v>
      </c>
      <c r="Q150" s="3">
        <v>6</v>
      </c>
      <c r="R150" s="6">
        <v>18</v>
      </c>
      <c r="S150" s="7" t="s">
        <v>34</v>
      </c>
      <c r="T150" s="4">
        <v>46934</v>
      </c>
      <c r="U150" s="4">
        <v>37914</v>
      </c>
      <c r="V150" s="4">
        <f t="shared" ca="1" si="18"/>
        <v>45919</v>
      </c>
      <c r="W150" s="8">
        <f ca="1">(V150-U150)/365.25</f>
        <v>21.916495550992472</v>
      </c>
    </row>
    <row r="151" spans="1:23" x14ac:dyDescent="0.2">
      <c r="A151" s="1" t="s">
        <v>24</v>
      </c>
      <c r="B151" s="1" t="s">
        <v>25</v>
      </c>
      <c r="C151" s="1" t="s">
        <v>26</v>
      </c>
      <c r="D151" s="5" t="s">
        <v>101</v>
      </c>
      <c r="E151" s="1">
        <v>31</v>
      </c>
      <c r="F151" s="1" t="s">
        <v>609</v>
      </c>
      <c r="G151" s="1" t="s">
        <v>610</v>
      </c>
      <c r="I151" s="1" t="s">
        <v>62</v>
      </c>
      <c r="J151" s="1" t="s">
        <v>62</v>
      </c>
      <c r="K151" s="1" t="s">
        <v>89</v>
      </c>
      <c r="M151" s="1" t="s">
        <v>611</v>
      </c>
      <c r="N151" s="3">
        <v>10</v>
      </c>
      <c r="O151" s="4">
        <v>44792</v>
      </c>
      <c r="P151" s="5" t="s">
        <v>612</v>
      </c>
      <c r="Q151" s="3">
        <v>1</v>
      </c>
      <c r="R151" s="6">
        <v>14.86</v>
      </c>
      <c r="S151" s="7" t="s">
        <v>196</v>
      </c>
      <c r="T151" s="4">
        <v>46934</v>
      </c>
      <c r="U151" s="4">
        <v>37631</v>
      </c>
      <c r="V151" s="4">
        <f t="shared" ca="1" si="18"/>
        <v>45919</v>
      </c>
      <c r="W151" s="8">
        <f ca="1">(V151-U151)/365.25</f>
        <v>22.691307323750856</v>
      </c>
    </row>
    <row r="152" spans="1:23" x14ac:dyDescent="0.2">
      <c r="A152" s="1" t="s">
        <v>24</v>
      </c>
      <c r="B152" s="1" t="s">
        <v>25</v>
      </c>
      <c r="C152" s="1" t="s">
        <v>26</v>
      </c>
      <c r="D152" s="5" t="s">
        <v>101</v>
      </c>
      <c r="E152" s="1">
        <v>20</v>
      </c>
      <c r="F152" s="1" t="s">
        <v>613</v>
      </c>
      <c r="G152" s="1" t="s">
        <v>614</v>
      </c>
      <c r="I152" s="1" t="s">
        <v>24</v>
      </c>
      <c r="J152" s="1" t="s">
        <v>24</v>
      </c>
      <c r="K152" s="1" t="s">
        <v>113</v>
      </c>
      <c r="M152" s="1" t="s">
        <v>615</v>
      </c>
      <c r="N152" s="3">
        <v>90</v>
      </c>
      <c r="O152" s="4">
        <v>45170</v>
      </c>
      <c r="P152" s="5" t="s">
        <v>71</v>
      </c>
      <c r="Q152" s="3">
        <v>18</v>
      </c>
      <c r="R152" s="6">
        <v>47</v>
      </c>
      <c r="S152" s="7" t="s">
        <v>34</v>
      </c>
      <c r="T152" s="4">
        <v>48760</v>
      </c>
      <c r="U152" s="4">
        <v>37382</v>
      </c>
      <c r="V152" s="4">
        <f t="shared" ca="1" si="18"/>
        <v>45919</v>
      </c>
      <c r="W152" s="8">
        <f t="shared" ca="1" si="19"/>
        <v>23.37303216974675</v>
      </c>
    </row>
    <row r="153" spans="1:23" x14ac:dyDescent="0.2">
      <c r="A153" s="1" t="s">
        <v>24</v>
      </c>
      <c r="B153" s="1" t="s">
        <v>25</v>
      </c>
      <c r="C153" s="1" t="s">
        <v>26</v>
      </c>
      <c r="D153" s="5" t="s">
        <v>101</v>
      </c>
      <c r="E153" s="1">
        <v>18</v>
      </c>
      <c r="F153" s="1" t="s">
        <v>616</v>
      </c>
      <c r="G153" s="1" t="s">
        <v>617</v>
      </c>
      <c r="I153" s="1" t="s">
        <v>43</v>
      </c>
      <c r="J153" s="1" t="s">
        <v>43</v>
      </c>
      <c r="K153" s="1" t="s">
        <v>113</v>
      </c>
      <c r="M153" s="1" t="s">
        <v>618</v>
      </c>
      <c r="N153" s="3">
        <v>65</v>
      </c>
      <c r="O153" s="4">
        <v>45108</v>
      </c>
      <c r="P153" s="5" t="s">
        <v>619</v>
      </c>
      <c r="Q153" s="3">
        <v>80</v>
      </c>
      <c r="R153" s="6">
        <v>60</v>
      </c>
      <c r="S153" s="7" t="s">
        <v>34</v>
      </c>
      <c r="T153" s="4">
        <v>47299</v>
      </c>
      <c r="U153" s="4">
        <v>35748</v>
      </c>
      <c r="V153" s="4">
        <f t="shared" ca="1" si="18"/>
        <v>45919</v>
      </c>
      <c r="W153" s="8">
        <f t="shared" ca="1" si="19"/>
        <v>27.846680355920601</v>
      </c>
    </row>
    <row r="154" spans="1:23" x14ac:dyDescent="0.2">
      <c r="A154" s="1" t="s">
        <v>24</v>
      </c>
      <c r="B154" s="1" t="s">
        <v>25</v>
      </c>
      <c r="C154" s="1" t="s">
        <v>26</v>
      </c>
      <c r="D154" s="5" t="s">
        <v>101</v>
      </c>
      <c r="E154" s="1">
        <v>10</v>
      </c>
      <c r="F154" s="1" t="s">
        <v>620</v>
      </c>
      <c r="G154" s="1" t="s">
        <v>621</v>
      </c>
      <c r="I154" s="1" t="s">
        <v>69</v>
      </c>
      <c r="J154" s="1" t="s">
        <v>69</v>
      </c>
      <c r="K154" s="1" t="s">
        <v>120</v>
      </c>
      <c r="M154" s="1" t="s">
        <v>622</v>
      </c>
      <c r="N154" s="3">
        <v>30</v>
      </c>
      <c r="O154" s="4">
        <v>44941</v>
      </c>
      <c r="P154" s="5" t="s">
        <v>623</v>
      </c>
      <c r="Q154" s="3">
        <v>40</v>
      </c>
      <c r="R154" s="6">
        <v>70</v>
      </c>
      <c r="S154" s="7" t="s">
        <v>34</v>
      </c>
      <c r="T154" s="4">
        <v>48029</v>
      </c>
      <c r="U154" s="4">
        <v>36896</v>
      </c>
      <c r="V154" s="4">
        <f t="shared" ca="1" si="18"/>
        <v>45919</v>
      </c>
      <c r="W154" s="8">
        <f t="shared" ca="1" si="19"/>
        <v>24.703627652292951</v>
      </c>
    </row>
    <row r="155" spans="1:23" x14ac:dyDescent="0.2">
      <c r="A155" s="1" t="s">
        <v>24</v>
      </c>
      <c r="B155" s="1" t="s">
        <v>25</v>
      </c>
      <c r="C155" s="1" t="s">
        <v>26</v>
      </c>
      <c r="D155" s="5" t="s">
        <v>101</v>
      </c>
      <c r="E155" s="1">
        <v>19</v>
      </c>
      <c r="F155" s="1" t="s">
        <v>624</v>
      </c>
      <c r="G155" s="1" t="s">
        <v>625</v>
      </c>
      <c r="I155" s="1" t="s">
        <v>24</v>
      </c>
      <c r="J155" s="1" t="s">
        <v>24</v>
      </c>
      <c r="K155" s="1" t="s">
        <v>120</v>
      </c>
      <c r="M155" s="1" t="s">
        <v>626</v>
      </c>
      <c r="N155" s="3">
        <v>30</v>
      </c>
      <c r="O155" s="4">
        <v>45534</v>
      </c>
      <c r="P155" s="5" t="s">
        <v>627</v>
      </c>
      <c r="Q155" s="3">
        <v>30</v>
      </c>
      <c r="R155" s="6" t="s">
        <v>40</v>
      </c>
      <c r="S155" s="7" t="s">
        <v>40</v>
      </c>
      <c r="T155" s="4">
        <v>45838</v>
      </c>
      <c r="U155" s="4">
        <v>36610</v>
      </c>
      <c r="V155" s="4">
        <f t="shared" ca="1" si="18"/>
        <v>45919</v>
      </c>
      <c r="W155" s="8">
        <f t="shared" ca="1" si="19"/>
        <v>25.486652977412732</v>
      </c>
    </row>
    <row r="156" spans="1:23" x14ac:dyDescent="0.2">
      <c r="A156" s="1" t="s">
        <v>24</v>
      </c>
      <c r="B156" s="1" t="s">
        <v>25</v>
      </c>
      <c r="C156" s="1" t="s">
        <v>26</v>
      </c>
      <c r="D156" s="5" t="s">
        <v>101</v>
      </c>
      <c r="E156" s="1">
        <v>7</v>
      </c>
      <c r="F156" s="1" t="s">
        <v>535</v>
      </c>
      <c r="G156" s="1" t="s">
        <v>36</v>
      </c>
      <c r="I156" s="1" t="s">
        <v>416</v>
      </c>
      <c r="J156" s="1" t="s">
        <v>416</v>
      </c>
      <c r="K156" s="1" t="s">
        <v>133</v>
      </c>
      <c r="M156" s="1" t="s">
        <v>628</v>
      </c>
      <c r="N156" s="3">
        <v>55</v>
      </c>
      <c r="O156" s="4">
        <v>45515</v>
      </c>
      <c r="P156" s="5" t="s">
        <v>175</v>
      </c>
      <c r="Q156" s="3">
        <v>55</v>
      </c>
      <c r="R156" s="6">
        <v>60</v>
      </c>
      <c r="S156" s="7" t="s">
        <v>66</v>
      </c>
      <c r="T156" s="4">
        <v>48029</v>
      </c>
      <c r="U156" s="4">
        <v>36594</v>
      </c>
      <c r="V156" s="4">
        <f t="shared" ca="1" si="18"/>
        <v>45919</v>
      </c>
      <c r="W156" s="8">
        <f ca="1">(V156-U156)/365.25</f>
        <v>25.530458590006845</v>
      </c>
    </row>
    <row r="157" spans="1:23" x14ac:dyDescent="0.2">
      <c r="A157" s="1" t="s">
        <v>24</v>
      </c>
      <c r="B157" s="1" t="s">
        <v>25</v>
      </c>
      <c r="C157" s="1" t="s">
        <v>26</v>
      </c>
      <c r="D157" s="5" t="s">
        <v>101</v>
      </c>
      <c r="E157" s="1">
        <v>11</v>
      </c>
      <c r="F157" s="1" t="s">
        <v>629</v>
      </c>
      <c r="G157" s="1" t="s">
        <v>630</v>
      </c>
      <c r="I157" s="1" t="s">
        <v>24</v>
      </c>
      <c r="J157" s="1" t="s">
        <v>24</v>
      </c>
      <c r="K157" s="1" t="s">
        <v>133</v>
      </c>
      <c r="M157" s="1" t="s">
        <v>631</v>
      </c>
      <c r="N157" s="3">
        <v>35</v>
      </c>
      <c r="O157" s="4">
        <v>44946</v>
      </c>
      <c r="P157" s="5" t="s">
        <v>632</v>
      </c>
      <c r="Q157" s="3">
        <v>15</v>
      </c>
      <c r="R157" s="6">
        <v>35</v>
      </c>
      <c r="S157" s="7" t="s">
        <v>34</v>
      </c>
      <c r="T157" s="4">
        <v>47664</v>
      </c>
      <c r="U157" s="4">
        <v>37325</v>
      </c>
      <c r="V157" s="4">
        <f t="shared" ca="1" si="18"/>
        <v>45919</v>
      </c>
      <c r="W157" s="8">
        <f t="shared" ref="W157:W161" ca="1" si="22">(V157-U157)/365.25</f>
        <v>23.529089664613277</v>
      </c>
    </row>
    <row r="158" spans="1:23" x14ac:dyDescent="0.2">
      <c r="A158" s="1" t="s">
        <v>24</v>
      </c>
      <c r="B158" s="1" t="s">
        <v>25</v>
      </c>
      <c r="C158" s="1" t="s">
        <v>26</v>
      </c>
      <c r="D158" s="5" t="s">
        <v>101</v>
      </c>
      <c r="E158" s="1">
        <v>14</v>
      </c>
      <c r="F158" s="1" t="s">
        <v>534</v>
      </c>
      <c r="G158" s="1" t="s">
        <v>633</v>
      </c>
      <c r="I158" s="1" t="s">
        <v>416</v>
      </c>
      <c r="J158" s="1" t="s">
        <v>416</v>
      </c>
      <c r="K158" s="1" t="s">
        <v>139</v>
      </c>
      <c r="M158" s="1" t="s">
        <v>634</v>
      </c>
      <c r="N158" s="3">
        <v>30</v>
      </c>
      <c r="O158" s="4">
        <v>45525</v>
      </c>
      <c r="P158" s="5" t="s">
        <v>97</v>
      </c>
      <c r="Q158" s="3">
        <v>30</v>
      </c>
      <c r="R158" s="6">
        <v>52</v>
      </c>
      <c r="S158" s="7" t="s">
        <v>66</v>
      </c>
      <c r="T158" s="4">
        <v>48029</v>
      </c>
      <c r="U158" s="4">
        <v>36474</v>
      </c>
      <c r="V158" s="4">
        <f t="shared" ca="1" si="18"/>
        <v>45919</v>
      </c>
      <c r="W158" s="8">
        <f t="shared" ca="1" si="22"/>
        <v>25.859000684462696</v>
      </c>
    </row>
    <row r="159" spans="1:23" x14ac:dyDescent="0.2">
      <c r="A159" s="1" t="s">
        <v>24</v>
      </c>
      <c r="B159" s="1" t="s">
        <v>25</v>
      </c>
      <c r="C159" s="1" t="s">
        <v>26</v>
      </c>
      <c r="D159" s="5" t="s">
        <v>101</v>
      </c>
      <c r="E159" s="1">
        <v>15</v>
      </c>
      <c r="F159" s="1" t="s">
        <v>635</v>
      </c>
      <c r="G159" s="1" t="s">
        <v>636</v>
      </c>
      <c r="I159" s="1" t="s">
        <v>524</v>
      </c>
      <c r="J159" s="1" t="s">
        <v>199</v>
      </c>
      <c r="K159" s="1" t="s">
        <v>139</v>
      </c>
      <c r="M159" s="1" t="s">
        <v>637</v>
      </c>
      <c r="N159" s="3">
        <v>40</v>
      </c>
      <c r="O159" s="4">
        <v>45108</v>
      </c>
      <c r="P159" s="5" t="s">
        <v>161</v>
      </c>
      <c r="Q159" s="3">
        <v>30</v>
      </c>
      <c r="R159" s="6">
        <v>37</v>
      </c>
      <c r="S159" s="7" t="s">
        <v>34</v>
      </c>
      <c r="T159" s="4">
        <v>48760</v>
      </c>
      <c r="U159" s="4">
        <v>37062</v>
      </c>
      <c r="V159" s="4">
        <f t="shared" ca="1" si="18"/>
        <v>45919</v>
      </c>
      <c r="W159" s="8">
        <f t="shared" ca="1" si="22"/>
        <v>24.249144421629023</v>
      </c>
    </row>
    <row r="160" spans="1:23" x14ac:dyDescent="0.2">
      <c r="A160" s="1" t="s">
        <v>24</v>
      </c>
      <c r="B160" s="1" t="s">
        <v>25</v>
      </c>
      <c r="C160" s="1" t="s">
        <v>26</v>
      </c>
      <c r="D160" s="5" t="s">
        <v>101</v>
      </c>
      <c r="E160" s="1">
        <v>36</v>
      </c>
      <c r="F160" s="1" t="s">
        <v>638</v>
      </c>
      <c r="G160" s="1" t="s">
        <v>639</v>
      </c>
      <c r="I160" s="1" t="s">
        <v>37</v>
      </c>
      <c r="J160" s="1" t="s">
        <v>37</v>
      </c>
      <c r="K160" s="1" t="s">
        <v>139</v>
      </c>
      <c r="M160" s="1" t="s">
        <v>640</v>
      </c>
      <c r="N160" s="3">
        <v>9</v>
      </c>
      <c r="O160" s="4">
        <v>45162</v>
      </c>
      <c r="P160" s="5" t="s">
        <v>641</v>
      </c>
      <c r="Q160" s="3">
        <v>4</v>
      </c>
      <c r="R160" s="6">
        <v>16</v>
      </c>
      <c r="S160" s="7" t="s">
        <v>98</v>
      </c>
      <c r="T160" s="4">
        <v>47664</v>
      </c>
      <c r="U160" s="4">
        <v>38508</v>
      </c>
      <c r="V160" s="4">
        <f t="shared" ca="1" si="18"/>
        <v>45919</v>
      </c>
      <c r="W160" s="8">
        <f t="shared" ca="1" si="22"/>
        <v>20.290212183436001</v>
      </c>
    </row>
    <row r="161" spans="1:23" x14ac:dyDescent="0.2">
      <c r="A161" s="1" t="s">
        <v>24</v>
      </c>
      <c r="B161" s="1" t="s">
        <v>25</v>
      </c>
      <c r="C161" s="1" t="s">
        <v>26</v>
      </c>
      <c r="D161" s="5" t="s">
        <v>101</v>
      </c>
      <c r="E161" s="1">
        <v>38</v>
      </c>
      <c r="F161" s="1" t="s">
        <v>580</v>
      </c>
      <c r="G161" s="1" t="s">
        <v>642</v>
      </c>
      <c r="I161" s="1" t="s">
        <v>30</v>
      </c>
      <c r="J161" s="1" t="s">
        <v>30</v>
      </c>
      <c r="K161" s="1" t="s">
        <v>139</v>
      </c>
      <c r="M161" s="1" t="s">
        <v>643</v>
      </c>
      <c r="N161" s="3">
        <v>7.5</v>
      </c>
      <c r="O161" s="4">
        <v>45474</v>
      </c>
      <c r="P161" s="5" t="s">
        <v>285</v>
      </c>
      <c r="Q161" s="3">
        <v>7.5</v>
      </c>
      <c r="R161" s="6">
        <v>6</v>
      </c>
      <c r="S161" s="7" t="s">
        <v>98</v>
      </c>
      <c r="T161" s="4">
        <v>47299</v>
      </c>
      <c r="U161" s="4">
        <v>38721</v>
      </c>
      <c r="V161" s="4">
        <f t="shared" ca="1" si="18"/>
        <v>45919</v>
      </c>
      <c r="W161" s="8">
        <f t="shared" ca="1" si="22"/>
        <v>19.707049965776864</v>
      </c>
    </row>
    <row r="162" spans="1:23" x14ac:dyDescent="0.2">
      <c r="A162" s="1" t="s">
        <v>24</v>
      </c>
      <c r="B162" s="1" t="s">
        <v>25</v>
      </c>
      <c r="C162" s="1" t="s">
        <v>26</v>
      </c>
      <c r="D162" s="5" t="s">
        <v>644</v>
      </c>
      <c r="E162" s="1">
        <v>1</v>
      </c>
      <c r="F162" s="1" t="s">
        <v>264</v>
      </c>
      <c r="G162" s="1" t="s">
        <v>645</v>
      </c>
      <c r="I162" s="1" t="s">
        <v>24</v>
      </c>
      <c r="J162" s="1" t="s">
        <v>24</v>
      </c>
      <c r="K162" s="1" t="s">
        <v>31</v>
      </c>
      <c r="M162" s="1" t="s">
        <v>646</v>
      </c>
      <c r="N162" s="3">
        <v>12</v>
      </c>
      <c r="O162" s="4">
        <v>45169</v>
      </c>
      <c r="P162" s="5" t="s">
        <v>627</v>
      </c>
      <c r="Q162" s="3">
        <v>18</v>
      </c>
      <c r="R162" s="6">
        <v>17.5</v>
      </c>
      <c r="S162" s="7" t="s">
        <v>34</v>
      </c>
      <c r="T162" s="4">
        <v>46934</v>
      </c>
      <c r="U162" s="4">
        <v>35501</v>
      </c>
      <c r="V162" s="4">
        <f ca="1">TODAY()</f>
        <v>45919</v>
      </c>
      <c r="W162" s="8">
        <f ca="1">(V162-U162)/365.25</f>
        <v>28.522929500342233</v>
      </c>
    </row>
    <row r="163" spans="1:23" x14ac:dyDescent="0.2">
      <c r="A163" s="1" t="s">
        <v>24</v>
      </c>
      <c r="B163" s="1" t="s">
        <v>25</v>
      </c>
      <c r="C163" s="1" t="s">
        <v>26</v>
      </c>
      <c r="D163" s="5" t="s">
        <v>644</v>
      </c>
      <c r="E163" s="1">
        <v>30</v>
      </c>
      <c r="F163" s="1" t="s">
        <v>493</v>
      </c>
      <c r="G163" s="1" t="s">
        <v>647</v>
      </c>
      <c r="I163" s="1" t="s">
        <v>282</v>
      </c>
      <c r="J163" s="1" t="s">
        <v>282</v>
      </c>
      <c r="K163" s="1" t="s">
        <v>31</v>
      </c>
      <c r="M163" s="1" t="s">
        <v>648</v>
      </c>
      <c r="N163" s="3">
        <v>5</v>
      </c>
      <c r="O163" s="4">
        <v>45534</v>
      </c>
      <c r="P163" s="5" t="s">
        <v>190</v>
      </c>
      <c r="Q163" s="3">
        <v>7</v>
      </c>
      <c r="R163" s="6" t="s">
        <v>40</v>
      </c>
      <c r="S163" s="7" t="s">
        <v>40</v>
      </c>
      <c r="T163" s="4">
        <v>45838</v>
      </c>
      <c r="U163" s="4">
        <v>34509</v>
      </c>
      <c r="V163" s="4">
        <f t="shared" ref="V163:V185" ca="1" si="23">TODAY()</f>
        <v>45919</v>
      </c>
      <c r="W163" s="8">
        <f t="shared" ref="W163:W185" ca="1" si="24">(V163-U163)/365.25</f>
        <v>31.238877481177276</v>
      </c>
    </row>
    <row r="164" spans="1:23" x14ac:dyDescent="0.2">
      <c r="A164" s="1" t="s">
        <v>24</v>
      </c>
      <c r="B164" s="1" t="s">
        <v>25</v>
      </c>
      <c r="C164" s="1" t="s">
        <v>26</v>
      </c>
      <c r="D164" s="5" t="s">
        <v>644</v>
      </c>
      <c r="E164" s="1">
        <v>31</v>
      </c>
      <c r="F164" s="1" t="s">
        <v>649</v>
      </c>
      <c r="G164" s="1" t="s">
        <v>650</v>
      </c>
      <c r="I164" s="1" t="s">
        <v>24</v>
      </c>
      <c r="J164" s="1" t="s">
        <v>24</v>
      </c>
      <c r="K164" s="1" t="s">
        <v>31</v>
      </c>
      <c r="M164" s="1" t="s">
        <v>651</v>
      </c>
      <c r="N164" s="3">
        <v>0.5</v>
      </c>
      <c r="O164" s="4">
        <v>44389</v>
      </c>
      <c r="P164" s="5" t="s">
        <v>456</v>
      </c>
      <c r="Q164" s="3">
        <v>0.3</v>
      </c>
      <c r="R164" s="6" t="s">
        <v>205</v>
      </c>
      <c r="S164" s="7" t="s">
        <v>98</v>
      </c>
      <c r="T164" s="4">
        <v>45838</v>
      </c>
      <c r="U164" s="4">
        <v>34375</v>
      </c>
      <c r="V164" s="4">
        <f t="shared" ca="1" si="23"/>
        <v>45919</v>
      </c>
      <c r="W164" s="8">
        <f t="shared" ca="1" si="24"/>
        <v>31.605749486652979</v>
      </c>
    </row>
    <row r="165" spans="1:23" x14ac:dyDescent="0.2">
      <c r="A165" s="1" t="s">
        <v>24</v>
      </c>
      <c r="B165" s="1" t="s">
        <v>25</v>
      </c>
      <c r="C165" s="1" t="s">
        <v>26</v>
      </c>
      <c r="D165" s="5" t="s">
        <v>644</v>
      </c>
      <c r="E165" s="1">
        <v>6</v>
      </c>
      <c r="F165" s="1" t="s">
        <v>580</v>
      </c>
      <c r="G165" s="1" t="s">
        <v>652</v>
      </c>
      <c r="I165" s="1" t="s">
        <v>653</v>
      </c>
      <c r="J165" s="1" t="s">
        <v>24</v>
      </c>
      <c r="K165" s="1" t="s">
        <v>44</v>
      </c>
      <c r="M165" s="1" t="s">
        <v>654</v>
      </c>
      <c r="N165" s="3">
        <v>45</v>
      </c>
      <c r="O165" s="4">
        <v>44395</v>
      </c>
      <c r="P165" s="5" t="s">
        <v>101</v>
      </c>
      <c r="Q165" s="3">
        <v>10</v>
      </c>
      <c r="R165" s="6">
        <v>23.34</v>
      </c>
      <c r="S165" s="7" t="s">
        <v>34</v>
      </c>
      <c r="T165" s="4">
        <v>46203</v>
      </c>
      <c r="U165" s="4">
        <v>36720</v>
      </c>
      <c r="V165" s="4">
        <f t="shared" ca="1" si="23"/>
        <v>45919</v>
      </c>
      <c r="W165" s="8">
        <f ca="1">(V165-U165)/365.25</f>
        <v>25.185489390828199</v>
      </c>
    </row>
    <row r="166" spans="1:23" x14ac:dyDescent="0.2">
      <c r="A166" s="1" t="s">
        <v>24</v>
      </c>
      <c r="B166" s="1" t="s">
        <v>25</v>
      </c>
      <c r="C166" s="1" t="s">
        <v>26</v>
      </c>
      <c r="D166" s="5" t="s">
        <v>644</v>
      </c>
      <c r="E166" s="1">
        <v>5</v>
      </c>
      <c r="F166" s="1" t="s">
        <v>655</v>
      </c>
      <c r="G166" s="1" t="s">
        <v>656</v>
      </c>
      <c r="I166" s="1" t="s">
        <v>43</v>
      </c>
      <c r="J166" s="1" t="s">
        <v>43</v>
      </c>
      <c r="K166" s="1" t="s">
        <v>44</v>
      </c>
      <c r="M166" s="1" t="s">
        <v>657</v>
      </c>
      <c r="N166" s="3">
        <v>20</v>
      </c>
      <c r="O166" s="4">
        <v>45534</v>
      </c>
      <c r="P166" s="5" t="s">
        <v>658</v>
      </c>
      <c r="Q166" s="3">
        <v>20</v>
      </c>
      <c r="R166" s="6">
        <v>18</v>
      </c>
      <c r="S166" s="7" t="s">
        <v>66</v>
      </c>
      <c r="T166" s="4">
        <v>47299</v>
      </c>
      <c r="U166" s="4">
        <v>36622</v>
      </c>
      <c r="V166" s="4">
        <f t="shared" ca="1" si="23"/>
        <v>45919</v>
      </c>
      <c r="W166" s="8">
        <f t="shared" ca="1" si="24"/>
        <v>25.453798767967147</v>
      </c>
    </row>
    <row r="167" spans="1:23" x14ac:dyDescent="0.2">
      <c r="A167" s="1" t="s">
        <v>24</v>
      </c>
      <c r="B167" s="1" t="s">
        <v>25</v>
      </c>
      <c r="C167" s="1" t="s">
        <v>26</v>
      </c>
      <c r="D167" s="5" t="s">
        <v>644</v>
      </c>
      <c r="E167" s="1">
        <v>34</v>
      </c>
      <c r="F167" s="1" t="s">
        <v>659</v>
      </c>
      <c r="G167" s="1" t="s">
        <v>660</v>
      </c>
      <c r="I167" s="1" t="s">
        <v>30</v>
      </c>
      <c r="J167" s="1" t="s">
        <v>661</v>
      </c>
      <c r="K167" s="1" t="s">
        <v>44</v>
      </c>
      <c r="M167" s="1" t="s">
        <v>662</v>
      </c>
      <c r="N167" s="3">
        <v>15</v>
      </c>
      <c r="O167" s="4">
        <v>45475</v>
      </c>
      <c r="P167" s="5" t="s">
        <v>663</v>
      </c>
      <c r="Q167" s="3">
        <v>15</v>
      </c>
      <c r="R167" s="6">
        <v>15</v>
      </c>
      <c r="S167" s="7" t="s">
        <v>66</v>
      </c>
      <c r="T167" s="4">
        <v>47299</v>
      </c>
      <c r="U167" s="4">
        <v>37789</v>
      </c>
      <c r="V167" s="4">
        <f t="shared" ca="1" si="23"/>
        <v>45919</v>
      </c>
      <c r="W167" s="8">
        <f ca="1">(V167-U167)/365.25</f>
        <v>22.258726899383984</v>
      </c>
    </row>
    <row r="168" spans="1:23" x14ac:dyDescent="0.2">
      <c r="A168" s="1" t="s">
        <v>24</v>
      </c>
      <c r="B168" s="1" t="s">
        <v>25</v>
      </c>
      <c r="C168" s="1" t="s">
        <v>26</v>
      </c>
      <c r="D168" s="5" t="s">
        <v>644</v>
      </c>
      <c r="E168" s="1">
        <v>27</v>
      </c>
      <c r="F168" s="1" t="s">
        <v>664</v>
      </c>
      <c r="G168" s="1" t="s">
        <v>665</v>
      </c>
      <c r="I168" s="1" t="s">
        <v>666</v>
      </c>
      <c r="J168" s="1" t="s">
        <v>24</v>
      </c>
      <c r="K168" s="1" t="s">
        <v>44</v>
      </c>
      <c r="M168" s="1" t="s">
        <v>667</v>
      </c>
      <c r="N168" s="3">
        <v>13</v>
      </c>
      <c r="O168" s="4">
        <v>45534</v>
      </c>
      <c r="P168" s="5" t="s">
        <v>101</v>
      </c>
      <c r="Q168" s="3">
        <v>13</v>
      </c>
      <c r="R168" s="6" t="s">
        <v>40</v>
      </c>
      <c r="S168" s="7" t="s">
        <v>40</v>
      </c>
      <c r="T168" s="4">
        <v>45838</v>
      </c>
      <c r="U168" s="4">
        <v>36346</v>
      </c>
      <c r="V168" s="4">
        <f t="shared" ca="1" si="23"/>
        <v>45919</v>
      </c>
      <c r="W168" s="8">
        <f t="shared" ca="1" si="24"/>
        <v>26.209445585215605</v>
      </c>
    </row>
    <row r="169" spans="1:23" x14ac:dyDescent="0.2">
      <c r="A169" s="1" t="s">
        <v>24</v>
      </c>
      <c r="B169" s="1" t="s">
        <v>25</v>
      </c>
      <c r="C169" s="1" t="s">
        <v>26</v>
      </c>
      <c r="D169" s="5" t="s">
        <v>644</v>
      </c>
      <c r="E169" s="1">
        <v>26</v>
      </c>
      <c r="F169" s="1" t="s">
        <v>668</v>
      </c>
      <c r="G169" s="1" t="s">
        <v>669</v>
      </c>
      <c r="I169" s="1" t="s">
        <v>282</v>
      </c>
      <c r="J169" s="1" t="s">
        <v>282</v>
      </c>
      <c r="K169" s="1" t="s">
        <v>44</v>
      </c>
      <c r="M169" s="1" t="s">
        <v>670</v>
      </c>
      <c r="N169" s="3">
        <v>12</v>
      </c>
      <c r="O169" s="4">
        <v>44769</v>
      </c>
      <c r="P169" s="5" t="s">
        <v>671</v>
      </c>
      <c r="Q169" s="3">
        <v>7.5</v>
      </c>
      <c r="R169" s="6">
        <v>12</v>
      </c>
      <c r="S169" s="7" t="s">
        <v>34</v>
      </c>
      <c r="T169" s="4">
        <v>46568</v>
      </c>
      <c r="U169" s="4">
        <v>36613</v>
      </c>
      <c r="V169" s="4">
        <f t="shared" ca="1" si="23"/>
        <v>45919</v>
      </c>
      <c r="W169" s="8">
        <f t="shared" ca="1" si="24"/>
        <v>25.478439425051334</v>
      </c>
    </row>
    <row r="170" spans="1:23" x14ac:dyDescent="0.2">
      <c r="A170" s="1" t="s">
        <v>24</v>
      </c>
      <c r="B170" s="1" t="s">
        <v>25</v>
      </c>
      <c r="C170" s="1" t="s">
        <v>26</v>
      </c>
      <c r="D170" s="5" t="s">
        <v>644</v>
      </c>
      <c r="E170" s="1">
        <v>4</v>
      </c>
      <c r="F170" s="1" t="s">
        <v>672</v>
      </c>
      <c r="G170" s="1" t="s">
        <v>673</v>
      </c>
      <c r="I170" s="1" t="s">
        <v>24</v>
      </c>
      <c r="J170" s="1" t="s">
        <v>24</v>
      </c>
      <c r="K170" s="1" t="s">
        <v>44</v>
      </c>
      <c r="M170" s="1" t="s">
        <v>674</v>
      </c>
      <c r="N170" s="3">
        <v>5</v>
      </c>
      <c r="O170" s="4">
        <v>45170</v>
      </c>
      <c r="P170" s="5" t="s">
        <v>27</v>
      </c>
      <c r="Q170" s="3">
        <v>8</v>
      </c>
      <c r="R170" s="6">
        <v>1.2</v>
      </c>
      <c r="S170" s="7" t="s">
        <v>98</v>
      </c>
      <c r="T170" s="4">
        <v>46203</v>
      </c>
      <c r="U170" s="4">
        <v>34962</v>
      </c>
      <c r="V170" s="4">
        <f t="shared" ca="1" si="23"/>
        <v>45919</v>
      </c>
      <c r="W170" s="8">
        <f ca="1">(V170-U170)/365.25</f>
        <v>29.998631074606433</v>
      </c>
    </row>
    <row r="171" spans="1:23" x14ac:dyDescent="0.2">
      <c r="A171" s="1" t="s">
        <v>24</v>
      </c>
      <c r="B171" s="1" t="s">
        <v>25</v>
      </c>
      <c r="C171" s="1" t="s">
        <v>26</v>
      </c>
      <c r="D171" s="5" t="s">
        <v>644</v>
      </c>
      <c r="E171" s="1">
        <v>3</v>
      </c>
      <c r="F171" s="1" t="s">
        <v>675</v>
      </c>
      <c r="G171" s="1" t="s">
        <v>676</v>
      </c>
      <c r="I171" s="1" t="s">
        <v>24</v>
      </c>
      <c r="J171" s="1" t="s">
        <v>24</v>
      </c>
      <c r="K171" s="1" t="s">
        <v>63</v>
      </c>
      <c r="M171" s="1" t="s">
        <v>677</v>
      </c>
      <c r="N171" s="3">
        <v>25</v>
      </c>
      <c r="O171" s="4">
        <v>44378</v>
      </c>
      <c r="P171" s="1" t="s">
        <v>678</v>
      </c>
      <c r="Q171" s="3">
        <v>0</v>
      </c>
      <c r="R171" s="6">
        <v>0</v>
      </c>
      <c r="S171" s="7" t="s">
        <v>34</v>
      </c>
      <c r="T171" s="4">
        <v>45838</v>
      </c>
      <c r="U171" s="4">
        <v>36404</v>
      </c>
      <c r="V171" s="4">
        <f t="shared" ca="1" si="23"/>
        <v>45919</v>
      </c>
      <c r="W171" s="8">
        <f t="shared" ca="1" si="24"/>
        <v>26.050650239561943</v>
      </c>
    </row>
    <row r="172" spans="1:23" x14ac:dyDescent="0.2">
      <c r="A172" s="1" t="s">
        <v>24</v>
      </c>
      <c r="B172" s="1" t="s">
        <v>25</v>
      </c>
      <c r="C172" s="1" t="s">
        <v>26</v>
      </c>
      <c r="D172" s="5" t="s">
        <v>644</v>
      </c>
      <c r="E172" s="1">
        <v>12</v>
      </c>
      <c r="F172" s="1" t="s">
        <v>679</v>
      </c>
      <c r="G172" s="1" t="s">
        <v>680</v>
      </c>
      <c r="I172" s="1" t="s">
        <v>242</v>
      </c>
      <c r="J172" s="1" t="s">
        <v>242</v>
      </c>
      <c r="K172" s="1" t="s">
        <v>63</v>
      </c>
      <c r="M172" s="1" t="s">
        <v>681</v>
      </c>
      <c r="N172" s="3">
        <v>23</v>
      </c>
      <c r="O172" s="4">
        <v>45321</v>
      </c>
      <c r="P172" s="5" t="s">
        <v>682</v>
      </c>
      <c r="Q172" s="3">
        <v>10</v>
      </c>
      <c r="R172" s="6">
        <v>8</v>
      </c>
      <c r="S172" s="7" t="s">
        <v>34</v>
      </c>
      <c r="T172" s="4">
        <v>46568</v>
      </c>
      <c r="U172" s="4">
        <v>35211</v>
      </c>
      <c r="V172" s="4">
        <f t="shared" ca="1" si="23"/>
        <v>45919</v>
      </c>
      <c r="W172" s="8">
        <f t="shared" ca="1" si="24"/>
        <v>29.316906228610542</v>
      </c>
    </row>
    <row r="173" spans="1:23" x14ac:dyDescent="0.2">
      <c r="A173" s="1" t="s">
        <v>24</v>
      </c>
      <c r="B173" s="1" t="s">
        <v>25</v>
      </c>
      <c r="C173" s="1" t="s">
        <v>26</v>
      </c>
      <c r="D173" s="5" t="s">
        <v>644</v>
      </c>
      <c r="E173" s="1">
        <v>17</v>
      </c>
      <c r="F173" s="1" t="s">
        <v>683</v>
      </c>
      <c r="G173" s="1" t="s">
        <v>684</v>
      </c>
      <c r="I173" s="1" t="s">
        <v>24</v>
      </c>
      <c r="J173" s="1" t="s">
        <v>24</v>
      </c>
      <c r="K173" s="1" t="s">
        <v>80</v>
      </c>
      <c r="M173" s="1" t="s">
        <v>685</v>
      </c>
      <c r="N173" s="3">
        <v>1.5</v>
      </c>
      <c r="O173" s="4">
        <v>44118</v>
      </c>
      <c r="P173" s="5" t="s">
        <v>357</v>
      </c>
      <c r="Q173" s="3">
        <v>8</v>
      </c>
      <c r="R173" s="6" t="s">
        <v>205</v>
      </c>
      <c r="S173" s="7" t="s">
        <v>34</v>
      </c>
      <c r="T173" s="4">
        <v>45838</v>
      </c>
      <c r="U173" s="4">
        <v>33333</v>
      </c>
      <c r="V173" s="4">
        <f t="shared" ca="1" si="23"/>
        <v>45919</v>
      </c>
      <c r="W173" s="8">
        <f ca="1">(V173-U173)/365.25</f>
        <v>34.458590006844624</v>
      </c>
    </row>
    <row r="174" spans="1:23" x14ac:dyDescent="0.2">
      <c r="A174" s="1" t="s">
        <v>24</v>
      </c>
      <c r="B174" s="1" t="s">
        <v>25</v>
      </c>
      <c r="C174" s="1" t="s">
        <v>26</v>
      </c>
      <c r="D174" s="5" t="s">
        <v>644</v>
      </c>
      <c r="E174" s="1">
        <v>2</v>
      </c>
      <c r="F174" s="1" t="s">
        <v>484</v>
      </c>
      <c r="G174" s="1" t="s">
        <v>686</v>
      </c>
      <c r="I174" s="1" t="s">
        <v>24</v>
      </c>
      <c r="J174" s="1" t="s">
        <v>24</v>
      </c>
      <c r="K174" s="1" t="s">
        <v>80</v>
      </c>
      <c r="M174" s="1" t="s">
        <v>687</v>
      </c>
      <c r="N174" s="3">
        <v>1</v>
      </c>
      <c r="O174" s="4">
        <v>41091</v>
      </c>
      <c r="P174" s="5" t="s">
        <v>688</v>
      </c>
      <c r="Q174" s="3">
        <v>1</v>
      </c>
      <c r="R174" s="6">
        <v>0.65</v>
      </c>
      <c r="S174" s="7" t="s">
        <v>98</v>
      </c>
      <c r="T174" s="4">
        <v>45838</v>
      </c>
      <c r="U174" s="4">
        <v>32810</v>
      </c>
      <c r="V174" s="4">
        <f t="shared" ca="1" si="23"/>
        <v>45919</v>
      </c>
      <c r="W174" s="8">
        <f t="shared" ref="W174" ca="1" si="25">(V174-U174)/365.25</f>
        <v>35.890485968514717</v>
      </c>
    </row>
    <row r="175" spans="1:23" x14ac:dyDescent="0.2">
      <c r="A175" s="1" t="s">
        <v>24</v>
      </c>
      <c r="B175" s="1" t="s">
        <v>25</v>
      </c>
      <c r="C175" s="1" t="s">
        <v>26</v>
      </c>
      <c r="D175" s="5" t="s">
        <v>644</v>
      </c>
      <c r="E175" s="1">
        <v>28</v>
      </c>
      <c r="F175" s="1" t="s">
        <v>689</v>
      </c>
      <c r="G175" s="1" t="s">
        <v>690</v>
      </c>
      <c r="I175" s="1" t="s">
        <v>691</v>
      </c>
      <c r="J175" s="1" t="s">
        <v>691</v>
      </c>
      <c r="K175" s="1" t="s">
        <v>95</v>
      </c>
      <c r="M175" s="1" t="s">
        <v>692</v>
      </c>
      <c r="N175" s="3">
        <v>35</v>
      </c>
      <c r="O175" s="4">
        <v>44753</v>
      </c>
      <c r="P175" s="5" t="s">
        <v>693</v>
      </c>
      <c r="Q175" s="3">
        <v>15</v>
      </c>
      <c r="R175" s="6">
        <v>22.6</v>
      </c>
      <c r="S175" s="7" t="s">
        <v>34</v>
      </c>
      <c r="T175" s="4">
        <v>47299</v>
      </c>
      <c r="U175" s="4">
        <v>36533</v>
      </c>
      <c r="V175" s="4">
        <f t="shared" ca="1" si="23"/>
        <v>45919</v>
      </c>
      <c r="W175" s="8">
        <f t="shared" ca="1" si="24"/>
        <v>25.697467488021903</v>
      </c>
    </row>
    <row r="176" spans="1:23" x14ac:dyDescent="0.2">
      <c r="A176" s="1" t="s">
        <v>24</v>
      </c>
      <c r="B176" s="1" t="s">
        <v>25</v>
      </c>
      <c r="C176" s="1" t="s">
        <v>26</v>
      </c>
      <c r="D176" s="5" t="s">
        <v>644</v>
      </c>
      <c r="E176" s="1">
        <v>20</v>
      </c>
      <c r="F176" s="1" t="s">
        <v>462</v>
      </c>
      <c r="G176" s="1" t="s">
        <v>694</v>
      </c>
      <c r="I176" s="1" t="s">
        <v>24</v>
      </c>
      <c r="J176" s="1" t="s">
        <v>24</v>
      </c>
      <c r="K176" s="1" t="s">
        <v>95</v>
      </c>
      <c r="M176" s="1" t="s">
        <v>695</v>
      </c>
      <c r="N176" s="3">
        <v>30</v>
      </c>
      <c r="O176" s="4">
        <v>45323</v>
      </c>
      <c r="P176" s="5" t="s">
        <v>696</v>
      </c>
      <c r="Q176" s="3">
        <v>10</v>
      </c>
      <c r="R176" s="6">
        <v>21.1</v>
      </c>
      <c r="S176" s="7" t="s">
        <v>34</v>
      </c>
      <c r="T176" s="4">
        <v>47299</v>
      </c>
      <c r="U176" s="4">
        <v>38023</v>
      </c>
      <c r="V176" s="4">
        <f t="shared" ca="1" si="23"/>
        <v>45919</v>
      </c>
      <c r="W176" s="8">
        <f ca="1">(V176-U176)/365.25</f>
        <v>21.618069815195071</v>
      </c>
    </row>
    <row r="177" spans="1:23" x14ac:dyDescent="0.2">
      <c r="A177" s="1" t="s">
        <v>24</v>
      </c>
      <c r="B177" s="1" t="s">
        <v>25</v>
      </c>
      <c r="C177" s="1" t="s">
        <v>26</v>
      </c>
      <c r="D177" s="5" t="s">
        <v>644</v>
      </c>
      <c r="E177" s="1">
        <v>8</v>
      </c>
      <c r="F177" s="1" t="s">
        <v>697</v>
      </c>
      <c r="G177" s="1" t="s">
        <v>698</v>
      </c>
      <c r="I177" s="1" t="s">
        <v>242</v>
      </c>
      <c r="J177" s="1" t="s">
        <v>242</v>
      </c>
      <c r="K177" s="1" t="s">
        <v>95</v>
      </c>
      <c r="M177" s="1" t="s">
        <v>699</v>
      </c>
      <c r="N177" s="3">
        <v>18</v>
      </c>
      <c r="O177" s="4">
        <v>45108</v>
      </c>
      <c r="P177" s="5" t="s">
        <v>39</v>
      </c>
      <c r="Q177" s="3">
        <v>20</v>
      </c>
      <c r="R177" s="6" t="s">
        <v>205</v>
      </c>
      <c r="S177" s="7" t="s">
        <v>34</v>
      </c>
      <c r="T177" s="4">
        <v>46203</v>
      </c>
      <c r="U177" s="4">
        <v>34632</v>
      </c>
      <c r="V177" s="4">
        <f t="shared" ca="1" si="23"/>
        <v>45919</v>
      </c>
      <c r="W177" s="8">
        <f ca="1">(V177-U177)/365.25</f>
        <v>30.902121834360027</v>
      </c>
    </row>
    <row r="178" spans="1:23" x14ac:dyDescent="0.2">
      <c r="A178" s="1" t="s">
        <v>24</v>
      </c>
      <c r="B178" s="1" t="s">
        <v>25</v>
      </c>
      <c r="C178" s="1" t="s">
        <v>26</v>
      </c>
      <c r="D178" s="5" t="s">
        <v>644</v>
      </c>
      <c r="E178" s="1">
        <v>19</v>
      </c>
      <c r="F178" s="1" t="s">
        <v>253</v>
      </c>
      <c r="G178" s="1" t="s">
        <v>700</v>
      </c>
      <c r="I178" s="1" t="s">
        <v>24</v>
      </c>
      <c r="J178" s="1" t="s">
        <v>24</v>
      </c>
      <c r="K178" s="1" t="s">
        <v>89</v>
      </c>
      <c r="M178" s="1" t="s">
        <v>701</v>
      </c>
      <c r="N178" s="3">
        <v>9</v>
      </c>
      <c r="O178" s="4">
        <v>44436</v>
      </c>
      <c r="P178" s="5" t="s">
        <v>537</v>
      </c>
      <c r="Q178" s="3">
        <v>7</v>
      </c>
      <c r="R178" s="6">
        <v>7</v>
      </c>
      <c r="S178" s="7" t="s">
        <v>34</v>
      </c>
      <c r="T178" s="4">
        <v>45838</v>
      </c>
      <c r="U178" s="4">
        <v>34806</v>
      </c>
      <c r="V178" s="4">
        <f t="shared" ca="1" si="23"/>
        <v>45919</v>
      </c>
      <c r="W178" s="8">
        <f ca="1">(V178-U178)/365.25</f>
        <v>30.425735797399042</v>
      </c>
    </row>
    <row r="179" spans="1:23" x14ac:dyDescent="0.2">
      <c r="A179" s="1" t="s">
        <v>24</v>
      </c>
      <c r="B179" s="1" t="s">
        <v>25</v>
      </c>
      <c r="C179" s="1" t="s">
        <v>26</v>
      </c>
      <c r="D179" s="5" t="s">
        <v>644</v>
      </c>
      <c r="E179" s="1">
        <v>15</v>
      </c>
      <c r="F179" s="1" t="s">
        <v>702</v>
      </c>
      <c r="G179" s="1" t="s">
        <v>703</v>
      </c>
      <c r="I179" s="1" t="s">
        <v>138</v>
      </c>
      <c r="J179" s="1" t="s">
        <v>94</v>
      </c>
      <c r="K179" s="1" t="s">
        <v>89</v>
      </c>
      <c r="M179" s="1" t="s">
        <v>704</v>
      </c>
      <c r="N179" s="3">
        <v>7</v>
      </c>
      <c r="O179" s="4">
        <v>42748</v>
      </c>
      <c r="P179" s="5" t="s">
        <v>213</v>
      </c>
      <c r="Q179" s="3">
        <v>8</v>
      </c>
      <c r="R179" s="6">
        <v>13.8</v>
      </c>
      <c r="S179" s="7" t="s">
        <v>34</v>
      </c>
      <c r="T179" s="4">
        <v>45838</v>
      </c>
      <c r="U179" s="4">
        <v>33961</v>
      </c>
      <c r="V179" s="4">
        <f t="shared" ca="1" si="23"/>
        <v>45919</v>
      </c>
      <c r="W179" s="8">
        <f ca="1">(V179-U179)/365.25</f>
        <v>32.739219712525667</v>
      </c>
    </row>
    <row r="180" spans="1:23" x14ac:dyDescent="0.2">
      <c r="A180" s="1" t="s">
        <v>24</v>
      </c>
      <c r="B180" s="1" t="s">
        <v>25</v>
      </c>
      <c r="C180" s="1" t="s">
        <v>26</v>
      </c>
      <c r="D180" s="5" t="s">
        <v>644</v>
      </c>
      <c r="E180" s="1">
        <v>10</v>
      </c>
      <c r="F180" s="1" t="s">
        <v>705</v>
      </c>
      <c r="G180" s="1" t="s">
        <v>706</v>
      </c>
      <c r="I180" s="1" t="s">
        <v>24</v>
      </c>
      <c r="J180" s="1" t="s">
        <v>24</v>
      </c>
      <c r="K180" s="1" t="s">
        <v>113</v>
      </c>
      <c r="M180" s="1" t="s">
        <v>707</v>
      </c>
      <c r="N180" s="3">
        <v>60</v>
      </c>
      <c r="O180" s="4">
        <v>44071</v>
      </c>
      <c r="P180" s="5" t="s">
        <v>708</v>
      </c>
      <c r="Q180" s="3">
        <v>9</v>
      </c>
      <c r="R180" s="6">
        <v>17.8</v>
      </c>
      <c r="S180" s="7" t="s">
        <v>34</v>
      </c>
      <c r="T180" s="4">
        <v>46568</v>
      </c>
      <c r="U180" s="4">
        <v>35975</v>
      </c>
      <c r="V180" s="4">
        <f t="shared" ca="1" si="23"/>
        <v>45919</v>
      </c>
      <c r="W180" s="8">
        <f t="shared" ca="1" si="24"/>
        <v>27.225188227241617</v>
      </c>
    </row>
    <row r="181" spans="1:23" x14ac:dyDescent="0.2">
      <c r="A181" s="1" t="s">
        <v>24</v>
      </c>
      <c r="B181" s="1" t="s">
        <v>25</v>
      </c>
      <c r="C181" s="1" t="s">
        <v>26</v>
      </c>
      <c r="D181" s="5" t="s">
        <v>644</v>
      </c>
      <c r="E181" s="1">
        <v>18</v>
      </c>
      <c r="F181" s="1" t="s">
        <v>709</v>
      </c>
      <c r="G181" s="1" t="s">
        <v>710</v>
      </c>
      <c r="I181" s="1" t="s">
        <v>85</v>
      </c>
      <c r="J181" s="1" t="s">
        <v>85</v>
      </c>
      <c r="K181" s="1" t="s">
        <v>113</v>
      </c>
      <c r="M181" s="1" t="s">
        <v>711</v>
      </c>
      <c r="N181" s="3">
        <v>18</v>
      </c>
      <c r="O181" s="4">
        <v>45474</v>
      </c>
      <c r="P181" s="5" t="s">
        <v>712</v>
      </c>
      <c r="Q181" s="3">
        <v>18</v>
      </c>
      <c r="R181" s="6" t="s">
        <v>205</v>
      </c>
      <c r="S181" s="7" t="s">
        <v>66</v>
      </c>
      <c r="T181" s="4">
        <v>46203</v>
      </c>
      <c r="U181" s="4">
        <v>35282</v>
      </c>
      <c r="V181" s="4">
        <f t="shared" ca="1" si="23"/>
        <v>45919</v>
      </c>
      <c r="W181" s="8">
        <f t="shared" ca="1" si="24"/>
        <v>29.12251882272416</v>
      </c>
    </row>
    <row r="182" spans="1:23" x14ac:dyDescent="0.2">
      <c r="A182" s="1" t="s">
        <v>24</v>
      </c>
      <c r="B182" s="1" t="s">
        <v>25</v>
      </c>
      <c r="C182" s="1" t="s">
        <v>26</v>
      </c>
      <c r="D182" s="5" t="s">
        <v>644</v>
      </c>
      <c r="E182" s="1">
        <v>11</v>
      </c>
      <c r="F182" s="1" t="s">
        <v>713</v>
      </c>
      <c r="G182" s="1" t="s">
        <v>714</v>
      </c>
      <c r="I182" s="1" t="s">
        <v>37</v>
      </c>
      <c r="J182" s="1" t="s">
        <v>37</v>
      </c>
      <c r="K182" s="1" t="s">
        <v>113</v>
      </c>
      <c r="M182" s="1" t="s">
        <v>715</v>
      </c>
      <c r="N182" s="3">
        <v>15</v>
      </c>
      <c r="O182" s="4">
        <v>45143</v>
      </c>
      <c r="P182" s="5" t="s">
        <v>716</v>
      </c>
      <c r="Q182" s="3">
        <v>9</v>
      </c>
      <c r="R182" s="6">
        <v>20</v>
      </c>
      <c r="S182" s="7" t="s">
        <v>34</v>
      </c>
      <c r="T182" s="4">
        <v>46934</v>
      </c>
      <c r="U182" s="4">
        <v>38078</v>
      </c>
      <c r="V182" s="4">
        <f t="shared" ca="1" si="23"/>
        <v>45919</v>
      </c>
      <c r="W182" s="8">
        <f t="shared" ca="1" si="24"/>
        <v>21.467488021902806</v>
      </c>
    </row>
    <row r="183" spans="1:23" x14ac:dyDescent="0.2">
      <c r="A183" s="1" t="s">
        <v>24</v>
      </c>
      <c r="B183" s="1" t="s">
        <v>25</v>
      </c>
      <c r="C183" s="1" t="s">
        <v>26</v>
      </c>
      <c r="D183" s="5" t="s">
        <v>644</v>
      </c>
      <c r="E183" s="1">
        <v>7</v>
      </c>
      <c r="F183" s="1" t="s">
        <v>717</v>
      </c>
      <c r="G183" s="1" t="s">
        <v>718</v>
      </c>
      <c r="I183" s="1" t="s">
        <v>199</v>
      </c>
      <c r="J183" s="1" t="s">
        <v>199</v>
      </c>
      <c r="K183" s="1" t="s">
        <v>133</v>
      </c>
      <c r="M183" s="1" t="s">
        <v>719</v>
      </c>
      <c r="N183" s="3">
        <v>18</v>
      </c>
      <c r="O183" s="4">
        <v>45505</v>
      </c>
      <c r="P183" s="5" t="s">
        <v>204</v>
      </c>
      <c r="Q183" s="3">
        <v>18</v>
      </c>
      <c r="R183" s="6">
        <v>15</v>
      </c>
      <c r="S183" s="7" t="s">
        <v>66</v>
      </c>
      <c r="T183" s="4">
        <v>47299</v>
      </c>
      <c r="U183" s="4">
        <v>35851</v>
      </c>
      <c r="V183" s="4">
        <f t="shared" ca="1" si="23"/>
        <v>45919</v>
      </c>
      <c r="W183" s="8">
        <f t="shared" ca="1" si="24"/>
        <v>27.564681724845997</v>
      </c>
    </row>
    <row r="184" spans="1:23" x14ac:dyDescent="0.2">
      <c r="A184" s="1" t="s">
        <v>24</v>
      </c>
      <c r="B184" s="1" t="s">
        <v>25</v>
      </c>
      <c r="C184" s="1" t="s">
        <v>26</v>
      </c>
      <c r="D184" s="5" t="s">
        <v>644</v>
      </c>
      <c r="E184" s="1">
        <v>9</v>
      </c>
      <c r="F184" s="1" t="s">
        <v>720</v>
      </c>
      <c r="G184" s="1" t="s">
        <v>721</v>
      </c>
      <c r="I184" s="1" t="s">
        <v>24</v>
      </c>
      <c r="J184" s="1" t="s">
        <v>24</v>
      </c>
      <c r="K184" s="1" t="s">
        <v>139</v>
      </c>
      <c r="M184" s="1" t="s">
        <v>722</v>
      </c>
      <c r="N184" s="3">
        <v>30</v>
      </c>
      <c r="O184" s="4">
        <v>45534</v>
      </c>
      <c r="P184" s="1" t="s">
        <v>27</v>
      </c>
      <c r="Q184" s="3">
        <v>30</v>
      </c>
      <c r="R184" s="6">
        <v>29.7</v>
      </c>
      <c r="S184" s="7" t="s">
        <v>66</v>
      </c>
      <c r="T184" s="4">
        <v>47299</v>
      </c>
      <c r="U184" s="4">
        <v>36310</v>
      </c>
      <c r="V184" s="4">
        <f t="shared" ca="1" si="23"/>
        <v>45919</v>
      </c>
      <c r="W184" s="8">
        <f ca="1">(V184-U184)/365.25</f>
        <v>26.308008213552363</v>
      </c>
    </row>
    <row r="185" spans="1:23" x14ac:dyDescent="0.2">
      <c r="A185" s="1" t="s">
        <v>24</v>
      </c>
      <c r="B185" s="1" t="s">
        <v>25</v>
      </c>
      <c r="C185" s="1" t="s">
        <v>26</v>
      </c>
      <c r="D185" s="5" t="s">
        <v>644</v>
      </c>
      <c r="E185" s="1">
        <v>14</v>
      </c>
      <c r="F185" s="1" t="s">
        <v>723</v>
      </c>
      <c r="G185" s="1" t="s">
        <v>724</v>
      </c>
      <c r="I185" s="1" t="s">
        <v>43</v>
      </c>
      <c r="J185" s="1" t="s">
        <v>43</v>
      </c>
      <c r="K185" s="1" t="s">
        <v>139</v>
      </c>
      <c r="M185" s="1" t="s">
        <v>725</v>
      </c>
      <c r="N185" s="3">
        <v>20</v>
      </c>
      <c r="O185" s="4">
        <v>44217</v>
      </c>
      <c r="P185" s="5" t="s">
        <v>530</v>
      </c>
      <c r="Q185" s="3">
        <v>15</v>
      </c>
      <c r="R185" s="6">
        <v>14.5</v>
      </c>
      <c r="S185" s="7" t="s">
        <v>34</v>
      </c>
      <c r="T185" s="4">
        <v>46203</v>
      </c>
      <c r="U185" s="4">
        <v>35609</v>
      </c>
      <c r="V185" s="4">
        <f t="shared" ca="1" si="23"/>
        <v>45919</v>
      </c>
      <c r="W185" s="8">
        <f t="shared" ca="1" si="24"/>
        <v>28.227241615331966</v>
      </c>
    </row>
    <row r="186" spans="1:23" x14ac:dyDescent="0.2">
      <c r="A186" s="1" t="s">
        <v>24</v>
      </c>
      <c r="B186" s="1" t="s">
        <v>25</v>
      </c>
      <c r="C186" s="1" t="s">
        <v>26</v>
      </c>
      <c r="D186" s="5" t="s">
        <v>186</v>
      </c>
      <c r="E186" s="1">
        <v>1</v>
      </c>
      <c r="F186" s="1" t="s">
        <v>726</v>
      </c>
      <c r="G186" s="1" t="s">
        <v>727</v>
      </c>
      <c r="I186" s="1" t="s">
        <v>24</v>
      </c>
      <c r="J186" s="1" t="s">
        <v>24</v>
      </c>
      <c r="K186" s="1" t="s">
        <v>31</v>
      </c>
      <c r="M186" s="1" t="s">
        <v>728</v>
      </c>
      <c r="N186" s="3">
        <v>22</v>
      </c>
      <c r="O186" s="4">
        <v>42917</v>
      </c>
      <c r="P186" s="5" t="s">
        <v>456</v>
      </c>
      <c r="Q186" s="3">
        <v>15</v>
      </c>
      <c r="R186" s="6">
        <v>28.5</v>
      </c>
      <c r="S186" s="7" t="s">
        <v>34</v>
      </c>
      <c r="T186" s="4">
        <v>46568</v>
      </c>
      <c r="U186" s="4">
        <v>34400</v>
      </c>
      <c r="V186" s="4">
        <f ca="1">TODAY()</f>
        <v>45919</v>
      </c>
      <c r="W186" s="8">
        <f ca="1">(V186-U186)/365.25</f>
        <v>31.537303216974674</v>
      </c>
    </row>
    <row r="187" spans="1:23" x14ac:dyDescent="0.2">
      <c r="A187" s="1" t="s">
        <v>24</v>
      </c>
      <c r="B187" s="1" t="s">
        <v>25</v>
      </c>
      <c r="C187" s="1" t="s">
        <v>26</v>
      </c>
      <c r="D187" s="5" t="s">
        <v>186</v>
      </c>
      <c r="E187" s="1">
        <v>12</v>
      </c>
      <c r="F187" s="1" t="s">
        <v>534</v>
      </c>
      <c r="G187" s="1" t="s">
        <v>729</v>
      </c>
      <c r="I187" s="1" t="s">
        <v>416</v>
      </c>
      <c r="J187" s="1" t="s">
        <v>416</v>
      </c>
      <c r="K187" s="1" t="s">
        <v>31</v>
      </c>
      <c r="M187" s="1" t="s">
        <v>730</v>
      </c>
      <c r="N187" s="3">
        <v>0.8</v>
      </c>
      <c r="O187" s="4">
        <v>44013</v>
      </c>
      <c r="P187" s="5" t="s">
        <v>731</v>
      </c>
      <c r="Q187" s="3">
        <v>0.15</v>
      </c>
      <c r="R187" s="6">
        <v>0</v>
      </c>
      <c r="S187" s="7" t="s">
        <v>98</v>
      </c>
      <c r="T187" s="4">
        <v>45838</v>
      </c>
      <c r="U187" s="4">
        <v>36443</v>
      </c>
      <c r="V187" s="4">
        <f t="shared" ref="V187:V209" ca="1" si="26">TODAY()</f>
        <v>45919</v>
      </c>
      <c r="W187" s="8">
        <f t="shared" ref="W187:W209" ca="1" si="27">(V187-U187)/365.25</f>
        <v>25.943874058863791</v>
      </c>
    </row>
    <row r="188" spans="1:23" x14ac:dyDescent="0.2">
      <c r="A188" s="1" t="s">
        <v>24</v>
      </c>
      <c r="B188" s="1" t="s">
        <v>25</v>
      </c>
      <c r="C188" s="1" t="s">
        <v>26</v>
      </c>
      <c r="D188" s="5" t="s">
        <v>186</v>
      </c>
      <c r="E188" s="1">
        <v>31</v>
      </c>
      <c r="F188" s="1" t="s">
        <v>732</v>
      </c>
      <c r="G188" s="1" t="s">
        <v>733</v>
      </c>
      <c r="I188" s="1" t="s">
        <v>734</v>
      </c>
      <c r="J188" s="1" t="s">
        <v>734</v>
      </c>
      <c r="K188" s="1" t="s">
        <v>31</v>
      </c>
      <c r="M188" s="1" t="s">
        <v>735</v>
      </c>
      <c r="N188" s="3">
        <v>0.3</v>
      </c>
      <c r="O188" s="4">
        <v>45527</v>
      </c>
      <c r="P188" s="5" t="s">
        <v>708</v>
      </c>
      <c r="Q188" s="3">
        <v>0.3</v>
      </c>
      <c r="R188" s="6" t="s">
        <v>205</v>
      </c>
      <c r="S188" s="7" t="s">
        <v>66</v>
      </c>
      <c r="T188" s="4">
        <v>45838</v>
      </c>
      <c r="U188" s="4">
        <v>31948</v>
      </c>
      <c r="V188" s="4">
        <f t="shared" ca="1" si="26"/>
        <v>45919</v>
      </c>
      <c r="W188" s="8">
        <f t="shared" ca="1" si="27"/>
        <v>38.25051334702259</v>
      </c>
    </row>
    <row r="189" spans="1:23" x14ac:dyDescent="0.2">
      <c r="A189" s="1" t="s">
        <v>24</v>
      </c>
      <c r="B189" s="1" t="s">
        <v>25</v>
      </c>
      <c r="C189" s="1" t="s">
        <v>26</v>
      </c>
      <c r="D189" s="5" t="s">
        <v>186</v>
      </c>
      <c r="E189" s="1">
        <v>32</v>
      </c>
      <c r="F189" s="1" t="s">
        <v>736</v>
      </c>
      <c r="G189" s="1" t="s">
        <v>737</v>
      </c>
      <c r="I189" s="1" t="s">
        <v>24</v>
      </c>
      <c r="J189" s="1" t="s">
        <v>24</v>
      </c>
      <c r="K189" s="1" t="s">
        <v>44</v>
      </c>
      <c r="M189" s="1" t="s">
        <v>738</v>
      </c>
      <c r="N189" s="3">
        <v>42</v>
      </c>
      <c r="O189" s="4">
        <v>43843</v>
      </c>
      <c r="P189" s="5" t="s">
        <v>739</v>
      </c>
      <c r="Q189" s="3">
        <v>0</v>
      </c>
      <c r="R189" s="6">
        <v>1.1000000000000001</v>
      </c>
      <c r="S189" s="7" t="s">
        <v>34</v>
      </c>
      <c r="T189" s="4">
        <v>46568</v>
      </c>
      <c r="U189" s="4">
        <v>37434</v>
      </c>
      <c r="V189" s="4">
        <f t="shared" ca="1" si="26"/>
        <v>45919</v>
      </c>
      <c r="W189" s="8">
        <f ca="1">(V189-U189)/365.25</f>
        <v>23.230663928815879</v>
      </c>
    </row>
    <row r="190" spans="1:23" x14ac:dyDescent="0.2">
      <c r="A190" s="1" t="s">
        <v>24</v>
      </c>
      <c r="B190" s="1" t="s">
        <v>25</v>
      </c>
      <c r="C190" s="1" t="s">
        <v>26</v>
      </c>
      <c r="D190" s="5" t="s">
        <v>186</v>
      </c>
      <c r="E190" s="1">
        <v>15</v>
      </c>
      <c r="F190" s="1" t="s">
        <v>740</v>
      </c>
      <c r="G190" s="1" t="s">
        <v>741</v>
      </c>
      <c r="I190" s="1" t="s">
        <v>250</v>
      </c>
      <c r="J190" s="1" t="s">
        <v>250</v>
      </c>
      <c r="K190" s="1" t="s">
        <v>44</v>
      </c>
      <c r="M190" s="1" t="s">
        <v>742</v>
      </c>
      <c r="N190" s="3">
        <v>15</v>
      </c>
      <c r="O190" s="4">
        <v>45503</v>
      </c>
      <c r="P190" s="5" t="s">
        <v>590</v>
      </c>
      <c r="Q190" s="3">
        <v>12</v>
      </c>
      <c r="R190" s="6">
        <v>19.5</v>
      </c>
      <c r="S190" s="7" t="s">
        <v>66</v>
      </c>
      <c r="T190" s="4">
        <v>46934</v>
      </c>
      <c r="U190" s="4">
        <v>37026</v>
      </c>
      <c r="V190" s="4">
        <f t="shared" ca="1" si="26"/>
        <v>45919</v>
      </c>
      <c r="W190" s="8">
        <f t="shared" ca="1" si="27"/>
        <v>24.347707049965777</v>
      </c>
    </row>
    <row r="191" spans="1:23" x14ac:dyDescent="0.2">
      <c r="A191" s="1" t="s">
        <v>24</v>
      </c>
      <c r="B191" s="1" t="s">
        <v>25</v>
      </c>
      <c r="C191" s="1" t="s">
        <v>26</v>
      </c>
      <c r="D191" s="5" t="s">
        <v>186</v>
      </c>
      <c r="E191" s="1">
        <v>6</v>
      </c>
      <c r="F191" s="1" t="s">
        <v>268</v>
      </c>
      <c r="G191" s="1" t="s">
        <v>743</v>
      </c>
      <c r="I191" s="1" t="s">
        <v>24</v>
      </c>
      <c r="J191" s="1" t="s">
        <v>24</v>
      </c>
      <c r="K191" s="1" t="s">
        <v>44</v>
      </c>
      <c r="M191" s="1" t="s">
        <v>744</v>
      </c>
      <c r="N191" s="3">
        <v>13</v>
      </c>
      <c r="O191" s="4">
        <v>44744</v>
      </c>
      <c r="P191" s="5" t="s">
        <v>366</v>
      </c>
      <c r="Q191" s="3">
        <v>22</v>
      </c>
      <c r="R191" s="6" t="s">
        <v>205</v>
      </c>
      <c r="S191" s="7" t="s">
        <v>34</v>
      </c>
      <c r="T191" s="4">
        <v>46203</v>
      </c>
      <c r="U191" s="4">
        <v>33927</v>
      </c>
      <c r="V191" s="4">
        <f t="shared" ca="1" si="26"/>
        <v>45919</v>
      </c>
      <c r="W191" s="8">
        <f ca="1">(V191-U191)/365.25</f>
        <v>32.832306639288156</v>
      </c>
    </row>
    <row r="192" spans="1:23" x14ac:dyDescent="0.2">
      <c r="A192" s="1" t="s">
        <v>24</v>
      </c>
      <c r="B192" s="1" t="s">
        <v>25</v>
      </c>
      <c r="C192" s="1" t="s">
        <v>26</v>
      </c>
      <c r="D192" s="5" t="s">
        <v>186</v>
      </c>
      <c r="E192" s="1">
        <v>5</v>
      </c>
      <c r="F192" s="1" t="s">
        <v>745</v>
      </c>
      <c r="G192" s="1" t="s">
        <v>425</v>
      </c>
      <c r="I192" s="1" t="s">
        <v>24</v>
      </c>
      <c r="J192" s="1" t="s">
        <v>24</v>
      </c>
      <c r="K192" s="1" t="s">
        <v>44</v>
      </c>
      <c r="M192" s="1" t="s">
        <v>746</v>
      </c>
      <c r="N192" s="3">
        <v>6</v>
      </c>
      <c r="O192" s="4">
        <v>42919</v>
      </c>
      <c r="P192" s="5" t="s">
        <v>366</v>
      </c>
      <c r="Q192" s="3">
        <v>18</v>
      </c>
      <c r="R192" s="6">
        <v>28.5</v>
      </c>
      <c r="S192" s="7" t="s">
        <v>34</v>
      </c>
      <c r="T192" s="4">
        <v>45838</v>
      </c>
      <c r="U192" s="4">
        <v>33980</v>
      </c>
      <c r="V192" s="4">
        <f t="shared" ca="1" si="26"/>
        <v>45919</v>
      </c>
      <c r="W192" s="8">
        <f t="shared" ca="1" si="27"/>
        <v>32.687200547570157</v>
      </c>
    </row>
    <row r="193" spans="1:23" x14ac:dyDescent="0.2">
      <c r="A193" s="1" t="s">
        <v>24</v>
      </c>
      <c r="B193" s="1" t="s">
        <v>25</v>
      </c>
      <c r="C193" s="1" t="s">
        <v>26</v>
      </c>
      <c r="D193" s="5" t="s">
        <v>186</v>
      </c>
      <c r="E193" s="1">
        <v>19</v>
      </c>
      <c r="F193" s="1" t="s">
        <v>747</v>
      </c>
      <c r="G193" s="1" t="s">
        <v>748</v>
      </c>
      <c r="I193" s="1" t="s">
        <v>69</v>
      </c>
      <c r="J193" s="1" t="s">
        <v>69</v>
      </c>
      <c r="K193" s="1" t="s">
        <v>63</v>
      </c>
      <c r="M193" s="1" t="s">
        <v>749</v>
      </c>
      <c r="N193" s="3">
        <v>28</v>
      </c>
      <c r="O193" s="4">
        <v>44562</v>
      </c>
      <c r="P193" s="5" t="s">
        <v>259</v>
      </c>
      <c r="Q193" s="3">
        <v>17</v>
      </c>
      <c r="R193" s="6">
        <v>23.5</v>
      </c>
      <c r="S193" s="7" t="s">
        <v>34</v>
      </c>
      <c r="T193" s="4">
        <v>46203</v>
      </c>
      <c r="U193" s="4">
        <v>36309</v>
      </c>
      <c r="V193" s="4">
        <f t="shared" ca="1" si="26"/>
        <v>45919</v>
      </c>
      <c r="W193" s="8">
        <f t="shared" ca="1" si="27"/>
        <v>26.310746064339494</v>
      </c>
    </row>
    <row r="194" spans="1:23" x14ac:dyDescent="0.2">
      <c r="A194" s="1" t="s">
        <v>24</v>
      </c>
      <c r="B194" s="1" t="s">
        <v>25</v>
      </c>
      <c r="C194" s="1" t="s">
        <v>26</v>
      </c>
      <c r="D194" s="5" t="s">
        <v>186</v>
      </c>
      <c r="E194" s="1">
        <v>18</v>
      </c>
      <c r="F194" s="1" t="s">
        <v>750</v>
      </c>
      <c r="G194" s="1" t="s">
        <v>751</v>
      </c>
      <c r="I194" s="1" t="s">
        <v>24</v>
      </c>
      <c r="J194" s="1" t="s">
        <v>24</v>
      </c>
      <c r="K194" s="1" t="s">
        <v>63</v>
      </c>
      <c r="M194" s="1" t="s">
        <v>752</v>
      </c>
      <c r="N194" s="3">
        <v>0.5</v>
      </c>
      <c r="O194" s="4">
        <v>45120</v>
      </c>
      <c r="P194" s="5" t="s">
        <v>143</v>
      </c>
      <c r="Q194" s="3">
        <v>0.6</v>
      </c>
      <c r="R194" s="6" t="s">
        <v>205</v>
      </c>
      <c r="S194" s="7" t="s">
        <v>98</v>
      </c>
      <c r="T194" s="4">
        <v>45838</v>
      </c>
      <c r="U194" s="4">
        <v>31237</v>
      </c>
      <c r="V194" s="4">
        <f t="shared" ca="1" si="26"/>
        <v>45919</v>
      </c>
      <c r="W194" s="8">
        <f ca="1">(V194-U194)/365.25</f>
        <v>40.197125256673509</v>
      </c>
    </row>
    <row r="195" spans="1:23" x14ac:dyDescent="0.2">
      <c r="A195" s="1" t="s">
        <v>24</v>
      </c>
      <c r="B195" s="1" t="s">
        <v>25</v>
      </c>
      <c r="C195" s="1" t="s">
        <v>26</v>
      </c>
      <c r="D195" s="5" t="s">
        <v>186</v>
      </c>
      <c r="E195" s="1">
        <v>2</v>
      </c>
      <c r="F195" s="1" t="s">
        <v>351</v>
      </c>
      <c r="G195" s="1" t="s">
        <v>753</v>
      </c>
      <c r="I195" s="1" t="s">
        <v>75</v>
      </c>
      <c r="J195" s="1" t="s">
        <v>75</v>
      </c>
      <c r="K195" s="1" t="s">
        <v>80</v>
      </c>
      <c r="M195" s="1" t="s">
        <v>754</v>
      </c>
      <c r="N195" s="3">
        <v>15</v>
      </c>
      <c r="O195" s="4">
        <v>44565</v>
      </c>
      <c r="P195" s="5" t="s">
        <v>755</v>
      </c>
      <c r="Q195" s="3">
        <v>3</v>
      </c>
      <c r="R195" s="6">
        <v>14</v>
      </c>
      <c r="S195" s="7" t="s">
        <v>34</v>
      </c>
      <c r="T195" s="4">
        <v>46568</v>
      </c>
      <c r="U195" s="4">
        <v>37180</v>
      </c>
      <c r="V195" s="4">
        <f t="shared" ca="1" si="26"/>
        <v>45919</v>
      </c>
      <c r="W195" s="8">
        <f t="shared" ca="1" si="27"/>
        <v>23.926078028747433</v>
      </c>
    </row>
    <row r="196" spans="1:23" x14ac:dyDescent="0.2">
      <c r="A196" s="1" t="s">
        <v>24</v>
      </c>
      <c r="B196" s="1" t="s">
        <v>25</v>
      </c>
      <c r="C196" s="1" t="s">
        <v>26</v>
      </c>
      <c r="D196" s="5" t="s">
        <v>186</v>
      </c>
      <c r="E196" s="1">
        <v>23</v>
      </c>
      <c r="F196" s="1" t="s">
        <v>756</v>
      </c>
      <c r="G196" s="1" t="s">
        <v>757</v>
      </c>
      <c r="I196" s="1" t="s">
        <v>250</v>
      </c>
      <c r="J196" s="1" t="s">
        <v>250</v>
      </c>
      <c r="K196" s="1" t="s">
        <v>80</v>
      </c>
      <c r="M196" s="1" t="s">
        <v>758</v>
      </c>
      <c r="N196" s="3">
        <v>0.5</v>
      </c>
      <c r="O196" s="4">
        <v>39814</v>
      </c>
      <c r="P196" s="5" t="s">
        <v>759</v>
      </c>
      <c r="Q196" s="3">
        <v>0.125</v>
      </c>
      <c r="R196" s="6">
        <v>0.7</v>
      </c>
      <c r="S196" s="7" t="s">
        <v>34</v>
      </c>
      <c r="T196" s="4">
        <v>45838</v>
      </c>
      <c r="U196" s="4">
        <v>32427</v>
      </c>
      <c r="V196" s="4">
        <f t="shared" ca="1" si="26"/>
        <v>45919</v>
      </c>
      <c r="W196" s="8">
        <f t="shared" ca="1" si="27"/>
        <v>36.939082819986311</v>
      </c>
    </row>
    <row r="197" spans="1:23" x14ac:dyDescent="0.2">
      <c r="A197" s="1" t="s">
        <v>24</v>
      </c>
      <c r="B197" s="1" t="s">
        <v>25</v>
      </c>
      <c r="C197" s="1" t="s">
        <v>26</v>
      </c>
      <c r="D197" s="5" t="s">
        <v>186</v>
      </c>
      <c r="E197" s="1">
        <v>37</v>
      </c>
      <c r="F197" s="1" t="s">
        <v>268</v>
      </c>
      <c r="G197" s="1" t="s">
        <v>760</v>
      </c>
      <c r="I197" s="1" t="s">
        <v>24</v>
      </c>
      <c r="J197" s="1" t="s">
        <v>24</v>
      </c>
      <c r="K197" s="1" t="s">
        <v>95</v>
      </c>
      <c r="M197" s="1" t="s">
        <v>761</v>
      </c>
      <c r="N197" s="3">
        <v>22</v>
      </c>
      <c r="O197" s="4">
        <v>44805</v>
      </c>
      <c r="P197" s="5" t="s">
        <v>627</v>
      </c>
      <c r="Q197" s="3">
        <v>7</v>
      </c>
      <c r="R197" s="6">
        <v>10.4</v>
      </c>
      <c r="S197" s="7" t="s">
        <v>34</v>
      </c>
      <c r="T197" s="4">
        <v>46203</v>
      </c>
      <c r="U197" s="4">
        <v>36963</v>
      </c>
      <c r="V197" s="4">
        <f t="shared" ca="1" si="26"/>
        <v>45919</v>
      </c>
      <c r="W197" s="8">
        <f ca="1">(V197-U197)/365.25</f>
        <v>24.520191649555098</v>
      </c>
    </row>
    <row r="198" spans="1:23" x14ac:dyDescent="0.2">
      <c r="A198" s="1" t="s">
        <v>24</v>
      </c>
      <c r="B198" s="1" t="s">
        <v>25</v>
      </c>
      <c r="C198" s="1" t="s">
        <v>26</v>
      </c>
      <c r="D198" s="5" t="s">
        <v>186</v>
      </c>
      <c r="E198" s="1">
        <v>8</v>
      </c>
      <c r="F198" s="1" t="s">
        <v>762</v>
      </c>
      <c r="G198" s="1" t="s">
        <v>763</v>
      </c>
      <c r="I198" s="1" t="s">
        <v>125</v>
      </c>
      <c r="J198" s="1" t="s">
        <v>125</v>
      </c>
      <c r="K198" s="1" t="s">
        <v>95</v>
      </c>
      <c r="M198" s="1" t="s">
        <v>764</v>
      </c>
      <c r="N198" s="3">
        <v>18</v>
      </c>
      <c r="O198" s="4">
        <v>45534</v>
      </c>
      <c r="P198" s="5" t="s">
        <v>590</v>
      </c>
      <c r="Q198" s="3">
        <v>20</v>
      </c>
      <c r="R198" s="6" t="s">
        <v>40</v>
      </c>
      <c r="S198" s="7" t="s">
        <v>40</v>
      </c>
      <c r="T198" s="4">
        <v>45838</v>
      </c>
      <c r="U198" s="4">
        <v>35872</v>
      </c>
      <c r="V198" s="4">
        <f t="shared" ca="1" si="26"/>
        <v>45919</v>
      </c>
      <c r="W198" s="8">
        <f t="shared" ref="W198" ca="1" si="28">(V198-U198)/365.25</f>
        <v>27.507186858316221</v>
      </c>
    </row>
    <row r="199" spans="1:23" x14ac:dyDescent="0.2">
      <c r="A199" s="1" t="s">
        <v>24</v>
      </c>
      <c r="B199" s="1" t="s">
        <v>25</v>
      </c>
      <c r="C199" s="1" t="s">
        <v>26</v>
      </c>
      <c r="D199" s="5" t="s">
        <v>186</v>
      </c>
      <c r="E199" s="1">
        <v>16</v>
      </c>
      <c r="F199" s="1" t="s">
        <v>765</v>
      </c>
      <c r="G199" s="1" t="s">
        <v>690</v>
      </c>
      <c r="I199" s="1" t="s">
        <v>43</v>
      </c>
      <c r="J199" s="1" t="s">
        <v>691</v>
      </c>
      <c r="K199" s="1" t="s">
        <v>89</v>
      </c>
      <c r="M199" s="1" t="s">
        <v>766</v>
      </c>
      <c r="N199" s="3">
        <v>10</v>
      </c>
      <c r="O199" s="4">
        <v>44082</v>
      </c>
      <c r="P199" s="5" t="s">
        <v>537</v>
      </c>
      <c r="Q199" s="3">
        <v>20</v>
      </c>
      <c r="R199" s="6">
        <v>22</v>
      </c>
      <c r="S199" s="7" t="s">
        <v>34</v>
      </c>
      <c r="T199" s="4">
        <v>45838</v>
      </c>
      <c r="U199" s="4">
        <v>33970</v>
      </c>
      <c r="V199" s="4">
        <f t="shared" ca="1" si="26"/>
        <v>45919</v>
      </c>
      <c r="W199" s="8">
        <f t="shared" ca="1" si="27"/>
        <v>32.714579055441476</v>
      </c>
    </row>
    <row r="200" spans="1:23" x14ac:dyDescent="0.2">
      <c r="A200" s="1" t="s">
        <v>24</v>
      </c>
      <c r="B200" s="1" t="s">
        <v>25</v>
      </c>
      <c r="C200" s="1" t="s">
        <v>26</v>
      </c>
      <c r="D200" s="5" t="s">
        <v>186</v>
      </c>
      <c r="E200" s="1">
        <v>42</v>
      </c>
      <c r="F200" s="1" t="s">
        <v>767</v>
      </c>
      <c r="G200" s="1" t="s">
        <v>768</v>
      </c>
      <c r="I200" s="1" t="s">
        <v>24</v>
      </c>
      <c r="J200" s="1" t="s">
        <v>24</v>
      </c>
      <c r="K200" s="1" t="s">
        <v>89</v>
      </c>
      <c r="M200" s="1" t="s">
        <v>769</v>
      </c>
      <c r="N200" s="3">
        <v>10</v>
      </c>
      <c r="O200" s="4">
        <v>45474</v>
      </c>
      <c r="P200" s="5" t="s">
        <v>143</v>
      </c>
      <c r="Q200" s="3">
        <v>4</v>
      </c>
      <c r="R200" s="6">
        <v>10.7</v>
      </c>
      <c r="S200" s="7" t="s">
        <v>66</v>
      </c>
      <c r="T200" s="4">
        <v>46568</v>
      </c>
      <c r="U200" s="4">
        <v>37802</v>
      </c>
      <c r="V200" s="4">
        <f t="shared" ca="1" si="26"/>
        <v>45919</v>
      </c>
      <c r="W200" s="8">
        <f ca="1">(V200-U200)/365.25</f>
        <v>22.223134839151268</v>
      </c>
    </row>
    <row r="201" spans="1:23" x14ac:dyDescent="0.2">
      <c r="A201" s="1" t="s">
        <v>24</v>
      </c>
      <c r="B201" s="1" t="s">
        <v>25</v>
      </c>
      <c r="C201" s="1" t="s">
        <v>26</v>
      </c>
      <c r="D201" s="5" t="s">
        <v>186</v>
      </c>
      <c r="E201" s="1">
        <v>27</v>
      </c>
      <c r="F201" s="1" t="s">
        <v>770</v>
      </c>
      <c r="G201" s="1" t="s">
        <v>771</v>
      </c>
      <c r="I201" s="1" t="s">
        <v>199</v>
      </c>
      <c r="J201" s="1" t="s">
        <v>199</v>
      </c>
      <c r="K201" s="1" t="s">
        <v>89</v>
      </c>
      <c r="M201" s="1" t="s">
        <v>772</v>
      </c>
      <c r="N201" s="3">
        <v>2</v>
      </c>
      <c r="O201" s="4">
        <v>44805</v>
      </c>
      <c r="P201" s="5" t="s">
        <v>773</v>
      </c>
      <c r="Q201" s="3">
        <v>12</v>
      </c>
      <c r="R201" s="6">
        <v>4</v>
      </c>
      <c r="S201" s="7" t="s">
        <v>98</v>
      </c>
      <c r="T201" s="4">
        <v>45838</v>
      </c>
      <c r="U201" s="4">
        <v>32777</v>
      </c>
      <c r="V201" s="4">
        <f t="shared" ca="1" si="26"/>
        <v>45919</v>
      </c>
      <c r="W201" s="8">
        <f ca="1">(V201-U201)/365.25</f>
        <v>35.980835044490078</v>
      </c>
    </row>
    <row r="202" spans="1:23" x14ac:dyDescent="0.2">
      <c r="A202" s="1" t="s">
        <v>24</v>
      </c>
      <c r="B202" s="1" t="s">
        <v>25</v>
      </c>
      <c r="C202" s="1" t="s">
        <v>26</v>
      </c>
      <c r="D202" s="5" t="s">
        <v>186</v>
      </c>
      <c r="E202" s="1">
        <v>7</v>
      </c>
      <c r="F202" s="1" t="s">
        <v>774</v>
      </c>
      <c r="G202" s="1" t="s">
        <v>775</v>
      </c>
      <c r="I202" s="1" t="s">
        <v>24</v>
      </c>
      <c r="J202" s="1" t="s">
        <v>24</v>
      </c>
      <c r="K202" s="1" t="s">
        <v>120</v>
      </c>
      <c r="M202" s="1" t="s">
        <v>776</v>
      </c>
      <c r="N202" s="3">
        <v>22</v>
      </c>
      <c r="O202" s="4">
        <v>44770</v>
      </c>
      <c r="P202" s="5" t="s">
        <v>366</v>
      </c>
      <c r="Q202" s="3">
        <v>18</v>
      </c>
      <c r="R202" s="6">
        <v>17</v>
      </c>
      <c r="S202" s="7" t="s">
        <v>34</v>
      </c>
      <c r="T202" s="4">
        <v>46568</v>
      </c>
      <c r="U202" s="4">
        <v>36486</v>
      </c>
      <c r="V202" s="4">
        <f t="shared" ca="1" si="26"/>
        <v>45919</v>
      </c>
      <c r="W202" s="8">
        <f ca="1">(V202-U202)/365.25</f>
        <v>25.826146475017111</v>
      </c>
    </row>
    <row r="203" spans="1:23" x14ac:dyDescent="0.2">
      <c r="A203" s="1" t="s">
        <v>24</v>
      </c>
      <c r="B203" s="1" t="s">
        <v>25</v>
      </c>
      <c r="C203" s="1" t="s">
        <v>26</v>
      </c>
      <c r="D203" s="5" t="s">
        <v>186</v>
      </c>
      <c r="E203" s="1">
        <v>10</v>
      </c>
      <c r="F203" s="1" t="s">
        <v>777</v>
      </c>
      <c r="G203" s="1" t="s">
        <v>778</v>
      </c>
      <c r="I203" s="1" t="s">
        <v>43</v>
      </c>
      <c r="J203" s="1" t="s">
        <v>199</v>
      </c>
      <c r="K203" s="1" t="s">
        <v>120</v>
      </c>
      <c r="M203" s="1" t="s">
        <v>779</v>
      </c>
      <c r="N203" s="3">
        <v>15</v>
      </c>
      <c r="O203" s="4">
        <v>45476</v>
      </c>
      <c r="P203" s="5" t="s">
        <v>204</v>
      </c>
      <c r="Q203" s="3">
        <v>15</v>
      </c>
      <c r="R203" s="6">
        <v>18</v>
      </c>
      <c r="S203" s="7" t="s">
        <v>66</v>
      </c>
      <c r="T203" s="4">
        <v>47299</v>
      </c>
      <c r="U203" s="4">
        <v>36591</v>
      </c>
      <c r="V203" s="4">
        <f t="shared" ca="1" si="26"/>
        <v>45919</v>
      </c>
      <c r="W203" s="8">
        <f ca="1">(V203-U203)/365.25</f>
        <v>25.538672142368242</v>
      </c>
    </row>
    <row r="204" spans="1:23" x14ac:dyDescent="0.2">
      <c r="A204" s="1" t="s">
        <v>24</v>
      </c>
      <c r="B204" s="1" t="s">
        <v>25</v>
      </c>
      <c r="C204" s="1" t="s">
        <v>26</v>
      </c>
      <c r="D204" s="5" t="s">
        <v>186</v>
      </c>
      <c r="E204" s="1">
        <v>29</v>
      </c>
      <c r="F204" s="1" t="s">
        <v>780</v>
      </c>
      <c r="G204" s="1" t="s">
        <v>781</v>
      </c>
      <c r="I204" s="1" t="s">
        <v>304</v>
      </c>
      <c r="J204" s="1" t="s">
        <v>304</v>
      </c>
      <c r="K204" s="1" t="s">
        <v>133</v>
      </c>
      <c r="M204" s="1" t="s">
        <v>782</v>
      </c>
      <c r="N204" s="3">
        <v>22</v>
      </c>
      <c r="O204" s="4">
        <v>45499</v>
      </c>
      <c r="P204" s="5" t="s">
        <v>783</v>
      </c>
      <c r="Q204" s="3">
        <v>22</v>
      </c>
      <c r="R204" s="6" t="s">
        <v>40</v>
      </c>
      <c r="S204" s="7" t="s">
        <v>40</v>
      </c>
      <c r="T204" s="4">
        <v>45838</v>
      </c>
      <c r="U204" s="4">
        <v>36585</v>
      </c>
      <c r="V204" s="4">
        <f t="shared" ca="1" si="26"/>
        <v>45919</v>
      </c>
      <c r="W204" s="8">
        <f t="shared" ca="1" si="27"/>
        <v>25.555099247091032</v>
      </c>
    </row>
    <row r="205" spans="1:23" x14ac:dyDescent="0.2">
      <c r="A205" s="1" t="s">
        <v>24</v>
      </c>
      <c r="B205" s="1" t="s">
        <v>25</v>
      </c>
      <c r="C205" s="1" t="s">
        <v>26</v>
      </c>
      <c r="D205" s="5" t="s">
        <v>186</v>
      </c>
      <c r="E205" s="1">
        <v>11</v>
      </c>
      <c r="F205" s="1" t="s">
        <v>496</v>
      </c>
      <c r="G205" s="1" t="s">
        <v>784</v>
      </c>
      <c r="I205" s="1" t="s">
        <v>24</v>
      </c>
      <c r="J205" s="1" t="s">
        <v>24</v>
      </c>
      <c r="K205" s="1" t="s">
        <v>133</v>
      </c>
      <c r="M205" s="1" t="s">
        <v>785</v>
      </c>
      <c r="N205" s="3">
        <v>18</v>
      </c>
      <c r="O205" s="4">
        <v>45152</v>
      </c>
      <c r="P205" s="5" t="s">
        <v>294</v>
      </c>
      <c r="Q205" s="3">
        <v>22</v>
      </c>
      <c r="R205" s="6" t="s">
        <v>40</v>
      </c>
      <c r="S205" s="7" t="s">
        <v>40</v>
      </c>
      <c r="T205" s="4">
        <v>45838</v>
      </c>
      <c r="U205" s="4">
        <v>35389</v>
      </c>
      <c r="V205" s="4">
        <f t="shared" ca="1" si="26"/>
        <v>45919</v>
      </c>
      <c r="W205" s="8">
        <f t="shared" ca="1" si="27"/>
        <v>28.829568788501028</v>
      </c>
    </row>
    <row r="206" spans="1:23" x14ac:dyDescent="0.2">
      <c r="A206" s="1" t="s">
        <v>24</v>
      </c>
      <c r="B206" s="1" t="s">
        <v>25</v>
      </c>
      <c r="C206" s="1" t="s">
        <v>26</v>
      </c>
      <c r="D206" s="5" t="s">
        <v>186</v>
      </c>
      <c r="E206" s="1">
        <v>9</v>
      </c>
      <c r="F206" s="1" t="s">
        <v>786</v>
      </c>
      <c r="G206" s="1" t="s">
        <v>787</v>
      </c>
      <c r="I206" s="1" t="s">
        <v>24</v>
      </c>
      <c r="J206" s="1" t="s">
        <v>24</v>
      </c>
      <c r="K206" s="1" t="s">
        <v>139</v>
      </c>
      <c r="M206" s="1" t="s">
        <v>788</v>
      </c>
      <c r="N206" s="3">
        <v>22</v>
      </c>
      <c r="O206" s="4">
        <v>42613</v>
      </c>
      <c r="P206" s="5" t="s">
        <v>330</v>
      </c>
      <c r="Q206" s="3">
        <v>0.1</v>
      </c>
      <c r="R206" s="6">
        <v>1.8</v>
      </c>
      <c r="S206" s="7" t="s">
        <v>34</v>
      </c>
      <c r="T206" s="4">
        <v>45838</v>
      </c>
      <c r="U206" s="4">
        <v>35505</v>
      </c>
      <c r="V206" s="4">
        <f t="shared" ca="1" si="26"/>
        <v>45919</v>
      </c>
      <c r="W206" s="8">
        <f t="shared" ca="1" si="27"/>
        <v>28.511978097193705</v>
      </c>
    </row>
    <row r="207" spans="1:23" x14ac:dyDescent="0.2">
      <c r="A207" s="1" t="s">
        <v>24</v>
      </c>
      <c r="B207" s="1" t="s">
        <v>25</v>
      </c>
      <c r="C207" s="1" t="s">
        <v>26</v>
      </c>
      <c r="D207" s="5" t="s">
        <v>186</v>
      </c>
      <c r="E207" s="1">
        <v>14</v>
      </c>
      <c r="F207" s="1" t="s">
        <v>35</v>
      </c>
      <c r="G207" s="1" t="s">
        <v>789</v>
      </c>
      <c r="I207" s="1" t="s">
        <v>416</v>
      </c>
      <c r="J207" s="1" t="s">
        <v>790</v>
      </c>
      <c r="K207" s="1" t="s">
        <v>139</v>
      </c>
      <c r="M207" s="1" t="s">
        <v>791</v>
      </c>
      <c r="N207" s="3">
        <v>20</v>
      </c>
      <c r="O207" s="4">
        <v>45167</v>
      </c>
      <c r="P207" s="5" t="s">
        <v>792</v>
      </c>
      <c r="Q207" s="3">
        <v>25</v>
      </c>
      <c r="R207" s="6">
        <v>25</v>
      </c>
      <c r="S207" s="7" t="s">
        <v>34</v>
      </c>
      <c r="T207" s="4">
        <v>46568</v>
      </c>
      <c r="U207" s="4">
        <v>35826</v>
      </c>
      <c r="V207" s="4">
        <f t="shared" ca="1" si="26"/>
        <v>45919</v>
      </c>
      <c r="W207" s="8">
        <f t="shared" ca="1" si="27"/>
        <v>27.633127994524298</v>
      </c>
    </row>
    <row r="208" spans="1:23" x14ac:dyDescent="0.2">
      <c r="A208" s="1" t="s">
        <v>24</v>
      </c>
      <c r="B208" s="1" t="s">
        <v>25</v>
      </c>
      <c r="C208" s="1" t="s">
        <v>26</v>
      </c>
      <c r="D208" s="5" t="s">
        <v>186</v>
      </c>
      <c r="E208" s="1">
        <v>22</v>
      </c>
      <c r="F208" s="1" t="s">
        <v>793</v>
      </c>
      <c r="G208" s="1" t="s">
        <v>794</v>
      </c>
      <c r="I208" s="1" t="s">
        <v>24</v>
      </c>
      <c r="J208" s="1" t="s">
        <v>795</v>
      </c>
      <c r="K208" s="1" t="s">
        <v>139</v>
      </c>
      <c r="M208" s="1" t="s">
        <v>796</v>
      </c>
      <c r="N208" s="3">
        <v>18</v>
      </c>
      <c r="O208" s="4">
        <v>45534</v>
      </c>
      <c r="P208" s="5" t="s">
        <v>101</v>
      </c>
      <c r="Q208" s="3">
        <v>22</v>
      </c>
      <c r="R208" s="6" t="s">
        <v>40</v>
      </c>
      <c r="S208" s="7" t="s">
        <v>40</v>
      </c>
      <c r="T208" s="4">
        <v>45838</v>
      </c>
      <c r="U208" s="4">
        <v>37144</v>
      </c>
      <c r="V208" s="4">
        <f t="shared" ca="1" si="26"/>
        <v>45919</v>
      </c>
      <c r="W208" s="8">
        <f ca="1">(V208-U208)/365.25</f>
        <v>24.024640657084188</v>
      </c>
    </row>
    <row r="209" spans="1:23" x14ac:dyDescent="0.2">
      <c r="A209" s="1" t="s">
        <v>24</v>
      </c>
      <c r="B209" s="1" t="s">
        <v>25</v>
      </c>
      <c r="C209" s="1" t="s">
        <v>26</v>
      </c>
      <c r="D209" s="5" t="s">
        <v>186</v>
      </c>
      <c r="E209" s="1">
        <v>17</v>
      </c>
      <c r="F209" s="1" t="s">
        <v>35</v>
      </c>
      <c r="G209" s="1" t="s">
        <v>797</v>
      </c>
      <c r="I209" s="1" t="s">
        <v>416</v>
      </c>
      <c r="J209" s="1" t="s">
        <v>416</v>
      </c>
      <c r="K209" s="1" t="s">
        <v>139</v>
      </c>
      <c r="M209" s="1" t="s">
        <v>798</v>
      </c>
      <c r="N209" s="3">
        <v>9</v>
      </c>
      <c r="O209" s="4">
        <v>45149</v>
      </c>
      <c r="P209" s="5" t="s">
        <v>799</v>
      </c>
      <c r="Q209" s="3">
        <v>3</v>
      </c>
      <c r="R209" s="6">
        <v>12.5</v>
      </c>
      <c r="S209" s="7" t="s">
        <v>34</v>
      </c>
      <c r="T209" s="4">
        <v>46568</v>
      </c>
      <c r="U209" s="4">
        <v>38131</v>
      </c>
      <c r="V209" s="4">
        <f t="shared" ca="1" si="26"/>
        <v>45919</v>
      </c>
      <c r="W209" s="8">
        <f t="shared" ca="1" si="27"/>
        <v>21.322381930184804</v>
      </c>
    </row>
    <row r="210" spans="1:23" x14ac:dyDescent="0.2">
      <c r="A210" s="1" t="s">
        <v>24</v>
      </c>
      <c r="B210" s="1" t="s">
        <v>25</v>
      </c>
      <c r="C210" s="1" t="s">
        <v>26</v>
      </c>
      <c r="D210" s="5" t="s">
        <v>555</v>
      </c>
      <c r="E210" s="1">
        <v>1</v>
      </c>
      <c r="F210" s="1" t="s">
        <v>800</v>
      </c>
      <c r="G210" s="1" t="s">
        <v>801</v>
      </c>
      <c r="I210" s="1" t="s">
        <v>138</v>
      </c>
      <c r="J210" s="1" t="s">
        <v>138</v>
      </c>
      <c r="K210" s="1" t="s">
        <v>31</v>
      </c>
      <c r="M210" s="1" t="s">
        <v>802</v>
      </c>
      <c r="N210" s="3">
        <v>13</v>
      </c>
      <c r="O210" s="4">
        <v>44775</v>
      </c>
      <c r="P210" s="5" t="s">
        <v>27</v>
      </c>
      <c r="Q210" s="3">
        <v>9</v>
      </c>
      <c r="R210" s="6">
        <v>3.6</v>
      </c>
      <c r="S210" s="7" t="s">
        <v>34</v>
      </c>
      <c r="T210" s="4">
        <v>46568</v>
      </c>
      <c r="U210" s="4">
        <v>33667</v>
      </c>
      <c r="V210" s="4">
        <f ca="1">TODAY()</f>
        <v>45919</v>
      </c>
      <c r="W210" s="8">
        <f ca="1">(V210-U210)/365.25</f>
        <v>33.544147843942504</v>
      </c>
    </row>
    <row r="211" spans="1:23" x14ac:dyDescent="0.2">
      <c r="A211" s="1" t="s">
        <v>24</v>
      </c>
      <c r="B211" s="1" t="s">
        <v>25</v>
      </c>
      <c r="C211" s="1" t="s">
        <v>26</v>
      </c>
      <c r="D211" s="5" t="s">
        <v>555</v>
      </c>
      <c r="E211" s="1">
        <v>23</v>
      </c>
      <c r="F211" s="1" t="s">
        <v>803</v>
      </c>
      <c r="G211" s="1" t="s">
        <v>804</v>
      </c>
      <c r="I211" s="1" t="s">
        <v>138</v>
      </c>
      <c r="J211" s="1" t="s">
        <v>138</v>
      </c>
      <c r="K211" s="1" t="s">
        <v>31</v>
      </c>
      <c r="M211" s="1" t="s">
        <v>805</v>
      </c>
      <c r="N211" s="3">
        <v>1</v>
      </c>
      <c r="O211" s="4">
        <v>45168</v>
      </c>
      <c r="P211" s="5" t="s">
        <v>806</v>
      </c>
      <c r="Q211" s="3">
        <v>0.4</v>
      </c>
      <c r="R211" s="6">
        <v>0.87</v>
      </c>
      <c r="S211" s="7" t="s">
        <v>98</v>
      </c>
      <c r="T211" s="4">
        <v>46203</v>
      </c>
      <c r="U211" s="4">
        <v>36069</v>
      </c>
      <c r="V211" s="4">
        <f t="shared" ref="V211:V232" ca="1" si="29">TODAY()</f>
        <v>45919</v>
      </c>
      <c r="W211" s="8">
        <f t="shared" ref="W211:W231" ca="1" si="30">(V211-U211)/365.25</f>
        <v>26.967830253251197</v>
      </c>
    </row>
    <row r="212" spans="1:23" x14ac:dyDescent="0.2">
      <c r="A212" s="1" t="s">
        <v>24</v>
      </c>
      <c r="B212" s="1" t="s">
        <v>25</v>
      </c>
      <c r="C212" s="1" t="s">
        <v>26</v>
      </c>
      <c r="D212" s="5" t="s">
        <v>555</v>
      </c>
      <c r="E212" s="1">
        <v>5</v>
      </c>
      <c r="F212" s="1" t="s">
        <v>807</v>
      </c>
      <c r="G212" s="1" t="s">
        <v>808</v>
      </c>
      <c r="I212" s="1" t="s">
        <v>304</v>
      </c>
      <c r="J212" s="1" t="s">
        <v>304</v>
      </c>
      <c r="K212" s="1" t="s">
        <v>44</v>
      </c>
      <c r="M212" s="1" t="s">
        <v>809</v>
      </c>
      <c r="N212" s="3">
        <v>35</v>
      </c>
      <c r="O212" s="4">
        <v>45527</v>
      </c>
      <c r="P212" s="5" t="s">
        <v>644</v>
      </c>
      <c r="Q212" s="3">
        <v>35</v>
      </c>
      <c r="R212" s="6">
        <v>29.5</v>
      </c>
      <c r="S212" s="7" t="s">
        <v>66</v>
      </c>
      <c r="T212" s="4">
        <v>47299</v>
      </c>
      <c r="U212" s="4">
        <v>35216</v>
      </c>
      <c r="V212" s="4">
        <f t="shared" ca="1" si="29"/>
        <v>45919</v>
      </c>
      <c r="W212" s="8">
        <f t="shared" ca="1" si="30"/>
        <v>29.303216974674879</v>
      </c>
    </row>
    <row r="213" spans="1:23" x14ac:dyDescent="0.2">
      <c r="A213" s="1" t="s">
        <v>24</v>
      </c>
      <c r="B213" s="1" t="s">
        <v>25</v>
      </c>
      <c r="C213" s="1" t="s">
        <v>26</v>
      </c>
      <c r="D213" s="5" t="s">
        <v>555</v>
      </c>
      <c r="E213" s="1">
        <v>31</v>
      </c>
      <c r="F213" s="1" t="s">
        <v>810</v>
      </c>
      <c r="G213" s="1" t="s">
        <v>811</v>
      </c>
      <c r="I213" s="1" t="s">
        <v>43</v>
      </c>
      <c r="J213" s="1" t="s">
        <v>43</v>
      </c>
      <c r="K213" s="1" t="s">
        <v>44</v>
      </c>
      <c r="M213" s="1" t="s">
        <v>812</v>
      </c>
      <c r="N213" s="3">
        <v>20</v>
      </c>
      <c r="O213" s="4">
        <v>44783</v>
      </c>
      <c r="P213" s="5" t="s">
        <v>91</v>
      </c>
      <c r="Q213" s="3">
        <v>10</v>
      </c>
      <c r="R213" s="6">
        <v>17.8</v>
      </c>
      <c r="S213" s="7" t="s">
        <v>34</v>
      </c>
      <c r="T213" s="4">
        <v>46568</v>
      </c>
      <c r="U213" s="4">
        <v>35439</v>
      </c>
      <c r="V213" s="4">
        <f t="shared" ca="1" si="29"/>
        <v>45919</v>
      </c>
      <c r="W213" s="8">
        <f ca="1">(V213-U213)/365.25</f>
        <v>28.692676249144423</v>
      </c>
    </row>
    <row r="214" spans="1:23" x14ac:dyDescent="0.2">
      <c r="A214" s="1" t="s">
        <v>24</v>
      </c>
      <c r="B214" s="1" t="s">
        <v>25</v>
      </c>
      <c r="C214" s="1" t="s">
        <v>26</v>
      </c>
      <c r="D214" s="5" t="s">
        <v>555</v>
      </c>
      <c r="E214" s="1">
        <v>3</v>
      </c>
      <c r="F214" s="1" t="s">
        <v>813</v>
      </c>
      <c r="G214" s="1" t="s">
        <v>814</v>
      </c>
      <c r="I214" s="1" t="s">
        <v>62</v>
      </c>
      <c r="J214" s="1" t="s">
        <v>815</v>
      </c>
      <c r="K214" s="1" t="s">
        <v>44</v>
      </c>
      <c r="M214" s="1" t="s">
        <v>816</v>
      </c>
      <c r="N214" s="3">
        <v>16</v>
      </c>
      <c r="O214" s="4">
        <v>45135</v>
      </c>
      <c r="P214" s="5" t="s">
        <v>54</v>
      </c>
      <c r="Q214" s="3">
        <v>15</v>
      </c>
      <c r="R214" s="6">
        <v>22.5</v>
      </c>
      <c r="S214" s="7" t="s">
        <v>34</v>
      </c>
      <c r="T214" s="4">
        <v>46568</v>
      </c>
      <c r="U214" s="4">
        <v>36525</v>
      </c>
      <c r="V214" s="4">
        <f t="shared" ca="1" si="29"/>
        <v>45919</v>
      </c>
      <c r="W214" s="8">
        <f t="shared" ca="1" si="30"/>
        <v>25.71937029431896</v>
      </c>
    </row>
    <row r="215" spans="1:23" x14ac:dyDescent="0.2">
      <c r="A215" s="1" t="s">
        <v>24</v>
      </c>
      <c r="B215" s="1" t="s">
        <v>25</v>
      </c>
      <c r="C215" s="1" t="s">
        <v>26</v>
      </c>
      <c r="D215" s="5" t="s">
        <v>555</v>
      </c>
      <c r="E215" s="1">
        <v>15</v>
      </c>
      <c r="F215" s="1" t="s">
        <v>817</v>
      </c>
      <c r="G215" s="1" t="s">
        <v>818</v>
      </c>
      <c r="I215" s="1" t="s">
        <v>30</v>
      </c>
      <c r="J215" s="1" t="s">
        <v>30</v>
      </c>
      <c r="K215" s="1" t="s">
        <v>44</v>
      </c>
      <c r="M215" s="1" t="s">
        <v>819</v>
      </c>
      <c r="N215" s="3">
        <v>6</v>
      </c>
      <c r="O215" s="4">
        <v>45507</v>
      </c>
      <c r="P215" s="5" t="s">
        <v>161</v>
      </c>
      <c r="Q215" s="3">
        <v>6</v>
      </c>
      <c r="R215" s="6">
        <v>6.7</v>
      </c>
      <c r="S215" s="7" t="s">
        <v>66</v>
      </c>
      <c r="T215" s="4">
        <v>46934</v>
      </c>
      <c r="U215" s="4">
        <v>36481</v>
      </c>
      <c r="V215" s="4">
        <f t="shared" ca="1" si="29"/>
        <v>45919</v>
      </c>
      <c r="W215" s="8">
        <f ca="1">(V215-U215)/365.25</f>
        <v>25.839835728952771</v>
      </c>
    </row>
    <row r="216" spans="1:23" x14ac:dyDescent="0.2">
      <c r="A216" s="1" t="s">
        <v>24</v>
      </c>
      <c r="B216" s="1" t="s">
        <v>25</v>
      </c>
      <c r="C216" s="1" t="s">
        <v>26</v>
      </c>
      <c r="D216" s="5" t="s">
        <v>555</v>
      </c>
      <c r="E216" s="1">
        <v>33</v>
      </c>
      <c r="F216" s="1" t="s">
        <v>820</v>
      </c>
      <c r="G216" s="1" t="s">
        <v>821</v>
      </c>
      <c r="I216" s="1" t="s">
        <v>24</v>
      </c>
      <c r="J216" s="1" t="s">
        <v>282</v>
      </c>
      <c r="K216" s="1" t="s">
        <v>63</v>
      </c>
      <c r="M216" s="1" t="s">
        <v>822</v>
      </c>
      <c r="N216" s="3">
        <v>25</v>
      </c>
      <c r="O216" s="4">
        <v>44063</v>
      </c>
      <c r="P216" s="5" t="s">
        <v>823</v>
      </c>
      <c r="Q216" s="3">
        <v>3.5</v>
      </c>
      <c r="R216" s="6">
        <v>2.1</v>
      </c>
      <c r="S216" s="7" t="s">
        <v>34</v>
      </c>
      <c r="T216" s="4">
        <v>46934</v>
      </c>
      <c r="U216" s="4">
        <v>35650</v>
      </c>
      <c r="V216" s="4">
        <f t="shared" ca="1" si="29"/>
        <v>45919</v>
      </c>
      <c r="W216" s="8">
        <f t="shared" ca="1" si="30"/>
        <v>28.114989733059549</v>
      </c>
    </row>
    <row r="217" spans="1:23" x14ac:dyDescent="0.2">
      <c r="A217" s="1" t="s">
        <v>24</v>
      </c>
      <c r="B217" s="1" t="s">
        <v>25</v>
      </c>
      <c r="C217" s="1" t="s">
        <v>26</v>
      </c>
      <c r="D217" s="5" t="s">
        <v>555</v>
      </c>
      <c r="E217" s="1">
        <v>30</v>
      </c>
      <c r="F217" s="1" t="s">
        <v>307</v>
      </c>
      <c r="G217" s="1" t="s">
        <v>824</v>
      </c>
      <c r="I217" s="1" t="s">
        <v>24</v>
      </c>
      <c r="J217" s="1" t="s">
        <v>24</v>
      </c>
      <c r="K217" s="1" t="s">
        <v>63</v>
      </c>
      <c r="M217" s="1" t="s">
        <v>825</v>
      </c>
      <c r="N217" s="3">
        <v>10</v>
      </c>
      <c r="O217" s="4">
        <v>45499</v>
      </c>
      <c r="P217" s="5" t="s">
        <v>826</v>
      </c>
      <c r="Q217" s="3">
        <v>10</v>
      </c>
      <c r="R217" s="6" t="s">
        <v>205</v>
      </c>
      <c r="S217" s="7" t="s">
        <v>66</v>
      </c>
      <c r="T217" s="4">
        <v>46203</v>
      </c>
      <c r="U217" s="4">
        <v>36664</v>
      </c>
      <c r="V217" s="4">
        <f t="shared" ca="1" si="29"/>
        <v>45919</v>
      </c>
      <c r="W217" s="8">
        <f t="shared" ca="1" si="30"/>
        <v>25.338809034907598</v>
      </c>
    </row>
    <row r="218" spans="1:23" x14ac:dyDescent="0.2">
      <c r="A218" s="1" t="s">
        <v>24</v>
      </c>
      <c r="B218" s="1" t="s">
        <v>25</v>
      </c>
      <c r="C218" s="1" t="s">
        <v>26</v>
      </c>
      <c r="D218" s="5" t="s">
        <v>555</v>
      </c>
      <c r="E218" s="1">
        <v>21</v>
      </c>
      <c r="F218" s="1" t="s">
        <v>827</v>
      </c>
      <c r="G218" s="1" t="s">
        <v>828</v>
      </c>
      <c r="I218" s="1" t="s">
        <v>125</v>
      </c>
      <c r="J218" s="1" t="s">
        <v>125</v>
      </c>
      <c r="K218" s="1" t="s">
        <v>80</v>
      </c>
      <c r="M218" s="1" t="s">
        <v>829</v>
      </c>
      <c r="N218" s="3">
        <v>17</v>
      </c>
      <c r="O218" s="4">
        <v>45167</v>
      </c>
      <c r="P218" s="5" t="s">
        <v>213</v>
      </c>
      <c r="Q218" s="3">
        <v>25</v>
      </c>
      <c r="R218" s="6">
        <v>13</v>
      </c>
      <c r="S218" s="7" t="s">
        <v>34</v>
      </c>
      <c r="T218" s="4">
        <v>46568</v>
      </c>
      <c r="U218" s="4">
        <v>35038</v>
      </c>
      <c r="V218" s="4">
        <f t="shared" ca="1" si="29"/>
        <v>45919</v>
      </c>
      <c r="W218" s="8">
        <f ca="1">(V218-U218)/365.25</f>
        <v>29.790554414784395</v>
      </c>
    </row>
    <row r="219" spans="1:23" x14ac:dyDescent="0.2">
      <c r="A219" s="1" t="s">
        <v>24</v>
      </c>
      <c r="B219" s="1" t="s">
        <v>25</v>
      </c>
      <c r="C219" s="1" t="s">
        <v>26</v>
      </c>
      <c r="D219" s="5" t="s">
        <v>555</v>
      </c>
      <c r="E219" s="1">
        <v>2</v>
      </c>
      <c r="F219" s="1" t="s">
        <v>830</v>
      </c>
      <c r="G219" s="1" t="s">
        <v>831</v>
      </c>
      <c r="I219" s="1" t="s">
        <v>52</v>
      </c>
      <c r="J219" s="1" t="s">
        <v>52</v>
      </c>
      <c r="K219" s="1" t="s">
        <v>80</v>
      </c>
      <c r="M219" s="1" t="s">
        <v>832</v>
      </c>
      <c r="N219" s="3">
        <v>15</v>
      </c>
      <c r="O219" s="4">
        <v>44084</v>
      </c>
      <c r="P219" s="5" t="s">
        <v>590</v>
      </c>
      <c r="Q219" s="3">
        <v>5.5</v>
      </c>
      <c r="R219" s="6">
        <v>3.2</v>
      </c>
      <c r="S219" s="7" t="s">
        <v>34</v>
      </c>
      <c r="T219" s="4">
        <v>45838</v>
      </c>
      <c r="U219" s="4">
        <v>34981</v>
      </c>
      <c r="V219" s="4">
        <f t="shared" ca="1" si="29"/>
        <v>45919</v>
      </c>
      <c r="W219" s="8">
        <f t="shared" ca="1" si="30"/>
        <v>29.946611909650922</v>
      </c>
    </row>
    <row r="220" spans="1:23" x14ac:dyDescent="0.2">
      <c r="A220" s="1" t="s">
        <v>24</v>
      </c>
      <c r="B220" s="1" t="s">
        <v>25</v>
      </c>
      <c r="C220" s="1" t="s">
        <v>26</v>
      </c>
      <c r="D220" s="5" t="s">
        <v>555</v>
      </c>
      <c r="E220" s="1">
        <v>16</v>
      </c>
      <c r="F220" s="1" t="s">
        <v>833</v>
      </c>
      <c r="G220" s="1" t="s">
        <v>834</v>
      </c>
      <c r="I220" s="1" t="s">
        <v>112</v>
      </c>
      <c r="J220" s="1" t="s">
        <v>112</v>
      </c>
      <c r="K220" s="1" t="s">
        <v>95</v>
      </c>
      <c r="M220" s="1" t="s">
        <v>835</v>
      </c>
      <c r="N220" s="3">
        <v>20</v>
      </c>
      <c r="O220" s="4">
        <v>45526</v>
      </c>
      <c r="P220" s="5" t="s">
        <v>366</v>
      </c>
      <c r="Q220" s="3">
        <v>20</v>
      </c>
      <c r="R220" s="6">
        <v>23.55</v>
      </c>
      <c r="S220" s="7" t="s">
        <v>66</v>
      </c>
      <c r="T220" s="4">
        <v>47299</v>
      </c>
      <c r="U220" s="4">
        <v>35840</v>
      </c>
      <c r="V220" s="4">
        <f t="shared" ca="1" si="29"/>
        <v>45919</v>
      </c>
      <c r="W220" s="8">
        <f t="shared" ca="1" si="30"/>
        <v>27.59479808350445</v>
      </c>
    </row>
    <row r="221" spans="1:23" x14ac:dyDescent="0.2">
      <c r="A221" s="1" t="s">
        <v>24</v>
      </c>
      <c r="B221" s="1" t="s">
        <v>25</v>
      </c>
      <c r="C221" s="1" t="s">
        <v>26</v>
      </c>
      <c r="D221" s="5" t="s">
        <v>555</v>
      </c>
      <c r="E221" s="1">
        <v>6</v>
      </c>
      <c r="F221" s="1" t="s">
        <v>784</v>
      </c>
      <c r="G221" s="1" t="s">
        <v>836</v>
      </c>
      <c r="I221" s="1" t="s">
        <v>24</v>
      </c>
      <c r="J221" s="1" t="s">
        <v>24</v>
      </c>
      <c r="K221" s="1" t="s">
        <v>89</v>
      </c>
      <c r="M221" s="1" t="s">
        <v>837</v>
      </c>
      <c r="N221" s="3">
        <v>13</v>
      </c>
      <c r="O221" s="4">
        <v>43685</v>
      </c>
      <c r="P221" s="5" t="s">
        <v>597</v>
      </c>
      <c r="Q221" s="3">
        <v>2</v>
      </c>
      <c r="R221" s="6">
        <v>6.5</v>
      </c>
      <c r="S221" s="7" t="s">
        <v>34</v>
      </c>
      <c r="T221" s="4">
        <v>46568</v>
      </c>
      <c r="U221" s="4">
        <v>34726</v>
      </c>
      <c r="V221" s="4">
        <f t="shared" ca="1" si="29"/>
        <v>45919</v>
      </c>
      <c r="W221" s="8">
        <f ca="1">(V221-U221)/365.25</f>
        <v>30.644763860369611</v>
      </c>
    </row>
    <row r="222" spans="1:23" x14ac:dyDescent="0.2">
      <c r="A222" s="1" t="s">
        <v>24</v>
      </c>
      <c r="B222" s="1" t="s">
        <v>25</v>
      </c>
      <c r="C222" s="1" t="s">
        <v>26</v>
      </c>
      <c r="D222" s="5" t="s">
        <v>555</v>
      </c>
      <c r="E222" s="1">
        <v>20</v>
      </c>
      <c r="F222" s="1" t="s">
        <v>838</v>
      </c>
      <c r="G222" s="1" t="s">
        <v>839</v>
      </c>
      <c r="I222" s="1" t="s">
        <v>193</v>
      </c>
      <c r="J222" s="1" t="s">
        <v>193</v>
      </c>
      <c r="K222" s="1" t="s">
        <v>89</v>
      </c>
      <c r="M222" s="1" t="s">
        <v>840</v>
      </c>
      <c r="N222" s="3">
        <v>10</v>
      </c>
      <c r="O222" s="4">
        <v>44957</v>
      </c>
      <c r="P222" s="5" t="s">
        <v>841</v>
      </c>
      <c r="Q222" s="3">
        <v>13</v>
      </c>
      <c r="R222" s="6">
        <v>9.6999999999999993</v>
      </c>
      <c r="S222" s="7" t="s">
        <v>34</v>
      </c>
      <c r="T222" s="4">
        <v>46568</v>
      </c>
      <c r="U222" s="4">
        <v>35290</v>
      </c>
      <c r="V222" s="4">
        <f t="shared" ca="1" si="29"/>
        <v>45919</v>
      </c>
      <c r="W222" s="8">
        <f t="shared" ref="W222" ca="1" si="31">(V222-U222)/365.25</f>
        <v>29.100616016427104</v>
      </c>
    </row>
    <row r="223" spans="1:23" x14ac:dyDescent="0.2">
      <c r="A223" s="1" t="s">
        <v>24</v>
      </c>
      <c r="B223" s="1" t="s">
        <v>25</v>
      </c>
      <c r="C223" s="1" t="s">
        <v>26</v>
      </c>
      <c r="D223" s="5" t="s">
        <v>555</v>
      </c>
      <c r="E223" s="1">
        <v>10</v>
      </c>
      <c r="F223" s="1" t="s">
        <v>842</v>
      </c>
      <c r="G223" s="1" t="s">
        <v>843</v>
      </c>
      <c r="I223" s="1" t="s">
        <v>24</v>
      </c>
      <c r="J223" s="1" t="s">
        <v>75</v>
      </c>
      <c r="K223" s="1" t="s">
        <v>89</v>
      </c>
      <c r="M223" s="1" t="s">
        <v>844</v>
      </c>
      <c r="N223" s="3">
        <v>2</v>
      </c>
      <c r="O223" s="4">
        <v>42186</v>
      </c>
      <c r="P223" s="5" t="s">
        <v>696</v>
      </c>
      <c r="Q223" s="3">
        <v>3</v>
      </c>
      <c r="R223" s="6">
        <v>4.2</v>
      </c>
      <c r="S223" s="7" t="s">
        <v>98</v>
      </c>
      <c r="T223" s="4">
        <v>45838</v>
      </c>
      <c r="U223" s="4">
        <v>33258</v>
      </c>
      <c r="V223" s="4">
        <f t="shared" ca="1" si="29"/>
        <v>45919</v>
      </c>
      <c r="W223" s="8">
        <f t="shared" ca="1" si="30"/>
        <v>34.663928815879537</v>
      </c>
    </row>
    <row r="224" spans="1:23" x14ac:dyDescent="0.2">
      <c r="A224" s="1" t="s">
        <v>24</v>
      </c>
      <c r="B224" s="1" t="s">
        <v>25</v>
      </c>
      <c r="C224" s="1" t="s">
        <v>26</v>
      </c>
      <c r="D224" s="5" t="s">
        <v>555</v>
      </c>
      <c r="E224" s="1">
        <v>32</v>
      </c>
      <c r="F224" s="1" t="s">
        <v>845</v>
      </c>
      <c r="G224" s="1" t="s">
        <v>846</v>
      </c>
      <c r="I224" s="1" t="s">
        <v>24</v>
      </c>
      <c r="J224" s="1" t="s">
        <v>24</v>
      </c>
      <c r="K224" s="1" t="s">
        <v>113</v>
      </c>
      <c r="M224" s="1" t="s">
        <v>847</v>
      </c>
      <c r="N224" s="3">
        <v>28</v>
      </c>
      <c r="O224" s="4">
        <v>45506</v>
      </c>
      <c r="P224" s="5" t="s">
        <v>27</v>
      </c>
      <c r="Q224" s="3">
        <v>22</v>
      </c>
      <c r="R224" s="6">
        <v>31.8</v>
      </c>
      <c r="S224" s="7" t="s">
        <v>66</v>
      </c>
      <c r="T224" s="4">
        <v>47299</v>
      </c>
      <c r="U224" s="4">
        <v>36735</v>
      </c>
      <c r="V224" s="4">
        <f t="shared" ca="1" si="29"/>
        <v>45919</v>
      </c>
      <c r="W224" s="8">
        <f ca="1">(V224-U224)/365.25</f>
        <v>25.144421629021217</v>
      </c>
    </row>
    <row r="225" spans="1:23" x14ac:dyDescent="0.2">
      <c r="A225" s="1" t="s">
        <v>24</v>
      </c>
      <c r="B225" s="1" t="s">
        <v>25</v>
      </c>
      <c r="C225" s="1" t="s">
        <v>26</v>
      </c>
      <c r="D225" s="5" t="s">
        <v>555</v>
      </c>
      <c r="E225" s="1">
        <v>18</v>
      </c>
      <c r="F225" s="1" t="s">
        <v>848</v>
      </c>
      <c r="G225" s="1" t="s">
        <v>849</v>
      </c>
      <c r="I225" s="1" t="s">
        <v>125</v>
      </c>
      <c r="J225" s="1" t="s">
        <v>37</v>
      </c>
      <c r="K225" s="1" t="s">
        <v>113</v>
      </c>
      <c r="M225" s="1" t="s">
        <v>850</v>
      </c>
      <c r="N225" s="3">
        <v>20</v>
      </c>
      <c r="O225" s="4">
        <v>44753</v>
      </c>
      <c r="P225" s="5" t="s">
        <v>627</v>
      </c>
      <c r="Q225" s="3">
        <v>7.5</v>
      </c>
      <c r="R225" s="6">
        <v>9.5</v>
      </c>
      <c r="S225" s="7" t="s">
        <v>34</v>
      </c>
      <c r="T225" s="4">
        <v>46203</v>
      </c>
      <c r="U225" s="4">
        <v>35065</v>
      </c>
      <c r="V225" s="4">
        <f t="shared" ca="1" si="29"/>
        <v>45919</v>
      </c>
      <c r="W225" s="8">
        <f ca="1">(V225-U225)/365.25</f>
        <v>29.716632443531829</v>
      </c>
    </row>
    <row r="226" spans="1:23" x14ac:dyDescent="0.2">
      <c r="A226" s="1" t="s">
        <v>24</v>
      </c>
      <c r="B226" s="1" t="s">
        <v>25</v>
      </c>
      <c r="C226" s="1" t="s">
        <v>26</v>
      </c>
      <c r="D226" s="5" t="s">
        <v>555</v>
      </c>
      <c r="E226" s="1">
        <v>17</v>
      </c>
      <c r="F226" s="1" t="s">
        <v>295</v>
      </c>
      <c r="G226" s="1" t="s">
        <v>851</v>
      </c>
      <c r="I226" s="1" t="s">
        <v>815</v>
      </c>
      <c r="J226" s="1" t="s">
        <v>815</v>
      </c>
      <c r="K226" s="1" t="s">
        <v>120</v>
      </c>
      <c r="M226" s="1" t="s">
        <v>852</v>
      </c>
      <c r="N226" s="3">
        <v>25</v>
      </c>
      <c r="O226" s="4">
        <v>45170</v>
      </c>
      <c r="P226" s="5" t="s">
        <v>186</v>
      </c>
      <c r="Q226" s="3">
        <v>28</v>
      </c>
      <c r="R226" s="6">
        <v>25.7</v>
      </c>
      <c r="S226" s="7" t="s">
        <v>34</v>
      </c>
      <c r="T226" s="4">
        <v>46934</v>
      </c>
      <c r="U226" s="4">
        <v>35188</v>
      </c>
      <c r="V226" s="4">
        <f t="shared" ca="1" si="29"/>
        <v>45919</v>
      </c>
      <c r="W226" s="8">
        <f ca="1">(V226-U226)/365.25</f>
        <v>29.37987679671458</v>
      </c>
    </row>
    <row r="227" spans="1:23" x14ac:dyDescent="0.2">
      <c r="A227" s="1" t="s">
        <v>24</v>
      </c>
      <c r="B227" s="1" t="s">
        <v>25</v>
      </c>
      <c r="C227" s="1" t="s">
        <v>26</v>
      </c>
      <c r="D227" s="5" t="s">
        <v>555</v>
      </c>
      <c r="E227" s="1">
        <v>8</v>
      </c>
      <c r="F227" s="1" t="s">
        <v>853</v>
      </c>
      <c r="G227" s="1" t="s">
        <v>854</v>
      </c>
      <c r="I227" s="1" t="s">
        <v>328</v>
      </c>
      <c r="J227" s="1" t="s">
        <v>328</v>
      </c>
      <c r="K227" s="1" t="s">
        <v>133</v>
      </c>
      <c r="M227" s="1" t="s">
        <v>855</v>
      </c>
      <c r="N227" s="3">
        <v>17</v>
      </c>
      <c r="O227" s="4">
        <v>44401</v>
      </c>
      <c r="P227" s="5" t="s">
        <v>357</v>
      </c>
      <c r="Q227" s="3">
        <v>17</v>
      </c>
      <c r="R227" s="6">
        <v>14</v>
      </c>
      <c r="S227" s="7" t="s">
        <v>34</v>
      </c>
      <c r="T227" s="4">
        <v>46203</v>
      </c>
      <c r="U227" s="4">
        <v>35511</v>
      </c>
      <c r="V227" s="4">
        <f t="shared" ca="1" si="29"/>
        <v>45919</v>
      </c>
      <c r="W227" s="8">
        <f ca="1">(V227-U227)/365.25</f>
        <v>28.495550992470911</v>
      </c>
    </row>
    <row r="228" spans="1:23" x14ac:dyDescent="0.2">
      <c r="A228" s="1" t="s">
        <v>24</v>
      </c>
      <c r="B228" s="1" t="s">
        <v>25</v>
      </c>
      <c r="C228" s="1" t="s">
        <v>26</v>
      </c>
      <c r="D228" s="5" t="s">
        <v>555</v>
      </c>
      <c r="E228" s="1">
        <v>19</v>
      </c>
      <c r="F228" s="1" t="s">
        <v>856</v>
      </c>
      <c r="G228" s="1" t="s">
        <v>857</v>
      </c>
      <c r="I228" s="1" t="s">
        <v>24</v>
      </c>
      <c r="J228" s="1" t="s">
        <v>24</v>
      </c>
      <c r="K228" s="1" t="s">
        <v>133</v>
      </c>
      <c r="M228" s="1" t="s">
        <v>858</v>
      </c>
      <c r="N228" s="3">
        <v>15</v>
      </c>
      <c r="O228" s="4">
        <v>45534</v>
      </c>
      <c r="P228" s="1" t="s">
        <v>27</v>
      </c>
      <c r="Q228" s="3">
        <v>15</v>
      </c>
      <c r="R228" s="6" t="s">
        <v>40</v>
      </c>
      <c r="S228" s="7" t="s">
        <v>40</v>
      </c>
      <c r="T228" s="4">
        <v>45838</v>
      </c>
      <c r="U228" s="4">
        <v>36504</v>
      </c>
      <c r="V228" s="4">
        <f t="shared" ca="1" si="29"/>
        <v>45919</v>
      </c>
      <c r="W228" s="8">
        <f t="shared" ca="1" si="30"/>
        <v>25.776865160848732</v>
      </c>
    </row>
    <row r="229" spans="1:23" x14ac:dyDescent="0.2">
      <c r="A229" s="1" t="s">
        <v>24</v>
      </c>
      <c r="B229" s="1" t="s">
        <v>25</v>
      </c>
      <c r="C229" s="1" t="s">
        <v>26</v>
      </c>
      <c r="D229" s="5" t="s">
        <v>555</v>
      </c>
      <c r="E229" s="1">
        <v>11</v>
      </c>
      <c r="F229" s="1" t="s">
        <v>859</v>
      </c>
      <c r="G229" s="1" t="s">
        <v>860</v>
      </c>
      <c r="I229" s="1" t="s">
        <v>30</v>
      </c>
      <c r="J229" s="1" t="s">
        <v>30</v>
      </c>
      <c r="K229" s="1" t="s">
        <v>133</v>
      </c>
      <c r="M229" s="1" t="s">
        <v>861</v>
      </c>
      <c r="N229" s="3">
        <v>9</v>
      </c>
      <c r="O229" s="4">
        <v>45150</v>
      </c>
      <c r="P229" s="5" t="s">
        <v>175</v>
      </c>
      <c r="Q229" s="3">
        <v>10</v>
      </c>
      <c r="R229" s="6" t="s">
        <v>205</v>
      </c>
      <c r="S229" s="7" t="s">
        <v>98</v>
      </c>
      <c r="T229" s="4">
        <v>45838</v>
      </c>
      <c r="U229" s="4">
        <v>35089</v>
      </c>
      <c r="V229" s="4">
        <f t="shared" ca="1" si="29"/>
        <v>45919</v>
      </c>
      <c r="W229" s="8">
        <f t="shared" ca="1" si="30"/>
        <v>29.650924024640656</v>
      </c>
    </row>
    <row r="230" spans="1:23" x14ac:dyDescent="0.2">
      <c r="A230" s="1" t="s">
        <v>24</v>
      </c>
      <c r="B230" s="1" t="s">
        <v>25</v>
      </c>
      <c r="C230" s="1" t="s">
        <v>26</v>
      </c>
      <c r="D230" s="5" t="s">
        <v>555</v>
      </c>
      <c r="E230" s="1">
        <v>9</v>
      </c>
      <c r="F230" s="1" t="s">
        <v>862</v>
      </c>
      <c r="G230" s="1" t="s">
        <v>863</v>
      </c>
      <c r="I230" s="1" t="s">
        <v>37</v>
      </c>
      <c r="J230" s="1" t="s">
        <v>37</v>
      </c>
      <c r="K230" s="1" t="s">
        <v>139</v>
      </c>
      <c r="M230" s="1" t="s">
        <v>864</v>
      </c>
      <c r="N230" s="3">
        <v>20</v>
      </c>
      <c r="O230" s="4">
        <v>44428</v>
      </c>
      <c r="P230" s="5" t="s">
        <v>716</v>
      </c>
      <c r="Q230" s="3">
        <v>3</v>
      </c>
      <c r="R230" s="6">
        <v>8</v>
      </c>
      <c r="S230" s="7" t="s">
        <v>34</v>
      </c>
      <c r="T230" s="4">
        <v>46203</v>
      </c>
      <c r="U230" s="4">
        <v>37015</v>
      </c>
      <c r="V230" s="4">
        <f t="shared" ca="1" si="29"/>
        <v>45919</v>
      </c>
      <c r="W230" s="8">
        <f t="shared" ca="1" si="30"/>
        <v>24.377823408624231</v>
      </c>
    </row>
    <row r="231" spans="1:23" x14ac:dyDescent="0.2">
      <c r="A231" s="1" t="s">
        <v>24</v>
      </c>
      <c r="B231" s="1" t="s">
        <v>25</v>
      </c>
      <c r="C231" s="1" t="s">
        <v>26</v>
      </c>
      <c r="D231" s="5" t="s">
        <v>555</v>
      </c>
      <c r="E231" s="1">
        <v>7</v>
      </c>
      <c r="F231" s="1" t="s">
        <v>865</v>
      </c>
      <c r="G231" s="1" t="s">
        <v>866</v>
      </c>
      <c r="I231" s="1" t="s">
        <v>283</v>
      </c>
      <c r="J231" s="1" t="s">
        <v>283</v>
      </c>
      <c r="K231" s="1" t="s">
        <v>139</v>
      </c>
      <c r="M231" s="1" t="s">
        <v>867</v>
      </c>
      <c r="N231" s="3">
        <v>5</v>
      </c>
      <c r="O231" s="4">
        <v>45132</v>
      </c>
      <c r="P231" s="5" t="s">
        <v>175</v>
      </c>
      <c r="Q231" s="3">
        <v>6</v>
      </c>
      <c r="R231" s="6">
        <v>6.4</v>
      </c>
      <c r="S231" s="7" t="s">
        <v>98</v>
      </c>
      <c r="T231" s="4">
        <v>45838</v>
      </c>
      <c r="U231" s="4">
        <v>33363</v>
      </c>
      <c r="V231" s="4">
        <f t="shared" ca="1" si="29"/>
        <v>45919</v>
      </c>
      <c r="W231" s="8">
        <f t="shared" ca="1" si="30"/>
        <v>34.376454483230667</v>
      </c>
    </row>
    <row r="232" spans="1:23" x14ac:dyDescent="0.2">
      <c r="A232" s="1" t="s">
        <v>24</v>
      </c>
      <c r="B232" s="1" t="s">
        <v>25</v>
      </c>
      <c r="C232" s="1" t="s">
        <v>26</v>
      </c>
      <c r="D232" s="5" t="s">
        <v>555</v>
      </c>
      <c r="E232" s="1">
        <v>12</v>
      </c>
      <c r="F232" s="1" t="s">
        <v>166</v>
      </c>
      <c r="G232" s="1" t="s">
        <v>868</v>
      </c>
      <c r="I232" s="1" t="s">
        <v>37</v>
      </c>
      <c r="J232" s="1" t="s">
        <v>37</v>
      </c>
      <c r="K232" s="1" t="s">
        <v>139</v>
      </c>
      <c r="M232" s="1" t="s">
        <v>869</v>
      </c>
      <c r="N232" s="3">
        <v>4</v>
      </c>
      <c r="O232" s="4">
        <v>44805</v>
      </c>
      <c r="P232" s="5" t="s">
        <v>601</v>
      </c>
      <c r="Q232" s="3">
        <v>8</v>
      </c>
      <c r="R232" s="6">
        <v>5</v>
      </c>
      <c r="S232" s="7" t="s">
        <v>196</v>
      </c>
      <c r="T232" s="4">
        <v>45838</v>
      </c>
      <c r="U232" s="4">
        <v>34783</v>
      </c>
      <c r="V232" s="4">
        <f t="shared" ca="1" si="29"/>
        <v>45919</v>
      </c>
      <c r="W232" s="8">
        <f ca="1">(V232-U232)/365.25</f>
        <v>30.488706365503081</v>
      </c>
    </row>
    <row r="233" spans="1:23" x14ac:dyDescent="0.2">
      <c r="A233" s="1" t="s">
        <v>24</v>
      </c>
      <c r="B233" s="1" t="s">
        <v>25</v>
      </c>
      <c r="C233" s="1" t="s">
        <v>26</v>
      </c>
      <c r="D233" s="5" t="s">
        <v>870</v>
      </c>
      <c r="E233" s="1">
        <v>1</v>
      </c>
      <c r="F233" s="1" t="s">
        <v>871</v>
      </c>
      <c r="G233" s="1" t="s">
        <v>872</v>
      </c>
      <c r="I233" s="1" t="s">
        <v>873</v>
      </c>
      <c r="J233" s="1" t="s">
        <v>874</v>
      </c>
      <c r="K233" s="1" t="s">
        <v>31</v>
      </c>
      <c r="M233" s="1" t="s">
        <v>875</v>
      </c>
      <c r="N233" s="3">
        <v>7</v>
      </c>
      <c r="O233" s="4">
        <v>45490</v>
      </c>
      <c r="P233" s="5" t="s">
        <v>366</v>
      </c>
      <c r="Q233" s="3">
        <v>7</v>
      </c>
      <c r="R233" s="6">
        <v>9.5500000000000007</v>
      </c>
      <c r="S233" s="7" t="s">
        <v>66</v>
      </c>
      <c r="T233" s="4">
        <v>46934</v>
      </c>
      <c r="U233" s="4">
        <v>36106</v>
      </c>
      <c r="V233" s="4">
        <f ca="1">TODAY()</f>
        <v>45919</v>
      </c>
      <c r="W233" s="8">
        <f ca="1">(V233-U233)/365.25</f>
        <v>26.866529774127311</v>
      </c>
    </row>
    <row r="234" spans="1:23" x14ac:dyDescent="0.2">
      <c r="A234" s="1" t="s">
        <v>24</v>
      </c>
      <c r="B234" s="1" t="s">
        <v>25</v>
      </c>
      <c r="C234" s="1" t="s">
        <v>26</v>
      </c>
      <c r="D234" s="5" t="s">
        <v>870</v>
      </c>
      <c r="E234" s="1">
        <v>28</v>
      </c>
      <c r="F234" s="1" t="s">
        <v>392</v>
      </c>
      <c r="G234" s="1" t="s">
        <v>876</v>
      </c>
      <c r="I234" s="1" t="s">
        <v>24</v>
      </c>
      <c r="J234" s="1" t="s">
        <v>24</v>
      </c>
      <c r="K234" s="1" t="s">
        <v>31</v>
      </c>
      <c r="M234" s="1" t="s">
        <v>877</v>
      </c>
      <c r="N234" s="3">
        <v>0.9</v>
      </c>
      <c r="O234" s="4">
        <v>44438</v>
      </c>
      <c r="P234" s="5" t="s">
        <v>82</v>
      </c>
      <c r="Q234" s="3">
        <v>0.8</v>
      </c>
      <c r="R234" s="6" t="s">
        <v>290</v>
      </c>
      <c r="S234" s="7" t="s">
        <v>98</v>
      </c>
      <c r="T234" s="4">
        <v>46203</v>
      </c>
      <c r="U234" s="4">
        <v>35012</v>
      </c>
      <c r="V234" s="4">
        <f t="shared" ref="V234:V259" ca="1" si="32">TODAY()</f>
        <v>45919</v>
      </c>
      <c r="W234" s="8">
        <f t="shared" ref="W234:W257" ca="1" si="33">(V234-U234)/365.25</f>
        <v>29.861738535249827</v>
      </c>
    </row>
    <row r="235" spans="1:23" x14ac:dyDescent="0.2">
      <c r="A235" s="1" t="s">
        <v>24</v>
      </c>
      <c r="B235" s="1" t="s">
        <v>25</v>
      </c>
      <c r="C235" s="1" t="s">
        <v>26</v>
      </c>
      <c r="D235" s="5" t="s">
        <v>870</v>
      </c>
      <c r="E235" s="1">
        <v>13</v>
      </c>
      <c r="F235" s="1" t="s">
        <v>878</v>
      </c>
      <c r="G235" s="1" t="s">
        <v>879</v>
      </c>
      <c r="I235" s="1" t="s">
        <v>24</v>
      </c>
      <c r="J235" s="1" t="s">
        <v>75</v>
      </c>
      <c r="K235" s="1" t="s">
        <v>31</v>
      </c>
      <c r="M235" s="1" t="s">
        <v>880</v>
      </c>
      <c r="N235" s="3">
        <v>0.3</v>
      </c>
      <c r="O235" s="4">
        <v>45115</v>
      </c>
      <c r="P235" s="9" t="s">
        <v>881</v>
      </c>
      <c r="Q235" s="3">
        <v>0</v>
      </c>
      <c r="R235" s="6" t="s">
        <v>290</v>
      </c>
      <c r="S235" s="7" t="s">
        <v>98</v>
      </c>
      <c r="T235" s="4">
        <v>46934</v>
      </c>
      <c r="U235" s="4">
        <v>37514</v>
      </c>
      <c r="V235" s="4">
        <f t="shared" ca="1" si="32"/>
        <v>45919</v>
      </c>
      <c r="W235" s="8">
        <f t="shared" ca="1" si="33"/>
        <v>23.01163586584531</v>
      </c>
    </row>
    <row r="236" spans="1:23" x14ac:dyDescent="0.2">
      <c r="A236" s="1" t="s">
        <v>24</v>
      </c>
      <c r="B236" s="1" t="s">
        <v>25</v>
      </c>
      <c r="C236" s="1" t="s">
        <v>26</v>
      </c>
      <c r="D236" s="5" t="s">
        <v>870</v>
      </c>
      <c r="E236" s="1">
        <v>24</v>
      </c>
      <c r="F236" s="1" t="s">
        <v>218</v>
      </c>
      <c r="G236" s="1" t="s">
        <v>882</v>
      </c>
      <c r="I236" s="1" t="s">
        <v>24</v>
      </c>
      <c r="J236" s="1" t="s">
        <v>24</v>
      </c>
      <c r="K236" s="1" t="s">
        <v>44</v>
      </c>
      <c r="M236" s="1" t="s">
        <v>883</v>
      </c>
      <c r="N236" s="3">
        <v>20</v>
      </c>
      <c r="O236" s="4">
        <v>45485</v>
      </c>
      <c r="P236" s="5" t="s">
        <v>232</v>
      </c>
      <c r="Q236" s="3">
        <v>15</v>
      </c>
      <c r="R236" s="6">
        <v>21.5</v>
      </c>
      <c r="S236" s="7" t="s">
        <v>66</v>
      </c>
      <c r="T236" s="4">
        <v>47299</v>
      </c>
      <c r="U236" s="4">
        <v>36781</v>
      </c>
      <c r="V236" s="4">
        <f t="shared" ca="1" si="32"/>
        <v>45919</v>
      </c>
      <c r="W236" s="8">
        <f ca="1">(V236-U236)/365.25</f>
        <v>25.018480492813143</v>
      </c>
    </row>
    <row r="237" spans="1:23" x14ac:dyDescent="0.2">
      <c r="A237" s="1" t="s">
        <v>24</v>
      </c>
      <c r="B237" s="1" t="s">
        <v>25</v>
      </c>
      <c r="C237" s="1" t="s">
        <v>26</v>
      </c>
      <c r="D237" s="5" t="s">
        <v>870</v>
      </c>
      <c r="E237" s="1">
        <v>26</v>
      </c>
      <c r="F237" s="1" t="s">
        <v>884</v>
      </c>
      <c r="G237" s="1" t="s">
        <v>885</v>
      </c>
      <c r="I237" s="1" t="s">
        <v>250</v>
      </c>
      <c r="J237" s="1" t="s">
        <v>250</v>
      </c>
      <c r="K237" s="1" t="s">
        <v>44</v>
      </c>
      <c r="M237" s="1" t="s">
        <v>886</v>
      </c>
      <c r="N237" s="3">
        <v>10</v>
      </c>
      <c r="O237" s="4">
        <v>45529</v>
      </c>
      <c r="P237" s="1" t="s">
        <v>366</v>
      </c>
      <c r="Q237" s="3">
        <v>7</v>
      </c>
      <c r="R237" s="6">
        <v>14.2</v>
      </c>
      <c r="S237" s="7" t="s">
        <v>66</v>
      </c>
      <c r="T237" s="4">
        <v>47299</v>
      </c>
      <c r="U237" s="4">
        <v>36223</v>
      </c>
      <c r="V237" s="4">
        <f t="shared" ca="1" si="32"/>
        <v>45919</v>
      </c>
      <c r="W237" s="8">
        <f t="shared" ca="1" si="33"/>
        <v>26.546201232032853</v>
      </c>
    </row>
    <row r="238" spans="1:23" x14ac:dyDescent="0.2">
      <c r="A238" s="1" t="s">
        <v>24</v>
      </c>
      <c r="B238" s="1" t="s">
        <v>25</v>
      </c>
      <c r="C238" s="1" t="s">
        <v>26</v>
      </c>
      <c r="D238" s="5" t="s">
        <v>870</v>
      </c>
      <c r="E238" s="1">
        <v>40</v>
      </c>
      <c r="F238" s="1" t="s">
        <v>563</v>
      </c>
      <c r="G238" s="1" t="s">
        <v>887</v>
      </c>
      <c r="I238" s="1" t="s">
        <v>443</v>
      </c>
      <c r="J238" s="1" t="s">
        <v>443</v>
      </c>
      <c r="K238" s="1" t="s">
        <v>44</v>
      </c>
      <c r="M238" s="1" t="s">
        <v>888</v>
      </c>
      <c r="N238" s="3">
        <v>3</v>
      </c>
      <c r="O238" s="4">
        <v>45177</v>
      </c>
      <c r="P238" s="1" t="s">
        <v>889</v>
      </c>
      <c r="Q238" s="3">
        <v>4.5</v>
      </c>
      <c r="R238" s="6" t="s">
        <v>205</v>
      </c>
      <c r="S238" s="7" t="s">
        <v>98</v>
      </c>
      <c r="T238" s="4">
        <v>45838</v>
      </c>
      <c r="U238" s="4">
        <v>35748</v>
      </c>
      <c r="V238" s="4">
        <f t="shared" ca="1" si="32"/>
        <v>45919</v>
      </c>
      <c r="W238" s="8">
        <f ca="1">(V238-U238)/365.25</f>
        <v>27.846680355920601</v>
      </c>
    </row>
    <row r="239" spans="1:23" x14ac:dyDescent="0.2">
      <c r="A239" s="1" t="s">
        <v>24</v>
      </c>
      <c r="B239" s="1" t="s">
        <v>25</v>
      </c>
      <c r="C239" s="1" t="s">
        <v>26</v>
      </c>
      <c r="D239" s="5" t="s">
        <v>870</v>
      </c>
      <c r="E239" s="1">
        <v>6</v>
      </c>
      <c r="F239" s="1" t="s">
        <v>890</v>
      </c>
      <c r="G239" s="1" t="s">
        <v>891</v>
      </c>
      <c r="I239" s="1" t="s">
        <v>24</v>
      </c>
      <c r="J239" s="1" t="s">
        <v>24</v>
      </c>
      <c r="K239" s="1" t="s">
        <v>44</v>
      </c>
      <c r="M239" s="1" t="s">
        <v>892</v>
      </c>
      <c r="N239" s="3">
        <v>2</v>
      </c>
      <c r="O239" s="4">
        <v>42917</v>
      </c>
      <c r="P239" s="1" t="s">
        <v>893</v>
      </c>
      <c r="Q239" s="3">
        <v>0</v>
      </c>
      <c r="R239" s="6">
        <v>0</v>
      </c>
      <c r="S239" s="7" t="s">
        <v>34</v>
      </c>
      <c r="T239" s="4">
        <v>45838</v>
      </c>
      <c r="U239" s="4">
        <v>36089</v>
      </c>
      <c r="V239" s="4">
        <f t="shared" ca="1" si="32"/>
        <v>45919</v>
      </c>
      <c r="W239" s="8">
        <f t="shared" ca="1" si="33"/>
        <v>26.913073237508556</v>
      </c>
    </row>
    <row r="240" spans="1:23" x14ac:dyDescent="0.2">
      <c r="A240" s="1" t="s">
        <v>24</v>
      </c>
      <c r="B240" s="1" t="s">
        <v>25</v>
      </c>
      <c r="C240" s="1" t="s">
        <v>26</v>
      </c>
      <c r="D240" s="5" t="s">
        <v>870</v>
      </c>
      <c r="E240" s="1">
        <v>15</v>
      </c>
      <c r="F240" s="1" t="s">
        <v>894</v>
      </c>
      <c r="G240" s="1" t="s">
        <v>895</v>
      </c>
      <c r="I240" s="1" t="s">
        <v>75</v>
      </c>
      <c r="J240" s="1" t="s">
        <v>150</v>
      </c>
      <c r="K240" s="1" t="s">
        <v>44</v>
      </c>
      <c r="M240" s="1" t="s">
        <v>896</v>
      </c>
      <c r="N240" s="3">
        <v>1.5</v>
      </c>
      <c r="O240" s="4">
        <v>44423</v>
      </c>
      <c r="P240" s="5" t="s">
        <v>897</v>
      </c>
      <c r="Q240" s="3">
        <v>0.25</v>
      </c>
      <c r="R240" s="6">
        <v>0.88</v>
      </c>
      <c r="S240" s="7" t="s">
        <v>98</v>
      </c>
      <c r="T240" s="4">
        <v>45838</v>
      </c>
      <c r="U240" s="4">
        <v>34993</v>
      </c>
      <c r="V240" s="4">
        <f t="shared" ca="1" si="32"/>
        <v>45919</v>
      </c>
      <c r="W240" s="8">
        <f t="shared" ca="1" si="33"/>
        <v>29.913757700205338</v>
      </c>
    </row>
    <row r="241" spans="1:23" x14ac:dyDescent="0.2">
      <c r="A241" s="1" t="s">
        <v>24</v>
      </c>
      <c r="B241" s="1" t="s">
        <v>25</v>
      </c>
      <c r="C241" s="1" t="s">
        <v>26</v>
      </c>
      <c r="D241" s="5" t="s">
        <v>870</v>
      </c>
      <c r="E241" s="1">
        <v>3</v>
      </c>
      <c r="F241" s="1" t="s">
        <v>898</v>
      </c>
      <c r="G241" s="1" t="s">
        <v>899</v>
      </c>
      <c r="I241" s="1" t="s">
        <v>24</v>
      </c>
      <c r="J241" s="1" t="s">
        <v>24</v>
      </c>
      <c r="K241" s="1" t="s">
        <v>63</v>
      </c>
      <c r="M241" s="1" t="s">
        <v>900</v>
      </c>
      <c r="N241" s="3">
        <v>15</v>
      </c>
      <c r="O241" s="4">
        <v>44767</v>
      </c>
      <c r="P241" s="5" t="s">
        <v>294</v>
      </c>
      <c r="Q241" s="3">
        <v>0.8</v>
      </c>
      <c r="R241" s="6">
        <v>1.2</v>
      </c>
      <c r="S241" s="7" t="s">
        <v>34</v>
      </c>
      <c r="T241" s="4">
        <v>46934</v>
      </c>
      <c r="U241" s="4">
        <v>36525</v>
      </c>
      <c r="V241" s="4">
        <f t="shared" ca="1" si="32"/>
        <v>45919</v>
      </c>
      <c r="W241" s="8">
        <f ca="1">(V241-U241)/365.25</f>
        <v>25.71937029431896</v>
      </c>
    </row>
    <row r="242" spans="1:23" x14ac:dyDescent="0.2">
      <c r="A242" s="1" t="s">
        <v>24</v>
      </c>
      <c r="B242" s="1" t="s">
        <v>25</v>
      </c>
      <c r="C242" s="1" t="s">
        <v>26</v>
      </c>
      <c r="D242" s="5" t="s">
        <v>870</v>
      </c>
      <c r="E242" s="1">
        <v>22</v>
      </c>
      <c r="F242" s="1" t="s">
        <v>901</v>
      </c>
      <c r="G242" s="1" t="s">
        <v>902</v>
      </c>
      <c r="I242" s="1" t="s">
        <v>24</v>
      </c>
      <c r="J242" s="1" t="s">
        <v>24</v>
      </c>
      <c r="K242" s="1" t="s">
        <v>63</v>
      </c>
      <c r="M242" s="1" t="s">
        <v>903</v>
      </c>
      <c r="N242" s="3">
        <v>1.5</v>
      </c>
      <c r="O242" s="4">
        <v>45505</v>
      </c>
      <c r="P242" s="5" t="s">
        <v>904</v>
      </c>
      <c r="Q242" s="3">
        <v>1.5</v>
      </c>
      <c r="R242" s="6">
        <v>0.59</v>
      </c>
      <c r="S242" s="7" t="s">
        <v>66</v>
      </c>
      <c r="T242" s="4">
        <v>46203</v>
      </c>
      <c r="U242" s="4">
        <v>34032</v>
      </c>
      <c r="V242" s="4">
        <f t="shared" ca="1" si="32"/>
        <v>45919</v>
      </c>
      <c r="W242" s="8">
        <f t="shared" ca="1" si="33"/>
        <v>32.544832306639286</v>
      </c>
    </row>
    <row r="243" spans="1:23" x14ac:dyDescent="0.2">
      <c r="A243" s="1" t="s">
        <v>24</v>
      </c>
      <c r="B243" s="1" t="s">
        <v>25</v>
      </c>
      <c r="C243" s="1" t="s">
        <v>26</v>
      </c>
      <c r="D243" s="5" t="s">
        <v>870</v>
      </c>
      <c r="E243" s="1">
        <v>18</v>
      </c>
      <c r="F243" s="1" t="s">
        <v>78</v>
      </c>
      <c r="G243" s="1" t="s">
        <v>905</v>
      </c>
      <c r="I243" s="1" t="s">
        <v>24</v>
      </c>
      <c r="J243" s="1" t="s">
        <v>24</v>
      </c>
      <c r="K243" s="1" t="s">
        <v>80</v>
      </c>
      <c r="M243" s="1" t="s">
        <v>906</v>
      </c>
      <c r="N243" s="3">
        <v>8</v>
      </c>
      <c r="O243" s="4">
        <v>45108</v>
      </c>
      <c r="P243" s="5" t="s">
        <v>91</v>
      </c>
      <c r="Q243" s="3">
        <v>8</v>
      </c>
      <c r="R243" s="6" t="s">
        <v>205</v>
      </c>
      <c r="S243" s="7" t="s">
        <v>66</v>
      </c>
      <c r="T243" s="4">
        <v>46934</v>
      </c>
      <c r="U243" s="4">
        <v>36549</v>
      </c>
      <c r="V243" s="4">
        <f t="shared" ca="1" si="32"/>
        <v>45919</v>
      </c>
      <c r="W243" s="8">
        <f t="shared" ca="1" si="33"/>
        <v>25.65366187542779</v>
      </c>
    </row>
    <row r="244" spans="1:23" x14ac:dyDescent="0.2">
      <c r="A244" s="1" t="s">
        <v>24</v>
      </c>
      <c r="B244" s="1" t="s">
        <v>25</v>
      </c>
      <c r="C244" s="1" t="s">
        <v>26</v>
      </c>
      <c r="D244" s="5" t="s">
        <v>870</v>
      </c>
      <c r="E244" s="1">
        <v>2</v>
      </c>
      <c r="F244" s="1" t="s">
        <v>853</v>
      </c>
      <c r="G244" s="1" t="s">
        <v>907</v>
      </c>
      <c r="I244" s="1" t="s">
        <v>24</v>
      </c>
      <c r="J244" s="1" t="s">
        <v>24</v>
      </c>
      <c r="K244" s="1" t="s">
        <v>80</v>
      </c>
      <c r="M244" s="1" t="s">
        <v>908</v>
      </c>
      <c r="N244" s="3">
        <v>5</v>
      </c>
      <c r="O244" s="4">
        <v>44945</v>
      </c>
      <c r="P244" s="5" t="s">
        <v>135</v>
      </c>
      <c r="Q244" s="3">
        <v>0.6</v>
      </c>
      <c r="R244" s="6" t="s">
        <v>290</v>
      </c>
      <c r="S244" s="7" t="s">
        <v>34</v>
      </c>
      <c r="T244" s="4">
        <v>46203</v>
      </c>
      <c r="U244" s="4">
        <v>36952</v>
      </c>
      <c r="V244" s="4">
        <f t="shared" ca="1" si="32"/>
        <v>45919</v>
      </c>
      <c r="W244" s="8">
        <f ca="1">(V244-U244)/365.25</f>
        <v>24.550308008213552</v>
      </c>
    </row>
    <row r="245" spans="1:23" x14ac:dyDescent="0.2">
      <c r="A245" s="1" t="s">
        <v>24</v>
      </c>
      <c r="B245" s="1" t="s">
        <v>25</v>
      </c>
      <c r="C245" s="1" t="s">
        <v>26</v>
      </c>
      <c r="D245" s="5" t="s">
        <v>870</v>
      </c>
      <c r="E245" s="1">
        <v>8</v>
      </c>
      <c r="F245" s="1" t="s">
        <v>909</v>
      </c>
      <c r="G245" s="1" t="s">
        <v>910</v>
      </c>
      <c r="I245" s="1" t="s">
        <v>24</v>
      </c>
      <c r="J245" s="1" t="s">
        <v>24</v>
      </c>
      <c r="K245" s="1" t="s">
        <v>95</v>
      </c>
      <c r="M245" s="1" t="s">
        <v>911</v>
      </c>
      <c r="N245" s="3">
        <v>22</v>
      </c>
      <c r="O245" s="4">
        <v>45520</v>
      </c>
      <c r="P245" s="1" t="s">
        <v>71</v>
      </c>
      <c r="Q245" s="3">
        <v>25</v>
      </c>
      <c r="R245" s="6" t="s">
        <v>40</v>
      </c>
      <c r="S245" s="7" t="s">
        <v>40</v>
      </c>
      <c r="T245" s="4">
        <v>45838</v>
      </c>
      <c r="U245" s="4">
        <v>35035</v>
      </c>
      <c r="V245" s="4">
        <f t="shared" ca="1" si="32"/>
        <v>45919</v>
      </c>
      <c r="W245" s="8">
        <f t="shared" ref="W245" ca="1" si="34">(V245-U245)/365.25</f>
        <v>29.798767967145789</v>
      </c>
    </row>
    <row r="246" spans="1:23" x14ac:dyDescent="0.2">
      <c r="A246" s="1" t="s">
        <v>24</v>
      </c>
      <c r="B246" s="1" t="s">
        <v>25</v>
      </c>
      <c r="C246" s="1" t="s">
        <v>26</v>
      </c>
      <c r="D246" s="5" t="s">
        <v>870</v>
      </c>
      <c r="E246" s="1">
        <v>12</v>
      </c>
      <c r="F246" s="1" t="s">
        <v>912</v>
      </c>
      <c r="G246" s="1" t="s">
        <v>913</v>
      </c>
      <c r="I246" s="1" t="s">
        <v>155</v>
      </c>
      <c r="J246" s="1" t="s">
        <v>155</v>
      </c>
      <c r="K246" s="1" t="s">
        <v>95</v>
      </c>
      <c r="M246" s="1" t="s">
        <v>914</v>
      </c>
      <c r="N246" s="3">
        <v>10</v>
      </c>
      <c r="O246" s="4">
        <v>45523</v>
      </c>
      <c r="P246" s="5" t="s">
        <v>783</v>
      </c>
      <c r="Q246" s="3">
        <v>10</v>
      </c>
      <c r="R246" s="6" t="s">
        <v>40</v>
      </c>
      <c r="S246" s="7" t="s">
        <v>40</v>
      </c>
      <c r="T246" s="4">
        <v>45838</v>
      </c>
      <c r="U246" s="4">
        <v>36382</v>
      </c>
      <c r="V246" s="4">
        <f t="shared" ca="1" si="32"/>
        <v>45919</v>
      </c>
      <c r="W246" s="8">
        <f t="shared" ca="1" si="33"/>
        <v>26.11088295687885</v>
      </c>
    </row>
    <row r="247" spans="1:23" x14ac:dyDescent="0.2">
      <c r="A247" s="1" t="s">
        <v>24</v>
      </c>
      <c r="B247" s="1" t="s">
        <v>25</v>
      </c>
      <c r="C247" s="1" t="s">
        <v>26</v>
      </c>
      <c r="D247" s="5" t="s">
        <v>870</v>
      </c>
      <c r="E247" s="1">
        <v>14</v>
      </c>
      <c r="F247" s="1" t="s">
        <v>496</v>
      </c>
      <c r="G247" s="1" t="s">
        <v>915</v>
      </c>
      <c r="I247" s="1" t="s">
        <v>24</v>
      </c>
      <c r="J247" s="1" t="s">
        <v>250</v>
      </c>
      <c r="K247" s="1" t="s">
        <v>89</v>
      </c>
      <c r="M247" s="1" t="s">
        <v>916</v>
      </c>
      <c r="N247" s="3">
        <v>1.8</v>
      </c>
      <c r="O247" s="4">
        <v>45108</v>
      </c>
      <c r="P247" s="5" t="s">
        <v>917</v>
      </c>
      <c r="Q247" s="3">
        <v>1.8</v>
      </c>
      <c r="R247" s="6">
        <v>1.75</v>
      </c>
      <c r="S247" s="7" t="s">
        <v>34</v>
      </c>
      <c r="T247" s="4">
        <v>46203</v>
      </c>
      <c r="U247" s="4">
        <v>35969</v>
      </c>
      <c r="V247" s="4">
        <f t="shared" ca="1" si="32"/>
        <v>45919</v>
      </c>
      <c r="W247" s="8">
        <f ca="1">(V247-U247)/365.25</f>
        <v>27.241615331964407</v>
      </c>
    </row>
    <row r="248" spans="1:23" x14ac:dyDescent="0.2">
      <c r="A248" s="1" t="s">
        <v>24</v>
      </c>
      <c r="B248" s="1" t="s">
        <v>25</v>
      </c>
      <c r="C248" s="1" t="s">
        <v>26</v>
      </c>
      <c r="D248" s="5" t="s">
        <v>870</v>
      </c>
      <c r="E248" s="1">
        <v>5</v>
      </c>
      <c r="F248" s="1" t="s">
        <v>918</v>
      </c>
      <c r="G248" s="1" t="s">
        <v>919</v>
      </c>
      <c r="I248" s="1" t="s">
        <v>24</v>
      </c>
      <c r="J248" s="1" t="s">
        <v>920</v>
      </c>
      <c r="K248" s="1" t="s">
        <v>89</v>
      </c>
      <c r="M248" s="1" t="s">
        <v>921</v>
      </c>
      <c r="N248" s="3">
        <v>0.9</v>
      </c>
      <c r="O248" s="4">
        <v>44439</v>
      </c>
      <c r="P248" s="5" t="s">
        <v>225</v>
      </c>
      <c r="Q248" s="3">
        <v>1.5</v>
      </c>
      <c r="R248" s="6" t="s">
        <v>290</v>
      </c>
      <c r="S248" s="7" t="s">
        <v>34</v>
      </c>
      <c r="T248" s="4">
        <v>46203</v>
      </c>
      <c r="U248" s="4">
        <v>33491</v>
      </c>
      <c r="V248" s="4">
        <f t="shared" ca="1" si="32"/>
        <v>45919</v>
      </c>
      <c r="W248" s="8">
        <f ca="1">(V248-U248)/365.25</f>
        <v>34.026009582477755</v>
      </c>
    </row>
    <row r="249" spans="1:23" x14ac:dyDescent="0.2">
      <c r="A249" s="1" t="s">
        <v>24</v>
      </c>
      <c r="B249" s="1" t="s">
        <v>25</v>
      </c>
      <c r="C249" s="1" t="s">
        <v>26</v>
      </c>
      <c r="D249" s="5" t="s">
        <v>870</v>
      </c>
      <c r="E249" s="1">
        <v>25</v>
      </c>
      <c r="F249" s="1" t="s">
        <v>922</v>
      </c>
      <c r="G249" s="1" t="s">
        <v>923</v>
      </c>
      <c r="I249" s="1" t="s">
        <v>150</v>
      </c>
      <c r="J249" s="1" t="s">
        <v>150</v>
      </c>
      <c r="K249" s="1" t="s">
        <v>89</v>
      </c>
      <c r="M249" s="1" t="s">
        <v>924</v>
      </c>
      <c r="N249" s="3">
        <v>0.5</v>
      </c>
      <c r="O249" s="4">
        <v>44931</v>
      </c>
      <c r="P249" s="5" t="s">
        <v>225</v>
      </c>
      <c r="Q249" s="3">
        <v>0.4</v>
      </c>
      <c r="R249" s="6" t="s">
        <v>205</v>
      </c>
      <c r="S249" s="7" t="s">
        <v>98</v>
      </c>
      <c r="T249" s="4">
        <v>45838</v>
      </c>
      <c r="U249" s="4">
        <v>33872</v>
      </c>
      <c r="V249" s="4">
        <f t="shared" ca="1" si="32"/>
        <v>45919</v>
      </c>
      <c r="W249" s="8">
        <f ca="1">(V249-U249)/365.25</f>
        <v>32.982888432580424</v>
      </c>
    </row>
    <row r="250" spans="1:23" x14ac:dyDescent="0.2">
      <c r="A250" s="1" t="s">
        <v>24</v>
      </c>
      <c r="B250" s="1" t="s">
        <v>25</v>
      </c>
      <c r="C250" s="1" t="s">
        <v>26</v>
      </c>
      <c r="D250" s="5" t="s">
        <v>870</v>
      </c>
      <c r="E250" s="1">
        <v>23</v>
      </c>
      <c r="F250" s="1" t="s">
        <v>925</v>
      </c>
      <c r="G250" s="1" t="s">
        <v>926</v>
      </c>
      <c r="I250" s="1" t="s">
        <v>24</v>
      </c>
      <c r="J250" s="1" t="s">
        <v>250</v>
      </c>
      <c r="K250" s="1" t="s">
        <v>113</v>
      </c>
      <c r="M250" s="1" t="s">
        <v>927</v>
      </c>
      <c r="N250" s="3">
        <v>10</v>
      </c>
      <c r="O250" s="4">
        <v>45520</v>
      </c>
      <c r="P250" s="5" t="s">
        <v>696</v>
      </c>
      <c r="Q250" s="3">
        <v>7</v>
      </c>
      <c r="R250" s="6">
        <v>10</v>
      </c>
      <c r="S250" s="7" t="s">
        <v>66</v>
      </c>
      <c r="T250" s="4">
        <v>46934</v>
      </c>
      <c r="U250" s="4">
        <v>34966</v>
      </c>
      <c r="V250" s="4">
        <f t="shared" ca="1" si="32"/>
        <v>45919</v>
      </c>
      <c r="W250" s="8">
        <f ca="1">(V250-U250)/365.25</f>
        <v>29.987679671457904</v>
      </c>
    </row>
    <row r="251" spans="1:23" x14ac:dyDescent="0.2">
      <c r="A251" s="1" t="s">
        <v>24</v>
      </c>
      <c r="B251" s="1" t="s">
        <v>25</v>
      </c>
      <c r="C251" s="1" t="s">
        <v>26</v>
      </c>
      <c r="D251" s="5" t="s">
        <v>870</v>
      </c>
      <c r="E251" s="1">
        <v>47</v>
      </c>
      <c r="F251" s="1" t="s">
        <v>496</v>
      </c>
      <c r="G251" s="1" t="s">
        <v>907</v>
      </c>
      <c r="I251" s="1" t="s">
        <v>24</v>
      </c>
      <c r="J251" s="1" t="s">
        <v>24</v>
      </c>
      <c r="K251" s="1" t="s">
        <v>120</v>
      </c>
      <c r="M251" s="1" t="s">
        <v>928</v>
      </c>
      <c r="N251" s="3">
        <v>15</v>
      </c>
      <c r="O251" s="4">
        <v>45528</v>
      </c>
      <c r="P251" s="5" t="s">
        <v>456</v>
      </c>
      <c r="Q251" s="3">
        <v>15</v>
      </c>
      <c r="R251" s="6">
        <v>17.7</v>
      </c>
      <c r="S251" s="7" t="s">
        <v>66</v>
      </c>
      <c r="T251" s="4">
        <v>47299</v>
      </c>
      <c r="U251" s="4">
        <v>36853</v>
      </c>
      <c r="V251" s="4">
        <f t="shared" ca="1" si="32"/>
        <v>45919</v>
      </c>
      <c r="W251" s="8">
        <f t="shared" ca="1" si="33"/>
        <v>24.821355236139631</v>
      </c>
    </row>
    <row r="252" spans="1:23" x14ac:dyDescent="0.2">
      <c r="A252" s="1" t="s">
        <v>24</v>
      </c>
      <c r="B252" s="1" t="s">
        <v>25</v>
      </c>
      <c r="C252" s="1" t="s">
        <v>26</v>
      </c>
      <c r="D252" s="5" t="s">
        <v>870</v>
      </c>
      <c r="E252" s="1">
        <v>33</v>
      </c>
      <c r="F252" s="1" t="s">
        <v>351</v>
      </c>
      <c r="G252" s="1" t="s">
        <v>929</v>
      </c>
      <c r="I252" s="1" t="s">
        <v>328</v>
      </c>
      <c r="J252" s="1" t="s">
        <v>328</v>
      </c>
      <c r="K252" s="1" t="s">
        <v>120</v>
      </c>
      <c r="M252" s="1" t="s">
        <v>930</v>
      </c>
      <c r="N252" s="3">
        <v>5</v>
      </c>
      <c r="O252" s="4">
        <v>44935</v>
      </c>
      <c r="P252" s="5" t="s">
        <v>731</v>
      </c>
      <c r="Q252" s="3">
        <v>0.5</v>
      </c>
      <c r="R252" s="6" t="s">
        <v>290</v>
      </c>
      <c r="S252" s="7" t="s">
        <v>34</v>
      </c>
      <c r="T252" s="4">
        <v>46203</v>
      </c>
      <c r="U252" s="4">
        <v>35890</v>
      </c>
      <c r="V252" s="4">
        <f t="shared" ca="1" si="32"/>
        <v>45919</v>
      </c>
      <c r="W252" s="8">
        <f t="shared" ca="1" si="33"/>
        <v>27.457905544147845</v>
      </c>
    </row>
    <row r="253" spans="1:23" x14ac:dyDescent="0.2">
      <c r="A253" s="1" t="s">
        <v>24</v>
      </c>
      <c r="B253" s="1" t="s">
        <v>25</v>
      </c>
      <c r="C253" s="1" t="s">
        <v>26</v>
      </c>
      <c r="D253" s="5" t="s">
        <v>870</v>
      </c>
      <c r="E253" s="1">
        <v>20</v>
      </c>
      <c r="F253" s="1" t="s">
        <v>931</v>
      </c>
      <c r="G253" s="1" t="s">
        <v>932</v>
      </c>
      <c r="I253" s="1" t="s">
        <v>24</v>
      </c>
      <c r="J253" s="1" t="s">
        <v>24</v>
      </c>
      <c r="K253" s="1" t="s">
        <v>133</v>
      </c>
      <c r="M253" s="1" t="s">
        <v>933</v>
      </c>
      <c r="N253" s="3">
        <v>18</v>
      </c>
      <c r="O253" s="4">
        <v>45127</v>
      </c>
      <c r="P253" s="5" t="s">
        <v>101</v>
      </c>
      <c r="Q253" s="3">
        <v>1</v>
      </c>
      <c r="R253" s="6">
        <v>23.5</v>
      </c>
      <c r="S253" s="7" t="s">
        <v>34</v>
      </c>
      <c r="T253" s="4">
        <v>47299</v>
      </c>
      <c r="U253" s="4">
        <v>37924</v>
      </c>
      <c r="V253" s="4">
        <f t="shared" ca="1" si="32"/>
        <v>45919</v>
      </c>
      <c r="W253" s="8">
        <f t="shared" ca="1" si="33"/>
        <v>21.88911704312115</v>
      </c>
    </row>
    <row r="254" spans="1:23" x14ac:dyDescent="0.2">
      <c r="A254" s="1" t="s">
        <v>24</v>
      </c>
      <c r="B254" s="1" t="s">
        <v>25</v>
      </c>
      <c r="C254" s="1" t="s">
        <v>26</v>
      </c>
      <c r="D254" s="5" t="s">
        <v>870</v>
      </c>
      <c r="E254" s="1">
        <v>21</v>
      </c>
      <c r="F254" s="1" t="s">
        <v>934</v>
      </c>
      <c r="G254" s="1" t="s">
        <v>935</v>
      </c>
      <c r="I254" s="1" t="s">
        <v>815</v>
      </c>
      <c r="J254" s="1" t="s">
        <v>250</v>
      </c>
      <c r="K254" s="1" t="s">
        <v>133</v>
      </c>
      <c r="M254" s="1" t="s">
        <v>936</v>
      </c>
      <c r="N254" s="3">
        <v>8</v>
      </c>
      <c r="O254" s="4">
        <v>45532</v>
      </c>
      <c r="P254" s="5" t="s">
        <v>217</v>
      </c>
      <c r="Q254" s="3">
        <v>8</v>
      </c>
      <c r="R254" s="6">
        <v>9.5</v>
      </c>
      <c r="S254" s="7" t="s">
        <v>66</v>
      </c>
      <c r="T254" s="4">
        <v>46934</v>
      </c>
      <c r="U254" s="4">
        <v>35551</v>
      </c>
      <c r="V254" s="4">
        <f t="shared" ca="1" si="32"/>
        <v>45919</v>
      </c>
      <c r="W254" s="8">
        <f t="shared" ca="1" si="33"/>
        <v>28.386036960985628</v>
      </c>
    </row>
    <row r="255" spans="1:23" x14ac:dyDescent="0.2">
      <c r="A255" s="1" t="s">
        <v>24</v>
      </c>
      <c r="B255" s="1" t="s">
        <v>25</v>
      </c>
      <c r="C255" s="1" t="s">
        <v>26</v>
      </c>
      <c r="D255" s="5" t="s">
        <v>870</v>
      </c>
      <c r="E255" s="1">
        <v>7</v>
      </c>
      <c r="F255" s="1" t="s">
        <v>937</v>
      </c>
      <c r="G255" s="1" t="s">
        <v>938</v>
      </c>
      <c r="I255" s="1" t="s">
        <v>328</v>
      </c>
      <c r="J255" s="1" t="s">
        <v>328</v>
      </c>
      <c r="K255" s="1" t="s">
        <v>133</v>
      </c>
      <c r="M255" s="1" t="s">
        <v>939</v>
      </c>
      <c r="N255" s="3">
        <v>2</v>
      </c>
      <c r="O255" s="4">
        <v>44378</v>
      </c>
      <c r="P255" s="5" t="s">
        <v>271</v>
      </c>
      <c r="Q255" s="3">
        <v>0.25</v>
      </c>
      <c r="R255" s="6" t="s">
        <v>290</v>
      </c>
      <c r="S255" s="7" t="s">
        <v>34</v>
      </c>
      <c r="T255" s="4">
        <v>46203</v>
      </c>
      <c r="U255" s="4">
        <v>34661</v>
      </c>
      <c r="V255" s="4">
        <f t="shared" ca="1" si="32"/>
        <v>45919</v>
      </c>
      <c r="W255" s="8">
        <f ca="1">(V255-U255)/365.25</f>
        <v>30.822724161533195</v>
      </c>
    </row>
    <row r="256" spans="1:23" x14ac:dyDescent="0.2">
      <c r="A256" s="1" t="s">
        <v>24</v>
      </c>
      <c r="B256" s="1" t="s">
        <v>25</v>
      </c>
      <c r="C256" s="1" t="s">
        <v>26</v>
      </c>
      <c r="D256" s="5" t="s">
        <v>870</v>
      </c>
      <c r="E256" s="1">
        <v>10</v>
      </c>
      <c r="F256" s="1" t="s">
        <v>901</v>
      </c>
      <c r="G256" s="1" t="s">
        <v>940</v>
      </c>
      <c r="I256" s="1" t="s">
        <v>24</v>
      </c>
      <c r="J256" s="1" t="s">
        <v>24</v>
      </c>
      <c r="K256" s="1" t="s">
        <v>139</v>
      </c>
      <c r="M256" s="1" t="s">
        <v>941</v>
      </c>
      <c r="N256" s="3">
        <v>7</v>
      </c>
      <c r="O256" s="4">
        <v>44404</v>
      </c>
      <c r="P256" s="5" t="s">
        <v>363</v>
      </c>
      <c r="Q256" s="3">
        <v>1</v>
      </c>
      <c r="R256" s="6">
        <v>0.875</v>
      </c>
      <c r="S256" s="7" t="s">
        <v>34</v>
      </c>
      <c r="T256" s="4">
        <v>46203</v>
      </c>
      <c r="U256" s="4">
        <v>35477</v>
      </c>
      <c r="V256" s="4">
        <f t="shared" ca="1" si="32"/>
        <v>45919</v>
      </c>
      <c r="W256" s="8">
        <f t="shared" ca="1" si="33"/>
        <v>28.588637919233403</v>
      </c>
    </row>
    <row r="257" spans="1:23" x14ac:dyDescent="0.2">
      <c r="A257" s="1" t="s">
        <v>24</v>
      </c>
      <c r="B257" s="1" t="s">
        <v>25</v>
      </c>
      <c r="C257" s="1" t="s">
        <v>26</v>
      </c>
      <c r="D257" s="5" t="s">
        <v>870</v>
      </c>
      <c r="E257" s="1">
        <v>19</v>
      </c>
      <c r="F257" s="1" t="s">
        <v>942</v>
      </c>
      <c r="G257" s="1" t="s">
        <v>943</v>
      </c>
      <c r="I257" s="1" t="s">
        <v>24</v>
      </c>
      <c r="J257" s="1" t="s">
        <v>112</v>
      </c>
      <c r="K257" s="1" t="s">
        <v>139</v>
      </c>
      <c r="M257" s="1" t="s">
        <v>944</v>
      </c>
      <c r="N257" s="3">
        <v>15</v>
      </c>
      <c r="O257" s="4">
        <v>45486</v>
      </c>
      <c r="P257" s="5" t="s">
        <v>945</v>
      </c>
      <c r="Q257" s="3">
        <v>8</v>
      </c>
      <c r="R257" s="6">
        <v>17.850000000000001</v>
      </c>
      <c r="S257" s="7" t="s">
        <v>66</v>
      </c>
      <c r="T257" s="4">
        <v>47299</v>
      </c>
      <c r="U257" s="4">
        <v>37660</v>
      </c>
      <c r="V257" s="4">
        <f t="shared" ca="1" si="32"/>
        <v>45919</v>
      </c>
      <c r="W257" s="8">
        <f t="shared" ca="1" si="33"/>
        <v>22.611909650924023</v>
      </c>
    </row>
    <row r="258" spans="1:23" x14ac:dyDescent="0.2">
      <c r="A258" s="1" t="s">
        <v>24</v>
      </c>
      <c r="B258" s="1" t="s">
        <v>25</v>
      </c>
      <c r="C258" s="1" t="s">
        <v>26</v>
      </c>
      <c r="D258" s="5" t="s">
        <v>870</v>
      </c>
      <c r="E258" s="1">
        <v>27</v>
      </c>
      <c r="F258" s="1" t="s">
        <v>946</v>
      </c>
      <c r="G258" s="1" t="s">
        <v>947</v>
      </c>
      <c r="I258" s="1" t="s">
        <v>24</v>
      </c>
      <c r="J258" s="1" t="s">
        <v>24</v>
      </c>
      <c r="K258" s="1" t="s">
        <v>139</v>
      </c>
      <c r="M258" s="1" t="s">
        <v>948</v>
      </c>
      <c r="N258" s="3">
        <v>4</v>
      </c>
      <c r="O258" s="4">
        <v>44934</v>
      </c>
      <c r="P258" s="5" t="s">
        <v>213</v>
      </c>
      <c r="Q258" s="3">
        <v>0.8</v>
      </c>
      <c r="R258" s="6">
        <v>1.75</v>
      </c>
      <c r="S258" s="7" t="s">
        <v>34</v>
      </c>
      <c r="T258" s="4">
        <v>46568</v>
      </c>
      <c r="U258" s="4">
        <v>36206</v>
      </c>
      <c r="V258" s="4">
        <f t="shared" ca="1" si="32"/>
        <v>45919</v>
      </c>
      <c r="W258" s="8">
        <f ca="1">(V258-U258)/365.25</f>
        <v>26.592744695414101</v>
      </c>
    </row>
    <row r="259" spans="1:23" x14ac:dyDescent="0.2">
      <c r="A259" s="1" t="s">
        <v>24</v>
      </c>
      <c r="B259" s="1" t="s">
        <v>25</v>
      </c>
      <c r="C259" s="1" t="s">
        <v>26</v>
      </c>
      <c r="D259" s="5" t="s">
        <v>870</v>
      </c>
      <c r="E259" s="1">
        <v>16</v>
      </c>
      <c r="F259" s="1" t="s">
        <v>949</v>
      </c>
      <c r="G259" s="1" t="s">
        <v>950</v>
      </c>
      <c r="I259" s="1" t="s">
        <v>951</v>
      </c>
      <c r="J259" s="1" t="s">
        <v>951</v>
      </c>
      <c r="K259" s="1" t="s">
        <v>139</v>
      </c>
      <c r="M259" s="1" t="s">
        <v>952</v>
      </c>
      <c r="N259" s="3">
        <v>2</v>
      </c>
      <c r="O259" s="4">
        <v>45320</v>
      </c>
      <c r="P259" s="5" t="s">
        <v>953</v>
      </c>
      <c r="Q259" s="3">
        <v>0.4</v>
      </c>
      <c r="R259" s="6">
        <v>1.17</v>
      </c>
      <c r="S259" s="7" t="s">
        <v>34</v>
      </c>
      <c r="T259" s="4">
        <v>46934</v>
      </c>
      <c r="U259" s="4">
        <v>37316</v>
      </c>
      <c r="V259" s="4">
        <f t="shared" ca="1" si="32"/>
        <v>45919</v>
      </c>
      <c r="W259" s="8">
        <f t="shared" ref="W259" ca="1" si="35">(V259-U259)/365.25</f>
        <v>23.553730321697468</v>
      </c>
    </row>
    <row r="260" spans="1:23" x14ac:dyDescent="0.2">
      <c r="A260" s="1" t="s">
        <v>24</v>
      </c>
      <c r="B260" s="1" t="s">
        <v>25</v>
      </c>
      <c r="C260" s="1" t="s">
        <v>26</v>
      </c>
      <c r="D260" s="5" t="s">
        <v>213</v>
      </c>
      <c r="E260" s="1">
        <v>30</v>
      </c>
      <c r="F260" s="1" t="s">
        <v>384</v>
      </c>
      <c r="G260" s="1" t="s">
        <v>954</v>
      </c>
      <c r="I260" s="1" t="s">
        <v>304</v>
      </c>
      <c r="J260" s="1" t="s">
        <v>304</v>
      </c>
      <c r="K260" s="1" t="s">
        <v>31</v>
      </c>
      <c r="M260" s="1" t="s">
        <v>955</v>
      </c>
      <c r="N260" s="3">
        <v>9</v>
      </c>
      <c r="O260" s="4">
        <v>45125</v>
      </c>
      <c r="P260" s="5" t="s">
        <v>956</v>
      </c>
      <c r="Q260" s="3">
        <v>3.5</v>
      </c>
      <c r="R260" s="6">
        <v>7.7</v>
      </c>
      <c r="S260" s="7" t="s">
        <v>34</v>
      </c>
      <c r="T260" s="4">
        <v>46934</v>
      </c>
      <c r="U260" s="4">
        <v>36718</v>
      </c>
      <c r="V260" s="4">
        <f ca="1">TODAY()</f>
        <v>45919</v>
      </c>
      <c r="W260" s="8">
        <f ca="1">(V260-U260)/365.25</f>
        <v>25.190965092402465</v>
      </c>
    </row>
    <row r="261" spans="1:23" x14ac:dyDescent="0.2">
      <c r="A261" s="1" t="s">
        <v>24</v>
      </c>
      <c r="B261" s="1" t="s">
        <v>25</v>
      </c>
      <c r="C261" s="1" t="s">
        <v>26</v>
      </c>
      <c r="D261" s="5" t="s">
        <v>213</v>
      </c>
      <c r="E261" s="1">
        <v>31</v>
      </c>
      <c r="F261" s="1" t="s">
        <v>679</v>
      </c>
      <c r="G261" s="1" t="s">
        <v>957</v>
      </c>
      <c r="I261" s="1" t="s">
        <v>304</v>
      </c>
      <c r="J261" s="1" t="s">
        <v>304</v>
      </c>
      <c r="K261" s="1" t="s">
        <v>31</v>
      </c>
      <c r="M261" s="1" t="s">
        <v>958</v>
      </c>
      <c r="N261" s="3">
        <v>3</v>
      </c>
      <c r="O261" s="4">
        <v>44013</v>
      </c>
      <c r="P261" s="5" t="s">
        <v>959</v>
      </c>
      <c r="Q261" s="3">
        <v>0.4</v>
      </c>
      <c r="R261" s="6">
        <v>0</v>
      </c>
      <c r="S261" s="7" t="s">
        <v>98</v>
      </c>
      <c r="T261" s="4">
        <v>45838</v>
      </c>
      <c r="U261" s="4">
        <v>35630</v>
      </c>
      <c r="V261" s="4">
        <f t="shared" ref="V261:V287" ca="1" si="36">TODAY()</f>
        <v>45919</v>
      </c>
      <c r="W261" s="8">
        <f t="shared" ref="W261:W285" ca="1" si="37">(V261-U261)/365.25</f>
        <v>28.16974674880219</v>
      </c>
    </row>
    <row r="262" spans="1:23" x14ac:dyDescent="0.2">
      <c r="A262" s="1" t="s">
        <v>24</v>
      </c>
      <c r="B262" s="1" t="s">
        <v>25</v>
      </c>
      <c r="C262" s="1" t="s">
        <v>26</v>
      </c>
      <c r="D262" s="5" t="s">
        <v>213</v>
      </c>
      <c r="E262" s="1">
        <v>1</v>
      </c>
      <c r="F262" s="1" t="s">
        <v>544</v>
      </c>
      <c r="G262" s="1" t="s">
        <v>686</v>
      </c>
      <c r="I262" s="1" t="s">
        <v>328</v>
      </c>
      <c r="J262" s="1" t="s">
        <v>328</v>
      </c>
      <c r="K262" s="1" t="s">
        <v>31</v>
      </c>
      <c r="M262" s="1" t="s">
        <v>960</v>
      </c>
      <c r="N262" s="3">
        <v>1.8</v>
      </c>
      <c r="O262" s="4">
        <v>43301</v>
      </c>
      <c r="P262" s="5" t="s">
        <v>357</v>
      </c>
      <c r="Q262" s="3">
        <v>2.5</v>
      </c>
      <c r="R262" s="6">
        <v>14</v>
      </c>
      <c r="S262" s="7" t="s">
        <v>98</v>
      </c>
      <c r="T262" s="4">
        <v>45838</v>
      </c>
      <c r="U262" s="4">
        <v>34142</v>
      </c>
      <c r="V262" s="4">
        <f t="shared" ca="1" si="36"/>
        <v>45919</v>
      </c>
      <c r="W262" s="8">
        <f t="shared" ca="1" si="37"/>
        <v>32.243668720054757</v>
      </c>
    </row>
    <row r="263" spans="1:23" x14ac:dyDescent="0.2">
      <c r="A263" s="1" t="s">
        <v>24</v>
      </c>
      <c r="B263" s="1" t="s">
        <v>25</v>
      </c>
      <c r="C263" s="1" t="s">
        <v>26</v>
      </c>
      <c r="D263" s="5" t="s">
        <v>213</v>
      </c>
      <c r="E263" s="1">
        <v>41</v>
      </c>
      <c r="F263" s="1" t="s">
        <v>55</v>
      </c>
      <c r="G263" s="1" t="s">
        <v>961</v>
      </c>
      <c r="I263" s="1" t="s">
        <v>57</v>
      </c>
      <c r="J263" s="1" t="s">
        <v>57</v>
      </c>
      <c r="K263" s="1" t="s">
        <v>31</v>
      </c>
      <c r="M263" s="1" t="s">
        <v>962</v>
      </c>
      <c r="N263" s="3">
        <v>0.4</v>
      </c>
      <c r="O263" s="4">
        <v>45108</v>
      </c>
      <c r="P263" s="5" t="s">
        <v>959</v>
      </c>
      <c r="Q263" s="3">
        <v>0.25</v>
      </c>
      <c r="R263" s="6">
        <v>0</v>
      </c>
      <c r="S263" s="7" t="s">
        <v>98</v>
      </c>
      <c r="T263" s="4">
        <v>46203</v>
      </c>
      <c r="U263" s="4">
        <v>36879</v>
      </c>
      <c r="V263" s="4">
        <f t="shared" ca="1" si="36"/>
        <v>45919</v>
      </c>
      <c r="W263" s="8">
        <f ca="1">(V263-U263)/365.25</f>
        <v>24.750171115674195</v>
      </c>
    </row>
    <row r="264" spans="1:23" x14ac:dyDescent="0.2">
      <c r="A264" s="1" t="s">
        <v>24</v>
      </c>
      <c r="B264" s="1" t="s">
        <v>25</v>
      </c>
      <c r="C264" s="1" t="s">
        <v>26</v>
      </c>
      <c r="D264" s="5" t="s">
        <v>213</v>
      </c>
      <c r="E264" s="1">
        <v>3</v>
      </c>
      <c r="F264" s="1" t="s">
        <v>963</v>
      </c>
      <c r="G264" s="1" t="s">
        <v>964</v>
      </c>
      <c r="I264" s="1" t="s">
        <v>125</v>
      </c>
      <c r="J264" s="1" t="s">
        <v>125</v>
      </c>
      <c r="K264" s="1" t="s">
        <v>44</v>
      </c>
      <c r="M264" s="1" t="s">
        <v>965</v>
      </c>
      <c r="N264" s="3">
        <v>20</v>
      </c>
      <c r="O264" s="4">
        <v>44805</v>
      </c>
      <c r="P264" s="5" t="s">
        <v>966</v>
      </c>
      <c r="Q264" s="3">
        <v>10</v>
      </c>
      <c r="R264" s="6">
        <v>17</v>
      </c>
      <c r="S264" s="7" t="s">
        <v>34</v>
      </c>
      <c r="T264" s="4">
        <v>46568</v>
      </c>
      <c r="U264" s="4">
        <v>35888</v>
      </c>
      <c r="V264" s="4">
        <f t="shared" ca="1" si="36"/>
        <v>45919</v>
      </c>
      <c r="W264" s="8">
        <f t="shared" ca="1" si="37"/>
        <v>27.463381245722108</v>
      </c>
    </row>
    <row r="265" spans="1:23" x14ac:dyDescent="0.2">
      <c r="A265" s="1" t="s">
        <v>24</v>
      </c>
      <c r="B265" s="1" t="s">
        <v>25</v>
      </c>
      <c r="C265" s="1" t="s">
        <v>26</v>
      </c>
      <c r="D265" s="5" t="s">
        <v>213</v>
      </c>
      <c r="E265" s="1">
        <v>5</v>
      </c>
      <c r="F265" s="1" t="s">
        <v>967</v>
      </c>
      <c r="G265" s="1" t="s">
        <v>968</v>
      </c>
      <c r="I265" s="1" t="s">
        <v>62</v>
      </c>
      <c r="J265" s="1" t="s">
        <v>62</v>
      </c>
      <c r="K265" s="1" t="s">
        <v>44</v>
      </c>
      <c r="M265" s="1" t="s">
        <v>969</v>
      </c>
      <c r="N265" s="3">
        <v>12</v>
      </c>
      <c r="O265" s="4">
        <v>45482</v>
      </c>
      <c r="P265" s="5" t="s">
        <v>970</v>
      </c>
      <c r="Q265" s="3">
        <v>8</v>
      </c>
      <c r="R265" s="6">
        <v>14</v>
      </c>
      <c r="S265" s="7" t="s">
        <v>34</v>
      </c>
      <c r="T265" s="4">
        <v>47299</v>
      </c>
      <c r="U265" s="4">
        <v>37085</v>
      </c>
      <c r="V265" s="4">
        <f t="shared" ca="1" si="36"/>
        <v>45919</v>
      </c>
      <c r="W265" s="8">
        <f ca="1">(V265-U265)/365.25</f>
        <v>24.186173853524984</v>
      </c>
    </row>
    <row r="266" spans="1:23" x14ac:dyDescent="0.2">
      <c r="A266" s="1" t="s">
        <v>24</v>
      </c>
      <c r="B266" s="1" t="s">
        <v>25</v>
      </c>
      <c r="C266" s="1" t="s">
        <v>26</v>
      </c>
      <c r="D266" s="5" t="s">
        <v>213</v>
      </c>
      <c r="E266" s="1">
        <v>4</v>
      </c>
      <c r="F266" s="1" t="s">
        <v>901</v>
      </c>
      <c r="G266" s="1" t="s">
        <v>971</v>
      </c>
      <c r="I266" s="1" t="s">
        <v>24</v>
      </c>
      <c r="J266" s="1" t="s">
        <v>24</v>
      </c>
      <c r="K266" s="1" t="s">
        <v>44</v>
      </c>
      <c r="M266" s="1" t="s">
        <v>972</v>
      </c>
      <c r="N266" s="3">
        <v>3</v>
      </c>
      <c r="O266" s="4">
        <v>45108</v>
      </c>
      <c r="P266" s="5" t="s">
        <v>175</v>
      </c>
      <c r="Q266" s="3">
        <v>12</v>
      </c>
      <c r="R266" s="6">
        <v>8.6999999999999993</v>
      </c>
      <c r="S266" s="7" t="s">
        <v>34</v>
      </c>
      <c r="T266" s="4">
        <v>46203</v>
      </c>
      <c r="U266" s="4">
        <v>34025</v>
      </c>
      <c r="V266" s="4">
        <f t="shared" ca="1" si="36"/>
        <v>45919</v>
      </c>
      <c r="W266" s="8">
        <f t="shared" ca="1" si="37"/>
        <v>32.563997262149215</v>
      </c>
    </row>
    <row r="267" spans="1:23" x14ac:dyDescent="0.2">
      <c r="A267" s="1" t="s">
        <v>24</v>
      </c>
      <c r="B267" s="1" t="s">
        <v>25</v>
      </c>
      <c r="C267" s="1" t="s">
        <v>26</v>
      </c>
      <c r="D267" s="5" t="s">
        <v>213</v>
      </c>
      <c r="E267" s="1">
        <v>23</v>
      </c>
      <c r="F267" s="1" t="s">
        <v>973</v>
      </c>
      <c r="G267" s="1" t="s">
        <v>974</v>
      </c>
      <c r="I267" s="1" t="s">
        <v>304</v>
      </c>
      <c r="J267" s="1" t="s">
        <v>304</v>
      </c>
      <c r="K267" s="1" t="s">
        <v>44</v>
      </c>
      <c r="M267" s="1" t="s">
        <v>975</v>
      </c>
      <c r="N267" s="3">
        <v>3</v>
      </c>
      <c r="O267" s="4">
        <v>44421</v>
      </c>
      <c r="P267" s="5" t="s">
        <v>976</v>
      </c>
      <c r="Q267" s="3">
        <v>18</v>
      </c>
      <c r="R267" s="6">
        <v>17.600000000000001</v>
      </c>
      <c r="S267" s="7" t="s">
        <v>34</v>
      </c>
      <c r="T267" s="4">
        <v>46568</v>
      </c>
      <c r="U267" s="4">
        <v>33819</v>
      </c>
      <c r="V267" s="4">
        <f t="shared" ca="1" si="36"/>
        <v>45919</v>
      </c>
      <c r="W267" s="8">
        <f t="shared" ca="1" si="37"/>
        <v>33.127994524298423</v>
      </c>
    </row>
    <row r="268" spans="1:23" x14ac:dyDescent="0.2">
      <c r="A268" s="1" t="s">
        <v>24</v>
      </c>
      <c r="B268" s="1" t="s">
        <v>25</v>
      </c>
      <c r="C268" s="1" t="s">
        <v>26</v>
      </c>
      <c r="D268" s="5" t="s">
        <v>213</v>
      </c>
      <c r="E268" s="1">
        <v>16</v>
      </c>
      <c r="F268" s="1" t="s">
        <v>977</v>
      </c>
      <c r="G268" s="1" t="s">
        <v>978</v>
      </c>
      <c r="I268" s="1" t="s">
        <v>304</v>
      </c>
      <c r="J268" s="1" t="s">
        <v>304</v>
      </c>
      <c r="K268" s="1" t="s">
        <v>63</v>
      </c>
      <c r="M268" s="1" t="s">
        <v>979</v>
      </c>
      <c r="N268" s="3">
        <v>15</v>
      </c>
      <c r="O268" s="4">
        <v>44946</v>
      </c>
      <c r="P268" s="5" t="s">
        <v>387</v>
      </c>
      <c r="Q268" s="3">
        <v>4</v>
      </c>
      <c r="R268" s="6">
        <v>14</v>
      </c>
      <c r="S268" s="7" t="s">
        <v>196</v>
      </c>
      <c r="T268" s="4">
        <v>46934</v>
      </c>
      <c r="U268" s="4">
        <v>37606</v>
      </c>
      <c r="V268" s="4">
        <f t="shared" ca="1" si="36"/>
        <v>45919</v>
      </c>
      <c r="W268" s="8">
        <f ca="1">(V268-U268)/365.25</f>
        <v>22.759753593429156</v>
      </c>
    </row>
    <row r="269" spans="1:23" x14ac:dyDescent="0.2">
      <c r="A269" s="1" t="s">
        <v>24</v>
      </c>
      <c r="B269" s="1" t="s">
        <v>25</v>
      </c>
      <c r="C269" s="1" t="s">
        <v>26</v>
      </c>
      <c r="D269" s="5" t="s">
        <v>213</v>
      </c>
      <c r="E269" s="1">
        <v>33</v>
      </c>
      <c r="F269" s="1" t="s">
        <v>890</v>
      </c>
      <c r="G269" s="1" t="s">
        <v>92</v>
      </c>
      <c r="I269" s="1" t="s">
        <v>24</v>
      </c>
      <c r="J269" s="1" t="s">
        <v>24</v>
      </c>
      <c r="K269" s="1" t="s">
        <v>63</v>
      </c>
      <c r="M269" s="1" t="s">
        <v>980</v>
      </c>
      <c r="N269" s="3">
        <v>6</v>
      </c>
      <c r="O269" s="4">
        <v>44013</v>
      </c>
      <c r="P269" s="5" t="s">
        <v>959</v>
      </c>
      <c r="Q269" s="3">
        <v>0</v>
      </c>
      <c r="R269" s="6">
        <v>0</v>
      </c>
      <c r="S269" s="7" t="s">
        <v>196</v>
      </c>
      <c r="T269" s="4">
        <v>46203</v>
      </c>
      <c r="U269" s="4">
        <v>37052</v>
      </c>
      <c r="V269" s="4">
        <f t="shared" ca="1" si="36"/>
        <v>45919</v>
      </c>
      <c r="W269" s="8">
        <f t="shared" ca="1" si="37"/>
        <v>24.276522929500342</v>
      </c>
    </row>
    <row r="270" spans="1:23" x14ac:dyDescent="0.2">
      <c r="A270" s="1" t="s">
        <v>24</v>
      </c>
      <c r="B270" s="1" t="s">
        <v>25</v>
      </c>
      <c r="C270" s="1" t="s">
        <v>26</v>
      </c>
      <c r="D270" s="5" t="s">
        <v>213</v>
      </c>
      <c r="E270" s="1">
        <v>2</v>
      </c>
      <c r="F270" s="1" t="s">
        <v>268</v>
      </c>
      <c r="G270" s="1" t="s">
        <v>313</v>
      </c>
      <c r="I270" s="1" t="s">
        <v>24</v>
      </c>
      <c r="J270" s="1" t="s">
        <v>24</v>
      </c>
      <c r="K270" s="1" t="s">
        <v>80</v>
      </c>
      <c r="M270" s="1" t="s">
        <v>981</v>
      </c>
      <c r="N270" s="3">
        <v>15</v>
      </c>
      <c r="O270" s="4">
        <v>43647</v>
      </c>
      <c r="P270" s="5" t="s">
        <v>217</v>
      </c>
      <c r="Q270" s="3">
        <v>0</v>
      </c>
      <c r="R270" s="6">
        <v>6.7</v>
      </c>
      <c r="S270" s="7" t="s">
        <v>34</v>
      </c>
      <c r="T270" s="4">
        <v>46203</v>
      </c>
      <c r="U270" s="4">
        <v>35849</v>
      </c>
      <c r="V270" s="4">
        <f t="shared" ca="1" si="36"/>
        <v>45919</v>
      </c>
      <c r="W270" s="8">
        <f t="shared" ca="1" si="37"/>
        <v>27.570157426420259</v>
      </c>
    </row>
    <row r="271" spans="1:23" x14ac:dyDescent="0.2">
      <c r="A271" s="1" t="s">
        <v>24</v>
      </c>
      <c r="B271" s="1" t="s">
        <v>25</v>
      </c>
      <c r="C271" s="1" t="s">
        <v>26</v>
      </c>
      <c r="D271" s="5" t="s">
        <v>213</v>
      </c>
      <c r="E271" s="1">
        <v>21</v>
      </c>
      <c r="F271" s="1" t="s">
        <v>982</v>
      </c>
      <c r="G271" s="1" t="s">
        <v>849</v>
      </c>
      <c r="I271" s="1" t="s">
        <v>416</v>
      </c>
      <c r="J271" s="1" t="s">
        <v>416</v>
      </c>
      <c r="K271" s="1" t="s">
        <v>80</v>
      </c>
      <c r="M271" s="1" t="s">
        <v>983</v>
      </c>
      <c r="N271" s="3">
        <v>8</v>
      </c>
      <c r="O271" s="4">
        <v>43282</v>
      </c>
      <c r="P271" s="5" t="s">
        <v>333</v>
      </c>
      <c r="Q271" s="3">
        <v>20</v>
      </c>
      <c r="R271" s="6">
        <v>22</v>
      </c>
      <c r="S271" s="7" t="s">
        <v>34</v>
      </c>
      <c r="T271" s="4">
        <v>46203</v>
      </c>
      <c r="U271" s="4">
        <v>34248</v>
      </c>
      <c r="V271" s="4">
        <f t="shared" ca="1" si="36"/>
        <v>45919</v>
      </c>
      <c r="W271" s="8">
        <f ca="1">(V271-U271)/365.25</f>
        <v>31.953456536618756</v>
      </c>
    </row>
    <row r="272" spans="1:23" x14ac:dyDescent="0.2">
      <c r="A272" s="1" t="s">
        <v>24</v>
      </c>
      <c r="B272" s="1" t="s">
        <v>25</v>
      </c>
      <c r="C272" s="1" t="s">
        <v>26</v>
      </c>
      <c r="D272" s="5" t="s">
        <v>213</v>
      </c>
      <c r="E272" s="1">
        <v>22</v>
      </c>
      <c r="F272" s="1" t="s">
        <v>984</v>
      </c>
      <c r="G272" s="1" t="s">
        <v>985</v>
      </c>
      <c r="I272" s="1" t="s">
        <v>24</v>
      </c>
      <c r="J272" s="1" t="s">
        <v>24</v>
      </c>
      <c r="K272" s="1" t="s">
        <v>95</v>
      </c>
      <c r="M272" s="1" t="s">
        <v>986</v>
      </c>
      <c r="N272" s="3">
        <v>18</v>
      </c>
      <c r="O272" s="4">
        <v>45523</v>
      </c>
      <c r="P272" s="5" t="s">
        <v>826</v>
      </c>
      <c r="Q272" s="3">
        <v>15</v>
      </c>
      <c r="R272" s="6">
        <v>23.5</v>
      </c>
      <c r="S272" s="7" t="s">
        <v>34</v>
      </c>
      <c r="T272" s="4">
        <v>47299</v>
      </c>
      <c r="U272" s="4">
        <v>36785</v>
      </c>
      <c r="V272" s="4">
        <f t="shared" ca="1" si="36"/>
        <v>45919</v>
      </c>
      <c r="W272" s="8">
        <f t="shared" ref="W272" ca="1" si="38">(V272-U272)/365.25</f>
        <v>25.007529089664612</v>
      </c>
    </row>
    <row r="273" spans="1:23" x14ac:dyDescent="0.2">
      <c r="A273" s="1" t="s">
        <v>24</v>
      </c>
      <c r="B273" s="1" t="s">
        <v>25</v>
      </c>
      <c r="C273" s="1" t="s">
        <v>26</v>
      </c>
      <c r="D273" s="5" t="s">
        <v>213</v>
      </c>
      <c r="E273" s="1">
        <v>6</v>
      </c>
      <c r="F273" s="1" t="s">
        <v>987</v>
      </c>
      <c r="G273" s="1" t="s">
        <v>988</v>
      </c>
      <c r="I273" s="1" t="s">
        <v>815</v>
      </c>
      <c r="J273" s="1" t="s">
        <v>815</v>
      </c>
      <c r="K273" s="1" t="s">
        <v>95</v>
      </c>
      <c r="M273" s="1" t="s">
        <v>989</v>
      </c>
      <c r="N273" s="3">
        <v>16</v>
      </c>
      <c r="O273" s="4">
        <v>42738</v>
      </c>
      <c r="P273" s="5" t="s">
        <v>682</v>
      </c>
      <c r="Q273" s="3">
        <v>8</v>
      </c>
      <c r="R273" s="6">
        <v>17.600000000000001</v>
      </c>
      <c r="S273" s="7" t="s">
        <v>34</v>
      </c>
      <c r="T273" s="4">
        <v>46568</v>
      </c>
      <c r="U273" s="4">
        <v>35415</v>
      </c>
      <c r="V273" s="4">
        <f t="shared" ca="1" si="36"/>
        <v>45919</v>
      </c>
      <c r="W273" s="8">
        <f t="shared" ca="1" si="37"/>
        <v>28.758384668035593</v>
      </c>
    </row>
    <row r="274" spans="1:23" x14ac:dyDescent="0.2">
      <c r="A274" s="1" t="s">
        <v>24</v>
      </c>
      <c r="B274" s="1" t="s">
        <v>25</v>
      </c>
      <c r="C274" s="1" t="s">
        <v>26</v>
      </c>
      <c r="D274" s="5" t="s">
        <v>213</v>
      </c>
      <c r="E274" s="1">
        <v>24</v>
      </c>
      <c r="F274" s="1" t="s">
        <v>990</v>
      </c>
      <c r="G274" s="1" t="s">
        <v>991</v>
      </c>
      <c r="I274" s="1" t="s">
        <v>43</v>
      </c>
      <c r="J274" s="1" t="s">
        <v>43</v>
      </c>
      <c r="K274" s="1" t="s">
        <v>95</v>
      </c>
      <c r="M274" s="1" t="s">
        <v>992</v>
      </c>
      <c r="N274" s="3">
        <v>14</v>
      </c>
      <c r="O274" s="4">
        <v>44379</v>
      </c>
      <c r="P274" s="5" t="s">
        <v>492</v>
      </c>
      <c r="Q274" s="3">
        <v>28</v>
      </c>
      <c r="R274" s="6">
        <v>20</v>
      </c>
      <c r="S274" s="7" t="s">
        <v>196</v>
      </c>
      <c r="T274" s="4">
        <v>46203</v>
      </c>
      <c r="U274" s="4">
        <v>36218</v>
      </c>
      <c r="V274" s="4">
        <f t="shared" ca="1" si="36"/>
        <v>45919</v>
      </c>
      <c r="W274" s="8">
        <f ca="1">(V274-U274)/365.25</f>
        <v>26.559890485968516</v>
      </c>
    </row>
    <row r="275" spans="1:23" x14ac:dyDescent="0.2">
      <c r="A275" s="1" t="s">
        <v>24</v>
      </c>
      <c r="B275" s="1" t="s">
        <v>25</v>
      </c>
      <c r="C275" s="1" t="s">
        <v>26</v>
      </c>
      <c r="D275" s="5" t="s">
        <v>213</v>
      </c>
      <c r="E275" s="1">
        <v>8</v>
      </c>
      <c r="F275" s="1" t="s">
        <v>853</v>
      </c>
      <c r="G275" s="1" t="s">
        <v>993</v>
      </c>
      <c r="I275" s="1" t="s">
        <v>24</v>
      </c>
      <c r="J275" s="1" t="s">
        <v>24</v>
      </c>
      <c r="K275" s="1" t="s">
        <v>95</v>
      </c>
      <c r="M275" s="1" t="s">
        <v>994</v>
      </c>
      <c r="N275" s="3">
        <v>12</v>
      </c>
      <c r="O275" s="4">
        <v>45108</v>
      </c>
      <c r="P275" s="5" t="s">
        <v>826</v>
      </c>
      <c r="Q275" s="3">
        <v>10</v>
      </c>
      <c r="R275" s="6">
        <v>11.6</v>
      </c>
      <c r="S275" s="7" t="s">
        <v>34</v>
      </c>
      <c r="T275" s="4">
        <v>46203</v>
      </c>
      <c r="U275" s="4">
        <v>35097</v>
      </c>
      <c r="V275" s="4">
        <f t="shared" ca="1" si="36"/>
        <v>45919</v>
      </c>
      <c r="W275" s="8">
        <f ca="1">(V275-U275)/365.25</f>
        <v>29.629021218343599</v>
      </c>
    </row>
    <row r="276" spans="1:23" x14ac:dyDescent="0.2">
      <c r="A276" s="1" t="s">
        <v>24</v>
      </c>
      <c r="B276" s="1" t="s">
        <v>25</v>
      </c>
      <c r="C276" s="1" t="s">
        <v>26</v>
      </c>
      <c r="D276" s="5" t="s">
        <v>213</v>
      </c>
      <c r="E276" s="1">
        <v>17</v>
      </c>
      <c r="F276" s="1" t="s">
        <v>995</v>
      </c>
      <c r="G276" s="1" t="s">
        <v>996</v>
      </c>
      <c r="I276" s="1" t="s">
        <v>24</v>
      </c>
      <c r="J276" s="1" t="s">
        <v>24</v>
      </c>
      <c r="K276" s="1" t="s">
        <v>95</v>
      </c>
      <c r="M276" s="1" t="s">
        <v>997</v>
      </c>
      <c r="N276" s="3">
        <v>4.5</v>
      </c>
      <c r="O276" s="4">
        <v>43101</v>
      </c>
      <c r="P276" s="5" t="s">
        <v>959</v>
      </c>
      <c r="Q276" s="3">
        <v>0.25</v>
      </c>
      <c r="R276" s="6">
        <v>0</v>
      </c>
      <c r="S276" s="7" t="s">
        <v>34</v>
      </c>
      <c r="T276" s="4">
        <v>46568</v>
      </c>
      <c r="U276" s="4">
        <v>35704</v>
      </c>
      <c r="V276" s="4">
        <f t="shared" ca="1" si="36"/>
        <v>45919</v>
      </c>
      <c r="W276" s="8">
        <f ca="1">(V276-U276)/365.25</f>
        <v>27.967145790554415</v>
      </c>
    </row>
    <row r="277" spans="1:23" x14ac:dyDescent="0.2">
      <c r="A277" s="1" t="s">
        <v>24</v>
      </c>
      <c r="B277" s="1" t="s">
        <v>25</v>
      </c>
      <c r="C277" s="1" t="s">
        <v>26</v>
      </c>
      <c r="D277" s="5" t="s">
        <v>213</v>
      </c>
      <c r="E277" s="1">
        <v>34</v>
      </c>
      <c r="F277" s="1" t="s">
        <v>745</v>
      </c>
      <c r="G277" s="1" t="s">
        <v>998</v>
      </c>
      <c r="I277" s="1" t="s">
        <v>24</v>
      </c>
      <c r="J277" s="1" t="s">
        <v>24</v>
      </c>
      <c r="K277" s="1" t="s">
        <v>89</v>
      </c>
      <c r="M277" s="1" t="s">
        <v>999</v>
      </c>
      <c r="N277" s="3">
        <v>2</v>
      </c>
      <c r="O277" s="4">
        <v>45480</v>
      </c>
      <c r="P277" s="5" t="s">
        <v>559</v>
      </c>
      <c r="Q277" s="3">
        <v>0.3</v>
      </c>
      <c r="R277" s="6">
        <v>5.9</v>
      </c>
      <c r="S277" s="7" t="s">
        <v>66</v>
      </c>
      <c r="T277" s="4">
        <v>46934</v>
      </c>
      <c r="U277" s="4">
        <v>38860</v>
      </c>
      <c r="V277" s="4">
        <f t="shared" ca="1" si="36"/>
        <v>45919</v>
      </c>
      <c r="W277" s="8">
        <f ca="1">(V277-U277)/365.25</f>
        <v>19.326488706365502</v>
      </c>
    </row>
    <row r="278" spans="1:23" x14ac:dyDescent="0.2">
      <c r="A278" s="1" t="s">
        <v>24</v>
      </c>
      <c r="B278" s="1" t="s">
        <v>25</v>
      </c>
      <c r="C278" s="1" t="s">
        <v>26</v>
      </c>
      <c r="D278" s="5" t="s">
        <v>213</v>
      </c>
      <c r="E278" s="1">
        <v>11</v>
      </c>
      <c r="F278" s="1" t="s">
        <v>1000</v>
      </c>
      <c r="G278" s="1" t="s">
        <v>1001</v>
      </c>
      <c r="I278" s="1" t="s">
        <v>125</v>
      </c>
      <c r="J278" s="1" t="s">
        <v>661</v>
      </c>
      <c r="K278" s="1" t="s">
        <v>113</v>
      </c>
      <c r="M278" s="1" t="s">
        <v>1002</v>
      </c>
      <c r="N278" s="3">
        <v>30</v>
      </c>
      <c r="O278" s="4">
        <v>45533</v>
      </c>
      <c r="P278" s="5" t="s">
        <v>682</v>
      </c>
      <c r="Q278" s="3">
        <v>30</v>
      </c>
      <c r="R278" s="6">
        <v>20.5</v>
      </c>
      <c r="S278" s="7" t="s">
        <v>66</v>
      </c>
      <c r="T278" s="4">
        <v>46934</v>
      </c>
      <c r="U278" s="4">
        <v>38117</v>
      </c>
      <c r="V278" s="4">
        <f t="shared" ca="1" si="36"/>
        <v>45919</v>
      </c>
      <c r="W278" s="8">
        <f t="shared" ca="1" si="37"/>
        <v>21.360711841204655</v>
      </c>
    </row>
    <row r="279" spans="1:23" x14ac:dyDescent="0.2">
      <c r="A279" s="1" t="s">
        <v>24</v>
      </c>
      <c r="B279" s="1" t="s">
        <v>25</v>
      </c>
      <c r="C279" s="1" t="s">
        <v>26</v>
      </c>
      <c r="D279" s="5" t="s">
        <v>213</v>
      </c>
      <c r="E279" s="1">
        <v>40</v>
      </c>
      <c r="F279" s="1" t="s">
        <v>1003</v>
      </c>
      <c r="G279" s="1" t="s">
        <v>1004</v>
      </c>
      <c r="I279" s="1" t="s">
        <v>146</v>
      </c>
      <c r="J279" s="1" t="s">
        <v>146</v>
      </c>
      <c r="K279" s="1" t="s">
        <v>113</v>
      </c>
      <c r="M279" s="1" t="s">
        <v>1005</v>
      </c>
      <c r="N279" s="3">
        <v>18</v>
      </c>
      <c r="O279" s="4">
        <v>45514</v>
      </c>
      <c r="P279" s="5" t="s">
        <v>82</v>
      </c>
      <c r="Q279" s="3">
        <v>18</v>
      </c>
      <c r="R279" s="6" t="s">
        <v>40</v>
      </c>
      <c r="S279" s="7" t="s">
        <v>66</v>
      </c>
      <c r="T279" s="4">
        <v>45838</v>
      </c>
      <c r="U279" s="4">
        <v>38344</v>
      </c>
      <c r="V279" s="4">
        <f t="shared" ca="1" si="36"/>
        <v>45919</v>
      </c>
      <c r="W279" s="8">
        <f t="shared" ca="1" si="37"/>
        <v>20.739219712525667</v>
      </c>
    </row>
    <row r="280" spans="1:23" x14ac:dyDescent="0.2">
      <c r="A280" s="1" t="s">
        <v>24</v>
      </c>
      <c r="B280" s="1" t="s">
        <v>25</v>
      </c>
      <c r="C280" s="1" t="s">
        <v>26</v>
      </c>
      <c r="D280" s="5" t="s">
        <v>213</v>
      </c>
      <c r="E280" s="1">
        <v>10</v>
      </c>
      <c r="F280" s="1" t="s">
        <v>1006</v>
      </c>
      <c r="G280" s="1" t="s">
        <v>1007</v>
      </c>
      <c r="I280" s="1" t="s">
        <v>24</v>
      </c>
      <c r="J280" s="1" t="s">
        <v>24</v>
      </c>
      <c r="K280" s="1" t="s">
        <v>120</v>
      </c>
      <c r="M280" s="1" t="s">
        <v>1008</v>
      </c>
      <c r="N280" s="3">
        <v>11</v>
      </c>
      <c r="O280" s="4">
        <v>45138</v>
      </c>
      <c r="P280" s="5" t="s">
        <v>1009</v>
      </c>
      <c r="Q280" s="3">
        <v>6</v>
      </c>
      <c r="R280" s="6">
        <v>7.5</v>
      </c>
      <c r="S280" s="7" t="s">
        <v>34</v>
      </c>
      <c r="T280" s="4">
        <v>46934</v>
      </c>
      <c r="U280" s="4">
        <v>35946</v>
      </c>
      <c r="V280" s="4">
        <f t="shared" ca="1" si="36"/>
        <v>45919</v>
      </c>
      <c r="W280" s="8">
        <f t="shared" ca="1" si="37"/>
        <v>27.304585900068446</v>
      </c>
    </row>
    <row r="281" spans="1:23" x14ac:dyDescent="0.2">
      <c r="A281" s="1" t="s">
        <v>24</v>
      </c>
      <c r="B281" s="1" t="s">
        <v>25</v>
      </c>
      <c r="C281" s="1" t="s">
        <v>26</v>
      </c>
      <c r="D281" s="5" t="s">
        <v>213</v>
      </c>
      <c r="E281" s="1">
        <v>7</v>
      </c>
      <c r="F281" s="1" t="s">
        <v>1010</v>
      </c>
      <c r="G281" s="1" t="s">
        <v>1011</v>
      </c>
      <c r="I281" s="1" t="s">
        <v>94</v>
      </c>
      <c r="J281" s="1" t="s">
        <v>94</v>
      </c>
      <c r="K281" s="1" t="s">
        <v>133</v>
      </c>
      <c r="M281" s="1" t="s">
        <v>1012</v>
      </c>
      <c r="N281" s="3">
        <v>13</v>
      </c>
      <c r="O281" s="4">
        <v>45169</v>
      </c>
      <c r="P281" s="5" t="s">
        <v>799</v>
      </c>
      <c r="Q281" s="3">
        <v>4</v>
      </c>
      <c r="R281" s="6">
        <v>17</v>
      </c>
      <c r="S281" s="7" t="s">
        <v>34</v>
      </c>
      <c r="T281" s="4">
        <v>47299</v>
      </c>
      <c r="U281" s="4">
        <v>38054</v>
      </c>
      <c r="V281" s="4">
        <f t="shared" ca="1" si="36"/>
        <v>45919</v>
      </c>
      <c r="W281" s="8">
        <f t="shared" ca="1" si="37"/>
        <v>21.533196440793976</v>
      </c>
    </row>
    <row r="282" spans="1:23" x14ac:dyDescent="0.2">
      <c r="A282" s="1" t="s">
        <v>24</v>
      </c>
      <c r="B282" s="1" t="s">
        <v>25</v>
      </c>
      <c r="C282" s="1" t="s">
        <v>26</v>
      </c>
      <c r="D282" s="5" t="s">
        <v>213</v>
      </c>
      <c r="E282" s="1">
        <v>14</v>
      </c>
      <c r="F282" s="1" t="s">
        <v>1013</v>
      </c>
      <c r="G282" s="1" t="s">
        <v>1014</v>
      </c>
      <c r="I282" s="1" t="s">
        <v>24</v>
      </c>
      <c r="J282" s="1" t="s">
        <v>129</v>
      </c>
      <c r="K282" s="1" t="s">
        <v>133</v>
      </c>
      <c r="M282" s="1" t="s">
        <v>1015</v>
      </c>
      <c r="N282" s="3">
        <v>5</v>
      </c>
      <c r="O282" s="4">
        <v>45479</v>
      </c>
      <c r="P282" s="5" t="s">
        <v>555</v>
      </c>
      <c r="Q282" s="3">
        <v>5</v>
      </c>
      <c r="R282" s="6" t="s">
        <v>205</v>
      </c>
      <c r="S282" s="7" t="s">
        <v>66</v>
      </c>
      <c r="T282" s="4">
        <v>46568</v>
      </c>
      <c r="U282" s="4">
        <v>34002</v>
      </c>
      <c r="V282" s="4">
        <f t="shared" ca="1" si="36"/>
        <v>45919</v>
      </c>
      <c r="W282" s="8">
        <f ca="1">(V282-U282)/365.25</f>
        <v>32.62696783025325</v>
      </c>
    </row>
    <row r="283" spans="1:23" x14ac:dyDescent="0.2">
      <c r="A283" s="1" t="s">
        <v>24</v>
      </c>
      <c r="B283" s="1" t="s">
        <v>25</v>
      </c>
      <c r="C283" s="1" t="s">
        <v>26</v>
      </c>
      <c r="D283" s="5" t="s">
        <v>213</v>
      </c>
      <c r="E283" s="1">
        <v>35</v>
      </c>
      <c r="F283" s="1" t="s">
        <v>1016</v>
      </c>
      <c r="G283" s="1" t="s">
        <v>1017</v>
      </c>
      <c r="I283" s="1" t="s">
        <v>24</v>
      </c>
      <c r="J283" s="1" t="s">
        <v>250</v>
      </c>
      <c r="K283" s="1" t="s">
        <v>133</v>
      </c>
      <c r="M283" s="1" t="s">
        <v>1018</v>
      </c>
      <c r="N283" s="3">
        <v>0.9</v>
      </c>
      <c r="O283" s="4">
        <v>45108</v>
      </c>
      <c r="P283" s="5" t="s">
        <v>959</v>
      </c>
      <c r="Q283" s="3">
        <v>0.25</v>
      </c>
      <c r="R283" s="6">
        <v>0</v>
      </c>
      <c r="S283" s="7" t="s">
        <v>98</v>
      </c>
      <c r="T283" s="4">
        <v>46934</v>
      </c>
      <c r="U283" s="4">
        <v>37217</v>
      </c>
      <c r="V283" s="4">
        <f t="shared" ca="1" si="36"/>
        <v>45919</v>
      </c>
      <c r="W283" s="8">
        <f t="shared" ca="1" si="37"/>
        <v>23.824777549623544</v>
      </c>
    </row>
    <row r="284" spans="1:23" x14ac:dyDescent="0.2">
      <c r="A284" s="1" t="s">
        <v>24</v>
      </c>
      <c r="B284" s="1" t="s">
        <v>25</v>
      </c>
      <c r="C284" s="1" t="s">
        <v>26</v>
      </c>
      <c r="D284" s="5" t="s">
        <v>213</v>
      </c>
      <c r="E284" s="1">
        <v>27</v>
      </c>
      <c r="F284" s="1" t="s">
        <v>1019</v>
      </c>
      <c r="G284" s="1" t="s">
        <v>1020</v>
      </c>
      <c r="I284" s="1" t="s">
        <v>1021</v>
      </c>
      <c r="J284" s="1" t="s">
        <v>43</v>
      </c>
      <c r="K284" s="1" t="s">
        <v>139</v>
      </c>
      <c r="M284" s="1" t="s">
        <v>1022</v>
      </c>
      <c r="N284" s="3">
        <v>18</v>
      </c>
      <c r="O284" s="4">
        <v>45534</v>
      </c>
      <c r="P284" s="5" t="s">
        <v>644</v>
      </c>
      <c r="Q284" s="3">
        <v>18</v>
      </c>
      <c r="R284" s="6" t="s">
        <v>40</v>
      </c>
      <c r="S284" s="7" t="s">
        <v>40</v>
      </c>
      <c r="T284" s="4">
        <v>45838</v>
      </c>
      <c r="U284" s="4">
        <v>35811</v>
      </c>
      <c r="V284" s="4">
        <f t="shared" ca="1" si="36"/>
        <v>45919</v>
      </c>
      <c r="W284" s="8">
        <f t="shared" ca="1" si="37"/>
        <v>27.674195756331279</v>
      </c>
    </row>
    <row r="285" spans="1:23" x14ac:dyDescent="0.2">
      <c r="A285" s="1" t="s">
        <v>24</v>
      </c>
      <c r="B285" s="1" t="s">
        <v>25</v>
      </c>
      <c r="C285" s="1" t="s">
        <v>26</v>
      </c>
      <c r="D285" s="5" t="s">
        <v>213</v>
      </c>
      <c r="E285" s="1">
        <v>20</v>
      </c>
      <c r="F285" s="1" t="s">
        <v>1023</v>
      </c>
      <c r="G285" s="1" t="s">
        <v>1024</v>
      </c>
      <c r="I285" s="1" t="s">
        <v>1025</v>
      </c>
      <c r="J285" s="1" t="s">
        <v>1025</v>
      </c>
      <c r="K285" s="1" t="s">
        <v>139</v>
      </c>
      <c r="M285" s="1" t="s">
        <v>1026</v>
      </c>
      <c r="N285" s="3">
        <v>12</v>
      </c>
      <c r="O285" s="4">
        <v>44378</v>
      </c>
      <c r="P285" s="5" t="s">
        <v>1027</v>
      </c>
      <c r="Q285" s="3">
        <v>22</v>
      </c>
      <c r="R285" s="6">
        <v>30</v>
      </c>
      <c r="S285" s="7" t="s">
        <v>34</v>
      </c>
      <c r="T285" s="4">
        <v>46203</v>
      </c>
      <c r="U285" s="4">
        <v>36077</v>
      </c>
      <c r="V285" s="4">
        <f t="shared" ca="1" si="36"/>
        <v>45919</v>
      </c>
      <c r="W285" s="8">
        <f t="shared" ca="1" si="37"/>
        <v>26.945927446954141</v>
      </c>
    </row>
    <row r="286" spans="1:23" x14ac:dyDescent="0.2">
      <c r="A286" s="1" t="s">
        <v>24</v>
      </c>
      <c r="B286" s="1" t="s">
        <v>25</v>
      </c>
      <c r="C286" s="1" t="s">
        <v>26</v>
      </c>
      <c r="D286" s="5" t="s">
        <v>213</v>
      </c>
      <c r="E286" s="1">
        <v>18</v>
      </c>
      <c r="F286" s="1" t="s">
        <v>726</v>
      </c>
      <c r="G286" s="1" t="s">
        <v>1028</v>
      </c>
      <c r="I286" s="1" t="s">
        <v>43</v>
      </c>
      <c r="J286" s="1" t="s">
        <v>94</v>
      </c>
      <c r="K286" s="1" t="s">
        <v>139</v>
      </c>
      <c r="M286" s="1" t="s">
        <v>1029</v>
      </c>
      <c r="N286" s="3">
        <v>4</v>
      </c>
      <c r="O286" s="4">
        <v>45527</v>
      </c>
      <c r="P286" s="5" t="s">
        <v>644</v>
      </c>
      <c r="Q286" s="3">
        <v>4</v>
      </c>
      <c r="R286" s="6">
        <v>5.9</v>
      </c>
      <c r="S286" s="7" t="s">
        <v>66</v>
      </c>
      <c r="T286" s="4">
        <v>46203</v>
      </c>
      <c r="U286" s="4">
        <v>33492</v>
      </c>
      <c r="V286" s="4">
        <f t="shared" ca="1" si="36"/>
        <v>45919</v>
      </c>
      <c r="W286" s="8">
        <f ca="1">(V286-U286)/365.25</f>
        <v>34.02327173169062</v>
      </c>
    </row>
    <row r="287" spans="1:23" x14ac:dyDescent="0.2">
      <c r="A287" s="1" t="s">
        <v>24</v>
      </c>
      <c r="B287" s="1" t="s">
        <v>25</v>
      </c>
      <c r="C287" s="1" t="s">
        <v>26</v>
      </c>
      <c r="D287" s="1" t="s">
        <v>213</v>
      </c>
      <c r="E287" s="1">
        <v>9</v>
      </c>
      <c r="F287" s="1" t="s">
        <v>1030</v>
      </c>
      <c r="G287" s="1" t="s">
        <v>1031</v>
      </c>
      <c r="I287" s="1" t="s">
        <v>24</v>
      </c>
      <c r="J287" s="1" t="s">
        <v>24</v>
      </c>
      <c r="K287" s="1" t="s">
        <v>139</v>
      </c>
      <c r="M287" s="1" t="s">
        <v>1032</v>
      </c>
      <c r="N287" s="3">
        <v>1</v>
      </c>
      <c r="O287" s="4">
        <v>41091</v>
      </c>
      <c r="P287" s="5" t="s">
        <v>271</v>
      </c>
      <c r="Q287" s="3">
        <v>0.1</v>
      </c>
      <c r="R287" s="6">
        <v>1.24</v>
      </c>
      <c r="S287" s="7" t="s">
        <v>98</v>
      </c>
      <c r="T287" s="4">
        <v>45838</v>
      </c>
      <c r="U287" s="4">
        <v>31788</v>
      </c>
      <c r="V287" s="4">
        <f t="shared" ca="1" si="36"/>
        <v>45919</v>
      </c>
      <c r="W287" s="8">
        <f t="shared" ref="W287" ca="1" si="39">(V287-U287)/365.25</f>
        <v>38.688569472963721</v>
      </c>
    </row>
    <row r="288" spans="1:23" x14ac:dyDescent="0.2">
      <c r="A288" s="1" t="s">
        <v>24</v>
      </c>
      <c r="B288" s="1" t="s">
        <v>25</v>
      </c>
      <c r="C288" s="1" t="s">
        <v>26</v>
      </c>
      <c r="D288" s="5" t="s">
        <v>357</v>
      </c>
      <c r="E288" s="1">
        <v>1</v>
      </c>
      <c r="F288" s="1" t="s">
        <v>35</v>
      </c>
      <c r="G288" s="1" t="s">
        <v>1033</v>
      </c>
      <c r="I288" s="1" t="s">
        <v>37</v>
      </c>
      <c r="J288" s="1" t="s">
        <v>37</v>
      </c>
      <c r="K288" s="1" t="s">
        <v>31</v>
      </c>
      <c r="M288" s="1" t="s">
        <v>1034</v>
      </c>
      <c r="N288" s="3">
        <v>28</v>
      </c>
      <c r="O288" s="4">
        <v>43300</v>
      </c>
      <c r="P288" s="5" t="s">
        <v>157</v>
      </c>
      <c r="Q288" s="3">
        <v>60</v>
      </c>
      <c r="R288" s="6">
        <v>62.5</v>
      </c>
      <c r="S288" s="7" t="s">
        <v>34</v>
      </c>
      <c r="T288" s="4">
        <v>46568</v>
      </c>
      <c r="U288" s="4">
        <v>33879</v>
      </c>
      <c r="V288" s="4">
        <f ca="1">TODAY()</f>
        <v>45919</v>
      </c>
      <c r="W288" s="8">
        <f ca="1">(V288-U288)/365.25</f>
        <v>32.963723477070502</v>
      </c>
    </row>
    <row r="289" spans="1:23" x14ac:dyDescent="0.2">
      <c r="A289" s="1" t="s">
        <v>24</v>
      </c>
      <c r="B289" s="1" t="s">
        <v>25</v>
      </c>
      <c r="C289" s="1" t="s">
        <v>26</v>
      </c>
      <c r="D289" s="5" t="s">
        <v>357</v>
      </c>
      <c r="E289" s="1">
        <v>62</v>
      </c>
      <c r="F289" s="1" t="s">
        <v>1035</v>
      </c>
      <c r="G289" s="1" t="s">
        <v>1036</v>
      </c>
      <c r="I289" s="1" t="s">
        <v>250</v>
      </c>
      <c r="J289" s="1" t="s">
        <v>250</v>
      </c>
      <c r="K289" s="1" t="s">
        <v>31</v>
      </c>
      <c r="M289" s="1" t="s">
        <v>1037</v>
      </c>
      <c r="N289" s="3">
        <v>20</v>
      </c>
      <c r="O289" s="4">
        <v>43647</v>
      </c>
      <c r="P289" s="5" t="s">
        <v>1038</v>
      </c>
      <c r="Q289" s="3">
        <v>0</v>
      </c>
      <c r="R289" s="6">
        <v>0</v>
      </c>
      <c r="S289" s="7" t="s">
        <v>98</v>
      </c>
      <c r="T289" s="4">
        <v>46203</v>
      </c>
      <c r="U289" s="4">
        <v>36122</v>
      </c>
      <c r="V289" s="4">
        <f t="shared" ref="V289:V311" ca="1" si="40">TODAY()</f>
        <v>45919</v>
      </c>
      <c r="W289" s="8">
        <f t="shared" ref="W289:W311" ca="1" si="41">(V289-U289)/365.25</f>
        <v>26.822724161533195</v>
      </c>
    </row>
    <row r="290" spans="1:23" x14ac:dyDescent="0.2">
      <c r="A290" s="1" t="s">
        <v>24</v>
      </c>
      <c r="B290" s="1" t="s">
        <v>25</v>
      </c>
      <c r="C290" s="1" t="s">
        <v>26</v>
      </c>
      <c r="D290" s="5" t="s">
        <v>357</v>
      </c>
      <c r="E290" s="1">
        <v>56</v>
      </c>
      <c r="F290" s="1" t="s">
        <v>1039</v>
      </c>
      <c r="G290" s="1" t="s">
        <v>1040</v>
      </c>
      <c r="I290" s="1" t="s">
        <v>1041</v>
      </c>
      <c r="J290" s="1" t="s">
        <v>1041</v>
      </c>
      <c r="K290" s="1" t="s">
        <v>31</v>
      </c>
      <c r="M290" s="1" t="s">
        <v>1042</v>
      </c>
      <c r="N290" s="3">
        <v>5</v>
      </c>
      <c r="O290" s="4">
        <v>45474</v>
      </c>
      <c r="P290" s="5" t="s">
        <v>1038</v>
      </c>
      <c r="Q290" s="3">
        <v>5</v>
      </c>
      <c r="R290" s="6">
        <v>0</v>
      </c>
      <c r="S290" s="7" t="s">
        <v>98</v>
      </c>
      <c r="T290" s="4">
        <v>45838</v>
      </c>
      <c r="U290" s="4">
        <v>37095</v>
      </c>
      <c r="V290" s="4">
        <f t="shared" ca="1" si="40"/>
        <v>45919</v>
      </c>
      <c r="W290" s="8">
        <f t="shared" ca="1" si="41"/>
        <v>24.158795345653662</v>
      </c>
    </row>
    <row r="291" spans="1:23" x14ac:dyDescent="0.2">
      <c r="A291" s="1" t="s">
        <v>24</v>
      </c>
      <c r="B291" s="1" t="s">
        <v>25</v>
      </c>
      <c r="C291" s="1" t="s">
        <v>26</v>
      </c>
      <c r="D291" s="5" t="s">
        <v>357</v>
      </c>
      <c r="E291" s="1">
        <v>5</v>
      </c>
      <c r="F291" s="1" t="s">
        <v>1043</v>
      </c>
      <c r="G291" s="1" t="s">
        <v>1044</v>
      </c>
      <c r="I291" s="1" t="s">
        <v>43</v>
      </c>
      <c r="J291" s="1" t="s">
        <v>43</v>
      </c>
      <c r="K291" s="1" t="s">
        <v>44</v>
      </c>
      <c r="M291" s="1" t="s">
        <v>1045</v>
      </c>
      <c r="N291" s="3">
        <v>45</v>
      </c>
      <c r="O291" s="4">
        <v>44378</v>
      </c>
      <c r="P291" s="5" t="s">
        <v>619</v>
      </c>
      <c r="Q291" s="3">
        <v>35</v>
      </c>
      <c r="R291" s="6">
        <v>40</v>
      </c>
      <c r="S291" s="7" t="s">
        <v>34</v>
      </c>
      <c r="T291" s="4">
        <v>46203</v>
      </c>
      <c r="U291" s="4">
        <v>36305</v>
      </c>
      <c r="V291" s="4">
        <f t="shared" ca="1" si="40"/>
        <v>45919</v>
      </c>
      <c r="W291" s="8">
        <f ca="1">(V291-U291)/365.25</f>
        <v>26.321697467488022</v>
      </c>
    </row>
    <row r="292" spans="1:23" x14ac:dyDescent="0.2">
      <c r="A292" s="1" t="s">
        <v>24</v>
      </c>
      <c r="B292" s="1" t="s">
        <v>25</v>
      </c>
      <c r="C292" s="1" t="s">
        <v>26</v>
      </c>
      <c r="D292" s="5" t="s">
        <v>357</v>
      </c>
      <c r="E292" s="1">
        <v>4</v>
      </c>
      <c r="F292" s="1" t="s">
        <v>1046</v>
      </c>
      <c r="G292" s="1" t="s">
        <v>1047</v>
      </c>
      <c r="I292" s="1" t="s">
        <v>52</v>
      </c>
      <c r="J292" s="1" t="s">
        <v>52</v>
      </c>
      <c r="K292" s="1" t="s">
        <v>44</v>
      </c>
      <c r="M292" s="1" t="s">
        <v>1048</v>
      </c>
      <c r="N292" s="3">
        <v>30</v>
      </c>
      <c r="O292" s="4">
        <v>43101</v>
      </c>
      <c r="P292" s="5" t="s">
        <v>597</v>
      </c>
      <c r="Q292" s="3">
        <v>30</v>
      </c>
      <c r="R292" s="6">
        <v>84.65</v>
      </c>
      <c r="S292" s="7" t="s">
        <v>34</v>
      </c>
      <c r="T292" s="4">
        <v>45838</v>
      </c>
      <c r="U292" s="4">
        <v>33427</v>
      </c>
      <c r="V292" s="4">
        <f t="shared" ca="1" si="40"/>
        <v>45919</v>
      </c>
      <c r="W292" s="8">
        <f t="shared" ca="1" si="41"/>
        <v>34.201232032854207</v>
      </c>
    </row>
    <row r="293" spans="1:23" x14ac:dyDescent="0.2">
      <c r="A293" s="1" t="s">
        <v>24</v>
      </c>
      <c r="B293" s="1" t="s">
        <v>25</v>
      </c>
      <c r="C293" s="1" t="s">
        <v>26</v>
      </c>
      <c r="D293" s="5" t="s">
        <v>357</v>
      </c>
      <c r="E293" s="1">
        <v>2</v>
      </c>
      <c r="F293" s="1" t="s">
        <v>148</v>
      </c>
      <c r="G293" s="1" t="s">
        <v>1049</v>
      </c>
      <c r="I293" s="1" t="s">
        <v>24</v>
      </c>
      <c r="J293" s="1" t="s">
        <v>24</v>
      </c>
      <c r="K293" s="1" t="s">
        <v>44</v>
      </c>
      <c r="M293" s="1" t="s">
        <v>1050</v>
      </c>
      <c r="N293" s="3">
        <v>28</v>
      </c>
      <c r="O293" s="4">
        <v>42186</v>
      </c>
      <c r="P293" s="5" t="s">
        <v>1051</v>
      </c>
      <c r="Q293" s="3">
        <v>2.5</v>
      </c>
      <c r="R293" s="6">
        <v>4.9000000000000004</v>
      </c>
      <c r="S293" s="7" t="s">
        <v>34</v>
      </c>
      <c r="T293" s="4">
        <v>46568</v>
      </c>
      <c r="U293" s="4">
        <v>35573</v>
      </c>
      <c r="V293" s="4">
        <f t="shared" ca="1" si="40"/>
        <v>45919</v>
      </c>
      <c r="W293" s="8">
        <f ca="1">(V293-U293)/365.25</f>
        <v>28.325804243668721</v>
      </c>
    </row>
    <row r="294" spans="1:23" x14ac:dyDescent="0.2">
      <c r="A294" s="1" t="s">
        <v>24</v>
      </c>
      <c r="B294" s="1" t="s">
        <v>25</v>
      </c>
      <c r="C294" s="1" t="s">
        <v>26</v>
      </c>
      <c r="D294" s="5" t="s">
        <v>357</v>
      </c>
      <c r="E294" s="1">
        <v>78</v>
      </c>
      <c r="F294" s="1" t="s">
        <v>1052</v>
      </c>
      <c r="G294" s="1" t="s">
        <v>1053</v>
      </c>
      <c r="I294" s="1" t="s">
        <v>24</v>
      </c>
      <c r="J294" s="1" t="s">
        <v>24</v>
      </c>
      <c r="K294" s="1" t="s">
        <v>44</v>
      </c>
      <c r="M294" s="1" t="s">
        <v>1054</v>
      </c>
      <c r="N294" s="3">
        <v>22</v>
      </c>
      <c r="O294" s="4">
        <v>45108</v>
      </c>
      <c r="P294" s="5" t="s">
        <v>1038</v>
      </c>
      <c r="Q294" s="3">
        <v>0.4</v>
      </c>
      <c r="R294" s="6">
        <v>0</v>
      </c>
      <c r="S294" s="7" t="s">
        <v>34</v>
      </c>
      <c r="T294" s="4" t="s">
        <v>35</v>
      </c>
      <c r="U294" s="4">
        <v>37650</v>
      </c>
      <c r="V294" s="4">
        <f t="shared" ca="1" si="40"/>
        <v>45919</v>
      </c>
      <c r="W294" s="8">
        <f t="shared" ca="1" si="41"/>
        <v>22.639288158795345</v>
      </c>
    </row>
    <row r="295" spans="1:23" x14ac:dyDescent="0.2">
      <c r="A295" s="1" t="s">
        <v>24</v>
      </c>
      <c r="B295" s="1" t="s">
        <v>25</v>
      </c>
      <c r="C295" s="1" t="s">
        <v>26</v>
      </c>
      <c r="D295" s="5" t="s">
        <v>357</v>
      </c>
      <c r="E295" s="1">
        <v>26</v>
      </c>
      <c r="F295" s="1" t="s">
        <v>1055</v>
      </c>
      <c r="G295" s="1" t="s">
        <v>1056</v>
      </c>
      <c r="I295" s="1" t="s">
        <v>75</v>
      </c>
      <c r="J295" s="1" t="s">
        <v>75</v>
      </c>
      <c r="K295" s="1" t="s">
        <v>63</v>
      </c>
      <c r="M295" s="1" t="s">
        <v>1057</v>
      </c>
      <c r="N295" s="3">
        <v>30</v>
      </c>
      <c r="O295" s="4">
        <v>42937</v>
      </c>
      <c r="P295" s="5" t="s">
        <v>232</v>
      </c>
      <c r="Q295" s="3">
        <v>7</v>
      </c>
      <c r="R295" s="6">
        <v>9</v>
      </c>
      <c r="S295" s="7" t="s">
        <v>34</v>
      </c>
      <c r="T295" s="4">
        <v>46203</v>
      </c>
      <c r="U295" s="4">
        <v>34404</v>
      </c>
      <c r="V295" s="4">
        <f t="shared" ca="1" si="40"/>
        <v>45919</v>
      </c>
      <c r="W295" s="8">
        <f t="shared" ca="1" si="41"/>
        <v>31.526351813826146</v>
      </c>
    </row>
    <row r="296" spans="1:23" x14ac:dyDescent="0.2">
      <c r="A296" s="1" t="s">
        <v>24</v>
      </c>
      <c r="B296" s="1" t="s">
        <v>25</v>
      </c>
      <c r="C296" s="1" t="s">
        <v>26</v>
      </c>
      <c r="D296" s="5" t="s">
        <v>357</v>
      </c>
      <c r="E296" s="1">
        <v>21</v>
      </c>
      <c r="F296" s="1" t="s">
        <v>1058</v>
      </c>
      <c r="G296" s="1" t="s">
        <v>1059</v>
      </c>
      <c r="I296" s="1" t="s">
        <v>1060</v>
      </c>
      <c r="J296" s="1" t="s">
        <v>1060</v>
      </c>
      <c r="K296" s="1" t="s">
        <v>63</v>
      </c>
      <c r="M296" s="1" t="s">
        <v>1061</v>
      </c>
      <c r="N296" s="3">
        <v>22</v>
      </c>
      <c r="O296" s="4">
        <v>44053</v>
      </c>
      <c r="P296" s="5" t="s">
        <v>1062</v>
      </c>
      <c r="Q296" s="3">
        <v>9</v>
      </c>
      <c r="R296" s="6">
        <v>13</v>
      </c>
      <c r="S296" s="7" t="s">
        <v>34</v>
      </c>
      <c r="T296" s="4">
        <v>46568</v>
      </c>
      <c r="U296" s="4">
        <v>35197</v>
      </c>
      <c r="V296" s="4">
        <f t="shared" ca="1" si="40"/>
        <v>45919</v>
      </c>
      <c r="W296" s="8">
        <f ca="1">(V296-U296)/365.25</f>
        <v>29.355236139630389</v>
      </c>
    </row>
    <row r="297" spans="1:23" x14ac:dyDescent="0.2">
      <c r="A297" s="1" t="s">
        <v>24</v>
      </c>
      <c r="B297" s="1" t="s">
        <v>25</v>
      </c>
      <c r="C297" s="1" t="s">
        <v>26</v>
      </c>
      <c r="D297" s="5" t="s">
        <v>357</v>
      </c>
      <c r="E297" s="1">
        <v>66</v>
      </c>
      <c r="F297" s="1" t="s">
        <v>1063</v>
      </c>
      <c r="G297" s="1" t="s">
        <v>1064</v>
      </c>
      <c r="I297" s="1" t="s">
        <v>24</v>
      </c>
      <c r="J297" s="1" t="s">
        <v>24</v>
      </c>
      <c r="K297" s="1" t="s">
        <v>80</v>
      </c>
      <c r="M297" s="1" t="s">
        <v>1065</v>
      </c>
      <c r="N297" s="3">
        <v>70</v>
      </c>
      <c r="O297" s="4">
        <v>42552</v>
      </c>
      <c r="P297" s="5" t="s">
        <v>1038</v>
      </c>
      <c r="Q297" s="3">
        <v>0</v>
      </c>
      <c r="R297" s="6">
        <v>0</v>
      </c>
      <c r="S297" s="7" t="s">
        <v>34</v>
      </c>
      <c r="T297" s="4">
        <v>45838</v>
      </c>
      <c r="U297" s="4">
        <v>36075</v>
      </c>
      <c r="V297" s="4">
        <f t="shared" ca="1" si="40"/>
        <v>45919</v>
      </c>
      <c r="W297" s="8">
        <f t="shared" ca="1" si="41"/>
        <v>26.951403148528406</v>
      </c>
    </row>
    <row r="298" spans="1:23" x14ac:dyDescent="0.2">
      <c r="A298" s="1" t="s">
        <v>24</v>
      </c>
      <c r="B298" s="1" t="s">
        <v>25</v>
      </c>
      <c r="C298" s="1" t="s">
        <v>26</v>
      </c>
      <c r="D298" s="5" t="s">
        <v>357</v>
      </c>
      <c r="E298" s="1">
        <v>84</v>
      </c>
      <c r="F298" s="1" t="s">
        <v>901</v>
      </c>
      <c r="G298" s="1" t="s">
        <v>1066</v>
      </c>
      <c r="I298" s="1" t="s">
        <v>1067</v>
      </c>
      <c r="J298" s="1" t="s">
        <v>1067</v>
      </c>
      <c r="K298" s="1" t="s">
        <v>80</v>
      </c>
      <c r="M298" s="1" t="s">
        <v>1068</v>
      </c>
      <c r="N298" s="3">
        <v>15</v>
      </c>
      <c r="O298" s="4">
        <v>45108</v>
      </c>
      <c r="P298" s="5" t="s">
        <v>1038</v>
      </c>
      <c r="Q298" s="3">
        <v>1.5</v>
      </c>
      <c r="R298" s="6">
        <v>0</v>
      </c>
      <c r="S298" s="7" t="s">
        <v>34</v>
      </c>
      <c r="T298" s="4">
        <v>46568</v>
      </c>
      <c r="U298" s="4">
        <v>37811</v>
      </c>
      <c r="V298" s="4">
        <f t="shared" ca="1" si="40"/>
        <v>45919</v>
      </c>
      <c r="W298" s="8">
        <f t="shared" ca="1" si="41"/>
        <v>22.198494182067076</v>
      </c>
    </row>
    <row r="299" spans="1:23" x14ac:dyDescent="0.2">
      <c r="A299" s="1" t="s">
        <v>24</v>
      </c>
      <c r="B299" s="1" t="s">
        <v>25</v>
      </c>
      <c r="C299" s="1" t="s">
        <v>26</v>
      </c>
      <c r="D299" s="5" t="s">
        <v>357</v>
      </c>
      <c r="E299" s="1">
        <v>38</v>
      </c>
      <c r="F299" s="1" t="s">
        <v>307</v>
      </c>
      <c r="G299" s="1" t="s">
        <v>1069</v>
      </c>
      <c r="I299" s="1" t="s">
        <v>52</v>
      </c>
      <c r="J299" s="1" t="s">
        <v>52</v>
      </c>
      <c r="K299" s="1" t="s">
        <v>95</v>
      </c>
      <c r="M299" s="1" t="s">
        <v>1070</v>
      </c>
      <c r="N299" s="3">
        <v>40</v>
      </c>
      <c r="O299" s="4">
        <v>45170</v>
      </c>
      <c r="P299" s="5" t="s">
        <v>671</v>
      </c>
      <c r="Q299" s="3">
        <v>30</v>
      </c>
      <c r="R299" s="6">
        <v>40</v>
      </c>
      <c r="S299" s="7" t="s">
        <v>34</v>
      </c>
      <c r="T299" s="4">
        <v>46934</v>
      </c>
      <c r="U299" s="4">
        <v>37392</v>
      </c>
      <c r="V299" s="4">
        <f t="shared" ca="1" si="40"/>
        <v>45919</v>
      </c>
      <c r="W299" s="8">
        <f ca="1">(V299-U299)/365.25</f>
        <v>23.345653661875428</v>
      </c>
    </row>
    <row r="300" spans="1:23" x14ac:dyDescent="0.2">
      <c r="A300" s="1" t="s">
        <v>24</v>
      </c>
      <c r="B300" s="1" t="s">
        <v>25</v>
      </c>
      <c r="C300" s="1" t="s">
        <v>26</v>
      </c>
      <c r="D300" s="5" t="s">
        <v>357</v>
      </c>
      <c r="E300" s="1">
        <v>3</v>
      </c>
      <c r="F300" s="1" t="s">
        <v>1071</v>
      </c>
      <c r="G300" s="1" t="s">
        <v>1072</v>
      </c>
      <c r="I300" s="1" t="s">
        <v>85</v>
      </c>
      <c r="J300" s="1" t="s">
        <v>85</v>
      </c>
      <c r="K300" s="1" t="s">
        <v>95</v>
      </c>
      <c r="M300" s="1" t="s">
        <v>1073</v>
      </c>
      <c r="N300" s="3">
        <v>13</v>
      </c>
      <c r="O300" s="4">
        <v>45156</v>
      </c>
      <c r="P300" s="5" t="s">
        <v>1074</v>
      </c>
      <c r="Q300" s="3">
        <v>6.5</v>
      </c>
      <c r="R300" s="6">
        <v>20</v>
      </c>
      <c r="S300" s="7" t="s">
        <v>34</v>
      </c>
      <c r="T300" s="4">
        <v>46568</v>
      </c>
      <c r="U300" s="4">
        <v>34009</v>
      </c>
      <c r="V300" s="4">
        <f t="shared" ca="1" si="40"/>
        <v>45919</v>
      </c>
      <c r="W300" s="8">
        <f t="shared" ref="W300" ca="1" si="42">(V300-U300)/365.25</f>
        <v>32.607802874743328</v>
      </c>
    </row>
    <row r="301" spans="1:23" x14ac:dyDescent="0.2">
      <c r="A301" s="1" t="s">
        <v>24</v>
      </c>
      <c r="B301" s="1" t="s">
        <v>25</v>
      </c>
      <c r="C301" s="1" t="s">
        <v>26</v>
      </c>
      <c r="D301" s="5" t="s">
        <v>357</v>
      </c>
      <c r="E301" s="1">
        <v>80</v>
      </c>
      <c r="F301" s="1" t="s">
        <v>291</v>
      </c>
      <c r="G301" s="1" t="s">
        <v>1075</v>
      </c>
      <c r="I301" s="1" t="s">
        <v>24</v>
      </c>
      <c r="J301" s="1" t="s">
        <v>24</v>
      </c>
      <c r="K301" s="1" t="s">
        <v>95</v>
      </c>
      <c r="M301" s="1" t="s">
        <v>1076</v>
      </c>
      <c r="N301" s="3">
        <v>8</v>
      </c>
      <c r="O301" s="4">
        <v>45474</v>
      </c>
      <c r="P301" s="5" t="s">
        <v>1038</v>
      </c>
      <c r="Q301" s="3">
        <v>8</v>
      </c>
      <c r="R301" s="6">
        <v>0</v>
      </c>
      <c r="S301" s="7" t="s">
        <v>98</v>
      </c>
      <c r="T301" s="4" t="s">
        <v>35</v>
      </c>
      <c r="U301" s="4">
        <v>37560</v>
      </c>
      <c r="V301" s="4">
        <f t="shared" ca="1" si="40"/>
        <v>45919</v>
      </c>
      <c r="W301" s="8">
        <f t="shared" ca="1" si="41"/>
        <v>22.885694729637233</v>
      </c>
    </row>
    <row r="302" spans="1:23" x14ac:dyDescent="0.2">
      <c r="A302" s="1" t="s">
        <v>24</v>
      </c>
      <c r="B302" s="1" t="s">
        <v>25</v>
      </c>
      <c r="C302" s="1" t="s">
        <v>26</v>
      </c>
      <c r="D302" s="5" t="s">
        <v>357</v>
      </c>
      <c r="E302" s="1">
        <v>10</v>
      </c>
      <c r="F302" s="1" t="s">
        <v>1077</v>
      </c>
      <c r="G302" s="1" t="s">
        <v>1078</v>
      </c>
      <c r="I302" s="1" t="s">
        <v>146</v>
      </c>
      <c r="J302" s="1" t="s">
        <v>146</v>
      </c>
      <c r="K302" s="1" t="s">
        <v>89</v>
      </c>
      <c r="M302" s="1" t="s">
        <v>1079</v>
      </c>
      <c r="N302" s="3">
        <v>75</v>
      </c>
      <c r="O302" s="4">
        <v>45108</v>
      </c>
      <c r="P302" s="5" t="s">
        <v>82</v>
      </c>
      <c r="Q302" s="3">
        <v>65</v>
      </c>
      <c r="R302" s="6">
        <v>42</v>
      </c>
      <c r="S302" s="7" t="s">
        <v>34</v>
      </c>
      <c r="T302" s="4">
        <v>46934</v>
      </c>
      <c r="U302" s="4">
        <v>36153</v>
      </c>
      <c r="V302" s="4">
        <f t="shared" ca="1" si="40"/>
        <v>45919</v>
      </c>
      <c r="W302" s="8">
        <f ca="1">(V302-U302)/365.25</f>
        <v>26.7378507871321</v>
      </c>
    </row>
    <row r="303" spans="1:23" x14ac:dyDescent="0.2">
      <c r="A303" s="1" t="s">
        <v>24</v>
      </c>
      <c r="B303" s="1" t="s">
        <v>25</v>
      </c>
      <c r="C303" s="1" t="s">
        <v>26</v>
      </c>
      <c r="D303" s="5" t="s">
        <v>357</v>
      </c>
      <c r="E303" s="1">
        <v>17</v>
      </c>
      <c r="F303" s="1" t="s">
        <v>1080</v>
      </c>
      <c r="G303" s="1" t="s">
        <v>1081</v>
      </c>
      <c r="I303" s="1" t="s">
        <v>24</v>
      </c>
      <c r="J303" s="1" t="s">
        <v>24</v>
      </c>
      <c r="K303" s="1" t="s">
        <v>89</v>
      </c>
      <c r="M303" s="1" t="s">
        <v>1082</v>
      </c>
      <c r="N303" s="3">
        <v>35</v>
      </c>
      <c r="O303" s="4">
        <v>44013</v>
      </c>
      <c r="P303" s="5" t="s">
        <v>1038</v>
      </c>
      <c r="Q303" s="3">
        <v>1.8</v>
      </c>
      <c r="R303" s="6">
        <v>0</v>
      </c>
      <c r="S303" s="7" t="s">
        <v>34</v>
      </c>
      <c r="T303" s="4">
        <v>46568</v>
      </c>
      <c r="U303" s="4">
        <v>36921</v>
      </c>
      <c r="V303" s="4">
        <f t="shared" ca="1" si="40"/>
        <v>45919</v>
      </c>
      <c r="W303" s="8">
        <f ca="1">(V303-U303)/365.25</f>
        <v>24.635181382614647</v>
      </c>
    </row>
    <row r="304" spans="1:23" x14ac:dyDescent="0.2">
      <c r="A304" s="1" t="s">
        <v>24</v>
      </c>
      <c r="B304" s="1" t="s">
        <v>25</v>
      </c>
      <c r="C304" s="1" t="s">
        <v>26</v>
      </c>
      <c r="D304" s="5" t="s">
        <v>357</v>
      </c>
      <c r="E304" s="1">
        <v>19</v>
      </c>
      <c r="F304" s="1" t="s">
        <v>1083</v>
      </c>
      <c r="G304" s="1" t="s">
        <v>1084</v>
      </c>
      <c r="I304" s="1" t="s">
        <v>24</v>
      </c>
      <c r="J304" s="1" t="s">
        <v>24</v>
      </c>
      <c r="K304" s="1" t="s">
        <v>89</v>
      </c>
      <c r="M304" s="1" t="s">
        <v>1085</v>
      </c>
      <c r="N304" s="3">
        <v>35</v>
      </c>
      <c r="O304" s="4">
        <v>44378</v>
      </c>
      <c r="P304" s="5" t="s">
        <v>1038</v>
      </c>
      <c r="Q304" s="3">
        <v>15</v>
      </c>
      <c r="R304" s="6">
        <v>0</v>
      </c>
      <c r="S304" s="7" t="s">
        <v>34</v>
      </c>
      <c r="T304" s="4">
        <v>46568</v>
      </c>
      <c r="U304" s="4">
        <v>37715</v>
      </c>
      <c r="V304" s="4">
        <f t="shared" ca="1" si="40"/>
        <v>45919</v>
      </c>
      <c r="W304" s="8">
        <f ca="1">(V304-U304)/365.25</f>
        <v>22.461327857631758</v>
      </c>
    </row>
    <row r="305" spans="1:23" x14ac:dyDescent="0.2">
      <c r="A305" s="1" t="s">
        <v>24</v>
      </c>
      <c r="B305" s="1" t="s">
        <v>25</v>
      </c>
      <c r="C305" s="1" t="s">
        <v>26</v>
      </c>
      <c r="D305" s="5" t="s">
        <v>357</v>
      </c>
      <c r="E305" s="1">
        <v>8</v>
      </c>
      <c r="F305" s="1" t="s">
        <v>1086</v>
      </c>
      <c r="G305" s="1" t="s">
        <v>1087</v>
      </c>
      <c r="I305" s="1" t="s">
        <v>274</v>
      </c>
      <c r="J305" s="1" t="s">
        <v>274</v>
      </c>
      <c r="K305" s="1" t="s">
        <v>113</v>
      </c>
      <c r="M305" s="1" t="s">
        <v>1088</v>
      </c>
      <c r="N305" s="3">
        <v>75</v>
      </c>
      <c r="O305" s="4">
        <v>45109</v>
      </c>
      <c r="P305" s="1" t="s">
        <v>619</v>
      </c>
      <c r="Q305" s="3">
        <v>50</v>
      </c>
      <c r="R305" s="6">
        <v>70</v>
      </c>
      <c r="S305" s="7" t="s">
        <v>34</v>
      </c>
      <c r="T305" s="4">
        <v>46934</v>
      </c>
      <c r="U305" s="4">
        <v>36824</v>
      </c>
      <c r="V305" s="4">
        <f t="shared" ca="1" si="40"/>
        <v>45919</v>
      </c>
      <c r="W305" s="8">
        <f ca="1">(V305-U305)/365.25</f>
        <v>24.90075290896646</v>
      </c>
    </row>
    <row r="306" spans="1:23" x14ac:dyDescent="0.2">
      <c r="A306" s="1" t="s">
        <v>24</v>
      </c>
      <c r="B306" s="1" t="s">
        <v>25</v>
      </c>
      <c r="C306" s="1" t="s">
        <v>26</v>
      </c>
      <c r="D306" s="5" t="s">
        <v>357</v>
      </c>
      <c r="E306" s="1">
        <v>7</v>
      </c>
      <c r="F306" s="1" t="s">
        <v>321</v>
      </c>
      <c r="G306" s="1" t="s">
        <v>1089</v>
      </c>
      <c r="I306" s="1" t="s">
        <v>242</v>
      </c>
      <c r="J306" s="1" t="s">
        <v>242</v>
      </c>
      <c r="K306" s="1" t="s">
        <v>120</v>
      </c>
      <c r="M306" s="1" t="s">
        <v>1090</v>
      </c>
      <c r="N306" s="3">
        <v>80</v>
      </c>
      <c r="O306" s="4">
        <v>44591</v>
      </c>
      <c r="P306" s="5" t="s">
        <v>333</v>
      </c>
      <c r="Q306" s="3">
        <v>40</v>
      </c>
      <c r="R306" s="6">
        <v>52</v>
      </c>
      <c r="S306" s="7" t="s">
        <v>34</v>
      </c>
      <c r="T306" s="4">
        <v>46568</v>
      </c>
      <c r="U306" s="4">
        <v>35443</v>
      </c>
      <c r="V306" s="4">
        <f t="shared" ca="1" si="40"/>
        <v>45919</v>
      </c>
      <c r="W306" s="8">
        <f t="shared" ca="1" si="41"/>
        <v>28.681724845995895</v>
      </c>
    </row>
    <row r="307" spans="1:23" x14ac:dyDescent="0.2">
      <c r="A307" s="1" t="s">
        <v>24</v>
      </c>
      <c r="B307" s="1" t="s">
        <v>25</v>
      </c>
      <c r="C307" s="1" t="s">
        <v>26</v>
      </c>
      <c r="D307" s="5" t="s">
        <v>357</v>
      </c>
      <c r="E307" s="1">
        <v>18</v>
      </c>
      <c r="F307" s="1" t="s">
        <v>1091</v>
      </c>
      <c r="G307" s="1" t="s">
        <v>1092</v>
      </c>
      <c r="I307" s="1" t="s">
        <v>52</v>
      </c>
      <c r="J307" s="1" t="s">
        <v>52</v>
      </c>
      <c r="K307" s="1" t="s">
        <v>120</v>
      </c>
      <c r="M307" s="1" t="s">
        <v>1093</v>
      </c>
      <c r="N307" s="3">
        <v>55</v>
      </c>
      <c r="O307" s="4">
        <v>44927</v>
      </c>
      <c r="P307" s="5" t="s">
        <v>632</v>
      </c>
      <c r="Q307" s="3">
        <v>60</v>
      </c>
      <c r="R307" s="6">
        <v>42</v>
      </c>
      <c r="S307" s="7" t="s">
        <v>34</v>
      </c>
      <c r="T307" s="4">
        <v>46934</v>
      </c>
      <c r="U307" s="4">
        <v>36287</v>
      </c>
      <c r="V307" s="4">
        <f t="shared" ca="1" si="40"/>
        <v>45919</v>
      </c>
      <c r="W307" s="8">
        <f t="shared" ca="1" si="41"/>
        <v>26.370978781656401</v>
      </c>
    </row>
    <row r="308" spans="1:23" x14ac:dyDescent="0.2">
      <c r="A308" s="1" t="s">
        <v>24</v>
      </c>
      <c r="B308" s="1" t="s">
        <v>25</v>
      </c>
      <c r="C308" s="1" t="s">
        <v>26</v>
      </c>
      <c r="D308" s="5" t="s">
        <v>357</v>
      </c>
      <c r="E308" s="1">
        <v>11</v>
      </c>
      <c r="F308" s="1" t="s">
        <v>1094</v>
      </c>
      <c r="G308" s="1" t="s">
        <v>1095</v>
      </c>
      <c r="I308" s="1" t="s">
        <v>920</v>
      </c>
      <c r="J308" s="1" t="s">
        <v>920</v>
      </c>
      <c r="K308" s="1" t="s">
        <v>133</v>
      </c>
      <c r="M308" s="1" t="s">
        <v>1096</v>
      </c>
      <c r="N308" s="3">
        <v>55</v>
      </c>
      <c r="O308" s="4">
        <v>42917</v>
      </c>
      <c r="P308" s="5" t="s">
        <v>157</v>
      </c>
      <c r="Q308" s="3">
        <v>35</v>
      </c>
      <c r="R308" s="6">
        <v>42</v>
      </c>
      <c r="S308" s="7" t="s">
        <v>34</v>
      </c>
      <c r="T308" s="4">
        <v>45838</v>
      </c>
      <c r="U308" s="4">
        <v>33770</v>
      </c>
      <c r="V308" s="4">
        <f t="shared" ca="1" si="40"/>
        <v>45919</v>
      </c>
      <c r="W308" s="8">
        <f t="shared" ca="1" si="41"/>
        <v>33.262149212867897</v>
      </c>
    </row>
    <row r="309" spans="1:23" x14ac:dyDescent="0.2">
      <c r="A309" s="1" t="s">
        <v>24</v>
      </c>
      <c r="B309" s="1" t="s">
        <v>25</v>
      </c>
      <c r="C309" s="1" t="s">
        <v>26</v>
      </c>
      <c r="D309" s="5" t="s">
        <v>357</v>
      </c>
      <c r="E309" s="1">
        <v>14</v>
      </c>
      <c r="F309" s="1" t="s">
        <v>1097</v>
      </c>
      <c r="G309" s="1" t="s">
        <v>1098</v>
      </c>
      <c r="I309" s="1" t="s">
        <v>62</v>
      </c>
      <c r="J309" s="1" t="s">
        <v>62</v>
      </c>
      <c r="K309" s="1" t="s">
        <v>133</v>
      </c>
      <c r="M309" s="1" t="s">
        <v>1099</v>
      </c>
      <c r="N309" s="3">
        <v>30</v>
      </c>
      <c r="O309" s="4">
        <v>45533</v>
      </c>
      <c r="P309" s="5" t="s">
        <v>267</v>
      </c>
      <c r="Q309" s="3">
        <v>35</v>
      </c>
      <c r="R309" s="6">
        <v>12</v>
      </c>
      <c r="S309" s="7" t="s">
        <v>66</v>
      </c>
      <c r="T309" s="4">
        <v>46934</v>
      </c>
      <c r="U309" s="4">
        <v>35728</v>
      </c>
      <c r="V309" s="4">
        <f t="shared" ca="1" si="40"/>
        <v>45919</v>
      </c>
      <c r="W309" s="8">
        <f t="shared" ca="1" si="41"/>
        <v>27.901437371663246</v>
      </c>
    </row>
    <row r="310" spans="1:23" x14ac:dyDescent="0.2">
      <c r="A310" s="1" t="s">
        <v>24</v>
      </c>
      <c r="B310" s="1" t="s">
        <v>25</v>
      </c>
      <c r="C310" s="1" t="s">
        <v>26</v>
      </c>
      <c r="D310" s="5" t="s">
        <v>357</v>
      </c>
      <c r="E310" s="1">
        <v>9</v>
      </c>
      <c r="F310" s="1" t="s">
        <v>1100</v>
      </c>
      <c r="G310" s="1" t="s">
        <v>1101</v>
      </c>
      <c r="I310" s="1" t="s">
        <v>1102</v>
      </c>
      <c r="J310" s="1" t="s">
        <v>1102</v>
      </c>
      <c r="K310" s="1" t="s">
        <v>139</v>
      </c>
      <c r="M310" s="1" t="s">
        <v>1103</v>
      </c>
      <c r="N310" s="3">
        <v>65</v>
      </c>
      <c r="O310" s="4">
        <v>44743</v>
      </c>
      <c r="P310" s="5" t="s">
        <v>601</v>
      </c>
      <c r="Q310" s="3">
        <v>55</v>
      </c>
      <c r="R310" s="6">
        <v>85</v>
      </c>
      <c r="S310" s="7" t="s">
        <v>34</v>
      </c>
      <c r="T310" s="4">
        <v>46934</v>
      </c>
      <c r="U310" s="4">
        <v>36335</v>
      </c>
      <c r="V310" s="4">
        <f t="shared" ca="1" si="40"/>
        <v>45919</v>
      </c>
      <c r="W310" s="8">
        <f ca="1">(V310-U310)/365.25</f>
        <v>26.239561943874058</v>
      </c>
    </row>
    <row r="311" spans="1:23" x14ac:dyDescent="0.2">
      <c r="A311" s="1" t="s">
        <v>24</v>
      </c>
      <c r="B311" s="1" t="s">
        <v>25</v>
      </c>
      <c r="C311" s="1" t="s">
        <v>26</v>
      </c>
      <c r="D311" s="5" t="s">
        <v>357</v>
      </c>
      <c r="E311" s="1">
        <v>20</v>
      </c>
      <c r="F311" s="1" t="s">
        <v>1104</v>
      </c>
      <c r="G311" s="1" t="s">
        <v>1105</v>
      </c>
      <c r="I311" s="1" t="s">
        <v>416</v>
      </c>
      <c r="J311" s="1" t="s">
        <v>416</v>
      </c>
      <c r="K311" s="1" t="s">
        <v>139</v>
      </c>
      <c r="M311" s="1" t="s">
        <v>1106</v>
      </c>
      <c r="N311" s="3">
        <v>50</v>
      </c>
      <c r="O311" s="4">
        <v>44093</v>
      </c>
      <c r="P311" s="5" t="s">
        <v>175</v>
      </c>
      <c r="Q311" s="3">
        <v>28</v>
      </c>
      <c r="R311" s="6">
        <v>44.7</v>
      </c>
      <c r="S311" s="7" t="s">
        <v>34</v>
      </c>
      <c r="T311" s="4">
        <v>46568</v>
      </c>
      <c r="U311" s="4">
        <v>35403</v>
      </c>
      <c r="V311" s="4">
        <f t="shared" ca="1" si="40"/>
        <v>45919</v>
      </c>
      <c r="W311" s="8">
        <f t="shared" ca="1" si="41"/>
        <v>28.791238877481177</v>
      </c>
    </row>
    <row r="312" spans="1:23" x14ac:dyDescent="0.2">
      <c r="A312" s="1" t="s">
        <v>24</v>
      </c>
      <c r="B312" s="1" t="s">
        <v>25</v>
      </c>
      <c r="C312" s="1" t="s">
        <v>26</v>
      </c>
      <c r="D312" s="5" t="s">
        <v>71</v>
      </c>
      <c r="E312" s="1">
        <v>31</v>
      </c>
      <c r="F312" s="1" t="s">
        <v>35</v>
      </c>
      <c r="G312" s="1" t="s">
        <v>1107</v>
      </c>
      <c r="I312" s="1" t="s">
        <v>37</v>
      </c>
      <c r="J312" s="1" t="s">
        <v>37</v>
      </c>
      <c r="K312" s="1" t="s">
        <v>31</v>
      </c>
      <c r="M312" s="1" t="s">
        <v>1108</v>
      </c>
      <c r="N312" s="3">
        <v>35</v>
      </c>
      <c r="O312" s="4">
        <v>42917</v>
      </c>
      <c r="P312" s="4" t="s">
        <v>1109</v>
      </c>
      <c r="Q312" s="3">
        <v>22</v>
      </c>
      <c r="R312" s="6">
        <v>40</v>
      </c>
      <c r="S312" s="7" t="s">
        <v>34</v>
      </c>
      <c r="T312" s="4">
        <v>46203</v>
      </c>
      <c r="U312" s="4">
        <v>34198</v>
      </c>
      <c r="V312" s="4">
        <f ca="1">TODAY()</f>
        <v>45919</v>
      </c>
      <c r="W312" s="8">
        <f ca="1">(V312-U312)/365.25</f>
        <v>32.090349075975361</v>
      </c>
    </row>
    <row r="313" spans="1:23" x14ac:dyDescent="0.2">
      <c r="A313" s="1" t="s">
        <v>24</v>
      </c>
      <c r="B313" s="1" t="s">
        <v>25</v>
      </c>
      <c r="C313" s="1" t="s">
        <v>26</v>
      </c>
      <c r="D313" s="5" t="s">
        <v>71</v>
      </c>
      <c r="E313" s="1">
        <v>18</v>
      </c>
      <c r="F313" s="1" t="s">
        <v>1110</v>
      </c>
      <c r="G313" s="1" t="s">
        <v>1111</v>
      </c>
      <c r="I313" s="1" t="s">
        <v>138</v>
      </c>
      <c r="J313" s="1" t="s">
        <v>138</v>
      </c>
      <c r="K313" s="1" t="s">
        <v>31</v>
      </c>
      <c r="M313" s="1" t="s">
        <v>1112</v>
      </c>
      <c r="N313" s="3">
        <v>9</v>
      </c>
      <c r="O313" s="4">
        <v>44743</v>
      </c>
      <c r="P313" s="1" t="s">
        <v>1113</v>
      </c>
      <c r="Q313" s="3">
        <v>6</v>
      </c>
      <c r="R313" s="6" t="s">
        <v>205</v>
      </c>
      <c r="S313" s="7" t="s">
        <v>98</v>
      </c>
      <c r="T313" s="4">
        <v>46203</v>
      </c>
      <c r="U313" s="4">
        <v>33914</v>
      </c>
      <c r="V313" s="4">
        <f t="shared" ref="V313:V336" ca="1" si="43">TODAY()</f>
        <v>45919</v>
      </c>
      <c r="W313" s="8">
        <f t="shared" ref="W313:W336" ca="1" si="44">(V313-U313)/365.25</f>
        <v>32.867898699520879</v>
      </c>
    </row>
    <row r="314" spans="1:23" x14ac:dyDescent="0.2">
      <c r="A314" s="1" t="s">
        <v>24</v>
      </c>
      <c r="B314" s="1" t="s">
        <v>25</v>
      </c>
      <c r="C314" s="1" t="s">
        <v>26</v>
      </c>
      <c r="D314" s="5" t="s">
        <v>71</v>
      </c>
      <c r="E314" s="1">
        <v>33</v>
      </c>
      <c r="F314" s="1" t="s">
        <v>296</v>
      </c>
      <c r="G314" s="1" t="s">
        <v>1114</v>
      </c>
      <c r="I314" s="1" t="s">
        <v>24</v>
      </c>
      <c r="J314" s="1" t="s">
        <v>24</v>
      </c>
      <c r="K314" s="1" t="s">
        <v>31</v>
      </c>
      <c r="M314" s="1" t="s">
        <v>1115</v>
      </c>
      <c r="N314" s="3">
        <v>0.2</v>
      </c>
      <c r="O314" s="4">
        <v>43685</v>
      </c>
      <c r="P314" s="9" t="s">
        <v>1116</v>
      </c>
      <c r="Q314" s="3">
        <v>2</v>
      </c>
      <c r="R314" s="6" t="s">
        <v>205</v>
      </c>
      <c r="S314" s="7" t="s">
        <v>98</v>
      </c>
      <c r="T314" s="4">
        <v>45838</v>
      </c>
      <c r="U314" s="4">
        <v>31293</v>
      </c>
      <c r="V314" s="4">
        <f t="shared" ca="1" si="43"/>
        <v>45919</v>
      </c>
      <c r="W314" s="8">
        <f t="shared" ca="1" si="44"/>
        <v>40.043805612594113</v>
      </c>
    </row>
    <row r="315" spans="1:23" x14ac:dyDescent="0.2">
      <c r="A315" s="1" t="s">
        <v>24</v>
      </c>
      <c r="B315" s="1" t="s">
        <v>25</v>
      </c>
      <c r="C315" s="1" t="s">
        <v>26</v>
      </c>
      <c r="D315" s="5" t="s">
        <v>71</v>
      </c>
      <c r="E315" s="1">
        <v>3</v>
      </c>
      <c r="F315" s="1" t="s">
        <v>1117</v>
      </c>
      <c r="G315" s="1" t="s">
        <v>1118</v>
      </c>
      <c r="I315" s="1" t="s">
        <v>416</v>
      </c>
      <c r="J315" s="1" t="s">
        <v>416</v>
      </c>
      <c r="K315" s="1" t="s">
        <v>44</v>
      </c>
      <c r="M315" s="1" t="s">
        <v>1119</v>
      </c>
      <c r="N315" s="3">
        <v>80</v>
      </c>
      <c r="O315" s="4">
        <v>44103</v>
      </c>
      <c r="P315" s="1" t="s">
        <v>1109</v>
      </c>
      <c r="Q315" s="3">
        <v>35</v>
      </c>
      <c r="R315" s="6">
        <v>71.599999999999994</v>
      </c>
      <c r="S315" s="7" t="s">
        <v>34</v>
      </c>
      <c r="T315" s="4">
        <v>46568</v>
      </c>
      <c r="U315" s="4">
        <v>35564</v>
      </c>
      <c r="V315" s="4">
        <f t="shared" ca="1" si="43"/>
        <v>45919</v>
      </c>
      <c r="W315" s="8">
        <f ca="1">(V315-U315)/365.25</f>
        <v>28.350444900752908</v>
      </c>
    </row>
    <row r="316" spans="1:23" x14ac:dyDescent="0.2">
      <c r="A316" s="1" t="s">
        <v>24</v>
      </c>
      <c r="B316" s="1" t="s">
        <v>25</v>
      </c>
      <c r="C316" s="1" t="s">
        <v>26</v>
      </c>
      <c r="D316" s="5" t="s">
        <v>71</v>
      </c>
      <c r="E316" s="1">
        <v>25</v>
      </c>
      <c r="F316" s="1" t="s">
        <v>1120</v>
      </c>
      <c r="G316" s="1" t="s">
        <v>1121</v>
      </c>
      <c r="I316" s="1" t="s">
        <v>873</v>
      </c>
      <c r="J316" s="1" t="s">
        <v>873</v>
      </c>
      <c r="K316" s="1" t="s">
        <v>44</v>
      </c>
      <c r="M316" s="1" t="s">
        <v>1122</v>
      </c>
      <c r="N316" s="3">
        <v>45</v>
      </c>
      <c r="O316" s="4">
        <v>44805</v>
      </c>
      <c r="P316" s="1" t="s">
        <v>1123</v>
      </c>
      <c r="Q316" s="3">
        <v>30</v>
      </c>
      <c r="R316" s="6">
        <v>20</v>
      </c>
      <c r="S316" s="7" t="s">
        <v>34</v>
      </c>
      <c r="T316" s="4">
        <v>46568</v>
      </c>
      <c r="U316" s="4">
        <v>34899</v>
      </c>
      <c r="V316" s="4">
        <f t="shared" ca="1" si="43"/>
        <v>45919</v>
      </c>
      <c r="W316" s="8">
        <f t="shared" ca="1" si="44"/>
        <v>30.171115674195757</v>
      </c>
    </row>
    <row r="317" spans="1:23" x14ac:dyDescent="0.2">
      <c r="A317" s="1" t="s">
        <v>24</v>
      </c>
      <c r="B317" s="1" t="s">
        <v>25</v>
      </c>
      <c r="C317" s="1" t="s">
        <v>26</v>
      </c>
      <c r="D317" s="5" t="s">
        <v>71</v>
      </c>
      <c r="E317" s="1">
        <v>6</v>
      </c>
      <c r="F317" s="1" t="s">
        <v>351</v>
      </c>
      <c r="G317" s="1" t="s">
        <v>1124</v>
      </c>
      <c r="I317" s="1" t="s">
        <v>52</v>
      </c>
      <c r="J317" s="1" t="s">
        <v>52</v>
      </c>
      <c r="K317" s="1" t="s">
        <v>44</v>
      </c>
      <c r="M317" s="1" t="s">
        <v>1125</v>
      </c>
      <c r="N317" s="3">
        <v>40</v>
      </c>
      <c r="O317" s="4">
        <v>44048</v>
      </c>
      <c r="P317" s="1" t="s">
        <v>39</v>
      </c>
      <c r="Q317" s="3">
        <v>28</v>
      </c>
      <c r="R317" s="6">
        <v>45.3</v>
      </c>
      <c r="S317" s="7" t="s">
        <v>34</v>
      </c>
      <c r="T317" s="4">
        <v>46568</v>
      </c>
      <c r="U317" s="4">
        <v>34748</v>
      </c>
      <c r="V317" s="4">
        <f t="shared" ca="1" si="43"/>
        <v>45919</v>
      </c>
      <c r="W317" s="8">
        <f ca="1">(V317-U317)/365.25</f>
        <v>30.584531143052704</v>
      </c>
    </row>
    <row r="318" spans="1:23" x14ac:dyDescent="0.2">
      <c r="A318" s="1" t="s">
        <v>24</v>
      </c>
      <c r="B318" s="1" t="s">
        <v>25</v>
      </c>
      <c r="C318" s="1" t="s">
        <v>26</v>
      </c>
      <c r="D318" s="5" t="s">
        <v>71</v>
      </c>
      <c r="E318" s="1">
        <v>5</v>
      </c>
      <c r="F318" s="1" t="s">
        <v>206</v>
      </c>
      <c r="G318" s="1" t="s">
        <v>1126</v>
      </c>
      <c r="I318" s="1" t="s">
        <v>24</v>
      </c>
      <c r="J318" s="1" t="s">
        <v>24</v>
      </c>
      <c r="K318" s="1" t="s">
        <v>44</v>
      </c>
      <c r="M318" s="1" t="s">
        <v>1127</v>
      </c>
      <c r="N318" s="3">
        <v>38</v>
      </c>
      <c r="O318" s="4">
        <v>42591</v>
      </c>
      <c r="P318" s="1" t="s">
        <v>186</v>
      </c>
      <c r="Q318" s="3">
        <v>28</v>
      </c>
      <c r="R318" s="6">
        <v>55.6</v>
      </c>
      <c r="S318" s="7" t="s">
        <v>34</v>
      </c>
      <c r="T318" s="4">
        <v>46203</v>
      </c>
      <c r="U318" s="4">
        <v>34482</v>
      </c>
      <c r="V318" s="4">
        <f t="shared" ca="1" si="43"/>
        <v>45919</v>
      </c>
      <c r="W318" s="8">
        <f t="shared" ca="1" si="44"/>
        <v>31.312799452429843</v>
      </c>
    </row>
    <row r="319" spans="1:23" x14ac:dyDescent="0.2">
      <c r="A319" s="1" t="s">
        <v>24</v>
      </c>
      <c r="B319" s="1" t="s">
        <v>25</v>
      </c>
      <c r="C319" s="1" t="s">
        <v>26</v>
      </c>
      <c r="D319" s="5" t="s">
        <v>71</v>
      </c>
      <c r="E319" s="1">
        <v>66</v>
      </c>
      <c r="F319" s="1" t="s">
        <v>1128</v>
      </c>
      <c r="G319" s="1" t="s">
        <v>1129</v>
      </c>
      <c r="I319" s="1" t="s">
        <v>24</v>
      </c>
      <c r="J319" s="1" t="s">
        <v>24</v>
      </c>
      <c r="K319" s="1" t="s">
        <v>44</v>
      </c>
      <c r="M319" s="1" t="s">
        <v>1130</v>
      </c>
      <c r="N319" s="3">
        <v>0</v>
      </c>
      <c r="O319" s="4">
        <v>45108</v>
      </c>
      <c r="P319" s="5" t="s">
        <v>945</v>
      </c>
      <c r="Q319" s="3">
        <v>0</v>
      </c>
      <c r="R319" s="6">
        <v>0</v>
      </c>
      <c r="S319" s="7" t="s">
        <v>372</v>
      </c>
      <c r="T319" s="4">
        <v>45838</v>
      </c>
      <c r="U319" s="4">
        <v>38660</v>
      </c>
      <c r="V319" s="4">
        <f t="shared" ca="1" si="43"/>
        <v>45919</v>
      </c>
      <c r="W319" s="8">
        <f t="shared" ca="1" si="44"/>
        <v>19.874058863791923</v>
      </c>
    </row>
    <row r="320" spans="1:23" x14ac:dyDescent="0.2">
      <c r="A320" s="1" t="s">
        <v>24</v>
      </c>
      <c r="B320" s="1" t="s">
        <v>25</v>
      </c>
      <c r="C320" s="1" t="s">
        <v>26</v>
      </c>
      <c r="D320" s="5" t="s">
        <v>71</v>
      </c>
      <c r="E320" s="1">
        <v>24</v>
      </c>
      <c r="F320" s="1" t="s">
        <v>1131</v>
      </c>
      <c r="G320" s="1" t="s">
        <v>1132</v>
      </c>
      <c r="I320" s="1" t="s">
        <v>1133</v>
      </c>
      <c r="J320" s="1" t="s">
        <v>1133</v>
      </c>
      <c r="K320" s="1" t="s">
        <v>63</v>
      </c>
      <c r="M320" s="1" t="s">
        <v>1134</v>
      </c>
      <c r="N320" s="3">
        <v>75</v>
      </c>
      <c r="O320" s="4">
        <v>45143</v>
      </c>
      <c r="P320" s="1" t="s">
        <v>619</v>
      </c>
      <c r="Q320" s="3">
        <v>75</v>
      </c>
      <c r="R320" s="6">
        <v>90</v>
      </c>
      <c r="S320" s="7" t="s">
        <v>34</v>
      </c>
      <c r="T320" s="4">
        <v>46934</v>
      </c>
      <c r="U320" s="4">
        <v>37279</v>
      </c>
      <c r="V320" s="4">
        <f t="shared" ca="1" si="43"/>
        <v>45919</v>
      </c>
      <c r="W320" s="8">
        <f ca="1">(V320-U320)/365.25</f>
        <v>23.655030800821354</v>
      </c>
    </row>
    <row r="321" spans="1:23" x14ac:dyDescent="0.2">
      <c r="A321" s="1" t="s">
        <v>24</v>
      </c>
      <c r="B321" s="1" t="s">
        <v>25</v>
      </c>
      <c r="C321" s="1" t="s">
        <v>26</v>
      </c>
      <c r="D321" s="5" t="s">
        <v>71</v>
      </c>
      <c r="E321" s="1">
        <v>97</v>
      </c>
      <c r="F321" s="1" t="s">
        <v>404</v>
      </c>
      <c r="G321" s="1" t="s">
        <v>1135</v>
      </c>
      <c r="I321" s="1" t="s">
        <v>24</v>
      </c>
      <c r="J321" s="1" t="s">
        <v>24</v>
      </c>
      <c r="K321" s="1" t="s">
        <v>63</v>
      </c>
      <c r="M321" s="1" t="s">
        <v>1136</v>
      </c>
      <c r="N321" s="3">
        <v>4</v>
      </c>
      <c r="O321" s="4">
        <v>44927</v>
      </c>
      <c r="P321" s="5" t="s">
        <v>945</v>
      </c>
      <c r="Q321" s="3">
        <v>1</v>
      </c>
      <c r="R321" s="6">
        <v>0</v>
      </c>
      <c r="S321" s="7" t="s">
        <v>196</v>
      </c>
      <c r="T321" s="4">
        <v>46568</v>
      </c>
      <c r="U321" s="4">
        <v>37616</v>
      </c>
      <c r="V321" s="4">
        <f t="shared" ca="1" si="43"/>
        <v>45919</v>
      </c>
      <c r="W321" s="8">
        <f t="shared" ca="1" si="44"/>
        <v>22.732375085557837</v>
      </c>
    </row>
    <row r="322" spans="1:23" x14ac:dyDescent="0.2">
      <c r="A322" s="1" t="s">
        <v>24</v>
      </c>
      <c r="B322" s="1" t="s">
        <v>25</v>
      </c>
      <c r="C322" s="1" t="s">
        <v>26</v>
      </c>
      <c r="D322" s="5" t="s">
        <v>71</v>
      </c>
      <c r="E322" s="1">
        <v>82</v>
      </c>
      <c r="F322" s="1" t="s">
        <v>373</v>
      </c>
      <c r="G322" s="1" t="s">
        <v>299</v>
      </c>
      <c r="I322" s="1" t="s">
        <v>24</v>
      </c>
      <c r="J322" s="1" t="s">
        <v>24</v>
      </c>
      <c r="K322" s="1" t="s">
        <v>80</v>
      </c>
      <c r="M322" s="1" t="s">
        <v>1137</v>
      </c>
      <c r="N322" s="3">
        <v>40</v>
      </c>
      <c r="O322" s="4">
        <v>44743</v>
      </c>
      <c r="P322" s="5" t="s">
        <v>945</v>
      </c>
      <c r="Q322" s="3">
        <v>0</v>
      </c>
      <c r="R322" s="6">
        <v>0</v>
      </c>
      <c r="S322" s="7" t="s">
        <v>34</v>
      </c>
      <c r="T322" s="4">
        <v>46934</v>
      </c>
      <c r="U322" s="4">
        <v>38312</v>
      </c>
      <c r="V322" s="4">
        <f t="shared" ca="1" si="43"/>
        <v>45919</v>
      </c>
      <c r="W322" s="8">
        <f t="shared" ca="1" si="44"/>
        <v>20.826830937713893</v>
      </c>
    </row>
    <row r="323" spans="1:23" x14ac:dyDescent="0.2">
      <c r="A323" s="1" t="s">
        <v>24</v>
      </c>
      <c r="B323" s="1" t="s">
        <v>25</v>
      </c>
      <c r="C323" s="1" t="s">
        <v>26</v>
      </c>
      <c r="D323" s="5" t="s">
        <v>71</v>
      </c>
      <c r="E323" s="1">
        <v>2</v>
      </c>
      <c r="F323" s="1" t="s">
        <v>1138</v>
      </c>
      <c r="G323" s="1" t="s">
        <v>1139</v>
      </c>
      <c r="I323" s="1" t="s">
        <v>24</v>
      </c>
      <c r="J323" s="1" t="s">
        <v>24</v>
      </c>
      <c r="K323" s="1" t="s">
        <v>80</v>
      </c>
      <c r="M323" s="1" t="s">
        <v>1140</v>
      </c>
      <c r="N323" s="3">
        <v>13</v>
      </c>
      <c r="O323" s="4">
        <v>42930</v>
      </c>
      <c r="P323" s="1" t="s">
        <v>826</v>
      </c>
      <c r="Q323" s="3">
        <v>30</v>
      </c>
      <c r="R323" s="6">
        <v>52.7</v>
      </c>
      <c r="S323" s="7" t="s">
        <v>34</v>
      </c>
      <c r="T323" s="4">
        <v>46203</v>
      </c>
      <c r="U323" s="4">
        <v>38852</v>
      </c>
      <c r="V323" s="4">
        <f t="shared" ca="1" si="43"/>
        <v>45919</v>
      </c>
      <c r="W323" s="8">
        <f ca="1">(V323-U323)/365.25</f>
        <v>19.348391512662559</v>
      </c>
    </row>
    <row r="324" spans="1:23" x14ac:dyDescent="0.2">
      <c r="A324" s="1" t="s">
        <v>24</v>
      </c>
      <c r="B324" s="1" t="s">
        <v>25</v>
      </c>
      <c r="C324" s="1" t="s">
        <v>26</v>
      </c>
      <c r="D324" s="5" t="s">
        <v>71</v>
      </c>
      <c r="E324" s="1">
        <v>16</v>
      </c>
      <c r="F324" s="1" t="s">
        <v>35</v>
      </c>
      <c r="G324" s="1" t="s">
        <v>1141</v>
      </c>
      <c r="I324" s="1" t="s">
        <v>30</v>
      </c>
      <c r="J324" s="1" t="s">
        <v>30</v>
      </c>
      <c r="K324" s="1" t="s">
        <v>95</v>
      </c>
      <c r="M324" s="1" t="s">
        <v>1142</v>
      </c>
      <c r="N324" s="3">
        <v>130</v>
      </c>
      <c r="O324" s="4">
        <v>43650</v>
      </c>
      <c r="P324" s="1" t="s">
        <v>97</v>
      </c>
      <c r="Q324" s="3">
        <v>80</v>
      </c>
      <c r="R324" s="6">
        <v>70</v>
      </c>
      <c r="S324" s="7" t="s">
        <v>34</v>
      </c>
      <c r="T324" s="4">
        <v>46568</v>
      </c>
      <c r="U324" s="4">
        <v>35238</v>
      </c>
      <c r="V324" s="4">
        <f t="shared" ca="1" si="43"/>
        <v>45919</v>
      </c>
      <c r="W324" s="8">
        <f t="shared" ref="W324" ca="1" si="45">(V324-U324)/365.25</f>
        <v>29.242984257357975</v>
      </c>
    </row>
    <row r="325" spans="1:23" x14ac:dyDescent="0.2">
      <c r="A325" s="1" t="s">
        <v>24</v>
      </c>
      <c r="B325" s="1" t="s">
        <v>25</v>
      </c>
      <c r="C325" s="1" t="s">
        <v>26</v>
      </c>
      <c r="D325" s="5" t="s">
        <v>71</v>
      </c>
      <c r="E325" s="1">
        <v>27</v>
      </c>
      <c r="F325" s="1" t="s">
        <v>713</v>
      </c>
      <c r="G325" s="1" t="s">
        <v>433</v>
      </c>
      <c r="I325" s="1" t="s">
        <v>37</v>
      </c>
      <c r="J325" s="1" t="s">
        <v>416</v>
      </c>
      <c r="K325" s="1" t="s">
        <v>89</v>
      </c>
      <c r="M325" s="1" t="s">
        <v>1143</v>
      </c>
      <c r="N325" s="3">
        <v>40</v>
      </c>
      <c r="O325" s="4">
        <v>45170</v>
      </c>
      <c r="P325" s="1" t="s">
        <v>175</v>
      </c>
      <c r="Q325" s="3">
        <v>45</v>
      </c>
      <c r="R325" s="6">
        <v>62</v>
      </c>
      <c r="S325" s="7" t="s">
        <v>34</v>
      </c>
      <c r="T325" s="4">
        <v>46934</v>
      </c>
      <c r="U325" s="4">
        <v>36034</v>
      </c>
      <c r="V325" s="4">
        <f t="shared" ca="1" si="43"/>
        <v>45919</v>
      </c>
      <c r="W325" s="8">
        <f t="shared" ca="1" si="44"/>
        <v>27.06365503080082</v>
      </c>
    </row>
    <row r="326" spans="1:23" x14ac:dyDescent="0.2">
      <c r="A326" s="1" t="s">
        <v>24</v>
      </c>
      <c r="B326" s="1" t="s">
        <v>25</v>
      </c>
      <c r="C326" s="1" t="s">
        <v>26</v>
      </c>
      <c r="D326" s="5" t="s">
        <v>71</v>
      </c>
      <c r="E326" s="1">
        <v>8</v>
      </c>
      <c r="F326" s="1" t="s">
        <v>1144</v>
      </c>
      <c r="G326" s="1" t="s">
        <v>1145</v>
      </c>
      <c r="I326" s="1" t="s">
        <v>607</v>
      </c>
      <c r="J326" s="1" t="s">
        <v>1133</v>
      </c>
      <c r="K326" s="1" t="s">
        <v>89</v>
      </c>
      <c r="M326" s="1" t="s">
        <v>1146</v>
      </c>
      <c r="N326" s="3">
        <v>30</v>
      </c>
      <c r="O326" s="4">
        <v>45108</v>
      </c>
      <c r="P326" s="1" t="s">
        <v>101</v>
      </c>
      <c r="Q326" s="3">
        <v>38</v>
      </c>
      <c r="R326" s="6">
        <v>29.1</v>
      </c>
      <c r="S326" s="7" t="s">
        <v>34</v>
      </c>
      <c r="T326" s="4">
        <v>46568</v>
      </c>
      <c r="U326" s="4">
        <v>34460</v>
      </c>
      <c r="V326" s="4">
        <f t="shared" ca="1" si="43"/>
        <v>45919</v>
      </c>
      <c r="W326" s="8">
        <f ca="1">(V326-U326)/365.25</f>
        <v>31.37303216974675</v>
      </c>
    </row>
    <row r="327" spans="1:23" x14ac:dyDescent="0.2">
      <c r="A327" s="1" t="s">
        <v>24</v>
      </c>
      <c r="B327" s="1" t="s">
        <v>25</v>
      </c>
      <c r="C327" s="1" t="s">
        <v>26</v>
      </c>
      <c r="D327" s="5" t="s">
        <v>71</v>
      </c>
      <c r="E327" s="1">
        <v>19</v>
      </c>
      <c r="F327" s="1" t="s">
        <v>1147</v>
      </c>
      <c r="G327" s="1" t="s">
        <v>1148</v>
      </c>
      <c r="I327" s="1" t="s">
        <v>138</v>
      </c>
      <c r="J327" s="1" t="s">
        <v>138</v>
      </c>
      <c r="K327" s="1" t="s">
        <v>89</v>
      </c>
      <c r="M327" s="1" t="s">
        <v>1149</v>
      </c>
      <c r="N327" s="3">
        <v>12</v>
      </c>
      <c r="O327" s="4">
        <v>45527</v>
      </c>
      <c r="P327" s="7" t="s">
        <v>285</v>
      </c>
      <c r="Q327" s="3">
        <v>15</v>
      </c>
      <c r="R327" s="6" t="s">
        <v>205</v>
      </c>
      <c r="S327" s="7" t="s">
        <v>98</v>
      </c>
      <c r="T327" s="4">
        <v>45838</v>
      </c>
      <c r="U327" s="4">
        <v>33170</v>
      </c>
      <c r="V327" s="4">
        <f t="shared" ca="1" si="43"/>
        <v>45919</v>
      </c>
      <c r="W327" s="8">
        <f ca="1">(V327-U327)/365.25</f>
        <v>34.904859685147159</v>
      </c>
    </row>
    <row r="328" spans="1:23" x14ac:dyDescent="0.2">
      <c r="A328" s="1" t="s">
        <v>24</v>
      </c>
      <c r="B328" s="1" t="s">
        <v>25</v>
      </c>
      <c r="C328" s="1" t="s">
        <v>26</v>
      </c>
      <c r="D328" s="5" t="s">
        <v>71</v>
      </c>
      <c r="E328" s="1">
        <v>20</v>
      </c>
      <c r="F328" s="1" t="s">
        <v>1150</v>
      </c>
      <c r="G328" s="1" t="s">
        <v>1151</v>
      </c>
      <c r="I328" s="1" t="s">
        <v>416</v>
      </c>
      <c r="J328" s="1" t="s">
        <v>416</v>
      </c>
      <c r="K328" s="1" t="s">
        <v>113</v>
      </c>
      <c r="M328" s="1" t="s">
        <v>1152</v>
      </c>
      <c r="N328" s="3">
        <v>70</v>
      </c>
      <c r="O328" s="4">
        <v>42917</v>
      </c>
      <c r="P328" s="1" t="s">
        <v>566</v>
      </c>
      <c r="Q328" s="3">
        <v>40</v>
      </c>
      <c r="R328" s="6">
        <v>50</v>
      </c>
      <c r="S328" s="7" t="s">
        <v>34</v>
      </c>
      <c r="T328" s="4">
        <v>46203</v>
      </c>
      <c r="U328" s="4">
        <v>34556</v>
      </c>
      <c r="V328" s="4">
        <f t="shared" ca="1" si="43"/>
        <v>45919</v>
      </c>
      <c r="W328" s="8">
        <f ca="1">(V328-U328)/365.25</f>
        <v>31.110198494182068</v>
      </c>
    </row>
    <row r="329" spans="1:23" x14ac:dyDescent="0.2">
      <c r="A329" s="1" t="s">
        <v>24</v>
      </c>
      <c r="B329" s="1" t="s">
        <v>25</v>
      </c>
      <c r="C329" s="1" t="s">
        <v>26</v>
      </c>
      <c r="D329" s="5" t="s">
        <v>71</v>
      </c>
      <c r="E329" s="1">
        <v>17</v>
      </c>
      <c r="F329" s="1" t="s">
        <v>422</v>
      </c>
      <c r="G329" s="1" t="s">
        <v>1153</v>
      </c>
      <c r="I329" s="1" t="s">
        <v>125</v>
      </c>
      <c r="J329" s="1" t="s">
        <v>125</v>
      </c>
      <c r="K329" s="1" t="s">
        <v>113</v>
      </c>
      <c r="M329" s="1" t="s">
        <v>1154</v>
      </c>
      <c r="N329" s="3">
        <v>45</v>
      </c>
      <c r="O329" s="4">
        <v>42246</v>
      </c>
      <c r="P329" s="1" t="s">
        <v>658</v>
      </c>
      <c r="Q329" s="3">
        <v>45</v>
      </c>
      <c r="R329" s="6">
        <v>76</v>
      </c>
      <c r="S329" s="7" t="s">
        <v>34</v>
      </c>
      <c r="T329" s="4">
        <v>45838</v>
      </c>
      <c r="U329" s="4">
        <v>33417</v>
      </c>
      <c r="V329" s="4">
        <f t="shared" ca="1" si="43"/>
        <v>45919</v>
      </c>
      <c r="W329" s="8">
        <f ca="1">(V329-U329)/365.25</f>
        <v>34.228610540725533</v>
      </c>
    </row>
    <row r="330" spans="1:23" x14ac:dyDescent="0.2">
      <c r="A330" s="1" t="s">
        <v>24</v>
      </c>
      <c r="B330" s="1" t="s">
        <v>25</v>
      </c>
      <c r="C330" s="1" t="s">
        <v>26</v>
      </c>
      <c r="D330" s="5" t="s">
        <v>71</v>
      </c>
      <c r="E330" s="1">
        <v>87</v>
      </c>
      <c r="F330" s="1" t="s">
        <v>268</v>
      </c>
      <c r="G330" s="1" t="s">
        <v>1155</v>
      </c>
      <c r="I330" s="1" t="s">
        <v>24</v>
      </c>
      <c r="J330" s="1" t="s">
        <v>24</v>
      </c>
      <c r="K330" s="1" t="s">
        <v>113</v>
      </c>
      <c r="M330" s="1" t="s">
        <v>1156</v>
      </c>
      <c r="N330" s="3">
        <v>12</v>
      </c>
      <c r="O330" s="4">
        <v>45108</v>
      </c>
      <c r="P330" s="5" t="s">
        <v>945</v>
      </c>
      <c r="Q330" s="3">
        <v>12</v>
      </c>
      <c r="R330" s="6">
        <v>0</v>
      </c>
      <c r="S330" s="7" t="s">
        <v>98</v>
      </c>
      <c r="T330" s="4">
        <v>46203</v>
      </c>
      <c r="U330" s="4">
        <v>37547</v>
      </c>
      <c r="V330" s="4">
        <f t="shared" ca="1" si="43"/>
        <v>45919</v>
      </c>
      <c r="W330" s="8">
        <f t="shared" ca="1" si="44"/>
        <v>22.921286789869953</v>
      </c>
    </row>
    <row r="331" spans="1:23" x14ac:dyDescent="0.2">
      <c r="A331" s="1" t="s">
        <v>24</v>
      </c>
      <c r="B331" s="1" t="s">
        <v>25</v>
      </c>
      <c r="C331" s="1" t="s">
        <v>26</v>
      </c>
      <c r="D331" s="5" t="s">
        <v>71</v>
      </c>
      <c r="E331" s="1">
        <v>11</v>
      </c>
      <c r="F331" s="1" t="s">
        <v>1157</v>
      </c>
      <c r="G331" s="1" t="s">
        <v>1158</v>
      </c>
      <c r="I331" s="1" t="s">
        <v>125</v>
      </c>
      <c r="J331" s="1" t="s">
        <v>125</v>
      </c>
      <c r="K331" s="1" t="s">
        <v>120</v>
      </c>
      <c r="M331" s="1" t="s">
        <v>1159</v>
      </c>
      <c r="N331" s="3">
        <v>65</v>
      </c>
      <c r="O331" s="4">
        <v>45162</v>
      </c>
      <c r="P331" s="1" t="s">
        <v>1160</v>
      </c>
      <c r="Q331" s="3">
        <v>28</v>
      </c>
      <c r="R331" s="6">
        <v>60</v>
      </c>
      <c r="S331" s="7" t="s">
        <v>34</v>
      </c>
      <c r="T331" s="4">
        <v>46934</v>
      </c>
      <c r="U331" s="4">
        <v>37403</v>
      </c>
      <c r="V331" s="4">
        <f t="shared" ca="1" si="43"/>
        <v>45919</v>
      </c>
      <c r="W331" s="8">
        <f t="shared" ca="1" si="44"/>
        <v>23.315537303216974</v>
      </c>
    </row>
    <row r="332" spans="1:23" x14ac:dyDescent="0.2">
      <c r="A332" s="1" t="s">
        <v>24</v>
      </c>
      <c r="B332" s="1" t="s">
        <v>25</v>
      </c>
      <c r="C332" s="1" t="s">
        <v>26</v>
      </c>
      <c r="D332" s="5" t="s">
        <v>71</v>
      </c>
      <c r="E332" s="1">
        <v>10</v>
      </c>
      <c r="F332" s="1" t="s">
        <v>496</v>
      </c>
      <c r="G332" s="1" t="s">
        <v>1161</v>
      </c>
      <c r="I332" s="1" t="s">
        <v>24</v>
      </c>
      <c r="J332" s="1" t="s">
        <v>24</v>
      </c>
      <c r="K332" s="1" t="s">
        <v>120</v>
      </c>
      <c r="M332" s="1" t="s">
        <v>1162</v>
      </c>
      <c r="N332" s="3">
        <v>55</v>
      </c>
      <c r="O332" s="4">
        <v>44413</v>
      </c>
      <c r="P332" s="1" t="s">
        <v>143</v>
      </c>
      <c r="Q332" s="3">
        <v>65</v>
      </c>
      <c r="R332" s="6">
        <v>117.5</v>
      </c>
      <c r="S332" s="7" t="s">
        <v>34</v>
      </c>
      <c r="T332" s="4">
        <v>46568</v>
      </c>
      <c r="U332" s="4">
        <v>34952</v>
      </c>
      <c r="V332" s="4">
        <f t="shared" ca="1" si="43"/>
        <v>45919</v>
      </c>
      <c r="W332" s="8">
        <f t="shared" ca="1" si="44"/>
        <v>30.026009582477755</v>
      </c>
    </row>
    <row r="333" spans="1:23" x14ac:dyDescent="0.2">
      <c r="A333" s="1" t="s">
        <v>24</v>
      </c>
      <c r="B333" s="1" t="s">
        <v>25</v>
      </c>
      <c r="C333" s="1" t="s">
        <v>26</v>
      </c>
      <c r="D333" s="5" t="s">
        <v>71</v>
      </c>
      <c r="E333" s="1">
        <v>47</v>
      </c>
      <c r="F333" s="1" t="s">
        <v>1163</v>
      </c>
      <c r="G333" s="1" t="s">
        <v>1164</v>
      </c>
      <c r="I333" s="1" t="s">
        <v>24</v>
      </c>
      <c r="J333" s="1" t="s">
        <v>24</v>
      </c>
      <c r="K333" s="1" t="s">
        <v>133</v>
      </c>
      <c r="M333" s="1" t="s">
        <v>1165</v>
      </c>
      <c r="N333" s="3">
        <v>150</v>
      </c>
      <c r="O333" s="4">
        <v>42917</v>
      </c>
      <c r="P333" s="5" t="s">
        <v>945</v>
      </c>
      <c r="Q333" s="3">
        <v>0</v>
      </c>
      <c r="R333" s="6">
        <v>0</v>
      </c>
      <c r="S333" s="7" t="s">
        <v>34</v>
      </c>
      <c r="T333" s="4">
        <v>46568</v>
      </c>
      <c r="U333" s="4">
        <v>36674</v>
      </c>
      <c r="V333" s="4">
        <f t="shared" ca="1" si="43"/>
        <v>45919</v>
      </c>
      <c r="W333" s="8">
        <f t="shared" ca="1" si="44"/>
        <v>25.311430527036276</v>
      </c>
    </row>
    <row r="334" spans="1:23" x14ac:dyDescent="0.2">
      <c r="A334" s="1" t="s">
        <v>24</v>
      </c>
      <c r="B334" s="1" t="s">
        <v>25</v>
      </c>
      <c r="C334" s="1" t="s">
        <v>26</v>
      </c>
      <c r="D334" s="5" t="s">
        <v>71</v>
      </c>
      <c r="E334" s="1">
        <v>26</v>
      </c>
      <c r="F334" s="1" t="s">
        <v>35</v>
      </c>
      <c r="G334" s="1" t="s">
        <v>1166</v>
      </c>
      <c r="I334" s="1" t="s">
        <v>37</v>
      </c>
      <c r="J334" s="1" t="s">
        <v>37</v>
      </c>
      <c r="K334" s="1" t="s">
        <v>133</v>
      </c>
      <c r="M334" s="1" t="s">
        <v>1167</v>
      </c>
      <c r="N334" s="3">
        <v>50</v>
      </c>
      <c r="O334" s="4">
        <v>45491</v>
      </c>
      <c r="P334" s="1" t="s">
        <v>440</v>
      </c>
      <c r="Q334" s="3">
        <v>50</v>
      </c>
      <c r="R334" s="6">
        <v>25</v>
      </c>
      <c r="S334" s="7" t="s">
        <v>34</v>
      </c>
      <c r="T334" s="4">
        <v>47299</v>
      </c>
      <c r="U334" s="4">
        <v>38087</v>
      </c>
      <c r="V334" s="4">
        <f t="shared" ca="1" si="43"/>
        <v>45919</v>
      </c>
      <c r="W334" s="8">
        <f ca="1">(V334-U334)/365.25</f>
        <v>21.442847364818618</v>
      </c>
    </row>
    <row r="335" spans="1:23" x14ac:dyDescent="0.2">
      <c r="A335" s="1" t="s">
        <v>24</v>
      </c>
      <c r="B335" s="1" t="s">
        <v>25</v>
      </c>
      <c r="C335" s="1" t="s">
        <v>26</v>
      </c>
      <c r="D335" s="5" t="s">
        <v>71</v>
      </c>
      <c r="E335" s="1">
        <v>52</v>
      </c>
      <c r="F335" s="1" t="s">
        <v>1168</v>
      </c>
      <c r="G335" s="1" t="s">
        <v>1169</v>
      </c>
      <c r="I335" s="1" t="s">
        <v>112</v>
      </c>
      <c r="J335" s="1" t="s">
        <v>112</v>
      </c>
      <c r="K335" s="1" t="s">
        <v>133</v>
      </c>
      <c r="M335" s="1" t="s">
        <v>1170</v>
      </c>
      <c r="N335" s="3">
        <v>25</v>
      </c>
      <c r="O335" s="4">
        <v>45108</v>
      </c>
      <c r="P335" s="5" t="s">
        <v>945</v>
      </c>
      <c r="Q335" s="3">
        <v>0</v>
      </c>
      <c r="R335" s="6">
        <v>0</v>
      </c>
      <c r="S335" s="7" t="s">
        <v>98</v>
      </c>
      <c r="T335" s="4">
        <v>47299</v>
      </c>
      <c r="U335" s="4">
        <v>37814</v>
      </c>
      <c r="V335" s="4">
        <f t="shared" ca="1" si="43"/>
        <v>45919</v>
      </c>
      <c r="W335" s="8">
        <f t="shared" ca="1" si="44"/>
        <v>22.190280629705683</v>
      </c>
    </row>
    <row r="336" spans="1:23" x14ac:dyDescent="0.2">
      <c r="A336" s="1" t="s">
        <v>24</v>
      </c>
      <c r="B336" s="1" t="s">
        <v>25</v>
      </c>
      <c r="C336" s="1" t="s">
        <v>26</v>
      </c>
      <c r="D336" s="5" t="s">
        <v>71</v>
      </c>
      <c r="E336" s="1">
        <v>9</v>
      </c>
      <c r="F336" s="1" t="s">
        <v>1171</v>
      </c>
      <c r="G336" s="1" t="s">
        <v>1172</v>
      </c>
      <c r="I336" s="1" t="s">
        <v>24</v>
      </c>
      <c r="J336" s="1" t="s">
        <v>112</v>
      </c>
      <c r="K336" s="1" t="s">
        <v>139</v>
      </c>
      <c r="M336" s="1" t="s">
        <v>1173</v>
      </c>
      <c r="N336" s="3">
        <v>200</v>
      </c>
      <c r="O336" s="4">
        <v>44743</v>
      </c>
      <c r="P336" s="1" t="s">
        <v>1123</v>
      </c>
      <c r="Q336" s="3">
        <v>150</v>
      </c>
      <c r="R336" s="6">
        <v>60</v>
      </c>
      <c r="S336" s="7" t="s">
        <v>34</v>
      </c>
      <c r="T336" s="4">
        <v>46568</v>
      </c>
      <c r="U336" s="4">
        <v>36728</v>
      </c>
      <c r="V336" s="4">
        <f t="shared" ca="1" si="43"/>
        <v>45919</v>
      </c>
      <c r="W336" s="8">
        <f t="shared" ca="1" si="44"/>
        <v>25.163586584531142</v>
      </c>
    </row>
    <row r="337" spans="1:23" x14ac:dyDescent="0.2">
      <c r="A337" s="1" t="s">
        <v>24</v>
      </c>
      <c r="B337" s="1" t="s">
        <v>25</v>
      </c>
      <c r="C337" s="1" t="s">
        <v>26</v>
      </c>
      <c r="D337" s="1" t="s">
        <v>627</v>
      </c>
      <c r="E337" s="1">
        <v>24</v>
      </c>
      <c r="F337" s="1" t="s">
        <v>1174</v>
      </c>
      <c r="G337" s="1" t="s">
        <v>198</v>
      </c>
      <c r="I337" s="1" t="s">
        <v>438</v>
      </c>
      <c r="J337" s="1" t="s">
        <v>438</v>
      </c>
      <c r="K337" s="1" t="s">
        <v>31</v>
      </c>
      <c r="M337" s="1" t="s">
        <v>1175</v>
      </c>
      <c r="N337" s="3">
        <v>35</v>
      </c>
      <c r="O337" s="4">
        <v>45127</v>
      </c>
      <c r="P337" s="5" t="s">
        <v>1176</v>
      </c>
      <c r="Q337" s="3">
        <v>35</v>
      </c>
      <c r="R337" s="6">
        <v>50.2</v>
      </c>
      <c r="S337" s="7" t="s">
        <v>34</v>
      </c>
      <c r="T337" s="4">
        <v>46934</v>
      </c>
      <c r="U337" s="4">
        <v>35157</v>
      </c>
      <c r="V337" s="4">
        <f ca="1">TODAY()</f>
        <v>45919</v>
      </c>
      <c r="W337" s="8">
        <f ca="1">(V337-U337)/365.25</f>
        <v>29.464750171115675</v>
      </c>
    </row>
    <row r="338" spans="1:23" x14ac:dyDescent="0.2">
      <c r="A338" s="1" t="s">
        <v>24</v>
      </c>
      <c r="B338" s="1" t="s">
        <v>25</v>
      </c>
      <c r="C338" s="1" t="s">
        <v>26</v>
      </c>
      <c r="D338" s="1" t="s">
        <v>627</v>
      </c>
      <c r="E338" s="1">
        <v>1</v>
      </c>
      <c r="F338" s="1" t="s">
        <v>1177</v>
      </c>
      <c r="G338" s="1" t="s">
        <v>1178</v>
      </c>
      <c r="I338" s="1" t="s">
        <v>336</v>
      </c>
      <c r="J338" s="1" t="s">
        <v>336</v>
      </c>
      <c r="K338" s="1" t="s">
        <v>31</v>
      </c>
      <c r="M338" s="1" t="s">
        <v>1179</v>
      </c>
      <c r="N338" s="3">
        <v>10</v>
      </c>
      <c r="O338" s="4">
        <v>45170</v>
      </c>
      <c r="P338" s="5" t="s">
        <v>471</v>
      </c>
      <c r="Q338" s="3">
        <v>11</v>
      </c>
      <c r="R338" s="6">
        <v>5</v>
      </c>
      <c r="S338" s="7" t="s">
        <v>98</v>
      </c>
      <c r="T338" s="4">
        <v>46568</v>
      </c>
      <c r="U338" s="4">
        <v>35899</v>
      </c>
      <c r="V338" s="4">
        <f t="shared" ref="V338:V364" ca="1" si="46">TODAY()</f>
        <v>45919</v>
      </c>
      <c r="W338" s="8">
        <f t="shared" ref="W338:W360" ca="1" si="47">(V338-U338)/365.25</f>
        <v>27.433264887063654</v>
      </c>
    </row>
    <row r="339" spans="1:23" x14ac:dyDescent="0.2">
      <c r="A339" s="1" t="s">
        <v>24</v>
      </c>
      <c r="B339" s="1" t="s">
        <v>25</v>
      </c>
      <c r="C339" s="1" t="s">
        <v>26</v>
      </c>
      <c r="D339" s="1" t="s">
        <v>627</v>
      </c>
      <c r="E339" s="1">
        <v>22</v>
      </c>
      <c r="F339" s="1" t="s">
        <v>842</v>
      </c>
      <c r="G339" s="1" t="s">
        <v>1180</v>
      </c>
      <c r="I339" s="1" t="s">
        <v>24</v>
      </c>
      <c r="J339" s="1" t="s">
        <v>24</v>
      </c>
      <c r="K339" s="1" t="s">
        <v>31</v>
      </c>
      <c r="M339" s="1" t="s">
        <v>1181</v>
      </c>
      <c r="N339" s="3">
        <v>0.25</v>
      </c>
      <c r="O339" s="4">
        <v>44379</v>
      </c>
      <c r="P339" s="5" t="s">
        <v>143</v>
      </c>
      <c r="Q339" s="3">
        <v>1</v>
      </c>
      <c r="R339" s="6" t="s">
        <v>205</v>
      </c>
      <c r="S339" s="7" t="s">
        <v>98</v>
      </c>
      <c r="T339" s="4">
        <v>45838</v>
      </c>
      <c r="U339" s="4">
        <v>31517</v>
      </c>
      <c r="V339" s="4">
        <f ca="1">TODAY()</f>
        <v>45919</v>
      </c>
      <c r="W339" s="8">
        <f ca="1">(V339-U339)/365.25</f>
        <v>39.430527036276523</v>
      </c>
    </row>
    <row r="340" spans="1:23" x14ac:dyDescent="0.2">
      <c r="A340" s="1" t="s">
        <v>24</v>
      </c>
      <c r="B340" s="1" t="s">
        <v>25</v>
      </c>
      <c r="C340" s="1" t="s">
        <v>26</v>
      </c>
      <c r="D340" s="1" t="s">
        <v>627</v>
      </c>
      <c r="E340" s="1">
        <v>4</v>
      </c>
      <c r="F340" s="1" t="s">
        <v>1182</v>
      </c>
      <c r="G340" s="1" t="s">
        <v>1183</v>
      </c>
      <c r="I340" s="1" t="s">
        <v>52</v>
      </c>
      <c r="J340" s="1" t="s">
        <v>52</v>
      </c>
      <c r="K340" s="1" t="s">
        <v>44</v>
      </c>
      <c r="M340" s="1" t="s">
        <v>1184</v>
      </c>
      <c r="N340" s="3">
        <v>55</v>
      </c>
      <c r="O340" s="4">
        <v>45517</v>
      </c>
      <c r="P340" s="5" t="s">
        <v>671</v>
      </c>
      <c r="Q340" s="3">
        <v>65</v>
      </c>
      <c r="R340" s="6">
        <v>45</v>
      </c>
      <c r="S340" s="7" t="s">
        <v>66</v>
      </c>
      <c r="T340" s="4">
        <v>47299</v>
      </c>
      <c r="U340" s="4">
        <v>36384</v>
      </c>
      <c r="V340" s="4">
        <f t="shared" ca="1" si="46"/>
        <v>45919</v>
      </c>
      <c r="W340" s="8">
        <f t="shared" ref="W340" ca="1" si="48">(V340-U340)/365.25</f>
        <v>26.105407255304584</v>
      </c>
    </row>
    <row r="341" spans="1:23" x14ac:dyDescent="0.2">
      <c r="A341" s="1" t="s">
        <v>24</v>
      </c>
      <c r="B341" s="1" t="s">
        <v>25</v>
      </c>
      <c r="C341" s="1" t="s">
        <v>26</v>
      </c>
      <c r="D341" s="1" t="s">
        <v>627</v>
      </c>
      <c r="E341" s="1">
        <v>15</v>
      </c>
      <c r="F341" s="1" t="s">
        <v>1185</v>
      </c>
      <c r="G341" s="1" t="s">
        <v>1186</v>
      </c>
      <c r="I341" s="1" t="s">
        <v>43</v>
      </c>
      <c r="J341" s="1" t="s">
        <v>43</v>
      </c>
      <c r="K341" s="1" t="s">
        <v>44</v>
      </c>
      <c r="M341" s="1" t="s">
        <v>1187</v>
      </c>
      <c r="N341" s="3">
        <v>55</v>
      </c>
      <c r="O341" s="4">
        <v>45491</v>
      </c>
      <c r="P341" s="5" t="s">
        <v>492</v>
      </c>
      <c r="Q341" s="3">
        <v>50</v>
      </c>
      <c r="R341" s="6">
        <v>62</v>
      </c>
      <c r="S341" s="7" t="s">
        <v>66</v>
      </c>
      <c r="T341" s="4">
        <v>47299</v>
      </c>
      <c r="U341" s="4">
        <v>38669</v>
      </c>
      <c r="V341" s="4">
        <f t="shared" ca="1" si="46"/>
        <v>45919</v>
      </c>
      <c r="W341" s="8">
        <f t="shared" ca="1" si="47"/>
        <v>19.849418206707735</v>
      </c>
    </row>
    <row r="342" spans="1:23" x14ac:dyDescent="0.2">
      <c r="A342" s="1" t="s">
        <v>24</v>
      </c>
      <c r="B342" s="1" t="s">
        <v>25</v>
      </c>
      <c r="C342" s="1" t="s">
        <v>26</v>
      </c>
      <c r="D342" s="1" t="s">
        <v>627</v>
      </c>
      <c r="E342" s="1">
        <v>6</v>
      </c>
      <c r="F342" s="1" t="s">
        <v>1188</v>
      </c>
      <c r="G342" s="1" t="s">
        <v>145</v>
      </c>
      <c r="I342" s="1" t="s">
        <v>146</v>
      </c>
      <c r="J342" s="1" t="s">
        <v>146</v>
      </c>
      <c r="K342" s="1" t="s">
        <v>44</v>
      </c>
      <c r="M342" s="1" t="s">
        <v>1189</v>
      </c>
      <c r="N342" s="3">
        <v>50</v>
      </c>
      <c r="O342" s="4">
        <v>44769</v>
      </c>
      <c r="P342" s="5" t="s">
        <v>54</v>
      </c>
      <c r="Q342" s="3">
        <v>32</v>
      </c>
      <c r="R342" s="6">
        <v>57.37</v>
      </c>
      <c r="S342" s="7" t="s">
        <v>34</v>
      </c>
      <c r="T342" s="4">
        <v>46568</v>
      </c>
      <c r="U342" s="4">
        <v>35813</v>
      </c>
      <c r="V342" s="4">
        <f t="shared" ca="1" si="46"/>
        <v>45919</v>
      </c>
      <c r="W342" s="8">
        <f ca="1">(V342-U342)/365.25</f>
        <v>27.668720054757017</v>
      </c>
    </row>
    <row r="343" spans="1:23" x14ac:dyDescent="0.2">
      <c r="A343" s="1" t="s">
        <v>24</v>
      </c>
      <c r="B343" s="1" t="s">
        <v>25</v>
      </c>
      <c r="C343" s="1" t="s">
        <v>26</v>
      </c>
      <c r="D343" s="1" t="s">
        <v>627</v>
      </c>
      <c r="E343" s="1">
        <v>5</v>
      </c>
      <c r="F343" s="1" t="s">
        <v>853</v>
      </c>
      <c r="G343" s="1" t="s">
        <v>1190</v>
      </c>
      <c r="I343" s="1" t="s">
        <v>24</v>
      </c>
      <c r="J343" s="1" t="s">
        <v>24</v>
      </c>
      <c r="K343" s="1" t="s">
        <v>44</v>
      </c>
      <c r="M343" s="1" t="s">
        <v>1191</v>
      </c>
      <c r="N343" s="3">
        <v>18</v>
      </c>
      <c r="O343" s="4">
        <v>43682</v>
      </c>
      <c r="P343" s="5" t="s">
        <v>213</v>
      </c>
      <c r="Q343" s="3">
        <v>50</v>
      </c>
      <c r="R343" s="6">
        <v>87</v>
      </c>
      <c r="S343" s="7" t="s">
        <v>98</v>
      </c>
      <c r="T343" s="4">
        <v>45838</v>
      </c>
      <c r="U343" s="4">
        <v>34033</v>
      </c>
      <c r="V343" s="4">
        <f t="shared" ca="1" si="46"/>
        <v>45919</v>
      </c>
      <c r="W343" s="8">
        <f t="shared" ca="1" si="47"/>
        <v>32.542094455852158</v>
      </c>
    </row>
    <row r="344" spans="1:23" x14ac:dyDescent="0.2">
      <c r="A344" s="1" t="s">
        <v>24</v>
      </c>
      <c r="B344" s="1" t="s">
        <v>25</v>
      </c>
      <c r="C344" s="1" t="s">
        <v>26</v>
      </c>
      <c r="D344" s="1" t="s">
        <v>627</v>
      </c>
      <c r="E344" s="1">
        <v>2</v>
      </c>
      <c r="F344" s="1" t="s">
        <v>977</v>
      </c>
      <c r="G344" s="1" t="s">
        <v>1192</v>
      </c>
      <c r="I344" s="1" t="s">
        <v>155</v>
      </c>
      <c r="J344" s="1" t="s">
        <v>155</v>
      </c>
      <c r="K344" s="1" t="s">
        <v>44</v>
      </c>
      <c r="M344" s="1" t="s">
        <v>1193</v>
      </c>
      <c r="N344" s="3">
        <v>15</v>
      </c>
      <c r="O344" s="4">
        <v>42917</v>
      </c>
      <c r="P344" s="5" t="s">
        <v>601</v>
      </c>
      <c r="Q344" s="3">
        <v>22</v>
      </c>
      <c r="R344" s="6">
        <v>35</v>
      </c>
      <c r="S344" s="7" t="s">
        <v>98</v>
      </c>
      <c r="T344" s="4">
        <v>45838</v>
      </c>
      <c r="U344" s="4">
        <v>34532</v>
      </c>
      <c r="V344" s="4">
        <f t="shared" ca="1" si="46"/>
        <v>45919</v>
      </c>
      <c r="W344" s="8">
        <f ca="1">(V344-U344)/365.25</f>
        <v>31.175906913073238</v>
      </c>
    </row>
    <row r="345" spans="1:23" x14ac:dyDescent="0.2">
      <c r="A345" s="1" t="s">
        <v>24</v>
      </c>
      <c r="B345" s="1" t="s">
        <v>25</v>
      </c>
      <c r="C345" s="1" t="s">
        <v>26</v>
      </c>
      <c r="D345" s="1" t="s">
        <v>627</v>
      </c>
      <c r="E345" s="1">
        <v>35</v>
      </c>
      <c r="F345" s="1" t="s">
        <v>1194</v>
      </c>
      <c r="G345" s="1" t="s">
        <v>1195</v>
      </c>
      <c r="I345" s="1" t="s">
        <v>1067</v>
      </c>
      <c r="J345" s="1" t="s">
        <v>1067</v>
      </c>
      <c r="K345" s="1" t="s">
        <v>44</v>
      </c>
      <c r="M345" s="1" t="s">
        <v>1196</v>
      </c>
      <c r="N345" s="3">
        <v>2</v>
      </c>
      <c r="O345" s="4">
        <v>45125</v>
      </c>
      <c r="P345" s="5" t="s">
        <v>213</v>
      </c>
      <c r="Q345" s="3">
        <v>2</v>
      </c>
      <c r="R345" s="6" t="s">
        <v>205</v>
      </c>
      <c r="S345" s="7" t="s">
        <v>98</v>
      </c>
      <c r="T345" s="4">
        <v>45838</v>
      </c>
      <c r="U345" s="4">
        <v>32145</v>
      </c>
      <c r="V345" s="4">
        <f t="shared" ca="1" si="46"/>
        <v>45919</v>
      </c>
      <c r="W345" s="8">
        <f t="shared" ca="1" si="47"/>
        <v>37.711156741957566</v>
      </c>
    </row>
    <row r="346" spans="1:23" x14ac:dyDescent="0.2">
      <c r="A346" s="1" t="s">
        <v>24</v>
      </c>
      <c r="B346" s="1" t="s">
        <v>25</v>
      </c>
      <c r="C346" s="1" t="s">
        <v>26</v>
      </c>
      <c r="D346" s="1" t="s">
        <v>627</v>
      </c>
      <c r="E346" s="1">
        <v>23</v>
      </c>
      <c r="F346" s="1" t="s">
        <v>890</v>
      </c>
      <c r="G346" s="1" t="s">
        <v>1197</v>
      </c>
      <c r="I346" s="1" t="s">
        <v>24</v>
      </c>
      <c r="J346" s="1" t="s">
        <v>24</v>
      </c>
      <c r="K346" s="1" t="s">
        <v>63</v>
      </c>
      <c r="M346" s="1" t="s">
        <v>1198</v>
      </c>
      <c r="N346" s="3">
        <v>28</v>
      </c>
      <c r="O346" s="4">
        <v>41821</v>
      </c>
      <c r="P346" s="5" t="s">
        <v>597</v>
      </c>
      <c r="Q346" s="3">
        <v>13</v>
      </c>
      <c r="R346" s="6">
        <v>37.5</v>
      </c>
      <c r="S346" s="7" t="s">
        <v>34</v>
      </c>
      <c r="T346" s="4">
        <v>46568</v>
      </c>
      <c r="U346" s="4">
        <v>34892</v>
      </c>
      <c r="V346" s="4">
        <f t="shared" ca="1" si="46"/>
        <v>45919</v>
      </c>
      <c r="W346" s="8">
        <f t="shared" ca="1" si="47"/>
        <v>30.190280629705683</v>
      </c>
    </row>
    <row r="347" spans="1:23" x14ac:dyDescent="0.2">
      <c r="A347" s="1" t="s">
        <v>24</v>
      </c>
      <c r="B347" s="1" t="s">
        <v>25</v>
      </c>
      <c r="C347" s="1" t="s">
        <v>26</v>
      </c>
      <c r="D347" s="1" t="s">
        <v>627</v>
      </c>
      <c r="E347" s="1">
        <v>12</v>
      </c>
      <c r="F347" s="1" t="s">
        <v>1199</v>
      </c>
      <c r="G347" s="1" t="s">
        <v>1200</v>
      </c>
      <c r="I347" s="1" t="s">
        <v>52</v>
      </c>
      <c r="J347" s="1" t="s">
        <v>52</v>
      </c>
      <c r="K347" s="1" t="s">
        <v>63</v>
      </c>
      <c r="M347" s="1" t="s">
        <v>1201</v>
      </c>
      <c r="N347" s="3">
        <v>18</v>
      </c>
      <c r="O347" s="4">
        <v>44750</v>
      </c>
      <c r="P347" s="5" t="s">
        <v>263</v>
      </c>
      <c r="Q347" s="3">
        <v>17</v>
      </c>
      <c r="R347" s="6">
        <v>15</v>
      </c>
      <c r="S347" s="7" t="s">
        <v>34</v>
      </c>
      <c r="T347" s="4">
        <v>46203</v>
      </c>
      <c r="U347" s="4">
        <v>36389</v>
      </c>
      <c r="V347" s="4">
        <f t="shared" ca="1" si="46"/>
        <v>45919</v>
      </c>
      <c r="W347" s="8">
        <f ca="1">(V347-U347)/365.25</f>
        <v>26.091718001368925</v>
      </c>
    </row>
    <row r="348" spans="1:23" x14ac:dyDescent="0.2">
      <c r="A348" s="1" t="s">
        <v>24</v>
      </c>
      <c r="B348" s="1" t="s">
        <v>25</v>
      </c>
      <c r="C348" s="1" t="s">
        <v>26</v>
      </c>
      <c r="D348" s="1" t="s">
        <v>627</v>
      </c>
      <c r="E348" s="1">
        <v>20</v>
      </c>
      <c r="F348" s="1" t="s">
        <v>1104</v>
      </c>
      <c r="G348" s="1" t="s">
        <v>1202</v>
      </c>
      <c r="I348" s="1" t="s">
        <v>416</v>
      </c>
      <c r="J348" s="1" t="s">
        <v>416</v>
      </c>
      <c r="K348" s="1" t="s">
        <v>80</v>
      </c>
      <c r="M348" s="1" t="s">
        <v>1203</v>
      </c>
      <c r="N348" s="3">
        <v>40</v>
      </c>
      <c r="O348" s="4">
        <v>43282</v>
      </c>
      <c r="P348" s="5" t="s">
        <v>333</v>
      </c>
      <c r="Q348" s="3">
        <v>15</v>
      </c>
      <c r="R348" s="6">
        <v>22</v>
      </c>
      <c r="S348" s="7" t="s">
        <v>34</v>
      </c>
      <c r="T348" s="4">
        <v>46934</v>
      </c>
      <c r="U348" s="4">
        <v>36237</v>
      </c>
      <c r="V348" s="4">
        <f t="shared" ca="1" si="46"/>
        <v>45919</v>
      </c>
      <c r="W348" s="8">
        <f t="shared" ca="1" si="47"/>
        <v>26.507871321013006</v>
      </c>
    </row>
    <row r="349" spans="1:23" x14ac:dyDescent="0.2">
      <c r="A349" s="1" t="s">
        <v>24</v>
      </c>
      <c r="B349" s="1" t="s">
        <v>25</v>
      </c>
      <c r="C349" s="1" t="s">
        <v>26</v>
      </c>
      <c r="D349" s="1" t="s">
        <v>627</v>
      </c>
      <c r="E349" s="1">
        <v>3</v>
      </c>
      <c r="F349" s="1" t="s">
        <v>1204</v>
      </c>
      <c r="G349" s="1" t="s">
        <v>1205</v>
      </c>
      <c r="I349" s="1" t="s">
        <v>52</v>
      </c>
      <c r="J349" s="1" t="s">
        <v>661</v>
      </c>
      <c r="K349" s="1" t="s">
        <v>80</v>
      </c>
      <c r="M349" s="1" t="s">
        <v>1206</v>
      </c>
      <c r="N349" s="3">
        <v>30</v>
      </c>
      <c r="O349" s="4">
        <v>45517</v>
      </c>
      <c r="P349" s="5" t="s">
        <v>671</v>
      </c>
      <c r="Q349" s="3">
        <v>30</v>
      </c>
      <c r="R349" s="6">
        <v>15</v>
      </c>
      <c r="S349" s="7" t="s">
        <v>98</v>
      </c>
      <c r="T349" s="4">
        <v>46934</v>
      </c>
      <c r="U349" s="4">
        <v>35748</v>
      </c>
      <c r="V349" s="4">
        <f t="shared" ca="1" si="46"/>
        <v>45919</v>
      </c>
      <c r="W349" s="8">
        <f t="shared" ca="1" si="47"/>
        <v>27.846680355920601</v>
      </c>
    </row>
    <row r="350" spans="1:23" x14ac:dyDescent="0.2">
      <c r="A350" s="1" t="s">
        <v>24</v>
      </c>
      <c r="B350" s="1" t="s">
        <v>25</v>
      </c>
      <c r="C350" s="1" t="s">
        <v>26</v>
      </c>
      <c r="D350" s="1" t="s">
        <v>627</v>
      </c>
      <c r="E350" s="1">
        <v>25</v>
      </c>
      <c r="F350" s="1" t="s">
        <v>1120</v>
      </c>
      <c r="G350" s="1" t="s">
        <v>1207</v>
      </c>
      <c r="I350" s="1" t="s">
        <v>1102</v>
      </c>
      <c r="J350" s="1" t="s">
        <v>1102</v>
      </c>
      <c r="K350" s="1" t="s">
        <v>95</v>
      </c>
      <c r="M350" s="1" t="s">
        <v>1208</v>
      </c>
      <c r="N350" s="3">
        <v>50</v>
      </c>
      <c r="O350" s="4">
        <v>45534</v>
      </c>
      <c r="P350" s="5" t="s">
        <v>773</v>
      </c>
      <c r="Q350" s="3">
        <v>45</v>
      </c>
      <c r="R350" s="6">
        <v>50</v>
      </c>
      <c r="S350" s="7" t="s">
        <v>66</v>
      </c>
      <c r="T350" s="4">
        <v>47299</v>
      </c>
      <c r="U350" s="4">
        <v>36992</v>
      </c>
      <c r="V350" s="4">
        <f t="shared" ca="1" si="46"/>
        <v>45919</v>
      </c>
      <c r="W350" s="8">
        <f ca="1">(V350-U350)/365.25</f>
        <v>24.440793976728269</v>
      </c>
    </row>
    <row r="351" spans="1:23" x14ac:dyDescent="0.2">
      <c r="A351" s="1" t="s">
        <v>24</v>
      </c>
      <c r="B351" s="1" t="s">
        <v>25</v>
      </c>
      <c r="C351" s="1" t="s">
        <v>26</v>
      </c>
      <c r="D351" s="1" t="s">
        <v>627</v>
      </c>
      <c r="E351" s="1">
        <v>18</v>
      </c>
      <c r="F351" s="1" t="s">
        <v>35</v>
      </c>
      <c r="G351" s="1" t="s">
        <v>1209</v>
      </c>
      <c r="I351" s="1" t="s">
        <v>37</v>
      </c>
      <c r="J351" s="1" t="s">
        <v>37</v>
      </c>
      <c r="K351" s="1" t="s">
        <v>95</v>
      </c>
      <c r="M351" s="1" t="s">
        <v>1210</v>
      </c>
      <c r="N351" s="3">
        <v>15</v>
      </c>
      <c r="O351" s="4">
        <v>44795</v>
      </c>
      <c r="P351" s="5" t="s">
        <v>115</v>
      </c>
      <c r="Q351" s="3">
        <v>40</v>
      </c>
      <c r="R351" s="6">
        <v>70.650000000000006</v>
      </c>
      <c r="S351" s="7" t="s">
        <v>34</v>
      </c>
      <c r="T351" s="4">
        <v>46203</v>
      </c>
      <c r="U351" s="4">
        <v>33657</v>
      </c>
      <c r="V351" s="4">
        <f t="shared" ca="1" si="46"/>
        <v>45919</v>
      </c>
      <c r="W351" s="8">
        <f t="shared" ref="W351" ca="1" si="49">(V351-U351)/365.25</f>
        <v>33.571526351813823</v>
      </c>
    </row>
    <row r="352" spans="1:23" x14ac:dyDescent="0.2">
      <c r="A352" s="1" t="s">
        <v>24</v>
      </c>
      <c r="B352" s="1" t="s">
        <v>25</v>
      </c>
      <c r="C352" s="1" t="s">
        <v>26</v>
      </c>
      <c r="D352" s="1" t="s">
        <v>627</v>
      </c>
      <c r="E352" s="1">
        <v>43</v>
      </c>
      <c r="F352" s="1" t="s">
        <v>1211</v>
      </c>
      <c r="G352" s="1" t="s">
        <v>1212</v>
      </c>
      <c r="I352" s="1" t="s">
        <v>24</v>
      </c>
      <c r="J352" s="1" t="s">
        <v>24</v>
      </c>
      <c r="K352" s="1" t="s">
        <v>95</v>
      </c>
      <c r="M352" s="1" t="s">
        <v>1213</v>
      </c>
      <c r="N352" s="3">
        <v>2</v>
      </c>
      <c r="O352" s="4">
        <v>45474</v>
      </c>
      <c r="P352" s="5" t="s">
        <v>1214</v>
      </c>
      <c r="Q352" s="3">
        <v>0.2</v>
      </c>
      <c r="R352" s="6">
        <v>0</v>
      </c>
      <c r="S352" s="7" t="s">
        <v>372</v>
      </c>
      <c r="T352" s="4">
        <v>46568</v>
      </c>
      <c r="U352" s="4">
        <v>37989</v>
      </c>
      <c r="V352" s="4">
        <f t="shared" ca="1" si="46"/>
        <v>45919</v>
      </c>
      <c r="W352" s="8">
        <f t="shared" ca="1" si="47"/>
        <v>21.711156741957563</v>
      </c>
    </row>
    <row r="353" spans="1:23" x14ac:dyDescent="0.2">
      <c r="A353" s="1" t="s">
        <v>24</v>
      </c>
      <c r="B353" s="1" t="s">
        <v>25</v>
      </c>
      <c r="C353" s="1" t="s">
        <v>26</v>
      </c>
      <c r="D353" s="1" t="s">
        <v>627</v>
      </c>
      <c r="E353" s="1">
        <v>37</v>
      </c>
      <c r="F353" s="1" t="s">
        <v>1215</v>
      </c>
      <c r="G353" s="1" t="s">
        <v>1216</v>
      </c>
      <c r="I353" s="1" t="s">
        <v>24</v>
      </c>
      <c r="J353" s="1" t="s">
        <v>24</v>
      </c>
      <c r="K353" s="1" t="s">
        <v>89</v>
      </c>
      <c r="M353" s="1" t="s">
        <v>1217</v>
      </c>
      <c r="N353" s="3">
        <v>55</v>
      </c>
      <c r="O353" s="4">
        <v>44927</v>
      </c>
      <c r="P353" s="5" t="s">
        <v>1214</v>
      </c>
      <c r="Q353" s="3">
        <v>0.3</v>
      </c>
      <c r="R353" s="6">
        <v>0</v>
      </c>
      <c r="S353" s="7" t="s">
        <v>34</v>
      </c>
      <c r="T353" s="4">
        <v>46568</v>
      </c>
      <c r="U353" s="4">
        <v>38461</v>
      </c>
      <c r="V353" s="4">
        <f t="shared" ca="1" si="46"/>
        <v>45919</v>
      </c>
      <c r="W353" s="8">
        <f ca="1">(V353-U353)/365.25</f>
        <v>20.418891170431213</v>
      </c>
    </row>
    <row r="354" spans="1:23" x14ac:dyDescent="0.2">
      <c r="A354" s="1" t="s">
        <v>24</v>
      </c>
      <c r="B354" s="1" t="s">
        <v>25</v>
      </c>
      <c r="C354" s="1" t="s">
        <v>26</v>
      </c>
      <c r="D354" s="1" t="s">
        <v>627</v>
      </c>
      <c r="E354" s="1">
        <v>14</v>
      </c>
      <c r="F354" s="1" t="s">
        <v>392</v>
      </c>
      <c r="G354" s="1" t="s">
        <v>1218</v>
      </c>
      <c r="I354" s="1" t="s">
        <v>304</v>
      </c>
      <c r="J354" s="1" t="s">
        <v>304</v>
      </c>
      <c r="K354" s="1" t="s">
        <v>89</v>
      </c>
      <c r="M354" s="1" t="s">
        <v>1219</v>
      </c>
      <c r="N354" s="3">
        <v>8</v>
      </c>
      <c r="O354" s="4">
        <v>44757</v>
      </c>
      <c r="P354" s="5" t="s">
        <v>33</v>
      </c>
      <c r="Q354" s="3">
        <v>20</v>
      </c>
      <c r="R354" s="6" t="s">
        <v>205</v>
      </c>
      <c r="S354" s="7" t="s">
        <v>98</v>
      </c>
      <c r="T354" s="4">
        <v>45838</v>
      </c>
      <c r="U354" s="4">
        <v>33648</v>
      </c>
      <c r="V354" s="4">
        <f t="shared" ca="1" si="46"/>
        <v>45919</v>
      </c>
      <c r="W354" s="8">
        <f ca="1">(V354-U354)/365.25</f>
        <v>33.596167008898014</v>
      </c>
    </row>
    <row r="355" spans="1:23" x14ac:dyDescent="0.2">
      <c r="A355" s="1" t="s">
        <v>24</v>
      </c>
      <c r="B355" s="1" t="s">
        <v>25</v>
      </c>
      <c r="C355" s="1" t="s">
        <v>26</v>
      </c>
      <c r="D355" s="1" t="s">
        <v>627</v>
      </c>
      <c r="E355" s="1">
        <v>44</v>
      </c>
      <c r="F355" s="1" t="s">
        <v>679</v>
      </c>
      <c r="G355" s="1" t="s">
        <v>1220</v>
      </c>
      <c r="I355" s="1" t="s">
        <v>24</v>
      </c>
      <c r="J355" s="1" t="s">
        <v>24</v>
      </c>
      <c r="K355" s="1" t="s">
        <v>89</v>
      </c>
      <c r="M355" s="1" t="s">
        <v>1221</v>
      </c>
      <c r="N355" s="3">
        <v>0.9</v>
      </c>
      <c r="O355" s="4">
        <v>45108</v>
      </c>
      <c r="P355" s="5" t="s">
        <v>1214</v>
      </c>
      <c r="Q355" s="3">
        <v>0</v>
      </c>
      <c r="R355" s="6">
        <v>0</v>
      </c>
      <c r="S355" s="7" t="s">
        <v>372</v>
      </c>
      <c r="T355" s="4">
        <v>46203</v>
      </c>
      <c r="U355" s="4">
        <v>38256</v>
      </c>
      <c r="V355" s="4">
        <f t="shared" ca="1" si="46"/>
        <v>45919</v>
      </c>
      <c r="W355" s="8">
        <f ca="1">(V355-U355)/365.25</f>
        <v>20.980150581793293</v>
      </c>
    </row>
    <row r="356" spans="1:23" x14ac:dyDescent="0.2">
      <c r="A356" s="1" t="s">
        <v>24</v>
      </c>
      <c r="B356" s="1" t="s">
        <v>25</v>
      </c>
      <c r="C356" s="1" t="s">
        <v>26</v>
      </c>
      <c r="D356" s="1" t="s">
        <v>627</v>
      </c>
      <c r="E356" s="1">
        <v>8</v>
      </c>
      <c r="F356" s="1" t="s">
        <v>1222</v>
      </c>
      <c r="G356" s="1" t="s">
        <v>1223</v>
      </c>
      <c r="I356" s="1" t="s">
        <v>416</v>
      </c>
      <c r="J356" s="1" t="s">
        <v>416</v>
      </c>
      <c r="K356" s="1" t="s">
        <v>113</v>
      </c>
      <c r="M356" s="1" t="s">
        <v>1224</v>
      </c>
      <c r="N356" s="3">
        <v>65</v>
      </c>
      <c r="O356" s="4">
        <v>43859</v>
      </c>
      <c r="P356" s="5" t="s">
        <v>799</v>
      </c>
      <c r="Q356" s="3">
        <v>60</v>
      </c>
      <c r="R356" s="6">
        <v>65</v>
      </c>
      <c r="S356" s="7" t="s">
        <v>34</v>
      </c>
      <c r="T356" s="4">
        <v>46568</v>
      </c>
      <c r="U356" s="4">
        <v>34585</v>
      </c>
      <c r="V356" s="4">
        <f t="shared" ca="1" si="46"/>
        <v>45919</v>
      </c>
      <c r="W356" s="8">
        <f ca="1">(V356-U356)/365.25</f>
        <v>31.030800821355236</v>
      </c>
    </row>
    <row r="357" spans="1:23" x14ac:dyDescent="0.2">
      <c r="A357" s="1" t="s">
        <v>24</v>
      </c>
      <c r="B357" s="1" t="s">
        <v>25</v>
      </c>
      <c r="C357" s="1" t="s">
        <v>26</v>
      </c>
      <c r="D357" s="1" t="s">
        <v>627</v>
      </c>
      <c r="E357" s="1">
        <v>7</v>
      </c>
      <c r="F357" s="1" t="s">
        <v>1225</v>
      </c>
      <c r="G357" s="1" t="s">
        <v>1226</v>
      </c>
      <c r="I357" s="1" t="s">
        <v>24</v>
      </c>
      <c r="J357" s="1" t="s">
        <v>24</v>
      </c>
      <c r="K357" s="1" t="s">
        <v>113</v>
      </c>
      <c r="M357" s="1" t="s">
        <v>1227</v>
      </c>
      <c r="N357" s="3">
        <v>35</v>
      </c>
      <c r="O357" s="4">
        <v>45108</v>
      </c>
      <c r="P357" s="5" t="s">
        <v>101</v>
      </c>
      <c r="Q357" s="3">
        <v>60</v>
      </c>
      <c r="R357" s="6">
        <v>64.2</v>
      </c>
      <c r="S357" s="7" t="s">
        <v>34</v>
      </c>
      <c r="T357" s="4">
        <v>46934</v>
      </c>
      <c r="U357" s="4">
        <v>36170</v>
      </c>
      <c r="V357" s="4">
        <f t="shared" ca="1" si="46"/>
        <v>45919</v>
      </c>
      <c r="W357" s="8">
        <f t="shared" ca="1" si="47"/>
        <v>26.691307323750856</v>
      </c>
    </row>
    <row r="358" spans="1:23" x14ac:dyDescent="0.2">
      <c r="A358" s="1" t="s">
        <v>24</v>
      </c>
      <c r="B358" s="1" t="s">
        <v>25</v>
      </c>
      <c r="C358" s="1" t="s">
        <v>26</v>
      </c>
      <c r="D358" s="1" t="s">
        <v>627</v>
      </c>
      <c r="E358" s="1">
        <v>10</v>
      </c>
      <c r="F358" s="1" t="s">
        <v>310</v>
      </c>
      <c r="G358" s="1" t="s">
        <v>1228</v>
      </c>
      <c r="I358" s="1" t="s">
        <v>24</v>
      </c>
      <c r="J358" s="1" t="s">
        <v>24</v>
      </c>
      <c r="K358" s="1" t="s">
        <v>120</v>
      </c>
      <c r="M358" s="1" t="s">
        <v>1229</v>
      </c>
      <c r="N358" s="3">
        <v>60</v>
      </c>
      <c r="O358" s="4">
        <v>42370</v>
      </c>
      <c r="P358" s="5" t="s">
        <v>1214</v>
      </c>
      <c r="Q358" s="3">
        <v>0</v>
      </c>
      <c r="R358" s="6">
        <v>0</v>
      </c>
      <c r="S358" s="7" t="s">
        <v>34</v>
      </c>
      <c r="T358" s="4">
        <v>46934</v>
      </c>
      <c r="U358" s="4">
        <v>35734</v>
      </c>
      <c r="V358" s="4">
        <f t="shared" ca="1" si="46"/>
        <v>45919</v>
      </c>
      <c r="W358" s="8">
        <f t="shared" ca="1" si="47"/>
        <v>27.885010266940451</v>
      </c>
    </row>
    <row r="359" spans="1:23" x14ac:dyDescent="0.2">
      <c r="A359" s="1" t="s">
        <v>24</v>
      </c>
      <c r="B359" s="1" t="s">
        <v>25</v>
      </c>
      <c r="C359" s="1" t="s">
        <v>26</v>
      </c>
      <c r="D359" s="1" t="s">
        <v>627</v>
      </c>
      <c r="E359" s="1">
        <v>17</v>
      </c>
      <c r="F359" s="1" t="s">
        <v>1230</v>
      </c>
      <c r="G359" s="1" t="s">
        <v>1231</v>
      </c>
      <c r="I359" s="1" t="s">
        <v>30</v>
      </c>
      <c r="J359" s="1" t="s">
        <v>146</v>
      </c>
      <c r="K359" s="1" t="s">
        <v>120</v>
      </c>
      <c r="M359" s="1" t="s">
        <v>1232</v>
      </c>
      <c r="N359" s="3">
        <v>50</v>
      </c>
      <c r="O359" s="4">
        <v>44743</v>
      </c>
      <c r="P359" s="5" t="s">
        <v>1214</v>
      </c>
      <c r="Q359" s="3">
        <v>2</v>
      </c>
      <c r="R359" s="6">
        <v>0</v>
      </c>
      <c r="S359" s="7" t="s">
        <v>34</v>
      </c>
      <c r="T359" s="4">
        <v>46934</v>
      </c>
      <c r="U359" s="4">
        <v>38169</v>
      </c>
      <c r="V359" s="4">
        <f t="shared" ca="1" si="46"/>
        <v>45919</v>
      </c>
      <c r="W359" s="8">
        <f t="shared" ca="1" si="47"/>
        <v>21.218343600273784</v>
      </c>
    </row>
    <row r="360" spans="1:23" x14ac:dyDescent="0.2">
      <c r="A360" s="1" t="s">
        <v>24</v>
      </c>
      <c r="B360" s="1" t="s">
        <v>25</v>
      </c>
      <c r="C360" s="1" t="s">
        <v>26</v>
      </c>
      <c r="D360" s="1" t="s">
        <v>627</v>
      </c>
      <c r="E360" s="1">
        <v>16</v>
      </c>
      <c r="F360" s="1" t="s">
        <v>1233</v>
      </c>
      <c r="G360" s="1" t="s">
        <v>1234</v>
      </c>
      <c r="I360" s="1" t="s">
        <v>519</v>
      </c>
      <c r="J360" s="1" t="s">
        <v>519</v>
      </c>
      <c r="K360" s="1" t="s">
        <v>133</v>
      </c>
      <c r="M360" s="1" t="s">
        <v>1235</v>
      </c>
      <c r="N360" s="3">
        <v>22</v>
      </c>
      <c r="O360" s="4">
        <v>44198</v>
      </c>
      <c r="P360" s="5" t="s">
        <v>970</v>
      </c>
      <c r="Q360" s="3">
        <v>15</v>
      </c>
      <c r="R360" s="6">
        <v>21.3</v>
      </c>
      <c r="S360" s="7" t="s">
        <v>98</v>
      </c>
      <c r="T360" s="4">
        <v>45838</v>
      </c>
      <c r="U360" s="4">
        <v>37448</v>
      </c>
      <c r="V360" s="4">
        <f t="shared" ca="1" si="46"/>
        <v>45919</v>
      </c>
      <c r="W360" s="8">
        <f t="shared" ca="1" si="47"/>
        <v>23.192334017796028</v>
      </c>
    </row>
    <row r="361" spans="1:23" x14ac:dyDescent="0.2">
      <c r="A361" s="1" t="s">
        <v>24</v>
      </c>
      <c r="B361" s="1" t="s">
        <v>25</v>
      </c>
      <c r="C361" s="1" t="s">
        <v>26</v>
      </c>
      <c r="D361" s="1" t="s">
        <v>627</v>
      </c>
      <c r="E361" s="1">
        <v>21</v>
      </c>
      <c r="F361" s="1" t="s">
        <v>35</v>
      </c>
      <c r="G361" s="1" t="s">
        <v>1236</v>
      </c>
      <c r="I361" s="1" t="s">
        <v>37</v>
      </c>
      <c r="J361" s="1" t="s">
        <v>37</v>
      </c>
      <c r="K361" s="1" t="s">
        <v>133</v>
      </c>
      <c r="M361" s="1" t="s">
        <v>1237</v>
      </c>
      <c r="N361" s="3">
        <v>20</v>
      </c>
      <c r="O361" s="4">
        <v>44803</v>
      </c>
      <c r="P361" s="5" t="s">
        <v>54</v>
      </c>
      <c r="Q361" s="3">
        <v>35</v>
      </c>
      <c r="R361" s="6">
        <v>95</v>
      </c>
      <c r="S361" s="7" t="s">
        <v>34</v>
      </c>
      <c r="T361" s="4">
        <v>46568</v>
      </c>
      <c r="U361" s="4">
        <v>36580</v>
      </c>
      <c r="V361" s="4">
        <f t="shared" ca="1" si="46"/>
        <v>45919</v>
      </c>
      <c r="W361" s="8">
        <f ca="1">(V361-U361)/365.25</f>
        <v>25.568788501026695</v>
      </c>
    </row>
    <row r="362" spans="1:23" x14ac:dyDescent="0.2">
      <c r="A362" s="1" t="s">
        <v>24</v>
      </c>
      <c r="B362" s="1" t="s">
        <v>25</v>
      </c>
      <c r="C362" s="1" t="s">
        <v>26</v>
      </c>
      <c r="D362" s="1" t="s">
        <v>627</v>
      </c>
      <c r="E362" s="1">
        <v>9</v>
      </c>
      <c r="F362" s="1" t="s">
        <v>1238</v>
      </c>
      <c r="G362" s="1" t="s">
        <v>1239</v>
      </c>
      <c r="I362" s="1" t="s">
        <v>304</v>
      </c>
      <c r="J362" s="1" t="s">
        <v>304</v>
      </c>
      <c r="K362" s="1" t="s">
        <v>139</v>
      </c>
      <c r="M362" s="1" t="s">
        <v>1240</v>
      </c>
      <c r="N362" s="3">
        <v>65</v>
      </c>
      <c r="O362" s="4">
        <v>45143</v>
      </c>
      <c r="P362" s="5" t="s">
        <v>970</v>
      </c>
      <c r="Q362" s="3">
        <v>45</v>
      </c>
      <c r="R362" s="6">
        <v>73.900000000000006</v>
      </c>
      <c r="S362" s="7" t="s">
        <v>34</v>
      </c>
      <c r="T362" s="4">
        <v>46934</v>
      </c>
      <c r="U362" s="4">
        <v>37656</v>
      </c>
      <c r="V362" s="4">
        <f t="shared" ca="1" si="46"/>
        <v>45919</v>
      </c>
      <c r="W362" s="8">
        <f t="shared" ref="W362:W364" ca="1" si="50">(V362-U362)/365.25</f>
        <v>22.622861054072555</v>
      </c>
    </row>
    <row r="363" spans="1:23" x14ac:dyDescent="0.2">
      <c r="A363" s="1" t="s">
        <v>24</v>
      </c>
      <c r="B363" s="1" t="s">
        <v>25</v>
      </c>
      <c r="C363" s="1" t="s">
        <v>26</v>
      </c>
      <c r="D363" s="1" t="s">
        <v>627</v>
      </c>
      <c r="E363" s="1">
        <v>11</v>
      </c>
      <c r="F363" s="1" t="s">
        <v>1241</v>
      </c>
      <c r="G363" s="1" t="s">
        <v>1242</v>
      </c>
      <c r="I363" s="1" t="s">
        <v>52</v>
      </c>
      <c r="J363" s="1" t="s">
        <v>52</v>
      </c>
      <c r="K363" s="1" t="s">
        <v>139</v>
      </c>
      <c r="M363" s="1" t="s">
        <v>1243</v>
      </c>
      <c r="N363" s="3">
        <v>50</v>
      </c>
      <c r="O363" s="4">
        <v>45487</v>
      </c>
      <c r="P363" s="5" t="s">
        <v>65</v>
      </c>
      <c r="Q363" s="3">
        <v>50</v>
      </c>
      <c r="R363" s="6">
        <v>42.5</v>
      </c>
      <c r="S363" s="7" t="s">
        <v>66</v>
      </c>
      <c r="T363" s="4">
        <v>47299</v>
      </c>
      <c r="U363" s="4">
        <v>37033</v>
      </c>
      <c r="V363" s="4">
        <f t="shared" ca="1" si="46"/>
        <v>45919</v>
      </c>
      <c r="W363" s="8">
        <f t="shared" ca="1" si="50"/>
        <v>24.328542094455852</v>
      </c>
    </row>
    <row r="364" spans="1:23" x14ac:dyDescent="0.2">
      <c r="A364" s="1" t="s">
        <v>24</v>
      </c>
      <c r="B364" s="1" t="s">
        <v>25</v>
      </c>
      <c r="C364" s="1" t="s">
        <v>26</v>
      </c>
      <c r="D364" s="1" t="s">
        <v>627</v>
      </c>
      <c r="E364" s="1">
        <v>36</v>
      </c>
      <c r="F364" s="1" t="s">
        <v>116</v>
      </c>
      <c r="G364" s="1" t="s">
        <v>1244</v>
      </c>
      <c r="I364" s="1" t="s">
        <v>24</v>
      </c>
      <c r="J364" s="1" t="s">
        <v>24</v>
      </c>
      <c r="K364" s="1" t="s">
        <v>139</v>
      </c>
      <c r="M364" s="1" t="s">
        <v>1245</v>
      </c>
      <c r="N364" s="3">
        <v>0</v>
      </c>
      <c r="O364" s="4">
        <v>45474</v>
      </c>
      <c r="P364" s="5" t="s">
        <v>1214</v>
      </c>
      <c r="Q364" s="3">
        <v>0</v>
      </c>
      <c r="R364" s="6">
        <v>0</v>
      </c>
      <c r="S364" s="7" t="s">
        <v>372</v>
      </c>
      <c r="T364" s="4">
        <v>46203</v>
      </c>
      <c r="U364" s="4">
        <v>38737</v>
      </c>
      <c r="V364" s="4">
        <f t="shared" ca="1" si="46"/>
        <v>45919</v>
      </c>
      <c r="W364" s="8">
        <f t="shared" ca="1" si="50"/>
        <v>19.663244353182751</v>
      </c>
    </row>
    <row r="365" spans="1:23" x14ac:dyDescent="0.2">
      <c r="A365" s="1" t="s">
        <v>24</v>
      </c>
      <c r="B365" s="1" t="s">
        <v>25</v>
      </c>
      <c r="C365" s="1" t="s">
        <v>26</v>
      </c>
      <c r="D365" s="5" t="s">
        <v>526</v>
      </c>
      <c r="E365" s="1">
        <v>22</v>
      </c>
      <c r="F365" s="1" t="s">
        <v>1246</v>
      </c>
      <c r="G365" s="1" t="s">
        <v>1247</v>
      </c>
      <c r="I365" s="1" t="s">
        <v>24</v>
      </c>
      <c r="J365" s="1" t="s">
        <v>24</v>
      </c>
      <c r="K365" s="1" t="s">
        <v>31</v>
      </c>
      <c r="M365" s="1" t="s">
        <v>1248</v>
      </c>
      <c r="N365" s="3">
        <v>16</v>
      </c>
      <c r="O365" s="4">
        <v>44743</v>
      </c>
      <c r="P365" s="5" t="s">
        <v>366</v>
      </c>
      <c r="Q365" s="3">
        <v>15</v>
      </c>
      <c r="R365" s="6">
        <v>11.5</v>
      </c>
      <c r="S365" s="7" t="s">
        <v>34</v>
      </c>
      <c r="T365" s="4">
        <v>46203</v>
      </c>
      <c r="U365" s="4">
        <v>33713</v>
      </c>
      <c r="V365" s="4">
        <f ca="1">TODAY()</f>
        <v>45919</v>
      </c>
      <c r="W365" s="8">
        <f ca="1">(V365-U365)/365.25</f>
        <v>33.418206707734427</v>
      </c>
    </row>
    <row r="366" spans="1:23" x14ac:dyDescent="0.2">
      <c r="A366" s="1" t="s">
        <v>24</v>
      </c>
      <c r="B366" s="1" t="s">
        <v>25</v>
      </c>
      <c r="C366" s="1" t="s">
        <v>26</v>
      </c>
      <c r="D366" s="5" t="s">
        <v>526</v>
      </c>
      <c r="E366" s="1">
        <v>19</v>
      </c>
      <c r="F366" s="1" t="s">
        <v>1249</v>
      </c>
      <c r="G366" s="1" t="s">
        <v>1250</v>
      </c>
      <c r="I366" s="1" t="s">
        <v>138</v>
      </c>
      <c r="J366" s="1" t="s">
        <v>1060</v>
      </c>
      <c r="K366" s="1" t="s">
        <v>31</v>
      </c>
      <c r="M366" s="1" t="s">
        <v>1251</v>
      </c>
      <c r="N366" s="3">
        <v>7</v>
      </c>
      <c r="O366" s="4">
        <v>45474</v>
      </c>
      <c r="P366" s="5" t="s">
        <v>190</v>
      </c>
      <c r="Q366" s="3">
        <v>7</v>
      </c>
      <c r="R366" s="6">
        <v>23.6</v>
      </c>
      <c r="S366" s="7" t="s">
        <v>66</v>
      </c>
      <c r="T366" s="4" t="s">
        <v>35</v>
      </c>
      <c r="U366" s="4">
        <v>34450</v>
      </c>
      <c r="V366" s="4">
        <f t="shared" ref="V366:V395" ca="1" si="51">TODAY()</f>
        <v>45919</v>
      </c>
      <c r="W366" s="8">
        <f t="shared" ref="W366:W389" ca="1" si="52">(V366-U366)/365.25</f>
        <v>31.400410677618069</v>
      </c>
    </row>
    <row r="367" spans="1:23" x14ac:dyDescent="0.2">
      <c r="A367" s="1" t="s">
        <v>24</v>
      </c>
      <c r="B367" s="1" t="s">
        <v>25</v>
      </c>
      <c r="C367" s="1" t="s">
        <v>26</v>
      </c>
      <c r="D367" s="5" t="s">
        <v>526</v>
      </c>
      <c r="E367" s="1">
        <v>1</v>
      </c>
      <c r="F367" s="1" t="s">
        <v>110</v>
      </c>
      <c r="G367" s="1" t="s">
        <v>1252</v>
      </c>
      <c r="I367" s="1" t="s">
        <v>1253</v>
      </c>
      <c r="J367" s="1" t="s">
        <v>1253</v>
      </c>
      <c r="K367" s="1" t="s">
        <v>31</v>
      </c>
      <c r="M367" s="1" t="s">
        <v>1254</v>
      </c>
      <c r="N367" s="3">
        <v>1</v>
      </c>
      <c r="O367" s="4">
        <v>43131</v>
      </c>
      <c r="P367" s="5" t="s">
        <v>1255</v>
      </c>
      <c r="Q367" s="3">
        <v>0.9</v>
      </c>
      <c r="R367" s="6">
        <v>6</v>
      </c>
      <c r="S367" s="7" t="s">
        <v>98</v>
      </c>
      <c r="T367" s="4">
        <v>45838</v>
      </c>
      <c r="U367" s="4">
        <v>32523</v>
      </c>
      <c r="V367" s="4">
        <f t="shared" ca="1" si="51"/>
        <v>45919</v>
      </c>
      <c r="W367" s="8">
        <f t="shared" ca="1" si="52"/>
        <v>36.676249144421632</v>
      </c>
    </row>
    <row r="368" spans="1:23" x14ac:dyDescent="0.2">
      <c r="A368" s="1" t="s">
        <v>24</v>
      </c>
      <c r="B368" s="1" t="s">
        <v>25</v>
      </c>
      <c r="C368" s="1" t="s">
        <v>26</v>
      </c>
      <c r="D368" s="5" t="s">
        <v>526</v>
      </c>
      <c r="E368" s="1">
        <v>29</v>
      </c>
      <c r="F368" s="1" t="s">
        <v>248</v>
      </c>
      <c r="G368" s="1" t="s">
        <v>1256</v>
      </c>
      <c r="I368" s="1" t="s">
        <v>24</v>
      </c>
      <c r="J368" s="1" t="s">
        <v>24</v>
      </c>
      <c r="K368" s="1" t="s">
        <v>31</v>
      </c>
      <c r="M368" s="1" t="s">
        <v>1257</v>
      </c>
      <c r="N368" s="3">
        <v>0.3</v>
      </c>
      <c r="O368" s="4">
        <v>44015</v>
      </c>
      <c r="P368" s="5" t="s">
        <v>1258</v>
      </c>
      <c r="Q368" s="3">
        <v>0.4</v>
      </c>
      <c r="R368" s="6" t="s">
        <v>205</v>
      </c>
      <c r="S368" s="7" t="s">
        <v>98</v>
      </c>
      <c r="T368" s="4">
        <v>45838</v>
      </c>
      <c r="U368" s="4">
        <v>33690</v>
      </c>
      <c r="V368" s="4">
        <f t="shared" ca="1" si="51"/>
        <v>45919</v>
      </c>
      <c r="W368" s="8">
        <f ca="1">(V368-U368)/365.25</f>
        <v>33.481177275838469</v>
      </c>
    </row>
    <row r="369" spans="1:23" x14ac:dyDescent="0.2">
      <c r="A369" s="1" t="s">
        <v>24</v>
      </c>
      <c r="B369" s="1" t="s">
        <v>25</v>
      </c>
      <c r="C369" s="1" t="s">
        <v>26</v>
      </c>
      <c r="D369" s="5" t="s">
        <v>526</v>
      </c>
      <c r="E369" s="1">
        <v>26</v>
      </c>
      <c r="F369" s="1" t="s">
        <v>206</v>
      </c>
      <c r="G369" s="1" t="s">
        <v>1259</v>
      </c>
      <c r="I369" s="1" t="s">
        <v>24</v>
      </c>
      <c r="J369" s="1" t="s">
        <v>24</v>
      </c>
      <c r="K369" s="1" t="s">
        <v>31</v>
      </c>
      <c r="M369" s="1" t="s">
        <v>1260</v>
      </c>
      <c r="N369" s="3">
        <v>0.2</v>
      </c>
      <c r="O369" s="4">
        <v>45474</v>
      </c>
      <c r="P369" s="5" t="s">
        <v>1261</v>
      </c>
      <c r="Q369" s="3">
        <v>0.2</v>
      </c>
      <c r="R369" s="6" t="s">
        <v>205</v>
      </c>
      <c r="S369" s="7" t="s">
        <v>66</v>
      </c>
      <c r="T369" s="4">
        <v>45838</v>
      </c>
      <c r="U369" s="4">
        <v>31709</v>
      </c>
      <c r="V369" s="4">
        <f t="shared" ca="1" si="51"/>
        <v>45919</v>
      </c>
      <c r="W369" s="8">
        <f t="shared" ca="1" si="52"/>
        <v>38.904859685147159</v>
      </c>
    </row>
    <row r="370" spans="1:23" x14ac:dyDescent="0.2">
      <c r="A370" s="1" t="s">
        <v>24</v>
      </c>
      <c r="B370" s="1" t="s">
        <v>25</v>
      </c>
      <c r="C370" s="1" t="s">
        <v>26</v>
      </c>
      <c r="D370" s="5" t="s">
        <v>526</v>
      </c>
      <c r="E370" s="1">
        <v>4</v>
      </c>
      <c r="F370" s="1" t="s">
        <v>1262</v>
      </c>
      <c r="G370" s="1" t="s">
        <v>1263</v>
      </c>
      <c r="I370" s="1" t="s">
        <v>52</v>
      </c>
      <c r="J370" s="1" t="s">
        <v>52</v>
      </c>
      <c r="K370" s="1" t="s">
        <v>44</v>
      </c>
      <c r="M370" s="1" t="s">
        <v>1264</v>
      </c>
      <c r="N370" s="3">
        <v>45</v>
      </c>
      <c r="O370" s="4">
        <v>44743</v>
      </c>
      <c r="P370" s="5" t="s">
        <v>492</v>
      </c>
      <c r="Q370" s="3">
        <v>30</v>
      </c>
      <c r="R370" s="6">
        <v>37</v>
      </c>
      <c r="S370" s="7" t="s">
        <v>34</v>
      </c>
      <c r="T370" s="4">
        <v>46568</v>
      </c>
      <c r="U370" s="4">
        <v>36537</v>
      </c>
      <c r="V370" s="4">
        <f t="shared" ca="1" si="51"/>
        <v>45919</v>
      </c>
      <c r="W370" s="8">
        <f ca="1">(V370-U370)/365.25</f>
        <v>25.686516084873375</v>
      </c>
    </row>
    <row r="371" spans="1:23" x14ac:dyDescent="0.2">
      <c r="A371" s="1" t="s">
        <v>24</v>
      </c>
      <c r="B371" s="1" t="s">
        <v>25</v>
      </c>
      <c r="C371" s="1" t="s">
        <v>26</v>
      </c>
      <c r="D371" s="5" t="s">
        <v>526</v>
      </c>
      <c r="E371" s="1">
        <v>25</v>
      </c>
      <c r="F371" s="1" t="s">
        <v>1265</v>
      </c>
      <c r="G371" s="1" t="s">
        <v>1266</v>
      </c>
      <c r="I371" s="1" t="s">
        <v>24</v>
      </c>
      <c r="J371" s="1" t="s">
        <v>24</v>
      </c>
      <c r="K371" s="1" t="s">
        <v>44</v>
      </c>
      <c r="M371" s="1" t="s">
        <v>1267</v>
      </c>
      <c r="N371" s="3">
        <v>18</v>
      </c>
      <c r="O371" s="4">
        <v>45474</v>
      </c>
      <c r="P371" s="5" t="s">
        <v>39</v>
      </c>
      <c r="Q371" s="3">
        <v>18</v>
      </c>
      <c r="R371" s="6" t="s">
        <v>205</v>
      </c>
      <c r="S371" s="7" t="s">
        <v>66</v>
      </c>
      <c r="T371" s="4">
        <v>47299</v>
      </c>
      <c r="U371" s="4">
        <v>36074</v>
      </c>
      <c r="V371" s="4">
        <f t="shared" ca="1" si="51"/>
        <v>45919</v>
      </c>
      <c r="W371" s="8">
        <f t="shared" ca="1" si="52"/>
        <v>26.954140999315538</v>
      </c>
    </row>
    <row r="372" spans="1:23" x14ac:dyDescent="0.2">
      <c r="A372" s="1" t="s">
        <v>24</v>
      </c>
      <c r="B372" s="1" t="s">
        <v>25</v>
      </c>
      <c r="C372" s="1" t="s">
        <v>26</v>
      </c>
      <c r="D372" s="5" t="s">
        <v>526</v>
      </c>
      <c r="E372" s="1">
        <v>5</v>
      </c>
      <c r="F372" s="1" t="s">
        <v>1268</v>
      </c>
      <c r="G372" s="1" t="s">
        <v>1269</v>
      </c>
      <c r="I372" s="1" t="s">
        <v>873</v>
      </c>
      <c r="J372" s="1" t="s">
        <v>873</v>
      </c>
      <c r="K372" s="1" t="s">
        <v>44</v>
      </c>
      <c r="M372" s="1" t="s">
        <v>1270</v>
      </c>
      <c r="N372" s="3">
        <v>10</v>
      </c>
      <c r="O372" s="4">
        <v>43307</v>
      </c>
      <c r="P372" s="5" t="s">
        <v>1271</v>
      </c>
      <c r="Q372" s="3">
        <v>3</v>
      </c>
      <c r="R372" s="6">
        <v>4</v>
      </c>
      <c r="S372" s="7" t="s">
        <v>98</v>
      </c>
      <c r="T372" s="4">
        <v>45838</v>
      </c>
      <c r="U372" s="4">
        <v>33592</v>
      </c>
      <c r="V372" s="4">
        <f t="shared" ca="1" si="51"/>
        <v>45919</v>
      </c>
      <c r="W372" s="8">
        <f t="shared" ca="1" si="52"/>
        <v>33.74948665297741</v>
      </c>
    </row>
    <row r="373" spans="1:23" x14ac:dyDescent="0.2">
      <c r="A373" s="1" t="s">
        <v>24</v>
      </c>
      <c r="B373" s="1" t="s">
        <v>25</v>
      </c>
      <c r="C373" s="1" t="s">
        <v>26</v>
      </c>
      <c r="D373" s="5" t="s">
        <v>526</v>
      </c>
      <c r="E373" s="1">
        <v>33</v>
      </c>
      <c r="F373" s="1" t="s">
        <v>1272</v>
      </c>
      <c r="G373" s="1" t="s">
        <v>1273</v>
      </c>
      <c r="I373" s="1" t="s">
        <v>24</v>
      </c>
      <c r="J373" s="1" t="s">
        <v>24</v>
      </c>
      <c r="K373" s="1" t="s">
        <v>44</v>
      </c>
      <c r="M373" s="1" t="s">
        <v>1274</v>
      </c>
      <c r="N373" s="3">
        <v>8</v>
      </c>
      <c r="O373" s="4">
        <v>44592</v>
      </c>
      <c r="P373" s="5" t="s">
        <v>82</v>
      </c>
      <c r="Q373" s="3">
        <v>3.5</v>
      </c>
      <c r="R373" s="6">
        <v>15</v>
      </c>
      <c r="S373" s="7" t="s">
        <v>34</v>
      </c>
      <c r="T373" s="4">
        <v>46203</v>
      </c>
      <c r="U373" s="4">
        <v>33733</v>
      </c>
      <c r="V373" s="4">
        <f t="shared" ca="1" si="51"/>
        <v>45919</v>
      </c>
      <c r="W373" s="8">
        <f ca="1">(V373-U373)/365.25</f>
        <v>33.363449691991789</v>
      </c>
    </row>
    <row r="374" spans="1:23" x14ac:dyDescent="0.2">
      <c r="A374" s="1" t="s">
        <v>24</v>
      </c>
      <c r="B374" s="1" t="s">
        <v>25</v>
      </c>
      <c r="C374" s="1" t="s">
        <v>26</v>
      </c>
      <c r="D374" s="5" t="s">
        <v>526</v>
      </c>
      <c r="E374" s="1">
        <v>6</v>
      </c>
      <c r="F374" s="1" t="s">
        <v>1275</v>
      </c>
      <c r="G374" s="1" t="s">
        <v>1276</v>
      </c>
      <c r="I374" s="1" t="s">
        <v>24</v>
      </c>
      <c r="J374" s="1" t="s">
        <v>24</v>
      </c>
      <c r="K374" s="1" t="s">
        <v>44</v>
      </c>
      <c r="M374" s="1" t="s">
        <v>1277</v>
      </c>
      <c r="N374" s="3">
        <v>7</v>
      </c>
      <c r="O374" s="4">
        <v>41860</v>
      </c>
      <c r="P374" s="5" t="s">
        <v>190</v>
      </c>
      <c r="Q374" s="3">
        <v>0.6</v>
      </c>
      <c r="R374" s="6">
        <v>5</v>
      </c>
      <c r="S374" s="7" t="s">
        <v>98</v>
      </c>
      <c r="T374" s="4">
        <v>45838</v>
      </c>
      <c r="U374" s="4">
        <v>34284</v>
      </c>
      <c r="V374" s="4">
        <f t="shared" ca="1" si="51"/>
        <v>45919</v>
      </c>
      <c r="W374" s="8">
        <f t="shared" ca="1" si="52"/>
        <v>31.854893908281998</v>
      </c>
    </row>
    <row r="375" spans="1:23" x14ac:dyDescent="0.2">
      <c r="A375" s="1" t="s">
        <v>24</v>
      </c>
      <c r="B375" s="1" t="s">
        <v>25</v>
      </c>
      <c r="C375" s="1" t="s">
        <v>26</v>
      </c>
      <c r="D375" s="5" t="s">
        <v>526</v>
      </c>
      <c r="E375" s="1">
        <v>20</v>
      </c>
      <c r="F375" s="1" t="s">
        <v>1278</v>
      </c>
      <c r="G375" s="1" t="s">
        <v>1279</v>
      </c>
      <c r="I375" s="1" t="s">
        <v>24</v>
      </c>
      <c r="J375" s="1" t="s">
        <v>24</v>
      </c>
      <c r="K375" s="1" t="s">
        <v>63</v>
      </c>
      <c r="M375" s="1" t="s">
        <v>1280</v>
      </c>
      <c r="N375" s="3">
        <v>22</v>
      </c>
      <c r="O375" s="4">
        <v>45160</v>
      </c>
      <c r="P375" s="5" t="s">
        <v>101</v>
      </c>
      <c r="Q375" s="3">
        <v>10</v>
      </c>
      <c r="R375" s="6">
        <v>33</v>
      </c>
      <c r="S375" s="7" t="s">
        <v>34</v>
      </c>
      <c r="T375" s="4" t="s">
        <v>35</v>
      </c>
      <c r="U375" s="4">
        <v>38238</v>
      </c>
      <c r="V375" s="4">
        <f t="shared" ca="1" si="51"/>
        <v>45919</v>
      </c>
      <c r="W375" s="8">
        <f t="shared" ca="1" si="52"/>
        <v>21.029431895961672</v>
      </c>
    </row>
    <row r="376" spans="1:23" x14ac:dyDescent="0.2">
      <c r="A376" s="1" t="s">
        <v>24</v>
      </c>
      <c r="B376" s="1" t="s">
        <v>25</v>
      </c>
      <c r="C376" s="1" t="s">
        <v>26</v>
      </c>
      <c r="D376" s="5" t="s">
        <v>526</v>
      </c>
      <c r="E376" s="1">
        <v>13</v>
      </c>
      <c r="F376" s="1" t="s">
        <v>493</v>
      </c>
      <c r="G376" s="1" t="s">
        <v>1281</v>
      </c>
      <c r="I376" s="1" t="s">
        <v>24</v>
      </c>
      <c r="J376" s="1" t="s">
        <v>24</v>
      </c>
      <c r="K376" s="1" t="s">
        <v>63</v>
      </c>
      <c r="M376" s="1" t="s">
        <v>1282</v>
      </c>
      <c r="N376" s="3">
        <v>8</v>
      </c>
      <c r="O376" s="4">
        <v>44592</v>
      </c>
      <c r="P376" s="5" t="s">
        <v>143</v>
      </c>
      <c r="Q376" s="3">
        <v>17</v>
      </c>
      <c r="R376" s="6">
        <v>17.5</v>
      </c>
      <c r="S376" s="7" t="s">
        <v>34</v>
      </c>
      <c r="T376" s="4">
        <v>46203</v>
      </c>
      <c r="U376" s="4">
        <v>34960</v>
      </c>
      <c r="V376" s="4">
        <f t="shared" ca="1" si="51"/>
        <v>45919</v>
      </c>
      <c r="W376" s="8">
        <f ca="1">(V376-U376)/365.25</f>
        <v>30.004106776180699</v>
      </c>
    </row>
    <row r="377" spans="1:23" x14ac:dyDescent="0.2">
      <c r="A377" s="1" t="s">
        <v>24</v>
      </c>
      <c r="B377" s="1" t="s">
        <v>25</v>
      </c>
      <c r="C377" s="1" t="s">
        <v>26</v>
      </c>
      <c r="D377" s="5" t="s">
        <v>526</v>
      </c>
      <c r="E377" s="1">
        <v>37</v>
      </c>
      <c r="F377" s="1" t="s">
        <v>295</v>
      </c>
      <c r="G377" s="1" t="s">
        <v>1283</v>
      </c>
      <c r="I377" s="1" t="s">
        <v>250</v>
      </c>
      <c r="J377" s="1" t="s">
        <v>250</v>
      </c>
      <c r="K377" s="1" t="s">
        <v>63</v>
      </c>
      <c r="M377" s="1" t="s">
        <v>1284</v>
      </c>
      <c r="N377" s="3">
        <v>0.25</v>
      </c>
      <c r="O377" s="4">
        <v>45474</v>
      </c>
      <c r="P377" s="5" t="s">
        <v>1285</v>
      </c>
      <c r="Q377" s="3">
        <v>0.25</v>
      </c>
      <c r="R377" s="6">
        <v>0</v>
      </c>
      <c r="S377" s="7" t="s">
        <v>98</v>
      </c>
      <c r="T377" s="4">
        <v>46568</v>
      </c>
      <c r="U377" s="4">
        <v>38163</v>
      </c>
      <c r="V377" s="4">
        <f t="shared" ca="1" si="51"/>
        <v>45919</v>
      </c>
      <c r="W377" s="8">
        <f t="shared" ref="W377" ca="1" si="53">(V377-U377)/365.25</f>
        <v>21.234770704996578</v>
      </c>
    </row>
    <row r="378" spans="1:23" x14ac:dyDescent="0.2">
      <c r="A378" s="1" t="s">
        <v>24</v>
      </c>
      <c r="B378" s="1" t="s">
        <v>25</v>
      </c>
      <c r="C378" s="1" t="s">
        <v>26</v>
      </c>
      <c r="D378" s="5" t="s">
        <v>526</v>
      </c>
      <c r="E378" s="1">
        <v>21</v>
      </c>
      <c r="F378" s="1" t="s">
        <v>1286</v>
      </c>
      <c r="G378" s="1" t="s">
        <v>1287</v>
      </c>
      <c r="I378" s="1" t="s">
        <v>24</v>
      </c>
      <c r="J378" s="1" t="s">
        <v>24</v>
      </c>
      <c r="K378" s="1" t="s">
        <v>80</v>
      </c>
      <c r="M378" s="1" t="s">
        <v>1288</v>
      </c>
      <c r="N378" s="3">
        <v>35</v>
      </c>
      <c r="O378" s="4">
        <v>45146</v>
      </c>
      <c r="P378" s="5" t="s">
        <v>597</v>
      </c>
      <c r="Q378" s="3">
        <v>25</v>
      </c>
      <c r="R378" s="6">
        <v>37.200000000000003</v>
      </c>
      <c r="S378" s="7" t="s">
        <v>34</v>
      </c>
      <c r="T378" s="4">
        <v>46934</v>
      </c>
      <c r="U378" s="4">
        <v>37572</v>
      </c>
      <c r="V378" s="4">
        <f t="shared" ca="1" si="51"/>
        <v>45919</v>
      </c>
      <c r="W378" s="8">
        <f t="shared" ca="1" si="52"/>
        <v>22.852840520191648</v>
      </c>
    </row>
    <row r="379" spans="1:23" x14ac:dyDescent="0.2">
      <c r="A379" s="1" t="s">
        <v>24</v>
      </c>
      <c r="B379" s="1" t="s">
        <v>25</v>
      </c>
      <c r="C379" s="1" t="s">
        <v>26</v>
      </c>
      <c r="D379" s="5" t="s">
        <v>526</v>
      </c>
      <c r="E379" s="1">
        <v>2</v>
      </c>
      <c r="F379" s="1" t="s">
        <v>72</v>
      </c>
      <c r="G379" s="1" t="s">
        <v>1289</v>
      </c>
      <c r="I379" s="1" t="s">
        <v>24</v>
      </c>
      <c r="J379" s="1" t="s">
        <v>24</v>
      </c>
      <c r="K379" s="1" t="s">
        <v>80</v>
      </c>
      <c r="M379" s="1" t="s">
        <v>1290</v>
      </c>
      <c r="N379" s="3">
        <v>10</v>
      </c>
      <c r="O379" s="4">
        <v>44568</v>
      </c>
      <c r="P379" s="5" t="s">
        <v>97</v>
      </c>
      <c r="Q379" s="3">
        <v>18</v>
      </c>
      <c r="R379" s="6">
        <v>14</v>
      </c>
      <c r="S379" s="7" t="s">
        <v>34</v>
      </c>
      <c r="T379" s="4">
        <v>46203</v>
      </c>
      <c r="U379" s="4">
        <v>33135</v>
      </c>
      <c r="V379" s="4">
        <f t="shared" ca="1" si="51"/>
        <v>45919</v>
      </c>
      <c r="W379" s="8">
        <f ca="1">(V379-U379)/365.25</f>
        <v>35.000684462696782</v>
      </c>
    </row>
    <row r="380" spans="1:23" x14ac:dyDescent="0.2">
      <c r="A380" s="1" t="s">
        <v>24</v>
      </c>
      <c r="B380" s="1" t="s">
        <v>25</v>
      </c>
      <c r="C380" s="1" t="s">
        <v>26</v>
      </c>
      <c r="D380" s="5" t="s">
        <v>526</v>
      </c>
      <c r="E380" s="1">
        <v>17</v>
      </c>
      <c r="F380" s="1" t="s">
        <v>1291</v>
      </c>
      <c r="G380" s="1" t="s">
        <v>1292</v>
      </c>
      <c r="I380" s="1" t="s">
        <v>155</v>
      </c>
      <c r="J380" s="1" t="s">
        <v>155</v>
      </c>
      <c r="K380" s="1" t="s">
        <v>80</v>
      </c>
      <c r="M380" s="1" t="s">
        <v>1293</v>
      </c>
      <c r="N380" s="3">
        <v>2.5</v>
      </c>
      <c r="O380" s="4">
        <v>43685</v>
      </c>
      <c r="P380" s="5" t="s">
        <v>1294</v>
      </c>
      <c r="Q380" s="3">
        <v>2.5</v>
      </c>
      <c r="R380" s="6">
        <v>5.4</v>
      </c>
      <c r="S380" s="7" t="s">
        <v>98</v>
      </c>
      <c r="T380" s="4">
        <v>45838</v>
      </c>
      <c r="U380" s="4">
        <v>34548</v>
      </c>
      <c r="V380" s="4">
        <f t="shared" ca="1" si="51"/>
        <v>45919</v>
      </c>
      <c r="W380" s="8">
        <f ca="1">(V380-U380)/365.25</f>
        <v>31.132101300479125</v>
      </c>
    </row>
    <row r="381" spans="1:23" x14ac:dyDescent="0.2">
      <c r="A381" s="1" t="s">
        <v>24</v>
      </c>
      <c r="B381" s="1" t="s">
        <v>25</v>
      </c>
      <c r="C381" s="1" t="s">
        <v>26</v>
      </c>
      <c r="D381" s="5" t="s">
        <v>526</v>
      </c>
      <c r="E381" s="1">
        <v>39</v>
      </c>
      <c r="F381" s="1" t="s">
        <v>1222</v>
      </c>
      <c r="G381" s="1" t="s">
        <v>1295</v>
      </c>
      <c r="I381" s="1" t="s">
        <v>37</v>
      </c>
      <c r="J381" s="1" t="s">
        <v>37</v>
      </c>
      <c r="K381" s="1" t="s">
        <v>95</v>
      </c>
      <c r="M381" s="1" t="s">
        <v>1296</v>
      </c>
      <c r="N381" s="3">
        <v>85</v>
      </c>
      <c r="O381" s="4">
        <v>44591</v>
      </c>
      <c r="P381" s="5" t="s">
        <v>590</v>
      </c>
      <c r="Q381" s="3">
        <v>30</v>
      </c>
      <c r="R381" s="6">
        <v>42.1</v>
      </c>
      <c r="S381" s="7" t="s">
        <v>34</v>
      </c>
      <c r="T381" s="4">
        <v>46934</v>
      </c>
      <c r="U381" s="4">
        <v>35750</v>
      </c>
      <c r="V381" s="4">
        <f t="shared" ca="1" si="51"/>
        <v>45919</v>
      </c>
      <c r="W381" s="8">
        <f ca="1">(V381-U381)/365.25</f>
        <v>27.841204654346338</v>
      </c>
    </row>
    <row r="382" spans="1:23" x14ac:dyDescent="0.2">
      <c r="A382" s="1" t="s">
        <v>24</v>
      </c>
      <c r="B382" s="1" t="s">
        <v>25</v>
      </c>
      <c r="C382" s="1" t="s">
        <v>26</v>
      </c>
      <c r="D382" s="5" t="s">
        <v>526</v>
      </c>
      <c r="E382" s="1" t="s">
        <v>35</v>
      </c>
      <c r="F382" s="1" t="s">
        <v>1297</v>
      </c>
      <c r="G382" s="1" t="s">
        <v>1298</v>
      </c>
      <c r="I382" s="1" t="s">
        <v>24</v>
      </c>
      <c r="J382" s="1" t="s">
        <v>129</v>
      </c>
      <c r="K382" s="1" t="s">
        <v>95</v>
      </c>
      <c r="M382" s="1" t="s">
        <v>1296</v>
      </c>
      <c r="N382" s="3">
        <v>1.8</v>
      </c>
      <c r="O382" s="4">
        <v>42562</v>
      </c>
      <c r="P382" s="5" t="s">
        <v>1299</v>
      </c>
      <c r="Q382" s="3">
        <v>0.5</v>
      </c>
      <c r="R382" s="6">
        <v>2.9</v>
      </c>
      <c r="S382" s="7" t="s">
        <v>196</v>
      </c>
      <c r="T382" s="4">
        <v>46203</v>
      </c>
      <c r="U382" s="4">
        <v>34780</v>
      </c>
      <c r="V382" s="4">
        <f t="shared" ca="1" si="51"/>
        <v>45919</v>
      </c>
      <c r="W382" s="8">
        <f ca="1">(V382-U382)/365.25</f>
        <v>30.496919917864478</v>
      </c>
    </row>
    <row r="383" spans="1:23" x14ac:dyDescent="0.2">
      <c r="A383" s="1" t="s">
        <v>24</v>
      </c>
      <c r="B383" s="1" t="s">
        <v>25</v>
      </c>
      <c r="C383" s="1" t="s">
        <v>26</v>
      </c>
      <c r="D383" s="5" t="s">
        <v>526</v>
      </c>
      <c r="E383" s="1">
        <v>7</v>
      </c>
      <c r="F383" s="1" t="s">
        <v>35</v>
      </c>
      <c r="G383" s="1" t="s">
        <v>1300</v>
      </c>
      <c r="I383" s="1" t="s">
        <v>37</v>
      </c>
      <c r="J383" s="1" t="s">
        <v>37</v>
      </c>
      <c r="K383" s="1" t="s">
        <v>89</v>
      </c>
      <c r="M383" s="1" t="s">
        <v>1301</v>
      </c>
      <c r="N383" s="3">
        <v>40</v>
      </c>
      <c r="O383" s="4">
        <v>43669</v>
      </c>
      <c r="P383" s="5" t="s">
        <v>1302</v>
      </c>
      <c r="Q383" s="3">
        <v>35</v>
      </c>
      <c r="R383" s="6">
        <v>43.5</v>
      </c>
      <c r="S383" s="7" t="s">
        <v>34</v>
      </c>
      <c r="T383" s="4">
        <v>46934</v>
      </c>
      <c r="U383" s="4">
        <v>35291</v>
      </c>
      <c r="V383" s="4">
        <f t="shared" ca="1" si="51"/>
        <v>45919</v>
      </c>
      <c r="W383" s="8">
        <f t="shared" ca="1" si="52"/>
        <v>29.097878165639973</v>
      </c>
    </row>
    <row r="384" spans="1:23" x14ac:dyDescent="0.2">
      <c r="A384" s="1" t="s">
        <v>24</v>
      </c>
      <c r="B384" s="1" t="s">
        <v>25</v>
      </c>
      <c r="C384" s="1" t="s">
        <v>26</v>
      </c>
      <c r="D384" s="5" t="s">
        <v>526</v>
      </c>
      <c r="E384" s="1">
        <v>8</v>
      </c>
      <c r="F384" s="1" t="s">
        <v>1303</v>
      </c>
      <c r="G384" s="1" t="s">
        <v>1304</v>
      </c>
      <c r="I384" s="1" t="s">
        <v>62</v>
      </c>
      <c r="J384" s="1" t="s">
        <v>1305</v>
      </c>
      <c r="K384" s="1" t="s">
        <v>89</v>
      </c>
      <c r="M384" s="1" t="s">
        <v>1306</v>
      </c>
      <c r="N384" s="3">
        <v>38</v>
      </c>
      <c r="O384" s="4">
        <v>45110</v>
      </c>
      <c r="P384" s="5" t="s">
        <v>1307</v>
      </c>
      <c r="Q384" s="3">
        <v>50</v>
      </c>
      <c r="R384" s="6">
        <v>58.9</v>
      </c>
      <c r="S384" s="7" t="s">
        <v>34</v>
      </c>
      <c r="T384" s="4">
        <v>46934</v>
      </c>
      <c r="U384" s="4">
        <v>36654</v>
      </c>
      <c r="V384" s="4">
        <f t="shared" ca="1" si="51"/>
        <v>45919</v>
      </c>
      <c r="W384" s="8">
        <f t="shared" ca="1" si="52"/>
        <v>25.366187542778917</v>
      </c>
    </row>
    <row r="385" spans="1:23" x14ac:dyDescent="0.2">
      <c r="A385" s="1" t="s">
        <v>24</v>
      </c>
      <c r="B385" s="1" t="s">
        <v>25</v>
      </c>
      <c r="C385" s="1" t="s">
        <v>26</v>
      </c>
      <c r="D385" s="5" t="s">
        <v>526</v>
      </c>
      <c r="E385" s="1">
        <v>28</v>
      </c>
      <c r="F385" s="1" t="s">
        <v>148</v>
      </c>
      <c r="G385" s="1" t="s">
        <v>1308</v>
      </c>
      <c r="I385" s="1" t="s">
        <v>24</v>
      </c>
      <c r="J385" s="1" t="s">
        <v>24</v>
      </c>
      <c r="K385" s="1" t="s">
        <v>89</v>
      </c>
      <c r="M385" s="1" t="s">
        <v>1309</v>
      </c>
      <c r="N385" s="3">
        <v>30</v>
      </c>
      <c r="O385" s="4">
        <v>44228</v>
      </c>
      <c r="P385" s="1" t="s">
        <v>27</v>
      </c>
      <c r="Q385" s="3">
        <v>16</v>
      </c>
      <c r="R385" s="6">
        <v>29.4</v>
      </c>
      <c r="S385" s="7" t="s">
        <v>34</v>
      </c>
      <c r="T385" s="4">
        <v>46568</v>
      </c>
      <c r="U385" s="4">
        <v>36392</v>
      </c>
      <c r="V385" s="4">
        <f t="shared" ca="1" si="51"/>
        <v>45919</v>
      </c>
      <c r="W385" s="8">
        <f t="shared" ca="1" si="52"/>
        <v>26.083504449007528</v>
      </c>
    </row>
    <row r="386" spans="1:23" x14ac:dyDescent="0.2">
      <c r="A386" s="1" t="s">
        <v>24</v>
      </c>
      <c r="B386" s="1" t="s">
        <v>25</v>
      </c>
      <c r="C386" s="1" t="s">
        <v>26</v>
      </c>
      <c r="D386" s="5" t="s">
        <v>526</v>
      </c>
      <c r="E386" s="1">
        <v>36</v>
      </c>
      <c r="F386" s="1" t="s">
        <v>1310</v>
      </c>
      <c r="G386" s="1" t="s">
        <v>1311</v>
      </c>
      <c r="I386" s="1" t="s">
        <v>24</v>
      </c>
      <c r="J386" s="1" t="s">
        <v>24</v>
      </c>
      <c r="K386" s="1" t="s">
        <v>89</v>
      </c>
      <c r="M386" s="1" t="s">
        <v>1312</v>
      </c>
      <c r="N386" s="3">
        <v>25</v>
      </c>
      <c r="O386" s="4">
        <v>43466</v>
      </c>
      <c r="P386" s="5" t="s">
        <v>1285</v>
      </c>
      <c r="Q386" s="3">
        <v>0.15</v>
      </c>
      <c r="R386" s="6">
        <v>0</v>
      </c>
      <c r="S386" s="7" t="s">
        <v>34</v>
      </c>
      <c r="T386" s="4">
        <v>45838</v>
      </c>
      <c r="U386" s="4">
        <v>35733</v>
      </c>
      <c r="V386" s="4">
        <f t="shared" ca="1" si="51"/>
        <v>45919</v>
      </c>
      <c r="W386" s="8">
        <f t="shared" ca="1" si="52"/>
        <v>27.887748117727583</v>
      </c>
    </row>
    <row r="387" spans="1:23" x14ac:dyDescent="0.2">
      <c r="A387" s="1" t="s">
        <v>24</v>
      </c>
      <c r="B387" s="1" t="s">
        <v>25</v>
      </c>
      <c r="C387" s="1" t="s">
        <v>26</v>
      </c>
      <c r="D387" s="5" t="s">
        <v>526</v>
      </c>
      <c r="E387" s="1">
        <v>67</v>
      </c>
      <c r="F387" s="1" t="s">
        <v>1278</v>
      </c>
      <c r="G387" s="1" t="s">
        <v>1313</v>
      </c>
      <c r="I387" s="1" t="s">
        <v>24</v>
      </c>
      <c r="J387" s="1" t="s">
        <v>24</v>
      </c>
      <c r="K387" s="1" t="s">
        <v>89</v>
      </c>
      <c r="M387" s="1" t="s">
        <v>1314</v>
      </c>
      <c r="N387" s="3">
        <v>22</v>
      </c>
      <c r="O387" s="4">
        <v>45108</v>
      </c>
      <c r="P387" s="5" t="s">
        <v>1285</v>
      </c>
      <c r="Q387" s="3">
        <v>0</v>
      </c>
      <c r="R387" s="6">
        <v>0</v>
      </c>
      <c r="S387" s="7" t="s">
        <v>34</v>
      </c>
      <c r="T387" s="4">
        <v>47299</v>
      </c>
      <c r="U387" s="4">
        <v>38838</v>
      </c>
      <c r="V387" s="4">
        <f t="shared" ca="1" si="51"/>
        <v>45919</v>
      </c>
      <c r="W387" s="8">
        <f ca="1">(V387-U387)/365.25</f>
        <v>19.38672142368241</v>
      </c>
    </row>
    <row r="388" spans="1:23" x14ac:dyDescent="0.2">
      <c r="A388" s="1" t="s">
        <v>24</v>
      </c>
      <c r="B388" s="1" t="s">
        <v>25</v>
      </c>
      <c r="C388" s="1" t="s">
        <v>26</v>
      </c>
      <c r="D388" s="5" t="s">
        <v>526</v>
      </c>
      <c r="E388" s="1">
        <v>10</v>
      </c>
      <c r="F388" s="1" t="s">
        <v>1315</v>
      </c>
      <c r="G388" s="1" t="s">
        <v>1316</v>
      </c>
      <c r="I388" s="1" t="s">
        <v>24</v>
      </c>
      <c r="J388" s="1" t="s">
        <v>24</v>
      </c>
      <c r="K388" s="1" t="s">
        <v>120</v>
      </c>
      <c r="M388" s="1" t="s">
        <v>1317</v>
      </c>
      <c r="N388" s="3">
        <v>60</v>
      </c>
      <c r="O388" s="4">
        <v>44955</v>
      </c>
      <c r="P388" s="5" t="s">
        <v>186</v>
      </c>
      <c r="Q388" s="3">
        <v>40</v>
      </c>
      <c r="R388" s="6">
        <v>45.6</v>
      </c>
      <c r="S388" s="7" t="s">
        <v>34</v>
      </c>
      <c r="T388" s="4" t="s">
        <v>35</v>
      </c>
      <c r="U388" s="4">
        <v>36946</v>
      </c>
      <c r="V388" s="4">
        <f t="shared" ca="1" si="51"/>
        <v>45919</v>
      </c>
      <c r="W388" s="8">
        <f t="shared" ca="1" si="52"/>
        <v>24.566735112936346</v>
      </c>
    </row>
    <row r="389" spans="1:23" x14ac:dyDescent="0.2">
      <c r="A389" s="1" t="s">
        <v>24</v>
      </c>
      <c r="B389" s="1" t="s">
        <v>25</v>
      </c>
      <c r="C389" s="1" t="s">
        <v>26</v>
      </c>
      <c r="D389" s="5" t="s">
        <v>526</v>
      </c>
      <c r="E389" s="1">
        <v>11</v>
      </c>
      <c r="F389" s="1" t="s">
        <v>1083</v>
      </c>
      <c r="G389" s="1" t="s">
        <v>1318</v>
      </c>
      <c r="I389" s="1" t="s">
        <v>24</v>
      </c>
      <c r="J389" s="1" t="s">
        <v>24</v>
      </c>
      <c r="K389" s="1" t="s">
        <v>120</v>
      </c>
      <c r="M389" s="1" t="s">
        <v>1319</v>
      </c>
      <c r="N389" s="3">
        <v>35</v>
      </c>
      <c r="O389" s="4">
        <v>45130</v>
      </c>
      <c r="P389" s="5" t="s">
        <v>213</v>
      </c>
      <c r="Q389" s="3">
        <v>35</v>
      </c>
      <c r="R389" s="6">
        <v>44</v>
      </c>
      <c r="S389" s="7" t="s">
        <v>34</v>
      </c>
      <c r="T389" s="4">
        <v>46934</v>
      </c>
      <c r="U389" s="4">
        <v>35773</v>
      </c>
      <c r="V389" s="4">
        <f t="shared" ca="1" si="51"/>
        <v>45919</v>
      </c>
      <c r="W389" s="8">
        <f t="shared" ca="1" si="52"/>
        <v>27.7782340862423</v>
      </c>
    </row>
    <row r="390" spans="1:23" x14ac:dyDescent="0.2">
      <c r="A390" s="1" t="s">
        <v>24</v>
      </c>
      <c r="B390" s="1" t="s">
        <v>25</v>
      </c>
      <c r="C390" s="1" t="s">
        <v>26</v>
      </c>
      <c r="D390" s="5" t="s">
        <v>526</v>
      </c>
      <c r="E390" s="1">
        <v>38</v>
      </c>
      <c r="F390" s="1" t="s">
        <v>1320</v>
      </c>
      <c r="G390" s="1" t="s">
        <v>1321</v>
      </c>
      <c r="I390" s="1" t="s">
        <v>920</v>
      </c>
      <c r="J390" s="1" t="s">
        <v>150</v>
      </c>
      <c r="K390" s="1" t="s">
        <v>120</v>
      </c>
      <c r="M390" s="1" t="s">
        <v>1322</v>
      </c>
      <c r="N390" s="3">
        <v>0.6</v>
      </c>
      <c r="O390" s="4">
        <v>44927</v>
      </c>
      <c r="P390" s="5" t="s">
        <v>1323</v>
      </c>
      <c r="Q390" s="3">
        <v>0.8</v>
      </c>
      <c r="R390" s="6">
        <v>0.35</v>
      </c>
      <c r="S390" s="7" t="s">
        <v>196</v>
      </c>
      <c r="T390" s="4">
        <v>46203</v>
      </c>
      <c r="U390" s="4">
        <v>38245</v>
      </c>
      <c r="V390" s="4">
        <f t="shared" ca="1" si="51"/>
        <v>45919</v>
      </c>
      <c r="W390" s="8">
        <f ca="1">(V390-U390)/365.25</f>
        <v>21.010266940451746</v>
      </c>
    </row>
    <row r="391" spans="1:23" x14ac:dyDescent="0.2">
      <c r="A391" s="1" t="s">
        <v>24</v>
      </c>
      <c r="B391" s="1" t="s">
        <v>25</v>
      </c>
      <c r="C391" s="1" t="s">
        <v>26</v>
      </c>
      <c r="D391" s="5" t="s">
        <v>526</v>
      </c>
      <c r="E391" s="1">
        <v>24</v>
      </c>
      <c r="F391" s="1" t="s">
        <v>1324</v>
      </c>
      <c r="G391" s="1" t="s">
        <v>1325</v>
      </c>
      <c r="I391" s="1" t="s">
        <v>510</v>
      </c>
      <c r="J391" s="1" t="s">
        <v>510</v>
      </c>
      <c r="K391" s="1" t="s">
        <v>133</v>
      </c>
      <c r="M391" s="1" t="s">
        <v>1326</v>
      </c>
      <c r="N391" s="3">
        <v>20</v>
      </c>
      <c r="O391" s="4">
        <v>43496</v>
      </c>
      <c r="P391" s="5" t="s">
        <v>1327</v>
      </c>
      <c r="Q391" s="3">
        <v>15</v>
      </c>
      <c r="R391" s="6">
        <v>24</v>
      </c>
      <c r="S391" s="7" t="s">
        <v>34</v>
      </c>
      <c r="T391" s="4">
        <v>46203</v>
      </c>
      <c r="U391" s="4">
        <v>34375</v>
      </c>
      <c r="V391" s="4">
        <f t="shared" ca="1" si="51"/>
        <v>45919</v>
      </c>
      <c r="W391" s="8">
        <f ca="1">(V391-U391)/365.25</f>
        <v>31.605749486652979</v>
      </c>
    </row>
    <row r="392" spans="1:23" x14ac:dyDescent="0.2">
      <c r="A392" s="1" t="s">
        <v>24</v>
      </c>
      <c r="B392" s="1" t="s">
        <v>25</v>
      </c>
      <c r="C392" s="1" t="s">
        <v>26</v>
      </c>
      <c r="D392" s="5" t="s">
        <v>526</v>
      </c>
      <c r="E392" s="1">
        <v>23</v>
      </c>
      <c r="F392" s="1" t="s">
        <v>218</v>
      </c>
      <c r="G392" s="1" t="s">
        <v>1283</v>
      </c>
      <c r="I392" s="1" t="s">
        <v>24</v>
      </c>
      <c r="J392" s="1" t="s">
        <v>24</v>
      </c>
      <c r="K392" s="1" t="s">
        <v>133</v>
      </c>
      <c r="M392" s="1" t="s">
        <v>1328</v>
      </c>
      <c r="N392" s="3">
        <v>15</v>
      </c>
      <c r="O392" s="4">
        <v>42935</v>
      </c>
      <c r="P392" s="5" t="s">
        <v>228</v>
      </c>
      <c r="Q392" s="3">
        <v>1</v>
      </c>
      <c r="R392" s="6">
        <v>11.3</v>
      </c>
      <c r="S392" s="7" t="s">
        <v>34</v>
      </c>
      <c r="T392" s="4">
        <v>46568</v>
      </c>
      <c r="U392" s="4">
        <v>34754</v>
      </c>
      <c r="V392" s="4">
        <f t="shared" ca="1" si="51"/>
        <v>45919</v>
      </c>
      <c r="W392" s="8">
        <f t="shared" ref="W392:W395" ca="1" si="54">(V392-U392)/365.25</f>
        <v>30.56810403832991</v>
      </c>
    </row>
    <row r="393" spans="1:23" x14ac:dyDescent="0.2">
      <c r="A393" s="1" t="s">
        <v>24</v>
      </c>
      <c r="B393" s="1" t="s">
        <v>25</v>
      </c>
      <c r="C393" s="1" t="s">
        <v>26</v>
      </c>
      <c r="D393" s="5" t="s">
        <v>526</v>
      </c>
      <c r="E393" s="1">
        <v>14</v>
      </c>
      <c r="F393" s="1" t="s">
        <v>1329</v>
      </c>
      <c r="G393" s="1" t="s">
        <v>1330</v>
      </c>
      <c r="I393" s="1" t="s">
        <v>155</v>
      </c>
      <c r="J393" s="1" t="s">
        <v>155</v>
      </c>
      <c r="K393" s="1" t="s">
        <v>139</v>
      </c>
      <c r="M393" s="1" t="s">
        <v>1331</v>
      </c>
      <c r="N393" s="3">
        <v>75</v>
      </c>
      <c r="O393" s="4">
        <v>44799</v>
      </c>
      <c r="P393" s="5" t="s">
        <v>109</v>
      </c>
      <c r="Q393" s="3">
        <v>30</v>
      </c>
      <c r="R393" s="6">
        <v>70</v>
      </c>
      <c r="S393" s="7" t="s">
        <v>34</v>
      </c>
      <c r="T393" s="4">
        <v>46934</v>
      </c>
      <c r="U393" s="4">
        <v>36424</v>
      </c>
      <c r="V393" s="4">
        <f t="shared" ca="1" si="51"/>
        <v>45919</v>
      </c>
      <c r="W393" s="8">
        <f t="shared" ca="1" si="54"/>
        <v>25.995893223819301</v>
      </c>
    </row>
    <row r="394" spans="1:23" x14ac:dyDescent="0.2">
      <c r="A394" s="1" t="s">
        <v>24</v>
      </c>
      <c r="B394" s="1" t="s">
        <v>25</v>
      </c>
      <c r="C394" s="1" t="s">
        <v>26</v>
      </c>
      <c r="D394" s="5" t="s">
        <v>526</v>
      </c>
      <c r="E394" s="1">
        <v>9</v>
      </c>
      <c r="F394" s="1" t="s">
        <v>1332</v>
      </c>
      <c r="G394" s="1" t="s">
        <v>854</v>
      </c>
      <c r="I394" s="1" t="s">
        <v>24</v>
      </c>
      <c r="J394" s="1" t="s">
        <v>24</v>
      </c>
      <c r="K394" s="1" t="s">
        <v>139</v>
      </c>
      <c r="M394" s="1" t="s">
        <v>1333</v>
      </c>
      <c r="N394" s="3">
        <v>13</v>
      </c>
      <c r="O394" s="4">
        <v>44081</v>
      </c>
      <c r="P394" s="5" t="s">
        <v>39</v>
      </c>
      <c r="Q394" s="3">
        <v>20</v>
      </c>
      <c r="R394" s="6">
        <v>22.25</v>
      </c>
      <c r="S394" s="7" t="s">
        <v>98</v>
      </c>
      <c r="T394" s="4">
        <v>45838</v>
      </c>
      <c r="U394" s="4">
        <v>33661</v>
      </c>
      <c r="V394" s="4">
        <f t="shared" ca="1" si="51"/>
        <v>45919</v>
      </c>
      <c r="W394" s="8">
        <f t="shared" ca="1" si="54"/>
        <v>33.560574948665298</v>
      </c>
    </row>
    <row r="395" spans="1:23" x14ac:dyDescent="0.2">
      <c r="A395" s="1" t="s">
        <v>24</v>
      </c>
      <c r="B395" s="1" t="s">
        <v>25</v>
      </c>
      <c r="C395" s="1" t="s">
        <v>26</v>
      </c>
      <c r="D395" s="5" t="s">
        <v>526</v>
      </c>
      <c r="E395" s="1">
        <v>18</v>
      </c>
      <c r="F395" s="1" t="s">
        <v>41</v>
      </c>
      <c r="G395" s="1" t="s">
        <v>1334</v>
      </c>
      <c r="I395" s="1" t="s">
        <v>304</v>
      </c>
      <c r="J395" s="1" t="s">
        <v>304</v>
      </c>
      <c r="K395" s="1" t="s">
        <v>139</v>
      </c>
      <c r="M395" s="1" t="s">
        <v>1335</v>
      </c>
      <c r="N395" s="3">
        <v>7</v>
      </c>
      <c r="O395" s="4">
        <v>45512</v>
      </c>
      <c r="P395" s="5" t="s">
        <v>330</v>
      </c>
      <c r="Q395" s="3">
        <v>3</v>
      </c>
      <c r="R395" s="6">
        <v>11.6</v>
      </c>
      <c r="S395" s="7" t="s">
        <v>66</v>
      </c>
      <c r="T395" s="4">
        <v>47299</v>
      </c>
      <c r="U395" s="4">
        <v>37837</v>
      </c>
      <c r="V395" s="4">
        <f t="shared" ca="1" si="51"/>
        <v>45919</v>
      </c>
      <c r="W395" s="8">
        <f t="shared" ca="1" si="54"/>
        <v>22.127310061601644</v>
      </c>
    </row>
    <row r="396" spans="1:23" x14ac:dyDescent="0.2">
      <c r="A396" s="1" t="s">
        <v>24</v>
      </c>
      <c r="B396" s="1" t="s">
        <v>25</v>
      </c>
      <c r="C396" s="1" t="s">
        <v>26</v>
      </c>
      <c r="D396" s="1" t="s">
        <v>190</v>
      </c>
      <c r="E396" s="1">
        <v>26</v>
      </c>
      <c r="F396" s="1" t="s">
        <v>1336</v>
      </c>
      <c r="G396" s="1" t="s">
        <v>1337</v>
      </c>
      <c r="I396" s="1" t="s">
        <v>125</v>
      </c>
      <c r="J396" s="1" t="s">
        <v>125</v>
      </c>
      <c r="K396" s="1" t="s">
        <v>31</v>
      </c>
      <c r="M396" s="1" t="s">
        <v>1338</v>
      </c>
      <c r="N396" s="3">
        <v>7</v>
      </c>
      <c r="O396" s="4">
        <v>45323</v>
      </c>
      <c r="P396" s="5" t="s">
        <v>1339</v>
      </c>
      <c r="Q396" s="3">
        <v>7</v>
      </c>
      <c r="R396" s="6">
        <v>8</v>
      </c>
      <c r="S396" s="7" t="s">
        <v>34</v>
      </c>
      <c r="T396" s="4">
        <v>46568</v>
      </c>
      <c r="U396" s="4">
        <v>33660</v>
      </c>
      <c r="V396" s="4">
        <f ca="1">TODAY()</f>
        <v>45919</v>
      </c>
      <c r="W396" s="8">
        <f ca="1">(V396-U396)/365.25</f>
        <v>33.563312799452433</v>
      </c>
    </row>
    <row r="397" spans="1:23" x14ac:dyDescent="0.2">
      <c r="A397" s="1" t="s">
        <v>24</v>
      </c>
      <c r="B397" s="1" t="s">
        <v>25</v>
      </c>
      <c r="C397" s="1" t="s">
        <v>26</v>
      </c>
      <c r="D397" s="1" t="s">
        <v>190</v>
      </c>
      <c r="E397" s="1">
        <v>33</v>
      </c>
      <c r="F397" s="1" t="s">
        <v>166</v>
      </c>
      <c r="G397" s="1" t="s">
        <v>1324</v>
      </c>
      <c r="I397" s="1" t="s">
        <v>37</v>
      </c>
      <c r="J397" s="1" t="s">
        <v>37</v>
      </c>
      <c r="K397" s="1" t="s">
        <v>31</v>
      </c>
      <c r="M397" s="1" t="s">
        <v>1340</v>
      </c>
      <c r="N397" s="3">
        <v>4</v>
      </c>
      <c r="O397" s="4">
        <v>45482</v>
      </c>
      <c r="P397" s="5" t="s">
        <v>1341</v>
      </c>
      <c r="Q397" s="3">
        <v>4</v>
      </c>
      <c r="R397" s="6">
        <v>4</v>
      </c>
      <c r="S397" s="7" t="s">
        <v>66</v>
      </c>
      <c r="T397" s="4">
        <v>46934</v>
      </c>
      <c r="U397" s="4">
        <v>36077</v>
      </c>
      <c r="V397" s="4">
        <f t="shared" ref="V397:V420" ca="1" si="55">TODAY()</f>
        <v>45919</v>
      </c>
      <c r="W397" s="8">
        <f t="shared" ref="W397:W420" ca="1" si="56">(V397-U397)/365.25</f>
        <v>26.945927446954141</v>
      </c>
    </row>
    <row r="398" spans="1:23" x14ac:dyDescent="0.2">
      <c r="A398" s="1" t="s">
        <v>24</v>
      </c>
      <c r="B398" s="1" t="s">
        <v>25</v>
      </c>
      <c r="C398" s="1" t="s">
        <v>26</v>
      </c>
      <c r="D398" s="1" t="s">
        <v>190</v>
      </c>
      <c r="E398" s="1">
        <v>31</v>
      </c>
      <c r="F398" s="1" t="s">
        <v>1342</v>
      </c>
      <c r="G398" s="1" t="s">
        <v>1343</v>
      </c>
      <c r="I398" s="1" t="s">
        <v>193</v>
      </c>
      <c r="J398" s="1" t="s">
        <v>193</v>
      </c>
      <c r="K398" s="1" t="s">
        <v>44</v>
      </c>
      <c r="M398" s="1" t="s">
        <v>1344</v>
      </c>
      <c r="N398" s="3">
        <v>18</v>
      </c>
      <c r="O398" s="4">
        <v>45491</v>
      </c>
      <c r="P398" s="5" t="s">
        <v>1345</v>
      </c>
      <c r="Q398" s="3">
        <v>15</v>
      </c>
      <c r="R398" s="6">
        <v>12.3</v>
      </c>
      <c r="S398" s="7" t="s">
        <v>66</v>
      </c>
      <c r="T398" s="4">
        <v>47299</v>
      </c>
      <c r="U398" s="4">
        <v>35715</v>
      </c>
      <c r="V398" s="4">
        <f t="shared" ca="1" si="55"/>
        <v>45919</v>
      </c>
      <c r="W398" s="8">
        <f t="shared" ca="1" si="56"/>
        <v>27.937029431895962</v>
      </c>
    </row>
    <row r="399" spans="1:23" x14ac:dyDescent="0.2">
      <c r="A399" s="1" t="s">
        <v>24</v>
      </c>
      <c r="B399" s="1" t="s">
        <v>25</v>
      </c>
      <c r="C399" s="1" t="s">
        <v>26</v>
      </c>
      <c r="D399" s="1" t="s">
        <v>190</v>
      </c>
      <c r="E399" s="1">
        <v>4</v>
      </c>
      <c r="F399" s="1" t="s">
        <v>35</v>
      </c>
      <c r="G399" s="1" t="s">
        <v>1346</v>
      </c>
      <c r="I399" s="1" t="s">
        <v>37</v>
      </c>
      <c r="J399" s="1" t="s">
        <v>37</v>
      </c>
      <c r="K399" s="1" t="s">
        <v>44</v>
      </c>
      <c r="M399" s="1" t="s">
        <v>1347</v>
      </c>
      <c r="N399" s="3">
        <v>15</v>
      </c>
      <c r="O399" s="4">
        <v>45534</v>
      </c>
      <c r="P399" s="5" t="s">
        <v>1109</v>
      </c>
      <c r="Q399" s="3">
        <v>15</v>
      </c>
      <c r="R399" s="6">
        <v>11</v>
      </c>
      <c r="S399" s="7" t="s">
        <v>66</v>
      </c>
      <c r="T399" s="4">
        <v>47299</v>
      </c>
      <c r="U399" s="4">
        <v>37072</v>
      </c>
      <c r="V399" s="4">
        <f t="shared" ca="1" si="55"/>
        <v>45919</v>
      </c>
      <c r="W399" s="8">
        <f ca="1">(V399-U399)/365.25</f>
        <v>24.2217659137577</v>
      </c>
    </row>
    <row r="400" spans="1:23" x14ac:dyDescent="0.2">
      <c r="A400" s="1" t="s">
        <v>24</v>
      </c>
      <c r="B400" s="1" t="s">
        <v>25</v>
      </c>
      <c r="C400" s="1" t="s">
        <v>26</v>
      </c>
      <c r="D400" s="1" t="s">
        <v>190</v>
      </c>
      <c r="E400" s="1">
        <v>12</v>
      </c>
      <c r="F400" s="1" t="s">
        <v>1055</v>
      </c>
      <c r="G400" s="1" t="s">
        <v>1348</v>
      </c>
      <c r="I400" s="1" t="s">
        <v>250</v>
      </c>
      <c r="J400" s="1" t="s">
        <v>250</v>
      </c>
      <c r="K400" s="1" t="s">
        <v>44</v>
      </c>
      <c r="M400" s="1" t="s">
        <v>1349</v>
      </c>
      <c r="N400" s="3">
        <v>11</v>
      </c>
      <c r="O400" s="4">
        <v>45170</v>
      </c>
      <c r="P400" s="5" t="s">
        <v>228</v>
      </c>
      <c r="Q400" s="3">
        <v>6</v>
      </c>
      <c r="R400" s="6">
        <v>12.85</v>
      </c>
      <c r="S400" s="7" t="s">
        <v>34</v>
      </c>
      <c r="T400" s="4">
        <v>46934</v>
      </c>
      <c r="U400" s="4">
        <v>37430</v>
      </c>
      <c r="V400" s="4">
        <f t="shared" ca="1" si="55"/>
        <v>45919</v>
      </c>
      <c r="W400" s="8">
        <f t="shared" ca="1" si="56"/>
        <v>23.241615331964407</v>
      </c>
    </row>
    <row r="401" spans="1:23" x14ac:dyDescent="0.2">
      <c r="A401" s="1" t="s">
        <v>24</v>
      </c>
      <c r="B401" s="1" t="s">
        <v>25</v>
      </c>
      <c r="C401" s="1" t="s">
        <v>26</v>
      </c>
      <c r="D401" s="1" t="s">
        <v>190</v>
      </c>
      <c r="E401" s="1">
        <v>30</v>
      </c>
      <c r="F401" s="1" t="s">
        <v>1350</v>
      </c>
      <c r="G401" s="1" t="s">
        <v>1351</v>
      </c>
      <c r="I401" s="1" t="s">
        <v>43</v>
      </c>
      <c r="J401" s="1" t="s">
        <v>519</v>
      </c>
      <c r="K401" s="1" t="s">
        <v>44</v>
      </c>
      <c r="M401" s="1" t="s">
        <v>1352</v>
      </c>
      <c r="N401" s="3">
        <v>2.5</v>
      </c>
      <c r="O401" s="4">
        <v>44805</v>
      </c>
      <c r="P401" s="5" t="s">
        <v>175</v>
      </c>
      <c r="Q401" s="3">
        <v>6</v>
      </c>
      <c r="R401" s="6">
        <v>2.6</v>
      </c>
      <c r="S401" s="7" t="s">
        <v>98</v>
      </c>
      <c r="T401" s="4">
        <v>45838</v>
      </c>
      <c r="U401" s="4">
        <v>33272</v>
      </c>
      <c r="V401" s="4">
        <f t="shared" ca="1" si="55"/>
        <v>45919</v>
      </c>
      <c r="W401" s="8">
        <f ca="1">(V401-U401)/365.25</f>
        <v>34.625598904859686</v>
      </c>
    </row>
    <row r="402" spans="1:23" x14ac:dyDescent="0.2">
      <c r="A402" s="1" t="s">
        <v>24</v>
      </c>
      <c r="B402" s="1" t="s">
        <v>25</v>
      </c>
      <c r="C402" s="1" t="s">
        <v>26</v>
      </c>
      <c r="D402" s="1" t="s">
        <v>190</v>
      </c>
      <c r="E402" s="1">
        <v>19</v>
      </c>
      <c r="F402" s="1" t="s">
        <v>295</v>
      </c>
      <c r="G402" s="1" t="s">
        <v>1353</v>
      </c>
      <c r="I402" s="1" t="s">
        <v>30</v>
      </c>
      <c r="J402" s="1" t="s">
        <v>30</v>
      </c>
      <c r="K402" s="1" t="s">
        <v>63</v>
      </c>
      <c r="M402" s="1" t="s">
        <v>1354</v>
      </c>
      <c r="N402" s="3">
        <v>13</v>
      </c>
      <c r="O402" s="4">
        <v>45525</v>
      </c>
      <c r="P402" s="5" t="s">
        <v>143</v>
      </c>
      <c r="Q402" s="3">
        <v>13</v>
      </c>
      <c r="R402" s="6" t="s">
        <v>40</v>
      </c>
      <c r="S402" s="7" t="s">
        <v>40</v>
      </c>
      <c r="T402" s="4">
        <v>45838</v>
      </c>
      <c r="U402" s="4">
        <v>34128</v>
      </c>
      <c r="V402" s="4">
        <f t="shared" ca="1" si="55"/>
        <v>45919</v>
      </c>
      <c r="W402" s="8">
        <f t="shared" ca="1" si="56"/>
        <v>32.281998631074607</v>
      </c>
    </row>
    <row r="403" spans="1:23" x14ac:dyDescent="0.2">
      <c r="A403" s="1" t="s">
        <v>24</v>
      </c>
      <c r="B403" s="1" t="s">
        <v>25</v>
      </c>
      <c r="C403" s="1" t="s">
        <v>26</v>
      </c>
      <c r="D403" s="1" t="s">
        <v>190</v>
      </c>
      <c r="E403" s="1">
        <v>15</v>
      </c>
      <c r="F403" s="1" t="s">
        <v>853</v>
      </c>
      <c r="G403" s="1" t="s">
        <v>1355</v>
      </c>
      <c r="I403" s="1" t="s">
        <v>24</v>
      </c>
      <c r="J403" s="1" t="s">
        <v>24</v>
      </c>
      <c r="K403" s="1" t="s">
        <v>63</v>
      </c>
      <c r="M403" s="1" t="s">
        <v>1356</v>
      </c>
      <c r="N403" s="3">
        <v>5</v>
      </c>
      <c r="O403" s="4">
        <v>44762</v>
      </c>
      <c r="P403" s="5" t="s">
        <v>306</v>
      </c>
      <c r="Q403" s="3">
        <v>2.5</v>
      </c>
      <c r="R403" s="6">
        <v>2.4</v>
      </c>
      <c r="S403" s="7" t="s">
        <v>34</v>
      </c>
      <c r="T403" s="4">
        <v>45838</v>
      </c>
      <c r="U403" s="4">
        <v>34930</v>
      </c>
      <c r="V403" s="4">
        <f t="shared" ca="1" si="55"/>
        <v>45919</v>
      </c>
      <c r="W403" s="8">
        <f t="shared" ca="1" si="56"/>
        <v>30.086242299794662</v>
      </c>
    </row>
    <row r="404" spans="1:23" x14ac:dyDescent="0.2">
      <c r="A404" s="1" t="s">
        <v>24</v>
      </c>
      <c r="B404" s="1" t="s">
        <v>25</v>
      </c>
      <c r="C404" s="1" t="s">
        <v>26</v>
      </c>
      <c r="D404" s="1" t="s">
        <v>190</v>
      </c>
      <c r="E404" s="1">
        <v>7</v>
      </c>
      <c r="F404" s="1" t="s">
        <v>1357</v>
      </c>
      <c r="G404" s="1" t="s">
        <v>1358</v>
      </c>
      <c r="I404" s="1" t="s">
        <v>328</v>
      </c>
      <c r="J404" s="1" t="s">
        <v>328</v>
      </c>
      <c r="K404" s="1" t="s">
        <v>80</v>
      </c>
      <c r="M404" s="1" t="s">
        <v>1359</v>
      </c>
      <c r="N404" s="3">
        <v>17</v>
      </c>
      <c r="O404" s="4">
        <v>44752</v>
      </c>
      <c r="P404" s="5" t="s">
        <v>357</v>
      </c>
      <c r="Q404" s="3">
        <v>8</v>
      </c>
      <c r="R404" s="6">
        <v>20</v>
      </c>
      <c r="S404" s="7" t="s">
        <v>34</v>
      </c>
      <c r="T404" s="4">
        <v>46203</v>
      </c>
      <c r="U404" s="4">
        <v>36994</v>
      </c>
      <c r="V404" s="4">
        <f t="shared" ca="1" si="55"/>
        <v>45919</v>
      </c>
      <c r="W404" s="8">
        <f ca="1">(V404-U404)/365.25</f>
        <v>24.435318275154003</v>
      </c>
    </row>
    <row r="405" spans="1:23" x14ac:dyDescent="0.2">
      <c r="A405" s="1" t="s">
        <v>24</v>
      </c>
      <c r="B405" s="1" t="s">
        <v>25</v>
      </c>
      <c r="C405" s="1" t="s">
        <v>26</v>
      </c>
      <c r="D405" s="1" t="s">
        <v>190</v>
      </c>
      <c r="E405" s="1">
        <v>34</v>
      </c>
      <c r="F405" s="1" t="s">
        <v>1360</v>
      </c>
      <c r="G405" s="1" t="s">
        <v>1361</v>
      </c>
      <c r="I405" s="1" t="s">
        <v>24</v>
      </c>
      <c r="J405" s="1" t="s">
        <v>815</v>
      </c>
      <c r="K405" s="1" t="s">
        <v>80</v>
      </c>
      <c r="M405" s="1" t="s">
        <v>1362</v>
      </c>
      <c r="N405" s="3">
        <v>12</v>
      </c>
      <c r="O405" s="4">
        <v>45129</v>
      </c>
      <c r="P405" s="5" t="s">
        <v>841</v>
      </c>
      <c r="Q405" s="3">
        <v>3.5</v>
      </c>
      <c r="R405" s="6" t="s">
        <v>205</v>
      </c>
      <c r="S405" s="7" t="s">
        <v>34</v>
      </c>
      <c r="T405" s="4">
        <v>45838</v>
      </c>
      <c r="U405" s="4">
        <v>35346</v>
      </c>
      <c r="V405" s="4">
        <f t="shared" ca="1" si="55"/>
        <v>45919</v>
      </c>
      <c r="W405" s="8">
        <f t="shared" ca="1" si="56"/>
        <v>28.947296372347708</v>
      </c>
    </row>
    <row r="406" spans="1:23" x14ac:dyDescent="0.2">
      <c r="A406" s="1" t="s">
        <v>24</v>
      </c>
      <c r="B406" s="1" t="s">
        <v>25</v>
      </c>
      <c r="C406" s="1" t="s">
        <v>26</v>
      </c>
      <c r="D406" s="1" t="s">
        <v>190</v>
      </c>
      <c r="E406" s="1">
        <v>6</v>
      </c>
      <c r="F406" s="1" t="s">
        <v>1363</v>
      </c>
      <c r="G406" s="1" t="s">
        <v>1364</v>
      </c>
      <c r="I406" s="1" t="s">
        <v>519</v>
      </c>
      <c r="J406" s="1" t="s">
        <v>519</v>
      </c>
      <c r="K406" s="1" t="s">
        <v>95</v>
      </c>
      <c r="M406" s="1" t="s">
        <v>1365</v>
      </c>
      <c r="N406" s="3">
        <v>30</v>
      </c>
      <c r="O406" s="4">
        <v>45170</v>
      </c>
      <c r="P406" s="5" t="s">
        <v>632</v>
      </c>
      <c r="Q406" s="3">
        <v>35</v>
      </c>
      <c r="R406" s="6">
        <v>35</v>
      </c>
      <c r="S406" s="7" t="s">
        <v>34</v>
      </c>
      <c r="T406" s="4">
        <v>46934</v>
      </c>
      <c r="U406" s="4">
        <v>35766</v>
      </c>
      <c r="V406" s="4">
        <f t="shared" ca="1" si="55"/>
        <v>45919</v>
      </c>
      <c r="W406" s="8">
        <f t="shared" ca="1" si="56"/>
        <v>27.797399041752225</v>
      </c>
    </row>
    <row r="407" spans="1:23" x14ac:dyDescent="0.2">
      <c r="A407" s="1" t="s">
        <v>24</v>
      </c>
      <c r="B407" s="1" t="s">
        <v>25</v>
      </c>
      <c r="C407" s="1" t="s">
        <v>26</v>
      </c>
      <c r="D407" s="1" t="s">
        <v>190</v>
      </c>
      <c r="E407" s="1">
        <v>28</v>
      </c>
      <c r="F407" s="1" t="s">
        <v>35</v>
      </c>
      <c r="G407" s="1" t="s">
        <v>1366</v>
      </c>
      <c r="I407" s="1" t="s">
        <v>37</v>
      </c>
      <c r="J407" s="1" t="s">
        <v>37</v>
      </c>
      <c r="K407" s="1" t="s">
        <v>95</v>
      </c>
      <c r="M407" s="1" t="s">
        <v>1367</v>
      </c>
      <c r="N407" s="3">
        <v>28</v>
      </c>
      <c r="O407" s="4">
        <v>44942</v>
      </c>
      <c r="P407" s="5" t="s">
        <v>1368</v>
      </c>
      <c r="Q407" s="3">
        <v>25</v>
      </c>
      <c r="R407" s="6">
        <v>20</v>
      </c>
      <c r="S407" s="7" t="s">
        <v>34</v>
      </c>
      <c r="T407" s="4">
        <v>47299</v>
      </c>
      <c r="U407" s="4">
        <v>37010</v>
      </c>
      <c r="V407" s="4">
        <f t="shared" ca="1" si="55"/>
        <v>45919</v>
      </c>
      <c r="W407" s="8">
        <f ca="1">(V407-U407)/365.25</f>
        <v>24.39151266255989</v>
      </c>
    </row>
    <row r="408" spans="1:23" x14ac:dyDescent="0.2">
      <c r="A408" s="1" t="s">
        <v>24</v>
      </c>
      <c r="B408" s="1" t="s">
        <v>25</v>
      </c>
      <c r="C408" s="1" t="s">
        <v>26</v>
      </c>
      <c r="D408" s="1" t="s">
        <v>190</v>
      </c>
      <c r="E408" s="1">
        <v>8</v>
      </c>
      <c r="F408" s="1" t="s">
        <v>1369</v>
      </c>
      <c r="G408" s="1" t="s">
        <v>1370</v>
      </c>
      <c r="I408" s="1" t="s">
        <v>24</v>
      </c>
      <c r="J408" s="1" t="s">
        <v>24</v>
      </c>
      <c r="K408" s="1" t="s">
        <v>89</v>
      </c>
      <c r="M408" s="1" t="s">
        <v>1371</v>
      </c>
      <c r="N408" s="3">
        <v>22</v>
      </c>
      <c r="O408" s="4">
        <v>45474</v>
      </c>
      <c r="P408" s="5" t="s">
        <v>526</v>
      </c>
      <c r="Q408" s="3">
        <v>15</v>
      </c>
      <c r="R408" s="6">
        <v>41.2</v>
      </c>
      <c r="S408" s="7" t="s">
        <v>34</v>
      </c>
      <c r="T408" s="4">
        <v>47299</v>
      </c>
      <c r="U408" s="4">
        <v>37566</v>
      </c>
      <c r="V408" s="4">
        <f t="shared" ca="1" si="55"/>
        <v>45919</v>
      </c>
      <c r="W408" s="8">
        <f t="shared" ref="W408" ca="1" si="57">(V408-U408)/365.25</f>
        <v>22.869267624914443</v>
      </c>
    </row>
    <row r="409" spans="1:23" x14ac:dyDescent="0.2">
      <c r="A409" s="1" t="s">
        <v>24</v>
      </c>
      <c r="B409" s="1" t="s">
        <v>25</v>
      </c>
      <c r="C409" s="1" t="s">
        <v>26</v>
      </c>
      <c r="D409" s="1" t="s">
        <v>190</v>
      </c>
      <c r="E409" s="1">
        <v>18</v>
      </c>
      <c r="F409" s="1" t="s">
        <v>268</v>
      </c>
      <c r="G409" s="1" t="s">
        <v>1372</v>
      </c>
      <c r="I409" s="1" t="s">
        <v>24</v>
      </c>
      <c r="J409" s="1" t="s">
        <v>24</v>
      </c>
      <c r="K409" s="1" t="s">
        <v>89</v>
      </c>
      <c r="M409" s="1" t="s">
        <v>1373</v>
      </c>
      <c r="N409" s="3">
        <v>22</v>
      </c>
      <c r="O409" s="4">
        <v>45534</v>
      </c>
      <c r="P409" s="5" t="s">
        <v>91</v>
      </c>
      <c r="Q409" s="3">
        <v>30</v>
      </c>
      <c r="R409" s="6" t="s">
        <v>40</v>
      </c>
      <c r="S409" s="7" t="s">
        <v>40</v>
      </c>
      <c r="T409" s="4">
        <v>45838</v>
      </c>
      <c r="U409" s="4">
        <v>34639</v>
      </c>
      <c r="V409" s="4">
        <f t="shared" ca="1" si="55"/>
        <v>45919</v>
      </c>
      <c r="W409" s="8">
        <f t="shared" ca="1" si="56"/>
        <v>30.882956878850102</v>
      </c>
    </row>
    <row r="410" spans="1:23" x14ac:dyDescent="0.2">
      <c r="A410" s="1" t="s">
        <v>24</v>
      </c>
      <c r="B410" s="1" t="s">
        <v>25</v>
      </c>
      <c r="C410" s="1" t="s">
        <v>26</v>
      </c>
      <c r="D410" s="1" t="s">
        <v>190</v>
      </c>
      <c r="E410" s="1">
        <v>16</v>
      </c>
      <c r="F410" s="1" t="s">
        <v>635</v>
      </c>
      <c r="G410" s="1" t="s">
        <v>1374</v>
      </c>
      <c r="I410" s="1" t="s">
        <v>146</v>
      </c>
      <c r="J410" s="1" t="s">
        <v>146</v>
      </c>
      <c r="K410" s="1" t="s">
        <v>89</v>
      </c>
      <c r="M410" s="1" t="s">
        <v>1375</v>
      </c>
      <c r="N410" s="3">
        <v>17</v>
      </c>
      <c r="O410" s="4">
        <v>45170</v>
      </c>
      <c r="P410" s="5" t="s">
        <v>65</v>
      </c>
      <c r="Q410" s="3">
        <v>17</v>
      </c>
      <c r="R410" s="6">
        <v>6.65</v>
      </c>
      <c r="S410" s="7" t="s">
        <v>34</v>
      </c>
      <c r="T410" s="4">
        <v>46934</v>
      </c>
      <c r="U410" s="4">
        <v>35974</v>
      </c>
      <c r="V410" s="4">
        <f t="shared" ca="1" si="55"/>
        <v>45919</v>
      </c>
      <c r="W410" s="8">
        <f ca="1">(V410-U410)/365.25</f>
        <v>27.227926078028748</v>
      </c>
    </row>
    <row r="411" spans="1:23" x14ac:dyDescent="0.2">
      <c r="A411" s="1" t="s">
        <v>24</v>
      </c>
      <c r="B411" s="1" t="s">
        <v>25</v>
      </c>
      <c r="C411" s="1" t="s">
        <v>26</v>
      </c>
      <c r="D411" s="1" t="s">
        <v>190</v>
      </c>
      <c r="E411" s="1">
        <v>22</v>
      </c>
      <c r="F411" s="1" t="s">
        <v>307</v>
      </c>
      <c r="G411" s="1" t="s">
        <v>1376</v>
      </c>
      <c r="I411" s="1" t="s">
        <v>24</v>
      </c>
      <c r="J411" s="1" t="s">
        <v>24</v>
      </c>
      <c r="K411" s="1" t="s">
        <v>89</v>
      </c>
      <c r="M411" s="1" t="s">
        <v>1377</v>
      </c>
      <c r="N411" s="3">
        <v>12</v>
      </c>
      <c r="O411" s="4">
        <v>42552</v>
      </c>
      <c r="P411" s="7" t="s">
        <v>1378</v>
      </c>
      <c r="Q411" s="3">
        <v>0</v>
      </c>
      <c r="R411" s="6">
        <v>0</v>
      </c>
      <c r="S411" s="7" t="s">
        <v>34</v>
      </c>
      <c r="T411" s="4">
        <v>46934</v>
      </c>
      <c r="U411" s="4">
        <v>35755</v>
      </c>
      <c r="V411" s="4">
        <f t="shared" ca="1" si="55"/>
        <v>45919</v>
      </c>
      <c r="W411" s="8">
        <f ca="1">(V411-U411)/365.25</f>
        <v>27.827515400410679</v>
      </c>
    </row>
    <row r="412" spans="1:23" x14ac:dyDescent="0.2">
      <c r="A412" s="1" t="s">
        <v>24</v>
      </c>
      <c r="B412" s="1" t="s">
        <v>25</v>
      </c>
      <c r="C412" s="1" t="s">
        <v>26</v>
      </c>
      <c r="D412" s="1" t="s">
        <v>190</v>
      </c>
      <c r="E412" s="1">
        <v>10</v>
      </c>
      <c r="F412" s="1" t="s">
        <v>222</v>
      </c>
      <c r="G412" s="1" t="s">
        <v>1379</v>
      </c>
      <c r="I412" s="1" t="s">
        <v>24</v>
      </c>
      <c r="J412" s="1" t="s">
        <v>24</v>
      </c>
      <c r="K412" s="1" t="s">
        <v>113</v>
      </c>
      <c r="M412" s="1" t="s">
        <v>1380</v>
      </c>
      <c r="N412" s="3">
        <v>40</v>
      </c>
      <c r="O412" s="4">
        <v>44792</v>
      </c>
      <c r="P412" s="5" t="s">
        <v>175</v>
      </c>
      <c r="Q412" s="3">
        <v>11</v>
      </c>
      <c r="R412" s="6">
        <v>29.5</v>
      </c>
      <c r="S412" s="7" t="s">
        <v>34</v>
      </c>
      <c r="T412" s="4">
        <v>46568</v>
      </c>
      <c r="U412" s="4">
        <v>36552</v>
      </c>
      <c r="V412" s="4">
        <f t="shared" ca="1" si="55"/>
        <v>45919</v>
      </c>
      <c r="W412" s="8">
        <f ca="1">(V412-U412)/365.25</f>
        <v>25.645448323066393</v>
      </c>
    </row>
    <row r="413" spans="1:23" x14ac:dyDescent="0.2">
      <c r="A413" s="1" t="s">
        <v>24</v>
      </c>
      <c r="B413" s="1" t="s">
        <v>25</v>
      </c>
      <c r="C413" s="1" t="s">
        <v>26</v>
      </c>
      <c r="D413" s="1" t="s">
        <v>190</v>
      </c>
      <c r="E413" s="1">
        <v>14</v>
      </c>
      <c r="F413" s="1" t="s">
        <v>1332</v>
      </c>
      <c r="G413" s="1" t="s">
        <v>1381</v>
      </c>
      <c r="I413" s="1" t="s">
        <v>24</v>
      </c>
      <c r="J413" s="1" t="s">
        <v>24</v>
      </c>
      <c r="K413" s="1" t="s">
        <v>120</v>
      </c>
      <c r="M413" s="1" t="s">
        <v>1382</v>
      </c>
      <c r="N413" s="3">
        <v>22</v>
      </c>
      <c r="O413" s="4">
        <v>45170</v>
      </c>
      <c r="P413" s="5" t="s">
        <v>101</v>
      </c>
      <c r="Q413" s="3">
        <v>15</v>
      </c>
      <c r="R413" s="6">
        <v>3.5</v>
      </c>
      <c r="S413" s="7" t="s">
        <v>34</v>
      </c>
      <c r="T413" s="4">
        <v>46203</v>
      </c>
      <c r="U413" s="4">
        <v>36837</v>
      </c>
      <c r="V413" s="4">
        <f t="shared" ca="1" si="55"/>
        <v>45919</v>
      </c>
      <c r="W413" s="8">
        <f ca="1">(V413-U413)/365.25</f>
        <v>24.865160848733744</v>
      </c>
    </row>
    <row r="414" spans="1:23" x14ac:dyDescent="0.2">
      <c r="A414" s="1" t="s">
        <v>24</v>
      </c>
      <c r="B414" s="1" t="s">
        <v>25</v>
      </c>
      <c r="C414" s="1" t="s">
        <v>26</v>
      </c>
      <c r="D414" s="1" t="s">
        <v>190</v>
      </c>
      <c r="E414" s="1">
        <v>24</v>
      </c>
      <c r="F414" s="1" t="s">
        <v>1383</v>
      </c>
      <c r="G414" s="1" t="s">
        <v>1384</v>
      </c>
      <c r="I414" s="1" t="s">
        <v>510</v>
      </c>
      <c r="J414" s="1" t="s">
        <v>510</v>
      </c>
      <c r="K414" s="1" t="s">
        <v>120</v>
      </c>
      <c r="M414" s="1" t="s">
        <v>1385</v>
      </c>
      <c r="N414" s="3">
        <v>13</v>
      </c>
      <c r="O414" s="4">
        <v>45520</v>
      </c>
      <c r="P414" s="5" t="s">
        <v>1386</v>
      </c>
      <c r="Q414" s="3">
        <v>13</v>
      </c>
      <c r="R414" s="6">
        <v>12</v>
      </c>
      <c r="S414" s="7" t="s">
        <v>66</v>
      </c>
      <c r="T414" s="4">
        <v>47299</v>
      </c>
      <c r="U414" s="4">
        <v>36403</v>
      </c>
      <c r="V414" s="4">
        <f t="shared" ca="1" si="55"/>
        <v>45919</v>
      </c>
      <c r="W414" s="8">
        <f t="shared" ca="1" si="56"/>
        <v>26.053388090349078</v>
      </c>
    </row>
    <row r="415" spans="1:23" x14ac:dyDescent="0.2">
      <c r="A415" s="1" t="s">
        <v>24</v>
      </c>
      <c r="B415" s="1" t="s">
        <v>25</v>
      </c>
      <c r="C415" s="1" t="s">
        <v>26</v>
      </c>
      <c r="D415" s="1" t="s">
        <v>190</v>
      </c>
      <c r="E415" s="1">
        <v>20</v>
      </c>
      <c r="F415" s="1" t="s">
        <v>1105</v>
      </c>
      <c r="G415" s="1" t="s">
        <v>1151</v>
      </c>
      <c r="I415" s="1" t="s">
        <v>416</v>
      </c>
      <c r="J415" s="1" t="s">
        <v>416</v>
      </c>
      <c r="K415" s="1" t="s">
        <v>120</v>
      </c>
      <c r="M415" s="1" t="s">
        <v>1387</v>
      </c>
      <c r="N415" s="3">
        <v>12</v>
      </c>
      <c r="O415" s="4">
        <v>45505</v>
      </c>
      <c r="P415" s="5" t="s">
        <v>1388</v>
      </c>
      <c r="Q415" s="3">
        <v>12</v>
      </c>
      <c r="R415" s="6">
        <v>7</v>
      </c>
      <c r="S415" s="7" t="s">
        <v>66</v>
      </c>
      <c r="T415" s="4">
        <v>46934</v>
      </c>
      <c r="U415" s="4">
        <v>36373</v>
      </c>
      <c r="V415" s="4">
        <f t="shared" ca="1" si="55"/>
        <v>45919</v>
      </c>
      <c r="W415" s="8">
        <f t="shared" ca="1" si="56"/>
        <v>26.135523613963038</v>
      </c>
    </row>
    <row r="416" spans="1:23" x14ac:dyDescent="0.2">
      <c r="A416" s="1" t="s">
        <v>24</v>
      </c>
      <c r="B416" s="1" t="s">
        <v>25</v>
      </c>
      <c r="C416" s="1" t="s">
        <v>26</v>
      </c>
      <c r="D416" s="1" t="s">
        <v>190</v>
      </c>
      <c r="E416" s="1">
        <v>21</v>
      </c>
      <c r="F416" s="1" t="s">
        <v>1315</v>
      </c>
      <c r="G416" s="1" t="s">
        <v>1389</v>
      </c>
      <c r="I416" s="1" t="s">
        <v>155</v>
      </c>
      <c r="J416" s="1" t="s">
        <v>155</v>
      </c>
      <c r="K416" s="1" t="s">
        <v>133</v>
      </c>
      <c r="M416" s="1" t="s">
        <v>1390</v>
      </c>
      <c r="N416" s="3">
        <v>25</v>
      </c>
      <c r="O416" s="4">
        <v>45132</v>
      </c>
      <c r="P416" s="5" t="s">
        <v>627</v>
      </c>
      <c r="Q416" s="3">
        <v>18</v>
      </c>
      <c r="R416" s="6">
        <v>17.5</v>
      </c>
      <c r="S416" s="7" t="s">
        <v>34</v>
      </c>
      <c r="T416" s="4">
        <v>46934</v>
      </c>
      <c r="U416" s="4">
        <v>37373</v>
      </c>
      <c r="V416" s="4">
        <f t="shared" ca="1" si="55"/>
        <v>45919</v>
      </c>
      <c r="W416" s="8">
        <f t="shared" ca="1" si="56"/>
        <v>23.397672826830938</v>
      </c>
    </row>
    <row r="417" spans="1:23" x14ac:dyDescent="0.2">
      <c r="A417" s="1" t="s">
        <v>24</v>
      </c>
      <c r="B417" s="1" t="s">
        <v>25</v>
      </c>
      <c r="C417" s="1" t="s">
        <v>26</v>
      </c>
      <c r="D417" s="1" t="s">
        <v>190</v>
      </c>
      <c r="E417" s="1">
        <v>17</v>
      </c>
      <c r="F417" s="1" t="s">
        <v>1391</v>
      </c>
      <c r="G417" s="1" t="s">
        <v>1392</v>
      </c>
      <c r="I417" s="1" t="s">
        <v>138</v>
      </c>
      <c r="J417" s="1" t="s">
        <v>138</v>
      </c>
      <c r="K417" s="1" t="s">
        <v>133</v>
      </c>
      <c r="M417" s="1" t="s">
        <v>1393</v>
      </c>
      <c r="N417" s="3">
        <v>1</v>
      </c>
      <c r="O417" s="4">
        <v>45474</v>
      </c>
      <c r="P417" s="5" t="s">
        <v>1394</v>
      </c>
      <c r="Q417" s="3">
        <v>1</v>
      </c>
      <c r="R417" s="6">
        <v>1.5</v>
      </c>
      <c r="S417" s="7" t="s">
        <v>66</v>
      </c>
      <c r="T417" s="4">
        <v>46934</v>
      </c>
      <c r="U417" s="4">
        <v>38840</v>
      </c>
      <c r="V417" s="4">
        <f t="shared" ca="1" si="55"/>
        <v>45919</v>
      </c>
      <c r="W417" s="8">
        <f t="shared" ca="1" si="56"/>
        <v>19.381245722108144</v>
      </c>
    </row>
    <row r="418" spans="1:23" x14ac:dyDescent="0.2">
      <c r="A418" s="1" t="s">
        <v>24</v>
      </c>
      <c r="B418" s="1" t="s">
        <v>25</v>
      </c>
      <c r="C418" s="1" t="s">
        <v>26</v>
      </c>
      <c r="D418" s="1" t="s">
        <v>190</v>
      </c>
      <c r="E418" s="1">
        <v>9</v>
      </c>
      <c r="F418" s="1" t="s">
        <v>1395</v>
      </c>
      <c r="G418" s="1" t="s">
        <v>1396</v>
      </c>
      <c r="I418" s="1" t="s">
        <v>815</v>
      </c>
      <c r="J418" s="1" t="s">
        <v>815</v>
      </c>
      <c r="K418" s="1" t="s">
        <v>139</v>
      </c>
      <c r="M418" s="1" t="s">
        <v>1397</v>
      </c>
      <c r="N418" s="3">
        <v>28</v>
      </c>
      <c r="O418" s="4">
        <v>44743</v>
      </c>
      <c r="P418" s="5" t="s">
        <v>1398</v>
      </c>
      <c r="Q418" s="3">
        <v>20</v>
      </c>
      <c r="R418" s="6">
        <v>20.5</v>
      </c>
      <c r="S418" s="7" t="s">
        <v>34</v>
      </c>
      <c r="T418" s="4">
        <v>46568</v>
      </c>
      <c r="U418" s="4">
        <v>35654</v>
      </c>
      <c r="V418" s="4">
        <f t="shared" ca="1" si="55"/>
        <v>45919</v>
      </c>
      <c r="W418" s="8">
        <f ca="1">(V418-U418)/365.25</f>
        <v>28.10403832991102</v>
      </c>
    </row>
    <row r="419" spans="1:23" x14ac:dyDescent="0.2">
      <c r="A419" s="1" t="s">
        <v>24</v>
      </c>
      <c r="B419" s="1" t="s">
        <v>25</v>
      </c>
      <c r="C419" s="1" t="s">
        <v>26</v>
      </c>
      <c r="D419" s="1" t="s">
        <v>190</v>
      </c>
      <c r="E419" s="1">
        <v>11</v>
      </c>
      <c r="F419" s="1" t="s">
        <v>668</v>
      </c>
      <c r="G419" s="1" t="s">
        <v>1399</v>
      </c>
      <c r="I419" s="1" t="s">
        <v>1400</v>
      </c>
      <c r="J419" s="1" t="s">
        <v>1400</v>
      </c>
      <c r="K419" s="1" t="s">
        <v>139</v>
      </c>
      <c r="M419" s="1" t="s">
        <v>1401</v>
      </c>
      <c r="N419" s="3">
        <v>7</v>
      </c>
      <c r="O419" s="4">
        <v>44946</v>
      </c>
      <c r="P419" s="5" t="s">
        <v>526</v>
      </c>
      <c r="Q419" s="3">
        <v>10</v>
      </c>
      <c r="R419" s="6">
        <v>21.5</v>
      </c>
      <c r="S419" s="7" t="s">
        <v>34</v>
      </c>
      <c r="T419" s="4">
        <v>45838</v>
      </c>
      <c r="U419" s="4">
        <v>33579</v>
      </c>
      <c r="V419" s="4">
        <f t="shared" ca="1" si="55"/>
        <v>45919</v>
      </c>
      <c r="W419" s="8">
        <f t="shared" ca="1" si="56"/>
        <v>33.785078713210133</v>
      </c>
    </row>
    <row r="420" spans="1:23" x14ac:dyDescent="0.2">
      <c r="A420" s="1" t="s">
        <v>24</v>
      </c>
      <c r="B420" s="1" t="s">
        <v>25</v>
      </c>
      <c r="C420" s="1" t="s">
        <v>26</v>
      </c>
      <c r="D420" s="1" t="s">
        <v>190</v>
      </c>
      <c r="E420" s="1">
        <v>25</v>
      </c>
      <c r="F420" s="1" t="s">
        <v>1402</v>
      </c>
      <c r="G420" s="1" t="s">
        <v>254</v>
      </c>
      <c r="I420" s="1" t="s">
        <v>815</v>
      </c>
      <c r="J420" s="1" t="s">
        <v>815</v>
      </c>
      <c r="K420" s="1" t="s">
        <v>139</v>
      </c>
      <c r="M420" s="1" t="s">
        <v>1403</v>
      </c>
      <c r="N420" s="3">
        <v>4.2</v>
      </c>
      <c r="O420" s="4">
        <v>44786</v>
      </c>
      <c r="P420" s="5" t="s">
        <v>537</v>
      </c>
      <c r="Q420" s="3">
        <v>14</v>
      </c>
      <c r="R420" s="6">
        <v>14.8</v>
      </c>
      <c r="S420" s="7" t="s">
        <v>196</v>
      </c>
      <c r="T420" s="4">
        <v>46203</v>
      </c>
      <c r="U420" s="4">
        <v>35749</v>
      </c>
      <c r="V420" s="4">
        <f t="shared" ca="1" si="55"/>
        <v>45919</v>
      </c>
      <c r="W420" s="8">
        <f t="shared" ca="1" si="56"/>
        <v>27.843942505133469</v>
      </c>
    </row>
    <row r="421" spans="1:23" x14ac:dyDescent="0.2">
      <c r="A421" s="1" t="s">
        <v>24</v>
      </c>
      <c r="B421" s="1" t="s">
        <v>25</v>
      </c>
      <c r="C421" s="1" t="s">
        <v>26</v>
      </c>
      <c r="D421" s="5" t="s">
        <v>597</v>
      </c>
      <c r="E421" s="1">
        <v>30</v>
      </c>
      <c r="F421" s="1" t="s">
        <v>381</v>
      </c>
      <c r="G421" s="1" t="s">
        <v>1404</v>
      </c>
      <c r="I421" s="1" t="s">
        <v>24</v>
      </c>
      <c r="J421" s="1" t="s">
        <v>24</v>
      </c>
      <c r="K421" s="1" t="s">
        <v>31</v>
      </c>
      <c r="M421" s="1" t="s">
        <v>1405</v>
      </c>
      <c r="N421" s="3">
        <v>20</v>
      </c>
      <c r="O421" s="4">
        <v>45534</v>
      </c>
      <c r="P421" s="5" t="s">
        <v>27</v>
      </c>
      <c r="Q421" s="3">
        <v>25</v>
      </c>
      <c r="R421" s="6">
        <v>21.4</v>
      </c>
      <c r="S421" s="7" t="s">
        <v>66</v>
      </c>
      <c r="T421" s="4">
        <v>46934</v>
      </c>
      <c r="U421" s="4">
        <v>35929</v>
      </c>
      <c r="V421" s="4">
        <f ca="1">TODAY()</f>
        <v>45919</v>
      </c>
      <c r="W421" s="8">
        <f ca="1">(V421-U421)/365.25</f>
        <v>27.351129363449694</v>
      </c>
    </row>
    <row r="422" spans="1:23" x14ac:dyDescent="0.2">
      <c r="A422" s="1" t="s">
        <v>24</v>
      </c>
      <c r="B422" s="1" t="s">
        <v>25</v>
      </c>
      <c r="C422" s="1" t="s">
        <v>26</v>
      </c>
      <c r="D422" s="5" t="s">
        <v>597</v>
      </c>
      <c r="E422" s="1">
        <v>31</v>
      </c>
      <c r="F422" s="1" t="s">
        <v>1406</v>
      </c>
      <c r="G422" s="1" t="s">
        <v>1407</v>
      </c>
      <c r="I422" s="1" t="s">
        <v>250</v>
      </c>
      <c r="J422" s="1" t="s">
        <v>250</v>
      </c>
      <c r="K422" s="1" t="s">
        <v>31</v>
      </c>
      <c r="M422" s="1" t="s">
        <v>1408</v>
      </c>
      <c r="N422" s="3">
        <v>14</v>
      </c>
      <c r="O422" s="4">
        <v>44743</v>
      </c>
      <c r="P422" s="5" t="s">
        <v>945</v>
      </c>
      <c r="Q422" s="3">
        <v>5</v>
      </c>
      <c r="R422" s="6">
        <v>14</v>
      </c>
      <c r="S422" s="7" t="s">
        <v>34</v>
      </c>
      <c r="T422" s="4">
        <v>46568</v>
      </c>
      <c r="U422" s="4">
        <v>37307</v>
      </c>
      <c r="V422" s="4">
        <f t="shared" ref="V422:V452" ca="1" si="58">TODAY()</f>
        <v>45919</v>
      </c>
      <c r="W422" s="8">
        <f t="shared" ref="W422:W445" ca="1" si="59">(V422-U422)/365.25</f>
        <v>23.578370978781656</v>
      </c>
    </row>
    <row r="423" spans="1:23" x14ac:dyDescent="0.2">
      <c r="A423" s="1" t="s">
        <v>24</v>
      </c>
      <c r="B423" s="1" t="s">
        <v>25</v>
      </c>
      <c r="C423" s="1" t="s">
        <v>26</v>
      </c>
      <c r="D423" s="5" t="s">
        <v>597</v>
      </c>
      <c r="E423" s="1">
        <v>13</v>
      </c>
      <c r="F423" s="1" t="s">
        <v>148</v>
      </c>
      <c r="G423" s="1" t="s">
        <v>1409</v>
      </c>
      <c r="I423" s="1" t="s">
        <v>24</v>
      </c>
      <c r="J423" s="1" t="s">
        <v>24</v>
      </c>
      <c r="K423" s="1" t="s">
        <v>31</v>
      </c>
      <c r="M423" s="1" t="s">
        <v>1410</v>
      </c>
      <c r="N423" s="3">
        <v>0.6</v>
      </c>
      <c r="O423" s="4">
        <v>45145</v>
      </c>
      <c r="P423" s="5" t="s">
        <v>225</v>
      </c>
      <c r="Q423" s="3">
        <v>0.8</v>
      </c>
      <c r="R423" s="6" t="s">
        <v>205</v>
      </c>
      <c r="S423" s="7" t="s">
        <v>98</v>
      </c>
      <c r="T423" s="4">
        <v>45838</v>
      </c>
      <c r="U423" s="4">
        <v>34745</v>
      </c>
      <c r="V423" s="4">
        <f t="shared" ca="1" si="58"/>
        <v>45919</v>
      </c>
      <c r="W423" s="8">
        <f t="shared" ca="1" si="59"/>
        <v>30.592744695414101</v>
      </c>
    </row>
    <row r="424" spans="1:23" x14ac:dyDescent="0.2">
      <c r="A424" s="1" t="s">
        <v>24</v>
      </c>
      <c r="B424" s="1" t="s">
        <v>25</v>
      </c>
      <c r="C424" s="1" t="s">
        <v>26</v>
      </c>
      <c r="D424" s="5" t="s">
        <v>597</v>
      </c>
      <c r="E424" s="1">
        <v>1</v>
      </c>
      <c r="F424" s="1" t="s">
        <v>295</v>
      </c>
      <c r="G424" s="1" t="s">
        <v>1411</v>
      </c>
      <c r="I424" s="1" t="s">
        <v>24</v>
      </c>
      <c r="J424" s="1" t="s">
        <v>24</v>
      </c>
      <c r="K424" s="1" t="s">
        <v>31</v>
      </c>
      <c r="M424" s="1" t="s">
        <v>1412</v>
      </c>
      <c r="N424" s="3">
        <v>0.5</v>
      </c>
      <c r="O424" s="4">
        <v>42583</v>
      </c>
      <c r="P424" s="5" t="s">
        <v>644</v>
      </c>
      <c r="Q424" s="3">
        <v>3</v>
      </c>
      <c r="R424" s="6">
        <v>4.7</v>
      </c>
      <c r="S424" s="7" t="s">
        <v>98</v>
      </c>
      <c r="T424" s="4">
        <v>46203</v>
      </c>
      <c r="U424" s="4">
        <v>32845</v>
      </c>
      <c r="V424" s="4">
        <f t="shared" ca="1" si="58"/>
        <v>45919</v>
      </c>
      <c r="W424" s="8">
        <f ca="1">(V424-U424)/365.25</f>
        <v>35.794661190965094</v>
      </c>
    </row>
    <row r="425" spans="1:23" x14ac:dyDescent="0.2">
      <c r="A425" s="1" t="s">
        <v>24</v>
      </c>
      <c r="B425" s="1" t="s">
        <v>25</v>
      </c>
      <c r="C425" s="1" t="s">
        <v>26</v>
      </c>
      <c r="D425" s="5" t="s">
        <v>597</v>
      </c>
      <c r="E425" s="1">
        <v>6</v>
      </c>
      <c r="F425" s="1" t="s">
        <v>915</v>
      </c>
      <c r="G425" s="1" t="s">
        <v>1413</v>
      </c>
      <c r="I425" s="1" t="s">
        <v>24</v>
      </c>
      <c r="J425" s="1" t="s">
        <v>24</v>
      </c>
      <c r="K425" s="1" t="s">
        <v>44</v>
      </c>
      <c r="M425" s="1" t="s">
        <v>1414</v>
      </c>
      <c r="N425" s="3">
        <v>25</v>
      </c>
      <c r="O425" s="4">
        <v>45170</v>
      </c>
      <c r="P425" s="5" t="s">
        <v>945</v>
      </c>
      <c r="Q425" s="3">
        <v>25</v>
      </c>
      <c r="R425" s="6">
        <v>23</v>
      </c>
      <c r="S425" s="7" t="s">
        <v>34</v>
      </c>
      <c r="T425" s="4">
        <v>46934</v>
      </c>
      <c r="U425" s="4">
        <v>37286</v>
      </c>
      <c r="V425" s="4">
        <f t="shared" ca="1" si="58"/>
        <v>45919</v>
      </c>
      <c r="W425" s="8">
        <f t="shared" ca="1" si="59"/>
        <v>23.635865845311429</v>
      </c>
    </row>
    <row r="426" spans="1:23" x14ac:dyDescent="0.2">
      <c r="A426" s="1" t="s">
        <v>24</v>
      </c>
      <c r="B426" s="1" t="s">
        <v>25</v>
      </c>
      <c r="C426" s="1" t="s">
        <v>26</v>
      </c>
      <c r="D426" s="5" t="s">
        <v>597</v>
      </c>
      <c r="E426" s="1">
        <v>37</v>
      </c>
      <c r="F426" s="1" t="s">
        <v>1415</v>
      </c>
      <c r="G426" s="1" t="s">
        <v>1416</v>
      </c>
      <c r="I426" s="1" t="s">
        <v>43</v>
      </c>
      <c r="J426" s="1" t="s">
        <v>138</v>
      </c>
      <c r="K426" s="1" t="s">
        <v>44</v>
      </c>
      <c r="M426" s="1" t="s">
        <v>1417</v>
      </c>
      <c r="N426" s="3">
        <v>12</v>
      </c>
      <c r="O426" s="4">
        <v>44743</v>
      </c>
      <c r="P426" s="5" t="s">
        <v>391</v>
      </c>
      <c r="Q426" s="3">
        <v>10</v>
      </c>
      <c r="R426" s="6">
        <v>12</v>
      </c>
      <c r="S426" s="7" t="s">
        <v>196</v>
      </c>
      <c r="T426" s="4">
        <v>46203</v>
      </c>
      <c r="U426" s="4">
        <v>37236</v>
      </c>
      <c r="V426" s="4">
        <f t="shared" ca="1" si="58"/>
        <v>45919</v>
      </c>
      <c r="W426" s="8">
        <f ca="1">(V426-U426)/365.25</f>
        <v>23.772758384668034</v>
      </c>
    </row>
    <row r="427" spans="1:23" x14ac:dyDescent="0.2">
      <c r="A427" s="1" t="s">
        <v>24</v>
      </c>
      <c r="B427" s="1" t="s">
        <v>25</v>
      </c>
      <c r="C427" s="1" t="s">
        <v>26</v>
      </c>
      <c r="D427" s="5" t="s">
        <v>597</v>
      </c>
      <c r="E427" s="1">
        <v>35</v>
      </c>
      <c r="F427" s="1" t="s">
        <v>1418</v>
      </c>
      <c r="G427" s="1" t="s">
        <v>1419</v>
      </c>
      <c r="I427" s="1" t="s">
        <v>57</v>
      </c>
      <c r="J427" s="1" t="s">
        <v>57</v>
      </c>
      <c r="K427" s="1" t="s">
        <v>44</v>
      </c>
      <c r="M427" s="1" t="s">
        <v>1420</v>
      </c>
      <c r="N427" s="3">
        <v>11</v>
      </c>
      <c r="O427" s="4">
        <v>42917</v>
      </c>
      <c r="P427" s="5" t="s">
        <v>501</v>
      </c>
      <c r="Q427" s="3">
        <v>0.5</v>
      </c>
      <c r="R427" s="6">
        <v>6</v>
      </c>
      <c r="S427" s="7" t="s">
        <v>34</v>
      </c>
      <c r="T427" s="4">
        <v>46568</v>
      </c>
      <c r="U427" s="4">
        <v>35167</v>
      </c>
      <c r="V427" s="4">
        <f t="shared" ca="1" si="58"/>
        <v>45919</v>
      </c>
      <c r="W427" s="8">
        <f t="shared" ca="1" si="59"/>
        <v>29.437371663244353</v>
      </c>
    </row>
    <row r="428" spans="1:23" x14ac:dyDescent="0.2">
      <c r="A428" s="1" t="s">
        <v>24</v>
      </c>
      <c r="B428" s="1" t="s">
        <v>25</v>
      </c>
      <c r="C428" s="1" t="s">
        <v>26</v>
      </c>
      <c r="D428" s="5" t="s">
        <v>597</v>
      </c>
      <c r="E428" s="1">
        <v>12</v>
      </c>
      <c r="F428" s="1" t="s">
        <v>1421</v>
      </c>
      <c r="G428" s="1" t="s">
        <v>1422</v>
      </c>
      <c r="I428" s="1" t="s">
        <v>24</v>
      </c>
      <c r="J428" s="1" t="s">
        <v>24</v>
      </c>
      <c r="K428" s="1" t="s">
        <v>44</v>
      </c>
      <c r="M428" s="1" t="s">
        <v>1423</v>
      </c>
      <c r="N428" s="3">
        <v>3.8</v>
      </c>
      <c r="O428" s="4">
        <v>45476</v>
      </c>
      <c r="P428" s="5" t="s">
        <v>917</v>
      </c>
      <c r="Q428" s="3">
        <v>3.8</v>
      </c>
      <c r="R428" s="6">
        <v>3.5</v>
      </c>
      <c r="S428" s="7" t="s">
        <v>66</v>
      </c>
      <c r="T428" s="4">
        <v>46934</v>
      </c>
      <c r="U428" s="4">
        <v>37708</v>
      </c>
      <c r="V428" s="4">
        <f t="shared" ca="1" si="58"/>
        <v>45919</v>
      </c>
      <c r="W428" s="8">
        <f t="shared" ca="1" si="59"/>
        <v>22.480492813141684</v>
      </c>
    </row>
    <row r="429" spans="1:23" x14ac:dyDescent="0.2">
      <c r="A429" s="1" t="s">
        <v>24</v>
      </c>
      <c r="B429" s="1" t="s">
        <v>25</v>
      </c>
      <c r="C429" s="1" t="s">
        <v>26</v>
      </c>
      <c r="D429" s="5" t="s">
        <v>597</v>
      </c>
      <c r="E429" s="1">
        <v>15</v>
      </c>
      <c r="F429" s="1" t="s">
        <v>351</v>
      </c>
      <c r="G429" s="1" t="s">
        <v>1399</v>
      </c>
      <c r="I429" s="1" t="s">
        <v>24</v>
      </c>
      <c r="J429" s="1" t="s">
        <v>24</v>
      </c>
      <c r="K429" s="1" t="s">
        <v>44</v>
      </c>
      <c r="M429" s="1" t="s">
        <v>1424</v>
      </c>
      <c r="N429" s="3">
        <v>3.8</v>
      </c>
      <c r="O429" s="4">
        <v>45478</v>
      </c>
      <c r="P429" s="5" t="s">
        <v>806</v>
      </c>
      <c r="Q429" s="3">
        <v>3.8</v>
      </c>
      <c r="R429" s="6">
        <v>3.5</v>
      </c>
      <c r="S429" s="7" t="s">
        <v>66</v>
      </c>
      <c r="T429" s="4">
        <v>46934</v>
      </c>
      <c r="U429" s="4">
        <v>37407</v>
      </c>
      <c r="V429" s="4">
        <f t="shared" ca="1" si="58"/>
        <v>45919</v>
      </c>
      <c r="W429" s="8">
        <f ca="1">(V429-U429)/365.25</f>
        <v>23.304585900068446</v>
      </c>
    </row>
    <row r="430" spans="1:23" x14ac:dyDescent="0.2">
      <c r="A430" s="1" t="s">
        <v>24</v>
      </c>
      <c r="B430" s="1" t="s">
        <v>25</v>
      </c>
      <c r="C430" s="1" t="s">
        <v>26</v>
      </c>
      <c r="D430" s="5" t="s">
        <v>597</v>
      </c>
      <c r="E430" s="1">
        <v>5</v>
      </c>
      <c r="F430" s="1" t="s">
        <v>496</v>
      </c>
      <c r="G430" s="1" t="s">
        <v>1425</v>
      </c>
      <c r="I430" s="1" t="s">
        <v>24</v>
      </c>
      <c r="J430" s="1" t="s">
        <v>24</v>
      </c>
      <c r="K430" s="1" t="s">
        <v>44</v>
      </c>
      <c r="M430" s="1" t="s">
        <v>1426</v>
      </c>
      <c r="N430" s="3">
        <v>2</v>
      </c>
      <c r="O430" s="4">
        <v>41456</v>
      </c>
      <c r="P430" s="5" t="s">
        <v>1427</v>
      </c>
      <c r="Q430" s="3">
        <v>0</v>
      </c>
      <c r="R430" s="6">
        <v>0</v>
      </c>
      <c r="S430" s="7" t="s">
        <v>34</v>
      </c>
      <c r="T430" s="4">
        <v>45838</v>
      </c>
      <c r="U430" s="4">
        <v>34361</v>
      </c>
      <c r="V430" s="4">
        <f t="shared" ca="1" si="58"/>
        <v>45919</v>
      </c>
      <c r="W430" s="8">
        <f t="shared" ca="1" si="59"/>
        <v>31.644079397672826</v>
      </c>
    </row>
    <row r="431" spans="1:23" x14ac:dyDescent="0.2">
      <c r="A431" s="1" t="s">
        <v>24</v>
      </c>
      <c r="B431" s="1" t="s">
        <v>25</v>
      </c>
      <c r="C431" s="1" t="s">
        <v>26</v>
      </c>
      <c r="D431" s="5" t="s">
        <v>597</v>
      </c>
      <c r="E431" s="1">
        <v>28</v>
      </c>
      <c r="F431" s="1" t="s">
        <v>1428</v>
      </c>
      <c r="G431" s="1" t="s">
        <v>1429</v>
      </c>
      <c r="I431" s="1" t="s">
        <v>30</v>
      </c>
      <c r="J431" s="1" t="s">
        <v>30</v>
      </c>
      <c r="K431" s="1" t="s">
        <v>63</v>
      </c>
      <c r="M431" s="1" t="s">
        <v>1430</v>
      </c>
      <c r="N431" s="3">
        <v>4.5</v>
      </c>
      <c r="O431" s="4">
        <v>44805</v>
      </c>
      <c r="P431" s="5" t="s">
        <v>881</v>
      </c>
      <c r="Q431" s="3">
        <v>0</v>
      </c>
      <c r="R431" s="6">
        <v>7</v>
      </c>
      <c r="S431" s="7" t="s">
        <v>34</v>
      </c>
      <c r="T431" s="4">
        <v>46568</v>
      </c>
      <c r="U431" s="4">
        <v>37998</v>
      </c>
      <c r="V431" s="4">
        <f t="shared" ca="1" si="58"/>
        <v>45919</v>
      </c>
      <c r="W431" s="8">
        <f t="shared" ca="1" si="59"/>
        <v>21.686516084873375</v>
      </c>
    </row>
    <row r="432" spans="1:23" x14ac:dyDescent="0.2">
      <c r="A432" s="1" t="s">
        <v>24</v>
      </c>
      <c r="B432" s="1" t="s">
        <v>25</v>
      </c>
      <c r="C432" s="1" t="s">
        <v>26</v>
      </c>
      <c r="D432" s="5" t="s">
        <v>597</v>
      </c>
      <c r="E432" s="1">
        <v>3</v>
      </c>
      <c r="F432" s="1" t="s">
        <v>307</v>
      </c>
      <c r="G432" s="1" t="s">
        <v>1431</v>
      </c>
      <c r="I432" s="1" t="s">
        <v>250</v>
      </c>
      <c r="J432" s="1" t="s">
        <v>250</v>
      </c>
      <c r="K432" s="1" t="s">
        <v>63</v>
      </c>
      <c r="M432" s="1" t="s">
        <v>1432</v>
      </c>
      <c r="N432" s="3">
        <v>3.5</v>
      </c>
      <c r="O432" s="4">
        <v>45118</v>
      </c>
      <c r="P432" s="5" t="s">
        <v>806</v>
      </c>
      <c r="Q432" s="3">
        <v>2.5</v>
      </c>
      <c r="R432" s="6" t="s">
        <v>205</v>
      </c>
      <c r="S432" s="7" t="s">
        <v>34</v>
      </c>
      <c r="T432" s="4">
        <v>46568</v>
      </c>
      <c r="U432" s="4">
        <v>35230</v>
      </c>
      <c r="V432" s="4">
        <f t="shared" ca="1" si="58"/>
        <v>45919</v>
      </c>
      <c r="W432" s="8">
        <f ca="1">(V432-U432)/365.25</f>
        <v>29.264887063655031</v>
      </c>
    </row>
    <row r="433" spans="1:23" x14ac:dyDescent="0.2">
      <c r="A433" s="1" t="s">
        <v>24</v>
      </c>
      <c r="B433" s="1" t="s">
        <v>25</v>
      </c>
      <c r="C433" s="1" t="s">
        <v>26</v>
      </c>
      <c r="D433" s="5" t="s">
        <v>597</v>
      </c>
      <c r="E433" s="1">
        <v>21</v>
      </c>
      <c r="F433" s="1" t="s">
        <v>1433</v>
      </c>
      <c r="G433" s="1" t="s">
        <v>915</v>
      </c>
      <c r="I433" s="1" t="s">
        <v>24</v>
      </c>
      <c r="J433" s="1" t="s">
        <v>24</v>
      </c>
      <c r="K433" s="1" t="s">
        <v>63</v>
      </c>
      <c r="M433" s="1" t="s">
        <v>1434</v>
      </c>
      <c r="N433" s="3">
        <v>2.8</v>
      </c>
      <c r="O433" s="4">
        <v>45474</v>
      </c>
      <c r="P433" s="5" t="s">
        <v>366</v>
      </c>
      <c r="Q433" s="3">
        <v>3</v>
      </c>
      <c r="R433" s="6" t="s">
        <v>205</v>
      </c>
      <c r="S433" s="7" t="s">
        <v>66</v>
      </c>
      <c r="T433" s="4">
        <v>46203</v>
      </c>
      <c r="U433" s="4">
        <v>34230</v>
      </c>
      <c r="V433" s="4">
        <f t="shared" ca="1" si="58"/>
        <v>45919</v>
      </c>
      <c r="W433" s="8">
        <f t="shared" ref="W433" ca="1" si="60">(V433-U433)/365.25</f>
        <v>32.002737850787135</v>
      </c>
    </row>
    <row r="434" spans="1:23" x14ac:dyDescent="0.2">
      <c r="A434" s="1" t="s">
        <v>24</v>
      </c>
      <c r="B434" s="1" t="s">
        <v>25</v>
      </c>
      <c r="C434" s="1" t="s">
        <v>26</v>
      </c>
      <c r="D434" s="5" t="s">
        <v>597</v>
      </c>
      <c r="E434" s="1">
        <v>2</v>
      </c>
      <c r="F434" s="1" t="s">
        <v>1138</v>
      </c>
      <c r="G434" s="1" t="s">
        <v>1435</v>
      </c>
      <c r="I434" s="1" t="s">
        <v>24</v>
      </c>
      <c r="J434" s="1" t="s">
        <v>24</v>
      </c>
      <c r="K434" s="1" t="s">
        <v>80</v>
      </c>
      <c r="M434" s="1" t="s">
        <v>1436</v>
      </c>
      <c r="N434" s="3">
        <v>20</v>
      </c>
      <c r="O434" s="4">
        <v>43859</v>
      </c>
      <c r="P434" s="5" t="s">
        <v>826</v>
      </c>
      <c r="Q434" s="3">
        <v>10</v>
      </c>
      <c r="R434" s="6">
        <v>13.3</v>
      </c>
      <c r="S434" s="7" t="s">
        <v>34</v>
      </c>
      <c r="T434" s="4">
        <v>45838</v>
      </c>
      <c r="U434" s="4">
        <v>35533</v>
      </c>
      <c r="V434" s="4">
        <f t="shared" ca="1" si="58"/>
        <v>45919</v>
      </c>
      <c r="W434" s="8">
        <f t="shared" ca="1" si="59"/>
        <v>28.435318275154003</v>
      </c>
    </row>
    <row r="435" spans="1:23" x14ac:dyDescent="0.2">
      <c r="A435" s="1" t="s">
        <v>24</v>
      </c>
      <c r="B435" s="1" t="s">
        <v>25</v>
      </c>
      <c r="C435" s="1" t="s">
        <v>26</v>
      </c>
      <c r="D435" s="5" t="s">
        <v>597</v>
      </c>
      <c r="E435" s="1">
        <v>16</v>
      </c>
      <c r="F435" s="1" t="s">
        <v>1437</v>
      </c>
      <c r="G435" s="1" t="s">
        <v>1438</v>
      </c>
      <c r="I435" s="1" t="s">
        <v>85</v>
      </c>
      <c r="J435" s="1" t="s">
        <v>85</v>
      </c>
      <c r="K435" s="1" t="s">
        <v>80</v>
      </c>
      <c r="M435" s="1" t="s">
        <v>1439</v>
      </c>
      <c r="N435" s="3">
        <v>12</v>
      </c>
      <c r="O435" s="4">
        <v>45487</v>
      </c>
      <c r="P435" s="5" t="s">
        <v>276</v>
      </c>
      <c r="Q435" s="3">
        <v>12</v>
      </c>
      <c r="R435" s="6">
        <v>7</v>
      </c>
      <c r="S435" s="7" t="s">
        <v>66</v>
      </c>
      <c r="T435" s="4">
        <v>46934</v>
      </c>
      <c r="U435" s="4">
        <v>36705</v>
      </c>
      <c r="V435" s="4">
        <f t="shared" ca="1" si="58"/>
        <v>45919</v>
      </c>
      <c r="W435" s="8">
        <f ca="1">(V435-U435)/365.25</f>
        <v>25.226557152635181</v>
      </c>
    </row>
    <row r="436" spans="1:23" x14ac:dyDescent="0.2">
      <c r="A436" s="1" t="s">
        <v>24</v>
      </c>
      <c r="B436" s="1" t="s">
        <v>25</v>
      </c>
      <c r="C436" s="1" t="s">
        <v>26</v>
      </c>
      <c r="D436" s="5" t="s">
        <v>597</v>
      </c>
      <c r="E436" s="1">
        <v>14</v>
      </c>
      <c r="F436" s="1" t="s">
        <v>268</v>
      </c>
      <c r="G436" s="1" t="s">
        <v>1440</v>
      </c>
      <c r="I436" s="1" t="s">
        <v>24</v>
      </c>
      <c r="J436" s="1" t="s">
        <v>24</v>
      </c>
      <c r="K436" s="1" t="s">
        <v>80</v>
      </c>
      <c r="M436" s="1" t="s">
        <v>1441</v>
      </c>
      <c r="N436" s="3">
        <v>2.5</v>
      </c>
      <c r="O436" s="4">
        <v>44952</v>
      </c>
      <c r="P436" s="5" t="s">
        <v>217</v>
      </c>
      <c r="Q436" s="3">
        <v>3</v>
      </c>
      <c r="R436" s="6">
        <v>0.85</v>
      </c>
      <c r="S436" s="7" t="s">
        <v>34</v>
      </c>
      <c r="T436" s="4">
        <v>46203</v>
      </c>
      <c r="U436" s="4">
        <v>35775</v>
      </c>
      <c r="V436" s="4">
        <f t="shared" ca="1" si="58"/>
        <v>45919</v>
      </c>
      <c r="W436" s="8">
        <f ca="1">(V436-U436)/365.25</f>
        <v>27.772758384668034</v>
      </c>
    </row>
    <row r="437" spans="1:23" x14ac:dyDescent="0.2">
      <c r="A437" s="1" t="s">
        <v>24</v>
      </c>
      <c r="B437" s="1" t="s">
        <v>25</v>
      </c>
      <c r="C437" s="1" t="s">
        <v>26</v>
      </c>
      <c r="D437" s="5" t="s">
        <v>597</v>
      </c>
      <c r="E437" s="1">
        <v>26</v>
      </c>
      <c r="F437" s="1" t="s">
        <v>1442</v>
      </c>
      <c r="G437" s="1" t="s">
        <v>1443</v>
      </c>
      <c r="I437" s="1" t="s">
        <v>43</v>
      </c>
      <c r="J437" s="1" t="s">
        <v>43</v>
      </c>
      <c r="K437" s="1" t="s">
        <v>95</v>
      </c>
      <c r="M437" s="1" t="s">
        <v>1444</v>
      </c>
      <c r="N437" s="3">
        <v>25</v>
      </c>
      <c r="O437" s="4">
        <v>45520</v>
      </c>
      <c r="P437" s="5" t="s">
        <v>101</v>
      </c>
      <c r="Q437" s="3">
        <v>25</v>
      </c>
      <c r="R437" s="6" t="s">
        <v>40</v>
      </c>
      <c r="S437" s="7" t="s">
        <v>40</v>
      </c>
      <c r="T437" s="4">
        <v>45808</v>
      </c>
      <c r="U437" s="4">
        <v>38072</v>
      </c>
      <c r="V437" s="4">
        <f t="shared" ca="1" si="58"/>
        <v>45919</v>
      </c>
      <c r="W437" s="8">
        <f ca="1">(V437-U437)/365.25</f>
        <v>21.4839151266256</v>
      </c>
    </row>
    <row r="438" spans="1:23" x14ac:dyDescent="0.2">
      <c r="A438" s="1" t="s">
        <v>24</v>
      </c>
      <c r="B438" s="1" t="s">
        <v>25</v>
      </c>
      <c r="C438" s="1" t="s">
        <v>26</v>
      </c>
      <c r="D438" s="5" t="s">
        <v>597</v>
      </c>
      <c r="E438" s="1">
        <v>4</v>
      </c>
      <c r="F438" s="1" t="s">
        <v>1445</v>
      </c>
      <c r="G438" s="1" t="s">
        <v>1446</v>
      </c>
      <c r="I438" s="1" t="s">
        <v>24</v>
      </c>
      <c r="J438" s="1" t="s">
        <v>24</v>
      </c>
      <c r="K438" s="1" t="s">
        <v>95</v>
      </c>
      <c r="M438" s="1" t="s">
        <v>1447</v>
      </c>
      <c r="N438" s="3">
        <v>15</v>
      </c>
      <c r="O438" s="4">
        <v>45159</v>
      </c>
      <c r="P438" s="5" t="s">
        <v>91</v>
      </c>
      <c r="Q438" s="3">
        <v>9</v>
      </c>
      <c r="R438" s="6">
        <v>17.850000000000001</v>
      </c>
      <c r="S438" s="7" t="s">
        <v>34</v>
      </c>
      <c r="T438" s="4">
        <v>46934</v>
      </c>
      <c r="U438" s="4">
        <v>36180</v>
      </c>
      <c r="V438" s="4">
        <f t="shared" ca="1" si="58"/>
        <v>45919</v>
      </c>
      <c r="W438" s="8">
        <f ca="1">(V438-U438)/365.25</f>
        <v>26.663928815879533</v>
      </c>
    </row>
    <row r="439" spans="1:23" x14ac:dyDescent="0.2">
      <c r="A439" s="1" t="s">
        <v>24</v>
      </c>
      <c r="B439" s="1" t="s">
        <v>25</v>
      </c>
      <c r="C439" s="1" t="s">
        <v>26</v>
      </c>
      <c r="D439" s="5" t="s">
        <v>597</v>
      </c>
      <c r="E439" s="1">
        <v>18</v>
      </c>
      <c r="F439" s="1" t="s">
        <v>1448</v>
      </c>
      <c r="G439" s="1" t="s">
        <v>1223</v>
      </c>
      <c r="I439" s="1" t="s">
        <v>416</v>
      </c>
      <c r="J439" s="1" t="s">
        <v>416</v>
      </c>
      <c r="K439" s="1" t="s">
        <v>89</v>
      </c>
      <c r="M439" s="1" t="s">
        <v>1449</v>
      </c>
      <c r="N439" s="3">
        <v>15</v>
      </c>
      <c r="O439" s="4">
        <v>45524</v>
      </c>
      <c r="P439" s="5" t="s">
        <v>799</v>
      </c>
      <c r="Q439" s="3">
        <v>8</v>
      </c>
      <c r="R439" s="6">
        <v>15</v>
      </c>
      <c r="S439" s="7" t="s">
        <v>66</v>
      </c>
      <c r="T439" s="4">
        <v>47299</v>
      </c>
      <c r="U439" s="4">
        <v>38178</v>
      </c>
      <c r="V439" s="4">
        <f t="shared" ca="1" si="58"/>
        <v>45919</v>
      </c>
      <c r="W439" s="8">
        <f t="shared" ca="1" si="59"/>
        <v>21.193702943189596</v>
      </c>
    </row>
    <row r="440" spans="1:23" x14ac:dyDescent="0.2">
      <c r="A440" s="1" t="s">
        <v>24</v>
      </c>
      <c r="B440" s="1" t="s">
        <v>25</v>
      </c>
      <c r="C440" s="1" t="s">
        <v>26</v>
      </c>
      <c r="D440" s="5" t="s">
        <v>597</v>
      </c>
      <c r="E440" s="1">
        <v>8</v>
      </c>
      <c r="F440" s="1" t="s">
        <v>253</v>
      </c>
      <c r="G440" s="1" t="s">
        <v>1450</v>
      </c>
      <c r="I440" s="1" t="s">
        <v>24</v>
      </c>
      <c r="J440" s="1" t="s">
        <v>250</v>
      </c>
      <c r="K440" s="1" t="s">
        <v>89</v>
      </c>
      <c r="M440" s="1" t="s">
        <v>1451</v>
      </c>
      <c r="N440" s="3">
        <v>7</v>
      </c>
      <c r="O440" s="4">
        <v>43831</v>
      </c>
      <c r="P440" s="5" t="s">
        <v>1452</v>
      </c>
      <c r="Q440" s="3">
        <v>0</v>
      </c>
      <c r="R440" s="6">
        <v>0</v>
      </c>
      <c r="S440" s="7" t="s">
        <v>34</v>
      </c>
      <c r="T440" s="4">
        <v>46203</v>
      </c>
      <c r="U440" s="4">
        <v>36577</v>
      </c>
      <c r="V440" s="4">
        <f t="shared" ca="1" si="58"/>
        <v>45919</v>
      </c>
      <c r="W440" s="8">
        <f t="shared" ca="1" si="59"/>
        <v>25.577002053388089</v>
      </c>
    </row>
    <row r="441" spans="1:23" x14ac:dyDescent="0.2">
      <c r="A441" s="1" t="s">
        <v>24</v>
      </c>
      <c r="B441" s="1" t="s">
        <v>25</v>
      </c>
      <c r="C441" s="1" t="s">
        <v>26</v>
      </c>
      <c r="D441" s="5" t="s">
        <v>597</v>
      </c>
      <c r="E441" s="1">
        <v>7</v>
      </c>
      <c r="F441" s="1" t="s">
        <v>148</v>
      </c>
      <c r="G441" s="1" t="s">
        <v>1453</v>
      </c>
      <c r="I441" s="1" t="s">
        <v>24</v>
      </c>
      <c r="J441" s="1" t="s">
        <v>815</v>
      </c>
      <c r="K441" s="1" t="s">
        <v>89</v>
      </c>
      <c r="M441" s="1" t="s">
        <v>1454</v>
      </c>
      <c r="N441" s="3">
        <v>6</v>
      </c>
      <c r="O441" s="4">
        <v>44751</v>
      </c>
      <c r="P441" s="5" t="s">
        <v>755</v>
      </c>
      <c r="Q441" s="3">
        <v>10</v>
      </c>
      <c r="R441" s="6">
        <v>7.1</v>
      </c>
      <c r="S441" s="7" t="s">
        <v>34</v>
      </c>
      <c r="T441" s="4">
        <v>46203</v>
      </c>
      <c r="U441" s="4">
        <v>35267</v>
      </c>
      <c r="V441" s="4">
        <f t="shared" ca="1" si="58"/>
        <v>45919</v>
      </c>
      <c r="W441" s="8">
        <f t="shared" ca="1" si="59"/>
        <v>29.163586584531142</v>
      </c>
    </row>
    <row r="442" spans="1:23" x14ac:dyDescent="0.2">
      <c r="A442" s="1" t="s">
        <v>24</v>
      </c>
      <c r="B442" s="1" t="s">
        <v>25</v>
      </c>
      <c r="C442" s="1" t="s">
        <v>26</v>
      </c>
      <c r="D442" s="5" t="s">
        <v>597</v>
      </c>
      <c r="E442" s="1">
        <v>10</v>
      </c>
      <c r="F442" s="1" t="s">
        <v>462</v>
      </c>
      <c r="G442" s="1" t="s">
        <v>1455</v>
      </c>
      <c r="I442" s="1" t="s">
        <v>24</v>
      </c>
      <c r="J442" s="1" t="s">
        <v>24</v>
      </c>
      <c r="K442" s="1" t="s">
        <v>113</v>
      </c>
      <c r="M442" s="1" t="s">
        <v>1456</v>
      </c>
      <c r="N442" s="3">
        <v>0.9</v>
      </c>
      <c r="O442" s="4">
        <v>45474</v>
      </c>
      <c r="P442" s="5" t="s">
        <v>82</v>
      </c>
      <c r="Q442" s="3">
        <v>1</v>
      </c>
      <c r="R442" s="6" t="s">
        <v>205</v>
      </c>
      <c r="S442" s="7" t="s">
        <v>66</v>
      </c>
      <c r="T442" s="4">
        <v>45838</v>
      </c>
      <c r="U442" s="4">
        <v>32273</v>
      </c>
      <c r="V442" s="4">
        <f t="shared" ca="1" si="58"/>
        <v>45919</v>
      </c>
      <c r="W442" s="8">
        <f t="shared" ca="1" si="59"/>
        <v>37.360711841204655</v>
      </c>
    </row>
    <row r="443" spans="1:23" x14ac:dyDescent="0.2">
      <c r="A443" s="1" t="s">
        <v>24</v>
      </c>
      <c r="B443" s="1" t="s">
        <v>25</v>
      </c>
      <c r="C443" s="1" t="s">
        <v>26</v>
      </c>
      <c r="D443" s="5" t="s">
        <v>597</v>
      </c>
      <c r="E443" s="1">
        <v>20</v>
      </c>
      <c r="F443" s="1" t="s">
        <v>1457</v>
      </c>
      <c r="G443" s="1" t="s">
        <v>1458</v>
      </c>
      <c r="I443" s="1" t="s">
        <v>94</v>
      </c>
      <c r="J443" s="1" t="s">
        <v>94</v>
      </c>
      <c r="K443" s="1" t="s">
        <v>120</v>
      </c>
      <c r="M443" s="1" t="s">
        <v>1459</v>
      </c>
      <c r="N443" s="3">
        <v>13</v>
      </c>
      <c r="O443" s="4">
        <v>44957</v>
      </c>
      <c r="P443" s="5" t="s">
        <v>1460</v>
      </c>
      <c r="Q443" s="3">
        <v>18</v>
      </c>
      <c r="R443" s="6">
        <v>25</v>
      </c>
      <c r="S443" s="7" t="s">
        <v>66</v>
      </c>
      <c r="T443" s="4">
        <v>46568</v>
      </c>
      <c r="U443" s="4">
        <v>37302</v>
      </c>
      <c r="V443" s="4">
        <f t="shared" ca="1" si="58"/>
        <v>45919</v>
      </c>
      <c r="W443" s="8">
        <f ca="1">(V443-U443)/365.25</f>
        <v>23.592060232717316</v>
      </c>
    </row>
    <row r="444" spans="1:23" x14ac:dyDescent="0.2">
      <c r="A444" s="1" t="s">
        <v>24</v>
      </c>
      <c r="B444" s="1" t="s">
        <v>25</v>
      </c>
      <c r="C444" s="1" t="s">
        <v>26</v>
      </c>
      <c r="D444" s="5" t="s">
        <v>597</v>
      </c>
      <c r="E444" s="1">
        <v>22</v>
      </c>
      <c r="F444" s="1" t="s">
        <v>1461</v>
      </c>
      <c r="G444" s="1" t="s">
        <v>1462</v>
      </c>
      <c r="I444" s="1" t="s">
        <v>519</v>
      </c>
      <c r="J444" s="1" t="s">
        <v>519</v>
      </c>
      <c r="K444" s="1" t="s">
        <v>120</v>
      </c>
      <c r="M444" s="1" t="s">
        <v>1463</v>
      </c>
      <c r="N444" s="3">
        <v>8</v>
      </c>
      <c r="O444" s="4">
        <v>45534</v>
      </c>
      <c r="P444" s="5" t="s">
        <v>91</v>
      </c>
      <c r="Q444" s="3">
        <v>9</v>
      </c>
      <c r="R444" s="6" t="s">
        <v>40</v>
      </c>
      <c r="S444" s="7" t="s">
        <v>40</v>
      </c>
      <c r="T444" s="4">
        <v>45838</v>
      </c>
      <c r="U444" s="4">
        <v>35335</v>
      </c>
      <c r="V444" s="4">
        <f t="shared" ca="1" si="58"/>
        <v>45919</v>
      </c>
      <c r="W444" s="8">
        <f t="shared" ca="1" si="59"/>
        <v>28.977412731006162</v>
      </c>
    </row>
    <row r="445" spans="1:23" x14ac:dyDescent="0.2">
      <c r="A445" s="1" t="s">
        <v>24</v>
      </c>
      <c r="B445" s="1" t="s">
        <v>25</v>
      </c>
      <c r="C445" s="1" t="s">
        <v>26</v>
      </c>
      <c r="D445" s="5" t="s">
        <v>597</v>
      </c>
      <c r="E445" s="1">
        <v>24</v>
      </c>
      <c r="F445" s="1" t="s">
        <v>307</v>
      </c>
      <c r="G445" s="1" t="s">
        <v>1464</v>
      </c>
      <c r="I445" s="1" t="s">
        <v>75</v>
      </c>
      <c r="J445" s="1" t="s">
        <v>75</v>
      </c>
      <c r="K445" s="1" t="s">
        <v>120</v>
      </c>
      <c r="M445" s="1" t="s">
        <v>1465</v>
      </c>
      <c r="N445" s="3">
        <v>3</v>
      </c>
      <c r="O445" s="4">
        <v>45163</v>
      </c>
      <c r="P445" s="5" t="s">
        <v>526</v>
      </c>
      <c r="Q445" s="3">
        <v>6</v>
      </c>
      <c r="R445" s="6" t="s">
        <v>205</v>
      </c>
      <c r="S445" s="7" t="s">
        <v>34</v>
      </c>
      <c r="T445" s="4">
        <v>46203</v>
      </c>
      <c r="U445" s="4">
        <v>34389</v>
      </c>
      <c r="V445" s="4">
        <f t="shared" ca="1" si="58"/>
        <v>45919</v>
      </c>
      <c r="W445" s="8">
        <f t="shared" ca="1" si="59"/>
        <v>31.567419575633128</v>
      </c>
    </row>
    <row r="446" spans="1:23" x14ac:dyDescent="0.2">
      <c r="A446" s="1" t="s">
        <v>24</v>
      </c>
      <c r="B446" s="1" t="s">
        <v>25</v>
      </c>
      <c r="C446" s="1" t="s">
        <v>26</v>
      </c>
      <c r="D446" s="5" t="s">
        <v>597</v>
      </c>
      <c r="E446" s="1">
        <v>33</v>
      </c>
      <c r="F446" s="1" t="s">
        <v>291</v>
      </c>
      <c r="G446" s="1" t="s">
        <v>1466</v>
      </c>
      <c r="I446" s="1" t="s">
        <v>24</v>
      </c>
      <c r="J446" s="1" t="s">
        <v>24</v>
      </c>
      <c r="K446" s="1" t="s">
        <v>133</v>
      </c>
      <c r="M446" s="1" t="s">
        <v>1467</v>
      </c>
      <c r="N446" s="3">
        <v>22</v>
      </c>
      <c r="O446" s="4">
        <v>45474</v>
      </c>
      <c r="P446" s="5" t="s">
        <v>380</v>
      </c>
      <c r="Q446" s="3">
        <v>0</v>
      </c>
      <c r="R446" s="6">
        <v>0</v>
      </c>
      <c r="S446" s="7" t="s">
        <v>34</v>
      </c>
      <c r="T446" s="4">
        <v>46568</v>
      </c>
      <c r="U446" s="4">
        <v>38765</v>
      </c>
      <c r="V446" s="4">
        <f t="shared" ca="1" si="58"/>
        <v>45919</v>
      </c>
      <c r="W446" s="8">
        <f ca="1">(V446-U446)/365.25</f>
        <v>19.586584531143053</v>
      </c>
    </row>
    <row r="447" spans="1:23" x14ac:dyDescent="0.2">
      <c r="A447" s="1" t="s">
        <v>24</v>
      </c>
      <c r="B447" s="1" t="s">
        <v>25</v>
      </c>
      <c r="C447" s="1" t="s">
        <v>26</v>
      </c>
      <c r="D447" s="5" t="s">
        <v>597</v>
      </c>
      <c r="E447" s="1">
        <v>27</v>
      </c>
      <c r="F447" s="1" t="s">
        <v>1468</v>
      </c>
      <c r="G447" s="1" t="s">
        <v>1469</v>
      </c>
      <c r="I447" s="1" t="s">
        <v>24</v>
      </c>
      <c r="J447" s="1" t="s">
        <v>24</v>
      </c>
      <c r="K447" s="1" t="s">
        <v>133</v>
      </c>
      <c r="M447" s="1" t="s">
        <v>1470</v>
      </c>
      <c r="N447" s="3">
        <v>0.3</v>
      </c>
      <c r="O447" s="4">
        <v>45108</v>
      </c>
      <c r="P447" s="5" t="s">
        <v>380</v>
      </c>
      <c r="Q447" s="3">
        <v>0</v>
      </c>
      <c r="R447" s="6">
        <v>0</v>
      </c>
      <c r="S447" s="7" t="s">
        <v>372</v>
      </c>
      <c r="T447" s="4">
        <v>46203</v>
      </c>
      <c r="U447" s="4">
        <v>38916</v>
      </c>
      <c r="V447" s="4">
        <f t="shared" ca="1" si="58"/>
        <v>45919</v>
      </c>
      <c r="W447" s="8">
        <f t="shared" ref="W447:W448" ca="1" si="61">(V447-U447)/365.25</f>
        <v>19.173169062286107</v>
      </c>
    </row>
    <row r="448" spans="1:23" x14ac:dyDescent="0.2">
      <c r="A448" s="1" t="s">
        <v>24</v>
      </c>
      <c r="B448" s="1" t="s">
        <v>25</v>
      </c>
      <c r="C448" s="1" t="s">
        <v>26</v>
      </c>
      <c r="D448" s="5" t="s">
        <v>597</v>
      </c>
      <c r="E448" s="1">
        <v>9</v>
      </c>
      <c r="F448" s="1" t="s">
        <v>462</v>
      </c>
      <c r="G448" s="1" t="s">
        <v>1471</v>
      </c>
      <c r="I448" s="1" t="s">
        <v>24</v>
      </c>
      <c r="J448" s="1" t="s">
        <v>24</v>
      </c>
      <c r="K448" s="1" t="s">
        <v>139</v>
      </c>
      <c r="M448" s="1" t="s">
        <v>1472</v>
      </c>
      <c r="N448" s="3">
        <v>16</v>
      </c>
      <c r="O448" s="4">
        <v>44418</v>
      </c>
      <c r="P448" s="5" t="s">
        <v>696</v>
      </c>
      <c r="Q448" s="3">
        <v>18</v>
      </c>
      <c r="R448" s="6">
        <v>17.7</v>
      </c>
      <c r="S448" s="7" t="s">
        <v>34</v>
      </c>
      <c r="T448" s="4">
        <v>46568</v>
      </c>
      <c r="U448" s="4">
        <v>35471</v>
      </c>
      <c r="V448" s="4">
        <f t="shared" ca="1" si="58"/>
        <v>45919</v>
      </c>
      <c r="W448" s="8">
        <f t="shared" ca="1" si="61"/>
        <v>28.605065023956193</v>
      </c>
    </row>
    <row r="449" spans="1:23" x14ac:dyDescent="0.2">
      <c r="A449" s="1" t="s">
        <v>24</v>
      </c>
      <c r="B449" s="1" t="s">
        <v>25</v>
      </c>
      <c r="C449" s="1" t="s">
        <v>26</v>
      </c>
      <c r="D449" s="5" t="s">
        <v>597</v>
      </c>
      <c r="E449" s="1">
        <v>19</v>
      </c>
      <c r="F449" s="1" t="s">
        <v>894</v>
      </c>
      <c r="G449" s="1" t="s">
        <v>1473</v>
      </c>
      <c r="I449" s="1" t="s">
        <v>24</v>
      </c>
      <c r="J449" s="1" t="s">
        <v>24</v>
      </c>
      <c r="K449" s="1" t="s">
        <v>139</v>
      </c>
      <c r="M449" s="1" t="s">
        <v>1474</v>
      </c>
      <c r="N449" s="3">
        <v>14</v>
      </c>
      <c r="O449" s="4">
        <v>45520</v>
      </c>
      <c r="P449" s="5" t="s">
        <v>143</v>
      </c>
      <c r="Q449" s="3">
        <v>13</v>
      </c>
      <c r="R449" s="6">
        <v>17.600000000000001</v>
      </c>
      <c r="S449" s="7" t="s">
        <v>66</v>
      </c>
      <c r="T449" s="4">
        <v>46934</v>
      </c>
      <c r="U449" s="4">
        <v>37234</v>
      </c>
      <c r="V449" s="4">
        <f t="shared" ca="1" si="58"/>
        <v>45919</v>
      </c>
      <c r="W449" s="8">
        <f ca="1">(V449-U449)/365.25</f>
        <v>23.7782340862423</v>
      </c>
    </row>
    <row r="450" spans="1:23" x14ac:dyDescent="0.2">
      <c r="A450" s="1" t="s">
        <v>24</v>
      </c>
      <c r="B450" s="1" t="s">
        <v>25</v>
      </c>
      <c r="C450" s="1" t="s">
        <v>26</v>
      </c>
      <c r="D450" s="5" t="s">
        <v>597</v>
      </c>
      <c r="E450" s="1">
        <v>32</v>
      </c>
      <c r="F450" s="1" t="s">
        <v>1475</v>
      </c>
      <c r="G450" s="1" t="s">
        <v>1476</v>
      </c>
      <c r="I450" s="1" t="s">
        <v>815</v>
      </c>
      <c r="J450" s="1" t="s">
        <v>815</v>
      </c>
      <c r="K450" s="1" t="s">
        <v>139</v>
      </c>
      <c r="M450" s="1" t="s">
        <v>1477</v>
      </c>
      <c r="N450" s="3">
        <v>11</v>
      </c>
      <c r="O450" s="4">
        <v>44957</v>
      </c>
      <c r="P450" s="5" t="s">
        <v>682</v>
      </c>
      <c r="Q450" s="3">
        <v>15</v>
      </c>
      <c r="R450" s="6">
        <v>18</v>
      </c>
      <c r="S450" s="7" t="s">
        <v>196</v>
      </c>
      <c r="T450" s="4">
        <v>46203</v>
      </c>
      <c r="U450" s="4">
        <v>34482</v>
      </c>
      <c r="V450" s="4">
        <f t="shared" ca="1" si="58"/>
        <v>45919</v>
      </c>
      <c r="W450" s="8">
        <f t="shared" ref="W450:W451" ca="1" si="62">(V450-U450)/365.25</f>
        <v>31.312799452429843</v>
      </c>
    </row>
    <row r="451" spans="1:23" x14ac:dyDescent="0.2">
      <c r="A451" s="1" t="s">
        <v>24</v>
      </c>
      <c r="B451" s="1" t="s">
        <v>25</v>
      </c>
      <c r="C451" s="1" t="s">
        <v>26</v>
      </c>
      <c r="D451" s="5" t="s">
        <v>597</v>
      </c>
      <c r="E451" s="1">
        <v>17</v>
      </c>
      <c r="F451" s="1" t="s">
        <v>78</v>
      </c>
      <c r="G451" s="1" t="s">
        <v>1478</v>
      </c>
      <c r="I451" s="1" t="s">
        <v>24</v>
      </c>
      <c r="J451" s="1" t="s">
        <v>1479</v>
      </c>
      <c r="K451" s="1" t="s">
        <v>139</v>
      </c>
      <c r="M451" s="1" t="s">
        <v>1480</v>
      </c>
      <c r="N451" s="3">
        <v>8</v>
      </c>
      <c r="O451" s="4">
        <v>45503</v>
      </c>
      <c r="P451" s="5" t="s">
        <v>161</v>
      </c>
      <c r="Q451" s="3">
        <v>8</v>
      </c>
      <c r="R451" s="6">
        <v>8.3000000000000007</v>
      </c>
      <c r="S451" s="7" t="s">
        <v>66</v>
      </c>
      <c r="T451" s="4">
        <v>46934</v>
      </c>
      <c r="U451" s="4">
        <v>36268</v>
      </c>
      <c r="V451" s="4">
        <f t="shared" ca="1" si="58"/>
        <v>45919</v>
      </c>
      <c r="W451" s="8">
        <f t="shared" ca="1" si="62"/>
        <v>26.422997946611911</v>
      </c>
    </row>
    <row r="452" spans="1:23" x14ac:dyDescent="0.2">
      <c r="A452" s="1" t="s">
        <v>24</v>
      </c>
      <c r="B452" s="1" t="s">
        <v>25</v>
      </c>
      <c r="C452" s="1" t="s">
        <v>26</v>
      </c>
      <c r="D452" s="5" t="s">
        <v>597</v>
      </c>
      <c r="E452" s="1">
        <v>11</v>
      </c>
      <c r="F452" s="1" t="s">
        <v>214</v>
      </c>
      <c r="G452" s="1" t="s">
        <v>1481</v>
      </c>
      <c r="I452" s="1" t="s">
        <v>75</v>
      </c>
      <c r="J452" s="1" t="s">
        <v>75</v>
      </c>
      <c r="K452" s="1" t="s">
        <v>139</v>
      </c>
      <c r="M452" s="1" t="s">
        <v>1482</v>
      </c>
      <c r="N452" s="3">
        <v>4.5</v>
      </c>
      <c r="O452" s="4">
        <v>45170</v>
      </c>
      <c r="P452" s="5" t="s">
        <v>456</v>
      </c>
      <c r="Q452" s="3">
        <v>2.8</v>
      </c>
      <c r="R452" s="6">
        <v>9.3000000000000007</v>
      </c>
      <c r="S452" s="7" t="s">
        <v>34</v>
      </c>
      <c r="T452" s="4">
        <v>46203</v>
      </c>
      <c r="U452" s="4">
        <v>35257</v>
      </c>
      <c r="V452" s="4">
        <f t="shared" ca="1" si="58"/>
        <v>45919</v>
      </c>
      <c r="W452" s="8">
        <f ca="1">(V452-U452)/365.25</f>
        <v>29.190965092402465</v>
      </c>
    </row>
    <row r="453" spans="1:23" x14ac:dyDescent="0.2">
      <c r="A453" s="1" t="s">
        <v>24</v>
      </c>
      <c r="B453" s="1" t="s">
        <v>25</v>
      </c>
      <c r="C453" s="1" t="s">
        <v>26</v>
      </c>
      <c r="D453" s="5" t="s">
        <v>826</v>
      </c>
      <c r="E453" s="1">
        <v>1</v>
      </c>
      <c r="F453" s="1" t="s">
        <v>1483</v>
      </c>
      <c r="G453" s="1" t="s">
        <v>1484</v>
      </c>
      <c r="I453" s="1" t="s">
        <v>62</v>
      </c>
      <c r="J453" s="1" t="s">
        <v>62</v>
      </c>
      <c r="K453" s="1" t="s">
        <v>31</v>
      </c>
      <c r="M453" s="1" t="s">
        <v>1485</v>
      </c>
      <c r="N453" s="3">
        <v>35</v>
      </c>
      <c r="O453" s="4">
        <v>45108</v>
      </c>
      <c r="P453" s="5" t="s">
        <v>1486</v>
      </c>
      <c r="Q453" s="3">
        <v>16</v>
      </c>
      <c r="R453" s="6">
        <v>18.5</v>
      </c>
      <c r="S453" s="7" t="s">
        <v>34</v>
      </c>
      <c r="T453" s="4">
        <v>46934</v>
      </c>
      <c r="U453" s="4">
        <v>35345</v>
      </c>
      <c r="V453" s="4">
        <f ca="1">TODAY()</f>
        <v>45919</v>
      </c>
      <c r="W453" s="8">
        <f ca="1">(V453-U453)/365.25</f>
        <v>28.950034223134839</v>
      </c>
    </row>
    <row r="454" spans="1:23" x14ac:dyDescent="0.2">
      <c r="A454" s="1" t="s">
        <v>24</v>
      </c>
      <c r="B454" s="1" t="s">
        <v>25</v>
      </c>
      <c r="C454" s="1" t="s">
        <v>26</v>
      </c>
      <c r="D454" s="5" t="s">
        <v>826</v>
      </c>
      <c r="E454" s="1">
        <v>20</v>
      </c>
      <c r="F454" s="1" t="s">
        <v>1464</v>
      </c>
      <c r="G454" s="1" t="s">
        <v>1487</v>
      </c>
      <c r="I454" s="1" t="s">
        <v>24</v>
      </c>
      <c r="J454" s="1" t="s">
        <v>24</v>
      </c>
      <c r="K454" s="1" t="s">
        <v>31</v>
      </c>
      <c r="M454" s="1" t="s">
        <v>1488</v>
      </c>
      <c r="N454" s="3">
        <v>1.2</v>
      </c>
      <c r="O454" s="4">
        <v>44743</v>
      </c>
      <c r="P454" s="5" t="s">
        <v>597</v>
      </c>
      <c r="Q454" s="3">
        <v>2</v>
      </c>
      <c r="R454" s="6" t="s">
        <v>205</v>
      </c>
      <c r="S454" s="7" t="s">
        <v>98</v>
      </c>
      <c r="T454" s="4">
        <v>45838</v>
      </c>
      <c r="U454" s="4">
        <v>32219</v>
      </c>
      <c r="V454" s="4">
        <f t="shared" ref="V454:V479" ca="1" si="63">TODAY()</f>
        <v>45919</v>
      </c>
      <c r="W454" s="8">
        <f t="shared" ref="W454:W477" ca="1" si="64">(V454-U454)/365.25</f>
        <v>37.508555783709788</v>
      </c>
    </row>
    <row r="455" spans="1:23" x14ac:dyDescent="0.2">
      <c r="A455" s="1" t="s">
        <v>24</v>
      </c>
      <c r="B455" s="1" t="s">
        <v>25</v>
      </c>
      <c r="C455" s="1" t="s">
        <v>26</v>
      </c>
      <c r="D455" s="5" t="s">
        <v>826</v>
      </c>
      <c r="E455" s="1">
        <v>40</v>
      </c>
      <c r="F455" s="1" t="s">
        <v>1489</v>
      </c>
      <c r="G455" s="1" t="s">
        <v>1490</v>
      </c>
      <c r="I455" s="1" t="s">
        <v>24</v>
      </c>
      <c r="J455" s="1" t="s">
        <v>24</v>
      </c>
      <c r="K455" s="1" t="s">
        <v>31</v>
      </c>
      <c r="M455" s="1" t="s">
        <v>1491</v>
      </c>
      <c r="N455" s="3">
        <v>0.6</v>
      </c>
      <c r="O455" s="4">
        <v>44409</v>
      </c>
      <c r="P455" s="5" t="s">
        <v>410</v>
      </c>
      <c r="Q455" s="3">
        <v>0.25</v>
      </c>
      <c r="R455" s="6">
        <v>0</v>
      </c>
      <c r="S455" s="7" t="s">
        <v>98</v>
      </c>
      <c r="T455" s="4">
        <v>47299</v>
      </c>
      <c r="U455" s="4">
        <v>36168</v>
      </c>
      <c r="V455" s="4">
        <f t="shared" ca="1" si="63"/>
        <v>45919</v>
      </c>
      <c r="W455" s="8">
        <f t="shared" ca="1" si="64"/>
        <v>26.696783025325121</v>
      </c>
    </row>
    <row r="456" spans="1:23" x14ac:dyDescent="0.2">
      <c r="A456" s="1" t="s">
        <v>24</v>
      </c>
      <c r="B456" s="1" t="s">
        <v>25</v>
      </c>
      <c r="C456" s="1" t="s">
        <v>26</v>
      </c>
      <c r="D456" s="5" t="s">
        <v>826</v>
      </c>
      <c r="E456" s="1">
        <v>41</v>
      </c>
      <c r="F456" s="1" t="s">
        <v>1492</v>
      </c>
      <c r="G456" s="1" t="s">
        <v>1493</v>
      </c>
      <c r="I456" s="1" t="s">
        <v>24</v>
      </c>
      <c r="J456" s="1" t="s">
        <v>24</v>
      </c>
      <c r="K456" s="1" t="s">
        <v>31</v>
      </c>
      <c r="M456" s="1" t="s">
        <v>1494</v>
      </c>
      <c r="N456" s="3">
        <v>0.5</v>
      </c>
      <c r="O456" s="4">
        <v>43647</v>
      </c>
      <c r="P456" s="5" t="s">
        <v>410</v>
      </c>
      <c r="Q456" s="3">
        <v>0</v>
      </c>
      <c r="R456" s="6">
        <v>0</v>
      </c>
      <c r="S456" s="7" t="s">
        <v>98</v>
      </c>
      <c r="T456" s="4">
        <v>45838</v>
      </c>
      <c r="U456" s="4">
        <v>36070</v>
      </c>
      <c r="V456" s="4">
        <f t="shared" ca="1" si="63"/>
        <v>45919</v>
      </c>
      <c r="W456" s="8">
        <f ca="1">(V456-U456)/365.25</f>
        <v>26.965092402464066</v>
      </c>
    </row>
    <row r="457" spans="1:23" x14ac:dyDescent="0.2">
      <c r="A457" s="1" t="s">
        <v>24</v>
      </c>
      <c r="B457" s="1" t="s">
        <v>25</v>
      </c>
      <c r="C457" s="1" t="s">
        <v>26</v>
      </c>
      <c r="D457" s="5" t="s">
        <v>826</v>
      </c>
      <c r="E457" s="1">
        <v>17</v>
      </c>
      <c r="F457" s="1" t="s">
        <v>1495</v>
      </c>
      <c r="G457" s="1" t="s">
        <v>1496</v>
      </c>
      <c r="I457" s="1" t="s">
        <v>146</v>
      </c>
      <c r="J457" s="1" t="s">
        <v>146</v>
      </c>
      <c r="K457" s="1" t="s">
        <v>44</v>
      </c>
      <c r="M457" s="1" t="s">
        <v>1497</v>
      </c>
      <c r="N457" s="3">
        <v>65</v>
      </c>
      <c r="O457" s="4">
        <v>44414</v>
      </c>
      <c r="P457" s="5" t="s">
        <v>970</v>
      </c>
      <c r="Q457" s="3">
        <v>35</v>
      </c>
      <c r="R457" s="6">
        <v>52</v>
      </c>
      <c r="S457" s="7" t="s">
        <v>34</v>
      </c>
      <c r="T457" s="4">
        <v>46568</v>
      </c>
      <c r="U457" s="4">
        <v>35912</v>
      </c>
      <c r="V457" s="4">
        <f t="shared" ca="1" si="63"/>
        <v>45919</v>
      </c>
      <c r="W457" s="8">
        <f t="shared" ca="1" si="64"/>
        <v>27.397672826830938</v>
      </c>
    </row>
    <row r="458" spans="1:23" x14ac:dyDescent="0.2">
      <c r="A458" s="1" t="s">
        <v>24</v>
      </c>
      <c r="B458" s="1" t="s">
        <v>25</v>
      </c>
      <c r="C458" s="1" t="s">
        <v>26</v>
      </c>
      <c r="D458" s="5" t="s">
        <v>826</v>
      </c>
      <c r="E458" s="1">
        <v>37</v>
      </c>
      <c r="F458" s="1" t="s">
        <v>1498</v>
      </c>
      <c r="G458" s="1" t="s">
        <v>1499</v>
      </c>
      <c r="I458" s="1" t="s">
        <v>52</v>
      </c>
      <c r="J458" s="1" t="s">
        <v>52</v>
      </c>
      <c r="K458" s="1" t="s">
        <v>44</v>
      </c>
      <c r="M458" s="1" t="s">
        <v>1500</v>
      </c>
      <c r="N458" s="3">
        <v>55</v>
      </c>
      <c r="O458" s="4">
        <v>45146</v>
      </c>
      <c r="P458" s="5" t="s">
        <v>658</v>
      </c>
      <c r="Q458" s="3">
        <v>30</v>
      </c>
      <c r="R458" s="6">
        <v>40</v>
      </c>
      <c r="S458" s="7" t="s">
        <v>34</v>
      </c>
      <c r="T458" s="4">
        <v>47299</v>
      </c>
      <c r="U458" s="4">
        <v>37000</v>
      </c>
      <c r="V458" s="4">
        <f t="shared" ca="1" si="63"/>
        <v>45919</v>
      </c>
      <c r="W458" s="8">
        <f ca="1">(V458-U458)/365.25</f>
        <v>24.418891170431213</v>
      </c>
    </row>
    <row r="459" spans="1:23" x14ac:dyDescent="0.2">
      <c r="A459" s="1" t="s">
        <v>24</v>
      </c>
      <c r="B459" s="1" t="s">
        <v>25</v>
      </c>
      <c r="C459" s="1" t="s">
        <v>26</v>
      </c>
      <c r="D459" s="5" t="s">
        <v>826</v>
      </c>
      <c r="E459" s="1">
        <v>6</v>
      </c>
      <c r="F459" s="1" t="s">
        <v>1501</v>
      </c>
      <c r="G459" s="1" t="s">
        <v>1502</v>
      </c>
      <c r="I459" s="1" t="s">
        <v>1503</v>
      </c>
      <c r="J459" s="1" t="s">
        <v>1503</v>
      </c>
      <c r="K459" s="1" t="s">
        <v>44</v>
      </c>
      <c r="M459" s="1" t="s">
        <v>1504</v>
      </c>
      <c r="N459" s="3">
        <v>25</v>
      </c>
      <c r="O459" s="4">
        <v>45302</v>
      </c>
      <c r="P459" s="5" t="s">
        <v>1505</v>
      </c>
      <c r="Q459" s="3">
        <v>20</v>
      </c>
      <c r="R459" s="6">
        <v>25</v>
      </c>
      <c r="S459" s="7" t="s">
        <v>34</v>
      </c>
      <c r="T459" s="4">
        <v>47664</v>
      </c>
      <c r="U459" s="4">
        <v>37290</v>
      </c>
      <c r="V459" s="4">
        <f t="shared" ca="1" si="63"/>
        <v>45919</v>
      </c>
      <c r="W459" s="8">
        <f t="shared" ca="1" si="64"/>
        <v>23.6249144421629</v>
      </c>
    </row>
    <row r="460" spans="1:23" x14ac:dyDescent="0.2">
      <c r="A460" s="1" t="s">
        <v>24</v>
      </c>
      <c r="B460" s="1" t="s">
        <v>25</v>
      </c>
      <c r="C460" s="1" t="s">
        <v>26</v>
      </c>
      <c r="D460" s="5" t="s">
        <v>826</v>
      </c>
      <c r="E460" s="1">
        <v>33</v>
      </c>
      <c r="F460" s="1" t="s">
        <v>78</v>
      </c>
      <c r="G460" s="1" t="s">
        <v>1506</v>
      </c>
      <c r="I460" s="1" t="s">
        <v>328</v>
      </c>
      <c r="J460" s="1" t="s">
        <v>328</v>
      </c>
      <c r="K460" s="1" t="s">
        <v>44</v>
      </c>
      <c r="M460" s="1" t="s">
        <v>1507</v>
      </c>
      <c r="N460" s="3">
        <v>8</v>
      </c>
      <c r="O460" s="4">
        <v>41843</v>
      </c>
      <c r="P460" s="5" t="s">
        <v>806</v>
      </c>
      <c r="Q460" s="3">
        <v>5.5</v>
      </c>
      <c r="R460" s="6">
        <v>12.65</v>
      </c>
      <c r="S460" s="7" t="s">
        <v>98</v>
      </c>
      <c r="T460" s="4">
        <v>45838</v>
      </c>
      <c r="U460" s="4">
        <v>34083</v>
      </c>
      <c r="V460" s="4">
        <f t="shared" ca="1" si="63"/>
        <v>45919</v>
      </c>
      <c r="W460" s="8">
        <f t="shared" ca="1" si="64"/>
        <v>32.40520191649555</v>
      </c>
    </row>
    <row r="461" spans="1:23" x14ac:dyDescent="0.2">
      <c r="A461" s="1" t="s">
        <v>24</v>
      </c>
      <c r="B461" s="1" t="s">
        <v>25</v>
      </c>
      <c r="C461" s="1" t="s">
        <v>26</v>
      </c>
      <c r="D461" s="5" t="s">
        <v>826</v>
      </c>
      <c r="E461" s="1">
        <v>13</v>
      </c>
      <c r="F461" s="1" t="s">
        <v>1508</v>
      </c>
      <c r="G461" s="1" t="s">
        <v>1509</v>
      </c>
      <c r="I461" s="1" t="s">
        <v>62</v>
      </c>
      <c r="J461" s="1" t="s">
        <v>62</v>
      </c>
      <c r="K461" s="1" t="s">
        <v>63</v>
      </c>
      <c r="M461" s="1" t="s">
        <v>1510</v>
      </c>
      <c r="N461" s="3">
        <v>45</v>
      </c>
      <c r="O461" s="4">
        <v>44789</v>
      </c>
      <c r="P461" s="5" t="s">
        <v>792</v>
      </c>
      <c r="Q461" s="3">
        <v>17</v>
      </c>
      <c r="R461" s="6">
        <v>18</v>
      </c>
      <c r="S461" s="7" t="s">
        <v>34</v>
      </c>
      <c r="T461" s="4">
        <v>47664</v>
      </c>
      <c r="U461" s="4">
        <v>37588</v>
      </c>
      <c r="V461" s="4">
        <f t="shared" ca="1" si="63"/>
        <v>45919</v>
      </c>
      <c r="W461" s="8">
        <f ca="1">(V461-U461)/365.25</f>
        <v>22.809034907597535</v>
      </c>
    </row>
    <row r="462" spans="1:23" x14ac:dyDescent="0.2">
      <c r="A462" s="1" t="s">
        <v>24</v>
      </c>
      <c r="B462" s="1" t="s">
        <v>25</v>
      </c>
      <c r="C462" s="1" t="s">
        <v>26</v>
      </c>
      <c r="D462" s="5" t="s">
        <v>826</v>
      </c>
      <c r="E462" s="1">
        <v>3</v>
      </c>
      <c r="F462" s="1" t="s">
        <v>1511</v>
      </c>
      <c r="G462" s="1" t="s">
        <v>1512</v>
      </c>
      <c r="I462" s="1" t="s">
        <v>30</v>
      </c>
      <c r="J462" s="1" t="s">
        <v>30</v>
      </c>
      <c r="K462" s="1" t="s">
        <v>63</v>
      </c>
      <c r="M462" s="1" t="s">
        <v>1513</v>
      </c>
      <c r="N462" s="3">
        <v>11</v>
      </c>
      <c r="O462" s="4">
        <v>44093</v>
      </c>
      <c r="P462" s="5" t="s">
        <v>115</v>
      </c>
      <c r="Q462" s="3">
        <v>25</v>
      </c>
      <c r="R462" s="6">
        <v>30</v>
      </c>
      <c r="S462" s="7" t="s">
        <v>98</v>
      </c>
      <c r="T462" s="4">
        <v>45838</v>
      </c>
      <c r="U462" s="4">
        <v>35415</v>
      </c>
      <c r="V462" s="4">
        <f t="shared" ca="1" si="63"/>
        <v>45919</v>
      </c>
      <c r="W462" s="8">
        <f t="shared" ca="1" si="64"/>
        <v>28.758384668035593</v>
      </c>
    </row>
    <row r="463" spans="1:23" x14ac:dyDescent="0.2">
      <c r="A463" s="1" t="s">
        <v>24</v>
      </c>
      <c r="B463" s="1" t="s">
        <v>25</v>
      </c>
      <c r="C463" s="1" t="s">
        <v>26</v>
      </c>
      <c r="D463" s="5" t="s">
        <v>826</v>
      </c>
      <c r="E463" s="1">
        <v>23</v>
      </c>
      <c r="F463" s="1" t="s">
        <v>535</v>
      </c>
      <c r="G463" s="1" t="s">
        <v>1514</v>
      </c>
      <c r="I463" s="1" t="s">
        <v>30</v>
      </c>
      <c r="J463" s="1" t="s">
        <v>30</v>
      </c>
      <c r="K463" s="1" t="s">
        <v>80</v>
      </c>
      <c r="M463" s="1" t="s">
        <v>1515</v>
      </c>
      <c r="N463" s="3">
        <v>45</v>
      </c>
      <c r="O463" s="4">
        <v>44957</v>
      </c>
      <c r="P463" s="5" t="s">
        <v>799</v>
      </c>
      <c r="Q463" s="3">
        <v>25</v>
      </c>
      <c r="R463" s="6">
        <v>45</v>
      </c>
      <c r="S463" s="7" t="s">
        <v>34</v>
      </c>
      <c r="T463" s="4">
        <v>46934</v>
      </c>
      <c r="U463" s="4">
        <v>36416</v>
      </c>
      <c r="V463" s="4">
        <f t="shared" ca="1" si="63"/>
        <v>45919</v>
      </c>
      <c r="W463" s="8">
        <f t="shared" ca="1" si="64"/>
        <v>26.017796030116358</v>
      </c>
    </row>
    <row r="464" spans="1:23" x14ac:dyDescent="0.2">
      <c r="A464" s="1" t="s">
        <v>24</v>
      </c>
      <c r="B464" s="1" t="s">
        <v>25</v>
      </c>
      <c r="C464" s="1" t="s">
        <v>26</v>
      </c>
      <c r="D464" s="5" t="s">
        <v>826</v>
      </c>
      <c r="E464" s="1">
        <v>14</v>
      </c>
      <c r="F464" s="1" t="s">
        <v>1516</v>
      </c>
      <c r="G464" s="1" t="s">
        <v>1517</v>
      </c>
      <c r="I464" s="1" t="s">
        <v>24</v>
      </c>
      <c r="J464" s="1" t="s">
        <v>24</v>
      </c>
      <c r="K464" s="1" t="s">
        <v>80</v>
      </c>
      <c r="M464" s="1" t="s">
        <v>1518</v>
      </c>
      <c r="N464" s="3">
        <v>25</v>
      </c>
      <c r="O464" s="4">
        <v>45475</v>
      </c>
      <c r="P464" s="5" t="s">
        <v>294</v>
      </c>
      <c r="Q464" s="3">
        <v>18</v>
      </c>
      <c r="R464" s="6">
        <v>41.25</v>
      </c>
      <c r="S464" s="7" t="s">
        <v>66</v>
      </c>
      <c r="T464" s="4">
        <v>47664</v>
      </c>
      <c r="U464" s="4">
        <v>38788</v>
      </c>
      <c r="V464" s="4">
        <f t="shared" ca="1" si="63"/>
        <v>45919</v>
      </c>
      <c r="W464" s="8">
        <f ca="1">(V464-U464)/365.25</f>
        <v>19.523613963039015</v>
      </c>
    </row>
    <row r="465" spans="1:23" x14ac:dyDescent="0.2">
      <c r="A465" s="1" t="s">
        <v>24</v>
      </c>
      <c r="B465" s="1" t="s">
        <v>25</v>
      </c>
      <c r="C465" s="1" t="s">
        <v>26</v>
      </c>
      <c r="D465" s="5" t="s">
        <v>826</v>
      </c>
      <c r="E465" s="1">
        <v>24</v>
      </c>
      <c r="F465" s="1" t="s">
        <v>1519</v>
      </c>
      <c r="G465" s="1" t="s">
        <v>1520</v>
      </c>
      <c r="I465" s="1" t="s">
        <v>24</v>
      </c>
      <c r="J465" s="1" t="s">
        <v>24</v>
      </c>
      <c r="K465" s="1" t="s">
        <v>80</v>
      </c>
      <c r="M465" s="1" t="s">
        <v>1521</v>
      </c>
      <c r="N465" s="3">
        <v>8</v>
      </c>
      <c r="O465" s="4">
        <v>44761</v>
      </c>
      <c r="P465" s="5" t="s">
        <v>225</v>
      </c>
      <c r="Q465" s="3">
        <v>8</v>
      </c>
      <c r="R465" s="6">
        <v>14.7</v>
      </c>
      <c r="S465" s="7" t="s">
        <v>196</v>
      </c>
      <c r="T465" s="4">
        <v>46934</v>
      </c>
      <c r="U465" s="4">
        <v>36747</v>
      </c>
      <c r="V465" s="4">
        <f t="shared" ca="1" si="63"/>
        <v>45919</v>
      </c>
      <c r="W465" s="8">
        <f t="shared" ref="W465" ca="1" si="65">(V465-U465)/365.25</f>
        <v>25.111567419575632</v>
      </c>
    </row>
    <row r="466" spans="1:23" x14ac:dyDescent="0.2">
      <c r="A466" s="1" t="s">
        <v>24</v>
      </c>
      <c r="B466" s="1" t="s">
        <v>25</v>
      </c>
      <c r="C466" s="1" t="s">
        <v>26</v>
      </c>
      <c r="D466" s="5" t="s">
        <v>826</v>
      </c>
      <c r="E466" s="1">
        <v>8</v>
      </c>
      <c r="F466" s="1" t="s">
        <v>1522</v>
      </c>
      <c r="G466" s="1" t="s">
        <v>1523</v>
      </c>
      <c r="I466" s="1" t="s">
        <v>519</v>
      </c>
      <c r="J466" s="1" t="s">
        <v>691</v>
      </c>
      <c r="K466" s="1" t="s">
        <v>95</v>
      </c>
      <c r="M466" s="1" t="s">
        <v>1524</v>
      </c>
      <c r="N466" s="3">
        <v>35</v>
      </c>
      <c r="O466" s="4">
        <v>44743</v>
      </c>
      <c r="P466" s="5" t="s">
        <v>82</v>
      </c>
      <c r="Q466" s="3">
        <v>35</v>
      </c>
      <c r="R466" s="6">
        <v>29.2</v>
      </c>
      <c r="S466" s="7" t="s">
        <v>34</v>
      </c>
      <c r="T466" s="4">
        <v>46203</v>
      </c>
      <c r="U466" s="4">
        <v>35307</v>
      </c>
      <c r="V466" s="4">
        <f t="shared" ca="1" si="63"/>
        <v>45919</v>
      </c>
      <c r="W466" s="8">
        <f t="shared" ca="1" si="64"/>
        <v>29.054072553045859</v>
      </c>
    </row>
    <row r="467" spans="1:23" x14ac:dyDescent="0.2">
      <c r="A467" s="1" t="s">
        <v>24</v>
      </c>
      <c r="B467" s="1" t="s">
        <v>25</v>
      </c>
      <c r="C467" s="1" t="s">
        <v>26</v>
      </c>
      <c r="D467" s="5" t="s">
        <v>826</v>
      </c>
      <c r="E467" s="1">
        <v>30</v>
      </c>
      <c r="F467" s="1" t="s">
        <v>862</v>
      </c>
      <c r="G467" s="1" t="s">
        <v>1525</v>
      </c>
      <c r="I467" s="1" t="s">
        <v>1102</v>
      </c>
      <c r="J467" s="1" t="s">
        <v>1102</v>
      </c>
      <c r="K467" s="1" t="s">
        <v>95</v>
      </c>
      <c r="M467" s="1" t="s">
        <v>1526</v>
      </c>
      <c r="N467" s="3">
        <v>35</v>
      </c>
      <c r="O467" s="4">
        <v>44592</v>
      </c>
      <c r="P467" s="5" t="s">
        <v>267</v>
      </c>
      <c r="Q467" s="3">
        <v>25</v>
      </c>
      <c r="R467" s="6">
        <v>19</v>
      </c>
      <c r="S467" s="7" t="s">
        <v>34</v>
      </c>
      <c r="T467" s="4">
        <v>46203</v>
      </c>
      <c r="U467" s="4">
        <v>35606</v>
      </c>
      <c r="V467" s="4">
        <f t="shared" ca="1" si="63"/>
        <v>45919</v>
      </c>
      <c r="W467" s="8">
        <f ca="1">(V467-U467)/365.25</f>
        <v>28.23545516769336</v>
      </c>
    </row>
    <row r="468" spans="1:23" x14ac:dyDescent="0.2">
      <c r="A468" s="1" t="s">
        <v>24</v>
      </c>
      <c r="B468" s="1" t="s">
        <v>25</v>
      </c>
      <c r="C468" s="1" t="s">
        <v>26</v>
      </c>
      <c r="D468" s="5" t="s">
        <v>826</v>
      </c>
      <c r="E468" s="1">
        <v>29</v>
      </c>
      <c r="F468" s="1" t="s">
        <v>1527</v>
      </c>
      <c r="G468" s="1" t="s">
        <v>718</v>
      </c>
      <c r="I468" s="1" t="s">
        <v>199</v>
      </c>
      <c r="J468" s="1" t="s">
        <v>199</v>
      </c>
      <c r="K468" s="1" t="s">
        <v>89</v>
      </c>
      <c r="M468" s="1" t="s">
        <v>1528</v>
      </c>
      <c r="N468" s="3">
        <v>45</v>
      </c>
      <c r="O468" s="4">
        <v>44435</v>
      </c>
      <c r="P468" s="5" t="s">
        <v>1529</v>
      </c>
      <c r="Q468" s="3">
        <v>10</v>
      </c>
      <c r="R468" s="6">
        <v>16.899999999999999</v>
      </c>
      <c r="S468" s="7" t="s">
        <v>34</v>
      </c>
      <c r="T468" s="4">
        <v>47664</v>
      </c>
      <c r="U468" s="4">
        <v>37513</v>
      </c>
      <c r="V468" s="4">
        <f t="shared" ca="1" si="63"/>
        <v>45919</v>
      </c>
      <c r="W468" s="8">
        <f ca="1">(V468-U468)/365.25</f>
        <v>23.014373716632445</v>
      </c>
    </row>
    <row r="469" spans="1:23" x14ac:dyDescent="0.2">
      <c r="A469" s="1" t="s">
        <v>24</v>
      </c>
      <c r="B469" s="1" t="s">
        <v>25</v>
      </c>
      <c r="C469" s="1" t="s">
        <v>26</v>
      </c>
      <c r="D469" s="5" t="s">
        <v>826</v>
      </c>
      <c r="E469" s="1">
        <v>15</v>
      </c>
      <c r="F469" s="1" t="s">
        <v>183</v>
      </c>
      <c r="G469" s="1" t="s">
        <v>1530</v>
      </c>
      <c r="I469" s="1" t="s">
        <v>155</v>
      </c>
      <c r="J469" s="1" t="s">
        <v>155</v>
      </c>
      <c r="K469" s="1" t="s">
        <v>89</v>
      </c>
      <c r="M469" s="1" t="s">
        <v>1531</v>
      </c>
      <c r="N469" s="3">
        <v>12</v>
      </c>
      <c r="O469" s="4">
        <v>45474</v>
      </c>
      <c r="P469" s="5" t="s">
        <v>1532</v>
      </c>
      <c r="Q469" s="3">
        <v>10</v>
      </c>
      <c r="R469" s="6">
        <v>10</v>
      </c>
      <c r="S469" s="7" t="s">
        <v>66</v>
      </c>
      <c r="T469" s="4">
        <v>47299</v>
      </c>
      <c r="U469" s="4">
        <v>38750</v>
      </c>
      <c r="V469" s="4">
        <f t="shared" ca="1" si="63"/>
        <v>45919</v>
      </c>
      <c r="W469" s="8">
        <f ca="1">(V469-U469)/365.25</f>
        <v>19.627652292950035</v>
      </c>
    </row>
    <row r="470" spans="1:23" x14ac:dyDescent="0.2">
      <c r="A470" s="1" t="s">
        <v>24</v>
      </c>
      <c r="B470" s="1" t="s">
        <v>25</v>
      </c>
      <c r="C470" s="1" t="s">
        <v>26</v>
      </c>
      <c r="D470" s="5" t="s">
        <v>826</v>
      </c>
      <c r="E470" s="1">
        <v>10</v>
      </c>
      <c r="F470" s="1" t="s">
        <v>268</v>
      </c>
      <c r="G470" s="1" t="s">
        <v>1533</v>
      </c>
      <c r="I470" s="1" t="s">
        <v>24</v>
      </c>
      <c r="J470" s="1" t="s">
        <v>24</v>
      </c>
      <c r="K470" s="1" t="s">
        <v>113</v>
      </c>
      <c r="M470" s="1" t="s">
        <v>1534</v>
      </c>
      <c r="N470" s="3">
        <v>60</v>
      </c>
      <c r="O470" s="4">
        <v>45108</v>
      </c>
      <c r="P470" s="5" t="s">
        <v>213</v>
      </c>
      <c r="Q470" s="3">
        <v>60</v>
      </c>
      <c r="R470" s="6">
        <v>46.3</v>
      </c>
      <c r="S470" s="7" t="s">
        <v>34</v>
      </c>
      <c r="T470" s="4">
        <v>46934</v>
      </c>
      <c r="U470" s="4">
        <v>35392</v>
      </c>
      <c r="V470" s="4">
        <f t="shared" ca="1" si="63"/>
        <v>45919</v>
      </c>
      <c r="W470" s="8">
        <f ca="1">(V470-U470)/365.25</f>
        <v>28.821355236139631</v>
      </c>
    </row>
    <row r="471" spans="1:23" x14ac:dyDescent="0.2">
      <c r="A471" s="1" t="s">
        <v>24</v>
      </c>
      <c r="B471" s="1" t="s">
        <v>25</v>
      </c>
      <c r="C471" s="1" t="s">
        <v>26</v>
      </c>
      <c r="D471" s="5" t="s">
        <v>826</v>
      </c>
      <c r="E471" s="1">
        <v>21</v>
      </c>
      <c r="F471" s="1" t="s">
        <v>1535</v>
      </c>
      <c r="G471" s="1" t="s">
        <v>1536</v>
      </c>
      <c r="I471" s="1" t="s">
        <v>155</v>
      </c>
      <c r="J471" s="1" t="s">
        <v>155</v>
      </c>
      <c r="K471" s="1" t="s">
        <v>113</v>
      </c>
      <c r="M471" s="1" t="s">
        <v>1537</v>
      </c>
      <c r="N471" s="3">
        <v>60</v>
      </c>
      <c r="O471" s="4">
        <v>44592</v>
      </c>
      <c r="P471" s="5" t="s">
        <v>267</v>
      </c>
      <c r="Q471" s="3">
        <v>30</v>
      </c>
      <c r="R471" s="6">
        <v>40</v>
      </c>
      <c r="S471" s="7" t="s">
        <v>34</v>
      </c>
      <c r="T471" s="4">
        <v>46934</v>
      </c>
      <c r="U471" s="4">
        <v>36641</v>
      </c>
      <c r="V471" s="4">
        <f t="shared" ca="1" si="63"/>
        <v>45919</v>
      </c>
      <c r="W471" s="8">
        <f t="shared" ca="1" si="64"/>
        <v>25.401779603011637</v>
      </c>
    </row>
    <row r="472" spans="1:23" x14ac:dyDescent="0.2">
      <c r="A472" s="1" t="s">
        <v>24</v>
      </c>
      <c r="B472" s="1" t="s">
        <v>25</v>
      </c>
      <c r="C472" s="1" t="s">
        <v>26</v>
      </c>
      <c r="D472" s="5" t="s">
        <v>826</v>
      </c>
      <c r="E472" s="1">
        <v>7</v>
      </c>
      <c r="F472" s="1" t="s">
        <v>1538</v>
      </c>
      <c r="G472" s="1" t="s">
        <v>1539</v>
      </c>
      <c r="I472" s="1" t="s">
        <v>369</v>
      </c>
      <c r="J472" s="1" t="s">
        <v>369</v>
      </c>
      <c r="K472" s="1" t="s">
        <v>120</v>
      </c>
      <c r="M472" s="1" t="s">
        <v>1540</v>
      </c>
      <c r="N472" s="3">
        <v>38</v>
      </c>
      <c r="O472" s="4">
        <v>42244</v>
      </c>
      <c r="P472" s="5" t="s">
        <v>236</v>
      </c>
      <c r="Q472" s="3">
        <v>16</v>
      </c>
      <c r="R472" s="6">
        <v>30</v>
      </c>
      <c r="S472" s="7" t="s">
        <v>34</v>
      </c>
      <c r="T472" s="4">
        <v>45838</v>
      </c>
      <c r="U472" s="4">
        <v>33793</v>
      </c>
      <c r="V472" s="4">
        <f t="shared" ca="1" si="63"/>
        <v>45919</v>
      </c>
      <c r="W472" s="8">
        <f t="shared" ca="1" si="64"/>
        <v>33.199178644763862</v>
      </c>
    </row>
    <row r="473" spans="1:23" x14ac:dyDescent="0.2">
      <c r="A473" s="1" t="s">
        <v>24</v>
      </c>
      <c r="B473" s="1" t="s">
        <v>25</v>
      </c>
      <c r="C473" s="1" t="s">
        <v>26</v>
      </c>
      <c r="D473" s="5" t="s">
        <v>826</v>
      </c>
      <c r="E473" s="1">
        <v>16</v>
      </c>
      <c r="F473" s="1" t="s">
        <v>1541</v>
      </c>
      <c r="G473" s="1" t="s">
        <v>1542</v>
      </c>
      <c r="I473" s="1" t="s">
        <v>138</v>
      </c>
      <c r="J473" s="1" t="s">
        <v>138</v>
      </c>
      <c r="K473" s="1" t="s">
        <v>120</v>
      </c>
      <c r="M473" s="1" t="s">
        <v>1543</v>
      </c>
      <c r="N473" s="3">
        <v>15</v>
      </c>
      <c r="O473" s="4">
        <v>45300</v>
      </c>
      <c r="P473" s="5" t="s">
        <v>619</v>
      </c>
      <c r="Q473" s="3">
        <v>17</v>
      </c>
      <c r="R473" s="6" t="s">
        <v>40</v>
      </c>
      <c r="S473" s="7" t="s">
        <v>40</v>
      </c>
      <c r="T473" s="4">
        <v>45838</v>
      </c>
      <c r="U473" s="4">
        <v>35130</v>
      </c>
      <c r="V473" s="4">
        <f t="shared" ca="1" si="63"/>
        <v>45919</v>
      </c>
      <c r="W473" s="8">
        <f t="shared" ca="1" si="64"/>
        <v>29.538672142368242</v>
      </c>
    </row>
    <row r="474" spans="1:23" x14ac:dyDescent="0.2">
      <c r="A474" s="1" t="s">
        <v>24</v>
      </c>
      <c r="B474" s="1" t="s">
        <v>25</v>
      </c>
      <c r="C474" s="1" t="s">
        <v>26</v>
      </c>
      <c r="D474" s="5" t="s">
        <v>826</v>
      </c>
      <c r="E474" s="1">
        <v>47</v>
      </c>
      <c r="F474" s="1" t="s">
        <v>1544</v>
      </c>
      <c r="G474" s="1" t="s">
        <v>1545</v>
      </c>
      <c r="I474" s="1" t="s">
        <v>24</v>
      </c>
      <c r="J474" s="1" t="s">
        <v>24</v>
      </c>
      <c r="K474" s="1" t="s">
        <v>120</v>
      </c>
      <c r="M474" s="1" t="s">
        <v>1546</v>
      </c>
      <c r="N474" s="3">
        <v>10</v>
      </c>
      <c r="O474" s="4">
        <v>45474</v>
      </c>
      <c r="P474" s="5" t="s">
        <v>289</v>
      </c>
      <c r="Q474" s="3">
        <v>0</v>
      </c>
      <c r="R474" s="6">
        <v>0</v>
      </c>
      <c r="S474" s="7" t="s">
        <v>372</v>
      </c>
      <c r="T474" s="4">
        <v>46568</v>
      </c>
      <c r="U474" s="4">
        <v>39305</v>
      </c>
      <c r="V474" s="4">
        <f t="shared" ca="1" si="63"/>
        <v>45919</v>
      </c>
      <c r="W474" s="8">
        <f t="shared" ca="1" si="64"/>
        <v>18.108145106091719</v>
      </c>
    </row>
    <row r="475" spans="1:23" x14ac:dyDescent="0.2">
      <c r="A475" s="1" t="s">
        <v>24</v>
      </c>
      <c r="B475" s="1" t="s">
        <v>25</v>
      </c>
      <c r="C475" s="1" t="s">
        <v>26</v>
      </c>
      <c r="D475" s="5" t="s">
        <v>826</v>
      </c>
      <c r="E475" s="1">
        <v>22</v>
      </c>
      <c r="F475" s="1" t="s">
        <v>1547</v>
      </c>
      <c r="G475" s="1" t="s">
        <v>1548</v>
      </c>
      <c r="I475" s="1" t="s">
        <v>24</v>
      </c>
      <c r="J475" s="1" t="s">
        <v>328</v>
      </c>
      <c r="K475" s="1" t="s">
        <v>133</v>
      </c>
      <c r="M475" s="1" t="s">
        <v>1549</v>
      </c>
      <c r="N475" s="3">
        <v>50</v>
      </c>
      <c r="O475" s="4">
        <v>45170</v>
      </c>
      <c r="P475" s="5" t="s">
        <v>190</v>
      </c>
      <c r="Q475" s="3">
        <v>38</v>
      </c>
      <c r="R475" s="6">
        <v>55</v>
      </c>
      <c r="S475" s="7" t="s">
        <v>34</v>
      </c>
      <c r="T475" s="4">
        <v>46934</v>
      </c>
      <c r="U475" s="4">
        <v>37034</v>
      </c>
      <c r="V475" s="4">
        <f t="shared" ca="1" si="63"/>
        <v>45919</v>
      </c>
      <c r="W475" s="8">
        <f ca="1">(V475-U475)/365.25</f>
        <v>24.325804243668721</v>
      </c>
    </row>
    <row r="476" spans="1:23" x14ac:dyDescent="0.2">
      <c r="A476" s="1" t="s">
        <v>24</v>
      </c>
      <c r="B476" s="1" t="s">
        <v>25</v>
      </c>
      <c r="C476" s="1" t="s">
        <v>26</v>
      </c>
      <c r="D476" s="5" t="s">
        <v>826</v>
      </c>
      <c r="E476" s="1">
        <v>28</v>
      </c>
      <c r="F476" s="1" t="s">
        <v>854</v>
      </c>
      <c r="G476" s="1" t="s">
        <v>1550</v>
      </c>
      <c r="I476" s="1" t="s">
        <v>43</v>
      </c>
      <c r="J476" s="1" t="s">
        <v>43</v>
      </c>
      <c r="K476" s="1" t="s">
        <v>133</v>
      </c>
      <c r="M476" s="1" t="s">
        <v>1551</v>
      </c>
      <c r="N476" s="3">
        <v>18</v>
      </c>
      <c r="O476" s="4">
        <v>45520</v>
      </c>
      <c r="P476" s="5" t="s">
        <v>366</v>
      </c>
      <c r="Q476" s="3">
        <v>10</v>
      </c>
      <c r="R476" s="6">
        <v>29.3</v>
      </c>
      <c r="S476" s="7" t="s">
        <v>66</v>
      </c>
      <c r="T476" s="4">
        <v>47299</v>
      </c>
      <c r="U476" s="4">
        <v>38319</v>
      </c>
      <c r="V476" s="4">
        <f t="shared" ca="1" si="63"/>
        <v>45919</v>
      </c>
      <c r="W476" s="8">
        <f t="shared" ca="1" si="64"/>
        <v>20.807665982203972</v>
      </c>
    </row>
    <row r="477" spans="1:23" x14ac:dyDescent="0.2">
      <c r="A477" s="1" t="s">
        <v>24</v>
      </c>
      <c r="B477" s="1" t="s">
        <v>25</v>
      </c>
      <c r="C477" s="1" t="s">
        <v>26</v>
      </c>
      <c r="D477" s="5" t="s">
        <v>826</v>
      </c>
      <c r="E477" s="1">
        <v>19</v>
      </c>
      <c r="F477" s="1" t="s">
        <v>786</v>
      </c>
      <c r="G477" s="1" t="s">
        <v>1552</v>
      </c>
      <c r="I477" s="1" t="s">
        <v>24</v>
      </c>
      <c r="J477" s="1" t="s">
        <v>24</v>
      </c>
      <c r="K477" s="1" t="s">
        <v>139</v>
      </c>
      <c r="M477" s="1" t="s">
        <v>1553</v>
      </c>
      <c r="N477" s="3">
        <v>45</v>
      </c>
      <c r="O477" s="4">
        <v>45514</v>
      </c>
      <c r="P477" s="5" t="s">
        <v>39</v>
      </c>
      <c r="Q477" s="3">
        <v>40</v>
      </c>
      <c r="R477" s="6">
        <v>64.3</v>
      </c>
      <c r="S477" s="7" t="s">
        <v>66</v>
      </c>
      <c r="T477" s="4">
        <v>47664</v>
      </c>
      <c r="U477" s="4">
        <v>35687</v>
      </c>
      <c r="V477" s="4">
        <f t="shared" ca="1" si="63"/>
        <v>45919</v>
      </c>
      <c r="W477" s="8">
        <f t="shared" ca="1" si="64"/>
        <v>28.013689253935659</v>
      </c>
    </row>
    <row r="478" spans="1:23" x14ac:dyDescent="0.2">
      <c r="A478" s="1" t="s">
        <v>24</v>
      </c>
      <c r="B478" s="1" t="s">
        <v>25</v>
      </c>
      <c r="C478" s="1" t="s">
        <v>26</v>
      </c>
      <c r="D478" s="5" t="s">
        <v>826</v>
      </c>
      <c r="E478" s="1">
        <v>9</v>
      </c>
      <c r="F478" s="1" t="s">
        <v>35</v>
      </c>
      <c r="G478" s="1" t="s">
        <v>1554</v>
      </c>
      <c r="I478" s="1" t="s">
        <v>37</v>
      </c>
      <c r="J478" s="1" t="s">
        <v>37</v>
      </c>
      <c r="K478" s="1" t="s">
        <v>139</v>
      </c>
      <c r="M478" s="1" t="s">
        <v>1555</v>
      </c>
      <c r="N478" s="3">
        <v>30</v>
      </c>
      <c r="O478" s="4">
        <v>44743</v>
      </c>
      <c r="P478" s="5" t="s">
        <v>186</v>
      </c>
      <c r="Q478" s="3">
        <v>48</v>
      </c>
      <c r="R478" s="6">
        <v>58</v>
      </c>
      <c r="S478" s="7" t="s">
        <v>34</v>
      </c>
      <c r="T478" s="4">
        <v>46568</v>
      </c>
      <c r="U478" s="4">
        <v>35560</v>
      </c>
      <c r="V478" s="4">
        <f t="shared" ca="1" si="63"/>
        <v>45919</v>
      </c>
      <c r="W478" s="8">
        <f ca="1">(V478-U478)/365.25</f>
        <v>28.361396303901437</v>
      </c>
    </row>
    <row r="479" spans="1:23" x14ac:dyDescent="0.2">
      <c r="A479" s="1" t="s">
        <v>24</v>
      </c>
      <c r="B479" s="1" t="s">
        <v>25</v>
      </c>
      <c r="C479" s="1" t="s">
        <v>26</v>
      </c>
      <c r="D479" s="5" t="s">
        <v>826</v>
      </c>
      <c r="E479" s="1">
        <v>42</v>
      </c>
      <c r="F479" s="1" t="s">
        <v>253</v>
      </c>
      <c r="G479" s="1" t="s">
        <v>1556</v>
      </c>
      <c r="I479" s="1" t="s">
        <v>24</v>
      </c>
      <c r="J479" s="1" t="s">
        <v>24</v>
      </c>
      <c r="K479" s="1" t="s">
        <v>139</v>
      </c>
      <c r="M479" s="1" t="s">
        <v>1557</v>
      </c>
      <c r="N479" s="3">
        <v>3</v>
      </c>
      <c r="O479" s="4">
        <v>45108</v>
      </c>
      <c r="P479" s="5" t="s">
        <v>289</v>
      </c>
      <c r="Q479" s="3">
        <v>0</v>
      </c>
      <c r="R479" s="6">
        <v>0</v>
      </c>
      <c r="S479" s="7" t="s">
        <v>372</v>
      </c>
      <c r="T479" s="4">
        <v>47299</v>
      </c>
      <c r="U479" s="4">
        <v>38462</v>
      </c>
      <c r="V479" s="4">
        <f t="shared" ca="1" si="63"/>
        <v>45919</v>
      </c>
      <c r="W479" s="8">
        <f t="shared" ref="W479" ca="1" si="66">(V479-U479)/365.25</f>
        <v>20.416153319644078</v>
      </c>
    </row>
    <row r="480" spans="1:23" x14ac:dyDescent="0.2">
      <c r="A480" s="1" t="s">
        <v>24</v>
      </c>
      <c r="B480" s="1" t="s">
        <v>25</v>
      </c>
      <c r="C480" s="1" t="s">
        <v>26</v>
      </c>
      <c r="D480" s="5" t="s">
        <v>91</v>
      </c>
      <c r="E480" s="1">
        <v>23</v>
      </c>
      <c r="F480" s="1" t="s">
        <v>1558</v>
      </c>
      <c r="G480" s="1" t="s">
        <v>1559</v>
      </c>
      <c r="I480" s="1" t="s">
        <v>43</v>
      </c>
      <c r="J480" s="1" t="s">
        <v>43</v>
      </c>
      <c r="K480" s="1" t="s">
        <v>31</v>
      </c>
      <c r="M480" s="1" t="s">
        <v>1560</v>
      </c>
      <c r="N480" s="3">
        <v>10</v>
      </c>
      <c r="O480" s="4">
        <v>44406</v>
      </c>
      <c r="P480" s="5" t="s">
        <v>773</v>
      </c>
      <c r="Q480" s="3">
        <v>17</v>
      </c>
      <c r="R480" s="6">
        <v>11.3</v>
      </c>
      <c r="S480" s="7" t="s">
        <v>34</v>
      </c>
      <c r="T480" s="4">
        <v>46568</v>
      </c>
      <c r="U480" s="4">
        <v>34027</v>
      </c>
      <c r="V480" s="4">
        <f ca="1">TODAY()</f>
        <v>45919</v>
      </c>
      <c r="W480" s="8">
        <f ca="1">(V480-U480)/365.25</f>
        <v>32.558521560574945</v>
      </c>
    </row>
    <row r="481" spans="1:23" x14ac:dyDescent="0.2">
      <c r="A481" s="1" t="s">
        <v>24</v>
      </c>
      <c r="B481" s="1" t="s">
        <v>25</v>
      </c>
      <c r="C481" s="1" t="s">
        <v>26</v>
      </c>
      <c r="D481" s="5" t="s">
        <v>91</v>
      </c>
      <c r="E481" s="1">
        <v>21</v>
      </c>
      <c r="F481" s="1" t="s">
        <v>937</v>
      </c>
      <c r="G481" s="1" t="s">
        <v>1561</v>
      </c>
      <c r="I481" s="1" t="s">
        <v>24</v>
      </c>
      <c r="J481" s="1" t="s">
        <v>24</v>
      </c>
      <c r="K481" s="1" t="s">
        <v>31</v>
      </c>
      <c r="M481" s="1" t="s">
        <v>1562</v>
      </c>
      <c r="N481" s="3">
        <v>0.9</v>
      </c>
      <c r="O481" s="4">
        <v>45474</v>
      </c>
      <c r="P481" s="5" t="s">
        <v>330</v>
      </c>
      <c r="Q481" s="3">
        <v>0.9</v>
      </c>
      <c r="R481" s="6" t="s">
        <v>205</v>
      </c>
      <c r="S481" s="7" t="s">
        <v>66</v>
      </c>
      <c r="T481" s="4">
        <v>46203</v>
      </c>
      <c r="U481" s="4">
        <v>33252</v>
      </c>
      <c r="V481" s="4">
        <f t="shared" ref="V481:V503" ca="1" si="67">TODAY()</f>
        <v>45919</v>
      </c>
      <c r="W481" s="8">
        <f t="shared" ref="W481:W503" ca="1" si="68">(V481-U481)/365.25</f>
        <v>34.680355920602324</v>
      </c>
    </row>
    <row r="482" spans="1:23" x14ac:dyDescent="0.2">
      <c r="A482" s="1" t="s">
        <v>24</v>
      </c>
      <c r="B482" s="1" t="s">
        <v>25</v>
      </c>
      <c r="C482" s="1" t="s">
        <v>26</v>
      </c>
      <c r="D482" s="5" t="s">
        <v>91</v>
      </c>
      <c r="E482" s="1">
        <v>1</v>
      </c>
      <c r="F482" s="1" t="s">
        <v>1563</v>
      </c>
      <c r="G482" s="1" t="s">
        <v>1564</v>
      </c>
      <c r="I482" s="1" t="s">
        <v>57</v>
      </c>
      <c r="J482" s="1" t="s">
        <v>57</v>
      </c>
      <c r="K482" s="1" t="s">
        <v>31</v>
      </c>
      <c r="M482" s="1" t="s">
        <v>1565</v>
      </c>
      <c r="N482" s="3">
        <v>0.7</v>
      </c>
      <c r="O482" s="4">
        <v>43282</v>
      </c>
      <c r="P482" s="5" t="s">
        <v>806</v>
      </c>
      <c r="Q482" s="3">
        <v>5</v>
      </c>
      <c r="R482" s="6">
        <v>8</v>
      </c>
      <c r="S482" s="7" t="s">
        <v>98</v>
      </c>
      <c r="T482" s="4">
        <v>45838</v>
      </c>
      <c r="U482" s="4">
        <v>31155</v>
      </c>
      <c r="V482" s="4">
        <f t="shared" ca="1" si="67"/>
        <v>45919</v>
      </c>
      <c r="W482" s="8">
        <f t="shared" ca="1" si="68"/>
        <v>40.421629021218344</v>
      </c>
    </row>
    <row r="483" spans="1:23" x14ac:dyDescent="0.2">
      <c r="A483" s="1" t="s">
        <v>24</v>
      </c>
      <c r="B483" s="1" t="s">
        <v>25</v>
      </c>
      <c r="C483" s="1" t="s">
        <v>26</v>
      </c>
      <c r="D483" s="5" t="s">
        <v>91</v>
      </c>
      <c r="E483" s="1">
        <v>26</v>
      </c>
      <c r="F483" s="1" t="s">
        <v>1566</v>
      </c>
      <c r="G483" s="1" t="s">
        <v>1567</v>
      </c>
      <c r="I483" s="1" t="s">
        <v>24</v>
      </c>
      <c r="J483" s="1" t="s">
        <v>24</v>
      </c>
      <c r="K483" s="1" t="s">
        <v>44</v>
      </c>
      <c r="M483" s="1" t="s">
        <v>1568</v>
      </c>
      <c r="N483" s="3">
        <v>38</v>
      </c>
      <c r="O483" s="4">
        <v>45479</v>
      </c>
      <c r="P483" s="5" t="s">
        <v>175</v>
      </c>
      <c r="Q483" s="3">
        <v>32</v>
      </c>
      <c r="R483" s="6">
        <v>47.5</v>
      </c>
      <c r="S483" s="7" t="s">
        <v>66</v>
      </c>
      <c r="T483" s="4">
        <v>48029</v>
      </c>
      <c r="U483" s="4">
        <v>35573</v>
      </c>
      <c r="V483" s="4">
        <f t="shared" ca="1" si="67"/>
        <v>45919</v>
      </c>
      <c r="W483" s="8">
        <f ca="1">(V483-U483)/365.25</f>
        <v>28.325804243668721</v>
      </c>
    </row>
    <row r="484" spans="1:23" x14ac:dyDescent="0.2">
      <c r="A484" s="1" t="s">
        <v>24</v>
      </c>
      <c r="B484" s="1" t="s">
        <v>25</v>
      </c>
      <c r="C484" s="1" t="s">
        <v>26</v>
      </c>
      <c r="D484" s="5" t="s">
        <v>91</v>
      </c>
      <c r="E484" s="1">
        <v>25</v>
      </c>
      <c r="F484" s="1" t="s">
        <v>1569</v>
      </c>
      <c r="G484" s="1" t="s">
        <v>1570</v>
      </c>
      <c r="I484" s="1" t="s">
        <v>1021</v>
      </c>
      <c r="J484" s="1" t="s">
        <v>43</v>
      </c>
      <c r="K484" s="1" t="s">
        <v>44</v>
      </c>
      <c r="M484" s="1" t="s">
        <v>1571</v>
      </c>
      <c r="N484" s="3">
        <v>35</v>
      </c>
      <c r="O484" s="4">
        <v>45514</v>
      </c>
      <c r="P484" s="5" t="s">
        <v>1572</v>
      </c>
      <c r="Q484" s="3">
        <v>35</v>
      </c>
      <c r="R484" s="6" t="s">
        <v>40</v>
      </c>
      <c r="S484" s="7" t="s">
        <v>40</v>
      </c>
      <c r="T484" s="4">
        <v>45838</v>
      </c>
      <c r="U484" s="4">
        <v>36524</v>
      </c>
      <c r="V484" s="4">
        <f t="shared" ca="1" si="67"/>
        <v>45919</v>
      </c>
      <c r="W484" s="8">
        <f t="shared" ca="1" si="68"/>
        <v>25.722108145106091</v>
      </c>
    </row>
    <row r="485" spans="1:23" x14ac:dyDescent="0.2">
      <c r="A485" s="1" t="s">
        <v>24</v>
      </c>
      <c r="B485" s="1" t="s">
        <v>25</v>
      </c>
      <c r="C485" s="1" t="s">
        <v>26</v>
      </c>
      <c r="D485" s="5" t="s">
        <v>91</v>
      </c>
      <c r="E485" s="1">
        <v>15</v>
      </c>
      <c r="F485" s="1" t="s">
        <v>1058</v>
      </c>
      <c r="G485" s="1" t="s">
        <v>1573</v>
      </c>
      <c r="I485" s="1" t="s">
        <v>1060</v>
      </c>
      <c r="J485" s="1" t="s">
        <v>1060</v>
      </c>
      <c r="K485" s="1" t="s">
        <v>44</v>
      </c>
      <c r="M485" s="1" t="s">
        <v>1574</v>
      </c>
      <c r="N485" s="3">
        <v>20</v>
      </c>
      <c r="O485" s="4">
        <v>45160</v>
      </c>
      <c r="P485" s="5" t="s">
        <v>1074</v>
      </c>
      <c r="Q485" s="3">
        <v>15</v>
      </c>
      <c r="R485" s="6">
        <v>20</v>
      </c>
      <c r="S485" s="7" t="s">
        <v>34</v>
      </c>
      <c r="T485" s="4">
        <v>46934</v>
      </c>
      <c r="U485" s="4">
        <v>35775</v>
      </c>
      <c r="V485" s="4">
        <f t="shared" ca="1" si="67"/>
        <v>45919</v>
      </c>
      <c r="W485" s="8">
        <f ca="1">(V485-U485)/365.25</f>
        <v>27.772758384668034</v>
      </c>
    </row>
    <row r="486" spans="1:23" x14ac:dyDescent="0.2">
      <c r="A486" s="1" t="s">
        <v>24</v>
      </c>
      <c r="B486" s="1" t="s">
        <v>25</v>
      </c>
      <c r="C486" s="1" t="s">
        <v>26</v>
      </c>
      <c r="D486" s="5" t="s">
        <v>91</v>
      </c>
      <c r="E486" s="1">
        <v>42</v>
      </c>
      <c r="F486" s="1" t="s">
        <v>1575</v>
      </c>
      <c r="G486" s="1" t="s">
        <v>1576</v>
      </c>
      <c r="I486" s="1" t="s">
        <v>24</v>
      </c>
      <c r="J486" s="1" t="s">
        <v>24</v>
      </c>
      <c r="K486" s="1" t="s">
        <v>44</v>
      </c>
      <c r="M486" s="1" t="s">
        <v>1577</v>
      </c>
      <c r="N486" s="3">
        <v>1</v>
      </c>
      <c r="O486" s="4">
        <v>45108</v>
      </c>
      <c r="P486" s="5" t="s">
        <v>1578</v>
      </c>
      <c r="Q486" s="3">
        <v>0</v>
      </c>
      <c r="R486" s="6">
        <v>0</v>
      </c>
      <c r="S486" s="7" t="s">
        <v>98</v>
      </c>
      <c r="T486" s="4">
        <v>46568</v>
      </c>
      <c r="U486" s="4">
        <v>38288</v>
      </c>
      <c r="V486" s="4">
        <f t="shared" ca="1" si="67"/>
        <v>45919</v>
      </c>
      <c r="W486" s="8">
        <f t="shared" ca="1" si="68"/>
        <v>20.892539356605067</v>
      </c>
    </row>
    <row r="487" spans="1:23" x14ac:dyDescent="0.2">
      <c r="A487" s="1" t="s">
        <v>24</v>
      </c>
      <c r="B487" s="1" t="s">
        <v>25</v>
      </c>
      <c r="C487" s="1" t="s">
        <v>26</v>
      </c>
      <c r="D487" s="5" t="s">
        <v>91</v>
      </c>
      <c r="E487" s="1">
        <v>33</v>
      </c>
      <c r="F487" s="1" t="s">
        <v>35</v>
      </c>
      <c r="G487" s="1" t="s">
        <v>1579</v>
      </c>
      <c r="I487" s="1" t="s">
        <v>37</v>
      </c>
      <c r="J487" s="1" t="s">
        <v>62</v>
      </c>
      <c r="K487" s="1" t="s">
        <v>63</v>
      </c>
      <c r="M487" s="1" t="s">
        <v>1580</v>
      </c>
      <c r="N487" s="3">
        <v>12</v>
      </c>
      <c r="O487" s="4">
        <v>44796</v>
      </c>
      <c r="P487" s="5" t="s">
        <v>101</v>
      </c>
      <c r="Q487" s="3">
        <v>14</v>
      </c>
      <c r="R487" s="6">
        <v>15.4</v>
      </c>
      <c r="S487" s="7" t="s">
        <v>34</v>
      </c>
      <c r="T487" s="4">
        <v>46203</v>
      </c>
      <c r="U487" s="4">
        <v>34549</v>
      </c>
      <c r="V487" s="4">
        <f t="shared" ca="1" si="67"/>
        <v>45919</v>
      </c>
      <c r="W487" s="8">
        <f t="shared" ca="1" si="68"/>
        <v>31.129363449691994</v>
      </c>
    </row>
    <row r="488" spans="1:23" x14ac:dyDescent="0.2">
      <c r="A488" s="1" t="s">
        <v>24</v>
      </c>
      <c r="B488" s="1" t="s">
        <v>25</v>
      </c>
      <c r="C488" s="1" t="s">
        <v>26</v>
      </c>
      <c r="D488" s="5" t="s">
        <v>91</v>
      </c>
      <c r="E488" s="1">
        <v>3</v>
      </c>
      <c r="F488" s="1" t="s">
        <v>381</v>
      </c>
      <c r="G488" s="1" t="s">
        <v>1581</v>
      </c>
      <c r="I488" s="1" t="s">
        <v>24</v>
      </c>
      <c r="J488" s="1" t="s">
        <v>24</v>
      </c>
      <c r="K488" s="1" t="s">
        <v>63</v>
      </c>
      <c r="M488" s="1" t="s">
        <v>1582</v>
      </c>
      <c r="N488" s="3">
        <v>0.9</v>
      </c>
      <c r="O488" s="4">
        <v>41823</v>
      </c>
      <c r="P488" s="5" t="s">
        <v>870</v>
      </c>
      <c r="Q488" s="3">
        <v>1.5</v>
      </c>
      <c r="R488" s="6">
        <v>4.75</v>
      </c>
      <c r="S488" s="7" t="s">
        <v>34</v>
      </c>
      <c r="T488" s="4">
        <v>45838</v>
      </c>
      <c r="U488" s="4">
        <v>32857</v>
      </c>
      <c r="V488" s="4">
        <f t="shared" ca="1" si="67"/>
        <v>45919</v>
      </c>
      <c r="W488" s="8">
        <f ca="1">(V488-U488)/365.25</f>
        <v>35.761806981519506</v>
      </c>
    </row>
    <row r="489" spans="1:23" x14ac:dyDescent="0.2">
      <c r="A489" s="1" t="s">
        <v>24</v>
      </c>
      <c r="B489" s="1" t="s">
        <v>25</v>
      </c>
      <c r="C489" s="1" t="s">
        <v>26</v>
      </c>
      <c r="D489" s="5" t="s">
        <v>91</v>
      </c>
      <c r="E489" s="1">
        <v>29</v>
      </c>
      <c r="F489" s="1" t="s">
        <v>381</v>
      </c>
      <c r="G489" s="1" t="s">
        <v>1583</v>
      </c>
      <c r="I489" s="1" t="s">
        <v>24</v>
      </c>
      <c r="J489" s="1" t="s">
        <v>24</v>
      </c>
      <c r="K489" s="1" t="s">
        <v>80</v>
      </c>
      <c r="M489" s="1" t="s">
        <v>1584</v>
      </c>
      <c r="N489" s="3">
        <v>20</v>
      </c>
      <c r="O489" s="4">
        <v>45517</v>
      </c>
      <c r="P489" s="5" t="s">
        <v>627</v>
      </c>
      <c r="Q489" s="3">
        <v>20</v>
      </c>
      <c r="R489" s="6">
        <v>17.600000000000001</v>
      </c>
      <c r="S489" s="7" t="s">
        <v>66</v>
      </c>
      <c r="T489" s="4">
        <v>48029</v>
      </c>
      <c r="U489" s="4">
        <v>35760</v>
      </c>
      <c r="V489" s="4">
        <f t="shared" ca="1" si="67"/>
        <v>45919</v>
      </c>
      <c r="W489" s="8">
        <f t="shared" ca="1" si="68"/>
        <v>27.813826146475016</v>
      </c>
    </row>
    <row r="490" spans="1:23" x14ac:dyDescent="0.2">
      <c r="A490" s="1" t="s">
        <v>24</v>
      </c>
      <c r="B490" s="1" t="s">
        <v>25</v>
      </c>
      <c r="C490" s="1" t="s">
        <v>26</v>
      </c>
      <c r="D490" s="5" t="s">
        <v>91</v>
      </c>
      <c r="E490" s="1">
        <v>5</v>
      </c>
      <c r="F490" s="1" t="s">
        <v>1585</v>
      </c>
      <c r="G490" s="1" t="s">
        <v>1586</v>
      </c>
      <c r="I490" s="1" t="s">
        <v>1041</v>
      </c>
      <c r="J490" s="1" t="s">
        <v>1041</v>
      </c>
      <c r="K490" s="1" t="s">
        <v>80</v>
      </c>
      <c r="M490" s="1" t="s">
        <v>1587</v>
      </c>
      <c r="N490" s="3">
        <v>8</v>
      </c>
      <c r="O490" s="4">
        <v>44106</v>
      </c>
      <c r="P490" s="5" t="s">
        <v>1588</v>
      </c>
      <c r="Q490" s="3">
        <v>2</v>
      </c>
      <c r="R490" s="6">
        <v>6</v>
      </c>
      <c r="S490" s="7" t="s">
        <v>34</v>
      </c>
      <c r="T490" s="4">
        <v>45838</v>
      </c>
      <c r="U490" s="4">
        <v>33838</v>
      </c>
      <c r="V490" s="4">
        <f t="shared" ca="1" si="67"/>
        <v>45919</v>
      </c>
      <c r="W490" s="8">
        <f t="shared" ca="1" si="68"/>
        <v>33.075975359342912</v>
      </c>
    </row>
    <row r="491" spans="1:23" x14ac:dyDescent="0.2">
      <c r="A491" s="1" t="s">
        <v>24</v>
      </c>
      <c r="B491" s="1" t="s">
        <v>25</v>
      </c>
      <c r="C491" s="1" t="s">
        <v>26</v>
      </c>
      <c r="D491" s="5" t="s">
        <v>91</v>
      </c>
      <c r="E491" s="1">
        <v>19</v>
      </c>
      <c r="F491" s="1" t="s">
        <v>1589</v>
      </c>
      <c r="G491" s="1" t="s">
        <v>1590</v>
      </c>
      <c r="I491" s="1" t="s">
        <v>283</v>
      </c>
      <c r="J491" s="1" t="s">
        <v>283</v>
      </c>
      <c r="K491" s="1" t="s">
        <v>95</v>
      </c>
      <c r="M491" s="1" t="s">
        <v>1591</v>
      </c>
      <c r="N491" s="3">
        <v>35</v>
      </c>
      <c r="O491" s="4">
        <v>45148</v>
      </c>
      <c r="P491" s="5" t="s">
        <v>54</v>
      </c>
      <c r="Q491" s="3">
        <v>35</v>
      </c>
      <c r="R491" s="6">
        <v>38</v>
      </c>
      <c r="S491" s="7" t="s">
        <v>34</v>
      </c>
      <c r="T491" s="4">
        <v>46934</v>
      </c>
      <c r="U491" s="4">
        <v>35727</v>
      </c>
      <c r="V491" s="4">
        <f t="shared" ca="1" si="67"/>
        <v>45919</v>
      </c>
      <c r="W491" s="8">
        <f ca="1">(V491-U491)/365.25</f>
        <v>27.904175222450377</v>
      </c>
    </row>
    <row r="492" spans="1:23" x14ac:dyDescent="0.2">
      <c r="A492" s="1" t="s">
        <v>24</v>
      </c>
      <c r="B492" s="1" t="s">
        <v>25</v>
      </c>
      <c r="C492" s="1" t="s">
        <v>26</v>
      </c>
      <c r="D492" s="5" t="s">
        <v>91</v>
      </c>
      <c r="E492" s="1">
        <v>28</v>
      </c>
      <c r="F492" s="1" t="s">
        <v>1592</v>
      </c>
      <c r="G492" s="1" t="s">
        <v>1593</v>
      </c>
      <c r="I492" s="1" t="s">
        <v>1041</v>
      </c>
      <c r="J492" s="1" t="s">
        <v>1041</v>
      </c>
      <c r="K492" s="1" t="s">
        <v>95</v>
      </c>
      <c r="M492" s="1" t="s">
        <v>1594</v>
      </c>
      <c r="N492" s="3">
        <v>30</v>
      </c>
      <c r="O492" s="4">
        <v>43859</v>
      </c>
      <c r="P492" s="5" t="s">
        <v>1588</v>
      </c>
      <c r="Q492" s="3">
        <v>10</v>
      </c>
      <c r="R492" s="6">
        <v>20.7</v>
      </c>
      <c r="S492" s="7" t="s">
        <v>34</v>
      </c>
      <c r="T492" s="4">
        <v>46568</v>
      </c>
      <c r="U492" s="4">
        <v>34757</v>
      </c>
      <c r="V492" s="4">
        <f t="shared" ca="1" si="67"/>
        <v>45919</v>
      </c>
      <c r="W492" s="8">
        <f t="shared" ref="W492" ca="1" si="69">(V492-U492)/365.25</f>
        <v>30.559890485968516</v>
      </c>
    </row>
    <row r="493" spans="1:23" x14ac:dyDescent="0.2">
      <c r="A493" s="1" t="s">
        <v>24</v>
      </c>
      <c r="B493" s="1" t="s">
        <v>25</v>
      </c>
      <c r="C493" s="1" t="s">
        <v>26</v>
      </c>
      <c r="D493" s="5" t="s">
        <v>91</v>
      </c>
      <c r="E493" s="1">
        <v>24</v>
      </c>
      <c r="F493" s="1" t="s">
        <v>1595</v>
      </c>
      <c r="G493" s="1" t="s">
        <v>1596</v>
      </c>
      <c r="I493" s="1" t="s">
        <v>146</v>
      </c>
      <c r="J493" s="1" t="s">
        <v>146</v>
      </c>
      <c r="K493" s="1" t="s">
        <v>95</v>
      </c>
      <c r="M493" s="1" t="s">
        <v>1597</v>
      </c>
      <c r="N493" s="3">
        <v>20</v>
      </c>
      <c r="O493" s="4">
        <v>45510</v>
      </c>
      <c r="P493" s="5" t="s">
        <v>663</v>
      </c>
      <c r="Q493" s="3">
        <v>20</v>
      </c>
      <c r="R493" s="6" t="s">
        <v>205</v>
      </c>
      <c r="S493" s="7" t="s">
        <v>66</v>
      </c>
      <c r="T493" s="4">
        <v>46568</v>
      </c>
      <c r="U493" s="4">
        <v>34436</v>
      </c>
      <c r="V493" s="4">
        <f t="shared" ca="1" si="67"/>
        <v>45919</v>
      </c>
      <c r="W493" s="8">
        <f t="shared" ca="1" si="68"/>
        <v>31.43874058863792</v>
      </c>
    </row>
    <row r="494" spans="1:23" x14ac:dyDescent="0.2">
      <c r="A494" s="1" t="s">
        <v>24</v>
      </c>
      <c r="B494" s="1" t="s">
        <v>25</v>
      </c>
      <c r="C494" s="1" t="s">
        <v>26</v>
      </c>
      <c r="D494" s="5" t="s">
        <v>91</v>
      </c>
      <c r="E494" s="1">
        <v>4</v>
      </c>
      <c r="F494" s="1" t="s">
        <v>166</v>
      </c>
      <c r="G494" s="1" t="s">
        <v>1598</v>
      </c>
      <c r="I494" s="1" t="s">
        <v>30</v>
      </c>
      <c r="J494" s="1" t="s">
        <v>30</v>
      </c>
      <c r="K494" s="1" t="s">
        <v>89</v>
      </c>
      <c r="M494" s="1" t="s">
        <v>1599</v>
      </c>
      <c r="N494" s="3">
        <v>20</v>
      </c>
      <c r="O494" s="4">
        <v>45534</v>
      </c>
      <c r="P494" s="5" t="s">
        <v>773</v>
      </c>
      <c r="Q494" s="3">
        <v>20</v>
      </c>
      <c r="R494" s="6" t="s">
        <v>40</v>
      </c>
      <c r="S494" s="7" t="s">
        <v>40</v>
      </c>
      <c r="T494" s="4">
        <v>45838</v>
      </c>
      <c r="U494" s="4">
        <v>35432</v>
      </c>
      <c r="V494" s="4">
        <f t="shared" ca="1" si="67"/>
        <v>45919</v>
      </c>
      <c r="W494" s="8">
        <f ca="1">(V494-U494)/365.25</f>
        <v>28.711841204654345</v>
      </c>
    </row>
    <row r="495" spans="1:23" x14ac:dyDescent="0.2">
      <c r="A495" s="1" t="s">
        <v>24</v>
      </c>
      <c r="B495" s="1" t="s">
        <v>25</v>
      </c>
      <c r="C495" s="1" t="s">
        <v>26</v>
      </c>
      <c r="D495" s="5" t="s">
        <v>91</v>
      </c>
      <c r="E495" s="1">
        <v>39</v>
      </c>
      <c r="F495" s="1" t="s">
        <v>1600</v>
      </c>
      <c r="G495" s="1" t="s">
        <v>1601</v>
      </c>
      <c r="I495" s="1" t="s">
        <v>75</v>
      </c>
      <c r="J495" s="1" t="s">
        <v>75</v>
      </c>
      <c r="K495" s="1" t="s">
        <v>89</v>
      </c>
      <c r="M495" s="1" t="s">
        <v>1602</v>
      </c>
      <c r="N495" s="3">
        <v>2</v>
      </c>
      <c r="O495" s="4">
        <v>45169</v>
      </c>
      <c r="P495" s="5" t="s">
        <v>1603</v>
      </c>
      <c r="Q495" s="3">
        <v>0.8</v>
      </c>
      <c r="R495" s="6">
        <v>1.76</v>
      </c>
      <c r="S495" s="7" t="s">
        <v>196</v>
      </c>
      <c r="T495" s="4">
        <v>46203</v>
      </c>
      <c r="U495" s="4">
        <v>36659</v>
      </c>
      <c r="V495" s="4">
        <f t="shared" ca="1" si="67"/>
        <v>45919</v>
      </c>
      <c r="W495" s="8">
        <f ca="1">(V495-U495)/365.25</f>
        <v>25.352498288843258</v>
      </c>
    </row>
    <row r="496" spans="1:23" x14ac:dyDescent="0.2">
      <c r="A496" s="1" t="s">
        <v>24</v>
      </c>
      <c r="B496" s="1" t="s">
        <v>25</v>
      </c>
      <c r="C496" s="1" t="s">
        <v>26</v>
      </c>
      <c r="D496" s="5" t="s">
        <v>91</v>
      </c>
      <c r="E496" s="1">
        <v>10</v>
      </c>
      <c r="F496" s="1" t="s">
        <v>183</v>
      </c>
      <c r="G496" s="1" t="s">
        <v>1604</v>
      </c>
      <c r="I496" s="1" t="s">
        <v>37</v>
      </c>
      <c r="J496" s="1" t="s">
        <v>37</v>
      </c>
      <c r="K496" s="1" t="s">
        <v>113</v>
      </c>
      <c r="M496" s="1" t="s">
        <v>1605</v>
      </c>
      <c r="N496" s="3">
        <v>55</v>
      </c>
      <c r="O496" s="4">
        <v>44802</v>
      </c>
      <c r="P496" s="5" t="s">
        <v>590</v>
      </c>
      <c r="Q496" s="3">
        <v>35</v>
      </c>
      <c r="R496" s="6">
        <v>42.95</v>
      </c>
      <c r="S496" s="7" t="s">
        <v>34</v>
      </c>
      <c r="T496" s="4">
        <v>46568</v>
      </c>
      <c r="U496" s="4">
        <v>35669</v>
      </c>
      <c r="V496" s="4">
        <f t="shared" ca="1" si="67"/>
        <v>45919</v>
      </c>
      <c r="W496" s="8">
        <f ca="1">(V496-U496)/365.25</f>
        <v>28.062970568104038</v>
      </c>
    </row>
    <row r="497" spans="1:23" x14ac:dyDescent="0.2">
      <c r="A497" s="1" t="s">
        <v>24</v>
      </c>
      <c r="B497" s="1" t="s">
        <v>25</v>
      </c>
      <c r="C497" s="1" t="s">
        <v>26</v>
      </c>
      <c r="D497" s="5" t="s">
        <v>91</v>
      </c>
      <c r="E497" s="1">
        <v>7</v>
      </c>
      <c r="F497" s="1" t="s">
        <v>1606</v>
      </c>
      <c r="G497" s="1" t="s">
        <v>1607</v>
      </c>
      <c r="I497" s="1" t="s">
        <v>52</v>
      </c>
      <c r="J497" s="1" t="s">
        <v>52</v>
      </c>
      <c r="K497" s="1" t="s">
        <v>120</v>
      </c>
      <c r="M497" s="1" t="s">
        <v>1608</v>
      </c>
      <c r="N497" s="3">
        <v>22</v>
      </c>
      <c r="O497" s="4">
        <v>45507</v>
      </c>
      <c r="P497" s="5" t="s">
        <v>294</v>
      </c>
      <c r="Q497" s="3">
        <v>20</v>
      </c>
      <c r="R497" s="6">
        <v>29.3</v>
      </c>
      <c r="S497" s="7" t="s">
        <v>66</v>
      </c>
      <c r="T497" s="4">
        <v>47299</v>
      </c>
      <c r="U497" s="4">
        <v>37194</v>
      </c>
      <c r="V497" s="4">
        <f t="shared" ca="1" si="67"/>
        <v>45919</v>
      </c>
      <c r="W497" s="8">
        <f ca="1">(V497-U497)/365.25</f>
        <v>23.887748117727583</v>
      </c>
    </row>
    <row r="498" spans="1:23" x14ac:dyDescent="0.2">
      <c r="A498" s="1" t="s">
        <v>24</v>
      </c>
      <c r="B498" s="1" t="s">
        <v>25</v>
      </c>
      <c r="C498" s="1" t="s">
        <v>26</v>
      </c>
      <c r="D498" s="5" t="s">
        <v>91</v>
      </c>
      <c r="E498" s="1">
        <v>14</v>
      </c>
      <c r="F498" s="1" t="s">
        <v>1609</v>
      </c>
      <c r="G498" s="1" t="s">
        <v>1610</v>
      </c>
      <c r="I498" s="1" t="s">
        <v>94</v>
      </c>
      <c r="J498" s="1" t="s">
        <v>94</v>
      </c>
      <c r="K498" s="1" t="s">
        <v>133</v>
      </c>
      <c r="M498" s="1" t="s">
        <v>1611</v>
      </c>
      <c r="N498" s="3">
        <v>50</v>
      </c>
      <c r="O498" s="4">
        <v>45165</v>
      </c>
      <c r="P498" s="1" t="s">
        <v>54</v>
      </c>
      <c r="Q498" s="3">
        <v>40</v>
      </c>
      <c r="R498" s="6">
        <v>43</v>
      </c>
      <c r="S498" s="7" t="s">
        <v>34</v>
      </c>
      <c r="T498" s="4">
        <v>46934</v>
      </c>
      <c r="U498" s="4">
        <v>36740</v>
      </c>
      <c r="V498" s="4">
        <f t="shared" ca="1" si="67"/>
        <v>45919</v>
      </c>
      <c r="W498" s="8">
        <f t="shared" ca="1" si="68"/>
        <v>25.130732375085557</v>
      </c>
    </row>
    <row r="499" spans="1:23" x14ac:dyDescent="0.2">
      <c r="A499" s="1" t="s">
        <v>24</v>
      </c>
      <c r="B499" s="1" t="s">
        <v>25</v>
      </c>
      <c r="C499" s="1" t="s">
        <v>26</v>
      </c>
      <c r="D499" s="5" t="s">
        <v>91</v>
      </c>
      <c r="E499" s="1">
        <v>20</v>
      </c>
      <c r="F499" s="1" t="s">
        <v>1612</v>
      </c>
      <c r="G499" s="1" t="s">
        <v>1613</v>
      </c>
      <c r="I499" s="1" t="s">
        <v>24</v>
      </c>
      <c r="J499" s="1" t="s">
        <v>24</v>
      </c>
      <c r="K499" s="1" t="s">
        <v>133</v>
      </c>
      <c r="M499" s="1" t="s">
        <v>1614</v>
      </c>
      <c r="N499" s="3">
        <v>50</v>
      </c>
      <c r="O499" s="4">
        <v>43861</v>
      </c>
      <c r="P499" s="5" t="s">
        <v>232</v>
      </c>
      <c r="Q499" s="3">
        <v>10</v>
      </c>
      <c r="R499" s="6">
        <v>21.3</v>
      </c>
      <c r="S499" s="7" t="s">
        <v>34</v>
      </c>
      <c r="T499" s="4">
        <v>47664</v>
      </c>
      <c r="U499" s="4">
        <v>35419</v>
      </c>
      <c r="V499" s="4">
        <f t="shared" ca="1" si="67"/>
        <v>45919</v>
      </c>
      <c r="W499" s="8">
        <f t="shared" ca="1" si="68"/>
        <v>28.747433264887064</v>
      </c>
    </row>
    <row r="500" spans="1:23" x14ac:dyDescent="0.2">
      <c r="A500" s="1" t="s">
        <v>24</v>
      </c>
      <c r="B500" s="1" t="s">
        <v>25</v>
      </c>
      <c r="C500" s="1" t="s">
        <v>26</v>
      </c>
      <c r="D500" s="5" t="s">
        <v>91</v>
      </c>
      <c r="E500" s="1">
        <v>17</v>
      </c>
      <c r="F500" s="1" t="s">
        <v>321</v>
      </c>
      <c r="G500" s="1" t="s">
        <v>1615</v>
      </c>
      <c r="I500" s="1" t="s">
        <v>37</v>
      </c>
      <c r="J500" s="1" t="s">
        <v>37</v>
      </c>
      <c r="K500" s="1" t="s">
        <v>133</v>
      </c>
      <c r="M500" s="1" t="s">
        <v>1616</v>
      </c>
      <c r="N500" s="3">
        <v>24</v>
      </c>
      <c r="O500" s="4">
        <v>45474</v>
      </c>
      <c r="P500" s="5" t="s">
        <v>1368</v>
      </c>
      <c r="Q500" s="3">
        <v>24</v>
      </c>
      <c r="R500" s="6">
        <v>23</v>
      </c>
      <c r="S500" s="7" t="s">
        <v>66</v>
      </c>
      <c r="T500" s="4">
        <v>47299</v>
      </c>
      <c r="U500" s="4">
        <v>38757</v>
      </c>
      <c r="V500" s="4">
        <f t="shared" ca="1" si="67"/>
        <v>45919</v>
      </c>
      <c r="W500" s="8">
        <f t="shared" ca="1" si="68"/>
        <v>19.60848733744011</v>
      </c>
    </row>
    <row r="501" spans="1:23" x14ac:dyDescent="0.2">
      <c r="A501" s="1" t="s">
        <v>24</v>
      </c>
      <c r="B501" s="1" t="s">
        <v>25</v>
      </c>
      <c r="C501" s="1" t="s">
        <v>26</v>
      </c>
      <c r="D501" s="5" t="s">
        <v>91</v>
      </c>
      <c r="E501" s="1">
        <v>11</v>
      </c>
      <c r="F501" s="1" t="s">
        <v>1617</v>
      </c>
      <c r="G501" s="1" t="s">
        <v>1618</v>
      </c>
      <c r="I501" s="1" t="s">
        <v>138</v>
      </c>
      <c r="J501" s="1" t="s">
        <v>138</v>
      </c>
      <c r="K501" s="1" t="s">
        <v>139</v>
      </c>
      <c r="M501" s="1" t="s">
        <v>1619</v>
      </c>
      <c r="N501" s="3">
        <v>15</v>
      </c>
      <c r="O501" s="4">
        <v>45509</v>
      </c>
      <c r="P501" s="5" t="s">
        <v>1123</v>
      </c>
      <c r="Q501" s="3">
        <v>15</v>
      </c>
      <c r="R501" s="6">
        <v>27</v>
      </c>
      <c r="S501" s="7" t="s">
        <v>66</v>
      </c>
      <c r="T501" s="4">
        <v>46934</v>
      </c>
      <c r="U501" s="4">
        <v>34009</v>
      </c>
      <c r="V501" s="4">
        <f t="shared" ca="1" si="67"/>
        <v>45919</v>
      </c>
      <c r="W501" s="8">
        <f t="shared" ca="1" si="68"/>
        <v>32.607802874743328</v>
      </c>
    </row>
    <row r="502" spans="1:23" x14ac:dyDescent="0.2">
      <c r="A502" s="1" t="s">
        <v>24</v>
      </c>
      <c r="B502" s="1" t="s">
        <v>25</v>
      </c>
      <c r="C502" s="1" t="s">
        <v>26</v>
      </c>
      <c r="D502" s="5" t="s">
        <v>91</v>
      </c>
      <c r="E502" s="1">
        <v>18</v>
      </c>
      <c r="F502" s="1" t="s">
        <v>544</v>
      </c>
      <c r="G502" s="1" t="s">
        <v>1620</v>
      </c>
      <c r="I502" s="1" t="s">
        <v>24</v>
      </c>
      <c r="J502" s="1" t="s">
        <v>24</v>
      </c>
      <c r="K502" s="1" t="s">
        <v>139</v>
      </c>
      <c r="M502" s="1" t="s">
        <v>1621</v>
      </c>
      <c r="N502" s="3">
        <v>8</v>
      </c>
      <c r="O502" s="4">
        <v>44946</v>
      </c>
      <c r="P502" s="5" t="s">
        <v>143</v>
      </c>
      <c r="Q502" s="3">
        <v>16</v>
      </c>
      <c r="R502" s="6">
        <v>12</v>
      </c>
      <c r="S502" s="7" t="s">
        <v>98</v>
      </c>
      <c r="T502" s="4">
        <v>45838</v>
      </c>
      <c r="U502" s="4">
        <v>33808</v>
      </c>
      <c r="V502" s="4">
        <f t="shared" ca="1" si="67"/>
        <v>45919</v>
      </c>
      <c r="W502" s="8">
        <f ca="1">(V502-U502)/365.25</f>
        <v>33.158110882956876</v>
      </c>
    </row>
    <row r="503" spans="1:23" x14ac:dyDescent="0.2">
      <c r="A503" s="1" t="s">
        <v>24</v>
      </c>
      <c r="B503" s="1" t="s">
        <v>25</v>
      </c>
      <c r="C503" s="1" t="s">
        <v>26</v>
      </c>
      <c r="D503" s="5" t="s">
        <v>91</v>
      </c>
      <c r="E503" s="1">
        <v>9</v>
      </c>
      <c r="F503" s="1" t="s">
        <v>1622</v>
      </c>
      <c r="G503" s="1" t="s">
        <v>1623</v>
      </c>
      <c r="I503" s="1" t="s">
        <v>24</v>
      </c>
      <c r="J503" s="1" t="s">
        <v>129</v>
      </c>
      <c r="K503" s="1" t="s">
        <v>139</v>
      </c>
      <c r="M503" s="1" t="s">
        <v>1624</v>
      </c>
      <c r="N503" s="3">
        <v>4</v>
      </c>
      <c r="O503" s="4">
        <v>42248</v>
      </c>
      <c r="P503" s="5" t="s">
        <v>190</v>
      </c>
      <c r="Q503" s="3">
        <v>2.5</v>
      </c>
      <c r="R503" s="6">
        <v>9.5</v>
      </c>
      <c r="S503" s="7" t="s">
        <v>98</v>
      </c>
      <c r="T503" s="4">
        <v>45838</v>
      </c>
      <c r="U503" s="4">
        <v>32960</v>
      </c>
      <c r="V503" s="4">
        <f t="shared" ca="1" si="67"/>
        <v>45919</v>
      </c>
      <c r="W503" s="8">
        <f t="shared" ca="1" si="68"/>
        <v>35.479808350444898</v>
      </c>
    </row>
    <row r="504" spans="1:23" x14ac:dyDescent="0.2">
      <c r="A504" s="1" t="s">
        <v>24</v>
      </c>
      <c r="B504" s="1" t="s">
        <v>25</v>
      </c>
      <c r="C504" s="1" t="s">
        <v>26</v>
      </c>
      <c r="D504" s="5" t="s">
        <v>175</v>
      </c>
      <c r="E504" s="1">
        <v>1</v>
      </c>
      <c r="F504" s="1" t="s">
        <v>1625</v>
      </c>
      <c r="G504" s="1" t="s">
        <v>1626</v>
      </c>
      <c r="I504" s="1" t="s">
        <v>416</v>
      </c>
      <c r="J504" s="1" t="s">
        <v>416</v>
      </c>
      <c r="K504" s="1" t="s">
        <v>31</v>
      </c>
      <c r="M504" s="1" t="s">
        <v>1627</v>
      </c>
      <c r="N504" s="3">
        <v>10</v>
      </c>
      <c r="O504" s="4">
        <v>44392</v>
      </c>
      <c r="P504" s="5" t="s">
        <v>1062</v>
      </c>
      <c r="Q504" s="3">
        <v>7.5</v>
      </c>
      <c r="R504" s="6">
        <v>8</v>
      </c>
      <c r="S504" s="7" t="s">
        <v>34</v>
      </c>
      <c r="T504" s="4">
        <v>46568</v>
      </c>
      <c r="U504" s="4">
        <v>33986</v>
      </c>
      <c r="V504" s="4">
        <f ca="1">TODAY()</f>
        <v>45919</v>
      </c>
      <c r="W504" s="8">
        <f ca="1">(V504-U504)/365.25</f>
        <v>32.670773442847363</v>
      </c>
    </row>
    <row r="505" spans="1:23" x14ac:dyDescent="0.2">
      <c r="A505" s="1" t="s">
        <v>24</v>
      </c>
      <c r="B505" s="1" t="s">
        <v>25</v>
      </c>
      <c r="C505" s="1" t="s">
        <v>26</v>
      </c>
      <c r="D505" s="5" t="s">
        <v>175</v>
      </c>
      <c r="E505" s="1">
        <v>31</v>
      </c>
      <c r="F505" s="1" t="s">
        <v>918</v>
      </c>
      <c r="G505" s="1" t="s">
        <v>1628</v>
      </c>
      <c r="I505" s="1" t="s">
        <v>24</v>
      </c>
      <c r="J505" s="1" t="s">
        <v>24</v>
      </c>
      <c r="K505" s="1" t="s">
        <v>31</v>
      </c>
      <c r="M505" s="1" t="s">
        <v>1629</v>
      </c>
      <c r="N505" s="3">
        <v>10</v>
      </c>
      <c r="O505" s="4">
        <v>45534</v>
      </c>
      <c r="P505" s="5" t="s">
        <v>644</v>
      </c>
      <c r="Q505" s="3">
        <v>10</v>
      </c>
      <c r="R505" s="6">
        <v>11.9</v>
      </c>
      <c r="S505" s="7" t="s">
        <v>66</v>
      </c>
      <c r="T505" s="4">
        <v>46934</v>
      </c>
      <c r="U505" s="4">
        <v>34053</v>
      </c>
      <c r="V505" s="4">
        <f t="shared" ref="V505:V532" ca="1" si="70">TODAY()</f>
        <v>45919</v>
      </c>
      <c r="W505" s="8">
        <f t="shared" ref="W505:W529" ca="1" si="71">(V505-U505)/365.25</f>
        <v>32.487337440109513</v>
      </c>
    </row>
    <row r="506" spans="1:23" x14ac:dyDescent="0.2">
      <c r="A506" s="1" t="s">
        <v>24</v>
      </c>
      <c r="B506" s="1" t="s">
        <v>25</v>
      </c>
      <c r="C506" s="1" t="s">
        <v>26</v>
      </c>
      <c r="D506" s="5" t="s">
        <v>175</v>
      </c>
      <c r="E506" s="1">
        <v>25</v>
      </c>
      <c r="F506" s="1" t="s">
        <v>679</v>
      </c>
      <c r="G506" s="1" t="s">
        <v>1630</v>
      </c>
      <c r="I506" s="1" t="s">
        <v>24</v>
      </c>
      <c r="J506" s="1" t="s">
        <v>24</v>
      </c>
      <c r="K506" s="1" t="s">
        <v>31</v>
      </c>
      <c r="M506" s="1" t="s">
        <v>1631</v>
      </c>
      <c r="N506" s="3">
        <v>2</v>
      </c>
      <c r="O506" s="4">
        <v>44951</v>
      </c>
      <c r="P506" s="5" t="s">
        <v>298</v>
      </c>
      <c r="Q506" s="3">
        <v>1.8</v>
      </c>
      <c r="R506" s="6">
        <v>0.05</v>
      </c>
      <c r="S506" s="7" t="s">
        <v>98</v>
      </c>
      <c r="T506" s="4">
        <v>46568</v>
      </c>
      <c r="U506" s="4">
        <v>34163</v>
      </c>
      <c r="V506" s="4">
        <f t="shared" ca="1" si="70"/>
        <v>45919</v>
      </c>
      <c r="W506" s="8">
        <f t="shared" ca="1" si="71"/>
        <v>32.186173853524984</v>
      </c>
    </row>
    <row r="507" spans="1:23" x14ac:dyDescent="0.2">
      <c r="A507" s="1" t="s">
        <v>24</v>
      </c>
      <c r="B507" s="1" t="s">
        <v>25</v>
      </c>
      <c r="C507" s="1" t="s">
        <v>26</v>
      </c>
      <c r="D507" s="5" t="s">
        <v>175</v>
      </c>
      <c r="E507" s="1">
        <v>40</v>
      </c>
      <c r="F507" s="1" t="s">
        <v>842</v>
      </c>
      <c r="G507" s="1" t="s">
        <v>1632</v>
      </c>
      <c r="I507" s="1" t="s">
        <v>24</v>
      </c>
      <c r="J507" s="1" t="s">
        <v>328</v>
      </c>
      <c r="K507" s="1" t="s">
        <v>31</v>
      </c>
      <c r="M507" s="1" t="s">
        <v>1633</v>
      </c>
      <c r="N507" s="3">
        <v>0.2</v>
      </c>
      <c r="O507" s="4">
        <v>45110</v>
      </c>
      <c r="P507" s="5" t="s">
        <v>1634</v>
      </c>
      <c r="Q507" s="3">
        <v>0.17499999999999999</v>
      </c>
      <c r="R507" s="6" t="s">
        <v>205</v>
      </c>
      <c r="S507" s="7" t="s">
        <v>98</v>
      </c>
      <c r="T507" s="4">
        <v>46568</v>
      </c>
      <c r="U507" s="4">
        <v>34767</v>
      </c>
      <c r="V507" s="4">
        <f t="shared" ca="1" si="70"/>
        <v>45919</v>
      </c>
      <c r="W507" s="8">
        <f ca="1">(V507-U507)/365.25</f>
        <v>30.532511978097194</v>
      </c>
    </row>
    <row r="508" spans="1:23" x14ac:dyDescent="0.2">
      <c r="A508" s="1" t="s">
        <v>24</v>
      </c>
      <c r="B508" s="1" t="s">
        <v>25</v>
      </c>
      <c r="C508" s="1" t="s">
        <v>26</v>
      </c>
      <c r="D508" s="5" t="s">
        <v>175</v>
      </c>
      <c r="E508" s="1">
        <v>24</v>
      </c>
      <c r="F508" s="1" t="s">
        <v>35</v>
      </c>
      <c r="G508" s="1" t="s">
        <v>1635</v>
      </c>
      <c r="I508" s="1" t="s">
        <v>790</v>
      </c>
      <c r="J508" s="1" t="s">
        <v>416</v>
      </c>
      <c r="K508" s="1" t="s">
        <v>44</v>
      </c>
      <c r="M508" s="1" t="s">
        <v>1636</v>
      </c>
      <c r="N508" s="3">
        <v>20</v>
      </c>
      <c r="O508" s="4">
        <v>44076</v>
      </c>
      <c r="P508" s="5" t="s">
        <v>1637</v>
      </c>
      <c r="Q508" s="3">
        <v>0</v>
      </c>
      <c r="R508" s="6">
        <v>0.79</v>
      </c>
      <c r="S508" s="7" t="s">
        <v>34</v>
      </c>
      <c r="T508" s="4">
        <v>47299</v>
      </c>
      <c r="U508" s="4">
        <v>36176</v>
      </c>
      <c r="V508" s="4">
        <f t="shared" ca="1" si="70"/>
        <v>45919</v>
      </c>
      <c r="W508" s="8">
        <f t="shared" ca="1" si="71"/>
        <v>26.674880219028061</v>
      </c>
    </row>
    <row r="509" spans="1:23" x14ac:dyDescent="0.2">
      <c r="A509" s="1" t="s">
        <v>24</v>
      </c>
      <c r="B509" s="1" t="s">
        <v>25</v>
      </c>
      <c r="C509" s="1" t="s">
        <v>26</v>
      </c>
      <c r="D509" s="5" t="s">
        <v>175</v>
      </c>
      <c r="E509" s="1">
        <v>4</v>
      </c>
      <c r="F509" s="1" t="s">
        <v>1638</v>
      </c>
      <c r="G509" s="1" t="s">
        <v>1639</v>
      </c>
      <c r="I509" s="1" t="s">
        <v>1102</v>
      </c>
      <c r="J509" s="1" t="s">
        <v>1102</v>
      </c>
      <c r="K509" s="1" t="s">
        <v>44</v>
      </c>
      <c r="M509" s="1" t="s">
        <v>1640</v>
      </c>
      <c r="N509" s="3">
        <v>8</v>
      </c>
      <c r="O509" s="4">
        <v>45169</v>
      </c>
      <c r="P509" s="5" t="s">
        <v>1641</v>
      </c>
      <c r="Q509" s="3">
        <v>8</v>
      </c>
      <c r="R509" s="6">
        <v>12</v>
      </c>
      <c r="S509" s="7" t="s">
        <v>34</v>
      </c>
      <c r="T509" s="4">
        <v>46934</v>
      </c>
      <c r="U509" s="4">
        <v>36108</v>
      </c>
      <c r="V509" s="4">
        <f t="shared" ca="1" si="70"/>
        <v>45919</v>
      </c>
      <c r="W509" s="8">
        <f ca="1">(V509-U509)/365.25</f>
        <v>26.861054072553046</v>
      </c>
    </row>
    <row r="510" spans="1:23" x14ac:dyDescent="0.2">
      <c r="A510" s="1" t="s">
        <v>24</v>
      </c>
      <c r="B510" s="1" t="s">
        <v>25</v>
      </c>
      <c r="C510" s="1" t="s">
        <v>26</v>
      </c>
      <c r="D510" s="5" t="s">
        <v>175</v>
      </c>
      <c r="E510" s="1">
        <v>14</v>
      </c>
      <c r="F510" s="1" t="s">
        <v>1642</v>
      </c>
      <c r="G510" s="1" t="s">
        <v>1643</v>
      </c>
      <c r="I510" s="1" t="s">
        <v>242</v>
      </c>
      <c r="J510" s="1" t="s">
        <v>242</v>
      </c>
      <c r="K510" s="1" t="s">
        <v>44</v>
      </c>
      <c r="M510" s="1" t="s">
        <v>1644</v>
      </c>
      <c r="N510" s="3">
        <v>6</v>
      </c>
      <c r="O510" s="4">
        <v>44378</v>
      </c>
      <c r="P510" s="5" t="s">
        <v>1645</v>
      </c>
      <c r="Q510" s="3">
        <v>1.7</v>
      </c>
      <c r="R510" s="6">
        <v>5.2</v>
      </c>
      <c r="S510" s="7" t="s">
        <v>196</v>
      </c>
      <c r="T510" s="4">
        <v>46203</v>
      </c>
      <c r="U510" s="4">
        <v>37013</v>
      </c>
      <c r="V510" s="4">
        <f t="shared" ca="1" si="70"/>
        <v>45919</v>
      </c>
      <c r="W510" s="8">
        <f t="shared" ca="1" si="71"/>
        <v>24.383299110198493</v>
      </c>
    </row>
    <row r="511" spans="1:23" x14ac:dyDescent="0.2">
      <c r="A511" s="1" t="s">
        <v>24</v>
      </c>
      <c r="B511" s="1" t="s">
        <v>25</v>
      </c>
      <c r="C511" s="1" t="s">
        <v>26</v>
      </c>
      <c r="D511" s="5" t="s">
        <v>175</v>
      </c>
      <c r="E511" s="1">
        <v>33</v>
      </c>
      <c r="F511" s="1" t="s">
        <v>1646</v>
      </c>
      <c r="G511" s="1" t="s">
        <v>1647</v>
      </c>
      <c r="I511" s="1" t="s">
        <v>43</v>
      </c>
      <c r="J511" s="1" t="s">
        <v>43</v>
      </c>
      <c r="K511" s="1" t="s">
        <v>44</v>
      </c>
      <c r="M511" s="1" t="s">
        <v>1648</v>
      </c>
      <c r="N511" s="3">
        <v>2.5</v>
      </c>
      <c r="O511" s="4">
        <v>45533</v>
      </c>
      <c r="P511" s="5" t="s">
        <v>1649</v>
      </c>
      <c r="Q511" s="3">
        <v>0.8</v>
      </c>
      <c r="R511" s="6">
        <v>5</v>
      </c>
      <c r="S511" s="7" t="s">
        <v>66</v>
      </c>
      <c r="T511" s="4">
        <v>47299</v>
      </c>
      <c r="U511" s="4">
        <v>38795</v>
      </c>
      <c r="V511" s="4">
        <f t="shared" ca="1" si="70"/>
        <v>45919</v>
      </c>
      <c r="W511" s="8">
        <f t="shared" ca="1" si="71"/>
        <v>19.504449007529089</v>
      </c>
    </row>
    <row r="512" spans="1:23" x14ac:dyDescent="0.2">
      <c r="A512" s="1" t="s">
        <v>24</v>
      </c>
      <c r="B512" s="1" t="s">
        <v>25</v>
      </c>
      <c r="C512" s="1" t="s">
        <v>26</v>
      </c>
      <c r="D512" s="5" t="s">
        <v>175</v>
      </c>
      <c r="E512" s="1">
        <v>15</v>
      </c>
      <c r="F512" s="1" t="s">
        <v>1650</v>
      </c>
      <c r="G512" s="1" t="s">
        <v>1651</v>
      </c>
      <c r="I512" s="1" t="s">
        <v>24</v>
      </c>
      <c r="J512" s="1" t="s">
        <v>24</v>
      </c>
      <c r="K512" s="1" t="s">
        <v>44</v>
      </c>
      <c r="M512" s="1" t="s">
        <v>1652</v>
      </c>
      <c r="N512" s="3">
        <v>2</v>
      </c>
      <c r="O512" s="4">
        <v>44948</v>
      </c>
      <c r="P512" s="5" t="s">
        <v>91</v>
      </c>
      <c r="Q512" s="3">
        <v>2.5</v>
      </c>
      <c r="R512" s="6">
        <v>3.75</v>
      </c>
      <c r="S512" s="7" t="s">
        <v>98</v>
      </c>
      <c r="T512" s="4">
        <v>45838</v>
      </c>
      <c r="U512" s="4">
        <v>32999</v>
      </c>
      <c r="V512" s="4">
        <f t="shared" ca="1" si="70"/>
        <v>45919</v>
      </c>
      <c r="W512" s="8">
        <f ca="1">(V512-U512)/365.25</f>
        <v>35.37303216974675</v>
      </c>
    </row>
    <row r="513" spans="1:23" x14ac:dyDescent="0.2">
      <c r="A513" s="1" t="s">
        <v>24</v>
      </c>
      <c r="B513" s="1" t="s">
        <v>25</v>
      </c>
      <c r="C513" s="1" t="s">
        <v>26</v>
      </c>
      <c r="D513" s="5" t="s">
        <v>175</v>
      </c>
      <c r="E513" s="1">
        <v>3</v>
      </c>
      <c r="F513" s="1" t="s">
        <v>1653</v>
      </c>
      <c r="G513" s="1" t="s">
        <v>1654</v>
      </c>
      <c r="I513" s="1" t="s">
        <v>43</v>
      </c>
      <c r="J513" s="1" t="s">
        <v>1655</v>
      </c>
      <c r="K513" s="1" t="s">
        <v>63</v>
      </c>
      <c r="M513" s="1" t="s">
        <v>1656</v>
      </c>
      <c r="N513" s="3">
        <v>35</v>
      </c>
      <c r="O513" s="4">
        <v>44108</v>
      </c>
      <c r="P513" s="5" t="s">
        <v>1657</v>
      </c>
      <c r="Q513" s="3">
        <v>20</v>
      </c>
      <c r="R513" s="6">
        <v>11.1</v>
      </c>
      <c r="S513" s="7" t="s">
        <v>34</v>
      </c>
      <c r="T513" s="4">
        <v>46203</v>
      </c>
      <c r="U513" s="4">
        <v>37048</v>
      </c>
      <c r="V513" s="4">
        <f t="shared" ca="1" si="70"/>
        <v>45919</v>
      </c>
      <c r="W513" s="8">
        <f t="shared" ca="1" si="71"/>
        <v>24.28747433264887</v>
      </c>
    </row>
    <row r="514" spans="1:23" x14ac:dyDescent="0.2">
      <c r="A514" s="1" t="s">
        <v>24</v>
      </c>
      <c r="B514" s="1" t="s">
        <v>25</v>
      </c>
      <c r="C514" s="1" t="s">
        <v>26</v>
      </c>
      <c r="D514" s="5" t="s">
        <v>175</v>
      </c>
      <c r="E514" s="1">
        <v>22</v>
      </c>
      <c r="F514" s="1" t="s">
        <v>857</v>
      </c>
      <c r="G514" s="1" t="s">
        <v>1658</v>
      </c>
      <c r="I514" s="1" t="s">
        <v>416</v>
      </c>
      <c r="J514" s="1" t="s">
        <v>416</v>
      </c>
      <c r="K514" s="1" t="s">
        <v>80</v>
      </c>
      <c r="M514" s="1" t="s">
        <v>1659</v>
      </c>
      <c r="N514" s="3">
        <v>12</v>
      </c>
      <c r="O514" s="4">
        <v>44097</v>
      </c>
      <c r="P514" s="5" t="s">
        <v>285</v>
      </c>
      <c r="Q514" s="3">
        <v>40</v>
      </c>
      <c r="R514" s="6">
        <v>32</v>
      </c>
      <c r="S514" s="7" t="s">
        <v>34</v>
      </c>
      <c r="T514" s="4">
        <v>45838</v>
      </c>
      <c r="U514" s="4">
        <v>34289</v>
      </c>
      <c r="V514" s="4">
        <f t="shared" ca="1" si="70"/>
        <v>45919</v>
      </c>
      <c r="W514" s="8">
        <f t="shared" ca="1" si="71"/>
        <v>31.841204654346338</v>
      </c>
    </row>
    <row r="515" spans="1:23" x14ac:dyDescent="0.2">
      <c r="A515" s="1" t="s">
        <v>24</v>
      </c>
      <c r="B515" s="1" t="s">
        <v>25</v>
      </c>
      <c r="C515" s="1" t="s">
        <v>26</v>
      </c>
      <c r="D515" s="5" t="s">
        <v>175</v>
      </c>
      <c r="E515" s="1">
        <v>37</v>
      </c>
      <c r="F515" s="1" t="s">
        <v>535</v>
      </c>
      <c r="G515" s="1" t="s">
        <v>1660</v>
      </c>
      <c r="I515" s="1" t="s">
        <v>37</v>
      </c>
      <c r="J515" s="1" t="s">
        <v>37</v>
      </c>
      <c r="K515" s="1" t="s">
        <v>80</v>
      </c>
      <c r="M515" s="1" t="s">
        <v>1661</v>
      </c>
      <c r="N515" s="3">
        <v>5</v>
      </c>
      <c r="O515" s="4">
        <v>45474</v>
      </c>
      <c r="P515" s="5" t="s">
        <v>1662</v>
      </c>
      <c r="Q515" s="3">
        <v>2.5</v>
      </c>
      <c r="R515" s="6">
        <v>10</v>
      </c>
      <c r="S515" s="7" t="s">
        <v>66</v>
      </c>
      <c r="T515" s="4">
        <v>47299</v>
      </c>
      <c r="U515" s="4">
        <v>38899</v>
      </c>
      <c r="V515" s="4">
        <f t="shared" ca="1" si="70"/>
        <v>45919</v>
      </c>
      <c r="W515" s="8">
        <f ca="1">(V515-U515)/365.25</f>
        <v>19.219712525667351</v>
      </c>
    </row>
    <row r="516" spans="1:23" x14ac:dyDescent="0.2">
      <c r="A516" s="1" t="s">
        <v>24</v>
      </c>
      <c r="B516" s="1" t="s">
        <v>25</v>
      </c>
      <c r="C516" s="1" t="s">
        <v>26</v>
      </c>
      <c r="D516" s="5" t="s">
        <v>175</v>
      </c>
      <c r="E516" s="1">
        <v>2</v>
      </c>
      <c r="F516" s="1" t="s">
        <v>493</v>
      </c>
      <c r="G516" s="1" t="s">
        <v>1663</v>
      </c>
      <c r="I516" s="1" t="s">
        <v>250</v>
      </c>
      <c r="J516" s="1" t="s">
        <v>250</v>
      </c>
      <c r="K516" s="1" t="s">
        <v>80</v>
      </c>
      <c r="M516" s="1" t="s">
        <v>1664</v>
      </c>
      <c r="N516" s="3">
        <v>3</v>
      </c>
      <c r="O516" s="4">
        <v>45127</v>
      </c>
      <c r="P516" s="5" t="s">
        <v>97</v>
      </c>
      <c r="Q516" s="3">
        <v>5</v>
      </c>
      <c r="R516" s="6" t="s">
        <v>205</v>
      </c>
      <c r="S516" s="7" t="s">
        <v>34</v>
      </c>
      <c r="T516" s="4">
        <v>46203</v>
      </c>
      <c r="U516" s="4">
        <v>33619</v>
      </c>
      <c r="V516" s="4">
        <f t="shared" ca="1" si="70"/>
        <v>45919</v>
      </c>
      <c r="W516" s="8">
        <f t="shared" ref="W516" ca="1" si="72">(V516-U516)/365.25</f>
        <v>33.675564681724843</v>
      </c>
    </row>
    <row r="517" spans="1:23" x14ac:dyDescent="0.2">
      <c r="A517" s="1" t="s">
        <v>24</v>
      </c>
      <c r="B517" s="1" t="s">
        <v>25</v>
      </c>
      <c r="C517" s="1" t="s">
        <v>26</v>
      </c>
      <c r="D517" s="5" t="s">
        <v>175</v>
      </c>
      <c r="E517" s="1">
        <v>7</v>
      </c>
      <c r="F517" s="1" t="s">
        <v>35</v>
      </c>
      <c r="G517" s="1" t="s">
        <v>1174</v>
      </c>
      <c r="I517" s="1" t="s">
        <v>37</v>
      </c>
      <c r="J517" s="1" t="s">
        <v>37</v>
      </c>
      <c r="K517" s="1" t="s">
        <v>95</v>
      </c>
      <c r="M517" s="1" t="s">
        <v>1665</v>
      </c>
      <c r="N517" s="3">
        <v>25</v>
      </c>
      <c r="O517" s="4">
        <v>45534</v>
      </c>
      <c r="P517" s="5" t="s">
        <v>1666</v>
      </c>
      <c r="Q517" s="3">
        <v>25</v>
      </c>
      <c r="R517" s="6">
        <v>22</v>
      </c>
      <c r="S517" s="7" t="s">
        <v>66</v>
      </c>
      <c r="T517" s="4">
        <v>47299</v>
      </c>
      <c r="U517" s="4">
        <v>37088</v>
      </c>
      <c r="V517" s="4">
        <f t="shared" ca="1" si="70"/>
        <v>45919</v>
      </c>
      <c r="W517" s="8">
        <f t="shared" ca="1" si="71"/>
        <v>24.177960301163587</v>
      </c>
    </row>
    <row r="518" spans="1:23" x14ac:dyDescent="0.2">
      <c r="A518" s="1" t="s">
        <v>24</v>
      </c>
      <c r="B518" s="1" t="s">
        <v>25</v>
      </c>
      <c r="C518" s="1" t="s">
        <v>26</v>
      </c>
      <c r="D518" s="5" t="s">
        <v>175</v>
      </c>
      <c r="E518" s="1">
        <v>5</v>
      </c>
      <c r="F518" s="1" t="s">
        <v>1667</v>
      </c>
      <c r="G518" s="1" t="s">
        <v>1668</v>
      </c>
      <c r="I518" s="1" t="s">
        <v>1669</v>
      </c>
      <c r="J518" s="1" t="s">
        <v>1669</v>
      </c>
      <c r="K518" s="1" t="s">
        <v>95</v>
      </c>
      <c r="M518" s="1" t="s">
        <v>1670</v>
      </c>
      <c r="N518" s="3">
        <v>10</v>
      </c>
      <c r="O518" s="4">
        <v>44939</v>
      </c>
      <c r="P518" s="5" t="s">
        <v>1572</v>
      </c>
      <c r="Q518" s="3">
        <v>7</v>
      </c>
      <c r="R518" s="6">
        <v>11</v>
      </c>
      <c r="S518" s="7" t="s">
        <v>34</v>
      </c>
      <c r="T518" s="4">
        <v>45838</v>
      </c>
      <c r="U518" s="4">
        <v>34213</v>
      </c>
      <c r="V518" s="4">
        <f t="shared" ca="1" si="70"/>
        <v>45919</v>
      </c>
      <c r="W518" s="8">
        <f ca="1">(V518-U518)/365.25</f>
        <v>32.049281314168375</v>
      </c>
    </row>
    <row r="519" spans="1:23" x14ac:dyDescent="0.2">
      <c r="A519" s="1" t="s">
        <v>24</v>
      </c>
      <c r="B519" s="1" t="s">
        <v>25</v>
      </c>
      <c r="C519" s="1" t="s">
        <v>26</v>
      </c>
      <c r="D519" s="5" t="s">
        <v>175</v>
      </c>
      <c r="E519" s="1">
        <v>6</v>
      </c>
      <c r="F519" s="1" t="s">
        <v>201</v>
      </c>
      <c r="G519" s="1" t="s">
        <v>860</v>
      </c>
      <c r="I519" s="1" t="s">
        <v>691</v>
      </c>
      <c r="J519" s="1" t="s">
        <v>691</v>
      </c>
      <c r="K519" s="1" t="s">
        <v>95</v>
      </c>
      <c r="M519" s="1" t="s">
        <v>1671</v>
      </c>
      <c r="N519" s="3">
        <v>6</v>
      </c>
      <c r="O519" s="4">
        <v>44805</v>
      </c>
      <c r="P519" s="5" t="s">
        <v>1529</v>
      </c>
      <c r="Q519" s="3">
        <v>1.8</v>
      </c>
      <c r="R519" s="6">
        <v>13</v>
      </c>
      <c r="S519" s="7" t="s">
        <v>34</v>
      </c>
      <c r="T519" s="4">
        <v>46568</v>
      </c>
      <c r="U519" s="4">
        <v>37123</v>
      </c>
      <c r="V519" s="4">
        <f t="shared" ca="1" si="70"/>
        <v>45919</v>
      </c>
      <c r="W519" s="8">
        <f ca="1">(V519-U519)/365.25</f>
        <v>24.082135523613964</v>
      </c>
    </row>
    <row r="520" spans="1:23" x14ac:dyDescent="0.2">
      <c r="A520" s="1" t="s">
        <v>24</v>
      </c>
      <c r="B520" s="1" t="s">
        <v>25</v>
      </c>
      <c r="C520" s="1" t="s">
        <v>26</v>
      </c>
      <c r="D520" s="5" t="s">
        <v>175</v>
      </c>
      <c r="E520" s="1">
        <v>8</v>
      </c>
      <c r="F520" s="1" t="s">
        <v>534</v>
      </c>
      <c r="G520" s="1" t="s">
        <v>1672</v>
      </c>
      <c r="I520" s="1" t="s">
        <v>37</v>
      </c>
      <c r="J520" s="1" t="s">
        <v>37</v>
      </c>
      <c r="K520" s="1" t="s">
        <v>89</v>
      </c>
      <c r="M520" s="1" t="s">
        <v>1673</v>
      </c>
      <c r="N520" s="3">
        <v>40</v>
      </c>
      <c r="O520" s="4">
        <v>44956</v>
      </c>
      <c r="P520" s="5" t="s">
        <v>716</v>
      </c>
      <c r="Q520" s="3">
        <v>15</v>
      </c>
      <c r="R520" s="6">
        <v>18.7</v>
      </c>
      <c r="S520" s="7" t="s">
        <v>34</v>
      </c>
      <c r="T520" s="4">
        <v>46934</v>
      </c>
      <c r="U520" s="4">
        <v>36934</v>
      </c>
      <c r="V520" s="4">
        <f t="shared" ca="1" si="70"/>
        <v>45919</v>
      </c>
      <c r="W520" s="8">
        <f ca="1">(V520-U520)/365.25</f>
        <v>24.599589322381931</v>
      </c>
    </row>
    <row r="521" spans="1:23" x14ac:dyDescent="0.2">
      <c r="A521" s="1" t="s">
        <v>24</v>
      </c>
      <c r="B521" s="1" t="s">
        <v>25</v>
      </c>
      <c r="C521" s="1" t="s">
        <v>26</v>
      </c>
      <c r="D521" s="5" t="s">
        <v>175</v>
      </c>
      <c r="E521" s="1">
        <v>27</v>
      </c>
      <c r="F521" s="1" t="s">
        <v>1674</v>
      </c>
      <c r="G521" s="1" t="s">
        <v>1675</v>
      </c>
      <c r="I521" s="1" t="s">
        <v>43</v>
      </c>
      <c r="J521" s="1" t="s">
        <v>43</v>
      </c>
      <c r="K521" s="1" t="s">
        <v>89</v>
      </c>
      <c r="M521" s="1" t="s">
        <v>1676</v>
      </c>
      <c r="N521" s="3">
        <v>18</v>
      </c>
      <c r="O521" s="4">
        <v>45170</v>
      </c>
      <c r="P521" s="5" t="s">
        <v>1339</v>
      </c>
      <c r="Q521" s="3">
        <v>10</v>
      </c>
      <c r="R521" s="6">
        <v>15</v>
      </c>
      <c r="S521" s="7" t="s">
        <v>34</v>
      </c>
      <c r="T521" s="4">
        <v>46934</v>
      </c>
      <c r="U521" s="4">
        <v>35973</v>
      </c>
      <c r="V521" s="4">
        <f t="shared" ca="1" si="70"/>
        <v>45919</v>
      </c>
      <c r="W521" s="8">
        <f ca="1">(V521-U521)/365.25</f>
        <v>27.230663928815879</v>
      </c>
    </row>
    <row r="522" spans="1:23" x14ac:dyDescent="0.2">
      <c r="A522" s="1" t="s">
        <v>24</v>
      </c>
      <c r="B522" s="1" t="s">
        <v>25</v>
      </c>
      <c r="C522" s="1" t="s">
        <v>26</v>
      </c>
      <c r="D522" s="5" t="s">
        <v>175</v>
      </c>
      <c r="E522" s="1">
        <v>20</v>
      </c>
      <c r="F522" s="1" t="s">
        <v>1677</v>
      </c>
      <c r="G522" s="1" t="s">
        <v>1678</v>
      </c>
      <c r="I522" s="1" t="s">
        <v>24</v>
      </c>
      <c r="J522" s="1" t="s">
        <v>24</v>
      </c>
      <c r="K522" s="1" t="s">
        <v>89</v>
      </c>
      <c r="M522" s="1" t="s">
        <v>1679</v>
      </c>
      <c r="N522" s="3">
        <v>10</v>
      </c>
      <c r="O522" s="4">
        <v>45170</v>
      </c>
      <c r="P522" s="5" t="s">
        <v>945</v>
      </c>
      <c r="Q522" s="3">
        <v>7</v>
      </c>
      <c r="R522" s="6">
        <v>5</v>
      </c>
      <c r="S522" s="7" t="s">
        <v>34</v>
      </c>
      <c r="T522" s="4">
        <v>46934</v>
      </c>
      <c r="U522" s="4">
        <v>37181</v>
      </c>
      <c r="V522" s="4">
        <f t="shared" ca="1" si="70"/>
        <v>45919</v>
      </c>
      <c r="W522" s="8">
        <f t="shared" ca="1" si="71"/>
        <v>23.923340177960302</v>
      </c>
    </row>
    <row r="523" spans="1:23" x14ac:dyDescent="0.2">
      <c r="A523" s="1" t="s">
        <v>24</v>
      </c>
      <c r="B523" s="1" t="s">
        <v>25</v>
      </c>
      <c r="C523" s="1" t="s">
        <v>26</v>
      </c>
      <c r="D523" s="5" t="s">
        <v>175</v>
      </c>
      <c r="E523" s="1">
        <v>34</v>
      </c>
      <c r="F523" s="1" t="s">
        <v>890</v>
      </c>
      <c r="G523" s="1" t="s">
        <v>1680</v>
      </c>
      <c r="I523" s="1" t="s">
        <v>24</v>
      </c>
      <c r="J523" s="1" t="s">
        <v>24</v>
      </c>
      <c r="K523" s="1" t="s">
        <v>89</v>
      </c>
      <c r="M523" s="1" t="s">
        <v>1681</v>
      </c>
      <c r="N523" s="3">
        <v>5</v>
      </c>
      <c r="O523" s="4">
        <v>44378</v>
      </c>
      <c r="P523" s="5" t="s">
        <v>1682</v>
      </c>
      <c r="Q523" s="3">
        <v>0</v>
      </c>
      <c r="R523" s="6">
        <v>0</v>
      </c>
      <c r="S523" s="7" t="s">
        <v>196</v>
      </c>
      <c r="T523" s="4">
        <v>46203</v>
      </c>
      <c r="U523" s="4">
        <v>37372</v>
      </c>
      <c r="V523" s="4">
        <f t="shared" ca="1" si="70"/>
        <v>45919</v>
      </c>
      <c r="W523" s="8">
        <f t="shared" ca="1" si="71"/>
        <v>23.400410677618069</v>
      </c>
    </row>
    <row r="524" spans="1:23" x14ac:dyDescent="0.2">
      <c r="A524" s="1" t="s">
        <v>24</v>
      </c>
      <c r="B524" s="1" t="s">
        <v>25</v>
      </c>
      <c r="C524" s="1" t="s">
        <v>26</v>
      </c>
      <c r="D524" s="5" t="s">
        <v>175</v>
      </c>
      <c r="E524" s="1">
        <v>19</v>
      </c>
      <c r="F524" s="1" t="s">
        <v>862</v>
      </c>
      <c r="G524" s="1" t="s">
        <v>1672</v>
      </c>
      <c r="I524" s="1" t="s">
        <v>416</v>
      </c>
      <c r="J524" s="1" t="s">
        <v>416</v>
      </c>
      <c r="K524" s="1" t="s">
        <v>89</v>
      </c>
      <c r="M524" s="1" t="s">
        <v>1683</v>
      </c>
      <c r="N524" s="3">
        <v>15</v>
      </c>
      <c r="O524" s="4">
        <v>45474</v>
      </c>
      <c r="P524" s="5" t="s">
        <v>1684</v>
      </c>
      <c r="Q524" s="3">
        <v>12</v>
      </c>
      <c r="R524" s="6">
        <v>15</v>
      </c>
      <c r="S524" s="7" t="s">
        <v>66</v>
      </c>
      <c r="T524" s="4">
        <v>47299</v>
      </c>
      <c r="U524" s="4">
        <v>37809</v>
      </c>
      <c r="V524" s="4">
        <f t="shared" ca="1" si="70"/>
        <v>45919</v>
      </c>
      <c r="W524" s="8">
        <f t="shared" ca="1" si="71"/>
        <v>22.203969883641342</v>
      </c>
    </row>
    <row r="525" spans="1:23" x14ac:dyDescent="0.2">
      <c r="A525" s="1" t="s">
        <v>24</v>
      </c>
      <c r="B525" s="1" t="s">
        <v>25</v>
      </c>
      <c r="C525" s="1" t="s">
        <v>26</v>
      </c>
      <c r="D525" s="5" t="s">
        <v>175</v>
      </c>
      <c r="E525" s="1">
        <v>29</v>
      </c>
      <c r="F525" s="1" t="s">
        <v>1685</v>
      </c>
      <c r="G525" s="1" t="s">
        <v>1686</v>
      </c>
      <c r="I525" s="1" t="s">
        <v>416</v>
      </c>
      <c r="J525" s="1" t="s">
        <v>416</v>
      </c>
      <c r="K525" s="1" t="s">
        <v>120</v>
      </c>
      <c r="M525" s="1" t="s">
        <v>1687</v>
      </c>
      <c r="N525" s="3">
        <v>15</v>
      </c>
      <c r="O525" s="4">
        <v>44781</v>
      </c>
      <c r="P525" s="5" t="s">
        <v>1688</v>
      </c>
      <c r="Q525" s="3">
        <v>40</v>
      </c>
      <c r="R525" s="6">
        <v>32.6</v>
      </c>
      <c r="S525" s="7" t="s">
        <v>196</v>
      </c>
      <c r="T525" s="4">
        <v>46568</v>
      </c>
      <c r="U525" s="4">
        <v>35398</v>
      </c>
      <c r="V525" s="4">
        <f t="shared" ca="1" si="70"/>
        <v>45919</v>
      </c>
      <c r="W525" s="8">
        <f t="shared" ca="1" si="71"/>
        <v>28.804928131416837</v>
      </c>
    </row>
    <row r="526" spans="1:23" x14ac:dyDescent="0.2">
      <c r="A526" s="1" t="s">
        <v>24</v>
      </c>
      <c r="B526" s="1" t="s">
        <v>25</v>
      </c>
      <c r="C526" s="1" t="s">
        <v>26</v>
      </c>
      <c r="D526" s="5" t="s">
        <v>175</v>
      </c>
      <c r="E526" s="1">
        <v>26</v>
      </c>
      <c r="F526" s="1" t="s">
        <v>166</v>
      </c>
      <c r="G526" s="1" t="s">
        <v>1689</v>
      </c>
      <c r="I526" s="1" t="s">
        <v>416</v>
      </c>
      <c r="J526" s="1" t="s">
        <v>416</v>
      </c>
      <c r="K526" s="1" t="s">
        <v>120</v>
      </c>
      <c r="M526" s="1" t="s">
        <v>1690</v>
      </c>
      <c r="N526" s="3">
        <v>8</v>
      </c>
      <c r="O526" s="4">
        <v>45534</v>
      </c>
      <c r="P526" s="5" t="s">
        <v>54</v>
      </c>
      <c r="Q526" s="3">
        <v>8</v>
      </c>
      <c r="R526" s="6" t="s">
        <v>40</v>
      </c>
      <c r="S526" s="7" t="s">
        <v>40</v>
      </c>
      <c r="T526" s="4">
        <v>45838</v>
      </c>
      <c r="U526" s="4">
        <v>38065</v>
      </c>
      <c r="V526" s="4">
        <f t="shared" ca="1" si="70"/>
        <v>45919</v>
      </c>
      <c r="W526" s="8">
        <f ca="1">(V526-U526)/365.25</f>
        <v>21.503080082135522</v>
      </c>
    </row>
    <row r="527" spans="1:23" x14ac:dyDescent="0.2">
      <c r="A527" s="1" t="s">
        <v>24</v>
      </c>
      <c r="B527" s="1" t="s">
        <v>25</v>
      </c>
      <c r="C527" s="1" t="s">
        <v>26</v>
      </c>
      <c r="D527" s="5" t="s">
        <v>175</v>
      </c>
      <c r="E527" s="1">
        <v>30</v>
      </c>
      <c r="F527" s="1" t="s">
        <v>1691</v>
      </c>
      <c r="G527" s="1" t="s">
        <v>1692</v>
      </c>
      <c r="I527" s="1" t="s">
        <v>510</v>
      </c>
      <c r="J527" s="1" t="s">
        <v>510</v>
      </c>
      <c r="K527" s="1" t="s">
        <v>120</v>
      </c>
      <c r="M527" s="1" t="s">
        <v>1693</v>
      </c>
      <c r="N527" s="3">
        <v>4</v>
      </c>
      <c r="O527" s="4">
        <v>45169</v>
      </c>
      <c r="P527" s="5" t="s">
        <v>512</v>
      </c>
      <c r="Q527" s="3">
        <v>1.9</v>
      </c>
      <c r="R527" s="6">
        <v>6</v>
      </c>
      <c r="S527" s="7" t="s">
        <v>34</v>
      </c>
      <c r="T527" s="4">
        <v>47299</v>
      </c>
      <c r="U527" s="4">
        <v>38372</v>
      </c>
      <c r="V527" s="4">
        <f t="shared" ca="1" si="70"/>
        <v>45919</v>
      </c>
      <c r="W527" s="8">
        <f t="shared" ca="1" si="71"/>
        <v>20.662559890485969</v>
      </c>
    </row>
    <row r="528" spans="1:23" x14ac:dyDescent="0.2">
      <c r="A528" s="1" t="s">
        <v>24</v>
      </c>
      <c r="B528" s="1" t="s">
        <v>25</v>
      </c>
      <c r="C528" s="1" t="s">
        <v>26</v>
      </c>
      <c r="D528" s="5" t="s">
        <v>175</v>
      </c>
      <c r="E528" s="1">
        <v>21</v>
      </c>
      <c r="F528" s="1" t="s">
        <v>1694</v>
      </c>
      <c r="G528" s="1" t="s">
        <v>1695</v>
      </c>
      <c r="I528" s="1" t="s">
        <v>30</v>
      </c>
      <c r="J528" s="1" t="s">
        <v>30</v>
      </c>
      <c r="K528" s="1" t="s">
        <v>133</v>
      </c>
      <c r="M528" s="1" t="s">
        <v>1696</v>
      </c>
      <c r="N528" s="3">
        <v>8</v>
      </c>
      <c r="O528" s="4">
        <v>44943</v>
      </c>
      <c r="P528" s="5" t="s">
        <v>773</v>
      </c>
      <c r="Q528" s="3">
        <v>20</v>
      </c>
      <c r="R528" s="6">
        <v>5</v>
      </c>
      <c r="S528" s="7" t="s">
        <v>34</v>
      </c>
      <c r="T528" s="4">
        <v>45838</v>
      </c>
      <c r="U528" s="4">
        <v>33735</v>
      </c>
      <c r="V528" s="4">
        <f t="shared" ca="1" si="70"/>
        <v>45919</v>
      </c>
      <c r="W528" s="8">
        <f t="shared" ca="1" si="71"/>
        <v>33.35797399041752</v>
      </c>
    </row>
    <row r="529" spans="1:23" x14ac:dyDescent="0.2">
      <c r="A529" s="1" t="s">
        <v>24</v>
      </c>
      <c r="B529" s="1" t="s">
        <v>25</v>
      </c>
      <c r="C529" s="1" t="s">
        <v>26</v>
      </c>
      <c r="D529" s="5" t="s">
        <v>175</v>
      </c>
      <c r="E529" s="1">
        <v>10</v>
      </c>
      <c r="F529" s="1" t="s">
        <v>713</v>
      </c>
      <c r="G529" s="1" t="s">
        <v>1697</v>
      </c>
      <c r="I529" s="1" t="s">
        <v>37</v>
      </c>
      <c r="J529" s="1" t="s">
        <v>37</v>
      </c>
      <c r="K529" s="1" t="s">
        <v>139</v>
      </c>
      <c r="M529" s="1" t="s">
        <v>1698</v>
      </c>
      <c r="N529" s="3">
        <v>45</v>
      </c>
      <c r="O529" s="4">
        <v>44927</v>
      </c>
      <c r="P529" s="5" t="s">
        <v>97</v>
      </c>
      <c r="Q529" s="3">
        <v>20</v>
      </c>
      <c r="R529" s="6">
        <v>50</v>
      </c>
      <c r="S529" s="7" t="s">
        <v>34</v>
      </c>
      <c r="T529" s="4">
        <v>46568</v>
      </c>
      <c r="U529" s="4">
        <v>36307</v>
      </c>
      <c r="V529" s="4">
        <f t="shared" ca="1" si="70"/>
        <v>45919</v>
      </c>
      <c r="W529" s="8">
        <f t="shared" ca="1" si="71"/>
        <v>26.316221765913756</v>
      </c>
    </row>
    <row r="530" spans="1:23" x14ac:dyDescent="0.2">
      <c r="A530" s="1" t="s">
        <v>24</v>
      </c>
      <c r="B530" s="1" t="s">
        <v>25</v>
      </c>
      <c r="C530" s="1" t="s">
        <v>26</v>
      </c>
      <c r="D530" s="5" t="s">
        <v>175</v>
      </c>
      <c r="E530" s="1">
        <v>9</v>
      </c>
      <c r="F530" s="1" t="s">
        <v>1699</v>
      </c>
      <c r="G530" s="1" t="s">
        <v>1700</v>
      </c>
      <c r="I530" s="1" t="s">
        <v>112</v>
      </c>
      <c r="J530" s="1" t="s">
        <v>112</v>
      </c>
      <c r="K530" s="1" t="s">
        <v>139</v>
      </c>
      <c r="M530" s="1" t="s">
        <v>1701</v>
      </c>
      <c r="N530" s="3">
        <v>25</v>
      </c>
      <c r="O530" s="4">
        <v>45475</v>
      </c>
      <c r="P530" s="5" t="s">
        <v>403</v>
      </c>
      <c r="Q530" s="3">
        <v>25</v>
      </c>
      <c r="R530" s="6" t="s">
        <v>40</v>
      </c>
      <c r="S530" s="7" t="s">
        <v>40</v>
      </c>
      <c r="T530" s="4">
        <v>45838</v>
      </c>
      <c r="U530" s="4">
        <v>36562</v>
      </c>
      <c r="V530" s="4">
        <f t="shared" ca="1" si="70"/>
        <v>45919</v>
      </c>
      <c r="W530" s="8">
        <f ca="1">(V530-U530)/365.25</f>
        <v>25.618069815195071</v>
      </c>
    </row>
    <row r="531" spans="1:23" x14ac:dyDescent="0.2">
      <c r="A531" s="1" t="s">
        <v>24</v>
      </c>
      <c r="B531" s="1" t="s">
        <v>25</v>
      </c>
      <c r="C531" s="1" t="s">
        <v>26</v>
      </c>
      <c r="D531" s="5" t="s">
        <v>175</v>
      </c>
      <c r="E531" s="1">
        <v>11</v>
      </c>
      <c r="F531" s="1" t="s">
        <v>1702</v>
      </c>
      <c r="G531" s="1" t="s">
        <v>1703</v>
      </c>
      <c r="I531" s="1" t="s">
        <v>369</v>
      </c>
      <c r="J531" s="1" t="s">
        <v>369</v>
      </c>
      <c r="K531" s="1" t="s">
        <v>139</v>
      </c>
      <c r="M531" s="1" t="s">
        <v>1704</v>
      </c>
      <c r="N531" s="3">
        <v>25</v>
      </c>
      <c r="O531" s="4">
        <v>44437</v>
      </c>
      <c r="P531" s="5" t="s">
        <v>619</v>
      </c>
      <c r="Q531" s="3">
        <v>11</v>
      </c>
      <c r="R531" s="6">
        <v>16.7</v>
      </c>
      <c r="S531" s="7" t="s">
        <v>34</v>
      </c>
      <c r="T531" s="4">
        <v>46934</v>
      </c>
      <c r="U531" s="4">
        <v>35090</v>
      </c>
      <c r="V531" s="4">
        <f t="shared" ca="1" si="70"/>
        <v>45919</v>
      </c>
      <c r="W531" s="8">
        <f t="shared" ref="W531" ca="1" si="73">(V531-U531)/365.25</f>
        <v>29.648186173853524</v>
      </c>
    </row>
    <row r="532" spans="1:23" x14ac:dyDescent="0.2">
      <c r="A532" s="1" t="s">
        <v>24</v>
      </c>
      <c r="B532" s="1" t="s">
        <v>25</v>
      </c>
      <c r="C532" s="1" t="s">
        <v>26</v>
      </c>
      <c r="D532" s="5" t="s">
        <v>175</v>
      </c>
      <c r="E532" s="1">
        <v>18</v>
      </c>
      <c r="F532" s="1" t="s">
        <v>838</v>
      </c>
      <c r="G532" s="1" t="s">
        <v>1705</v>
      </c>
      <c r="I532" s="1" t="s">
        <v>607</v>
      </c>
      <c r="J532" s="1" t="s">
        <v>607</v>
      </c>
      <c r="K532" s="1" t="s">
        <v>139</v>
      </c>
      <c r="M532" s="1" t="s">
        <v>1706</v>
      </c>
      <c r="N532" s="3">
        <v>5</v>
      </c>
      <c r="O532" s="4">
        <v>44804</v>
      </c>
      <c r="P532" s="5" t="s">
        <v>1074</v>
      </c>
      <c r="Q532" s="3">
        <v>25</v>
      </c>
      <c r="R532" s="6">
        <v>18</v>
      </c>
      <c r="S532" s="7" t="s">
        <v>196</v>
      </c>
      <c r="T532" s="4">
        <v>46568</v>
      </c>
      <c r="U532" s="4">
        <v>35618</v>
      </c>
      <c r="V532" s="4">
        <f t="shared" ca="1" si="70"/>
        <v>45919</v>
      </c>
      <c r="W532" s="8">
        <f ca="1">(V532-U532)/365.25</f>
        <v>28.202600958247775</v>
      </c>
    </row>
  </sheetData>
  <autoFilter ref="A1:Y532" xr:uid="{A42839BF-BA4C-4604-9587-550B3EAD4FB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 - Noname</dc:creator>
  <cp:lastModifiedBy>San, Emir (Student)</cp:lastModifiedBy>
  <dcterms:created xsi:type="dcterms:W3CDTF">2024-12-24T14:49:40Z</dcterms:created>
  <dcterms:modified xsi:type="dcterms:W3CDTF">2025-09-19T14:42:41Z</dcterms:modified>
</cp:coreProperties>
</file>