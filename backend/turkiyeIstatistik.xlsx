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an/futbol-platform/backend/"/>
    </mc:Choice>
  </mc:AlternateContent>
  <xr:revisionPtr revIDLastSave="0" documentId="8_{530965D4-8C40-E54E-9B4A-8F730DA280D6}" xr6:coauthVersionLast="47" xr6:coauthVersionMax="47" xr10:uidLastSave="{00000000-0000-0000-0000-000000000000}"/>
  <bookViews>
    <workbookView xWindow="780" yWindow="1000" windowWidth="27640" windowHeight="16020" xr2:uid="{ABB2EF7A-A724-CC42-83B5-2E369528D786}"/>
  </bookViews>
  <sheets>
    <sheet name="İstatistikler" sheetId="1" r:id="rId1"/>
  </sheets>
  <definedNames>
    <definedName name="_xlnm._FilterDatabase" localSheetId="0" hidden="1">İstatistikler!$A$1:$BE$100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7" i="1" l="1"/>
  <c r="AU97" i="1"/>
  <c r="AR97" i="1"/>
  <c r="AM97" i="1"/>
  <c r="AZ96" i="1"/>
  <c r="AU96" i="1"/>
  <c r="AR96" i="1"/>
  <c r="AM96" i="1"/>
  <c r="AZ95" i="1"/>
  <c r="AU95" i="1"/>
  <c r="AR95" i="1"/>
  <c r="AM95" i="1"/>
  <c r="AZ94" i="1"/>
  <c r="AU94" i="1"/>
  <c r="AR94" i="1"/>
  <c r="AM94" i="1"/>
  <c r="AZ93" i="1"/>
  <c r="AU93" i="1"/>
  <c r="AR93" i="1"/>
  <c r="AM93" i="1"/>
  <c r="AZ92" i="1"/>
  <c r="AU92" i="1"/>
  <c r="AR92" i="1"/>
  <c r="AM92" i="1"/>
  <c r="AZ91" i="1"/>
  <c r="AU91" i="1"/>
  <c r="AR91" i="1"/>
  <c r="AM91" i="1"/>
  <c r="AZ90" i="1"/>
  <c r="AU90" i="1"/>
  <c r="AR90" i="1"/>
  <c r="AM90" i="1"/>
  <c r="AZ89" i="1"/>
  <c r="AU89" i="1"/>
  <c r="AR89" i="1"/>
  <c r="AM89" i="1"/>
  <c r="AZ88" i="1"/>
  <c r="AU88" i="1"/>
  <c r="AR88" i="1"/>
  <c r="AM88" i="1"/>
  <c r="AZ87" i="1"/>
  <c r="AU87" i="1"/>
  <c r="AR87" i="1"/>
  <c r="AM87" i="1"/>
  <c r="AZ86" i="1"/>
  <c r="AU86" i="1"/>
  <c r="AR86" i="1"/>
  <c r="AM86" i="1"/>
  <c r="AZ85" i="1"/>
  <c r="AU85" i="1"/>
  <c r="AR85" i="1"/>
  <c r="AM85" i="1"/>
  <c r="AZ84" i="1"/>
  <c r="AU84" i="1"/>
  <c r="AR84" i="1"/>
  <c r="AM84" i="1"/>
  <c r="AZ83" i="1"/>
  <c r="AU83" i="1"/>
  <c r="AR83" i="1"/>
  <c r="AM83" i="1"/>
  <c r="AZ82" i="1"/>
  <c r="AU82" i="1"/>
  <c r="AR82" i="1"/>
  <c r="AM82" i="1"/>
  <c r="AZ81" i="1"/>
  <c r="AU81" i="1"/>
  <c r="AR81" i="1"/>
  <c r="AM81" i="1"/>
  <c r="AZ80" i="1"/>
  <c r="AU80" i="1"/>
  <c r="AR80" i="1"/>
  <c r="AM80" i="1"/>
  <c r="AZ79" i="1"/>
  <c r="AU79" i="1"/>
  <c r="AR79" i="1"/>
  <c r="AM79" i="1"/>
  <c r="AZ78" i="1"/>
  <c r="AU78" i="1"/>
  <c r="AR78" i="1"/>
  <c r="AM78" i="1"/>
  <c r="AZ77" i="1"/>
  <c r="AU77" i="1"/>
  <c r="AR77" i="1"/>
  <c r="AM77" i="1"/>
  <c r="AZ76" i="1"/>
  <c r="AU76" i="1"/>
  <c r="AR76" i="1"/>
  <c r="AM76" i="1"/>
  <c r="AZ75" i="1"/>
  <c r="AU75" i="1"/>
  <c r="AR75" i="1"/>
  <c r="AM75" i="1"/>
  <c r="AZ74" i="1"/>
  <c r="AU74" i="1"/>
  <c r="AR74" i="1"/>
  <c r="AM74" i="1"/>
  <c r="AZ73" i="1"/>
  <c r="AU73" i="1"/>
  <c r="AR73" i="1"/>
  <c r="AM73" i="1"/>
  <c r="AZ72" i="1"/>
  <c r="AU72" i="1"/>
  <c r="AR72" i="1"/>
  <c r="AM72" i="1"/>
  <c r="AZ71" i="1"/>
  <c r="AU71" i="1"/>
  <c r="AR71" i="1"/>
  <c r="AM71" i="1"/>
  <c r="AZ70" i="1"/>
  <c r="AU70" i="1"/>
  <c r="AR70" i="1"/>
  <c r="AM70" i="1"/>
  <c r="AZ69" i="1"/>
  <c r="AU69" i="1"/>
  <c r="AR69" i="1"/>
  <c r="AM69" i="1"/>
  <c r="AZ68" i="1"/>
  <c r="AU68" i="1"/>
  <c r="AR68" i="1"/>
  <c r="AM68" i="1"/>
  <c r="AZ67" i="1"/>
  <c r="AU67" i="1"/>
  <c r="AR67" i="1"/>
  <c r="AM67" i="1"/>
  <c r="AZ66" i="1"/>
  <c r="AU66" i="1"/>
  <c r="AR66" i="1"/>
  <c r="AM66" i="1"/>
  <c r="AZ65" i="1"/>
  <c r="AU65" i="1"/>
  <c r="AR65" i="1"/>
  <c r="AM65" i="1"/>
  <c r="AZ64" i="1"/>
  <c r="AU64" i="1"/>
  <c r="AR64" i="1"/>
  <c r="AM64" i="1"/>
  <c r="AZ63" i="1"/>
  <c r="AU63" i="1"/>
  <c r="AR63" i="1"/>
  <c r="AM63" i="1"/>
  <c r="AZ62" i="1"/>
  <c r="AU62" i="1"/>
  <c r="AR62" i="1"/>
  <c r="AM62" i="1"/>
  <c r="AZ61" i="1"/>
  <c r="AU61" i="1"/>
  <c r="AR61" i="1"/>
  <c r="AM61" i="1"/>
  <c r="AZ60" i="1"/>
  <c r="AU60" i="1"/>
  <c r="AR60" i="1"/>
  <c r="AM60" i="1"/>
  <c r="AZ59" i="1"/>
  <c r="AU59" i="1"/>
  <c r="AR59" i="1"/>
  <c r="AM59" i="1"/>
  <c r="AZ58" i="1"/>
  <c r="AU58" i="1"/>
  <c r="AR58" i="1"/>
  <c r="AM58" i="1"/>
  <c r="AZ57" i="1"/>
  <c r="AU57" i="1"/>
  <c r="AR57" i="1"/>
  <c r="AM57" i="1"/>
  <c r="AZ56" i="1"/>
  <c r="AU56" i="1"/>
  <c r="AR56" i="1"/>
  <c r="AM56" i="1"/>
  <c r="AZ55" i="1"/>
  <c r="AU55" i="1"/>
  <c r="AR55" i="1"/>
  <c r="AM55" i="1"/>
  <c r="AZ54" i="1"/>
  <c r="AU54" i="1"/>
  <c r="AR54" i="1"/>
  <c r="AM54" i="1"/>
  <c r="AZ53" i="1"/>
  <c r="AU53" i="1"/>
  <c r="AR53" i="1"/>
  <c r="AM53" i="1"/>
  <c r="AZ52" i="1"/>
  <c r="AU52" i="1"/>
  <c r="AR52" i="1"/>
  <c r="AM52" i="1"/>
  <c r="AZ51" i="1"/>
  <c r="AU51" i="1"/>
  <c r="AR51" i="1"/>
  <c r="AM51" i="1"/>
  <c r="AZ50" i="1"/>
  <c r="AU50" i="1"/>
  <c r="AR50" i="1"/>
  <c r="AM50" i="1"/>
  <c r="AZ49" i="1"/>
  <c r="AU49" i="1"/>
  <c r="AR49" i="1"/>
  <c r="AM49" i="1"/>
  <c r="AZ48" i="1"/>
  <c r="AU48" i="1"/>
  <c r="AR48" i="1"/>
  <c r="AM48" i="1"/>
  <c r="AZ47" i="1"/>
  <c r="AU47" i="1"/>
  <c r="AR47" i="1"/>
  <c r="AM47" i="1"/>
  <c r="AZ46" i="1"/>
  <c r="AU46" i="1"/>
  <c r="AR46" i="1"/>
  <c r="AM46" i="1"/>
  <c r="AZ45" i="1"/>
  <c r="AU45" i="1"/>
  <c r="AR45" i="1"/>
  <c r="AM45" i="1"/>
  <c r="AZ44" i="1"/>
  <c r="AU44" i="1"/>
  <c r="AR44" i="1"/>
  <c r="AM44" i="1"/>
  <c r="AZ43" i="1"/>
  <c r="AU43" i="1"/>
  <c r="AR43" i="1"/>
  <c r="AM43" i="1"/>
  <c r="AZ42" i="1"/>
  <c r="AU42" i="1"/>
  <c r="AR42" i="1"/>
  <c r="AM42" i="1"/>
  <c r="AZ41" i="1"/>
  <c r="AU41" i="1"/>
  <c r="AR41" i="1"/>
  <c r="AM41" i="1"/>
  <c r="AZ40" i="1"/>
  <c r="AU40" i="1"/>
  <c r="AR40" i="1"/>
  <c r="AM40" i="1"/>
  <c r="AZ39" i="1"/>
  <c r="AU39" i="1"/>
  <c r="AR39" i="1"/>
  <c r="AM39" i="1"/>
  <c r="AZ38" i="1"/>
  <c r="AU38" i="1"/>
  <c r="AR38" i="1"/>
  <c r="AM38" i="1"/>
  <c r="AZ37" i="1"/>
  <c r="AU37" i="1"/>
  <c r="AR37" i="1"/>
  <c r="AM37" i="1"/>
  <c r="AZ36" i="1"/>
  <c r="AU36" i="1"/>
  <c r="AR36" i="1"/>
  <c r="AM36" i="1"/>
  <c r="AZ35" i="1"/>
  <c r="AU35" i="1"/>
  <c r="AR35" i="1"/>
  <c r="AM35" i="1"/>
  <c r="AZ34" i="1"/>
  <c r="AU34" i="1"/>
  <c r="AR34" i="1"/>
  <c r="AM34" i="1"/>
  <c r="AZ33" i="1"/>
  <c r="AU33" i="1"/>
  <c r="AR33" i="1"/>
  <c r="AM33" i="1"/>
  <c r="AZ32" i="1"/>
  <c r="AU32" i="1"/>
  <c r="AR32" i="1"/>
  <c r="AM32" i="1"/>
  <c r="AZ31" i="1"/>
  <c r="AU31" i="1"/>
  <c r="AR31" i="1"/>
  <c r="AM31" i="1"/>
  <c r="AZ30" i="1"/>
  <c r="AU30" i="1"/>
  <c r="AR30" i="1"/>
  <c r="AM30" i="1"/>
  <c r="AZ29" i="1"/>
  <c r="AU29" i="1"/>
  <c r="AR29" i="1"/>
  <c r="AM29" i="1"/>
  <c r="AZ28" i="1"/>
  <c r="AU28" i="1"/>
  <c r="AR28" i="1"/>
  <c r="AM28" i="1"/>
  <c r="AZ27" i="1"/>
  <c r="AU27" i="1"/>
  <c r="AR27" i="1"/>
  <c r="AM27" i="1"/>
  <c r="AZ26" i="1"/>
  <c r="AU26" i="1"/>
  <c r="AR26" i="1"/>
  <c r="AM26" i="1"/>
  <c r="AZ25" i="1"/>
  <c r="AU25" i="1"/>
  <c r="AR25" i="1"/>
  <c r="AM25" i="1"/>
  <c r="AZ24" i="1"/>
  <c r="AU24" i="1"/>
  <c r="AR24" i="1"/>
  <c r="AM24" i="1"/>
  <c r="AZ23" i="1"/>
  <c r="AU23" i="1"/>
  <c r="AR23" i="1"/>
  <c r="AM23" i="1"/>
  <c r="AZ22" i="1"/>
  <c r="AU22" i="1"/>
  <c r="AR22" i="1"/>
  <c r="AM22" i="1"/>
  <c r="AZ21" i="1"/>
  <c r="AU21" i="1"/>
  <c r="AR21" i="1"/>
  <c r="AM21" i="1"/>
  <c r="AZ20" i="1"/>
  <c r="AU20" i="1"/>
  <c r="AR20" i="1"/>
  <c r="AM20" i="1"/>
  <c r="AZ19" i="1"/>
  <c r="AU19" i="1"/>
  <c r="AR19" i="1"/>
  <c r="AM19" i="1"/>
  <c r="AZ18" i="1"/>
  <c r="AU18" i="1"/>
  <c r="AR18" i="1"/>
  <c r="AM18" i="1"/>
  <c r="AZ17" i="1"/>
  <c r="AU17" i="1"/>
  <c r="AR17" i="1"/>
  <c r="AM17" i="1"/>
  <c r="AZ16" i="1"/>
  <c r="AU16" i="1"/>
  <c r="AR16" i="1"/>
  <c r="AM16" i="1"/>
  <c r="AZ15" i="1"/>
  <c r="AU15" i="1"/>
  <c r="AR15" i="1"/>
  <c r="AM15" i="1"/>
  <c r="AZ14" i="1"/>
  <c r="AU14" i="1"/>
  <c r="AR14" i="1"/>
  <c r="AM14" i="1"/>
  <c r="AZ13" i="1"/>
  <c r="AU13" i="1"/>
  <c r="AR13" i="1"/>
  <c r="AM13" i="1"/>
  <c r="AZ12" i="1"/>
  <c r="AU12" i="1"/>
  <c r="AR12" i="1"/>
  <c r="AM12" i="1"/>
  <c r="AZ11" i="1"/>
  <c r="AU11" i="1"/>
  <c r="AR11" i="1"/>
  <c r="AM11" i="1"/>
  <c r="AZ10" i="1"/>
  <c r="AU10" i="1"/>
  <c r="AR10" i="1"/>
  <c r="AM10" i="1"/>
  <c r="AZ9" i="1"/>
  <c r="AU9" i="1"/>
  <c r="AR9" i="1"/>
  <c r="AM9" i="1"/>
  <c r="AZ8" i="1"/>
  <c r="AU8" i="1"/>
  <c r="AR8" i="1"/>
  <c r="AM8" i="1"/>
  <c r="AZ7" i="1"/>
  <c r="AU7" i="1"/>
  <c r="AR7" i="1"/>
  <c r="AM7" i="1"/>
  <c r="AZ6" i="1"/>
  <c r="AU6" i="1"/>
  <c r="AR6" i="1"/>
  <c r="AM6" i="1"/>
  <c r="AZ5" i="1"/>
  <c r="AU5" i="1"/>
  <c r="AR5" i="1"/>
  <c r="AM5" i="1"/>
  <c r="AZ4" i="1"/>
  <c r="AU4" i="1"/>
  <c r="AR4" i="1"/>
  <c r="AM4" i="1"/>
  <c r="AZ3" i="1"/>
  <c r="AU3" i="1"/>
  <c r="AR3" i="1"/>
  <c r="AM3" i="1"/>
  <c r="AZ2" i="1"/>
  <c r="AU2" i="1"/>
  <c r="AR2" i="1"/>
  <c r="A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T2" authorId="0" shapeId="0" xr:uid="{6879AD6C-4D05-2845-80EC-010F57583D2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Burak</t>
        </r>
      </text>
    </comment>
    <comment ref="U2" authorId="0" shapeId="0" xr:uid="{E1C6E9AF-E19D-D040-87DF-79AC6F2544B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Günay</t>
        </r>
      </text>
    </comment>
    <comment ref="T3" authorId="0" shapeId="0" xr:uid="{65E11261-74A7-9A43-B1FB-68938A9300F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Okan</t>
        </r>
      </text>
    </comment>
    <comment ref="U3" authorId="0" shapeId="0" xr:uid="{697FBD82-D44B-3444-9EE7-49827F0A378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Gökhan</t>
        </r>
      </text>
    </comment>
    <comment ref="BE3" authorId="0" shapeId="0" xr:uid="{38B0FA26-3C35-C84D-B730-2571AABF206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Gökhan Akkan (66)</t>
        </r>
      </text>
    </comment>
    <comment ref="T4" authorId="0" shapeId="0" xr:uid="{A36D2D54-DE18-1143-8699-4C2BC852820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Abdullah</t>
        </r>
      </text>
    </comment>
    <comment ref="U4" authorId="0" shapeId="0" xr:uid="{5B305CF6-00EA-EE47-8878-67A94F00DD4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Gianniotis</t>
        </r>
      </text>
    </comment>
    <comment ref="T5" authorId="0" shapeId="0" xr:uid="{BB92A13D-63DE-B449-9BEC-A18C0E6978B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Erdem</t>
        </r>
      </text>
    </comment>
    <comment ref="U5" authorId="0" shapeId="0" xr:uid="{D667FB8C-A00A-CD4E-B0EC-0E8013DDB46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Lis</t>
        </r>
      </text>
    </comment>
    <comment ref="T6" authorId="0" shapeId="0" xr:uid="{E31D19C5-AEE2-054E-8641-BB32AA07583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Berke</t>
        </r>
      </text>
    </comment>
    <comment ref="U6" authorId="0" shapeId="0" xr:uid="{C2C975CB-F694-CA4D-B5DA-8ABF2532A86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Bahadır</t>
        </r>
      </text>
    </comment>
    <comment ref="T7" authorId="0" shapeId="0" xr:uid="{23591F78-B090-EF4D-8513-C8292A9D14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Uğurcan</t>
        </r>
      </text>
    </comment>
    <comment ref="U7" authorId="0" shapeId="0" xr:uid="{8D110143-3619-D240-B43A-11A79F9572C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Jovanovic</t>
        </r>
      </text>
    </comment>
    <comment ref="T8" authorId="0" shapeId="0" xr:uid="{5F63FE40-ED68-B247-B9DC-8D2F3B42C7C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Günay</t>
        </r>
      </text>
    </comment>
    <comment ref="U8" authorId="0" shapeId="0" xr:uid="{9F855758-58B0-2345-A875-922F7294B6E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Grbic</t>
        </r>
      </text>
    </comment>
    <comment ref="BE8" authorId="0" shapeId="0" xr:uid="{9A372DAF-4873-8649-BBA9-1E1FD1F3DF7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Marius Tresor Doh (9)
Daniel Johnson (86)</t>
        </r>
      </text>
    </comment>
    <comment ref="T9" authorId="0" shapeId="0" xr:uid="{411FF449-94C8-9F4F-841F-4B26FE23937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Jovanovic</t>
        </r>
      </text>
    </comment>
    <comment ref="U9" authorId="0" shapeId="0" xr:uid="{314C212A-70B0-7B48-B272-95EF777121E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Okan</t>
        </r>
      </text>
    </comment>
    <comment ref="T10" authorId="0" shapeId="0" xr:uid="{0BE901BA-3EF4-C54F-91E9-AA045C3FD8A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Ertuğrul</t>
        </r>
      </text>
    </comment>
    <comment ref="U10" authorId="0" shapeId="0" xr:uid="{DB086582-0F66-DE47-9805-E163DAFF92A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Erdem</t>
        </r>
      </text>
    </comment>
    <comment ref="T11" authorId="0" shapeId="0" xr:uid="{FB666468-68BB-7440-AEC8-3E52D4A1CD6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Lis</t>
        </r>
      </text>
    </comment>
    <comment ref="U11" authorId="0" shapeId="0" xr:uid="{E7A090E3-D589-F742-841C-74FAEFF3A46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İrfan Can</t>
        </r>
      </text>
    </comment>
    <comment ref="T12" authorId="0" shapeId="0" xr:uid="{146A9755-6E7F-3943-8C55-8409631FD76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Gökhan</t>
        </r>
      </text>
    </comment>
    <comment ref="U12" authorId="0" shapeId="0" xr:uid="{2DA7F61F-9BB5-8F46-9426-C1F56ECE4C7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Abdullah</t>
        </r>
      </text>
    </comment>
    <comment ref="T13" authorId="0" shapeId="0" xr:uid="{E114F255-8743-6645-915B-FDFA87C3445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Deniz</t>
        </r>
      </text>
    </comment>
    <comment ref="U13" authorId="0" shapeId="0" xr:uid="{F5099824-E63D-0842-B3E8-1B67552F376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Zafer</t>
        </r>
      </text>
    </comment>
    <comment ref="T14" authorId="0" shapeId="0" xr:uid="{36995BC2-0828-3049-8FC0-5C3699531F4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Muhammed</t>
        </r>
      </text>
    </comment>
    <comment ref="U14" authorId="0" shapeId="0" xr:uid="{7551B835-D456-6A40-8337-D8A3A87F663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Bilal</t>
        </r>
      </text>
    </comment>
    <comment ref="T15" authorId="0" shapeId="0" xr:uid="{C30C3CA9-F52C-E74A-A2F8-89C18DFCEFC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Mert</t>
        </r>
      </text>
    </comment>
    <comment ref="U15" authorId="0" shapeId="0" xr:uid="{7AAAE2C6-9ED4-6B46-B71C-5436A05E9D4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Felipe</t>
        </r>
      </text>
    </comment>
    <comment ref="T16" authorId="0" shapeId="0" xr:uid="{6AED96B0-532B-2D4E-A0A8-7C9AC6D225B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Gianniotis</t>
        </r>
      </text>
    </comment>
    <comment ref="U16" authorId="0" shapeId="0" xr:uid="{A60ABDAB-E891-2349-A96C-A2E2F79F1AD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Uğurcan</t>
        </r>
      </text>
    </comment>
    <comment ref="T17" authorId="0" shapeId="0" xr:uid="{8E289876-8034-A246-B4FB-CE158E88089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Grbic</t>
        </r>
      </text>
    </comment>
    <comment ref="U17" authorId="0" shapeId="0" xr:uid="{BF587983-0DFB-9A46-9C81-5373E92BD72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Lis</t>
        </r>
      </text>
    </comment>
    <comment ref="BC17" authorId="0" shapeId="0" xr:uid="{582E20FE-8F3F-284E-ACBA-0C7F2E87C86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Ömer Faruk Gümüş (64)</t>
        </r>
      </text>
    </comment>
    <comment ref="T18" authorId="0" shapeId="0" xr:uid="{53D77525-23B4-1449-9C6B-6C8E5E4C192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İrfan Can</t>
        </r>
      </text>
    </comment>
    <comment ref="U18" authorId="0" shapeId="0" xr:uid="{D4FEEB85-D1BA-6947-923F-1C5B6967D10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Jovanovic</t>
        </r>
      </text>
    </comment>
    <comment ref="T19" authorId="0" shapeId="0" xr:uid="{BFF0E832-3426-E14E-86E8-C24B2462B08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Burak</t>
        </r>
      </text>
    </comment>
    <comment ref="U19" authorId="0" shapeId="0" xr:uid="{87824D62-F136-BB41-A456-B4C98F4D057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Gökhan</t>
        </r>
      </text>
    </comment>
    <comment ref="T20" authorId="0" shapeId="0" xr:uid="{68791AB0-D551-634E-9D7A-435705250E0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Uğurcan</t>
        </r>
      </text>
    </comment>
    <comment ref="U20" authorId="0" shapeId="0" xr:uid="{52615015-6148-A744-B480-99FA1F25764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Abdullah</t>
        </r>
      </text>
    </comment>
    <comment ref="T21" authorId="0" shapeId="0" xr:uid="{1E64FBD5-A131-2840-AE2A-DBF6A523B05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Bilal</t>
        </r>
      </text>
    </comment>
    <comment ref="U21" authorId="0" shapeId="0" xr:uid="{6CC6DBEE-246B-DB4B-93A9-DAF2C1F2211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Günay</t>
        </r>
      </text>
    </comment>
    <comment ref="T22" authorId="0" shapeId="0" xr:uid="{9BC13C76-90B4-7B45-8E7C-C4E5693B3D1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Felipe</t>
        </r>
      </text>
    </comment>
    <comment ref="U22" authorId="0" shapeId="0" xr:uid="{43EE8C4A-DE85-3044-A9E5-1F4D2FB003C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Ertuğrul</t>
        </r>
      </text>
    </comment>
    <comment ref="T23" authorId="0" shapeId="0" xr:uid="{7440AAEA-1B05-5347-BD4E-25D89D833A4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Lis</t>
        </r>
      </text>
    </comment>
    <comment ref="U23" authorId="0" shapeId="0" xr:uid="{CBAD238F-E37A-924D-8F79-3C04252C595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Deniz</t>
        </r>
      </text>
    </comment>
    <comment ref="T24" authorId="0" shapeId="0" xr:uid="{3010B3C6-1FAE-C543-AB8B-72DA88D6651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Gianniotis</t>
        </r>
      </text>
    </comment>
    <comment ref="U24" authorId="0" shapeId="0" xr:uid="{961E8A34-6693-6D4E-9F13-C2749908413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Burak</t>
        </r>
      </text>
    </comment>
    <comment ref="T25" authorId="0" shapeId="0" xr:uid="{AB796B46-7ABA-A24B-92EB-E3FD7281D58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Jovanovic</t>
        </r>
      </text>
    </comment>
    <comment ref="U25" authorId="0" shapeId="0" xr:uid="{2E578123-7BFE-1D45-ACE3-EF8030CD941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Bilal</t>
        </r>
      </text>
    </comment>
    <comment ref="T26" authorId="0" shapeId="0" xr:uid="{324BAD8E-DB3E-7943-9941-667887CD666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Cuesta</t>
        </r>
      </text>
    </comment>
    <comment ref="U26" authorId="0" shapeId="0" xr:uid="{4F951384-9FA0-164A-AE5F-D8891ED3C17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Grbic</t>
        </r>
      </text>
    </comment>
    <comment ref="T27" authorId="0" shapeId="0" xr:uid="{E31D7E95-5DE6-6D4D-9E02-6398B13F55A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Günay</t>
        </r>
      </text>
    </comment>
    <comment ref="U27" authorId="0" shapeId="0" xr:uid="{5250232F-F3E2-B04C-8057-20993EDEA72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Erdem</t>
        </r>
      </text>
    </comment>
    <comment ref="BE27" authorId="0" shapeId="0" xr:uid="{CD569E3C-F568-B34D-9057-2756EF206BC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Giannis Papanikolau (90+1)</t>
        </r>
      </text>
    </comment>
    <comment ref="T28" authorId="0" shapeId="0" xr:uid="{D5E49D2E-5780-694E-BED0-848C8282A8D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Deniz</t>
        </r>
      </text>
    </comment>
    <comment ref="U28" authorId="0" shapeId="0" xr:uid="{03247A0D-62A3-F447-A50F-77C1572D422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Felipe</t>
        </r>
      </text>
    </comment>
    <comment ref="T29" authorId="0" shapeId="0" xr:uid="{83D10827-0A96-694E-8EB9-D2B6FFC2053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Gökhan</t>
        </r>
      </text>
    </comment>
    <comment ref="U29" authorId="0" shapeId="0" xr:uid="{BB9B9837-5C9D-6144-AF84-A58DCF80AB0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Livakovic</t>
        </r>
      </text>
    </comment>
    <comment ref="T30" authorId="0" shapeId="0" xr:uid="{F406EEEE-7259-E14A-8323-0724E519346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Ertuğrul</t>
        </r>
      </text>
    </comment>
    <comment ref="U30" authorId="0" shapeId="0" xr:uid="{DF2F3112-4EE7-7348-9D39-99FA953A1A6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Mert</t>
        </r>
      </text>
    </comment>
    <comment ref="T31" authorId="0" shapeId="0" xr:uid="{96DF65E7-7382-044E-BA87-C4FB8B538A2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Uğurcan</t>
        </r>
      </text>
    </comment>
    <comment ref="U31" authorId="0" shapeId="0" xr:uid="{6C6C8938-6E75-FD42-AB5F-9F22F0A86AD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Okan </t>
        </r>
      </text>
    </comment>
    <comment ref="T32" authorId="0" shapeId="0" xr:uid="{A3366EED-0E9D-7545-B46E-61B346D613C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Felipe</t>
        </r>
      </text>
    </comment>
    <comment ref="U32" authorId="0" shapeId="0" xr:uid="{BEBA3690-4A2F-7C4B-8240-3D44F342191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Uğurcan</t>
        </r>
      </text>
    </comment>
    <comment ref="BC32" authorId="0" shapeId="0" xr:uid="{F49F39B4-5194-5A49-830E-2962418E197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Prince Ampem (88)</t>
        </r>
      </text>
    </comment>
    <comment ref="T33" authorId="0" shapeId="0" xr:uid="{A1C8A0CC-3DAF-FB4C-B9C3-990327D0A18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Grbic</t>
        </r>
      </text>
    </comment>
    <comment ref="U33" authorId="0" shapeId="0" xr:uid="{6EF0BC34-4EA7-CB49-B1D2-AFABE0E2A5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Gianniotis</t>
        </r>
      </text>
    </comment>
    <comment ref="T34" authorId="0" shapeId="0" xr:uid="{0D2BF36D-D10C-9743-8AA2-00C31D1B0EB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Okan</t>
        </r>
      </text>
    </comment>
    <comment ref="U34" authorId="0" shapeId="0" xr:uid="{06C21508-C31D-AB47-8650-F745FFCE471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Cuesta</t>
        </r>
      </text>
    </comment>
    <comment ref="T35" authorId="0" shapeId="0" xr:uid="{78E8035A-B696-F744-85DB-C917D628D18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Mert</t>
        </r>
      </text>
    </comment>
    <comment ref="U35" authorId="0" shapeId="0" xr:uid="{D8934278-BC1B-BA46-A52D-54B67FE773C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Muhammed</t>
        </r>
      </text>
    </comment>
    <comment ref="T36" authorId="0" shapeId="0" xr:uid="{2E50AD3D-D02C-8147-8DA0-94B9CAFC7DC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Deniz</t>
        </r>
      </text>
    </comment>
    <comment ref="U36" authorId="0" shapeId="0" xr:uid="{49812D63-8CFB-134B-AD59-D92AAA0D57C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Ertuğrul</t>
        </r>
      </text>
    </comment>
    <comment ref="BC36" authorId="0" shapeId="0" xr:uid="{E00F70E5-5FB9-8E43-958D-136E6938682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Riechedly Bazoer (78)</t>
        </r>
      </text>
    </comment>
    <comment ref="T37" authorId="0" shapeId="0" xr:uid="{D72B45CC-0D00-E04E-BB12-16E98FCF91B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Onurcan</t>
        </r>
      </text>
    </comment>
    <comment ref="U37" authorId="0" shapeId="0" xr:uid="{0A156606-BC42-8549-88F0-3F4B4FE40AB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Lis</t>
        </r>
      </text>
    </comment>
    <comment ref="T38" authorId="0" shapeId="0" xr:uid="{A1EB797F-E624-0141-9C77-F50F4F9237A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Ederson</t>
        </r>
      </text>
    </comment>
    <comment ref="U38" authorId="0" shapeId="0" xr:uid="{38E3A5A1-BC2D-4746-AADF-28E5811E945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Onana</t>
        </r>
      </text>
    </comment>
    <comment ref="T39" authorId="0" shapeId="0" xr:uid="{CC3528D4-B70F-A140-99FB-98B09A9CA1B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Burak</t>
        </r>
      </text>
    </comment>
    <comment ref="U39" authorId="0" shapeId="0" xr:uid="{1BB907ED-3F36-0348-85B2-F7D9193AEF5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Jovanovic</t>
        </r>
      </text>
    </comment>
    <comment ref="BE39" authorId="0" shapeId="0" xr:uid="{D05C47DB-EF8D-9A43-9423-FC8483885F2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Karol Linetty (78)</t>
        </r>
      </text>
    </comment>
    <comment ref="T40" authorId="0" shapeId="0" xr:uid="{4889BB6D-2BA7-3541-9F84-B9FC8F52D9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Fofana</t>
        </r>
      </text>
    </comment>
    <comment ref="U40" authorId="0" shapeId="0" xr:uid="{248F76D7-CADD-E941-B104-D133F5879B8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Erhan</t>
        </r>
      </text>
    </comment>
    <comment ref="T41" authorId="0" shapeId="0" xr:uid="{FCCAB901-9B22-8F45-9BF8-542209C9869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Grbic</t>
        </r>
      </text>
    </comment>
    <comment ref="U41" authorId="0" shapeId="0" xr:uid="{591B0E48-E6C8-C84A-9950-2D171259100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Muhammed</t>
        </r>
      </text>
    </comment>
    <comment ref="T42" authorId="0" shapeId="0" xr:uid="{045AE8FD-D1F6-4445-8DD6-58238D4E37D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İrfan Can</t>
        </r>
      </text>
    </comment>
    <comment ref="U42" authorId="0" shapeId="0" xr:uid="{E179E00E-43D7-464A-9E4C-2003A6393B8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Ertuğrul</t>
        </r>
      </text>
    </comment>
    <comment ref="BC42" authorId="0" shapeId="0" xr:uid="{63C558E1-78F3-7C43-B47D-DDDA069318A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İrfan Can Eğribayat (90+2)</t>
        </r>
      </text>
    </comment>
    <comment ref="T43" authorId="0" shapeId="0" xr:uid="{BDF663E2-93BB-C44B-9284-5EA9396326D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Okan</t>
        </r>
      </text>
    </comment>
    <comment ref="U43" authorId="0" shapeId="0" xr:uid="{FC4C3B82-B1E8-E64E-986B-A126ABB77AB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Gianniotis</t>
        </r>
      </text>
    </comment>
    <comment ref="T44" authorId="0" shapeId="0" xr:uid="{584210A1-39A4-AF40-8FB9-DD12AE2EF7C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Lis</t>
        </r>
      </text>
    </comment>
    <comment ref="U44" authorId="0" shapeId="0" xr:uid="{2D3E7F44-E2DA-AB4E-955F-B70A3CD0C41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Mert</t>
        </r>
      </text>
    </comment>
    <comment ref="T45" authorId="0" shapeId="0" xr:uid="{358FBB71-9BF5-0549-82DF-40B57590C00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Erhan</t>
        </r>
      </text>
    </comment>
    <comment ref="U45" authorId="0" shapeId="0" xr:uid="{B96C843A-75DB-254A-AB82-6AA604C8D96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Felipe</t>
        </r>
      </text>
    </comment>
    <comment ref="T46" authorId="0" shapeId="0" xr:uid="{F57F1C87-CF6D-EE4D-B36D-4695075E8EB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Cuesta</t>
        </r>
      </text>
    </comment>
    <comment ref="U46" authorId="0" shapeId="0" xr:uid="{D0B54AF4-507C-8E49-AFD2-A8E8F094E4B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Bilal</t>
        </r>
      </text>
    </comment>
    <comment ref="T47" authorId="0" shapeId="0" xr:uid="{E0714C59-F0B4-9C44-9003-EA26DCC23CF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Onana</t>
        </r>
      </text>
    </comment>
    <comment ref="U47" authorId="0" shapeId="0" xr:uid="{9DC9A8CB-94B4-6441-A320-BF182F6E34A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Burak</t>
        </r>
      </text>
    </comment>
    <comment ref="BE47" authorId="0" shapeId="0" xr:uid="{52DF93F2-DE55-CB45-A6AD-177FFFB39D7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Mustafa Burak Bozan (69)</t>
        </r>
      </text>
    </comment>
    <comment ref="T48" authorId="0" shapeId="0" xr:uid="{B7BFAD5B-96DA-FC4D-983F-54521C24FBA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Muhammed</t>
        </r>
      </text>
    </comment>
    <comment ref="U48" authorId="0" shapeId="0" xr:uid="{36A35AF3-E556-744B-A11B-4D2E4F3CB70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Ertuğrul</t>
        </r>
      </text>
    </comment>
    <comment ref="BC48" authorId="0" shapeId="0" xr:uid="{498A9CC6-8834-284D-AA8C-63D6E688529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Ousseynou Ba (50)</t>
        </r>
      </text>
    </comment>
    <comment ref="BE48" authorId="0" shapeId="0" xr:uid="{FC02BB1F-60D7-4E4B-96CB-E0AD3C6D9EC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Gaius Makouta (28)</t>
        </r>
      </text>
    </comment>
    <comment ref="T49" authorId="0" shapeId="0" xr:uid="{24CE0670-9259-AE44-9D50-2D5600BB4E3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Jovanovic</t>
        </r>
      </text>
    </comment>
    <comment ref="U49" authorId="0" shapeId="0" xr:uid="{DC93F285-28CF-294B-B7C1-18D1961E21F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Fofana</t>
        </r>
      </text>
    </comment>
    <comment ref="T50" authorId="0" shapeId="0" xr:uid="{6B073A76-857D-5847-9FEB-8BC5C63A512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Gianniotis</t>
        </r>
      </text>
    </comment>
    <comment ref="U50" authorId="0" shapeId="0" xr:uid="{D2696A08-C4F0-304B-8E09-044926FB30D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Ederson</t>
        </r>
      </text>
    </comment>
    <comment ref="BC50" authorId="0" shapeId="0" xr:uid="{A0C4A128-8386-DF44-B13B-9C5C571BE39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Andreas Gianniotis (2)</t>
        </r>
      </text>
    </comment>
    <comment ref="T51" authorId="0" shapeId="0" xr:uid="{1714C5A6-A574-2C41-A6A8-056BCC1A72D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Okan </t>
        </r>
      </text>
    </comment>
    <comment ref="U51" authorId="0" shapeId="0" xr:uid="{41955042-72CA-5F49-9C5F-D25AEAA9DB1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Grbic</t>
        </r>
      </text>
    </comment>
    <comment ref="BE51" authorId="0" shapeId="0" xr:uid="{769609D8-8017-4B44-B6F2-92FC185DDE3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Ricardo Esgaio (90+2)</t>
        </r>
      </text>
    </comment>
    <comment ref="T52" authorId="0" shapeId="0" xr:uid="{E01A71AA-6C8C-9848-A927-5637B556FA8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Uğurcan</t>
        </r>
      </text>
    </comment>
    <comment ref="U52" authorId="0" shapeId="0" xr:uid="{1D649992-404A-5646-B53E-76101E10662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Deniz</t>
        </r>
      </text>
    </comment>
    <comment ref="T53" authorId="0" shapeId="0" xr:uid="{A1B1CB61-3433-7C4F-BA8E-992B995A01B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Bilal</t>
        </r>
      </text>
    </comment>
    <comment ref="U53" authorId="0" shapeId="0" xr:uid="{278CC261-B8FB-C749-A415-5EA7854ECA1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Mert</t>
        </r>
      </text>
    </comment>
    <comment ref="BC53" authorId="0" shapeId="0" xr:uid="{8A024956-CAF7-A341-99D4-0906FA3730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Kayra Cihan (45)</t>
        </r>
      </text>
    </comment>
    <comment ref="T54" authorId="0" shapeId="0" xr:uid="{0454A5D3-636A-2340-B78C-269BBBBCAC0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Ertuğrul</t>
        </r>
      </text>
    </comment>
    <comment ref="U54" authorId="0" shapeId="0" xr:uid="{AABCE20A-FAE3-3D4E-BFE1-3F8F7270CD8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Uğurcan</t>
        </r>
      </text>
    </comment>
    <comment ref="T55" authorId="0" shapeId="0" xr:uid="{2F4239AD-0982-2B42-9C45-72CC6E207E6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Felipe</t>
        </r>
      </text>
    </comment>
    <comment ref="U55" authorId="0" shapeId="0" xr:uid="{B8BDACEF-C818-484E-9319-4D83D06B68B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Lis</t>
        </r>
      </text>
    </comment>
    <comment ref="T56" authorId="0" shapeId="0" xr:uid="{05228455-D342-2A4D-9334-599BEAD9D80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Burak</t>
        </r>
      </text>
    </comment>
    <comment ref="U56" authorId="0" shapeId="0" xr:uid="{960132D7-CA80-EF46-92C3-5A150A5CFB5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Okan </t>
        </r>
      </text>
    </comment>
    <comment ref="T57" authorId="0" shapeId="0" xr:uid="{CFC309DF-7102-8546-98AB-2C8363C4965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Grbic</t>
        </r>
      </text>
    </comment>
    <comment ref="U57" authorId="0" shapeId="0" xr:uid="{BA6F2F15-4D0C-B449-AC92-73369A0AEF1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Onana</t>
        </r>
      </text>
    </comment>
    <comment ref="BE57" authorId="0" shapeId="0" xr:uid="{D674F2CC-D295-D84E-A438-4D99373AC70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Arif Boşluk (90+1)</t>
        </r>
      </text>
    </comment>
    <comment ref="T58" authorId="0" shapeId="0" xr:uid="{3BB91B50-0C70-004A-A156-7902D08DB5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Fofana</t>
        </r>
      </text>
    </comment>
    <comment ref="U58" authorId="0" shapeId="0" xr:uid="{D7F5F4CD-256C-F048-9B32-77759AB2B4C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Gianniotis</t>
        </r>
      </text>
    </comment>
    <comment ref="BC58" authorId="0" shapeId="0" xr:uid="{983B060F-1A42-B249-890C-9ABE62BADF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Yahia Fofana (34 ve 90+2)</t>
        </r>
      </text>
    </comment>
    <comment ref="T59" authorId="0" shapeId="0" xr:uid="{4322FEB4-7C4E-D548-8E2E-E2C2E1A969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Deniz</t>
        </r>
      </text>
    </comment>
    <comment ref="U59" authorId="0" shapeId="0" xr:uid="{E1E7F5A4-495F-044E-92E4-BD5B2D01511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Muhammed</t>
        </r>
      </text>
    </comment>
    <comment ref="T60" authorId="0" shapeId="0" xr:uid="{93387AC6-E5AC-824A-AF5F-8A18A486755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Ederson</t>
        </r>
      </text>
    </comment>
    <comment ref="U60" authorId="0" shapeId="0" xr:uid="{0E017DB7-BD87-974D-8D43-463B9892DF9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Cuesta</t>
        </r>
      </text>
    </comment>
    <comment ref="BE60" authorId="0" shapeId="0" xr:uid="{24BA7EEE-4E14-FF4D-91DE-CAB2ECC4117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Julian Cuesta (90+1)</t>
        </r>
      </text>
    </comment>
    <comment ref="T61" authorId="0" shapeId="0" xr:uid="{80EE8AAE-EDE0-9A49-BD08-30628B39C12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Bilal</t>
        </r>
      </text>
    </comment>
    <comment ref="U61" authorId="0" shapeId="0" xr:uid="{206208CA-52B1-8649-AC6F-08E817B6436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Erhan</t>
        </r>
      </text>
    </comment>
    <comment ref="T62" authorId="0" shapeId="0" xr:uid="{CED1139A-107A-A545-B385-F91D6D835F9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Mert</t>
        </r>
      </text>
    </comment>
    <comment ref="U62" authorId="0" shapeId="0" xr:uid="{264FC947-6256-2D4F-9D5C-5C22DF07A60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Jovanovic</t>
        </r>
      </text>
    </comment>
    <comment ref="BE62" authorId="0" shapeId="0" xr:uid="{D33DA7C7-7BE2-DA41-BA52-9208E82EFED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Batond Balogh (3)
Aleksandar Jovanovic (9)</t>
        </r>
      </text>
    </comment>
    <comment ref="T63" authorId="0" shapeId="0" xr:uid="{82CB85F9-BFC4-094F-A9AB-F1B516A92C3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Cuesta</t>
        </r>
      </text>
    </comment>
    <comment ref="U63" authorId="0" shapeId="0" xr:uid="{47BC225B-6DFB-824D-8516-61F205DA09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Fofana</t>
        </r>
      </text>
    </comment>
    <comment ref="BC63" authorId="0" shapeId="0" xr:uid="{6D969226-FEC6-E84C-A4C0-8202FD36E52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Sander van de Streek (47)
Julian Cuesta (90)</t>
        </r>
      </text>
    </comment>
    <comment ref="T64" authorId="0" shapeId="0" xr:uid="{A1EC9ECF-CBB0-F94D-98BA-FFA71FCDA27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Onana</t>
        </r>
      </text>
    </comment>
    <comment ref="U64" authorId="0" shapeId="0" xr:uid="{589EC885-C42A-564E-B4AA-4293FF3B0B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Bilal</t>
        </r>
      </text>
    </comment>
    <comment ref="BE64" authorId="0" shapeId="0" xr:uid="{9254BDD4-3012-0D42-AF38-1F6CCEFD0C3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Bilal Beyazıt (11)</t>
        </r>
      </text>
    </comment>
    <comment ref="T65" authorId="0" shapeId="0" xr:uid="{BFCE81BD-27BC-7044-AB72-A3A820FE5C2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Erentürk</t>
        </r>
      </text>
    </comment>
    <comment ref="U65" authorId="0" shapeId="0" xr:uid="{535ED84A-D2D8-3049-9C73-4430971B01A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Taşkıran</t>
        </r>
      </text>
    </comment>
    <comment ref="T66" authorId="0" shapeId="0" xr:uid="{84D46019-6116-DF43-9B5F-077FCD29D22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Jovanovic</t>
        </r>
      </text>
    </comment>
    <comment ref="U66" authorId="0" shapeId="0" xr:uid="{2E1525C1-B0FC-E049-B411-3FCE406F80B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Felipe</t>
        </r>
      </text>
    </comment>
    <comment ref="T67" authorId="0" shapeId="0" xr:uid="{DD0E6386-968E-1D40-A01D-0B8678F7EA5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Çakır</t>
        </r>
      </text>
    </comment>
    <comment ref="U67" authorId="0" shapeId="0" xr:uid="{1A2C3528-BA11-2D47-A8FC-7F33FBFAD72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Günok</t>
        </r>
      </text>
    </comment>
    <comment ref="BE67" authorId="0" shapeId="0" xr:uid="{247AFF5E-BBDD-EC49-BF82-ECA83A12098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Wilfred Ndidi (54)</t>
        </r>
      </text>
    </comment>
    <comment ref="T68" authorId="0" shapeId="0" xr:uid="{6C68711F-1CB8-7F47-AA15-98D0C4BACCD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Gianniotis</t>
        </r>
      </text>
    </comment>
    <comment ref="U68" authorId="0" shapeId="0" xr:uid="{F94DC15F-B8A6-644B-83A7-B02DC76A831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Ertaş</t>
        </r>
      </text>
    </comment>
    <comment ref="T69" authorId="0" shapeId="0" xr:uid="{645F7BBA-2B76-5842-853C-AC88ABBA8B4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Grbic</t>
        </r>
      </text>
    </comment>
    <comment ref="U69" authorId="0" shapeId="0" xr:uid="{70E26D46-A19E-4C49-9A2E-B491E0B745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Bozan</t>
        </r>
      </text>
    </comment>
    <comment ref="T70" authorId="0" shapeId="0" xr:uid="{973522EC-D7B6-1442-88EB-14F1DF20FB6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Lis</t>
        </r>
      </text>
    </comment>
    <comment ref="U70" authorId="0" shapeId="0" xr:uid="{EE74AD1C-DDC1-034E-AA6A-4035998331D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Şengezer</t>
        </r>
      </text>
    </comment>
    <comment ref="T71" authorId="0" shapeId="0" xr:uid="{1E1035DD-6905-4D4B-BCD4-6F44A43DDAE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Koçuk</t>
        </r>
      </text>
    </comment>
    <comment ref="U71" authorId="0" shapeId="0" xr:uid="{50EF8252-3014-A143-A647-32403CEDC10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Çetin</t>
        </r>
      </text>
    </comment>
    <comment ref="T72" authorId="0" shapeId="0" xr:uid="{9123AE10-1CED-7049-8866-62B837B22E9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Deniz Ertaş</t>
        </r>
      </text>
    </comment>
    <comment ref="U72" authorId="0" shapeId="0" xr:uid="{0EA3BE20-67C8-6546-8CF5-C597B6E25B0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Aleksandar Jovanov</t>
        </r>
      </text>
    </comment>
    <comment ref="T73" authorId="0" shapeId="0" xr:uid="{ED587AB7-9379-774C-94BD-6F699AD9251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Mert Günok</t>
        </r>
      </text>
    </comment>
    <comment ref="U73" authorId="0" shapeId="0" xr:uid="{B21ABD7B-23E9-394B-A0DA-3744EE3D337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Erhan Erentürk</t>
        </r>
      </text>
    </comment>
    <comment ref="T74" authorId="0" shapeId="0" xr:uid="{D73960B9-4436-6449-9DA9-C79F54F21B4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Yahia Fofana</t>
        </r>
      </text>
    </comment>
    <comment ref="U74" authorId="0" shapeId="0" xr:uid="{D17E65D7-9A88-9D48-9D09-0CF9A29449C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Andre Onana</t>
        </r>
      </text>
    </comment>
    <comment ref="BE74" authorId="0" shapeId="0" xr:uid="{6B0DFB93-67F5-BC41-9077-233FCF5A85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Arseniy Batagov (26)</t>
        </r>
      </text>
    </comment>
    <comment ref="T75" authorId="0" shapeId="0" xr:uid="{417B4C5F-5FC8-6A4C-BBB7-90203856257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Muhammed Şengezer</t>
        </r>
      </text>
    </comment>
    <comment ref="U75" authorId="0" shapeId="0" xr:uid="{171092C5-A5C5-0246-B061-D246C8CD67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Uğurcan Çakır</t>
        </r>
      </text>
    </comment>
    <comment ref="T76" authorId="0" shapeId="0" xr:uid="{D549E801-922F-6F48-94A4-DE6AF3B27C4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Beyazıt</t>
        </r>
      </text>
    </comment>
    <comment ref="U76" authorId="0" shapeId="0" xr:uid="{33840F6F-4FA8-4641-A443-6F40CA46259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Koçuk</t>
        </r>
      </text>
    </comment>
    <comment ref="BC76" authorId="0" shapeId="0" xr:uid="{798FFD98-9ADA-864C-AA60-4D1FFD42248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Bilal Beyazıt (71)</t>
        </r>
      </text>
    </comment>
    <comment ref="T77" authorId="0" shapeId="0" xr:uid="{6F5801DE-A332-1040-AEF7-F8805688C77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Taşkıran</t>
        </r>
      </text>
    </comment>
    <comment ref="U77" authorId="0" shapeId="0" xr:uid="{490E4DD7-4A4F-9B41-8992-FD53A42064E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Lis</t>
        </r>
      </text>
    </comment>
    <comment ref="T78" authorId="0" shapeId="0" xr:uid="{6FEABE6F-072B-6D44-B2F4-D0B43938636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Bozan</t>
        </r>
      </text>
    </comment>
    <comment ref="U78" authorId="0" shapeId="0" xr:uid="{8F2AFA8C-5E84-2B40-8670-1D6DEF8107F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Cuesta</t>
        </r>
      </text>
    </comment>
    <comment ref="BE78" authorId="0" shapeId="0" xr:uid="{6B4D525A-448A-9845-BE00-FB4F359BA4F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Abdülkadir Ömür (3)</t>
        </r>
      </text>
    </comment>
    <comment ref="T79" authorId="0" shapeId="0" xr:uid="{8FF96F1E-D216-1C42-B275-035639AE409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Çetin</t>
        </r>
      </text>
    </comment>
    <comment ref="U79" authorId="0" shapeId="0" xr:uid="{C831B4B4-E60F-D64C-B4E3-AE8CE6E9640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Grbic</t>
        </r>
      </text>
    </comment>
    <comment ref="T80" authorId="0" shapeId="0" xr:uid="{462C2B51-F899-404F-8F56-7F6D8C40529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Felipe</t>
        </r>
      </text>
    </comment>
    <comment ref="U80" authorId="0" shapeId="0" xr:uid="{3099A710-ABB7-D547-BD74-F4E31165FEA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Gianniotis</t>
        </r>
      </text>
    </comment>
    <comment ref="T81" authorId="0" shapeId="0" xr:uid="{32FFDAAC-79CA-864E-A7EE-5CEAECA3C0C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Canpolat</t>
        </r>
      </text>
    </comment>
    <comment ref="U81" authorId="0" shapeId="0" xr:uid="{6EF3BAC5-6A70-184A-955A-DE1671DD521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Şengezer</t>
        </r>
      </text>
    </comment>
    <comment ref="T82" authorId="0" shapeId="0" xr:uid="{25E91433-3E1B-0D4B-83DB-3A0041D9F38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Ertaş</t>
        </r>
      </text>
    </comment>
    <comment ref="U82" authorId="0" shapeId="0" xr:uid="{408FEC0C-C93B-CC4D-9ADA-5767BDF39A8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Destanoğlu</t>
        </r>
      </text>
    </comment>
    <comment ref="BC82" authorId="0" shapeId="0" xr:uid="{C7ECF400-7D91-044C-9AE4-AC9A72FE7EE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Deniz Ertaş (71)</t>
        </r>
      </text>
    </comment>
    <comment ref="T83" authorId="0" shapeId="0" xr:uid="{492385DB-68D1-AA46-9F31-1B0EC168748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Grbic</t>
        </r>
      </text>
    </comment>
    <comment ref="U83" authorId="0" shapeId="0" xr:uid="{DE874787-CC06-1B45-BE5F-F99ACAB0678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Beyazıt</t>
        </r>
      </text>
    </comment>
    <comment ref="T84" authorId="0" shapeId="0" xr:uid="{0F166E4A-3D99-6044-BD3A-6EC461ED837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Jovanovic</t>
        </r>
      </text>
    </comment>
    <comment ref="U84" authorId="0" shapeId="0" xr:uid="{55406A71-6DDC-5F44-91FA-D13F6D5FD04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Taşkıran</t>
        </r>
      </text>
    </comment>
    <comment ref="T85" authorId="0" shapeId="0" xr:uid="{B4D8DFF9-9FD6-844A-A51C-BE248791FA1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Onana</t>
        </r>
      </text>
    </comment>
    <comment ref="U85" authorId="0" shapeId="0" xr:uid="{7E5927C4-B5A4-7749-AA11-3BA12390398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Felipe</t>
        </r>
      </text>
    </comment>
    <comment ref="BE85" authorId="0" shapeId="0" xr:uid="{C4CB0D60-3AEC-9240-80A4-B23ADD51996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Mateusz Legowski (11)</t>
        </r>
      </text>
    </comment>
    <comment ref="T86" authorId="0" shapeId="0" xr:uid="{6CFF3055-20A2-B847-8551-B12285CBFBD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Yiğiter</t>
        </r>
      </text>
    </comment>
    <comment ref="U86" authorId="0" shapeId="0" xr:uid="{62AAFE43-D19F-6E4E-969F-6EA204CCC8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Şengezer</t>
        </r>
      </text>
    </comment>
    <comment ref="BB86" authorId="0" shapeId="0" xr:uid="{3A4A3585-C5C6-8840-A9AC-C1C658A51C5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Samet Karakoç (82)</t>
        </r>
      </text>
    </comment>
    <comment ref="BD86" authorId="0" shapeId="0" xr:uid="{AB62E4C0-D215-CE48-91E0-99B8DCC57BB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Christopher Operi (46)</t>
        </r>
      </text>
    </comment>
    <comment ref="T87" authorId="0" shapeId="0" xr:uid="{4A019EDB-E56D-DD4A-A782-A7951942BF4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Çakır</t>
        </r>
      </text>
    </comment>
    <comment ref="U87" authorId="0" shapeId="0" xr:uid="{A80B6354-F89C-CF47-BEAE-78D7C69534C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Lis</t>
        </r>
      </text>
    </comment>
    <comment ref="BB87" authorId="0" shapeId="0" xr:uid="{22A999F2-205E-FD4D-8F33-AA992A9A55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Abdülkerim Bardakçı (71)</t>
        </r>
      </text>
    </comment>
    <comment ref="BE87" authorId="0" shapeId="0" xr:uid="{D9917153-D93A-EC4C-88A6-241FC8FFF00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Furkan Bayır (18)</t>
        </r>
      </text>
    </comment>
    <comment ref="T88" authorId="0" shapeId="0" xr:uid="{1B8A6DA4-1EA2-E142-AC56-7CD181D8D03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Erentürk</t>
        </r>
      </text>
    </comment>
    <comment ref="U88" authorId="0" shapeId="0" xr:uid="{900D8287-8C37-9248-B9CE-60790D14945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Güngördü</t>
        </r>
      </text>
    </comment>
    <comment ref="BB88" authorId="0" shapeId="0" xr:uid="{6A9E9F44-CDB4-A748-89E6-117D39898AD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Göktan Gürpüz (13)</t>
        </r>
      </text>
    </comment>
    <comment ref="BC88" authorId="0" shapeId="0" xr:uid="{B28D439D-26D8-1843-9FC4-97A0E8D09A6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Thalisson Kelven (45+1)</t>
        </r>
      </text>
    </comment>
    <comment ref="BD88" authorId="0" shapeId="0" xr:uid="{A0CB8378-0BC7-F14C-86BD-CA76293D803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Bahadır Güngördü (25)</t>
        </r>
      </text>
    </comment>
    <comment ref="T89" authorId="0" shapeId="0" xr:uid="{789A7CC5-CB94-8D4C-A4F0-10A3F0C3E7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Gianniotis</t>
        </r>
      </text>
    </comment>
    <comment ref="U89" authorId="0" shapeId="0" xr:uid="{6692183F-0BA9-AA46-84DE-1184A6FA9F1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Destanoğlu</t>
        </r>
      </text>
    </comment>
    <comment ref="BD89" authorId="0" shapeId="0" xr:uid="{44834529-F2F6-C846-8CF2-FE69D528322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Rıdvan Yılmaz (27)</t>
        </r>
      </text>
    </comment>
    <comment ref="BE89" authorId="0" shapeId="0" xr:uid="{F95BA6EC-B2DD-124F-B830-F5ADFA8D4F5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Ersin Destanoğlu (32)</t>
        </r>
      </text>
    </comment>
    <comment ref="T90" authorId="0" shapeId="0" xr:uid="{87BC55E2-B539-4746-849E-B4B7F44FB30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Bozan</t>
        </r>
      </text>
    </comment>
    <comment ref="U90" authorId="0" shapeId="0" xr:uid="{5C45E8D9-F226-AF42-A278-B3AD41E2E13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Ederson</t>
        </r>
      </text>
    </comment>
    <comment ref="BB90" authorId="0" shapeId="0" xr:uid="{C8D619A4-BB17-BC42-9C96-2F0296A678B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Kevin Rodrigues (65)</t>
        </r>
      </text>
    </comment>
    <comment ref="T91" authorId="0" shapeId="0" xr:uid="{DB5BDB11-283E-E041-BF76-51F32DD4183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Koçuk</t>
        </r>
      </text>
    </comment>
    <comment ref="U91" authorId="0" shapeId="0" xr:uid="{B5961EB8-2879-F34E-A9BB-481A2836D1F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Canpolat</t>
        </r>
      </text>
    </comment>
    <comment ref="BD91" authorId="0" shapeId="0" xr:uid="{AAD80927-378F-0B4B-AC6C-0B8EE517BA8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Giannis Papanikolau (4)</t>
        </r>
      </text>
    </comment>
    <comment ref="T92" authorId="0" shapeId="0" xr:uid="{45CA377A-4B86-EE4E-8A9C-A3579241010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Şengezer</t>
        </r>
      </text>
    </comment>
    <comment ref="U92" authorId="0" shapeId="0" xr:uid="{7B9BD1AA-F7A8-9248-B7ED-8D2D0625696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Jovanovic</t>
        </r>
      </text>
    </comment>
    <comment ref="BB92" authorId="0" shapeId="0" xr:uid="{E2F35A90-46E5-484A-8C48-AEC9CBCC483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Nuno da Costa (37)
Ousseynou Ba (40)</t>
        </r>
      </text>
    </comment>
    <comment ref="BD92" authorId="0" shapeId="0" xr:uid="{A15329F3-A039-864C-89DA-5E64AC5083B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Habib Keita (1)
Habib Keita (72)</t>
        </r>
      </text>
    </comment>
    <comment ref="T93" authorId="0" shapeId="0" xr:uid="{4A27C505-8628-6048-ABA1-E3195A1DF80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Lis</t>
        </r>
      </text>
    </comment>
    <comment ref="U93" authorId="0" shapeId="0" xr:uid="{4A492C7E-18E0-2D41-972D-CC54E5D3C57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Erentürk</t>
        </r>
      </text>
    </comment>
    <comment ref="T94" authorId="0" shapeId="0" xr:uid="{BE3D5443-B930-9644-95D4-BDDF4B38EB0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Çakır</t>
        </r>
      </text>
    </comment>
    <comment ref="U94" authorId="0" shapeId="0" xr:uid="{146016AC-3850-DC4D-91C0-D768B7A9903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Onana</t>
        </r>
      </text>
    </comment>
    <comment ref="T95" authorId="0" shapeId="0" xr:uid="{B8A4B925-63E2-EA43-BD6F-EA5DDDF03EE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Güngördü</t>
        </r>
      </text>
    </comment>
    <comment ref="U95" authorId="0" shapeId="0" xr:uid="{3594DE34-65C4-7543-9045-7750BF4AA9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Koçuk</t>
        </r>
      </text>
    </comment>
    <comment ref="BB95" authorId="0" shapeId="0" xr:uid="{CD7E7F9E-5113-3546-94FD-BEFA3BB983A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Enis Bardhi (83)</t>
        </r>
      </text>
    </comment>
    <comment ref="BC95" authorId="0" shapeId="0" xr:uid="{30264CA3-1B2F-B844-A5C8-36D09A2FAE6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Yhoan Andzouana (4)</t>
        </r>
      </text>
    </comment>
    <comment ref="T96" authorId="0" shapeId="0" xr:uid="{D84165AA-8C85-374D-8A7C-16C4D26F432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Piri</t>
        </r>
      </text>
    </comment>
    <comment ref="U96" authorId="0" shapeId="0" xr:uid="{E917D231-1323-AF4E-A117-239D77C71F1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Gianniotis</t>
        </r>
      </text>
    </comment>
    <comment ref="T97" authorId="0" shapeId="0" xr:uid="{1FC14B9F-4933-F944-999B-757E3123C22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Destanoğlu </t>
        </r>
      </text>
    </comment>
    <comment ref="U97" authorId="0" shapeId="0" xr:uid="{DF660428-C06D-7547-9B38-78D2EBF7564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Ederson</t>
        </r>
      </text>
    </comment>
    <comment ref="BB97" authorId="0" shapeId="0" xr:uid="{C05BD412-0869-5F47-B446-A46A73C63EC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Rıdvan Yılmaz (85)</t>
        </r>
      </text>
    </comment>
    <comment ref="BC97" authorId="0" shapeId="0" xr:uid="{56D29D7D-3A3F-D840-A932-46F3055156B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Gökhan Sazdağı (31)
Emirhan Topçu (82)</t>
        </r>
      </text>
    </comment>
    <comment ref="BE97" authorId="0" shapeId="0" xr:uid="{624EA9B6-6615-1F40-944B-71706DB2BDE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Edson Alvarez (21)</t>
        </r>
      </text>
    </comment>
  </commentList>
</comments>
</file>

<file path=xl/sharedStrings.xml><?xml version="1.0" encoding="utf-8"?>
<sst xmlns="http://schemas.openxmlformats.org/spreadsheetml/2006/main" count="271" uniqueCount="97">
  <si>
    <t>Tarih</t>
  </si>
  <si>
    <t>Hafta</t>
  </si>
  <si>
    <t>EV</t>
  </si>
  <si>
    <t>EV Skor</t>
  </si>
  <si>
    <t>DEP Skor</t>
  </si>
  <si>
    <t>DEP</t>
  </si>
  <si>
    <t>Takım/Dakika/Olay Notları</t>
  </si>
  <si>
    <t>EV Topa Sahip Olma</t>
  </si>
  <si>
    <t>DEP Topa Sahip Olma</t>
  </si>
  <si>
    <t>EV xG</t>
  </si>
  <si>
    <t>DEP xG</t>
  </si>
  <si>
    <t>EV Büyük Şans</t>
  </si>
  <si>
    <t>DEP Büyük Şans</t>
  </si>
  <si>
    <t>EV Toplam Şut</t>
  </si>
  <si>
    <t>DEP Toplam Şut</t>
  </si>
  <si>
    <t>EV Kaleci Kurtarışı</t>
  </si>
  <si>
    <t>DEP Kaleci Kurtarışı</t>
  </si>
  <si>
    <t>EV Kritik Kaleci Kurtarışı</t>
  </si>
  <si>
    <t>DEP Kritik Kaleci Kurtarışı</t>
  </si>
  <si>
    <t>EV Kaleci Performans</t>
  </si>
  <si>
    <t>DEP Kaleci Performans</t>
  </si>
  <si>
    <t>EV Korner</t>
  </si>
  <si>
    <t>DEP Korner</t>
  </si>
  <si>
    <t>EV Faul</t>
  </si>
  <si>
    <t>DEP Faul</t>
  </si>
  <si>
    <t>EV Pas</t>
  </si>
  <si>
    <t>DEP Pas</t>
  </si>
  <si>
    <t>EV Top Kapma</t>
  </si>
  <si>
    <t>DEP Top Kapma</t>
  </si>
  <si>
    <t>EV Serbest Vuruşu</t>
  </si>
  <si>
    <t>DEP Serbest Vuruş</t>
  </si>
  <si>
    <t>EV Sarı Kart</t>
  </si>
  <si>
    <t>DEP Sarı Kart</t>
  </si>
  <si>
    <t xml:space="preserve">EV Kırmızı Kart </t>
  </si>
  <si>
    <t>DEP Kırmızı Kart</t>
  </si>
  <si>
    <t>EV Penaltı xG</t>
  </si>
  <si>
    <t>DEP Penaltı xG</t>
  </si>
  <si>
    <t>EV İsabetli Şut</t>
  </si>
  <si>
    <t>EV İsabetli Şut Yüzdesi</t>
  </si>
  <si>
    <t>EV Direkten Dönen</t>
  </si>
  <si>
    <t>EV İsabetsiz Şut</t>
  </si>
  <si>
    <t>EV Engellenen Şutu</t>
  </si>
  <si>
    <t>EV Ceza Sahası İçinden Şut</t>
  </si>
  <si>
    <t>EV Ceza Sahası İçinden Şut Yüzdesi</t>
  </si>
  <si>
    <t>EV Ceza Sahası Dışından Şut</t>
  </si>
  <si>
    <t>DEP İsabetli Şut</t>
  </si>
  <si>
    <t>DEP İsabetli Şut Yüzdesi</t>
  </si>
  <si>
    <t>DEP Direkten Dönen</t>
  </si>
  <si>
    <t>DEP İsabetsiz Şut</t>
  </si>
  <si>
    <t>DEP Engellenen Şutu</t>
  </si>
  <si>
    <t>DEP Ceza Sahası İçinden Şut</t>
  </si>
  <si>
    <t>DEP Ceza Sahası İçinden Şut Yüzdesi</t>
  </si>
  <si>
    <t>DEP Ceza Sahası Dışından Şut</t>
  </si>
  <si>
    <t>EV Şuta Sebep Olan Hata (Ev Sahibi Takımının Gol Yemesine Dönük Negatif Unsur)</t>
  </si>
  <si>
    <t>EV Gole Sebep Olan Hata (Ev Sahibi Takımının Gol Yemesine Dönük Negatif Unsur)</t>
  </si>
  <si>
    <t>DEP Şuta Sebep Olan Hata (Deplasman Takımının Gol Yemesine Dönük Negatif Unsur)</t>
  </si>
  <si>
    <t>DEP Gole Sebep Olan Hata (Deplasman Takımının Gol Yemesine Dönük Negatif Unsur)</t>
  </si>
  <si>
    <t>Gaziantep</t>
  </si>
  <si>
    <t>Galatasaray</t>
  </si>
  <si>
    <t>Gaziantep'te 64. dakikada Burak Bozan kırmızı kart gördü. (Ceza Sahası Dışında Topa Elle Müdahale)</t>
  </si>
  <si>
    <t>Samsunspor</t>
  </si>
  <si>
    <t>Gençlerbirliği</t>
  </si>
  <si>
    <t>Antalyaspor</t>
  </si>
  <si>
    <t>Kasımpaşa</t>
  </si>
  <si>
    <t>Rizespor</t>
  </si>
  <si>
    <t>Göztepe</t>
  </si>
  <si>
    <t>Eyüpspor</t>
  </si>
  <si>
    <t>Konyaspor</t>
  </si>
  <si>
    <t>Trabzonspor</t>
  </si>
  <si>
    <t>Kocaelispor</t>
  </si>
  <si>
    <t>Karagümrük</t>
  </si>
  <si>
    <t>Karagümrük'de 23. dakikada Marius Tresor Doh kırmızı kart gördü. (Sert Faul)</t>
  </si>
  <si>
    <t>Kocaelispor'da 44. dakikada Samet Yalçın kırmızı kart gördü. (Sert Faul)</t>
  </si>
  <si>
    <t>Alanyaspor</t>
  </si>
  <si>
    <t>Fenerbahçe</t>
  </si>
  <si>
    <t>Göztepe'de 61. dakikada Juan (Sert Faul), Fenerbahçe'de 85. dakikada Jayden Oosterwolde (Sert Faul) kırmızı kart gördüler.</t>
  </si>
  <si>
    <t>Başakşehir</t>
  </si>
  <si>
    <t>Kayserispor</t>
  </si>
  <si>
    <t>Beşiktaş</t>
  </si>
  <si>
    <t>Gençlerbirliği'nde 90+3. dakikada Michal Nalepa kırmızı kart gördü. (Sert Faul)</t>
  </si>
  <si>
    <t>Kasımpaşa'da 76. dakikada Pape Habib Gueye kırmızı kart gördü. (Sert Faul)</t>
  </si>
  <si>
    <t>Başakşehir'de 89. dakikada Ousseynou Ba (Zaman Geçirme, İkinci Sarı Sarı Karttan) kırmızı kart, Beşiktaş'ta 90+8'de Orkun Kökçü (Şidden İçeren Davranış) kırmızı kart gördü.</t>
  </si>
  <si>
    <t>Trabzonspor'da 20. dakikada Okay Yokuşlu kırmızı kart gördü. (Şiddet İçeren Davranış)</t>
  </si>
  <si>
    <t>Kocaelispor'da 90+2. dakikada Can Keleş kırmızı kart gördü. (Tartışma)</t>
  </si>
  <si>
    <t>Kasımpaşa'da 45. dakikada Cafu kırmızı kart gördü. (Şiddet İçeren Davranış)</t>
  </si>
  <si>
    <t>Samsunspor'da 45+5. dakikada Cherif Ndiaye kırmızı kart gördü. (İkinci Sarı Karttan)</t>
  </si>
  <si>
    <t>Konyaspor'da 65. dakikada Enis Bardhi kırmızı kart gördü. (İkinci Sarı Karttan)</t>
  </si>
  <si>
    <t>Gençlerbirliği'nde 50. dakikada Sekou Koita (Sert Faul), 70. dakikada Franco Tongya (Şiddetli Faul) kırmızı kart gördü.</t>
  </si>
  <si>
    <t>Antalyaspor'da 58. dakikada Sander van de Streek kırmızı kart gördü. (Tartışma, İkinci Sarı Karttan)</t>
  </si>
  <si>
    <t>Galatasaray'da 34. dakikada Davinson Sanchez kırmızı kart gördü. (Son Adama Faul)</t>
  </si>
  <si>
    <t>Karagümrük'de 83. dakikada Jure Balkovec kırmızı kart gördü. (Faul, İkinci Sarı Karttan)</t>
  </si>
  <si>
    <t>Kayserispor'da 90+1. dakikada Laszlo Benez kırmızı kart gördü. (Sert Faul)</t>
  </si>
  <si>
    <t>Antalyaspor'da 43. dakikada Doğukan Sinik kırmızı kart gördü. (Faul, İkinci Sarı Karttan)</t>
  </si>
  <si>
    <t>Göztepe'de 42. dakikada Malcom Bokele kırmızı kart gördü. (Faul, İkinci Sarı Karttan)</t>
  </si>
  <si>
    <t>Gençlerbirliği'nde 90+7. dakikada Thalisson Kelven kırmızı kart gördü. (İtiraz, İkinci Sarı Karttan)</t>
  </si>
  <si>
    <t>Gaziantep'te 86. dakikada Myenty Abena kırmızı kart gördü. (Sert Faul)</t>
  </si>
  <si>
    <t>Trabzonspor'da 90. dakikada Benjamin Bouchouari kırmızı kart gördü. (Sert Faul)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</si>
</sst>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F]d\ mmmm\ yy;@"/>
    <numFmt numFmtId="165" formatCode="0.0"/>
  </numFmts>
  <fonts count="7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164" fontId="2" fillId="2" borderId="1" xfId="0" applyNumberFormat="1" applyFont="1" applyFill="1" applyBorder="1"/>
    <xf numFmtId="0" fontId="2" fillId="2" borderId="2" xfId="0" applyFont="1" applyFill="1" applyBorder="1"/>
    <xf numFmtId="0" fontId="3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1" xfId="0" applyFont="1" applyFill="1" applyBorder="1"/>
    <xf numFmtId="2" fontId="3" fillId="3" borderId="2" xfId="0" applyNumberFormat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2" fontId="3" fillId="4" borderId="2" xfId="0" applyNumberFormat="1" applyFont="1" applyFill="1" applyBorder="1"/>
    <xf numFmtId="2" fontId="3" fillId="4" borderId="3" xfId="0" applyNumberFormat="1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3" borderId="1" xfId="0" applyFont="1" applyFill="1" applyBorder="1"/>
    <xf numFmtId="9" fontId="3" fillId="3" borderId="7" xfId="1" applyFont="1" applyFill="1" applyBorder="1"/>
    <xf numFmtId="9" fontId="3" fillId="3" borderId="2" xfId="1" applyFont="1" applyFill="1" applyBorder="1"/>
    <xf numFmtId="9" fontId="0" fillId="0" borderId="5" xfId="1" applyFont="1" applyFill="1" applyBorder="1"/>
    <xf numFmtId="165" fontId="3" fillId="3" borderId="1" xfId="0" applyNumberFormat="1" applyFont="1" applyFill="1" applyBorder="1"/>
    <xf numFmtId="165" fontId="3" fillId="3" borderId="8" xfId="0" applyNumberFormat="1" applyFont="1" applyFill="1" applyBorder="1"/>
    <xf numFmtId="0" fontId="0" fillId="0" borderId="4" xfId="0" applyBorder="1"/>
    <xf numFmtId="164" fontId="0" fillId="0" borderId="9" xfId="0" applyNumberFormat="1" applyBorder="1"/>
    <xf numFmtId="0" fontId="0" fillId="0" borderId="5" xfId="0" applyBorder="1"/>
    <xf numFmtId="0" fontId="0" fillId="5" borderId="5" xfId="0" applyFill="1" applyBorder="1"/>
    <xf numFmtId="0" fontId="4" fillId="0" borderId="5" xfId="0" applyFont="1" applyBorder="1" applyAlignment="1">
      <alignment horizontal="center"/>
    </xf>
    <xf numFmtId="0" fontId="0" fillId="4" borderId="10" xfId="0" applyFill="1" applyBorder="1"/>
    <xf numFmtId="0" fontId="0" fillId="6" borderId="9" xfId="0" applyFill="1" applyBorder="1"/>
    <xf numFmtId="2" fontId="0" fillId="6" borderId="5" xfId="0" applyNumberFormat="1" applyFill="1" applyBorder="1"/>
    <xf numFmtId="2" fontId="0" fillId="5" borderId="5" xfId="0" applyNumberFormat="1" applyFill="1" applyBorder="1"/>
    <xf numFmtId="0" fontId="0" fillId="6" borderId="5" xfId="0" applyFill="1" applyBorder="1"/>
    <xf numFmtId="2" fontId="0" fillId="5" borderId="10" xfId="0" applyNumberFormat="1" applyFill="1" applyBorder="1"/>
    <xf numFmtId="0" fontId="0" fillId="6" borderId="4" xfId="0" applyFill="1" applyBorder="1"/>
    <xf numFmtId="0" fontId="0" fillId="5" borderId="6" xfId="0" applyFill="1" applyBorder="1"/>
    <xf numFmtId="0" fontId="0" fillId="5" borderId="10" xfId="0" applyFill="1" applyBorder="1"/>
    <xf numFmtId="0" fontId="0" fillId="7" borderId="9" xfId="0" applyFill="1" applyBorder="1"/>
    <xf numFmtId="9" fontId="0" fillId="7" borderId="4" xfId="1" applyFont="1" applyFill="1" applyBorder="1"/>
    <xf numFmtId="0" fontId="0" fillId="7" borderId="5" xfId="0" applyFill="1" applyBorder="1"/>
    <xf numFmtId="9" fontId="0" fillId="7" borderId="5" xfId="1" applyFont="1" applyFill="1" applyBorder="1"/>
    <xf numFmtId="0" fontId="0" fillId="0" borderId="10" xfId="0" applyBorder="1"/>
    <xf numFmtId="165" fontId="0" fillId="7" borderId="9" xfId="0" applyNumberFormat="1" applyFill="1" applyBorder="1"/>
    <xf numFmtId="165" fontId="0" fillId="7" borderId="5" xfId="0" applyNumberFormat="1" applyFill="1" applyBorder="1"/>
    <xf numFmtId="165" fontId="0" fillId="0" borderId="5" xfId="0" applyNumberFormat="1" applyBorder="1"/>
    <xf numFmtId="165" fontId="0" fillId="0" borderId="10" xfId="0" applyNumberFormat="1" applyBorder="1"/>
    <xf numFmtId="165" fontId="4" fillId="0" borderId="10" xfId="0" applyNumberFormat="1" applyFont="1" applyBorder="1"/>
    <xf numFmtId="165" fontId="4" fillId="7" borderId="5" xfId="0" applyNumberFormat="1" applyFont="1" applyFill="1" applyBorder="1"/>
    <xf numFmtId="0" fontId="0" fillId="4" borderId="11" xfId="0" applyFill="1" applyBorder="1"/>
    <xf numFmtId="0" fontId="0" fillId="4" borderId="6" xfId="0" applyFill="1" applyBorder="1"/>
  </cellXfs>
  <cellStyles count="2">
    <cellStyle name="Normal" xfId="0" builtinId="0"/>
    <cellStyle name="Percent" xfId="1" builtinId="5"/>
  </cellStyles>
  <dxfs count="20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EDED77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CC006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2E9A-686B-9144-9D32-8D29861E6E70}">
  <sheetPr>
    <tabColor theme="9" tint="0.39997558519241921"/>
  </sheetPr>
  <dimension ref="A1:BF97"/>
  <sheetViews>
    <sheetView tabSelected="1" workbookViewId="0">
      <pane ySplit="1" topLeftCell="A78" activePane="bottomLeft" state="frozen"/>
      <selection pane="bottomLeft" activeCell="D103" sqref="D103"/>
    </sheetView>
  </sheetViews>
  <sheetFormatPr baseColWidth="10" defaultColWidth="9.1640625" defaultRowHeight="15" x14ac:dyDescent="0.2"/>
  <cols>
    <col min="1" max="1" width="13.33203125" style="22" customWidth="1"/>
    <col min="2" max="2" width="2.6640625" style="23" customWidth="1"/>
    <col min="3" max="3" width="12.6640625" style="23" customWidth="1"/>
    <col min="4" max="5" width="4.6640625" style="25" customWidth="1"/>
    <col min="6" max="6" width="12.6640625" style="23" customWidth="1"/>
    <col min="7" max="7" width="9.6640625" style="39" customWidth="1"/>
    <col min="8" max="8" width="3.6640625" style="27" customWidth="1"/>
    <col min="9" max="9" width="3.6640625" style="24" customWidth="1"/>
    <col min="10" max="10" width="5.33203125" style="28" customWidth="1"/>
    <col min="11" max="11" width="5.33203125" style="29" customWidth="1"/>
    <col min="12" max="12" width="3.6640625" style="30" customWidth="1"/>
    <col min="13" max="13" width="3.6640625" style="24" customWidth="1"/>
    <col min="14" max="14" width="3.6640625" style="30" customWidth="1"/>
    <col min="15" max="15" width="3.6640625" style="24" customWidth="1"/>
    <col min="16" max="16" width="3.6640625" style="30" customWidth="1"/>
    <col min="17" max="17" width="3.6640625" style="24" customWidth="1"/>
    <col min="18" max="18" width="3.6640625" style="30" customWidth="1"/>
    <col min="19" max="19" width="3.6640625" style="24" customWidth="1"/>
    <col min="20" max="20" width="5.33203125" style="28" customWidth="1"/>
    <col min="21" max="21" width="5.33203125" style="31" customWidth="1"/>
    <col min="22" max="22" width="3.6640625" style="32" customWidth="1"/>
    <col min="23" max="23" width="3.6640625" style="24" customWidth="1"/>
    <col min="24" max="24" width="3.6640625" style="30" customWidth="1"/>
    <col min="25" max="25" width="3.6640625" style="24" customWidth="1"/>
    <col min="26" max="26" width="4.33203125" style="30" customWidth="1"/>
    <col min="27" max="27" width="4.33203125" style="24" customWidth="1"/>
    <col min="28" max="28" width="3.6640625" style="30" customWidth="1"/>
    <col min="29" max="29" width="3.6640625" style="24" customWidth="1"/>
    <col min="30" max="30" width="3.6640625" style="30" customWidth="1"/>
    <col min="31" max="31" width="3.6640625" style="24" customWidth="1"/>
    <col min="32" max="32" width="2.6640625" style="30" customWidth="1"/>
    <col min="33" max="33" width="2.6640625" style="33" customWidth="1"/>
    <col min="34" max="34" width="3.33203125" style="27" customWidth="1"/>
    <col min="35" max="35" width="3.33203125" style="34" customWidth="1"/>
    <col min="36" max="36" width="3.33203125" style="27" customWidth="1"/>
    <col min="37" max="37" width="3.33203125" style="34" customWidth="1"/>
    <col min="38" max="38" width="4.6640625" style="35" customWidth="1"/>
    <col min="39" max="39" width="5.33203125" style="36" customWidth="1"/>
    <col min="40" max="43" width="4.33203125" style="37" customWidth="1"/>
    <col min="44" max="44" width="5.33203125" style="38" customWidth="1"/>
    <col min="45" max="45" width="4.33203125" style="37" customWidth="1"/>
    <col min="46" max="46" width="4.6640625" style="23" customWidth="1"/>
    <col min="47" max="47" width="5.33203125" style="23" customWidth="1"/>
    <col min="48" max="51" width="4.33203125" style="23" customWidth="1"/>
    <col min="52" max="52" width="5.33203125" style="18" customWidth="1"/>
    <col min="53" max="53" width="4.33203125" style="39" customWidth="1"/>
    <col min="54" max="54" width="3.6640625" style="40" customWidth="1"/>
    <col min="55" max="55" width="3.6640625" style="41" customWidth="1"/>
    <col min="56" max="56" width="3.6640625" style="42" customWidth="1"/>
    <col min="57" max="57" width="3.6640625" style="43" customWidth="1"/>
    <col min="58" max="58" width="9.1640625" style="21"/>
    <col min="59" max="16384" width="9.1640625" style="23"/>
  </cols>
  <sheetData>
    <row r="1" spans="1:57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3" t="s">
        <v>8</v>
      </c>
      <c r="J1" s="7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10" t="s">
        <v>19</v>
      </c>
      <c r="U1" s="11" t="s">
        <v>20</v>
      </c>
      <c r="V1" s="12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4" t="s">
        <v>32</v>
      </c>
      <c r="AH1" s="6" t="s">
        <v>33</v>
      </c>
      <c r="AI1" s="5" t="s">
        <v>34</v>
      </c>
      <c r="AJ1" s="6" t="s">
        <v>35</v>
      </c>
      <c r="AK1" s="5" t="s">
        <v>36</v>
      </c>
      <c r="AL1" s="15" t="s">
        <v>37</v>
      </c>
      <c r="AM1" s="16" t="s">
        <v>38</v>
      </c>
      <c r="AN1" s="3" t="s">
        <v>39</v>
      </c>
      <c r="AO1" s="3" t="s">
        <v>40</v>
      </c>
      <c r="AP1" s="9" t="s">
        <v>41</v>
      </c>
      <c r="AQ1" s="8" t="s">
        <v>42</v>
      </c>
      <c r="AR1" s="17" t="s">
        <v>43</v>
      </c>
      <c r="AS1" s="3" t="s">
        <v>44</v>
      </c>
      <c r="AT1" s="8" t="s">
        <v>45</v>
      </c>
      <c r="AU1" s="8" t="s">
        <v>46</v>
      </c>
      <c r="AV1" s="3" t="s">
        <v>47</v>
      </c>
      <c r="AW1" s="3" t="s">
        <v>48</v>
      </c>
      <c r="AX1" s="9" t="s">
        <v>49</v>
      </c>
      <c r="AY1" s="8" t="s">
        <v>50</v>
      </c>
      <c r="AZ1" s="18" t="s">
        <v>51</v>
      </c>
      <c r="BA1" s="5" t="s">
        <v>52</v>
      </c>
      <c r="BB1" s="19" t="s">
        <v>53</v>
      </c>
      <c r="BC1" s="19" t="s">
        <v>54</v>
      </c>
      <c r="BD1" s="19" t="s">
        <v>55</v>
      </c>
      <c r="BE1" s="20" t="s">
        <v>56</v>
      </c>
    </row>
    <row r="2" spans="1:57" x14ac:dyDescent="0.2">
      <c r="A2" s="22">
        <v>45877</v>
      </c>
      <c r="B2" s="23">
        <v>1</v>
      </c>
      <c r="C2" s="24" t="s">
        <v>57</v>
      </c>
      <c r="D2" s="25">
        <v>0</v>
      </c>
      <c r="E2" s="25">
        <v>3</v>
      </c>
      <c r="F2" s="23" t="s">
        <v>58</v>
      </c>
      <c r="G2" s="26" t="s">
        <v>59</v>
      </c>
      <c r="H2" s="27">
        <v>40</v>
      </c>
      <c r="I2" s="24">
        <v>60</v>
      </c>
      <c r="J2" s="28">
        <v>0.14000000000000001</v>
      </c>
      <c r="K2" s="29">
        <v>2.5499999999999998</v>
      </c>
      <c r="L2" s="30">
        <v>0</v>
      </c>
      <c r="M2" s="24">
        <v>3</v>
      </c>
      <c r="N2" s="30">
        <v>5</v>
      </c>
      <c r="O2" s="24">
        <v>15</v>
      </c>
      <c r="P2" s="30">
        <v>2</v>
      </c>
      <c r="Q2" s="24">
        <v>2</v>
      </c>
      <c r="R2" s="30">
        <v>0</v>
      </c>
      <c r="S2" s="24">
        <v>0</v>
      </c>
      <c r="T2" s="28">
        <v>-0.81</v>
      </c>
      <c r="U2" s="31">
        <v>0.06</v>
      </c>
      <c r="V2" s="32">
        <v>1</v>
      </c>
      <c r="W2" s="24">
        <v>4</v>
      </c>
      <c r="X2" s="30">
        <v>14</v>
      </c>
      <c r="Y2" s="24">
        <v>15</v>
      </c>
      <c r="Z2" s="30">
        <v>322</v>
      </c>
      <c r="AA2" s="24">
        <v>470</v>
      </c>
      <c r="AB2" s="30">
        <v>14</v>
      </c>
      <c r="AC2" s="24">
        <v>17</v>
      </c>
      <c r="AD2" s="30">
        <v>15</v>
      </c>
      <c r="AE2" s="24">
        <v>12</v>
      </c>
      <c r="AF2" s="30">
        <v>2</v>
      </c>
      <c r="AG2" s="33">
        <v>4</v>
      </c>
      <c r="AH2" s="27">
        <v>1</v>
      </c>
      <c r="AI2" s="34">
        <v>0</v>
      </c>
      <c r="AJ2" s="27">
        <v>0</v>
      </c>
      <c r="AK2" s="34">
        <v>1.4</v>
      </c>
      <c r="AL2" s="35">
        <v>2</v>
      </c>
      <c r="AM2" s="36">
        <f>AL2/N2</f>
        <v>0.4</v>
      </c>
      <c r="AN2" s="37">
        <v>0</v>
      </c>
      <c r="AO2" s="37">
        <v>1</v>
      </c>
      <c r="AP2" s="37">
        <v>2</v>
      </c>
      <c r="AQ2" s="37">
        <v>2</v>
      </c>
      <c r="AR2" s="38">
        <f>AQ2/N2</f>
        <v>0.4</v>
      </c>
      <c r="AS2" s="37">
        <v>3</v>
      </c>
      <c r="AT2" s="23">
        <v>5</v>
      </c>
      <c r="AU2" s="18">
        <f>AT2/O2</f>
        <v>0.33333333333333331</v>
      </c>
      <c r="AV2" s="23">
        <v>1</v>
      </c>
      <c r="AW2" s="23">
        <v>9</v>
      </c>
      <c r="AX2" s="23">
        <v>1</v>
      </c>
      <c r="AY2" s="23">
        <v>10</v>
      </c>
      <c r="AZ2" s="18">
        <f>AY2/O2</f>
        <v>0.66666666666666663</v>
      </c>
      <c r="BA2" s="39">
        <v>5</v>
      </c>
      <c r="BB2" s="40">
        <v>0</v>
      </c>
      <c r="BC2" s="41">
        <v>0</v>
      </c>
      <c r="BD2" s="42">
        <v>0</v>
      </c>
      <c r="BE2" s="43">
        <v>0</v>
      </c>
    </row>
    <row r="3" spans="1:57" x14ac:dyDescent="0.2">
      <c r="A3" s="22">
        <v>45878</v>
      </c>
      <c r="B3" s="23">
        <v>1</v>
      </c>
      <c r="C3" s="23" t="s">
        <v>60</v>
      </c>
      <c r="D3" s="25">
        <v>2</v>
      </c>
      <c r="E3" s="25">
        <v>1</v>
      </c>
      <c r="F3" s="23" t="s">
        <v>61</v>
      </c>
      <c r="H3" s="27">
        <v>62</v>
      </c>
      <c r="I3" s="24">
        <v>38</v>
      </c>
      <c r="J3" s="28">
        <v>1.1599999999999999</v>
      </c>
      <c r="K3" s="29">
        <v>0.34</v>
      </c>
      <c r="L3" s="30">
        <v>1</v>
      </c>
      <c r="M3" s="24">
        <v>0</v>
      </c>
      <c r="N3" s="30">
        <v>9</v>
      </c>
      <c r="O3" s="24">
        <v>8</v>
      </c>
      <c r="P3" s="30">
        <v>0</v>
      </c>
      <c r="Q3" s="24">
        <v>1</v>
      </c>
      <c r="R3" s="30">
        <v>0</v>
      </c>
      <c r="S3" s="24">
        <v>1</v>
      </c>
      <c r="T3" s="28">
        <v>-0.33</v>
      </c>
      <c r="U3" s="31">
        <v>-1.03</v>
      </c>
      <c r="V3" s="32">
        <v>2</v>
      </c>
      <c r="W3" s="24">
        <v>3</v>
      </c>
      <c r="X3" s="30">
        <v>12</v>
      </c>
      <c r="Y3" s="24">
        <v>12</v>
      </c>
      <c r="Z3" s="30">
        <v>521</v>
      </c>
      <c r="AA3" s="24">
        <v>314</v>
      </c>
      <c r="AB3" s="30">
        <v>15</v>
      </c>
      <c r="AC3" s="24">
        <v>16</v>
      </c>
      <c r="AD3" s="30">
        <v>11</v>
      </c>
      <c r="AE3" s="24">
        <v>12</v>
      </c>
      <c r="AF3" s="30">
        <v>1</v>
      </c>
      <c r="AG3" s="33">
        <v>0</v>
      </c>
      <c r="AH3" s="27">
        <v>0</v>
      </c>
      <c r="AI3" s="34">
        <v>0</v>
      </c>
      <c r="AJ3" s="27">
        <v>1</v>
      </c>
      <c r="AK3" s="34">
        <v>0</v>
      </c>
      <c r="AL3" s="35">
        <v>3</v>
      </c>
      <c r="AM3" s="36">
        <f t="shared" ref="AM3:AM66" si="0">AL3/N3</f>
        <v>0.33333333333333331</v>
      </c>
      <c r="AN3" s="37">
        <v>0</v>
      </c>
      <c r="AO3" s="37">
        <v>6</v>
      </c>
      <c r="AP3" s="37">
        <v>0</v>
      </c>
      <c r="AQ3" s="37">
        <v>5</v>
      </c>
      <c r="AR3" s="38">
        <f t="shared" ref="AR3:AR66" si="1">AQ3/N3</f>
        <v>0.55555555555555558</v>
      </c>
      <c r="AS3" s="37">
        <v>4</v>
      </c>
      <c r="AT3" s="23">
        <v>1</v>
      </c>
      <c r="AU3" s="18">
        <f t="shared" ref="AU3:AU66" si="2">AT3/O3</f>
        <v>0.125</v>
      </c>
      <c r="AV3" s="23">
        <v>0</v>
      </c>
      <c r="AW3" s="23">
        <v>2</v>
      </c>
      <c r="AX3" s="23">
        <v>5</v>
      </c>
      <c r="AY3" s="23">
        <v>2</v>
      </c>
      <c r="AZ3" s="18">
        <f t="shared" ref="AZ3:AZ66" si="3">AY3/O3</f>
        <v>0.25</v>
      </c>
      <c r="BA3" s="39">
        <v>6</v>
      </c>
      <c r="BB3" s="40">
        <v>0</v>
      </c>
      <c r="BC3" s="41">
        <v>0</v>
      </c>
      <c r="BD3" s="42">
        <v>0</v>
      </c>
      <c r="BE3" s="44">
        <v>1</v>
      </c>
    </row>
    <row r="4" spans="1:57" x14ac:dyDescent="0.2">
      <c r="A4" s="22">
        <v>45878</v>
      </c>
      <c r="B4" s="23">
        <v>1</v>
      </c>
      <c r="C4" s="23" t="s">
        <v>62</v>
      </c>
      <c r="D4" s="25">
        <v>2</v>
      </c>
      <c r="E4" s="25">
        <v>1</v>
      </c>
      <c r="F4" s="23" t="s">
        <v>63</v>
      </c>
      <c r="H4" s="27">
        <v>37</v>
      </c>
      <c r="I4" s="24">
        <v>63</v>
      </c>
      <c r="J4" s="28">
        <v>1.74</v>
      </c>
      <c r="K4" s="29">
        <v>0.68</v>
      </c>
      <c r="L4" s="30">
        <v>2</v>
      </c>
      <c r="M4" s="24">
        <v>2</v>
      </c>
      <c r="N4" s="30">
        <v>16</v>
      </c>
      <c r="O4" s="24">
        <v>10</v>
      </c>
      <c r="P4" s="30">
        <v>1</v>
      </c>
      <c r="Q4" s="24">
        <v>4</v>
      </c>
      <c r="R4" s="30">
        <v>0</v>
      </c>
      <c r="S4" s="24">
        <v>0</v>
      </c>
      <c r="T4" s="28">
        <v>-0.19</v>
      </c>
      <c r="U4" s="31">
        <v>-0.3</v>
      </c>
      <c r="V4" s="32">
        <v>3</v>
      </c>
      <c r="W4" s="24">
        <v>3</v>
      </c>
      <c r="X4" s="30">
        <v>12</v>
      </c>
      <c r="Y4" s="24">
        <v>21</v>
      </c>
      <c r="Z4" s="30">
        <v>252</v>
      </c>
      <c r="AA4" s="24">
        <v>417</v>
      </c>
      <c r="AB4" s="30">
        <v>6</v>
      </c>
      <c r="AC4" s="24">
        <v>7</v>
      </c>
      <c r="AD4" s="30">
        <v>21</v>
      </c>
      <c r="AE4" s="24">
        <v>12</v>
      </c>
      <c r="AF4" s="30">
        <v>3</v>
      </c>
      <c r="AG4" s="33">
        <v>4</v>
      </c>
      <c r="AH4" s="27">
        <v>0</v>
      </c>
      <c r="AI4" s="34">
        <v>0</v>
      </c>
      <c r="AJ4" s="27">
        <v>0</v>
      </c>
      <c r="AK4" s="34">
        <v>0</v>
      </c>
      <c r="AL4" s="35">
        <v>6</v>
      </c>
      <c r="AM4" s="36">
        <f t="shared" si="0"/>
        <v>0.375</v>
      </c>
      <c r="AN4" s="37">
        <v>0</v>
      </c>
      <c r="AO4" s="37">
        <v>8</v>
      </c>
      <c r="AP4" s="37">
        <v>2</v>
      </c>
      <c r="AQ4" s="37">
        <v>12</v>
      </c>
      <c r="AR4" s="38">
        <f t="shared" si="1"/>
        <v>0.75</v>
      </c>
      <c r="AS4" s="37">
        <v>4</v>
      </c>
      <c r="AT4" s="23">
        <v>2</v>
      </c>
      <c r="AU4" s="18">
        <f t="shared" si="2"/>
        <v>0.2</v>
      </c>
      <c r="AV4" s="23">
        <v>0</v>
      </c>
      <c r="AW4" s="23">
        <v>5</v>
      </c>
      <c r="AX4" s="23">
        <v>3</v>
      </c>
      <c r="AY4" s="23">
        <v>5</v>
      </c>
      <c r="AZ4" s="18">
        <f t="shared" si="3"/>
        <v>0.5</v>
      </c>
      <c r="BA4" s="39">
        <v>5</v>
      </c>
      <c r="BB4" s="40">
        <v>0</v>
      </c>
      <c r="BC4" s="41">
        <v>0</v>
      </c>
      <c r="BD4" s="42">
        <v>0</v>
      </c>
      <c r="BE4" s="43">
        <v>0</v>
      </c>
    </row>
    <row r="5" spans="1:57" x14ac:dyDescent="0.2">
      <c r="A5" s="22">
        <v>45878</v>
      </c>
      <c r="B5" s="23">
        <v>1</v>
      </c>
      <c r="C5" s="23" t="s">
        <v>64</v>
      </c>
      <c r="D5" s="25">
        <v>0</v>
      </c>
      <c r="E5" s="25">
        <v>3</v>
      </c>
      <c r="F5" s="23" t="s">
        <v>65</v>
      </c>
      <c r="H5" s="27">
        <v>56</v>
      </c>
      <c r="I5" s="24">
        <v>44</v>
      </c>
      <c r="J5" s="28">
        <v>1.67</v>
      </c>
      <c r="K5" s="29">
        <v>1.04</v>
      </c>
      <c r="L5" s="30">
        <v>3</v>
      </c>
      <c r="M5" s="24">
        <v>3</v>
      </c>
      <c r="N5" s="30">
        <v>13</v>
      </c>
      <c r="O5" s="24">
        <v>17</v>
      </c>
      <c r="P5" s="30">
        <v>1</v>
      </c>
      <c r="Q5" s="24">
        <v>1</v>
      </c>
      <c r="R5" s="30">
        <v>0</v>
      </c>
      <c r="S5" s="24">
        <v>0</v>
      </c>
      <c r="T5" s="28">
        <v>-1.39</v>
      </c>
      <c r="U5" s="31">
        <v>0.23</v>
      </c>
      <c r="V5" s="32">
        <v>3</v>
      </c>
      <c r="W5" s="24">
        <v>5</v>
      </c>
      <c r="X5" s="30">
        <v>9</v>
      </c>
      <c r="Y5" s="24">
        <v>14</v>
      </c>
      <c r="Z5" s="30">
        <v>370</v>
      </c>
      <c r="AA5" s="24">
        <v>289</v>
      </c>
      <c r="AB5" s="30">
        <v>18</v>
      </c>
      <c r="AC5" s="24">
        <v>19</v>
      </c>
      <c r="AD5" s="30">
        <v>14</v>
      </c>
      <c r="AE5" s="24">
        <v>9</v>
      </c>
      <c r="AF5" s="30">
        <v>2</v>
      </c>
      <c r="AG5" s="33">
        <v>1</v>
      </c>
      <c r="AH5" s="27">
        <v>0</v>
      </c>
      <c r="AI5" s="34">
        <v>0</v>
      </c>
      <c r="AJ5" s="27">
        <v>0</v>
      </c>
      <c r="AK5" s="34">
        <v>0</v>
      </c>
      <c r="AL5" s="35">
        <v>1</v>
      </c>
      <c r="AM5" s="36">
        <f t="shared" si="0"/>
        <v>7.6923076923076927E-2</v>
      </c>
      <c r="AN5" s="37">
        <v>0</v>
      </c>
      <c r="AO5" s="37">
        <v>6</v>
      </c>
      <c r="AP5" s="37">
        <v>6</v>
      </c>
      <c r="AQ5" s="37">
        <v>9</v>
      </c>
      <c r="AR5" s="38">
        <f t="shared" si="1"/>
        <v>0.69230769230769229</v>
      </c>
      <c r="AS5" s="37">
        <v>4</v>
      </c>
      <c r="AT5" s="23">
        <v>4</v>
      </c>
      <c r="AU5" s="18">
        <f t="shared" si="2"/>
        <v>0.23529411764705882</v>
      </c>
      <c r="AV5" s="23">
        <v>0</v>
      </c>
      <c r="AW5" s="23">
        <v>9</v>
      </c>
      <c r="AX5" s="23">
        <v>4</v>
      </c>
      <c r="AY5" s="23">
        <v>9</v>
      </c>
      <c r="AZ5" s="18">
        <f t="shared" si="3"/>
        <v>0.52941176470588236</v>
      </c>
      <c r="BA5" s="39">
        <v>8</v>
      </c>
      <c r="BB5" s="40">
        <v>0</v>
      </c>
      <c r="BC5" s="41">
        <v>0</v>
      </c>
      <c r="BD5" s="42">
        <v>0</v>
      </c>
      <c r="BE5" s="43">
        <v>0</v>
      </c>
    </row>
    <row r="6" spans="1:57" x14ac:dyDescent="0.2">
      <c r="A6" s="22">
        <v>45879</v>
      </c>
      <c r="B6" s="23">
        <v>1</v>
      </c>
      <c r="C6" s="23" t="s">
        <v>66</v>
      </c>
      <c r="D6" s="25">
        <v>1</v>
      </c>
      <c r="E6" s="25">
        <v>4</v>
      </c>
      <c r="F6" s="23" t="s">
        <v>67</v>
      </c>
      <c r="H6" s="27">
        <v>63</v>
      </c>
      <c r="I6" s="24">
        <v>37</v>
      </c>
      <c r="J6" s="28">
        <v>2.09</v>
      </c>
      <c r="K6" s="29">
        <v>2.0699999999999998</v>
      </c>
      <c r="L6" s="30">
        <v>4</v>
      </c>
      <c r="M6" s="24">
        <v>4</v>
      </c>
      <c r="N6" s="30">
        <v>16</v>
      </c>
      <c r="O6" s="24">
        <v>16</v>
      </c>
      <c r="P6" s="30">
        <v>1</v>
      </c>
      <c r="Q6" s="24">
        <v>2</v>
      </c>
      <c r="R6" s="30">
        <v>1</v>
      </c>
      <c r="S6" s="24">
        <v>2</v>
      </c>
      <c r="T6" s="28">
        <v>-0.86</v>
      </c>
      <c r="U6" s="31">
        <v>0.66</v>
      </c>
      <c r="V6" s="32">
        <v>8</v>
      </c>
      <c r="W6" s="24">
        <v>7</v>
      </c>
      <c r="X6" s="30">
        <v>9</v>
      </c>
      <c r="Y6" s="24">
        <v>12</v>
      </c>
      <c r="Z6" s="30">
        <v>440</v>
      </c>
      <c r="AA6" s="24">
        <v>258</v>
      </c>
      <c r="AB6" s="30">
        <v>13</v>
      </c>
      <c r="AC6" s="24">
        <v>22</v>
      </c>
      <c r="AD6" s="30">
        <v>12</v>
      </c>
      <c r="AE6" s="24">
        <v>8</v>
      </c>
      <c r="AF6" s="30">
        <v>2</v>
      </c>
      <c r="AG6" s="33">
        <v>1</v>
      </c>
      <c r="AH6" s="27">
        <v>0</v>
      </c>
      <c r="AI6" s="34">
        <v>0</v>
      </c>
      <c r="AJ6" s="27">
        <v>0</v>
      </c>
      <c r="AK6" s="34">
        <v>1</v>
      </c>
      <c r="AL6" s="35">
        <v>3</v>
      </c>
      <c r="AM6" s="36">
        <f t="shared" si="0"/>
        <v>0.1875</v>
      </c>
      <c r="AN6" s="37">
        <v>0</v>
      </c>
      <c r="AO6" s="37">
        <v>10</v>
      </c>
      <c r="AP6" s="37">
        <v>3</v>
      </c>
      <c r="AQ6" s="37">
        <v>10</v>
      </c>
      <c r="AR6" s="38">
        <f t="shared" si="1"/>
        <v>0.625</v>
      </c>
      <c r="AS6" s="37">
        <v>6</v>
      </c>
      <c r="AT6" s="23">
        <v>5</v>
      </c>
      <c r="AU6" s="18">
        <f t="shared" si="2"/>
        <v>0.3125</v>
      </c>
      <c r="AV6" s="23">
        <v>0</v>
      </c>
      <c r="AW6" s="23">
        <v>4</v>
      </c>
      <c r="AX6" s="23">
        <v>7</v>
      </c>
      <c r="AY6" s="23">
        <v>10</v>
      </c>
      <c r="AZ6" s="18">
        <f t="shared" si="3"/>
        <v>0.625</v>
      </c>
      <c r="BA6" s="39">
        <v>6</v>
      </c>
      <c r="BB6" s="40">
        <v>2</v>
      </c>
      <c r="BC6" s="41">
        <v>0</v>
      </c>
      <c r="BD6" s="42">
        <v>1</v>
      </c>
      <c r="BE6" s="43">
        <v>0</v>
      </c>
    </row>
    <row r="7" spans="1:57" x14ac:dyDescent="0.2">
      <c r="A7" s="22">
        <v>45880</v>
      </c>
      <c r="B7" s="23">
        <v>1</v>
      </c>
      <c r="C7" s="23" t="s">
        <v>68</v>
      </c>
      <c r="D7" s="25">
        <v>1</v>
      </c>
      <c r="E7" s="25">
        <v>0</v>
      </c>
      <c r="F7" s="23" t="s">
        <v>69</v>
      </c>
      <c r="H7" s="27">
        <v>56</v>
      </c>
      <c r="I7" s="24">
        <v>44</v>
      </c>
      <c r="J7" s="28">
        <v>1.05</v>
      </c>
      <c r="K7" s="29">
        <v>1</v>
      </c>
      <c r="L7" s="30">
        <v>2</v>
      </c>
      <c r="M7" s="24">
        <v>2</v>
      </c>
      <c r="N7" s="30">
        <v>11</v>
      </c>
      <c r="O7" s="24">
        <v>12</v>
      </c>
      <c r="P7" s="30">
        <v>2</v>
      </c>
      <c r="Q7" s="24">
        <v>0</v>
      </c>
      <c r="R7" s="30">
        <v>0</v>
      </c>
      <c r="S7" s="24">
        <v>0</v>
      </c>
      <c r="T7" s="28">
        <v>0.43</v>
      </c>
      <c r="U7" s="31">
        <v>-0.54</v>
      </c>
      <c r="V7" s="32">
        <v>3</v>
      </c>
      <c r="W7" s="24">
        <v>5</v>
      </c>
      <c r="X7" s="30">
        <v>9</v>
      </c>
      <c r="Y7" s="24">
        <v>16</v>
      </c>
      <c r="Z7" s="30">
        <v>434</v>
      </c>
      <c r="AA7" s="24">
        <v>339</v>
      </c>
      <c r="AB7" s="30">
        <v>18</v>
      </c>
      <c r="AC7" s="24">
        <v>22</v>
      </c>
      <c r="AD7" s="30">
        <v>16</v>
      </c>
      <c r="AE7" s="24">
        <v>9</v>
      </c>
      <c r="AF7" s="30">
        <v>2</v>
      </c>
      <c r="AG7" s="33">
        <v>0</v>
      </c>
      <c r="AH7" s="27">
        <v>0</v>
      </c>
      <c r="AI7" s="34">
        <v>0</v>
      </c>
      <c r="AJ7" s="27">
        <v>0</v>
      </c>
      <c r="AK7" s="34">
        <v>0</v>
      </c>
      <c r="AL7" s="35">
        <v>1</v>
      </c>
      <c r="AM7" s="36">
        <f t="shared" si="0"/>
        <v>9.0909090909090912E-2</v>
      </c>
      <c r="AN7" s="37">
        <v>0</v>
      </c>
      <c r="AO7" s="37">
        <v>7</v>
      </c>
      <c r="AP7" s="37">
        <v>3</v>
      </c>
      <c r="AQ7" s="37">
        <v>6</v>
      </c>
      <c r="AR7" s="38">
        <f t="shared" si="1"/>
        <v>0.54545454545454541</v>
      </c>
      <c r="AS7" s="37">
        <v>5</v>
      </c>
      <c r="AT7" s="23">
        <v>2</v>
      </c>
      <c r="AU7" s="18">
        <f t="shared" si="2"/>
        <v>0.16666666666666666</v>
      </c>
      <c r="AV7" s="23">
        <v>0</v>
      </c>
      <c r="AW7" s="23">
        <v>7</v>
      </c>
      <c r="AX7" s="23">
        <v>3</v>
      </c>
      <c r="AY7" s="23">
        <v>7</v>
      </c>
      <c r="AZ7" s="18">
        <f t="shared" si="3"/>
        <v>0.58333333333333337</v>
      </c>
      <c r="BA7" s="39">
        <v>5</v>
      </c>
      <c r="BB7" s="40">
        <v>0</v>
      </c>
      <c r="BC7" s="41">
        <v>0</v>
      </c>
      <c r="BD7" s="42">
        <v>0</v>
      </c>
      <c r="BE7" s="43">
        <v>0</v>
      </c>
    </row>
    <row r="8" spans="1:57" x14ac:dyDescent="0.2">
      <c r="A8" s="22">
        <v>45884</v>
      </c>
      <c r="B8" s="23">
        <v>2</v>
      </c>
      <c r="C8" s="23" t="s">
        <v>58</v>
      </c>
      <c r="D8" s="25">
        <v>3</v>
      </c>
      <c r="E8" s="25">
        <v>0</v>
      </c>
      <c r="F8" s="24" t="s">
        <v>70</v>
      </c>
      <c r="G8" s="26" t="s">
        <v>71</v>
      </c>
      <c r="H8" s="27">
        <v>72</v>
      </c>
      <c r="I8" s="24">
        <v>28</v>
      </c>
      <c r="J8" s="28">
        <v>3.2</v>
      </c>
      <c r="K8" s="29">
        <v>0.72</v>
      </c>
      <c r="L8" s="30">
        <v>5</v>
      </c>
      <c r="M8" s="24">
        <v>1</v>
      </c>
      <c r="N8" s="30">
        <v>28</v>
      </c>
      <c r="O8" s="24">
        <v>6</v>
      </c>
      <c r="P8" s="30">
        <v>2</v>
      </c>
      <c r="Q8" s="24">
        <v>5</v>
      </c>
      <c r="R8" s="30">
        <v>0</v>
      </c>
      <c r="S8" s="24">
        <v>2</v>
      </c>
      <c r="T8" s="28">
        <v>0.45</v>
      </c>
      <c r="U8" s="31">
        <v>-1.1000000000000001</v>
      </c>
      <c r="V8" s="32">
        <v>10</v>
      </c>
      <c r="W8" s="24">
        <v>3</v>
      </c>
      <c r="X8" s="30">
        <v>11</v>
      </c>
      <c r="Y8" s="24">
        <v>12</v>
      </c>
      <c r="Z8" s="30">
        <v>588</v>
      </c>
      <c r="AA8" s="24">
        <v>225</v>
      </c>
      <c r="AB8" s="30">
        <v>17</v>
      </c>
      <c r="AC8" s="24">
        <v>18</v>
      </c>
      <c r="AD8" s="30">
        <v>12</v>
      </c>
      <c r="AE8" s="24">
        <v>11</v>
      </c>
      <c r="AF8" s="30">
        <v>0</v>
      </c>
      <c r="AG8" s="33">
        <v>1</v>
      </c>
      <c r="AH8" s="27">
        <v>0</v>
      </c>
      <c r="AI8" s="34">
        <v>1</v>
      </c>
      <c r="AJ8" s="27">
        <v>0</v>
      </c>
      <c r="AK8" s="34">
        <v>0</v>
      </c>
      <c r="AL8" s="35">
        <v>8</v>
      </c>
      <c r="AM8" s="36">
        <f t="shared" si="0"/>
        <v>0.2857142857142857</v>
      </c>
      <c r="AN8" s="37">
        <v>0</v>
      </c>
      <c r="AO8" s="37">
        <v>14</v>
      </c>
      <c r="AP8" s="37">
        <v>6</v>
      </c>
      <c r="AQ8" s="37">
        <v>18</v>
      </c>
      <c r="AR8" s="38">
        <f t="shared" si="1"/>
        <v>0.6428571428571429</v>
      </c>
      <c r="AS8" s="37">
        <v>10</v>
      </c>
      <c r="AT8" s="23">
        <v>2</v>
      </c>
      <c r="AU8" s="18">
        <f t="shared" si="2"/>
        <v>0.33333333333333331</v>
      </c>
      <c r="AV8" s="23">
        <v>0</v>
      </c>
      <c r="AW8" s="23">
        <v>3</v>
      </c>
      <c r="AX8" s="23">
        <v>1</v>
      </c>
      <c r="AY8" s="23">
        <v>2</v>
      </c>
      <c r="AZ8" s="18">
        <f t="shared" si="3"/>
        <v>0.33333333333333331</v>
      </c>
      <c r="BA8" s="39">
        <v>4</v>
      </c>
      <c r="BB8" s="40">
        <v>0</v>
      </c>
      <c r="BC8" s="41">
        <v>0</v>
      </c>
      <c r="BD8" s="42">
        <v>0</v>
      </c>
      <c r="BE8" s="44">
        <v>2</v>
      </c>
    </row>
    <row r="9" spans="1:57" x14ac:dyDescent="0.2">
      <c r="A9" s="22">
        <v>45885</v>
      </c>
      <c r="B9" s="23">
        <v>2</v>
      </c>
      <c r="C9" s="24" t="s">
        <v>69</v>
      </c>
      <c r="D9" s="25">
        <v>0</v>
      </c>
      <c r="E9" s="25">
        <v>1</v>
      </c>
      <c r="F9" s="23" t="s">
        <v>60</v>
      </c>
      <c r="G9" s="26" t="s">
        <v>72</v>
      </c>
      <c r="H9" s="27">
        <v>39</v>
      </c>
      <c r="I9" s="24">
        <v>61</v>
      </c>
      <c r="J9" s="28">
        <v>0.71</v>
      </c>
      <c r="K9" s="29">
        <v>0.73</v>
      </c>
      <c r="L9" s="30">
        <v>2</v>
      </c>
      <c r="M9" s="24">
        <v>2</v>
      </c>
      <c r="N9" s="30">
        <v>13</v>
      </c>
      <c r="O9" s="24">
        <v>13</v>
      </c>
      <c r="P9" s="30">
        <v>5</v>
      </c>
      <c r="Q9" s="24">
        <v>6</v>
      </c>
      <c r="R9" s="30">
        <v>1</v>
      </c>
      <c r="S9" s="24">
        <v>0</v>
      </c>
      <c r="T9" s="28">
        <v>0.21</v>
      </c>
      <c r="U9" s="31">
        <v>0.56000000000000005</v>
      </c>
      <c r="V9" s="32">
        <v>4</v>
      </c>
      <c r="W9" s="24">
        <v>7</v>
      </c>
      <c r="X9" s="30">
        <v>10</v>
      </c>
      <c r="Y9" s="24">
        <v>16</v>
      </c>
      <c r="Z9" s="30">
        <v>241</v>
      </c>
      <c r="AA9" s="24">
        <v>374</v>
      </c>
      <c r="AB9" s="30">
        <v>10</v>
      </c>
      <c r="AC9" s="24">
        <v>6</v>
      </c>
      <c r="AD9" s="30">
        <v>16</v>
      </c>
      <c r="AE9" s="24">
        <v>10</v>
      </c>
      <c r="AF9" s="30">
        <v>2</v>
      </c>
      <c r="AG9" s="33">
        <v>2</v>
      </c>
      <c r="AH9" s="27">
        <v>1</v>
      </c>
      <c r="AI9" s="34">
        <v>0</v>
      </c>
      <c r="AJ9" s="27">
        <v>0</v>
      </c>
      <c r="AK9" s="34">
        <v>0</v>
      </c>
      <c r="AL9" s="35">
        <v>5</v>
      </c>
      <c r="AM9" s="36">
        <f t="shared" si="0"/>
        <v>0.38461538461538464</v>
      </c>
      <c r="AN9" s="37">
        <v>1</v>
      </c>
      <c r="AO9" s="37">
        <v>7</v>
      </c>
      <c r="AP9" s="37">
        <v>1</v>
      </c>
      <c r="AQ9" s="37">
        <v>11</v>
      </c>
      <c r="AR9" s="38">
        <f t="shared" si="1"/>
        <v>0.84615384615384615</v>
      </c>
      <c r="AS9" s="37">
        <v>2</v>
      </c>
      <c r="AT9" s="23">
        <v>5</v>
      </c>
      <c r="AU9" s="18">
        <f t="shared" si="2"/>
        <v>0.38461538461538464</v>
      </c>
      <c r="AV9" s="23">
        <v>2</v>
      </c>
      <c r="AW9" s="23">
        <v>7</v>
      </c>
      <c r="AX9" s="23">
        <v>1</v>
      </c>
      <c r="AY9" s="23">
        <v>8</v>
      </c>
      <c r="AZ9" s="18">
        <f t="shared" si="3"/>
        <v>0.61538461538461542</v>
      </c>
      <c r="BA9" s="39">
        <v>5</v>
      </c>
      <c r="BB9" s="40">
        <v>0</v>
      </c>
      <c r="BC9" s="41">
        <v>0</v>
      </c>
      <c r="BD9" s="42">
        <v>0</v>
      </c>
      <c r="BE9" s="43">
        <v>0</v>
      </c>
    </row>
    <row r="10" spans="1:57" x14ac:dyDescent="0.2">
      <c r="A10" s="22">
        <v>45885</v>
      </c>
      <c r="B10" s="23">
        <v>2</v>
      </c>
      <c r="C10" s="23" t="s">
        <v>73</v>
      </c>
      <c r="D10" s="25">
        <v>0</v>
      </c>
      <c r="E10" s="25">
        <v>0</v>
      </c>
      <c r="F10" s="23" t="s">
        <v>64</v>
      </c>
      <c r="H10" s="27">
        <v>43</v>
      </c>
      <c r="I10" s="24">
        <v>57</v>
      </c>
      <c r="J10" s="28">
        <v>0.47</v>
      </c>
      <c r="K10" s="29">
        <v>1.44</v>
      </c>
      <c r="L10" s="30">
        <v>0</v>
      </c>
      <c r="M10" s="24">
        <v>3</v>
      </c>
      <c r="N10" s="30">
        <v>9</v>
      </c>
      <c r="O10" s="24">
        <v>7</v>
      </c>
      <c r="P10" s="30">
        <v>3</v>
      </c>
      <c r="Q10" s="24">
        <v>1</v>
      </c>
      <c r="R10" s="30">
        <v>0</v>
      </c>
      <c r="S10" s="24">
        <v>0</v>
      </c>
      <c r="T10" s="28">
        <v>0.42</v>
      </c>
      <c r="U10" s="31">
        <v>0.01</v>
      </c>
      <c r="V10" s="32">
        <v>3</v>
      </c>
      <c r="W10" s="24">
        <v>1</v>
      </c>
      <c r="X10" s="30">
        <v>22</v>
      </c>
      <c r="Y10" s="24">
        <v>14</v>
      </c>
      <c r="Z10" s="30">
        <v>372</v>
      </c>
      <c r="AA10" s="24">
        <v>504</v>
      </c>
      <c r="AB10" s="30">
        <v>13</v>
      </c>
      <c r="AC10" s="24">
        <v>14</v>
      </c>
      <c r="AD10" s="30">
        <v>14</v>
      </c>
      <c r="AE10" s="24">
        <v>22</v>
      </c>
      <c r="AF10" s="30">
        <v>1</v>
      </c>
      <c r="AG10" s="33">
        <v>2</v>
      </c>
      <c r="AH10" s="27">
        <v>0</v>
      </c>
      <c r="AI10" s="34">
        <v>0</v>
      </c>
      <c r="AJ10" s="27">
        <v>0</v>
      </c>
      <c r="AK10" s="34">
        <v>0</v>
      </c>
      <c r="AL10" s="35">
        <v>1</v>
      </c>
      <c r="AM10" s="36">
        <f t="shared" si="0"/>
        <v>0.1111111111111111</v>
      </c>
      <c r="AN10" s="37">
        <v>0</v>
      </c>
      <c r="AO10" s="37">
        <v>4</v>
      </c>
      <c r="AP10" s="37">
        <v>4</v>
      </c>
      <c r="AQ10" s="37">
        <v>4</v>
      </c>
      <c r="AR10" s="38">
        <f t="shared" si="1"/>
        <v>0.44444444444444442</v>
      </c>
      <c r="AS10" s="37">
        <v>5</v>
      </c>
      <c r="AT10" s="23">
        <v>3</v>
      </c>
      <c r="AU10" s="18">
        <f t="shared" si="2"/>
        <v>0.42857142857142855</v>
      </c>
      <c r="AV10" s="23">
        <v>0</v>
      </c>
      <c r="AW10" s="23">
        <v>4</v>
      </c>
      <c r="AX10" s="23">
        <v>0</v>
      </c>
      <c r="AY10" s="23">
        <v>5</v>
      </c>
      <c r="AZ10" s="18">
        <f t="shared" si="3"/>
        <v>0.7142857142857143</v>
      </c>
      <c r="BA10" s="39">
        <v>2</v>
      </c>
      <c r="BB10" s="40">
        <v>1</v>
      </c>
      <c r="BC10" s="41">
        <v>0</v>
      </c>
      <c r="BD10" s="42">
        <v>0</v>
      </c>
      <c r="BE10" s="43">
        <v>0</v>
      </c>
    </row>
    <row r="11" spans="1:57" x14ac:dyDescent="0.2">
      <c r="A11" s="22">
        <v>45885</v>
      </c>
      <c r="B11" s="23">
        <v>2</v>
      </c>
      <c r="C11" s="23" t="s">
        <v>65</v>
      </c>
      <c r="D11" s="25">
        <v>0</v>
      </c>
      <c r="E11" s="25">
        <v>0</v>
      </c>
      <c r="F11" s="23" t="s">
        <v>74</v>
      </c>
      <c r="G11" s="26" t="s">
        <v>75</v>
      </c>
      <c r="H11" s="27">
        <v>40</v>
      </c>
      <c r="I11" s="24">
        <v>60</v>
      </c>
      <c r="J11" s="28">
        <v>0.59</v>
      </c>
      <c r="K11" s="29">
        <v>1.94</v>
      </c>
      <c r="L11" s="30">
        <v>0</v>
      </c>
      <c r="M11" s="24">
        <v>2</v>
      </c>
      <c r="N11" s="30">
        <v>12</v>
      </c>
      <c r="O11" s="24">
        <v>12</v>
      </c>
      <c r="P11" s="30">
        <v>1</v>
      </c>
      <c r="Q11" s="24">
        <v>2</v>
      </c>
      <c r="R11" s="30">
        <v>1</v>
      </c>
      <c r="S11" s="24">
        <v>1</v>
      </c>
      <c r="T11" s="28">
        <v>0.76</v>
      </c>
      <c r="U11" s="31">
        <v>0.3</v>
      </c>
      <c r="V11" s="32">
        <v>3</v>
      </c>
      <c r="W11" s="24">
        <v>6</v>
      </c>
      <c r="X11" s="30">
        <v>24</v>
      </c>
      <c r="Y11" s="24">
        <v>13</v>
      </c>
      <c r="Z11" s="30">
        <v>271</v>
      </c>
      <c r="AA11" s="24">
        <v>397</v>
      </c>
      <c r="AB11" s="30">
        <v>12</v>
      </c>
      <c r="AC11" s="24">
        <v>9</v>
      </c>
      <c r="AD11" s="30">
        <v>13</v>
      </c>
      <c r="AE11" s="24">
        <v>23</v>
      </c>
      <c r="AF11" s="30">
        <v>7</v>
      </c>
      <c r="AG11" s="33">
        <v>5</v>
      </c>
      <c r="AH11" s="27">
        <v>1</v>
      </c>
      <c r="AI11" s="34">
        <v>1</v>
      </c>
      <c r="AJ11" s="27">
        <v>0</v>
      </c>
      <c r="AK11" s="34">
        <v>1</v>
      </c>
      <c r="AL11" s="35">
        <v>2</v>
      </c>
      <c r="AM11" s="36">
        <f t="shared" si="0"/>
        <v>0.16666666666666666</v>
      </c>
      <c r="AN11" s="37">
        <v>0</v>
      </c>
      <c r="AO11" s="37">
        <v>4</v>
      </c>
      <c r="AP11" s="37">
        <v>6</v>
      </c>
      <c r="AQ11" s="37">
        <v>7</v>
      </c>
      <c r="AR11" s="38">
        <f t="shared" si="1"/>
        <v>0.58333333333333337</v>
      </c>
      <c r="AS11" s="37">
        <v>5</v>
      </c>
      <c r="AT11" s="23">
        <v>1</v>
      </c>
      <c r="AU11" s="18">
        <f t="shared" si="2"/>
        <v>8.3333333333333329E-2</v>
      </c>
      <c r="AV11" s="23">
        <v>0</v>
      </c>
      <c r="AW11" s="23">
        <v>7</v>
      </c>
      <c r="AX11" s="23">
        <v>4</v>
      </c>
      <c r="AY11" s="23">
        <v>8</v>
      </c>
      <c r="AZ11" s="18">
        <f t="shared" si="3"/>
        <v>0.66666666666666663</v>
      </c>
      <c r="BA11" s="39">
        <v>4</v>
      </c>
      <c r="BB11" s="40">
        <v>0</v>
      </c>
      <c r="BC11" s="41">
        <v>0</v>
      </c>
      <c r="BD11" s="42">
        <v>1</v>
      </c>
      <c r="BE11" s="43">
        <v>0</v>
      </c>
    </row>
    <row r="12" spans="1:57" x14ac:dyDescent="0.2">
      <c r="A12" s="22">
        <v>45886</v>
      </c>
      <c r="B12" s="23">
        <v>2</v>
      </c>
      <c r="C12" s="23" t="s">
        <v>61</v>
      </c>
      <c r="D12" s="25">
        <v>0</v>
      </c>
      <c r="E12" s="25">
        <v>1</v>
      </c>
      <c r="F12" s="23" t="s">
        <v>62</v>
      </c>
      <c r="H12" s="27">
        <v>45</v>
      </c>
      <c r="I12" s="24">
        <v>55</v>
      </c>
      <c r="J12" s="28">
        <v>1.1399999999999999</v>
      </c>
      <c r="K12" s="29">
        <v>0.65</v>
      </c>
      <c r="L12" s="30">
        <v>3</v>
      </c>
      <c r="M12" s="24">
        <v>0</v>
      </c>
      <c r="N12" s="30">
        <v>14</v>
      </c>
      <c r="O12" s="24">
        <v>8</v>
      </c>
      <c r="P12" s="30">
        <v>3</v>
      </c>
      <c r="Q12" s="24">
        <v>2</v>
      </c>
      <c r="R12" s="30">
        <v>0</v>
      </c>
      <c r="S12" s="24">
        <v>0</v>
      </c>
      <c r="T12" s="28">
        <v>-0.01</v>
      </c>
      <c r="U12" s="31">
        <v>0.44</v>
      </c>
      <c r="V12" s="32">
        <v>8</v>
      </c>
      <c r="W12" s="24">
        <v>3</v>
      </c>
      <c r="X12" s="30">
        <v>3</v>
      </c>
      <c r="Y12" s="24">
        <v>9</v>
      </c>
      <c r="Z12" s="30">
        <v>366</v>
      </c>
      <c r="AA12" s="24">
        <v>463</v>
      </c>
      <c r="AB12" s="30">
        <v>12</v>
      </c>
      <c r="AC12" s="24">
        <v>13</v>
      </c>
      <c r="AD12" s="30">
        <v>9</v>
      </c>
      <c r="AE12" s="24">
        <v>3</v>
      </c>
      <c r="AF12" s="30">
        <v>0</v>
      </c>
      <c r="AG12" s="33">
        <v>2</v>
      </c>
      <c r="AH12" s="27">
        <v>0</v>
      </c>
      <c r="AI12" s="34">
        <v>0</v>
      </c>
      <c r="AJ12" s="27">
        <v>0</v>
      </c>
      <c r="AK12" s="34">
        <v>0</v>
      </c>
      <c r="AL12" s="35">
        <v>2</v>
      </c>
      <c r="AM12" s="36">
        <f t="shared" si="0"/>
        <v>0.14285714285714285</v>
      </c>
      <c r="AN12" s="37">
        <v>0</v>
      </c>
      <c r="AO12" s="37">
        <v>6</v>
      </c>
      <c r="AP12" s="37">
        <v>6</v>
      </c>
      <c r="AQ12" s="37">
        <v>9</v>
      </c>
      <c r="AR12" s="38">
        <f t="shared" si="1"/>
        <v>0.6428571428571429</v>
      </c>
      <c r="AS12" s="37">
        <v>5</v>
      </c>
      <c r="AT12" s="23">
        <v>4</v>
      </c>
      <c r="AU12" s="18">
        <f t="shared" si="2"/>
        <v>0.5</v>
      </c>
      <c r="AV12" s="23">
        <v>0</v>
      </c>
      <c r="AW12" s="23">
        <v>4</v>
      </c>
      <c r="AX12" s="23">
        <v>0</v>
      </c>
      <c r="AY12" s="23">
        <v>6</v>
      </c>
      <c r="AZ12" s="18">
        <f t="shared" si="3"/>
        <v>0.75</v>
      </c>
      <c r="BA12" s="39">
        <v>2</v>
      </c>
      <c r="BB12" s="40">
        <v>2</v>
      </c>
      <c r="BC12" s="41">
        <v>0</v>
      </c>
      <c r="BD12" s="42">
        <v>2</v>
      </c>
      <c r="BE12" s="43">
        <v>0</v>
      </c>
    </row>
    <row r="13" spans="1:57" x14ac:dyDescent="0.2">
      <c r="A13" s="22">
        <v>45886</v>
      </c>
      <c r="B13" s="23">
        <v>2</v>
      </c>
      <c r="C13" s="23" t="s">
        <v>67</v>
      </c>
      <c r="D13" s="25">
        <v>3</v>
      </c>
      <c r="E13" s="25">
        <v>0</v>
      </c>
      <c r="F13" s="23" t="s">
        <v>57</v>
      </c>
      <c r="H13" s="27">
        <v>50</v>
      </c>
      <c r="I13" s="24">
        <v>50</v>
      </c>
      <c r="J13" s="28">
        <v>2.09</v>
      </c>
      <c r="K13" s="29">
        <v>0.77</v>
      </c>
      <c r="L13" s="30">
        <v>4</v>
      </c>
      <c r="M13" s="24">
        <v>0</v>
      </c>
      <c r="N13" s="30">
        <v>15</v>
      </c>
      <c r="O13" s="24">
        <v>17</v>
      </c>
      <c r="P13" s="30">
        <v>2</v>
      </c>
      <c r="Q13" s="24">
        <v>4</v>
      </c>
      <c r="R13" s="30">
        <v>0</v>
      </c>
      <c r="S13" s="24">
        <v>0</v>
      </c>
      <c r="T13" s="28">
        <v>0.03</v>
      </c>
      <c r="U13" s="31">
        <v>-0.66</v>
      </c>
      <c r="V13" s="32">
        <v>2</v>
      </c>
      <c r="W13" s="24">
        <v>6</v>
      </c>
      <c r="X13" s="30">
        <v>17</v>
      </c>
      <c r="Y13" s="24">
        <v>11</v>
      </c>
      <c r="Z13" s="30">
        <v>396</v>
      </c>
      <c r="AA13" s="24">
        <v>384</v>
      </c>
      <c r="AB13" s="30">
        <v>18</v>
      </c>
      <c r="AC13" s="24">
        <v>16</v>
      </c>
      <c r="AD13" s="30">
        <v>11</v>
      </c>
      <c r="AE13" s="24">
        <v>17</v>
      </c>
      <c r="AF13" s="30">
        <v>3</v>
      </c>
      <c r="AG13" s="33">
        <v>3</v>
      </c>
      <c r="AH13" s="27">
        <v>0</v>
      </c>
      <c r="AI13" s="34">
        <v>0</v>
      </c>
      <c r="AJ13" s="27">
        <v>0</v>
      </c>
      <c r="AK13" s="34">
        <v>0</v>
      </c>
      <c r="AL13" s="35">
        <v>7</v>
      </c>
      <c r="AM13" s="36">
        <f t="shared" si="0"/>
        <v>0.46666666666666667</v>
      </c>
      <c r="AN13" s="37">
        <v>0</v>
      </c>
      <c r="AO13" s="37">
        <v>4</v>
      </c>
      <c r="AP13" s="37">
        <v>4</v>
      </c>
      <c r="AQ13" s="37">
        <v>11</v>
      </c>
      <c r="AR13" s="38">
        <f t="shared" si="1"/>
        <v>0.73333333333333328</v>
      </c>
      <c r="AS13" s="37">
        <v>4</v>
      </c>
      <c r="AT13" s="23">
        <v>1</v>
      </c>
      <c r="AU13" s="18">
        <f t="shared" si="2"/>
        <v>5.8823529411764705E-2</v>
      </c>
      <c r="AV13" s="23">
        <v>0</v>
      </c>
      <c r="AW13" s="23">
        <v>10</v>
      </c>
      <c r="AX13" s="23">
        <v>6</v>
      </c>
      <c r="AY13" s="23">
        <v>10</v>
      </c>
      <c r="AZ13" s="18">
        <f t="shared" si="3"/>
        <v>0.58823529411764708</v>
      </c>
      <c r="BA13" s="39">
        <v>7</v>
      </c>
      <c r="BB13" s="40">
        <v>0</v>
      </c>
      <c r="BC13" s="41">
        <v>0</v>
      </c>
      <c r="BD13" s="42">
        <v>1</v>
      </c>
      <c r="BE13" s="43">
        <v>0</v>
      </c>
    </row>
    <row r="14" spans="1:57" x14ac:dyDescent="0.2">
      <c r="A14" s="22">
        <v>45886</v>
      </c>
      <c r="B14" s="23">
        <v>2</v>
      </c>
      <c r="C14" s="23" t="s">
        <v>76</v>
      </c>
      <c r="D14" s="25">
        <v>1</v>
      </c>
      <c r="E14" s="25">
        <v>1</v>
      </c>
      <c r="F14" s="23" t="s">
        <v>77</v>
      </c>
      <c r="H14" s="27">
        <v>57</v>
      </c>
      <c r="I14" s="24">
        <v>43</v>
      </c>
      <c r="J14" s="28">
        <v>0.81</v>
      </c>
      <c r="K14" s="29">
        <v>0.44</v>
      </c>
      <c r="L14" s="30">
        <v>1</v>
      </c>
      <c r="M14" s="24">
        <v>0</v>
      </c>
      <c r="N14" s="30">
        <v>13</v>
      </c>
      <c r="O14" s="24">
        <v>9</v>
      </c>
      <c r="P14" s="30">
        <v>2</v>
      </c>
      <c r="Q14" s="24">
        <v>3</v>
      </c>
      <c r="R14" s="30">
        <v>1</v>
      </c>
      <c r="S14" s="24">
        <v>0</v>
      </c>
      <c r="T14" s="28">
        <v>-0.14000000000000001</v>
      </c>
      <c r="U14" s="31">
        <v>0.16</v>
      </c>
      <c r="V14" s="32">
        <v>5</v>
      </c>
      <c r="W14" s="24">
        <v>7</v>
      </c>
      <c r="X14" s="30">
        <v>12</v>
      </c>
      <c r="Y14" s="24">
        <v>13</v>
      </c>
      <c r="Z14" s="30">
        <v>481</v>
      </c>
      <c r="AA14" s="24">
        <v>354</v>
      </c>
      <c r="AB14" s="30">
        <v>16</v>
      </c>
      <c r="AC14" s="24">
        <v>17</v>
      </c>
      <c r="AD14" s="30">
        <v>13</v>
      </c>
      <c r="AE14" s="24">
        <v>12</v>
      </c>
      <c r="AF14" s="30">
        <v>1</v>
      </c>
      <c r="AG14" s="33">
        <v>1</v>
      </c>
      <c r="AH14" s="27">
        <v>0</v>
      </c>
      <c r="AI14" s="34">
        <v>0</v>
      </c>
      <c r="AJ14" s="27">
        <v>0</v>
      </c>
      <c r="AK14" s="34">
        <v>0</v>
      </c>
      <c r="AL14" s="35">
        <v>4</v>
      </c>
      <c r="AM14" s="36">
        <f t="shared" si="0"/>
        <v>0.30769230769230771</v>
      </c>
      <c r="AN14" s="37">
        <v>0</v>
      </c>
      <c r="AO14" s="37">
        <v>6</v>
      </c>
      <c r="AP14" s="37">
        <v>3</v>
      </c>
      <c r="AQ14" s="37">
        <v>8</v>
      </c>
      <c r="AR14" s="38">
        <f t="shared" si="1"/>
        <v>0.61538461538461542</v>
      </c>
      <c r="AS14" s="37">
        <v>5</v>
      </c>
      <c r="AT14" s="23">
        <v>3</v>
      </c>
      <c r="AU14" s="18">
        <f t="shared" si="2"/>
        <v>0.33333333333333331</v>
      </c>
      <c r="AV14" s="23">
        <v>0</v>
      </c>
      <c r="AW14" s="23">
        <v>4</v>
      </c>
      <c r="AX14" s="23">
        <v>2</v>
      </c>
      <c r="AY14" s="23">
        <v>6</v>
      </c>
      <c r="AZ14" s="18">
        <f t="shared" si="3"/>
        <v>0.66666666666666663</v>
      </c>
      <c r="BA14" s="39">
        <v>3</v>
      </c>
      <c r="BB14" s="40">
        <v>0</v>
      </c>
      <c r="BC14" s="41">
        <v>0</v>
      </c>
      <c r="BD14" s="42">
        <v>0</v>
      </c>
      <c r="BE14" s="43">
        <v>0</v>
      </c>
    </row>
    <row r="15" spans="1:57" x14ac:dyDescent="0.2">
      <c r="A15" s="22">
        <v>45886</v>
      </c>
      <c r="B15" s="23">
        <v>2</v>
      </c>
      <c r="C15" s="23" t="s">
        <v>78</v>
      </c>
      <c r="D15" s="25">
        <v>2</v>
      </c>
      <c r="E15" s="25">
        <v>1</v>
      </c>
      <c r="F15" s="23" t="s">
        <v>66</v>
      </c>
      <c r="H15" s="27">
        <v>54</v>
      </c>
      <c r="I15" s="24">
        <v>46</v>
      </c>
      <c r="J15" s="28">
        <v>2.68</v>
      </c>
      <c r="K15" s="29">
        <v>1.27</v>
      </c>
      <c r="L15" s="30">
        <v>5</v>
      </c>
      <c r="M15" s="24">
        <v>2</v>
      </c>
      <c r="N15" s="30">
        <v>18</v>
      </c>
      <c r="O15" s="24">
        <v>11</v>
      </c>
      <c r="P15" s="30">
        <v>3</v>
      </c>
      <c r="Q15" s="24">
        <v>7</v>
      </c>
      <c r="R15" s="30">
        <v>1</v>
      </c>
      <c r="S15" s="24">
        <v>4</v>
      </c>
      <c r="T15" s="28">
        <v>-0.15</v>
      </c>
      <c r="U15" s="31">
        <v>0.99</v>
      </c>
      <c r="V15" s="32">
        <v>10</v>
      </c>
      <c r="W15" s="24">
        <v>3</v>
      </c>
      <c r="X15" s="30">
        <v>14</v>
      </c>
      <c r="Y15" s="24">
        <v>10</v>
      </c>
      <c r="Z15" s="30">
        <v>429</v>
      </c>
      <c r="AA15" s="24">
        <v>369</v>
      </c>
      <c r="AB15" s="30">
        <v>19</v>
      </c>
      <c r="AC15" s="24">
        <v>20</v>
      </c>
      <c r="AD15" s="30">
        <v>9</v>
      </c>
      <c r="AE15" s="24">
        <v>14</v>
      </c>
      <c r="AF15" s="30">
        <v>2</v>
      </c>
      <c r="AG15" s="33">
        <v>2</v>
      </c>
      <c r="AH15" s="27">
        <v>0</v>
      </c>
      <c r="AI15" s="34">
        <v>0</v>
      </c>
      <c r="AJ15" s="27">
        <v>1</v>
      </c>
      <c r="AK15" s="34">
        <v>0</v>
      </c>
      <c r="AL15" s="35">
        <v>9</v>
      </c>
      <c r="AM15" s="36">
        <f t="shared" si="0"/>
        <v>0.5</v>
      </c>
      <c r="AN15" s="37">
        <v>0</v>
      </c>
      <c r="AO15" s="37">
        <v>5</v>
      </c>
      <c r="AP15" s="37">
        <v>4</v>
      </c>
      <c r="AQ15" s="37">
        <v>14</v>
      </c>
      <c r="AR15" s="38">
        <f t="shared" si="1"/>
        <v>0.77777777777777779</v>
      </c>
      <c r="AS15" s="37">
        <v>4</v>
      </c>
      <c r="AT15" s="23">
        <v>4</v>
      </c>
      <c r="AU15" s="18">
        <f t="shared" si="2"/>
        <v>0.36363636363636365</v>
      </c>
      <c r="AV15" s="23">
        <v>0</v>
      </c>
      <c r="AW15" s="23">
        <v>4</v>
      </c>
      <c r="AX15" s="23">
        <v>3</v>
      </c>
      <c r="AY15" s="23">
        <v>6</v>
      </c>
      <c r="AZ15" s="18">
        <f t="shared" si="3"/>
        <v>0.54545454545454541</v>
      </c>
      <c r="BA15" s="39">
        <v>5</v>
      </c>
      <c r="BB15" s="40">
        <v>0</v>
      </c>
      <c r="BC15" s="41">
        <v>0</v>
      </c>
      <c r="BD15" s="42">
        <v>1</v>
      </c>
      <c r="BE15" s="43">
        <v>0</v>
      </c>
    </row>
    <row r="16" spans="1:57" x14ac:dyDescent="0.2">
      <c r="A16" s="22">
        <v>45887</v>
      </c>
      <c r="B16" s="23">
        <v>2</v>
      </c>
      <c r="C16" s="23" t="s">
        <v>63</v>
      </c>
      <c r="D16" s="25">
        <v>0</v>
      </c>
      <c r="E16" s="25">
        <v>1</v>
      </c>
      <c r="F16" s="23" t="s">
        <v>68</v>
      </c>
      <c r="H16" s="27">
        <v>44</v>
      </c>
      <c r="I16" s="24">
        <v>56</v>
      </c>
      <c r="J16" s="28">
        <v>0.2</v>
      </c>
      <c r="K16" s="29">
        <v>1.1599999999999999</v>
      </c>
      <c r="L16" s="30">
        <v>0</v>
      </c>
      <c r="M16" s="24">
        <v>1</v>
      </c>
      <c r="N16" s="30">
        <v>8</v>
      </c>
      <c r="O16" s="24">
        <v>11</v>
      </c>
      <c r="P16" s="30">
        <v>0</v>
      </c>
      <c r="Q16" s="24">
        <v>0</v>
      </c>
      <c r="R16" s="30">
        <v>0</v>
      </c>
      <c r="S16" s="24">
        <v>0</v>
      </c>
      <c r="T16" s="28">
        <v>-0.15</v>
      </c>
      <c r="U16" s="31">
        <v>0</v>
      </c>
      <c r="V16" s="32">
        <v>6</v>
      </c>
      <c r="W16" s="24">
        <v>4</v>
      </c>
      <c r="X16" s="30">
        <v>24</v>
      </c>
      <c r="Y16" s="24">
        <v>13</v>
      </c>
      <c r="Z16" s="30">
        <v>310</v>
      </c>
      <c r="AA16" s="24">
        <v>409</v>
      </c>
      <c r="AB16" s="30">
        <v>25</v>
      </c>
      <c r="AC16" s="24">
        <v>14</v>
      </c>
      <c r="AD16" s="30">
        <v>13</v>
      </c>
      <c r="AE16" s="24">
        <v>24</v>
      </c>
      <c r="AF16" s="30">
        <v>2</v>
      </c>
      <c r="AG16" s="33">
        <v>2</v>
      </c>
      <c r="AH16" s="27">
        <v>0</v>
      </c>
      <c r="AI16" s="34">
        <v>0</v>
      </c>
      <c r="AJ16" s="27">
        <v>0</v>
      </c>
      <c r="AK16" s="34">
        <v>0</v>
      </c>
      <c r="AL16" s="35">
        <v>0</v>
      </c>
      <c r="AM16" s="36">
        <f t="shared" si="0"/>
        <v>0</v>
      </c>
      <c r="AN16" s="37">
        <v>0</v>
      </c>
      <c r="AO16" s="37">
        <v>6</v>
      </c>
      <c r="AP16" s="37">
        <v>2</v>
      </c>
      <c r="AQ16" s="37">
        <v>3</v>
      </c>
      <c r="AR16" s="38">
        <f t="shared" si="1"/>
        <v>0.375</v>
      </c>
      <c r="AS16" s="37">
        <v>5</v>
      </c>
      <c r="AT16" s="23">
        <v>1</v>
      </c>
      <c r="AU16" s="18">
        <f t="shared" si="2"/>
        <v>9.0909090909090912E-2</v>
      </c>
      <c r="AV16" s="23">
        <v>1</v>
      </c>
      <c r="AW16" s="23">
        <v>6</v>
      </c>
      <c r="AX16" s="23">
        <v>4</v>
      </c>
      <c r="AY16" s="23">
        <v>5</v>
      </c>
      <c r="AZ16" s="18">
        <f t="shared" si="3"/>
        <v>0.45454545454545453</v>
      </c>
      <c r="BA16" s="39">
        <v>6</v>
      </c>
      <c r="BB16" s="40">
        <v>0</v>
      </c>
      <c r="BC16" s="41">
        <v>0</v>
      </c>
      <c r="BD16" s="42">
        <v>0</v>
      </c>
      <c r="BE16" s="43">
        <v>0</v>
      </c>
    </row>
    <row r="17" spans="1:57" x14ac:dyDescent="0.2">
      <c r="A17" s="22">
        <v>45891</v>
      </c>
      <c r="B17" s="23">
        <v>3</v>
      </c>
      <c r="C17" s="23" t="s">
        <v>70</v>
      </c>
      <c r="D17" s="25">
        <v>0</v>
      </c>
      <c r="E17" s="25">
        <v>2</v>
      </c>
      <c r="F17" s="23" t="s">
        <v>65</v>
      </c>
      <c r="H17" s="27">
        <v>65</v>
      </c>
      <c r="I17" s="24">
        <v>35</v>
      </c>
      <c r="J17" s="28">
        <v>0.33</v>
      </c>
      <c r="K17" s="29">
        <v>1.88</v>
      </c>
      <c r="L17" s="30">
        <v>0</v>
      </c>
      <c r="M17" s="24">
        <v>4</v>
      </c>
      <c r="N17" s="30">
        <v>11</v>
      </c>
      <c r="O17" s="24">
        <v>16</v>
      </c>
      <c r="P17" s="30">
        <v>4</v>
      </c>
      <c r="Q17" s="24">
        <v>2</v>
      </c>
      <c r="R17" s="30">
        <v>0</v>
      </c>
      <c r="S17" s="24">
        <v>0</v>
      </c>
      <c r="T17" s="28">
        <v>-0.18</v>
      </c>
      <c r="U17" s="31">
        <v>0.04</v>
      </c>
      <c r="V17" s="32">
        <v>4</v>
      </c>
      <c r="W17" s="24">
        <v>6</v>
      </c>
      <c r="X17" s="30">
        <v>13</v>
      </c>
      <c r="Y17" s="24">
        <v>19</v>
      </c>
      <c r="Z17" s="30">
        <v>440</v>
      </c>
      <c r="AA17" s="24">
        <v>227</v>
      </c>
      <c r="AB17" s="30">
        <v>11</v>
      </c>
      <c r="AC17" s="24">
        <v>24</v>
      </c>
      <c r="AD17" s="30">
        <v>19</v>
      </c>
      <c r="AE17" s="24">
        <v>13</v>
      </c>
      <c r="AF17" s="30">
        <v>2</v>
      </c>
      <c r="AG17" s="33">
        <v>2</v>
      </c>
      <c r="AH17" s="27">
        <v>0</v>
      </c>
      <c r="AI17" s="34">
        <v>0</v>
      </c>
      <c r="AJ17" s="27">
        <v>0</v>
      </c>
      <c r="AK17" s="34">
        <v>0</v>
      </c>
      <c r="AL17" s="35">
        <v>2</v>
      </c>
      <c r="AM17" s="36">
        <f t="shared" si="0"/>
        <v>0.18181818181818182</v>
      </c>
      <c r="AN17" s="37">
        <v>0</v>
      </c>
      <c r="AO17" s="37">
        <v>6</v>
      </c>
      <c r="AP17" s="37">
        <v>3</v>
      </c>
      <c r="AQ17" s="37">
        <v>2</v>
      </c>
      <c r="AR17" s="38">
        <f t="shared" si="1"/>
        <v>0.18181818181818182</v>
      </c>
      <c r="AS17" s="37">
        <v>9</v>
      </c>
      <c r="AT17" s="23">
        <v>7</v>
      </c>
      <c r="AU17" s="18">
        <f t="shared" si="2"/>
        <v>0.4375</v>
      </c>
      <c r="AV17" s="23">
        <v>0</v>
      </c>
      <c r="AW17" s="23">
        <v>5</v>
      </c>
      <c r="AX17" s="23">
        <v>4</v>
      </c>
      <c r="AY17" s="23">
        <v>8</v>
      </c>
      <c r="AZ17" s="18">
        <f t="shared" si="3"/>
        <v>0.5</v>
      </c>
      <c r="BA17" s="39">
        <v>8</v>
      </c>
      <c r="BB17" s="40">
        <v>1</v>
      </c>
      <c r="BC17" s="45">
        <v>1</v>
      </c>
      <c r="BD17" s="42">
        <v>1</v>
      </c>
      <c r="BE17" s="43">
        <v>0</v>
      </c>
    </row>
    <row r="18" spans="1:57" x14ac:dyDescent="0.2">
      <c r="A18" s="22">
        <v>45892</v>
      </c>
      <c r="B18" s="23">
        <v>3</v>
      </c>
      <c r="C18" s="23" t="s">
        <v>74</v>
      </c>
      <c r="D18" s="25">
        <v>3</v>
      </c>
      <c r="E18" s="25">
        <v>1</v>
      </c>
      <c r="F18" s="23" t="s">
        <v>69</v>
      </c>
      <c r="H18" s="27">
        <v>57</v>
      </c>
      <c r="I18" s="24">
        <v>43</v>
      </c>
      <c r="J18" s="28">
        <v>1.56</v>
      </c>
      <c r="K18" s="29">
        <v>0.3</v>
      </c>
      <c r="L18" s="30">
        <v>4</v>
      </c>
      <c r="M18" s="24">
        <v>0</v>
      </c>
      <c r="N18" s="30">
        <v>21</v>
      </c>
      <c r="O18" s="24">
        <v>7</v>
      </c>
      <c r="P18" s="30">
        <v>0</v>
      </c>
      <c r="Q18" s="24">
        <v>4</v>
      </c>
      <c r="R18" s="30">
        <v>0</v>
      </c>
      <c r="S18" s="24">
        <v>1</v>
      </c>
      <c r="T18" s="28">
        <v>-0.68</v>
      </c>
      <c r="U18" s="31">
        <v>-0.13</v>
      </c>
      <c r="V18" s="32">
        <v>6</v>
      </c>
      <c r="W18" s="24">
        <v>0</v>
      </c>
      <c r="X18" s="30">
        <v>12</v>
      </c>
      <c r="Y18" s="24">
        <v>15</v>
      </c>
      <c r="Z18" s="30">
        <v>390</v>
      </c>
      <c r="AA18" s="24">
        <v>296</v>
      </c>
      <c r="AB18" s="30">
        <v>25</v>
      </c>
      <c r="AC18" s="24">
        <v>8</v>
      </c>
      <c r="AD18" s="30">
        <v>15</v>
      </c>
      <c r="AE18" s="24">
        <v>12</v>
      </c>
      <c r="AF18" s="30">
        <v>1</v>
      </c>
      <c r="AG18" s="33">
        <v>3</v>
      </c>
      <c r="AH18" s="27">
        <v>0</v>
      </c>
      <c r="AI18" s="34">
        <v>0</v>
      </c>
      <c r="AJ18" s="27">
        <v>0</v>
      </c>
      <c r="AK18" s="34">
        <v>0</v>
      </c>
      <c r="AL18" s="35">
        <v>7</v>
      </c>
      <c r="AM18" s="36">
        <f t="shared" si="0"/>
        <v>0.33333333333333331</v>
      </c>
      <c r="AN18" s="37">
        <v>1</v>
      </c>
      <c r="AO18" s="37">
        <v>7</v>
      </c>
      <c r="AP18" s="37">
        <v>7</v>
      </c>
      <c r="AQ18" s="37">
        <v>10</v>
      </c>
      <c r="AR18" s="38">
        <f t="shared" si="1"/>
        <v>0.47619047619047616</v>
      </c>
      <c r="AS18" s="37">
        <v>11</v>
      </c>
      <c r="AT18" s="23">
        <v>1</v>
      </c>
      <c r="AU18" s="18">
        <f t="shared" si="2"/>
        <v>0.14285714285714285</v>
      </c>
      <c r="AV18" s="23">
        <v>1</v>
      </c>
      <c r="AW18" s="23">
        <v>5</v>
      </c>
      <c r="AX18" s="23">
        <v>1</v>
      </c>
      <c r="AY18" s="23">
        <v>1</v>
      </c>
      <c r="AZ18" s="18">
        <f t="shared" si="3"/>
        <v>0.14285714285714285</v>
      </c>
      <c r="BA18" s="39">
        <v>6</v>
      </c>
      <c r="BB18" s="40">
        <v>0</v>
      </c>
      <c r="BC18" s="41">
        <v>0</v>
      </c>
      <c r="BD18" s="42">
        <v>0</v>
      </c>
      <c r="BE18" s="43">
        <v>0</v>
      </c>
    </row>
    <row r="19" spans="1:57" x14ac:dyDescent="0.2">
      <c r="A19" s="22">
        <v>45892</v>
      </c>
      <c r="B19" s="23">
        <v>3</v>
      </c>
      <c r="C19" s="23" t="s">
        <v>57</v>
      </c>
      <c r="D19" s="25">
        <v>2</v>
      </c>
      <c r="E19" s="25">
        <v>1</v>
      </c>
      <c r="F19" s="24" t="s">
        <v>61</v>
      </c>
      <c r="G19" s="26" t="s">
        <v>79</v>
      </c>
      <c r="H19" s="27">
        <v>71</v>
      </c>
      <c r="I19" s="24">
        <v>29</v>
      </c>
      <c r="J19" s="28">
        <v>2.5</v>
      </c>
      <c r="K19" s="29">
        <v>0.51</v>
      </c>
      <c r="L19" s="30">
        <v>3</v>
      </c>
      <c r="M19" s="24">
        <v>1</v>
      </c>
      <c r="N19" s="30">
        <v>25</v>
      </c>
      <c r="O19" s="24">
        <v>7</v>
      </c>
      <c r="P19" s="30">
        <v>2</v>
      </c>
      <c r="Q19" s="24">
        <v>2</v>
      </c>
      <c r="R19" s="30">
        <v>1</v>
      </c>
      <c r="S19" s="24">
        <v>0</v>
      </c>
      <c r="T19" s="28">
        <v>-0.04</v>
      </c>
      <c r="U19" s="31">
        <v>-0.04</v>
      </c>
      <c r="V19" s="32">
        <v>10</v>
      </c>
      <c r="W19" s="24">
        <v>4</v>
      </c>
      <c r="X19" s="30">
        <v>12</v>
      </c>
      <c r="Y19" s="24">
        <v>18</v>
      </c>
      <c r="Z19" s="30">
        <v>502</v>
      </c>
      <c r="AA19" s="24">
        <v>211</v>
      </c>
      <c r="AB19" s="30">
        <v>14</v>
      </c>
      <c r="AC19" s="24">
        <v>12</v>
      </c>
      <c r="AD19" s="30">
        <v>17</v>
      </c>
      <c r="AE19" s="24">
        <v>12</v>
      </c>
      <c r="AF19" s="30">
        <v>3</v>
      </c>
      <c r="AG19" s="33">
        <v>6</v>
      </c>
      <c r="AH19" s="27">
        <v>0</v>
      </c>
      <c r="AI19" s="34">
        <v>1</v>
      </c>
      <c r="AJ19" s="27">
        <v>1</v>
      </c>
      <c r="AK19" s="34">
        <v>0</v>
      </c>
      <c r="AL19" s="35">
        <v>4</v>
      </c>
      <c r="AM19" s="36">
        <f t="shared" si="0"/>
        <v>0.16</v>
      </c>
      <c r="AN19" s="37">
        <v>0</v>
      </c>
      <c r="AO19" s="37">
        <v>14</v>
      </c>
      <c r="AP19" s="37">
        <v>7</v>
      </c>
      <c r="AQ19" s="37">
        <v>15</v>
      </c>
      <c r="AR19" s="38">
        <f t="shared" si="1"/>
        <v>0.6</v>
      </c>
      <c r="AS19" s="37">
        <v>10</v>
      </c>
      <c r="AT19" s="23">
        <v>3</v>
      </c>
      <c r="AU19" s="18">
        <f t="shared" si="2"/>
        <v>0.42857142857142855</v>
      </c>
      <c r="AV19" s="23">
        <v>0</v>
      </c>
      <c r="AW19" s="23">
        <v>2</v>
      </c>
      <c r="AX19" s="23">
        <v>2</v>
      </c>
      <c r="AY19" s="23">
        <v>6</v>
      </c>
      <c r="AZ19" s="18">
        <f t="shared" si="3"/>
        <v>0.8571428571428571</v>
      </c>
      <c r="BA19" s="39">
        <v>1</v>
      </c>
      <c r="BB19" s="40">
        <v>2</v>
      </c>
      <c r="BC19" s="41">
        <v>0</v>
      </c>
      <c r="BD19" s="42">
        <v>0</v>
      </c>
      <c r="BE19" s="43">
        <v>0</v>
      </c>
    </row>
    <row r="20" spans="1:57" x14ac:dyDescent="0.2">
      <c r="A20" s="22">
        <v>45893</v>
      </c>
      <c r="B20" s="23">
        <v>3</v>
      </c>
      <c r="C20" s="23" t="s">
        <v>68</v>
      </c>
      <c r="D20" s="25">
        <v>1</v>
      </c>
      <c r="E20" s="25">
        <v>0</v>
      </c>
      <c r="F20" s="23" t="s">
        <v>62</v>
      </c>
      <c r="H20" s="27">
        <v>50</v>
      </c>
      <c r="I20" s="24">
        <v>50</v>
      </c>
      <c r="J20" s="28">
        <v>1.82</v>
      </c>
      <c r="K20" s="29">
        <v>0.63</v>
      </c>
      <c r="L20" s="30">
        <v>2</v>
      </c>
      <c r="M20" s="24">
        <v>1</v>
      </c>
      <c r="N20" s="30">
        <v>17</v>
      </c>
      <c r="O20" s="24">
        <v>7</v>
      </c>
      <c r="P20" s="30">
        <v>4</v>
      </c>
      <c r="Q20" s="24">
        <v>5</v>
      </c>
      <c r="R20" s="30">
        <v>3</v>
      </c>
      <c r="S20" s="24">
        <v>1</v>
      </c>
      <c r="T20" s="28">
        <v>1.1499999999999999</v>
      </c>
      <c r="U20" s="31">
        <v>0.39</v>
      </c>
      <c r="V20" s="32">
        <v>5</v>
      </c>
      <c r="W20" s="24">
        <v>5</v>
      </c>
      <c r="X20" s="30">
        <v>12</v>
      </c>
      <c r="Y20" s="24">
        <v>13</v>
      </c>
      <c r="Z20" s="30">
        <v>410</v>
      </c>
      <c r="AA20" s="24">
        <v>415</v>
      </c>
      <c r="AB20" s="30">
        <v>10</v>
      </c>
      <c r="AC20" s="24">
        <v>15</v>
      </c>
      <c r="AD20" s="30">
        <v>13</v>
      </c>
      <c r="AE20" s="24">
        <v>12</v>
      </c>
      <c r="AF20" s="30">
        <v>1</v>
      </c>
      <c r="AG20" s="33">
        <v>2</v>
      </c>
      <c r="AH20" s="27">
        <v>0</v>
      </c>
      <c r="AI20" s="34">
        <v>0</v>
      </c>
      <c r="AJ20" s="27">
        <v>0</v>
      </c>
      <c r="AK20" s="34">
        <v>0</v>
      </c>
      <c r="AL20" s="35">
        <v>6</v>
      </c>
      <c r="AM20" s="36">
        <f t="shared" si="0"/>
        <v>0.35294117647058826</v>
      </c>
      <c r="AN20" s="37">
        <v>0</v>
      </c>
      <c r="AO20" s="37">
        <v>9</v>
      </c>
      <c r="AP20" s="37">
        <v>2</v>
      </c>
      <c r="AQ20" s="37">
        <v>10</v>
      </c>
      <c r="AR20" s="38">
        <f t="shared" si="1"/>
        <v>0.58823529411764708</v>
      </c>
      <c r="AS20" s="37">
        <v>7</v>
      </c>
      <c r="AT20" s="23">
        <v>4</v>
      </c>
      <c r="AU20" s="18">
        <f t="shared" si="2"/>
        <v>0.5714285714285714</v>
      </c>
      <c r="AV20" s="23">
        <v>0</v>
      </c>
      <c r="AW20" s="23">
        <v>3</v>
      </c>
      <c r="AX20" s="23">
        <v>0</v>
      </c>
      <c r="AY20" s="23">
        <v>5</v>
      </c>
      <c r="AZ20" s="18">
        <f t="shared" si="3"/>
        <v>0.7142857142857143</v>
      </c>
      <c r="BA20" s="39">
        <v>2</v>
      </c>
      <c r="BB20" s="40">
        <v>0</v>
      </c>
      <c r="BC20" s="41">
        <v>0</v>
      </c>
      <c r="BD20" s="42">
        <v>1</v>
      </c>
      <c r="BE20" s="43">
        <v>0</v>
      </c>
    </row>
    <row r="21" spans="1:57" x14ac:dyDescent="0.2">
      <c r="A21" s="22">
        <v>45893</v>
      </c>
      <c r="B21" s="23">
        <v>3</v>
      </c>
      <c r="C21" s="23" t="s">
        <v>77</v>
      </c>
      <c r="D21" s="25">
        <v>0</v>
      </c>
      <c r="E21" s="25">
        <v>4</v>
      </c>
      <c r="F21" s="23" t="s">
        <v>58</v>
      </c>
      <c r="H21" s="27">
        <v>34</v>
      </c>
      <c r="I21" s="24">
        <v>66</v>
      </c>
      <c r="J21" s="28">
        <v>0.92</v>
      </c>
      <c r="K21" s="29">
        <v>3.35</v>
      </c>
      <c r="L21" s="30">
        <v>1</v>
      </c>
      <c r="M21" s="24">
        <v>8</v>
      </c>
      <c r="N21" s="30">
        <v>8</v>
      </c>
      <c r="O21" s="24">
        <v>19</v>
      </c>
      <c r="P21" s="30">
        <v>5</v>
      </c>
      <c r="Q21" s="24">
        <v>2</v>
      </c>
      <c r="R21" s="30">
        <v>1</v>
      </c>
      <c r="S21" s="24">
        <v>1</v>
      </c>
      <c r="T21" s="28">
        <v>-0.79</v>
      </c>
      <c r="U21" s="31">
        <v>0.15</v>
      </c>
      <c r="V21" s="32">
        <v>6</v>
      </c>
      <c r="W21" s="24">
        <v>3</v>
      </c>
      <c r="X21" s="30">
        <v>5</v>
      </c>
      <c r="Y21" s="24">
        <v>8</v>
      </c>
      <c r="Z21" s="30">
        <v>254</v>
      </c>
      <c r="AA21" s="24">
        <v>521</v>
      </c>
      <c r="AB21" s="30">
        <v>12</v>
      </c>
      <c r="AC21" s="24">
        <v>11</v>
      </c>
      <c r="AD21" s="30">
        <v>8</v>
      </c>
      <c r="AE21" s="24">
        <v>5</v>
      </c>
      <c r="AF21" s="30">
        <v>2</v>
      </c>
      <c r="AG21" s="33">
        <v>2</v>
      </c>
      <c r="AH21" s="27">
        <v>0</v>
      </c>
      <c r="AI21" s="34">
        <v>0</v>
      </c>
      <c r="AJ21" s="27">
        <v>0</v>
      </c>
      <c r="AK21" s="34">
        <v>0</v>
      </c>
      <c r="AL21" s="35">
        <v>2</v>
      </c>
      <c r="AM21" s="36">
        <f t="shared" si="0"/>
        <v>0.25</v>
      </c>
      <c r="AN21" s="37">
        <v>0</v>
      </c>
      <c r="AO21" s="37">
        <v>6</v>
      </c>
      <c r="AP21" s="37">
        <v>0</v>
      </c>
      <c r="AQ21" s="37">
        <v>6</v>
      </c>
      <c r="AR21" s="38">
        <f t="shared" si="1"/>
        <v>0.75</v>
      </c>
      <c r="AS21" s="37">
        <v>2</v>
      </c>
      <c r="AT21" s="23">
        <v>9</v>
      </c>
      <c r="AU21" s="18">
        <f t="shared" si="2"/>
        <v>0.47368421052631576</v>
      </c>
      <c r="AV21" s="23">
        <v>0</v>
      </c>
      <c r="AW21" s="23">
        <v>10</v>
      </c>
      <c r="AX21" s="23">
        <v>0</v>
      </c>
      <c r="AY21" s="23">
        <v>15</v>
      </c>
      <c r="AZ21" s="18">
        <f t="shared" si="3"/>
        <v>0.78947368421052633</v>
      </c>
      <c r="BA21" s="39">
        <v>4</v>
      </c>
      <c r="BB21" s="40">
        <v>0</v>
      </c>
      <c r="BC21" s="41">
        <v>0</v>
      </c>
      <c r="BD21" s="42">
        <v>0</v>
      </c>
      <c r="BE21" s="43">
        <v>0</v>
      </c>
    </row>
    <row r="22" spans="1:57" x14ac:dyDescent="0.2">
      <c r="A22" s="22">
        <v>45894</v>
      </c>
      <c r="B22" s="23">
        <v>3</v>
      </c>
      <c r="C22" s="23" t="s">
        <v>66</v>
      </c>
      <c r="D22" s="25">
        <v>2</v>
      </c>
      <c r="E22" s="25">
        <v>1</v>
      </c>
      <c r="F22" s="23" t="s">
        <v>73</v>
      </c>
      <c r="H22" s="27">
        <v>44</v>
      </c>
      <c r="I22" s="24">
        <v>56</v>
      </c>
      <c r="J22" s="28">
        <v>0.56000000000000005</v>
      </c>
      <c r="K22" s="29">
        <v>1.4</v>
      </c>
      <c r="L22" s="30">
        <v>1</v>
      </c>
      <c r="M22" s="24">
        <v>2</v>
      </c>
      <c r="N22" s="30">
        <v>5</v>
      </c>
      <c r="O22" s="24">
        <v>12</v>
      </c>
      <c r="P22" s="30">
        <v>1</v>
      </c>
      <c r="Q22" s="24">
        <v>1</v>
      </c>
      <c r="R22" s="30">
        <v>0</v>
      </c>
      <c r="S22" s="24">
        <v>0</v>
      </c>
      <c r="T22" s="28">
        <v>-0.27</v>
      </c>
      <c r="U22" s="31">
        <v>-0.86</v>
      </c>
      <c r="V22" s="32">
        <v>0</v>
      </c>
      <c r="W22" s="24">
        <v>5</v>
      </c>
      <c r="X22" s="30">
        <v>19</v>
      </c>
      <c r="Y22" s="24">
        <v>18</v>
      </c>
      <c r="Z22" s="30">
        <v>370</v>
      </c>
      <c r="AA22" s="24">
        <v>466</v>
      </c>
      <c r="AB22" s="30">
        <v>14</v>
      </c>
      <c r="AC22" s="24">
        <v>12</v>
      </c>
      <c r="AD22" s="30">
        <v>18</v>
      </c>
      <c r="AE22" s="24">
        <v>18</v>
      </c>
      <c r="AF22" s="30">
        <v>3</v>
      </c>
      <c r="AG22" s="33">
        <v>3</v>
      </c>
      <c r="AH22" s="27">
        <v>0</v>
      </c>
      <c r="AI22" s="34">
        <v>0</v>
      </c>
      <c r="AJ22" s="27">
        <v>0</v>
      </c>
      <c r="AK22" s="34">
        <v>1</v>
      </c>
      <c r="AL22" s="35">
        <v>3</v>
      </c>
      <c r="AM22" s="36">
        <f t="shared" si="0"/>
        <v>0.6</v>
      </c>
      <c r="AN22" s="37">
        <v>0</v>
      </c>
      <c r="AO22" s="37">
        <v>2</v>
      </c>
      <c r="AP22" s="37">
        <v>0</v>
      </c>
      <c r="AQ22" s="37">
        <v>4</v>
      </c>
      <c r="AR22" s="38">
        <f t="shared" si="1"/>
        <v>0.8</v>
      </c>
      <c r="AS22" s="37">
        <v>1</v>
      </c>
      <c r="AT22" s="23">
        <v>2</v>
      </c>
      <c r="AU22" s="18">
        <f t="shared" si="2"/>
        <v>0.16666666666666666</v>
      </c>
      <c r="AV22" s="23">
        <v>1</v>
      </c>
      <c r="AW22" s="23">
        <v>7</v>
      </c>
      <c r="AX22" s="23">
        <v>3</v>
      </c>
      <c r="AY22" s="23">
        <v>8</v>
      </c>
      <c r="AZ22" s="18">
        <f t="shared" si="3"/>
        <v>0.66666666666666663</v>
      </c>
      <c r="BA22" s="39">
        <v>4</v>
      </c>
      <c r="BB22" s="40">
        <v>1</v>
      </c>
      <c r="BC22" s="41">
        <v>0</v>
      </c>
      <c r="BD22" s="42">
        <v>0</v>
      </c>
      <c r="BE22" s="43">
        <v>0</v>
      </c>
    </row>
    <row r="23" spans="1:57" x14ac:dyDescent="0.2">
      <c r="A23" s="22">
        <v>45898</v>
      </c>
      <c r="B23" s="23">
        <v>4</v>
      </c>
      <c r="C23" s="23" t="s">
        <v>65</v>
      </c>
      <c r="D23" s="25">
        <v>1</v>
      </c>
      <c r="E23" s="25">
        <v>1</v>
      </c>
      <c r="F23" s="23" t="s">
        <v>67</v>
      </c>
      <c r="H23" s="27">
        <v>34</v>
      </c>
      <c r="I23" s="24">
        <v>66</v>
      </c>
      <c r="J23" s="28">
        <v>1.78</v>
      </c>
      <c r="K23" s="29">
        <v>0.59</v>
      </c>
      <c r="L23" s="30">
        <v>4</v>
      </c>
      <c r="M23" s="24">
        <v>0</v>
      </c>
      <c r="N23" s="30">
        <v>18</v>
      </c>
      <c r="O23" s="24">
        <v>10</v>
      </c>
      <c r="P23" s="30">
        <v>1</v>
      </c>
      <c r="Q23" s="24">
        <v>7</v>
      </c>
      <c r="R23" s="30">
        <v>0</v>
      </c>
      <c r="S23" s="24">
        <v>3</v>
      </c>
      <c r="T23" s="28">
        <v>-0.42</v>
      </c>
      <c r="U23" s="31">
        <v>1.9</v>
      </c>
      <c r="V23" s="32">
        <v>5</v>
      </c>
      <c r="W23" s="24">
        <v>6</v>
      </c>
      <c r="X23" s="30">
        <v>17</v>
      </c>
      <c r="Y23" s="24">
        <v>4</v>
      </c>
      <c r="Z23" s="30">
        <v>238</v>
      </c>
      <c r="AA23" s="24">
        <v>472</v>
      </c>
      <c r="AB23" s="30">
        <v>15</v>
      </c>
      <c r="AC23" s="24">
        <v>22</v>
      </c>
      <c r="AD23" s="30">
        <v>4</v>
      </c>
      <c r="AE23" s="24">
        <v>17</v>
      </c>
      <c r="AF23" s="30">
        <v>2</v>
      </c>
      <c r="AG23" s="33">
        <v>2</v>
      </c>
      <c r="AH23" s="27">
        <v>0</v>
      </c>
      <c r="AI23" s="34">
        <v>0</v>
      </c>
      <c r="AJ23" s="27">
        <v>0</v>
      </c>
      <c r="AK23" s="34">
        <v>0</v>
      </c>
      <c r="AL23" s="35">
        <v>8</v>
      </c>
      <c r="AM23" s="36">
        <f t="shared" si="0"/>
        <v>0.44444444444444442</v>
      </c>
      <c r="AN23" s="37">
        <v>0</v>
      </c>
      <c r="AO23" s="37">
        <v>7</v>
      </c>
      <c r="AP23" s="37">
        <v>3</v>
      </c>
      <c r="AQ23" s="37">
        <v>13</v>
      </c>
      <c r="AR23" s="38">
        <f t="shared" si="1"/>
        <v>0.72222222222222221</v>
      </c>
      <c r="AS23" s="37">
        <v>5</v>
      </c>
      <c r="AT23" s="23">
        <v>2</v>
      </c>
      <c r="AU23" s="18">
        <f t="shared" si="2"/>
        <v>0.2</v>
      </c>
      <c r="AV23" s="23">
        <v>0</v>
      </c>
      <c r="AW23" s="23">
        <v>3</v>
      </c>
      <c r="AX23" s="23">
        <v>5</v>
      </c>
      <c r="AY23" s="23">
        <v>5</v>
      </c>
      <c r="AZ23" s="18">
        <f t="shared" si="3"/>
        <v>0.5</v>
      </c>
      <c r="BA23" s="39">
        <v>5</v>
      </c>
      <c r="BB23" s="40">
        <v>0</v>
      </c>
      <c r="BC23" s="41">
        <v>0</v>
      </c>
      <c r="BD23" s="42">
        <v>2</v>
      </c>
      <c r="BE23" s="43">
        <v>0</v>
      </c>
    </row>
    <row r="24" spans="1:57" x14ac:dyDescent="0.2">
      <c r="A24" s="22">
        <v>45899</v>
      </c>
      <c r="B24" s="23">
        <v>4</v>
      </c>
      <c r="C24" s="23" t="s">
        <v>63</v>
      </c>
      <c r="D24" s="25">
        <v>2</v>
      </c>
      <c r="E24" s="25">
        <v>3</v>
      </c>
      <c r="F24" s="23" t="s">
        <v>57</v>
      </c>
      <c r="H24" s="27">
        <v>61</v>
      </c>
      <c r="I24" s="24">
        <v>39</v>
      </c>
      <c r="J24" s="28">
        <v>2.4500000000000002</v>
      </c>
      <c r="K24" s="29">
        <v>1.18</v>
      </c>
      <c r="L24" s="30">
        <v>4</v>
      </c>
      <c r="M24" s="24">
        <v>2</v>
      </c>
      <c r="N24" s="30">
        <v>20</v>
      </c>
      <c r="O24" s="24">
        <v>9</v>
      </c>
      <c r="P24" s="30">
        <v>3</v>
      </c>
      <c r="Q24" s="24">
        <v>4</v>
      </c>
      <c r="R24" s="30">
        <v>2</v>
      </c>
      <c r="S24" s="24">
        <v>0</v>
      </c>
      <c r="T24" s="28">
        <v>-0.01</v>
      </c>
      <c r="U24" s="31">
        <v>-0.32</v>
      </c>
      <c r="V24" s="32">
        <v>3</v>
      </c>
      <c r="W24" s="24">
        <v>4</v>
      </c>
      <c r="X24" s="30">
        <v>15</v>
      </c>
      <c r="Y24" s="24">
        <v>18</v>
      </c>
      <c r="Z24" s="30">
        <v>445</v>
      </c>
      <c r="AA24" s="24">
        <v>300</v>
      </c>
      <c r="AB24" s="30">
        <v>12</v>
      </c>
      <c r="AC24" s="24">
        <v>16</v>
      </c>
      <c r="AD24" s="30">
        <v>17</v>
      </c>
      <c r="AE24" s="24">
        <v>15</v>
      </c>
      <c r="AF24" s="30">
        <v>4</v>
      </c>
      <c r="AG24" s="33">
        <v>4</v>
      </c>
      <c r="AH24" s="27">
        <v>0</v>
      </c>
      <c r="AI24" s="34">
        <v>0</v>
      </c>
      <c r="AJ24" s="27">
        <v>1</v>
      </c>
      <c r="AK24" s="34">
        <v>0</v>
      </c>
      <c r="AL24" s="35">
        <v>6</v>
      </c>
      <c r="AM24" s="36">
        <f t="shared" si="0"/>
        <v>0.3</v>
      </c>
      <c r="AN24" s="37">
        <v>0</v>
      </c>
      <c r="AO24" s="37">
        <v>12</v>
      </c>
      <c r="AP24" s="37">
        <v>2</v>
      </c>
      <c r="AQ24" s="37">
        <v>12</v>
      </c>
      <c r="AR24" s="38">
        <f t="shared" si="1"/>
        <v>0.6</v>
      </c>
      <c r="AS24" s="37">
        <v>8</v>
      </c>
      <c r="AT24" s="23">
        <v>6</v>
      </c>
      <c r="AU24" s="18">
        <f t="shared" si="2"/>
        <v>0.66666666666666663</v>
      </c>
      <c r="AV24" s="23">
        <v>0</v>
      </c>
      <c r="AW24" s="23">
        <v>2</v>
      </c>
      <c r="AX24" s="23">
        <v>1</v>
      </c>
      <c r="AY24" s="23">
        <v>6</v>
      </c>
      <c r="AZ24" s="18">
        <f t="shared" si="3"/>
        <v>0.66666666666666663</v>
      </c>
      <c r="BA24" s="39">
        <v>3</v>
      </c>
      <c r="BB24" s="40">
        <v>0</v>
      </c>
      <c r="BC24" s="41">
        <v>0</v>
      </c>
      <c r="BD24" s="42">
        <v>0</v>
      </c>
      <c r="BE24" s="43">
        <v>0</v>
      </c>
    </row>
    <row r="25" spans="1:57" x14ac:dyDescent="0.2">
      <c r="A25" s="22">
        <v>45899</v>
      </c>
      <c r="B25" s="23">
        <v>4</v>
      </c>
      <c r="C25" s="23" t="s">
        <v>69</v>
      </c>
      <c r="D25" s="25">
        <v>1</v>
      </c>
      <c r="E25" s="25">
        <v>1</v>
      </c>
      <c r="F25" s="23" t="s">
        <v>77</v>
      </c>
      <c r="H25" s="27">
        <v>43</v>
      </c>
      <c r="I25" s="24">
        <v>57</v>
      </c>
      <c r="J25" s="28">
        <v>1.27</v>
      </c>
      <c r="K25" s="29">
        <v>0.51</v>
      </c>
      <c r="L25" s="30">
        <v>4</v>
      </c>
      <c r="M25" s="24">
        <v>1</v>
      </c>
      <c r="N25" s="30">
        <v>10</v>
      </c>
      <c r="O25" s="24">
        <v>12</v>
      </c>
      <c r="P25" s="30">
        <v>1</v>
      </c>
      <c r="Q25" s="24">
        <v>3</v>
      </c>
      <c r="R25" s="30">
        <v>1</v>
      </c>
      <c r="S25" s="24">
        <v>0</v>
      </c>
      <c r="T25" s="28">
        <v>-0.47</v>
      </c>
      <c r="U25" s="31">
        <v>0.53</v>
      </c>
      <c r="V25" s="32">
        <v>4</v>
      </c>
      <c r="W25" s="24">
        <v>7</v>
      </c>
      <c r="X25" s="30">
        <v>12</v>
      </c>
      <c r="Y25" s="24">
        <v>13</v>
      </c>
      <c r="Z25" s="30">
        <v>326</v>
      </c>
      <c r="AA25" s="24">
        <v>424</v>
      </c>
      <c r="AB25" s="30">
        <v>11</v>
      </c>
      <c r="AC25" s="24">
        <v>14</v>
      </c>
      <c r="AD25" s="30">
        <v>13</v>
      </c>
      <c r="AE25" s="24">
        <v>12</v>
      </c>
      <c r="AF25" s="30">
        <v>3</v>
      </c>
      <c r="AG25" s="33">
        <v>2</v>
      </c>
      <c r="AH25" s="27">
        <v>0</v>
      </c>
      <c r="AI25" s="34">
        <v>0</v>
      </c>
      <c r="AJ25" s="27">
        <v>0</v>
      </c>
      <c r="AK25" s="34">
        <v>0</v>
      </c>
      <c r="AL25" s="35">
        <v>4</v>
      </c>
      <c r="AM25" s="36">
        <f t="shared" si="0"/>
        <v>0.4</v>
      </c>
      <c r="AN25" s="37">
        <v>0</v>
      </c>
      <c r="AO25" s="37">
        <v>5</v>
      </c>
      <c r="AP25" s="37">
        <v>1</v>
      </c>
      <c r="AQ25" s="37">
        <v>8</v>
      </c>
      <c r="AR25" s="38">
        <f t="shared" si="1"/>
        <v>0.8</v>
      </c>
      <c r="AS25" s="37">
        <v>2</v>
      </c>
      <c r="AT25" s="23">
        <v>2</v>
      </c>
      <c r="AU25" s="18">
        <f t="shared" si="2"/>
        <v>0.16666666666666666</v>
      </c>
      <c r="AV25" s="23">
        <v>0</v>
      </c>
      <c r="AW25" s="23">
        <v>7</v>
      </c>
      <c r="AX25" s="23">
        <v>3</v>
      </c>
      <c r="AY25" s="23">
        <v>2</v>
      </c>
      <c r="AZ25" s="18">
        <f t="shared" si="3"/>
        <v>0.16666666666666666</v>
      </c>
      <c r="BA25" s="39">
        <v>10</v>
      </c>
      <c r="BB25" s="40">
        <v>1</v>
      </c>
      <c r="BC25" s="41">
        <v>0</v>
      </c>
      <c r="BD25" s="42">
        <v>0</v>
      </c>
      <c r="BE25" s="43">
        <v>0</v>
      </c>
    </row>
    <row r="26" spans="1:57" x14ac:dyDescent="0.2">
      <c r="A26" s="22">
        <v>45899</v>
      </c>
      <c r="B26" s="23">
        <v>4</v>
      </c>
      <c r="C26" s="23" t="s">
        <v>62</v>
      </c>
      <c r="D26" s="25">
        <v>1</v>
      </c>
      <c r="E26" s="25">
        <v>2</v>
      </c>
      <c r="F26" s="23" t="s">
        <v>70</v>
      </c>
      <c r="H26" s="27">
        <v>49</v>
      </c>
      <c r="I26" s="24">
        <v>51</v>
      </c>
      <c r="J26" s="28">
        <v>0.8</v>
      </c>
      <c r="K26" s="29">
        <v>1.53</v>
      </c>
      <c r="L26" s="30">
        <v>2</v>
      </c>
      <c r="M26" s="24">
        <v>5</v>
      </c>
      <c r="N26" s="30">
        <v>8</v>
      </c>
      <c r="O26" s="24">
        <v>17</v>
      </c>
      <c r="P26" s="30">
        <v>4</v>
      </c>
      <c r="Q26" s="24">
        <v>3</v>
      </c>
      <c r="R26" s="30">
        <v>0</v>
      </c>
      <c r="S26" s="24">
        <v>0</v>
      </c>
      <c r="T26" s="28">
        <v>-0.33</v>
      </c>
      <c r="U26" s="31">
        <v>-0.06</v>
      </c>
      <c r="V26" s="32">
        <v>7</v>
      </c>
      <c r="W26" s="24">
        <v>4</v>
      </c>
      <c r="X26" s="30">
        <v>15</v>
      </c>
      <c r="Y26" s="24">
        <v>14</v>
      </c>
      <c r="Z26" s="30">
        <v>362</v>
      </c>
      <c r="AA26" s="24">
        <v>392</v>
      </c>
      <c r="AB26" s="30">
        <v>15</v>
      </c>
      <c r="AC26" s="24">
        <v>10</v>
      </c>
      <c r="AD26" s="30">
        <v>14</v>
      </c>
      <c r="AE26" s="24">
        <v>15</v>
      </c>
      <c r="AF26" s="30">
        <v>0</v>
      </c>
      <c r="AG26" s="33">
        <v>2</v>
      </c>
      <c r="AH26" s="27">
        <v>0</v>
      </c>
      <c r="AI26" s="34">
        <v>0</v>
      </c>
      <c r="AJ26" s="27">
        <v>0</v>
      </c>
      <c r="AK26" s="34">
        <v>0</v>
      </c>
      <c r="AL26" s="35">
        <v>5</v>
      </c>
      <c r="AM26" s="36">
        <f t="shared" si="0"/>
        <v>0.625</v>
      </c>
      <c r="AN26" s="37">
        <v>0</v>
      </c>
      <c r="AO26" s="37">
        <v>2</v>
      </c>
      <c r="AP26" s="37">
        <v>1</v>
      </c>
      <c r="AQ26" s="37">
        <v>6</v>
      </c>
      <c r="AR26" s="38">
        <f t="shared" si="1"/>
        <v>0.75</v>
      </c>
      <c r="AS26" s="37">
        <v>2</v>
      </c>
      <c r="AT26" s="23">
        <v>6</v>
      </c>
      <c r="AU26" s="18">
        <f t="shared" si="2"/>
        <v>0.35294117647058826</v>
      </c>
      <c r="AV26" s="23">
        <v>0</v>
      </c>
      <c r="AW26" s="23">
        <v>8</v>
      </c>
      <c r="AX26" s="23">
        <v>3</v>
      </c>
      <c r="AY26" s="23">
        <v>6</v>
      </c>
      <c r="AZ26" s="18">
        <f t="shared" si="3"/>
        <v>0.35294117647058826</v>
      </c>
      <c r="BA26" s="39">
        <v>11</v>
      </c>
      <c r="BB26" s="40">
        <v>0</v>
      </c>
      <c r="BC26" s="41">
        <v>0</v>
      </c>
      <c r="BD26" s="42">
        <v>2</v>
      </c>
      <c r="BE26" s="43">
        <v>0</v>
      </c>
    </row>
    <row r="27" spans="1:57" x14ac:dyDescent="0.2">
      <c r="A27" s="22">
        <v>45899</v>
      </c>
      <c r="B27" s="23">
        <v>4</v>
      </c>
      <c r="C27" s="23" t="s">
        <v>58</v>
      </c>
      <c r="D27" s="25">
        <v>3</v>
      </c>
      <c r="E27" s="25">
        <v>1</v>
      </c>
      <c r="F27" s="23" t="s">
        <v>64</v>
      </c>
      <c r="H27" s="27">
        <v>65</v>
      </c>
      <c r="I27" s="24">
        <v>35</v>
      </c>
      <c r="J27" s="28">
        <v>2.2799999999999998</v>
      </c>
      <c r="K27" s="29">
        <v>0.97</v>
      </c>
      <c r="L27" s="30">
        <v>4</v>
      </c>
      <c r="M27" s="24">
        <v>2</v>
      </c>
      <c r="N27" s="30">
        <v>16</v>
      </c>
      <c r="O27" s="24">
        <v>9</v>
      </c>
      <c r="P27" s="30">
        <v>3</v>
      </c>
      <c r="Q27" s="24">
        <v>4</v>
      </c>
      <c r="R27" s="30">
        <v>0</v>
      </c>
      <c r="S27" s="24">
        <v>1</v>
      </c>
      <c r="T27" s="28">
        <v>-0.32</v>
      </c>
      <c r="U27" s="31">
        <v>-0.3</v>
      </c>
      <c r="V27" s="32">
        <v>5</v>
      </c>
      <c r="W27" s="24">
        <v>2</v>
      </c>
      <c r="X27" s="30">
        <v>11</v>
      </c>
      <c r="Y27" s="24">
        <v>9</v>
      </c>
      <c r="Z27" s="30">
        <v>523</v>
      </c>
      <c r="AA27" s="24">
        <v>292</v>
      </c>
      <c r="AB27" s="30">
        <v>24</v>
      </c>
      <c r="AC27" s="24">
        <v>20</v>
      </c>
      <c r="AD27" s="30">
        <v>9</v>
      </c>
      <c r="AE27" s="24">
        <v>11</v>
      </c>
      <c r="AF27" s="30">
        <v>1</v>
      </c>
      <c r="AG27" s="33">
        <v>4</v>
      </c>
      <c r="AH27" s="27">
        <v>0</v>
      </c>
      <c r="AI27" s="34">
        <v>0</v>
      </c>
      <c r="AJ27" s="27">
        <v>0</v>
      </c>
      <c r="AK27" s="34">
        <v>0</v>
      </c>
      <c r="AL27" s="35">
        <v>7</v>
      </c>
      <c r="AM27" s="36">
        <f t="shared" si="0"/>
        <v>0.4375</v>
      </c>
      <c r="AN27" s="37">
        <v>0</v>
      </c>
      <c r="AO27" s="37">
        <v>8</v>
      </c>
      <c r="AP27" s="37">
        <v>1</v>
      </c>
      <c r="AQ27" s="37">
        <v>12</v>
      </c>
      <c r="AR27" s="38">
        <f t="shared" si="1"/>
        <v>0.75</v>
      </c>
      <c r="AS27" s="37">
        <v>4</v>
      </c>
      <c r="AT27" s="23">
        <v>4</v>
      </c>
      <c r="AU27" s="18">
        <f t="shared" si="2"/>
        <v>0.44444444444444442</v>
      </c>
      <c r="AV27" s="23">
        <v>1</v>
      </c>
      <c r="AW27" s="23">
        <v>4</v>
      </c>
      <c r="AX27" s="23">
        <v>1</v>
      </c>
      <c r="AY27" s="23">
        <v>6</v>
      </c>
      <c r="AZ27" s="18">
        <f t="shared" si="3"/>
        <v>0.66666666666666663</v>
      </c>
      <c r="BA27" s="39">
        <v>3</v>
      </c>
      <c r="BB27" s="40">
        <v>1</v>
      </c>
      <c r="BC27" s="41">
        <v>0</v>
      </c>
      <c r="BD27" s="42">
        <v>0</v>
      </c>
      <c r="BE27" s="44">
        <v>1</v>
      </c>
    </row>
    <row r="28" spans="1:57" x14ac:dyDescent="0.2">
      <c r="A28" s="22">
        <v>45900</v>
      </c>
      <c r="B28" s="23">
        <v>4</v>
      </c>
      <c r="C28" s="23" t="s">
        <v>76</v>
      </c>
      <c r="D28" s="25">
        <v>0</v>
      </c>
      <c r="E28" s="25">
        <v>0</v>
      </c>
      <c r="F28" s="23" t="s">
        <v>66</v>
      </c>
      <c r="H28" s="27">
        <v>51</v>
      </c>
      <c r="I28" s="24">
        <v>49</v>
      </c>
      <c r="J28" s="28">
        <v>0.69</v>
      </c>
      <c r="K28" s="29">
        <v>0.61</v>
      </c>
      <c r="L28" s="30">
        <v>1</v>
      </c>
      <c r="M28" s="24">
        <v>2</v>
      </c>
      <c r="N28" s="30">
        <v>10</v>
      </c>
      <c r="O28" s="24">
        <v>12</v>
      </c>
      <c r="P28" s="30">
        <v>1</v>
      </c>
      <c r="Q28" s="24">
        <v>4</v>
      </c>
      <c r="R28" s="30">
        <v>0</v>
      </c>
      <c r="S28" s="24">
        <v>1</v>
      </c>
      <c r="T28" s="28">
        <v>0.08</v>
      </c>
      <c r="U28" s="31">
        <v>1.32</v>
      </c>
      <c r="V28" s="32">
        <v>5</v>
      </c>
      <c r="W28" s="24">
        <v>4</v>
      </c>
      <c r="X28" s="30">
        <v>21</v>
      </c>
      <c r="Y28" s="24">
        <v>11</v>
      </c>
      <c r="Z28" s="30">
        <v>384</v>
      </c>
      <c r="AA28" s="24">
        <v>372</v>
      </c>
      <c r="AB28" s="30">
        <v>15</v>
      </c>
      <c r="AC28" s="24">
        <v>6</v>
      </c>
      <c r="AD28" s="30">
        <v>11</v>
      </c>
      <c r="AE28" s="24">
        <v>21</v>
      </c>
      <c r="AF28" s="30">
        <v>4</v>
      </c>
      <c r="AG28" s="33">
        <v>5</v>
      </c>
      <c r="AH28" s="27">
        <v>0</v>
      </c>
      <c r="AI28" s="34">
        <v>0</v>
      </c>
      <c r="AJ28" s="27">
        <v>0</v>
      </c>
      <c r="AK28" s="34">
        <v>0</v>
      </c>
      <c r="AL28" s="35">
        <v>4</v>
      </c>
      <c r="AM28" s="36">
        <f t="shared" si="0"/>
        <v>0.4</v>
      </c>
      <c r="AN28" s="37">
        <v>0</v>
      </c>
      <c r="AO28" s="37">
        <v>6</v>
      </c>
      <c r="AP28" s="37">
        <v>0</v>
      </c>
      <c r="AQ28" s="37">
        <v>8</v>
      </c>
      <c r="AR28" s="38">
        <f t="shared" si="1"/>
        <v>0.8</v>
      </c>
      <c r="AS28" s="37">
        <v>2</v>
      </c>
      <c r="AT28" s="23">
        <v>1</v>
      </c>
      <c r="AU28" s="18">
        <f t="shared" si="2"/>
        <v>8.3333333333333329E-2</v>
      </c>
      <c r="AV28" s="23">
        <v>0</v>
      </c>
      <c r="AW28" s="23">
        <v>9</v>
      </c>
      <c r="AX28" s="23">
        <v>2</v>
      </c>
      <c r="AY28" s="23">
        <v>4</v>
      </c>
      <c r="AZ28" s="18">
        <f t="shared" si="3"/>
        <v>0.33333333333333331</v>
      </c>
      <c r="BA28" s="39">
        <v>8</v>
      </c>
      <c r="BB28" s="40">
        <v>0</v>
      </c>
      <c r="BC28" s="41">
        <v>0</v>
      </c>
      <c r="BD28" s="42">
        <v>0</v>
      </c>
      <c r="BE28" s="43">
        <v>0</v>
      </c>
    </row>
    <row r="29" spans="1:57" x14ac:dyDescent="0.2">
      <c r="A29" s="22">
        <v>45900</v>
      </c>
      <c r="B29" s="23">
        <v>4</v>
      </c>
      <c r="C29" s="23" t="s">
        <v>61</v>
      </c>
      <c r="D29" s="25">
        <v>1</v>
      </c>
      <c r="E29" s="25">
        <v>3</v>
      </c>
      <c r="F29" s="23" t="s">
        <v>74</v>
      </c>
      <c r="H29" s="27">
        <v>38</v>
      </c>
      <c r="I29" s="24">
        <v>62</v>
      </c>
      <c r="J29" s="28">
        <v>1.1599999999999999</v>
      </c>
      <c r="K29" s="29">
        <v>1.68</v>
      </c>
      <c r="L29" s="30">
        <v>2</v>
      </c>
      <c r="M29" s="24">
        <v>3</v>
      </c>
      <c r="N29" s="30">
        <v>9</v>
      </c>
      <c r="O29" s="24">
        <v>13</v>
      </c>
      <c r="P29" s="30">
        <v>1</v>
      </c>
      <c r="Q29" s="24">
        <v>2</v>
      </c>
      <c r="R29" s="30">
        <v>1</v>
      </c>
      <c r="S29" s="24">
        <v>0</v>
      </c>
      <c r="T29" s="28">
        <v>-1.19</v>
      </c>
      <c r="U29" s="31">
        <v>0.03</v>
      </c>
      <c r="V29" s="32">
        <v>3</v>
      </c>
      <c r="W29" s="24">
        <v>3</v>
      </c>
      <c r="X29" s="30">
        <v>9</v>
      </c>
      <c r="Y29" s="24">
        <v>15</v>
      </c>
      <c r="Z29" s="30">
        <v>361</v>
      </c>
      <c r="AA29" s="24">
        <v>581</v>
      </c>
      <c r="AB29" s="30">
        <v>5</v>
      </c>
      <c r="AC29" s="24">
        <v>16</v>
      </c>
      <c r="AD29" s="30">
        <v>15</v>
      </c>
      <c r="AE29" s="24">
        <v>9</v>
      </c>
      <c r="AF29" s="30">
        <v>1</v>
      </c>
      <c r="AG29" s="33">
        <v>0</v>
      </c>
      <c r="AH29" s="27">
        <v>0</v>
      </c>
      <c r="AI29" s="34">
        <v>0</v>
      </c>
      <c r="AJ29" s="27">
        <v>0</v>
      </c>
      <c r="AK29" s="34">
        <v>0</v>
      </c>
      <c r="AL29" s="35">
        <v>3</v>
      </c>
      <c r="AM29" s="36">
        <f t="shared" si="0"/>
        <v>0.33333333333333331</v>
      </c>
      <c r="AN29" s="37">
        <v>0</v>
      </c>
      <c r="AO29" s="37">
        <v>3</v>
      </c>
      <c r="AP29" s="37">
        <v>3</v>
      </c>
      <c r="AQ29" s="37">
        <v>4</v>
      </c>
      <c r="AR29" s="38">
        <f t="shared" si="1"/>
        <v>0.44444444444444442</v>
      </c>
      <c r="AS29" s="37">
        <v>5</v>
      </c>
      <c r="AT29" s="23">
        <v>3</v>
      </c>
      <c r="AU29" s="18">
        <f t="shared" si="2"/>
        <v>0.23076923076923078</v>
      </c>
      <c r="AV29" s="23">
        <v>0</v>
      </c>
      <c r="AW29" s="23">
        <v>7</v>
      </c>
      <c r="AX29" s="23">
        <v>3</v>
      </c>
      <c r="AY29" s="23">
        <v>8</v>
      </c>
      <c r="AZ29" s="18">
        <f t="shared" si="3"/>
        <v>0.61538461538461542</v>
      </c>
      <c r="BA29" s="39">
        <v>5</v>
      </c>
      <c r="BB29" s="40">
        <v>0</v>
      </c>
      <c r="BC29" s="41">
        <v>0</v>
      </c>
      <c r="BD29" s="42">
        <v>1</v>
      </c>
      <c r="BE29" s="43">
        <v>0</v>
      </c>
    </row>
    <row r="30" spans="1:57" x14ac:dyDescent="0.2">
      <c r="A30" s="22">
        <v>45900</v>
      </c>
      <c r="B30" s="23">
        <v>4</v>
      </c>
      <c r="C30" s="23" t="s">
        <v>73</v>
      </c>
      <c r="D30" s="25">
        <v>2</v>
      </c>
      <c r="E30" s="25">
        <v>0</v>
      </c>
      <c r="F30" s="23" t="s">
        <v>78</v>
      </c>
      <c r="H30" s="27">
        <v>37</v>
      </c>
      <c r="I30" s="24">
        <v>63</v>
      </c>
      <c r="J30" s="28">
        <v>1.43</v>
      </c>
      <c r="K30" s="29">
        <v>2.4300000000000002</v>
      </c>
      <c r="L30" s="30">
        <v>2</v>
      </c>
      <c r="M30" s="24">
        <v>4</v>
      </c>
      <c r="N30" s="30">
        <v>9</v>
      </c>
      <c r="O30" s="24">
        <v>15</v>
      </c>
      <c r="P30" s="30">
        <v>4</v>
      </c>
      <c r="Q30" s="24">
        <v>1</v>
      </c>
      <c r="R30" s="30">
        <v>1</v>
      </c>
      <c r="S30" s="24">
        <v>0</v>
      </c>
      <c r="T30" s="28">
        <v>0.95</v>
      </c>
      <c r="U30" s="31">
        <v>-0.27</v>
      </c>
      <c r="V30" s="32">
        <v>2</v>
      </c>
      <c r="W30" s="24">
        <v>6</v>
      </c>
      <c r="X30" s="30">
        <v>8</v>
      </c>
      <c r="Y30" s="24">
        <v>18</v>
      </c>
      <c r="Z30" s="30">
        <v>331</v>
      </c>
      <c r="AA30" s="24">
        <v>568</v>
      </c>
      <c r="AB30" s="30">
        <v>12</v>
      </c>
      <c r="AC30" s="24">
        <v>15</v>
      </c>
      <c r="AD30" s="30">
        <v>17</v>
      </c>
      <c r="AE30" s="24">
        <v>8</v>
      </c>
      <c r="AF30" s="30">
        <v>1</v>
      </c>
      <c r="AG30" s="33">
        <v>3</v>
      </c>
      <c r="AH30" s="27">
        <v>0</v>
      </c>
      <c r="AI30" s="34">
        <v>0</v>
      </c>
      <c r="AJ30" s="27">
        <v>1</v>
      </c>
      <c r="AK30" s="34">
        <v>0</v>
      </c>
      <c r="AL30" s="35">
        <v>3</v>
      </c>
      <c r="AM30" s="36">
        <f t="shared" si="0"/>
        <v>0.33333333333333331</v>
      </c>
      <c r="AN30" s="37">
        <v>0</v>
      </c>
      <c r="AO30" s="37">
        <v>5</v>
      </c>
      <c r="AP30" s="37">
        <v>1</v>
      </c>
      <c r="AQ30" s="37">
        <v>6</v>
      </c>
      <c r="AR30" s="38">
        <f t="shared" si="1"/>
        <v>0.66666666666666663</v>
      </c>
      <c r="AS30" s="37">
        <v>3</v>
      </c>
      <c r="AT30" s="23">
        <v>4</v>
      </c>
      <c r="AU30" s="18">
        <f t="shared" si="2"/>
        <v>0.26666666666666666</v>
      </c>
      <c r="AV30" s="23">
        <v>2</v>
      </c>
      <c r="AW30" s="23">
        <v>6</v>
      </c>
      <c r="AX30" s="23">
        <v>5</v>
      </c>
      <c r="AY30" s="23">
        <v>11</v>
      </c>
      <c r="AZ30" s="18">
        <f t="shared" si="3"/>
        <v>0.73333333333333328</v>
      </c>
      <c r="BA30" s="39">
        <v>4</v>
      </c>
      <c r="BB30" s="40">
        <v>1</v>
      </c>
      <c r="BC30" s="41">
        <v>0</v>
      </c>
      <c r="BD30" s="42">
        <v>1</v>
      </c>
      <c r="BE30" s="43">
        <v>0</v>
      </c>
    </row>
    <row r="31" spans="1:57" x14ac:dyDescent="0.2">
      <c r="A31" s="22">
        <v>45900</v>
      </c>
      <c r="B31" s="23">
        <v>4</v>
      </c>
      <c r="C31" s="23" t="s">
        <v>68</v>
      </c>
      <c r="D31" s="25">
        <v>1</v>
      </c>
      <c r="E31" s="25">
        <v>1</v>
      </c>
      <c r="F31" s="23" t="s">
        <v>60</v>
      </c>
      <c r="H31" s="27">
        <v>55</v>
      </c>
      <c r="I31" s="24">
        <v>45</v>
      </c>
      <c r="J31" s="28">
        <v>0.61</v>
      </c>
      <c r="K31" s="29">
        <v>1.41</v>
      </c>
      <c r="L31" s="30">
        <v>1</v>
      </c>
      <c r="M31" s="24">
        <v>2</v>
      </c>
      <c r="N31" s="30">
        <v>9</v>
      </c>
      <c r="O31" s="24">
        <v>13</v>
      </c>
      <c r="P31" s="30">
        <v>3</v>
      </c>
      <c r="Q31" s="24">
        <v>2</v>
      </c>
      <c r="R31" s="30">
        <v>0</v>
      </c>
      <c r="S31" s="24">
        <v>0</v>
      </c>
      <c r="T31" s="28">
        <v>0.56999999999999995</v>
      </c>
      <c r="U31" s="31">
        <v>-0.32</v>
      </c>
      <c r="V31" s="32">
        <v>2</v>
      </c>
      <c r="W31" s="24">
        <v>10</v>
      </c>
      <c r="X31" s="30">
        <v>7</v>
      </c>
      <c r="Y31" s="24">
        <v>13</v>
      </c>
      <c r="Z31" s="30">
        <v>438</v>
      </c>
      <c r="AA31" s="24">
        <v>341</v>
      </c>
      <c r="AB31" s="30">
        <v>17</v>
      </c>
      <c r="AC31" s="24">
        <v>19</v>
      </c>
      <c r="AD31" s="30">
        <v>13</v>
      </c>
      <c r="AE31" s="24">
        <v>7</v>
      </c>
      <c r="AF31" s="30">
        <v>1</v>
      </c>
      <c r="AG31" s="33">
        <v>4</v>
      </c>
      <c r="AH31" s="27">
        <v>0</v>
      </c>
      <c r="AI31" s="34">
        <v>0</v>
      </c>
      <c r="AJ31" s="27">
        <v>0</v>
      </c>
      <c r="AK31" s="34">
        <v>0</v>
      </c>
      <c r="AL31" s="35">
        <v>3</v>
      </c>
      <c r="AM31" s="36">
        <f t="shared" si="0"/>
        <v>0.33333333333333331</v>
      </c>
      <c r="AN31" s="37">
        <v>0</v>
      </c>
      <c r="AO31" s="37">
        <v>3</v>
      </c>
      <c r="AP31" s="37">
        <v>3</v>
      </c>
      <c r="AQ31" s="37">
        <v>6</v>
      </c>
      <c r="AR31" s="38">
        <f t="shared" si="1"/>
        <v>0.66666666666666663</v>
      </c>
      <c r="AS31" s="37">
        <v>3</v>
      </c>
      <c r="AT31" s="23">
        <v>4</v>
      </c>
      <c r="AU31" s="18">
        <f t="shared" si="2"/>
        <v>0.30769230769230771</v>
      </c>
      <c r="AV31" s="23">
        <v>0</v>
      </c>
      <c r="AW31" s="23">
        <v>5</v>
      </c>
      <c r="AX31" s="23">
        <v>4</v>
      </c>
      <c r="AY31" s="23">
        <v>6</v>
      </c>
      <c r="AZ31" s="18">
        <f t="shared" si="3"/>
        <v>0.46153846153846156</v>
      </c>
      <c r="BA31" s="39">
        <v>7</v>
      </c>
      <c r="BB31" s="40">
        <v>0</v>
      </c>
      <c r="BC31" s="41">
        <v>0</v>
      </c>
      <c r="BD31" s="42">
        <v>0</v>
      </c>
      <c r="BE31" s="43">
        <v>0</v>
      </c>
    </row>
    <row r="32" spans="1:57" x14ac:dyDescent="0.2">
      <c r="A32" s="22">
        <v>45913</v>
      </c>
      <c r="B32" s="23">
        <v>5</v>
      </c>
      <c r="C32" s="23" t="s">
        <v>66</v>
      </c>
      <c r="D32" s="25">
        <v>0</v>
      </c>
      <c r="E32" s="25">
        <v>2</v>
      </c>
      <c r="F32" s="23" t="s">
        <v>58</v>
      </c>
      <c r="H32" s="27">
        <v>35</v>
      </c>
      <c r="I32" s="24">
        <v>65</v>
      </c>
      <c r="J32" s="28">
        <v>0.38</v>
      </c>
      <c r="K32" s="29">
        <v>2.14</v>
      </c>
      <c r="L32" s="30">
        <v>0</v>
      </c>
      <c r="M32" s="24">
        <v>4</v>
      </c>
      <c r="N32" s="30">
        <v>9</v>
      </c>
      <c r="O32" s="24">
        <v>21</v>
      </c>
      <c r="P32" s="30">
        <v>8</v>
      </c>
      <c r="Q32" s="24">
        <v>2</v>
      </c>
      <c r="R32" s="30">
        <v>3</v>
      </c>
      <c r="S32" s="24">
        <v>0</v>
      </c>
      <c r="T32" s="28">
        <v>-0.35</v>
      </c>
      <c r="U32" s="31">
        <v>0.19</v>
      </c>
      <c r="V32" s="32">
        <v>6</v>
      </c>
      <c r="W32" s="24">
        <v>6</v>
      </c>
      <c r="X32" s="30">
        <v>9</v>
      </c>
      <c r="Y32" s="24">
        <v>12</v>
      </c>
      <c r="Z32" s="30">
        <v>304</v>
      </c>
      <c r="AA32" s="24">
        <v>556</v>
      </c>
      <c r="AB32" s="30">
        <v>14</v>
      </c>
      <c r="AC32" s="24">
        <v>27</v>
      </c>
      <c r="AD32" s="30">
        <v>12</v>
      </c>
      <c r="AE32" s="24">
        <v>9</v>
      </c>
      <c r="AF32" s="30">
        <v>3</v>
      </c>
      <c r="AG32" s="33">
        <v>1</v>
      </c>
      <c r="AH32" s="27">
        <v>0</v>
      </c>
      <c r="AI32" s="34">
        <v>0</v>
      </c>
      <c r="AJ32" s="27">
        <v>0</v>
      </c>
      <c r="AK32" s="34">
        <v>0</v>
      </c>
      <c r="AL32" s="35">
        <v>2</v>
      </c>
      <c r="AM32" s="36">
        <f t="shared" si="0"/>
        <v>0.22222222222222221</v>
      </c>
      <c r="AN32" s="37">
        <v>0</v>
      </c>
      <c r="AO32" s="37">
        <v>4</v>
      </c>
      <c r="AP32" s="37">
        <v>3</v>
      </c>
      <c r="AQ32" s="37">
        <v>5</v>
      </c>
      <c r="AR32" s="38">
        <f t="shared" si="1"/>
        <v>0.55555555555555558</v>
      </c>
      <c r="AS32" s="37">
        <v>4</v>
      </c>
      <c r="AT32" s="23">
        <v>9</v>
      </c>
      <c r="AU32" s="18">
        <f t="shared" si="2"/>
        <v>0.42857142857142855</v>
      </c>
      <c r="AV32" s="23">
        <v>1</v>
      </c>
      <c r="AW32" s="23">
        <v>8</v>
      </c>
      <c r="AX32" s="23">
        <v>4</v>
      </c>
      <c r="AY32" s="23">
        <v>14</v>
      </c>
      <c r="AZ32" s="18">
        <f t="shared" si="3"/>
        <v>0.66666666666666663</v>
      </c>
      <c r="BA32" s="39">
        <v>7</v>
      </c>
      <c r="BB32" s="40">
        <v>2</v>
      </c>
      <c r="BC32" s="45">
        <v>1</v>
      </c>
      <c r="BD32" s="42">
        <v>0</v>
      </c>
      <c r="BE32" s="43">
        <v>0</v>
      </c>
    </row>
    <row r="33" spans="1:57" x14ac:dyDescent="0.2">
      <c r="A33" s="22">
        <v>45913</v>
      </c>
      <c r="B33" s="23">
        <v>5</v>
      </c>
      <c r="C33" s="23" t="s">
        <v>70</v>
      </c>
      <c r="D33" s="25">
        <v>0</v>
      </c>
      <c r="E33" s="25">
        <v>1</v>
      </c>
      <c r="F33" s="24" t="s">
        <v>63</v>
      </c>
      <c r="G33" s="26" t="s">
        <v>80</v>
      </c>
      <c r="H33" s="27">
        <v>72</v>
      </c>
      <c r="I33" s="24">
        <v>28</v>
      </c>
      <c r="J33" s="28">
        <v>0.79</v>
      </c>
      <c r="K33" s="29">
        <v>0.59</v>
      </c>
      <c r="L33" s="30">
        <v>0</v>
      </c>
      <c r="M33" s="24">
        <v>2</v>
      </c>
      <c r="N33" s="30">
        <v>14</v>
      </c>
      <c r="O33" s="24">
        <v>8</v>
      </c>
      <c r="P33" s="30">
        <v>1</v>
      </c>
      <c r="Q33" s="24">
        <v>2</v>
      </c>
      <c r="R33" s="30">
        <v>0</v>
      </c>
      <c r="S33" s="24">
        <v>1</v>
      </c>
      <c r="T33" s="28">
        <v>-0.96</v>
      </c>
      <c r="U33" s="31">
        <v>0.75</v>
      </c>
      <c r="V33" s="32">
        <v>6</v>
      </c>
      <c r="W33" s="24">
        <v>4</v>
      </c>
      <c r="X33" s="30">
        <v>8</v>
      </c>
      <c r="Y33" s="24">
        <v>17</v>
      </c>
      <c r="Z33" s="30">
        <v>586</v>
      </c>
      <c r="AA33" s="24">
        <v>224</v>
      </c>
      <c r="AB33" s="30">
        <v>12</v>
      </c>
      <c r="AC33" s="24">
        <v>15</v>
      </c>
      <c r="AD33" s="30">
        <v>17</v>
      </c>
      <c r="AE33" s="24">
        <v>8</v>
      </c>
      <c r="AF33" s="30">
        <v>0</v>
      </c>
      <c r="AG33" s="33">
        <v>4</v>
      </c>
      <c r="AH33" s="27">
        <v>0</v>
      </c>
      <c r="AI33" s="34">
        <v>1</v>
      </c>
      <c r="AJ33" s="27">
        <v>0</v>
      </c>
      <c r="AK33" s="34">
        <v>0</v>
      </c>
      <c r="AL33" s="35">
        <v>2</v>
      </c>
      <c r="AM33" s="36">
        <f t="shared" si="0"/>
        <v>0.14285714285714285</v>
      </c>
      <c r="AN33" s="37">
        <v>0</v>
      </c>
      <c r="AO33" s="37">
        <v>8</v>
      </c>
      <c r="AP33" s="37">
        <v>4</v>
      </c>
      <c r="AQ33" s="37">
        <v>10</v>
      </c>
      <c r="AR33" s="38">
        <f t="shared" si="1"/>
        <v>0.7142857142857143</v>
      </c>
      <c r="AS33" s="37">
        <v>4</v>
      </c>
      <c r="AT33" s="23">
        <v>1</v>
      </c>
      <c r="AU33" s="18">
        <f t="shared" si="2"/>
        <v>0.125</v>
      </c>
      <c r="AV33" s="23">
        <v>1</v>
      </c>
      <c r="AW33" s="23">
        <v>6</v>
      </c>
      <c r="AX33" s="23">
        <v>1</v>
      </c>
      <c r="AY33" s="23">
        <v>3</v>
      </c>
      <c r="AZ33" s="18">
        <f t="shared" si="3"/>
        <v>0.375</v>
      </c>
      <c r="BA33" s="39">
        <v>5</v>
      </c>
      <c r="BB33" s="40">
        <v>1</v>
      </c>
      <c r="BC33" s="41">
        <v>0</v>
      </c>
      <c r="BD33" s="42">
        <v>0</v>
      </c>
      <c r="BE33" s="43">
        <v>0</v>
      </c>
    </row>
    <row r="34" spans="1:57" x14ac:dyDescent="0.2">
      <c r="A34" s="22">
        <v>45913</v>
      </c>
      <c r="B34" s="23">
        <v>5</v>
      </c>
      <c r="C34" s="23" t="s">
        <v>60</v>
      </c>
      <c r="D34" s="25">
        <v>1</v>
      </c>
      <c r="E34" s="25">
        <v>2</v>
      </c>
      <c r="F34" s="23" t="s">
        <v>62</v>
      </c>
      <c r="H34" s="27">
        <v>63</v>
      </c>
      <c r="I34" s="24">
        <v>37</v>
      </c>
      <c r="J34" s="28">
        <v>0.91</v>
      </c>
      <c r="K34" s="29">
        <v>1.05</v>
      </c>
      <c r="L34" s="30">
        <v>2</v>
      </c>
      <c r="M34" s="24">
        <v>1</v>
      </c>
      <c r="N34" s="30">
        <v>16</v>
      </c>
      <c r="O34" s="24">
        <v>6</v>
      </c>
      <c r="P34" s="30">
        <v>2</v>
      </c>
      <c r="Q34" s="24">
        <v>1</v>
      </c>
      <c r="R34" s="30">
        <v>0</v>
      </c>
      <c r="S34" s="24">
        <v>0</v>
      </c>
      <c r="T34" s="28">
        <v>-0.41</v>
      </c>
      <c r="U34" s="31">
        <v>-0.61</v>
      </c>
      <c r="V34" s="32">
        <v>6</v>
      </c>
      <c r="W34" s="24">
        <v>2</v>
      </c>
      <c r="X34" s="30">
        <v>13</v>
      </c>
      <c r="Y34" s="24">
        <v>10</v>
      </c>
      <c r="Z34" s="30">
        <v>508</v>
      </c>
      <c r="AA34" s="24">
        <v>306</v>
      </c>
      <c r="AB34" s="30">
        <v>10</v>
      </c>
      <c r="AC34" s="24">
        <v>14</v>
      </c>
      <c r="AD34" s="30">
        <v>10</v>
      </c>
      <c r="AE34" s="24">
        <v>13</v>
      </c>
      <c r="AF34" s="30">
        <v>3</v>
      </c>
      <c r="AG34" s="33">
        <v>2</v>
      </c>
      <c r="AH34" s="27">
        <v>0</v>
      </c>
      <c r="AI34" s="34">
        <v>0</v>
      </c>
      <c r="AJ34" s="27">
        <v>0</v>
      </c>
      <c r="AK34" s="34">
        <v>0</v>
      </c>
      <c r="AL34" s="35">
        <v>3</v>
      </c>
      <c r="AM34" s="36">
        <f t="shared" si="0"/>
        <v>0.1875</v>
      </c>
      <c r="AN34" s="37">
        <v>0</v>
      </c>
      <c r="AO34" s="37">
        <v>9</v>
      </c>
      <c r="AP34" s="37">
        <v>4</v>
      </c>
      <c r="AQ34" s="37">
        <v>10</v>
      </c>
      <c r="AR34" s="38">
        <f t="shared" si="1"/>
        <v>0.625</v>
      </c>
      <c r="AS34" s="37">
        <v>6</v>
      </c>
      <c r="AT34" s="23">
        <v>4</v>
      </c>
      <c r="AU34" s="18">
        <f t="shared" si="2"/>
        <v>0.66666666666666663</v>
      </c>
      <c r="AV34" s="23">
        <v>0</v>
      </c>
      <c r="AW34" s="23">
        <v>2</v>
      </c>
      <c r="AX34" s="23">
        <v>0</v>
      </c>
      <c r="AY34" s="23">
        <v>3</v>
      </c>
      <c r="AZ34" s="18">
        <f t="shared" si="3"/>
        <v>0.5</v>
      </c>
      <c r="BA34" s="39">
        <v>3</v>
      </c>
      <c r="BB34" s="40">
        <v>0</v>
      </c>
      <c r="BC34" s="41">
        <v>0</v>
      </c>
      <c r="BD34" s="42">
        <v>0</v>
      </c>
      <c r="BE34" s="43">
        <v>0</v>
      </c>
    </row>
    <row r="35" spans="1:57" x14ac:dyDescent="0.2">
      <c r="A35" s="22">
        <v>45913</v>
      </c>
      <c r="B35" s="23">
        <v>5</v>
      </c>
      <c r="C35" s="23" t="s">
        <v>78</v>
      </c>
      <c r="D35" s="25">
        <v>2</v>
      </c>
      <c r="E35" s="25">
        <v>1</v>
      </c>
      <c r="F35" s="24" t="s">
        <v>76</v>
      </c>
      <c r="G35" s="46" t="s">
        <v>81</v>
      </c>
      <c r="H35" s="27">
        <v>53</v>
      </c>
      <c r="I35" s="24">
        <v>47</v>
      </c>
      <c r="J35" s="28">
        <v>1.96</v>
      </c>
      <c r="K35" s="29">
        <v>0.68</v>
      </c>
      <c r="L35" s="30">
        <v>3</v>
      </c>
      <c r="M35" s="24">
        <v>0</v>
      </c>
      <c r="N35" s="30">
        <v>21</v>
      </c>
      <c r="O35" s="24">
        <v>11</v>
      </c>
      <c r="P35" s="30">
        <v>3</v>
      </c>
      <c r="Q35" s="24">
        <v>4</v>
      </c>
      <c r="R35" s="30">
        <v>1</v>
      </c>
      <c r="S35" s="24">
        <v>1</v>
      </c>
      <c r="T35" s="28">
        <v>-0.51</v>
      </c>
      <c r="U35" s="31">
        <v>0.13</v>
      </c>
      <c r="V35" s="32">
        <v>10</v>
      </c>
      <c r="W35" s="24">
        <v>5</v>
      </c>
      <c r="X35" s="30">
        <v>12</v>
      </c>
      <c r="Y35" s="24">
        <v>7</v>
      </c>
      <c r="Z35" s="30">
        <v>413</v>
      </c>
      <c r="AA35" s="24">
        <v>377</v>
      </c>
      <c r="AB35" s="30">
        <v>15</v>
      </c>
      <c r="AC35" s="24">
        <v>17</v>
      </c>
      <c r="AD35" s="30">
        <v>7</v>
      </c>
      <c r="AE35" s="24">
        <v>12</v>
      </c>
      <c r="AF35" s="30">
        <v>3</v>
      </c>
      <c r="AG35" s="33">
        <v>4</v>
      </c>
      <c r="AH35" s="27">
        <v>1</v>
      </c>
      <c r="AI35" s="34">
        <v>1</v>
      </c>
      <c r="AJ35" s="27">
        <v>0</v>
      </c>
      <c r="AK35" s="34">
        <v>0</v>
      </c>
      <c r="AL35" s="35">
        <v>6</v>
      </c>
      <c r="AM35" s="36">
        <f t="shared" si="0"/>
        <v>0.2857142857142857</v>
      </c>
      <c r="AN35" s="37">
        <v>1</v>
      </c>
      <c r="AO35" s="37">
        <v>6</v>
      </c>
      <c r="AP35" s="37">
        <v>9</v>
      </c>
      <c r="AQ35" s="37">
        <v>15</v>
      </c>
      <c r="AR35" s="38">
        <f t="shared" si="1"/>
        <v>0.7142857142857143</v>
      </c>
      <c r="AS35" s="37">
        <v>6</v>
      </c>
      <c r="AT35" s="23">
        <v>4</v>
      </c>
      <c r="AU35" s="18">
        <f t="shared" si="2"/>
        <v>0.36363636363636365</v>
      </c>
      <c r="AV35" s="23">
        <v>0</v>
      </c>
      <c r="AW35" s="23">
        <v>4</v>
      </c>
      <c r="AX35" s="23">
        <v>3</v>
      </c>
      <c r="AY35" s="23">
        <v>7</v>
      </c>
      <c r="AZ35" s="18">
        <f t="shared" si="3"/>
        <v>0.63636363636363635</v>
      </c>
      <c r="BA35" s="39">
        <v>4</v>
      </c>
      <c r="BB35" s="40">
        <v>1</v>
      </c>
      <c r="BC35" s="41">
        <v>0</v>
      </c>
      <c r="BD35" s="42">
        <v>1</v>
      </c>
      <c r="BE35" s="43">
        <v>0</v>
      </c>
    </row>
    <row r="36" spans="1:57" x14ac:dyDescent="0.2">
      <c r="A36" s="22">
        <v>45913</v>
      </c>
      <c r="B36" s="23">
        <v>5</v>
      </c>
      <c r="C36" s="23" t="s">
        <v>67</v>
      </c>
      <c r="D36" s="25">
        <v>1</v>
      </c>
      <c r="E36" s="25">
        <v>2</v>
      </c>
      <c r="F36" s="23" t="s">
        <v>73</v>
      </c>
      <c r="H36" s="27">
        <v>66</v>
      </c>
      <c r="I36" s="24">
        <v>34</v>
      </c>
      <c r="J36" s="28">
        <v>1.39</v>
      </c>
      <c r="K36" s="29">
        <v>1.32</v>
      </c>
      <c r="L36" s="30">
        <v>2</v>
      </c>
      <c r="M36" s="24">
        <v>3</v>
      </c>
      <c r="N36" s="30">
        <v>13</v>
      </c>
      <c r="O36" s="24">
        <v>7</v>
      </c>
      <c r="P36" s="30">
        <v>2</v>
      </c>
      <c r="Q36" s="24">
        <v>4</v>
      </c>
      <c r="R36" s="30">
        <v>0</v>
      </c>
      <c r="S36" s="24">
        <v>1</v>
      </c>
      <c r="T36" s="28">
        <v>-0.73</v>
      </c>
      <c r="U36" s="31">
        <v>-0.05</v>
      </c>
      <c r="V36" s="32">
        <v>6</v>
      </c>
      <c r="W36" s="24">
        <v>1</v>
      </c>
      <c r="X36" s="30">
        <v>17</v>
      </c>
      <c r="Y36" s="24">
        <v>11</v>
      </c>
      <c r="Z36" s="30">
        <v>498</v>
      </c>
      <c r="AA36" s="24">
        <v>265</v>
      </c>
      <c r="AB36" s="30">
        <v>13</v>
      </c>
      <c r="AC36" s="24">
        <v>13</v>
      </c>
      <c r="AD36" s="30">
        <v>11</v>
      </c>
      <c r="AE36" s="24">
        <v>17</v>
      </c>
      <c r="AF36" s="30">
        <v>5</v>
      </c>
      <c r="AG36" s="33">
        <v>3</v>
      </c>
      <c r="AH36" s="27">
        <v>0</v>
      </c>
      <c r="AI36" s="34">
        <v>0</v>
      </c>
      <c r="AJ36" s="27">
        <v>0</v>
      </c>
      <c r="AK36" s="34">
        <v>0</v>
      </c>
      <c r="AL36" s="35">
        <v>5</v>
      </c>
      <c r="AM36" s="36">
        <f t="shared" si="0"/>
        <v>0.38461538461538464</v>
      </c>
      <c r="AN36" s="37">
        <v>0</v>
      </c>
      <c r="AO36" s="37">
        <v>7</v>
      </c>
      <c r="AP36" s="37">
        <v>1</v>
      </c>
      <c r="AQ36" s="37">
        <v>10</v>
      </c>
      <c r="AR36" s="38">
        <f t="shared" si="1"/>
        <v>0.76923076923076927</v>
      </c>
      <c r="AS36" s="37">
        <v>3</v>
      </c>
      <c r="AT36" s="23">
        <v>4</v>
      </c>
      <c r="AU36" s="18">
        <f t="shared" si="2"/>
        <v>0.5714285714285714</v>
      </c>
      <c r="AV36" s="23">
        <v>0</v>
      </c>
      <c r="AW36" s="23">
        <v>3</v>
      </c>
      <c r="AX36" s="23">
        <v>0</v>
      </c>
      <c r="AY36" s="23">
        <v>4</v>
      </c>
      <c r="AZ36" s="18">
        <f t="shared" si="3"/>
        <v>0.5714285714285714</v>
      </c>
      <c r="BA36" s="39">
        <v>3</v>
      </c>
      <c r="BB36" s="40">
        <v>1</v>
      </c>
      <c r="BC36" s="45">
        <v>1</v>
      </c>
      <c r="BD36" s="42">
        <v>0</v>
      </c>
      <c r="BE36" s="43">
        <v>0</v>
      </c>
    </row>
    <row r="37" spans="1:57" x14ac:dyDescent="0.2">
      <c r="A37" s="22">
        <v>45914</v>
      </c>
      <c r="B37" s="23">
        <v>5</v>
      </c>
      <c r="C37" s="23" t="s">
        <v>77</v>
      </c>
      <c r="D37" s="25">
        <v>1</v>
      </c>
      <c r="E37" s="25">
        <v>1</v>
      </c>
      <c r="F37" s="23" t="s">
        <v>65</v>
      </c>
      <c r="H37" s="27">
        <v>53</v>
      </c>
      <c r="I37" s="24">
        <v>47</v>
      </c>
      <c r="J37" s="28">
        <v>0.66</v>
      </c>
      <c r="K37" s="29">
        <v>0.48</v>
      </c>
      <c r="L37" s="30">
        <v>2</v>
      </c>
      <c r="M37" s="24">
        <v>0</v>
      </c>
      <c r="N37" s="30">
        <v>8</v>
      </c>
      <c r="O37" s="24">
        <v>13</v>
      </c>
      <c r="P37" s="30">
        <v>6</v>
      </c>
      <c r="Q37" s="24">
        <v>5</v>
      </c>
      <c r="R37" s="30">
        <v>2</v>
      </c>
      <c r="S37" s="24">
        <v>0</v>
      </c>
      <c r="T37" s="28">
        <v>-0.04</v>
      </c>
      <c r="U37" s="31">
        <v>-0.27</v>
      </c>
      <c r="V37" s="32">
        <v>3</v>
      </c>
      <c r="W37" s="24">
        <v>7</v>
      </c>
      <c r="X37" s="30">
        <v>12</v>
      </c>
      <c r="Y37" s="24">
        <v>17</v>
      </c>
      <c r="Z37" s="30">
        <v>328</v>
      </c>
      <c r="AA37" s="24">
        <v>301</v>
      </c>
      <c r="AB37" s="30">
        <v>10</v>
      </c>
      <c r="AC37" s="24">
        <v>7</v>
      </c>
      <c r="AD37" s="30">
        <v>17</v>
      </c>
      <c r="AE37" s="24">
        <v>12</v>
      </c>
      <c r="AF37" s="30">
        <v>4</v>
      </c>
      <c r="AG37" s="33">
        <v>1</v>
      </c>
      <c r="AH37" s="27">
        <v>0</v>
      </c>
      <c r="AI37" s="34">
        <v>0</v>
      </c>
      <c r="AJ37" s="27">
        <v>0</v>
      </c>
      <c r="AK37" s="34">
        <v>0</v>
      </c>
      <c r="AL37" s="35">
        <v>6</v>
      </c>
      <c r="AM37" s="36">
        <f t="shared" si="0"/>
        <v>0.75</v>
      </c>
      <c r="AN37" s="37">
        <v>0</v>
      </c>
      <c r="AO37" s="37">
        <v>2</v>
      </c>
      <c r="AP37" s="37">
        <v>0</v>
      </c>
      <c r="AQ37" s="37">
        <v>4</v>
      </c>
      <c r="AR37" s="38">
        <f t="shared" si="1"/>
        <v>0.5</v>
      </c>
      <c r="AS37" s="37">
        <v>4</v>
      </c>
      <c r="AT37" s="23">
        <v>7</v>
      </c>
      <c r="AU37" s="18">
        <f t="shared" si="2"/>
        <v>0.53846153846153844</v>
      </c>
      <c r="AV37" s="23">
        <v>0</v>
      </c>
      <c r="AW37" s="23">
        <v>4</v>
      </c>
      <c r="AX37" s="23">
        <v>2</v>
      </c>
      <c r="AY37" s="23">
        <v>5</v>
      </c>
      <c r="AZ37" s="18">
        <f t="shared" si="3"/>
        <v>0.38461538461538464</v>
      </c>
      <c r="BA37" s="39">
        <v>8</v>
      </c>
      <c r="BB37" s="40">
        <v>0</v>
      </c>
      <c r="BC37" s="41">
        <v>0</v>
      </c>
      <c r="BD37" s="42">
        <v>0</v>
      </c>
      <c r="BE37" s="43">
        <v>0</v>
      </c>
    </row>
    <row r="38" spans="1:57" x14ac:dyDescent="0.2">
      <c r="A38" s="22">
        <v>45914</v>
      </c>
      <c r="B38" s="23">
        <v>5</v>
      </c>
      <c r="C38" s="23" t="s">
        <v>74</v>
      </c>
      <c r="D38" s="25">
        <v>1</v>
      </c>
      <c r="E38" s="25">
        <v>0</v>
      </c>
      <c r="F38" s="24" t="s">
        <v>68</v>
      </c>
      <c r="G38" s="26" t="s">
        <v>82</v>
      </c>
      <c r="H38" s="27">
        <v>73</v>
      </c>
      <c r="I38" s="24">
        <v>27</v>
      </c>
      <c r="J38" s="28">
        <v>3.12</v>
      </c>
      <c r="K38" s="29">
        <v>0.04</v>
      </c>
      <c r="L38" s="30">
        <v>4</v>
      </c>
      <c r="M38" s="24">
        <v>0</v>
      </c>
      <c r="N38" s="30">
        <v>29</v>
      </c>
      <c r="O38" s="24">
        <v>1</v>
      </c>
      <c r="P38" s="30">
        <v>1</v>
      </c>
      <c r="Q38" s="24">
        <v>8</v>
      </c>
      <c r="R38" s="30">
        <v>0</v>
      </c>
      <c r="S38" s="24">
        <v>0</v>
      </c>
      <c r="T38" s="28">
        <v>0.03</v>
      </c>
      <c r="U38" s="31">
        <v>1.75</v>
      </c>
      <c r="V38" s="32">
        <v>9</v>
      </c>
      <c r="W38" s="24">
        <v>0</v>
      </c>
      <c r="X38" s="30">
        <v>12</v>
      </c>
      <c r="Y38" s="24">
        <v>18</v>
      </c>
      <c r="Z38" s="30">
        <v>603</v>
      </c>
      <c r="AA38" s="24">
        <v>230</v>
      </c>
      <c r="AB38" s="30">
        <v>32</v>
      </c>
      <c r="AC38" s="24">
        <v>16</v>
      </c>
      <c r="AD38" s="30">
        <v>18</v>
      </c>
      <c r="AE38" s="24">
        <v>12</v>
      </c>
      <c r="AF38" s="30">
        <v>4</v>
      </c>
      <c r="AG38" s="33">
        <v>3</v>
      </c>
      <c r="AH38" s="27">
        <v>0</v>
      </c>
      <c r="AI38" s="34">
        <v>1</v>
      </c>
      <c r="AJ38" s="27">
        <v>0</v>
      </c>
      <c r="AK38" s="34">
        <v>0</v>
      </c>
      <c r="AL38" s="35">
        <v>9</v>
      </c>
      <c r="AM38" s="36">
        <f t="shared" si="0"/>
        <v>0.31034482758620691</v>
      </c>
      <c r="AN38" s="37">
        <v>1</v>
      </c>
      <c r="AO38" s="37">
        <v>13</v>
      </c>
      <c r="AP38" s="37">
        <v>7</v>
      </c>
      <c r="AQ38" s="37">
        <v>17</v>
      </c>
      <c r="AR38" s="38">
        <f t="shared" si="1"/>
        <v>0.58620689655172409</v>
      </c>
      <c r="AS38" s="37">
        <v>12</v>
      </c>
      <c r="AT38" s="23">
        <v>1</v>
      </c>
      <c r="AU38" s="18">
        <f t="shared" si="2"/>
        <v>1</v>
      </c>
      <c r="AV38" s="23">
        <v>0</v>
      </c>
      <c r="AW38" s="23">
        <v>0</v>
      </c>
      <c r="AX38" s="23">
        <v>0</v>
      </c>
      <c r="AY38" s="23">
        <v>1</v>
      </c>
      <c r="AZ38" s="18">
        <f t="shared" si="3"/>
        <v>1</v>
      </c>
      <c r="BA38" s="39">
        <v>0</v>
      </c>
      <c r="BB38" s="40">
        <v>0</v>
      </c>
      <c r="BC38" s="41">
        <v>0</v>
      </c>
      <c r="BD38" s="42">
        <v>0</v>
      </c>
      <c r="BE38" s="43">
        <v>0</v>
      </c>
    </row>
    <row r="39" spans="1:57" x14ac:dyDescent="0.2">
      <c r="A39" s="22">
        <v>45914</v>
      </c>
      <c r="B39" s="23">
        <v>5</v>
      </c>
      <c r="C39" s="23" t="s">
        <v>57</v>
      </c>
      <c r="D39" s="25">
        <v>2</v>
      </c>
      <c r="E39" s="25">
        <v>0</v>
      </c>
      <c r="F39" s="24" t="s">
        <v>69</v>
      </c>
      <c r="G39" s="26" t="s">
        <v>83</v>
      </c>
      <c r="H39" s="27">
        <v>48</v>
      </c>
      <c r="I39" s="24">
        <v>52</v>
      </c>
      <c r="J39" s="28">
        <v>1.89</v>
      </c>
      <c r="K39" s="29">
        <v>0.2</v>
      </c>
      <c r="L39" s="30">
        <v>4</v>
      </c>
      <c r="M39" s="24">
        <v>1</v>
      </c>
      <c r="N39" s="30">
        <v>14</v>
      </c>
      <c r="O39" s="24">
        <v>3</v>
      </c>
      <c r="P39" s="30">
        <v>2</v>
      </c>
      <c r="Q39" s="24">
        <v>3</v>
      </c>
      <c r="R39" s="30">
        <v>0</v>
      </c>
      <c r="S39" s="24">
        <v>0</v>
      </c>
      <c r="T39" s="28">
        <v>0.09</v>
      </c>
      <c r="U39" s="31">
        <v>0.27</v>
      </c>
      <c r="V39" s="32">
        <v>3</v>
      </c>
      <c r="W39" s="24">
        <v>6</v>
      </c>
      <c r="X39" s="30">
        <v>20</v>
      </c>
      <c r="Y39" s="24">
        <v>20</v>
      </c>
      <c r="Z39" s="30">
        <v>324</v>
      </c>
      <c r="AA39" s="24">
        <v>338</v>
      </c>
      <c r="AB39" s="30">
        <v>21</v>
      </c>
      <c r="AC39" s="24">
        <v>17</v>
      </c>
      <c r="AD39" s="30">
        <v>20</v>
      </c>
      <c r="AE39" s="24">
        <v>20</v>
      </c>
      <c r="AF39" s="30">
        <v>5</v>
      </c>
      <c r="AG39" s="33">
        <v>3</v>
      </c>
      <c r="AH39" s="27">
        <v>0</v>
      </c>
      <c r="AI39" s="34">
        <v>1</v>
      </c>
      <c r="AJ39" s="27">
        <v>0</v>
      </c>
      <c r="AK39" s="34">
        <v>0</v>
      </c>
      <c r="AL39" s="35">
        <v>5</v>
      </c>
      <c r="AM39" s="36">
        <f t="shared" si="0"/>
        <v>0.35714285714285715</v>
      </c>
      <c r="AN39" s="37">
        <v>0</v>
      </c>
      <c r="AO39" s="37">
        <v>6</v>
      </c>
      <c r="AP39" s="37">
        <v>3</v>
      </c>
      <c r="AQ39" s="37">
        <v>8</v>
      </c>
      <c r="AR39" s="38">
        <f t="shared" si="1"/>
        <v>0.5714285714285714</v>
      </c>
      <c r="AS39" s="37">
        <v>6</v>
      </c>
      <c r="AT39" s="23">
        <v>2</v>
      </c>
      <c r="AU39" s="18">
        <f t="shared" si="2"/>
        <v>0.66666666666666663</v>
      </c>
      <c r="AV39" s="23">
        <v>0</v>
      </c>
      <c r="AW39" s="23">
        <v>0</v>
      </c>
      <c r="AX39" s="23">
        <v>1</v>
      </c>
      <c r="AY39" s="23">
        <v>1</v>
      </c>
      <c r="AZ39" s="18">
        <f t="shared" si="3"/>
        <v>0.33333333333333331</v>
      </c>
      <c r="BA39" s="39">
        <v>2</v>
      </c>
      <c r="BB39" s="40">
        <v>1</v>
      </c>
      <c r="BC39" s="41">
        <v>0</v>
      </c>
      <c r="BD39" s="42">
        <v>2</v>
      </c>
      <c r="BE39" s="44">
        <v>1</v>
      </c>
    </row>
    <row r="40" spans="1:57" x14ac:dyDescent="0.2">
      <c r="A40" s="22">
        <v>45915</v>
      </c>
      <c r="B40" s="23">
        <v>5</v>
      </c>
      <c r="C40" s="23" t="s">
        <v>64</v>
      </c>
      <c r="D40" s="25">
        <v>1</v>
      </c>
      <c r="E40" s="25">
        <v>0</v>
      </c>
      <c r="F40" s="23" t="s">
        <v>61</v>
      </c>
      <c r="H40" s="27">
        <v>49</v>
      </c>
      <c r="I40" s="24">
        <v>51</v>
      </c>
      <c r="J40" s="28">
        <v>1.18</v>
      </c>
      <c r="K40" s="29">
        <v>1.1599999999999999</v>
      </c>
      <c r="L40" s="30">
        <v>1</v>
      </c>
      <c r="M40" s="24">
        <v>1</v>
      </c>
      <c r="N40" s="30">
        <v>15</v>
      </c>
      <c r="O40" s="24">
        <v>15</v>
      </c>
      <c r="P40" s="30">
        <v>4</v>
      </c>
      <c r="Q40" s="24">
        <v>4</v>
      </c>
      <c r="R40" s="30">
        <v>3</v>
      </c>
      <c r="S40" s="24">
        <v>2</v>
      </c>
      <c r="T40" s="28">
        <v>0.88</v>
      </c>
      <c r="U40" s="31">
        <v>0.09</v>
      </c>
      <c r="V40" s="32">
        <v>4</v>
      </c>
      <c r="W40" s="24">
        <v>7</v>
      </c>
      <c r="X40" s="30">
        <v>22</v>
      </c>
      <c r="Y40" s="24">
        <v>14</v>
      </c>
      <c r="Z40" s="30">
        <v>355</v>
      </c>
      <c r="AA40" s="24">
        <v>377</v>
      </c>
      <c r="AB40" s="30">
        <v>14</v>
      </c>
      <c r="AC40" s="24">
        <v>18</v>
      </c>
      <c r="AD40" s="30">
        <v>14</v>
      </c>
      <c r="AE40" s="24">
        <v>21</v>
      </c>
      <c r="AF40" s="30">
        <v>4</v>
      </c>
      <c r="AG40" s="33">
        <v>2</v>
      </c>
      <c r="AH40" s="27">
        <v>0</v>
      </c>
      <c r="AI40" s="34">
        <v>0</v>
      </c>
      <c r="AJ40" s="27">
        <v>0</v>
      </c>
      <c r="AK40" s="34">
        <v>1</v>
      </c>
      <c r="AL40" s="35">
        <v>5</v>
      </c>
      <c r="AM40" s="36">
        <f t="shared" si="0"/>
        <v>0.33333333333333331</v>
      </c>
      <c r="AN40" s="37">
        <v>0</v>
      </c>
      <c r="AO40" s="37">
        <v>7</v>
      </c>
      <c r="AP40" s="37">
        <v>3</v>
      </c>
      <c r="AQ40" s="37">
        <v>13</v>
      </c>
      <c r="AR40" s="38">
        <f t="shared" si="1"/>
        <v>0.8666666666666667</v>
      </c>
      <c r="AS40" s="37">
        <v>2</v>
      </c>
      <c r="AT40" s="23">
        <v>4</v>
      </c>
      <c r="AU40" s="18">
        <f t="shared" si="2"/>
        <v>0.26666666666666666</v>
      </c>
      <c r="AV40" s="23">
        <v>0</v>
      </c>
      <c r="AW40" s="23">
        <v>8</v>
      </c>
      <c r="AX40" s="23">
        <v>3</v>
      </c>
      <c r="AY40" s="23">
        <v>2</v>
      </c>
      <c r="AZ40" s="18">
        <f t="shared" si="3"/>
        <v>0.13333333333333333</v>
      </c>
      <c r="BA40" s="39">
        <v>13</v>
      </c>
      <c r="BB40" s="40">
        <v>0</v>
      </c>
      <c r="BC40" s="41">
        <v>0</v>
      </c>
      <c r="BD40" s="42">
        <v>1</v>
      </c>
      <c r="BE40" s="43">
        <v>0</v>
      </c>
    </row>
    <row r="41" spans="1:57" x14ac:dyDescent="0.2">
      <c r="A41" s="22">
        <v>45917</v>
      </c>
      <c r="B41" s="23">
        <v>1</v>
      </c>
      <c r="C41" s="23" t="s">
        <v>70</v>
      </c>
      <c r="D41" s="25">
        <v>0</v>
      </c>
      <c r="E41" s="25">
        <v>2</v>
      </c>
      <c r="F41" s="23" t="s">
        <v>76</v>
      </c>
      <c r="H41" s="27">
        <v>48</v>
      </c>
      <c r="I41" s="24">
        <v>52</v>
      </c>
      <c r="J41" s="28">
        <v>0.39</v>
      </c>
      <c r="K41" s="29">
        <v>0.13</v>
      </c>
      <c r="L41" s="30">
        <v>0</v>
      </c>
      <c r="M41" s="24">
        <v>0</v>
      </c>
      <c r="N41" s="30">
        <v>6</v>
      </c>
      <c r="O41" s="24">
        <v>4</v>
      </c>
      <c r="P41" s="30">
        <v>0</v>
      </c>
      <c r="Q41" s="24">
        <v>2</v>
      </c>
      <c r="R41" s="30">
        <v>0</v>
      </c>
      <c r="S41" s="24">
        <v>0</v>
      </c>
      <c r="T41" s="28">
        <v>-1.38</v>
      </c>
      <c r="U41" s="31">
        <v>0.76</v>
      </c>
      <c r="V41" s="32">
        <v>3</v>
      </c>
      <c r="W41" s="24">
        <v>4</v>
      </c>
      <c r="X41" s="30">
        <v>14</v>
      </c>
      <c r="Y41" s="24">
        <v>16</v>
      </c>
      <c r="Z41" s="30">
        <v>381</v>
      </c>
      <c r="AA41" s="24">
        <v>409</v>
      </c>
      <c r="AB41" s="30">
        <v>12</v>
      </c>
      <c r="AC41" s="24">
        <v>15</v>
      </c>
      <c r="AD41" s="30">
        <v>16</v>
      </c>
      <c r="AE41" s="24">
        <v>14</v>
      </c>
      <c r="AF41" s="30">
        <v>2</v>
      </c>
      <c r="AG41" s="33">
        <v>2</v>
      </c>
      <c r="AH41" s="27">
        <v>0</v>
      </c>
      <c r="AI41" s="34">
        <v>0</v>
      </c>
      <c r="AJ41" s="27">
        <v>0</v>
      </c>
      <c r="AK41" s="34">
        <v>0</v>
      </c>
      <c r="AL41" s="35">
        <v>2</v>
      </c>
      <c r="AM41" s="36">
        <f t="shared" si="0"/>
        <v>0.33333333333333331</v>
      </c>
      <c r="AN41" s="37">
        <v>0</v>
      </c>
      <c r="AO41" s="37">
        <v>2</v>
      </c>
      <c r="AP41" s="37">
        <v>2</v>
      </c>
      <c r="AQ41" s="37">
        <v>5</v>
      </c>
      <c r="AR41" s="38">
        <f t="shared" si="1"/>
        <v>0.83333333333333337</v>
      </c>
      <c r="AS41" s="37">
        <v>1</v>
      </c>
      <c r="AT41" s="23">
        <v>1</v>
      </c>
      <c r="AU41" s="18">
        <f t="shared" si="2"/>
        <v>0.25</v>
      </c>
      <c r="AV41" s="23">
        <v>0</v>
      </c>
      <c r="AW41" s="23">
        <v>1</v>
      </c>
      <c r="AX41" s="23">
        <v>2</v>
      </c>
      <c r="AY41" s="23">
        <v>2</v>
      </c>
      <c r="AZ41" s="18">
        <f t="shared" si="3"/>
        <v>0.5</v>
      </c>
      <c r="BA41" s="39">
        <v>2</v>
      </c>
      <c r="BB41" s="40">
        <v>0</v>
      </c>
      <c r="BC41" s="41">
        <v>0</v>
      </c>
      <c r="BD41" s="42">
        <v>0</v>
      </c>
      <c r="BE41" s="43">
        <v>0</v>
      </c>
    </row>
    <row r="42" spans="1:57" x14ac:dyDescent="0.2">
      <c r="A42" s="22">
        <v>45917</v>
      </c>
      <c r="B42" s="23">
        <v>1</v>
      </c>
      <c r="C42" s="23" t="s">
        <v>74</v>
      </c>
      <c r="D42" s="25">
        <v>2</v>
      </c>
      <c r="E42" s="25">
        <v>2</v>
      </c>
      <c r="F42" s="23" t="s">
        <v>73</v>
      </c>
      <c r="H42" s="27">
        <v>62</v>
      </c>
      <c r="I42" s="24">
        <v>38</v>
      </c>
      <c r="J42" s="28">
        <v>2.95</v>
      </c>
      <c r="K42" s="29">
        <v>0.47</v>
      </c>
      <c r="L42" s="30">
        <v>4</v>
      </c>
      <c r="M42" s="24">
        <v>1</v>
      </c>
      <c r="N42" s="30">
        <v>19</v>
      </c>
      <c r="O42" s="24">
        <v>5</v>
      </c>
      <c r="P42" s="30">
        <v>0</v>
      </c>
      <c r="Q42" s="24">
        <v>4</v>
      </c>
      <c r="R42" s="30">
        <v>0</v>
      </c>
      <c r="S42" s="24">
        <v>4</v>
      </c>
      <c r="T42" s="28">
        <v>-1.66</v>
      </c>
      <c r="U42" s="31">
        <v>0.65</v>
      </c>
      <c r="V42" s="32">
        <v>8</v>
      </c>
      <c r="W42" s="24">
        <v>0</v>
      </c>
      <c r="X42" s="30">
        <v>10</v>
      </c>
      <c r="Y42" s="24">
        <v>11</v>
      </c>
      <c r="Z42" s="30">
        <v>558</v>
      </c>
      <c r="AA42" s="24">
        <v>347</v>
      </c>
      <c r="AB42" s="30">
        <v>21</v>
      </c>
      <c r="AC42" s="24">
        <v>11</v>
      </c>
      <c r="AD42" s="30">
        <v>10</v>
      </c>
      <c r="AE42" s="24">
        <v>10</v>
      </c>
      <c r="AF42" s="30">
        <v>1</v>
      </c>
      <c r="AG42" s="33">
        <v>2</v>
      </c>
      <c r="AH42" s="27">
        <v>0</v>
      </c>
      <c r="AI42" s="34">
        <v>0</v>
      </c>
      <c r="AJ42" s="27">
        <v>1</v>
      </c>
      <c r="AK42" s="34">
        <v>0</v>
      </c>
      <c r="AL42" s="35">
        <v>7</v>
      </c>
      <c r="AM42" s="36">
        <f t="shared" si="0"/>
        <v>0.36842105263157893</v>
      </c>
      <c r="AN42" s="37">
        <v>1</v>
      </c>
      <c r="AO42" s="37">
        <v>6</v>
      </c>
      <c r="AP42" s="37">
        <v>6</v>
      </c>
      <c r="AQ42" s="37">
        <v>14</v>
      </c>
      <c r="AR42" s="38">
        <f t="shared" si="1"/>
        <v>0.73684210526315785</v>
      </c>
      <c r="AS42" s="37">
        <v>5</v>
      </c>
      <c r="AT42" s="23">
        <v>2</v>
      </c>
      <c r="AU42" s="18">
        <f t="shared" si="2"/>
        <v>0.4</v>
      </c>
      <c r="AV42" s="23">
        <v>0</v>
      </c>
      <c r="AW42" s="23">
        <v>3</v>
      </c>
      <c r="AX42" s="23">
        <v>0</v>
      </c>
      <c r="AY42" s="23">
        <v>4</v>
      </c>
      <c r="AZ42" s="18">
        <f t="shared" si="3"/>
        <v>0.8</v>
      </c>
      <c r="BA42" s="39">
        <v>1</v>
      </c>
      <c r="BB42" s="40">
        <v>0</v>
      </c>
      <c r="BC42" s="45">
        <v>1</v>
      </c>
      <c r="BD42" s="42">
        <v>1</v>
      </c>
      <c r="BE42" s="43">
        <v>0</v>
      </c>
    </row>
    <row r="43" spans="1:57" x14ac:dyDescent="0.2">
      <c r="A43" s="22">
        <v>45917</v>
      </c>
      <c r="B43" s="23">
        <v>3</v>
      </c>
      <c r="C43" s="23" t="s">
        <v>60</v>
      </c>
      <c r="D43" s="25">
        <v>0</v>
      </c>
      <c r="E43" s="25">
        <v>0</v>
      </c>
      <c r="F43" s="23" t="s">
        <v>63</v>
      </c>
      <c r="H43" s="27">
        <v>60</v>
      </c>
      <c r="I43" s="24">
        <v>40</v>
      </c>
      <c r="J43" s="28">
        <v>1.2</v>
      </c>
      <c r="K43" s="29">
        <v>0.85</v>
      </c>
      <c r="L43" s="30">
        <v>3</v>
      </c>
      <c r="M43" s="24">
        <v>0</v>
      </c>
      <c r="N43" s="30">
        <v>10</v>
      </c>
      <c r="O43" s="24">
        <v>17</v>
      </c>
      <c r="P43" s="30">
        <v>4</v>
      </c>
      <c r="Q43" s="24">
        <v>3</v>
      </c>
      <c r="R43" s="30">
        <v>1</v>
      </c>
      <c r="S43" s="24">
        <v>1</v>
      </c>
      <c r="T43" s="28">
        <v>0.19</v>
      </c>
      <c r="U43" s="31">
        <v>0.6</v>
      </c>
      <c r="V43" s="32">
        <v>5</v>
      </c>
      <c r="W43" s="24">
        <v>4</v>
      </c>
      <c r="X43" s="30">
        <v>15</v>
      </c>
      <c r="Y43" s="24">
        <v>15</v>
      </c>
      <c r="Z43" s="30">
        <v>516</v>
      </c>
      <c r="AA43" s="24">
        <v>336</v>
      </c>
      <c r="AB43" s="30">
        <v>11</v>
      </c>
      <c r="AC43" s="24">
        <v>14</v>
      </c>
      <c r="AD43" s="30">
        <v>15</v>
      </c>
      <c r="AE43" s="24">
        <v>15</v>
      </c>
      <c r="AF43" s="30">
        <v>4</v>
      </c>
      <c r="AG43" s="33">
        <v>3</v>
      </c>
      <c r="AH43" s="27">
        <v>0</v>
      </c>
      <c r="AI43" s="34">
        <v>0</v>
      </c>
      <c r="AJ43" s="27">
        <v>0</v>
      </c>
      <c r="AK43" s="34">
        <v>0</v>
      </c>
      <c r="AL43" s="35">
        <v>3</v>
      </c>
      <c r="AM43" s="36">
        <f t="shared" si="0"/>
        <v>0.3</v>
      </c>
      <c r="AN43" s="37">
        <v>0</v>
      </c>
      <c r="AO43" s="37">
        <v>2</v>
      </c>
      <c r="AP43" s="37">
        <v>5</v>
      </c>
      <c r="AQ43" s="37">
        <v>6</v>
      </c>
      <c r="AR43" s="38">
        <f t="shared" si="1"/>
        <v>0.6</v>
      </c>
      <c r="AS43" s="37">
        <v>4</v>
      </c>
      <c r="AT43" s="23">
        <v>4</v>
      </c>
      <c r="AU43" s="18">
        <f t="shared" si="2"/>
        <v>0.23529411764705882</v>
      </c>
      <c r="AV43" s="23">
        <v>0</v>
      </c>
      <c r="AW43" s="23">
        <v>10</v>
      </c>
      <c r="AX43" s="23">
        <v>3</v>
      </c>
      <c r="AY43" s="23">
        <v>7</v>
      </c>
      <c r="AZ43" s="18">
        <f t="shared" si="3"/>
        <v>0.41176470588235292</v>
      </c>
      <c r="BA43" s="39">
        <v>10</v>
      </c>
      <c r="BB43" s="40">
        <v>1</v>
      </c>
      <c r="BC43" s="41">
        <v>0</v>
      </c>
      <c r="BD43" s="42">
        <v>1</v>
      </c>
      <c r="BE43" s="43">
        <v>0</v>
      </c>
    </row>
    <row r="44" spans="1:57" x14ac:dyDescent="0.2">
      <c r="A44" s="22">
        <v>45919</v>
      </c>
      <c r="B44" s="23">
        <v>6</v>
      </c>
      <c r="C44" s="23" t="s">
        <v>65</v>
      </c>
      <c r="D44" s="25">
        <v>3</v>
      </c>
      <c r="E44" s="25">
        <v>0</v>
      </c>
      <c r="F44" s="23" t="s">
        <v>78</v>
      </c>
      <c r="H44" s="27">
        <v>30</v>
      </c>
      <c r="I44" s="24">
        <v>70</v>
      </c>
      <c r="J44" s="28">
        <v>2.76</v>
      </c>
      <c r="K44" s="29">
        <v>0.63</v>
      </c>
      <c r="L44" s="30">
        <v>6</v>
      </c>
      <c r="M44" s="24">
        <v>0</v>
      </c>
      <c r="N44" s="30">
        <v>13</v>
      </c>
      <c r="O44" s="24">
        <v>13</v>
      </c>
      <c r="P44" s="30">
        <v>2</v>
      </c>
      <c r="Q44" s="24">
        <v>2</v>
      </c>
      <c r="R44" s="30">
        <v>1</v>
      </c>
      <c r="S44" s="24">
        <v>1</v>
      </c>
      <c r="T44" s="28">
        <v>0.15</v>
      </c>
      <c r="U44" s="31">
        <v>-0.45</v>
      </c>
      <c r="V44" s="32">
        <v>6</v>
      </c>
      <c r="W44" s="24">
        <v>5</v>
      </c>
      <c r="X44" s="30">
        <v>16</v>
      </c>
      <c r="Y44" s="24">
        <v>12</v>
      </c>
      <c r="Z44" s="30">
        <v>204</v>
      </c>
      <c r="AA44" s="24">
        <v>464</v>
      </c>
      <c r="AB44" s="30">
        <v>17</v>
      </c>
      <c r="AC44" s="24">
        <v>17</v>
      </c>
      <c r="AD44" s="30">
        <v>12</v>
      </c>
      <c r="AE44" s="24">
        <v>16</v>
      </c>
      <c r="AF44" s="30">
        <v>2</v>
      </c>
      <c r="AG44" s="33">
        <v>1</v>
      </c>
      <c r="AH44" s="27">
        <v>0</v>
      </c>
      <c r="AI44" s="34">
        <v>0</v>
      </c>
      <c r="AJ44" s="27">
        <v>0</v>
      </c>
      <c r="AK44" s="34">
        <v>0</v>
      </c>
      <c r="AL44" s="35">
        <v>5</v>
      </c>
      <c r="AM44" s="36">
        <f t="shared" si="0"/>
        <v>0.38461538461538464</v>
      </c>
      <c r="AN44" s="37">
        <v>0</v>
      </c>
      <c r="AO44" s="37">
        <v>6</v>
      </c>
      <c r="AP44" s="37">
        <v>2</v>
      </c>
      <c r="AQ44" s="37">
        <v>11</v>
      </c>
      <c r="AR44" s="38">
        <f t="shared" si="1"/>
        <v>0.84615384615384615</v>
      </c>
      <c r="AS44" s="37">
        <v>2</v>
      </c>
      <c r="AT44" s="23">
        <v>2</v>
      </c>
      <c r="AU44" s="18">
        <f t="shared" si="2"/>
        <v>0.15384615384615385</v>
      </c>
      <c r="AV44" s="23">
        <v>0</v>
      </c>
      <c r="AW44" s="23">
        <v>6</v>
      </c>
      <c r="AX44" s="23">
        <v>5</v>
      </c>
      <c r="AY44" s="23">
        <v>8</v>
      </c>
      <c r="AZ44" s="18">
        <f t="shared" si="3"/>
        <v>0.61538461538461542</v>
      </c>
      <c r="BA44" s="39">
        <v>5</v>
      </c>
      <c r="BB44" s="40">
        <v>0</v>
      </c>
      <c r="BC44" s="41">
        <v>0</v>
      </c>
      <c r="BD44" s="42">
        <v>0</v>
      </c>
      <c r="BE44" s="43">
        <v>0</v>
      </c>
    </row>
    <row r="45" spans="1:57" x14ac:dyDescent="0.2">
      <c r="A45" s="22">
        <v>45920</v>
      </c>
      <c r="B45" s="23">
        <v>6</v>
      </c>
      <c r="C45" s="23" t="s">
        <v>61</v>
      </c>
      <c r="D45" s="25">
        <v>1</v>
      </c>
      <c r="E45" s="25">
        <v>0</v>
      </c>
      <c r="F45" s="23" t="s">
        <v>66</v>
      </c>
      <c r="H45" s="27">
        <v>34</v>
      </c>
      <c r="I45" s="24">
        <v>66</v>
      </c>
      <c r="J45" s="28">
        <v>0.76</v>
      </c>
      <c r="K45" s="29">
        <v>1.26</v>
      </c>
      <c r="L45" s="30">
        <v>0</v>
      </c>
      <c r="M45" s="24">
        <v>2</v>
      </c>
      <c r="N45" s="30">
        <v>11</v>
      </c>
      <c r="O45" s="24">
        <v>20</v>
      </c>
      <c r="P45" s="30">
        <v>2</v>
      </c>
      <c r="Q45" s="24">
        <v>3</v>
      </c>
      <c r="R45" s="30">
        <v>0</v>
      </c>
      <c r="S45" s="24">
        <v>0</v>
      </c>
      <c r="T45" s="28">
        <v>0.55000000000000004</v>
      </c>
      <c r="U45" s="31">
        <v>0.04</v>
      </c>
      <c r="V45" s="32">
        <v>2</v>
      </c>
      <c r="W45" s="24">
        <v>4</v>
      </c>
      <c r="X45" s="30">
        <v>18</v>
      </c>
      <c r="Y45" s="24">
        <v>14</v>
      </c>
      <c r="Z45" s="30">
        <v>220</v>
      </c>
      <c r="AA45" s="24">
        <v>420</v>
      </c>
      <c r="AB45" s="30">
        <v>21</v>
      </c>
      <c r="AC45" s="24">
        <v>16</v>
      </c>
      <c r="AD45" s="30">
        <v>14</v>
      </c>
      <c r="AE45" s="24">
        <v>18</v>
      </c>
      <c r="AF45" s="30">
        <v>3</v>
      </c>
      <c r="AG45" s="33">
        <v>2</v>
      </c>
      <c r="AH45" s="27">
        <v>0</v>
      </c>
      <c r="AI45" s="34">
        <v>0</v>
      </c>
      <c r="AJ45" s="27">
        <v>0</v>
      </c>
      <c r="AK45" s="34">
        <v>0</v>
      </c>
      <c r="AL45" s="35">
        <v>4</v>
      </c>
      <c r="AM45" s="36">
        <f t="shared" si="0"/>
        <v>0.36363636363636365</v>
      </c>
      <c r="AN45" s="37">
        <v>0</v>
      </c>
      <c r="AO45" s="37">
        <v>4</v>
      </c>
      <c r="AP45" s="37">
        <v>3</v>
      </c>
      <c r="AQ45" s="37">
        <v>9</v>
      </c>
      <c r="AR45" s="38">
        <f t="shared" si="1"/>
        <v>0.81818181818181823</v>
      </c>
      <c r="AS45" s="37">
        <v>2</v>
      </c>
      <c r="AT45" s="23">
        <v>2</v>
      </c>
      <c r="AU45" s="18">
        <f t="shared" si="2"/>
        <v>0.1</v>
      </c>
      <c r="AV45" s="23">
        <v>0</v>
      </c>
      <c r="AW45" s="23">
        <v>9</v>
      </c>
      <c r="AX45" s="23">
        <v>9</v>
      </c>
      <c r="AY45" s="23">
        <v>12</v>
      </c>
      <c r="AZ45" s="18">
        <f t="shared" si="3"/>
        <v>0.6</v>
      </c>
      <c r="BA45" s="39">
        <v>8</v>
      </c>
      <c r="BB45" s="40">
        <v>0</v>
      </c>
      <c r="BC45" s="41">
        <v>0</v>
      </c>
      <c r="BD45" s="42">
        <v>0</v>
      </c>
      <c r="BE45" s="43">
        <v>0</v>
      </c>
    </row>
    <row r="46" spans="1:57" x14ac:dyDescent="0.2">
      <c r="A46" s="22">
        <v>45920</v>
      </c>
      <c r="B46" s="23">
        <v>6</v>
      </c>
      <c r="C46" s="23" t="s">
        <v>62</v>
      </c>
      <c r="D46" s="25">
        <v>1</v>
      </c>
      <c r="E46" s="25">
        <v>1</v>
      </c>
      <c r="F46" s="23" t="s">
        <v>77</v>
      </c>
      <c r="H46" s="27">
        <v>53</v>
      </c>
      <c r="I46" s="24">
        <v>47</v>
      </c>
      <c r="J46" s="28">
        <v>0.8</v>
      </c>
      <c r="K46" s="29">
        <v>0.79</v>
      </c>
      <c r="L46" s="30">
        <v>2</v>
      </c>
      <c r="M46" s="24">
        <v>2</v>
      </c>
      <c r="N46" s="30">
        <v>13</v>
      </c>
      <c r="O46" s="24">
        <v>14</v>
      </c>
      <c r="P46" s="30">
        <v>3</v>
      </c>
      <c r="Q46" s="24">
        <v>4</v>
      </c>
      <c r="R46" s="30">
        <v>0</v>
      </c>
      <c r="S46" s="24">
        <v>1</v>
      </c>
      <c r="T46" s="28">
        <v>-0.6</v>
      </c>
      <c r="U46" s="31">
        <v>0.08</v>
      </c>
      <c r="V46" s="32">
        <v>10</v>
      </c>
      <c r="W46" s="24">
        <v>4</v>
      </c>
      <c r="X46" s="30">
        <v>12</v>
      </c>
      <c r="Y46" s="24">
        <v>18</v>
      </c>
      <c r="Z46" s="30">
        <v>405</v>
      </c>
      <c r="AA46" s="24">
        <v>359</v>
      </c>
      <c r="AB46" s="30">
        <v>8</v>
      </c>
      <c r="AC46" s="24">
        <v>14</v>
      </c>
      <c r="AD46" s="30">
        <v>18</v>
      </c>
      <c r="AE46" s="24">
        <v>12</v>
      </c>
      <c r="AF46" s="30">
        <v>3</v>
      </c>
      <c r="AG46" s="33">
        <v>3</v>
      </c>
      <c r="AH46" s="27">
        <v>0</v>
      </c>
      <c r="AI46" s="34">
        <v>0</v>
      </c>
      <c r="AJ46" s="27">
        <v>0</v>
      </c>
      <c r="AK46" s="34">
        <v>0</v>
      </c>
      <c r="AL46" s="35">
        <v>6</v>
      </c>
      <c r="AM46" s="36">
        <f t="shared" si="0"/>
        <v>0.46153846153846156</v>
      </c>
      <c r="AN46" s="37">
        <v>0</v>
      </c>
      <c r="AO46" s="37">
        <v>4</v>
      </c>
      <c r="AP46" s="37">
        <v>3</v>
      </c>
      <c r="AQ46" s="37">
        <v>10</v>
      </c>
      <c r="AR46" s="38">
        <f t="shared" si="1"/>
        <v>0.76923076923076927</v>
      </c>
      <c r="AS46" s="37">
        <v>3</v>
      </c>
      <c r="AT46" s="23">
        <v>4</v>
      </c>
      <c r="AU46" s="18">
        <f t="shared" si="2"/>
        <v>0.2857142857142857</v>
      </c>
      <c r="AV46" s="23">
        <v>0</v>
      </c>
      <c r="AW46" s="23">
        <v>7</v>
      </c>
      <c r="AX46" s="23">
        <v>3</v>
      </c>
      <c r="AY46" s="23">
        <v>8</v>
      </c>
      <c r="AZ46" s="18">
        <f t="shared" si="3"/>
        <v>0.5714285714285714</v>
      </c>
      <c r="BA46" s="39">
        <v>6</v>
      </c>
      <c r="BB46" s="40">
        <v>0</v>
      </c>
      <c r="BC46" s="41">
        <v>0</v>
      </c>
      <c r="BD46" s="42">
        <v>0</v>
      </c>
      <c r="BE46" s="43">
        <v>0</v>
      </c>
    </row>
    <row r="47" spans="1:57" x14ac:dyDescent="0.2">
      <c r="A47" s="22">
        <v>45920</v>
      </c>
      <c r="B47" s="23">
        <v>6</v>
      </c>
      <c r="C47" s="23" t="s">
        <v>68</v>
      </c>
      <c r="D47" s="25">
        <v>1</v>
      </c>
      <c r="E47" s="25">
        <v>1</v>
      </c>
      <c r="F47" s="23" t="s">
        <v>57</v>
      </c>
      <c r="H47" s="27">
        <v>49</v>
      </c>
      <c r="I47" s="24">
        <v>51</v>
      </c>
      <c r="J47" s="28">
        <v>1.62</v>
      </c>
      <c r="K47" s="29">
        <v>0.19</v>
      </c>
      <c r="L47" s="30">
        <v>4</v>
      </c>
      <c r="M47" s="24">
        <v>0</v>
      </c>
      <c r="N47" s="30">
        <v>27</v>
      </c>
      <c r="O47" s="24">
        <v>4</v>
      </c>
      <c r="P47" s="30">
        <v>0</v>
      </c>
      <c r="Q47" s="24">
        <v>5</v>
      </c>
      <c r="R47" s="30">
        <v>0</v>
      </c>
      <c r="S47" s="24">
        <v>0</v>
      </c>
      <c r="T47" s="28">
        <v>-0.78</v>
      </c>
      <c r="U47" s="31">
        <v>0.9</v>
      </c>
      <c r="V47" s="32">
        <v>4</v>
      </c>
      <c r="W47" s="24">
        <v>5</v>
      </c>
      <c r="X47" s="30">
        <v>12</v>
      </c>
      <c r="Y47" s="24">
        <v>17</v>
      </c>
      <c r="Z47" s="30">
        <v>391</v>
      </c>
      <c r="AA47" s="24">
        <v>419</v>
      </c>
      <c r="AB47" s="30">
        <v>23</v>
      </c>
      <c r="AC47" s="24">
        <v>25</v>
      </c>
      <c r="AD47" s="30">
        <v>17</v>
      </c>
      <c r="AE47" s="24">
        <v>12</v>
      </c>
      <c r="AF47" s="30">
        <v>2</v>
      </c>
      <c r="AG47" s="33">
        <v>4</v>
      </c>
      <c r="AH47" s="27">
        <v>0</v>
      </c>
      <c r="AI47" s="34">
        <v>0</v>
      </c>
      <c r="AJ47" s="27">
        <v>0</v>
      </c>
      <c r="AK47" s="34">
        <v>0</v>
      </c>
      <c r="AL47" s="35">
        <v>6</v>
      </c>
      <c r="AM47" s="36">
        <f t="shared" si="0"/>
        <v>0.22222222222222221</v>
      </c>
      <c r="AN47" s="37">
        <v>1</v>
      </c>
      <c r="AO47" s="37">
        <v>11</v>
      </c>
      <c r="AP47" s="37">
        <v>10</v>
      </c>
      <c r="AQ47" s="37">
        <v>15</v>
      </c>
      <c r="AR47" s="38">
        <f t="shared" si="1"/>
        <v>0.55555555555555558</v>
      </c>
      <c r="AS47" s="37">
        <v>12</v>
      </c>
      <c r="AT47" s="23">
        <v>1</v>
      </c>
      <c r="AU47" s="18">
        <f t="shared" si="2"/>
        <v>0.25</v>
      </c>
      <c r="AV47" s="23">
        <v>0</v>
      </c>
      <c r="AW47" s="23">
        <v>1</v>
      </c>
      <c r="AX47" s="23">
        <v>2</v>
      </c>
      <c r="AY47" s="23">
        <v>2</v>
      </c>
      <c r="AZ47" s="18">
        <f t="shared" si="3"/>
        <v>0.5</v>
      </c>
      <c r="BA47" s="39">
        <v>2</v>
      </c>
      <c r="BB47" s="40">
        <v>0</v>
      </c>
      <c r="BC47" s="41">
        <v>0</v>
      </c>
      <c r="BD47" s="42">
        <v>0</v>
      </c>
      <c r="BE47" s="44">
        <v>1</v>
      </c>
    </row>
    <row r="48" spans="1:57" x14ac:dyDescent="0.2">
      <c r="A48" s="22">
        <v>45921</v>
      </c>
      <c r="B48" s="23">
        <v>6</v>
      </c>
      <c r="C48" s="23" t="s">
        <v>76</v>
      </c>
      <c r="D48" s="25">
        <v>1</v>
      </c>
      <c r="E48" s="25">
        <v>1</v>
      </c>
      <c r="F48" s="23" t="s">
        <v>73</v>
      </c>
      <c r="H48" s="27">
        <v>53</v>
      </c>
      <c r="I48" s="24">
        <v>47</v>
      </c>
      <c r="J48" s="28">
        <v>1.83</v>
      </c>
      <c r="K48" s="29">
        <v>1.73</v>
      </c>
      <c r="L48" s="30">
        <v>3</v>
      </c>
      <c r="M48" s="24">
        <v>6</v>
      </c>
      <c r="N48" s="30">
        <v>13</v>
      </c>
      <c r="O48" s="24">
        <v>13</v>
      </c>
      <c r="P48" s="30">
        <v>5</v>
      </c>
      <c r="Q48" s="24">
        <v>4</v>
      </c>
      <c r="R48" s="30">
        <v>0</v>
      </c>
      <c r="S48" s="24">
        <v>2</v>
      </c>
      <c r="T48" s="28">
        <v>0.55000000000000004</v>
      </c>
      <c r="U48" s="31">
        <v>0.62</v>
      </c>
      <c r="V48" s="32">
        <v>7</v>
      </c>
      <c r="W48" s="24">
        <v>4</v>
      </c>
      <c r="X48" s="30">
        <v>21</v>
      </c>
      <c r="Y48" s="24">
        <v>14</v>
      </c>
      <c r="Z48" s="30">
        <v>424</v>
      </c>
      <c r="AA48" s="24">
        <v>385</v>
      </c>
      <c r="AB48" s="30">
        <v>10</v>
      </c>
      <c r="AC48" s="24">
        <v>9</v>
      </c>
      <c r="AD48" s="30">
        <v>14</v>
      </c>
      <c r="AE48" s="24">
        <v>21</v>
      </c>
      <c r="AF48" s="30">
        <v>3</v>
      </c>
      <c r="AG48" s="33">
        <v>3</v>
      </c>
      <c r="AH48" s="27">
        <v>0</v>
      </c>
      <c r="AI48" s="34">
        <v>0</v>
      </c>
      <c r="AJ48" s="27">
        <v>0</v>
      </c>
      <c r="AK48" s="34">
        <v>0</v>
      </c>
      <c r="AL48" s="35">
        <v>5</v>
      </c>
      <c r="AM48" s="36">
        <f t="shared" si="0"/>
        <v>0.38461538461538464</v>
      </c>
      <c r="AN48" s="37">
        <v>0</v>
      </c>
      <c r="AO48" s="37">
        <v>5</v>
      </c>
      <c r="AP48" s="37">
        <v>3</v>
      </c>
      <c r="AQ48" s="37">
        <v>7</v>
      </c>
      <c r="AR48" s="38">
        <f t="shared" si="1"/>
        <v>0.53846153846153844</v>
      </c>
      <c r="AS48" s="37">
        <v>6</v>
      </c>
      <c r="AT48" s="23">
        <v>6</v>
      </c>
      <c r="AU48" s="18">
        <f t="shared" si="2"/>
        <v>0.46153846153846156</v>
      </c>
      <c r="AV48" s="23">
        <v>0</v>
      </c>
      <c r="AW48" s="23">
        <v>6</v>
      </c>
      <c r="AX48" s="23">
        <v>1</v>
      </c>
      <c r="AY48" s="23">
        <v>7</v>
      </c>
      <c r="AZ48" s="18">
        <f t="shared" si="3"/>
        <v>0.53846153846153844</v>
      </c>
      <c r="BA48" s="39">
        <v>6</v>
      </c>
      <c r="BB48" s="40">
        <v>0</v>
      </c>
      <c r="BC48" s="45">
        <v>1</v>
      </c>
      <c r="BD48" s="42">
        <v>1</v>
      </c>
      <c r="BE48" s="44">
        <v>1</v>
      </c>
    </row>
    <row r="49" spans="1:57" x14ac:dyDescent="0.2">
      <c r="A49" s="22">
        <v>45921</v>
      </c>
      <c r="B49" s="23">
        <v>6</v>
      </c>
      <c r="C49" s="23" t="s">
        <v>69</v>
      </c>
      <c r="D49" s="25">
        <v>1</v>
      </c>
      <c r="E49" s="25">
        <v>1</v>
      </c>
      <c r="F49" s="23" t="s">
        <v>64</v>
      </c>
      <c r="H49" s="27">
        <v>58</v>
      </c>
      <c r="I49" s="24">
        <v>42</v>
      </c>
      <c r="J49" s="28">
        <v>1.28</v>
      </c>
      <c r="K49" s="29">
        <v>0.28999999999999998</v>
      </c>
      <c r="L49" s="30">
        <v>1</v>
      </c>
      <c r="M49" s="24">
        <v>0</v>
      </c>
      <c r="N49" s="30">
        <v>16</v>
      </c>
      <c r="O49" s="24">
        <v>8</v>
      </c>
      <c r="P49" s="30">
        <v>0</v>
      </c>
      <c r="Q49" s="24">
        <v>5</v>
      </c>
      <c r="R49" s="30">
        <v>0</v>
      </c>
      <c r="S49" s="24">
        <v>2</v>
      </c>
      <c r="T49" s="28">
        <v>-0.48</v>
      </c>
      <c r="U49" s="31">
        <v>0.52</v>
      </c>
      <c r="V49" s="32">
        <v>8</v>
      </c>
      <c r="W49" s="24">
        <v>3</v>
      </c>
      <c r="X49" s="30">
        <v>11</v>
      </c>
      <c r="Y49" s="24">
        <v>19</v>
      </c>
      <c r="Z49" s="30">
        <v>392</v>
      </c>
      <c r="AA49" s="24">
        <v>301</v>
      </c>
      <c r="AB49" s="30">
        <v>17</v>
      </c>
      <c r="AC49" s="24">
        <v>12</v>
      </c>
      <c r="AD49" s="30">
        <v>18</v>
      </c>
      <c r="AE49" s="24">
        <v>11</v>
      </c>
      <c r="AF49" s="30">
        <v>4</v>
      </c>
      <c r="AG49" s="33">
        <v>4</v>
      </c>
      <c r="AH49" s="27">
        <v>0</v>
      </c>
      <c r="AI49" s="34">
        <v>0</v>
      </c>
      <c r="AJ49" s="27">
        <v>1</v>
      </c>
      <c r="AK49" s="34">
        <v>0</v>
      </c>
      <c r="AL49" s="35">
        <v>6</v>
      </c>
      <c r="AM49" s="36">
        <f t="shared" si="0"/>
        <v>0.375</v>
      </c>
      <c r="AN49" s="37">
        <v>0</v>
      </c>
      <c r="AO49" s="37">
        <v>7</v>
      </c>
      <c r="AP49" s="37">
        <v>3</v>
      </c>
      <c r="AQ49" s="37">
        <v>8</v>
      </c>
      <c r="AR49" s="38">
        <f t="shared" si="1"/>
        <v>0.5</v>
      </c>
      <c r="AS49" s="37">
        <v>8</v>
      </c>
      <c r="AT49" s="23">
        <v>1</v>
      </c>
      <c r="AU49" s="18">
        <f t="shared" si="2"/>
        <v>0.125</v>
      </c>
      <c r="AV49" s="23">
        <v>0</v>
      </c>
      <c r="AW49" s="23">
        <v>3</v>
      </c>
      <c r="AX49" s="23">
        <v>4</v>
      </c>
      <c r="AY49" s="23">
        <v>1</v>
      </c>
      <c r="AZ49" s="18">
        <f t="shared" si="3"/>
        <v>0.125</v>
      </c>
      <c r="BA49" s="39">
        <v>7</v>
      </c>
      <c r="BB49" s="40">
        <v>0</v>
      </c>
      <c r="BC49" s="41">
        <v>0</v>
      </c>
      <c r="BD49" s="42">
        <v>0</v>
      </c>
      <c r="BE49" s="43">
        <v>0</v>
      </c>
    </row>
    <row r="50" spans="1:57" x14ac:dyDescent="0.2">
      <c r="A50" s="22">
        <v>45921</v>
      </c>
      <c r="B50" s="23">
        <v>6</v>
      </c>
      <c r="C50" s="24" t="s">
        <v>63</v>
      </c>
      <c r="D50" s="25">
        <v>1</v>
      </c>
      <c r="E50" s="25">
        <v>1</v>
      </c>
      <c r="F50" s="23" t="s">
        <v>74</v>
      </c>
      <c r="G50" s="26" t="s">
        <v>84</v>
      </c>
      <c r="H50" s="27">
        <v>34</v>
      </c>
      <c r="I50" s="24">
        <v>66</v>
      </c>
      <c r="J50" s="28">
        <v>1.38</v>
      </c>
      <c r="K50" s="29">
        <v>0.8</v>
      </c>
      <c r="L50" s="30">
        <v>2</v>
      </c>
      <c r="M50" s="24">
        <v>2</v>
      </c>
      <c r="N50" s="30">
        <v>17</v>
      </c>
      <c r="O50" s="24">
        <v>9</v>
      </c>
      <c r="P50" s="30">
        <v>1</v>
      </c>
      <c r="Q50" s="24">
        <v>1</v>
      </c>
      <c r="R50" s="30">
        <v>0</v>
      </c>
      <c r="S50" s="24">
        <v>0</v>
      </c>
      <c r="T50" s="28">
        <v>-0.71</v>
      </c>
      <c r="U50" s="31">
        <v>0.02</v>
      </c>
      <c r="V50" s="32">
        <v>5</v>
      </c>
      <c r="W50" s="24">
        <v>8</v>
      </c>
      <c r="X50" s="30">
        <v>11</v>
      </c>
      <c r="Y50" s="24">
        <v>15</v>
      </c>
      <c r="Z50" s="30">
        <v>280</v>
      </c>
      <c r="AA50" s="24">
        <v>551</v>
      </c>
      <c r="AB50" s="30">
        <v>19</v>
      </c>
      <c r="AC50" s="24">
        <v>20</v>
      </c>
      <c r="AD50" s="30">
        <v>15</v>
      </c>
      <c r="AE50" s="24">
        <v>11</v>
      </c>
      <c r="AF50" s="30">
        <v>3</v>
      </c>
      <c r="AG50" s="33">
        <v>1</v>
      </c>
      <c r="AH50" s="27">
        <v>1</v>
      </c>
      <c r="AI50" s="34">
        <v>0</v>
      </c>
      <c r="AJ50" s="27">
        <v>0</v>
      </c>
      <c r="AK50" s="34">
        <v>0</v>
      </c>
      <c r="AL50" s="35">
        <v>2</v>
      </c>
      <c r="AM50" s="36">
        <f t="shared" si="0"/>
        <v>0.11764705882352941</v>
      </c>
      <c r="AN50" s="37">
        <v>0</v>
      </c>
      <c r="AO50" s="37">
        <v>8</v>
      </c>
      <c r="AP50" s="37">
        <v>7</v>
      </c>
      <c r="AQ50" s="37">
        <v>12</v>
      </c>
      <c r="AR50" s="38">
        <f t="shared" si="1"/>
        <v>0.70588235294117652</v>
      </c>
      <c r="AS50" s="37">
        <v>5</v>
      </c>
      <c r="AT50" s="23">
        <v>2</v>
      </c>
      <c r="AU50" s="18">
        <f t="shared" si="2"/>
        <v>0.22222222222222221</v>
      </c>
      <c r="AV50" s="23">
        <v>0</v>
      </c>
      <c r="AW50" s="23">
        <v>3</v>
      </c>
      <c r="AX50" s="23">
        <v>4</v>
      </c>
      <c r="AY50" s="23">
        <v>6</v>
      </c>
      <c r="AZ50" s="18">
        <f t="shared" si="3"/>
        <v>0.66666666666666663</v>
      </c>
      <c r="BA50" s="39">
        <v>3</v>
      </c>
      <c r="BB50" s="40">
        <v>0</v>
      </c>
      <c r="BC50" s="45">
        <v>1</v>
      </c>
      <c r="BD50" s="42">
        <v>1</v>
      </c>
      <c r="BE50" s="43">
        <v>0</v>
      </c>
    </row>
    <row r="51" spans="1:57" x14ac:dyDescent="0.2">
      <c r="A51" s="22">
        <v>45921</v>
      </c>
      <c r="B51" s="23">
        <v>6</v>
      </c>
      <c r="C51" s="23" t="s">
        <v>60</v>
      </c>
      <c r="D51" s="25">
        <v>3</v>
      </c>
      <c r="E51" s="25">
        <v>2</v>
      </c>
      <c r="F51" s="23" t="s">
        <v>70</v>
      </c>
      <c r="H51" s="27">
        <v>49</v>
      </c>
      <c r="I51" s="24">
        <v>51</v>
      </c>
      <c r="J51" s="28">
        <v>2.0099999999999998</v>
      </c>
      <c r="K51" s="29">
        <v>0.55000000000000004</v>
      </c>
      <c r="L51" s="30">
        <v>4</v>
      </c>
      <c r="M51" s="24">
        <v>0</v>
      </c>
      <c r="N51" s="30">
        <v>14</v>
      </c>
      <c r="O51" s="24">
        <v>11</v>
      </c>
      <c r="P51" s="30">
        <v>2</v>
      </c>
      <c r="Q51" s="24">
        <v>3</v>
      </c>
      <c r="R51" s="30">
        <v>1</v>
      </c>
      <c r="S51" s="24">
        <v>1</v>
      </c>
      <c r="T51" s="28">
        <v>-1.1100000000000001</v>
      </c>
      <c r="U51" s="31">
        <v>-0.37</v>
      </c>
      <c r="V51" s="32">
        <v>6</v>
      </c>
      <c r="W51" s="24">
        <v>5</v>
      </c>
      <c r="X51" s="30">
        <v>16</v>
      </c>
      <c r="Y51" s="24">
        <v>9</v>
      </c>
      <c r="Z51" s="30">
        <v>352</v>
      </c>
      <c r="AA51" s="24">
        <v>364</v>
      </c>
      <c r="AB51" s="30">
        <v>21</v>
      </c>
      <c r="AC51" s="24">
        <v>11</v>
      </c>
      <c r="AD51" s="30">
        <v>9</v>
      </c>
      <c r="AE51" s="24">
        <v>16</v>
      </c>
      <c r="AF51" s="30">
        <v>2</v>
      </c>
      <c r="AG51" s="33">
        <v>2</v>
      </c>
      <c r="AH51" s="27">
        <v>0</v>
      </c>
      <c r="AI51" s="34">
        <v>0</v>
      </c>
      <c r="AJ51" s="27">
        <v>0</v>
      </c>
      <c r="AK51" s="34">
        <v>0</v>
      </c>
      <c r="AL51" s="35">
        <v>5</v>
      </c>
      <c r="AM51" s="36">
        <f t="shared" si="0"/>
        <v>0.35714285714285715</v>
      </c>
      <c r="AN51" s="37">
        <v>1</v>
      </c>
      <c r="AO51" s="37">
        <v>7</v>
      </c>
      <c r="AP51" s="37">
        <v>2</v>
      </c>
      <c r="AQ51" s="37">
        <v>9</v>
      </c>
      <c r="AR51" s="38">
        <f t="shared" si="1"/>
        <v>0.6428571428571429</v>
      </c>
      <c r="AS51" s="37">
        <v>5</v>
      </c>
      <c r="AT51" s="23">
        <v>3</v>
      </c>
      <c r="AU51" s="18">
        <f t="shared" si="2"/>
        <v>0.27272727272727271</v>
      </c>
      <c r="AV51" s="23">
        <v>0</v>
      </c>
      <c r="AW51" s="23">
        <v>5</v>
      </c>
      <c r="AX51" s="23">
        <v>3</v>
      </c>
      <c r="AY51" s="23">
        <v>4</v>
      </c>
      <c r="AZ51" s="18">
        <f t="shared" si="3"/>
        <v>0.36363636363636365</v>
      </c>
      <c r="BA51" s="39">
        <v>7</v>
      </c>
      <c r="BB51" s="40">
        <v>1</v>
      </c>
      <c r="BC51" s="41">
        <v>0</v>
      </c>
      <c r="BD51" s="42">
        <v>0</v>
      </c>
      <c r="BE51" s="44">
        <v>1</v>
      </c>
    </row>
    <row r="52" spans="1:57" x14ac:dyDescent="0.2">
      <c r="A52" s="22">
        <v>45922</v>
      </c>
      <c r="B52" s="23">
        <v>6</v>
      </c>
      <c r="C52" s="23" t="s">
        <v>58</v>
      </c>
      <c r="D52" s="25">
        <v>3</v>
      </c>
      <c r="E52" s="25">
        <v>1</v>
      </c>
      <c r="F52" s="23" t="s">
        <v>67</v>
      </c>
      <c r="H52" s="27">
        <v>52</v>
      </c>
      <c r="I52" s="24">
        <v>48</v>
      </c>
      <c r="J52" s="28">
        <v>1.1299999999999999</v>
      </c>
      <c r="K52" s="29">
        <v>0.94</v>
      </c>
      <c r="L52" s="30">
        <v>3</v>
      </c>
      <c r="M52" s="24">
        <v>1</v>
      </c>
      <c r="N52" s="30">
        <v>13</v>
      </c>
      <c r="O52" s="24">
        <v>14</v>
      </c>
      <c r="P52" s="30">
        <v>4</v>
      </c>
      <c r="Q52" s="24">
        <v>4</v>
      </c>
      <c r="R52" s="30">
        <v>2</v>
      </c>
      <c r="S52" s="24">
        <v>1</v>
      </c>
      <c r="T52" s="28">
        <v>0.26</v>
      </c>
      <c r="U52" s="31">
        <v>-0.56000000000000005</v>
      </c>
      <c r="V52" s="32">
        <v>4</v>
      </c>
      <c r="W52" s="24">
        <v>6</v>
      </c>
      <c r="X52" s="30">
        <v>19</v>
      </c>
      <c r="Y52" s="24">
        <v>7</v>
      </c>
      <c r="Z52" s="30">
        <v>435</v>
      </c>
      <c r="AA52" s="24">
        <v>398</v>
      </c>
      <c r="AB52" s="30">
        <v>23</v>
      </c>
      <c r="AC52" s="24">
        <v>9</v>
      </c>
      <c r="AD52" s="30">
        <v>7</v>
      </c>
      <c r="AE52" s="24">
        <v>19</v>
      </c>
      <c r="AF52" s="30">
        <v>1</v>
      </c>
      <c r="AG52" s="33">
        <v>0</v>
      </c>
      <c r="AH52" s="27">
        <v>0</v>
      </c>
      <c r="AI52" s="34">
        <v>0</v>
      </c>
      <c r="AJ52" s="27">
        <v>0</v>
      </c>
      <c r="AK52" s="34">
        <v>0</v>
      </c>
      <c r="AL52" s="35">
        <v>7</v>
      </c>
      <c r="AM52" s="36">
        <f t="shared" si="0"/>
        <v>0.53846153846153844</v>
      </c>
      <c r="AN52" s="37">
        <v>0</v>
      </c>
      <c r="AO52" s="37">
        <v>4</v>
      </c>
      <c r="AP52" s="37">
        <v>2</v>
      </c>
      <c r="AQ52" s="37">
        <v>8</v>
      </c>
      <c r="AR52" s="38">
        <f t="shared" si="1"/>
        <v>0.61538461538461542</v>
      </c>
      <c r="AS52" s="37">
        <v>5</v>
      </c>
      <c r="AT52" s="23">
        <v>5</v>
      </c>
      <c r="AU52" s="18">
        <f t="shared" si="2"/>
        <v>0.35714285714285715</v>
      </c>
      <c r="AV52" s="23">
        <v>0</v>
      </c>
      <c r="AW52" s="23">
        <v>8</v>
      </c>
      <c r="AX52" s="23">
        <v>1</v>
      </c>
      <c r="AY52" s="23">
        <v>5</v>
      </c>
      <c r="AZ52" s="18">
        <f t="shared" si="3"/>
        <v>0.35714285714285715</v>
      </c>
      <c r="BA52" s="39">
        <v>9</v>
      </c>
      <c r="BB52" s="40">
        <v>2</v>
      </c>
      <c r="BC52" s="41">
        <v>0</v>
      </c>
      <c r="BD52" s="42">
        <v>0</v>
      </c>
      <c r="BE52" s="43">
        <v>0</v>
      </c>
    </row>
    <row r="53" spans="1:57" x14ac:dyDescent="0.2">
      <c r="A53" s="22">
        <v>45924</v>
      </c>
      <c r="B53" s="23">
        <v>1</v>
      </c>
      <c r="C53" s="23" t="s">
        <v>77</v>
      </c>
      <c r="D53" s="25">
        <v>0</v>
      </c>
      <c r="E53" s="25">
        <v>4</v>
      </c>
      <c r="F53" s="23" t="s">
        <v>78</v>
      </c>
      <c r="H53" s="27">
        <v>51</v>
      </c>
      <c r="I53" s="24">
        <v>49</v>
      </c>
      <c r="J53" s="28">
        <v>0.66</v>
      </c>
      <c r="K53" s="29">
        <v>2.36</v>
      </c>
      <c r="L53" s="30">
        <v>1</v>
      </c>
      <c r="M53" s="24">
        <v>5</v>
      </c>
      <c r="N53" s="30">
        <v>6</v>
      </c>
      <c r="O53" s="24">
        <v>13</v>
      </c>
      <c r="P53" s="30">
        <v>5</v>
      </c>
      <c r="Q53" s="24">
        <v>2</v>
      </c>
      <c r="R53" s="30">
        <v>1</v>
      </c>
      <c r="S53" s="24">
        <v>1</v>
      </c>
      <c r="T53" s="28">
        <v>-0.35</v>
      </c>
      <c r="U53" s="31">
        <v>0.63</v>
      </c>
      <c r="V53" s="32">
        <v>4</v>
      </c>
      <c r="W53" s="24">
        <v>5</v>
      </c>
      <c r="X53" s="30">
        <v>17</v>
      </c>
      <c r="Y53" s="24">
        <v>14</v>
      </c>
      <c r="Z53" s="30">
        <v>401</v>
      </c>
      <c r="AA53" s="24">
        <v>392</v>
      </c>
      <c r="AB53" s="30">
        <v>15</v>
      </c>
      <c r="AC53" s="24">
        <v>10</v>
      </c>
      <c r="AD53" s="30">
        <v>14</v>
      </c>
      <c r="AE53" s="24">
        <v>17</v>
      </c>
      <c r="AF53" s="30">
        <v>4</v>
      </c>
      <c r="AG53" s="33">
        <v>2</v>
      </c>
      <c r="AH53" s="27">
        <v>0</v>
      </c>
      <c r="AI53" s="34">
        <v>0</v>
      </c>
      <c r="AJ53" s="27">
        <v>0</v>
      </c>
      <c r="AK53" s="34">
        <v>0</v>
      </c>
      <c r="AL53" s="35">
        <v>2</v>
      </c>
      <c r="AM53" s="36">
        <f t="shared" si="0"/>
        <v>0.33333333333333331</v>
      </c>
      <c r="AN53" s="37">
        <v>0</v>
      </c>
      <c r="AO53" s="37">
        <v>2</v>
      </c>
      <c r="AP53" s="37">
        <v>2</v>
      </c>
      <c r="AQ53" s="37">
        <v>4</v>
      </c>
      <c r="AR53" s="38">
        <f t="shared" si="1"/>
        <v>0.66666666666666663</v>
      </c>
      <c r="AS53" s="37">
        <v>2</v>
      </c>
      <c r="AT53" s="23">
        <v>9</v>
      </c>
      <c r="AU53" s="18">
        <f t="shared" si="2"/>
        <v>0.69230769230769229</v>
      </c>
      <c r="AV53" s="23">
        <v>0</v>
      </c>
      <c r="AW53" s="23">
        <v>3</v>
      </c>
      <c r="AX53" s="23">
        <v>1</v>
      </c>
      <c r="AY53" s="23">
        <v>12</v>
      </c>
      <c r="AZ53" s="18">
        <f t="shared" si="3"/>
        <v>0.92307692307692313</v>
      </c>
      <c r="BA53" s="39">
        <v>1</v>
      </c>
      <c r="BB53" s="40">
        <v>0</v>
      </c>
      <c r="BC53" s="45">
        <v>1</v>
      </c>
      <c r="BD53" s="42">
        <v>0</v>
      </c>
      <c r="BE53" s="43">
        <v>0</v>
      </c>
    </row>
    <row r="54" spans="1:57" x14ac:dyDescent="0.2">
      <c r="A54" s="22">
        <v>45926</v>
      </c>
      <c r="B54" s="23">
        <v>7</v>
      </c>
      <c r="C54" s="23" t="s">
        <v>73</v>
      </c>
      <c r="D54" s="25">
        <v>0</v>
      </c>
      <c r="E54" s="25">
        <v>1</v>
      </c>
      <c r="F54" s="23" t="s">
        <v>58</v>
      </c>
      <c r="H54" s="27">
        <v>46</v>
      </c>
      <c r="I54" s="24">
        <v>54</v>
      </c>
      <c r="J54" s="28">
        <v>2.11</v>
      </c>
      <c r="K54" s="29">
        <v>1.67</v>
      </c>
      <c r="L54" s="30">
        <v>6</v>
      </c>
      <c r="M54" s="24">
        <v>2</v>
      </c>
      <c r="N54" s="30">
        <v>22</v>
      </c>
      <c r="O54" s="24">
        <v>7</v>
      </c>
      <c r="P54" s="30">
        <v>1</v>
      </c>
      <c r="Q54" s="24">
        <v>8</v>
      </c>
      <c r="R54" s="30">
        <v>0</v>
      </c>
      <c r="S54" s="24">
        <v>0</v>
      </c>
      <c r="T54" s="28">
        <v>0.53</v>
      </c>
      <c r="U54" s="31">
        <v>1.95</v>
      </c>
      <c r="V54" s="32">
        <v>6</v>
      </c>
      <c r="W54" s="24">
        <v>0</v>
      </c>
      <c r="X54" s="30">
        <v>14</v>
      </c>
      <c r="Y54" s="24">
        <v>16</v>
      </c>
      <c r="Z54" s="30">
        <v>454</v>
      </c>
      <c r="AA54" s="24">
        <v>557</v>
      </c>
      <c r="AB54" s="30">
        <v>7</v>
      </c>
      <c r="AC54" s="24">
        <v>12</v>
      </c>
      <c r="AD54" s="30">
        <v>16</v>
      </c>
      <c r="AE54" s="24">
        <v>14</v>
      </c>
      <c r="AF54" s="30">
        <v>2</v>
      </c>
      <c r="AG54" s="33">
        <v>1</v>
      </c>
      <c r="AH54" s="27">
        <v>0</v>
      </c>
      <c r="AI54" s="34">
        <v>0</v>
      </c>
      <c r="AJ54" s="27">
        <v>0</v>
      </c>
      <c r="AK54" s="34">
        <v>0</v>
      </c>
      <c r="AL54" s="35">
        <v>8</v>
      </c>
      <c r="AM54" s="36">
        <f t="shared" si="0"/>
        <v>0.36363636363636365</v>
      </c>
      <c r="AN54" s="37">
        <v>1</v>
      </c>
      <c r="AO54" s="37">
        <v>7</v>
      </c>
      <c r="AP54" s="37">
        <v>7</v>
      </c>
      <c r="AQ54" s="37">
        <v>17</v>
      </c>
      <c r="AR54" s="38">
        <f t="shared" si="1"/>
        <v>0.77272727272727271</v>
      </c>
      <c r="AS54" s="37">
        <v>5</v>
      </c>
      <c r="AT54" s="23">
        <v>2</v>
      </c>
      <c r="AU54" s="18">
        <f t="shared" si="2"/>
        <v>0.2857142857142857</v>
      </c>
      <c r="AV54" s="23">
        <v>0</v>
      </c>
      <c r="AW54" s="23">
        <v>4</v>
      </c>
      <c r="AX54" s="23">
        <v>1</v>
      </c>
      <c r="AY54" s="23">
        <v>3</v>
      </c>
      <c r="AZ54" s="18">
        <f t="shared" si="3"/>
        <v>0.42857142857142855</v>
      </c>
      <c r="BA54" s="39">
        <v>4</v>
      </c>
      <c r="BB54" s="40">
        <v>0</v>
      </c>
      <c r="BC54" s="41">
        <v>0</v>
      </c>
      <c r="BD54" s="42">
        <v>0</v>
      </c>
      <c r="BE54" s="43">
        <v>0</v>
      </c>
    </row>
    <row r="55" spans="1:57" x14ac:dyDescent="0.2">
      <c r="A55" s="22">
        <v>45927</v>
      </c>
      <c r="B55" s="23">
        <v>7</v>
      </c>
      <c r="C55" s="23" t="s">
        <v>66</v>
      </c>
      <c r="D55" s="25">
        <v>0</v>
      </c>
      <c r="E55" s="25">
        <v>0</v>
      </c>
      <c r="F55" s="23" t="s">
        <v>65</v>
      </c>
      <c r="H55" s="27">
        <v>58</v>
      </c>
      <c r="I55" s="24">
        <v>42</v>
      </c>
      <c r="J55" s="28">
        <v>0.46</v>
      </c>
      <c r="K55" s="29">
        <v>1.64</v>
      </c>
      <c r="L55" s="30">
        <v>2</v>
      </c>
      <c r="M55" s="24">
        <v>2</v>
      </c>
      <c r="N55" s="30">
        <v>6</v>
      </c>
      <c r="O55" s="24">
        <v>16</v>
      </c>
      <c r="P55" s="30">
        <v>2</v>
      </c>
      <c r="Q55" s="24">
        <v>2</v>
      </c>
      <c r="R55" s="30">
        <v>0</v>
      </c>
      <c r="S55" s="24">
        <v>0</v>
      </c>
      <c r="T55" s="28">
        <v>0.61</v>
      </c>
      <c r="U55" s="31">
        <v>0.13</v>
      </c>
      <c r="V55" s="32">
        <v>6</v>
      </c>
      <c r="W55" s="24">
        <v>3</v>
      </c>
      <c r="X55" s="30">
        <v>6</v>
      </c>
      <c r="Y55" s="24">
        <v>19</v>
      </c>
      <c r="Z55" s="30">
        <v>386</v>
      </c>
      <c r="AA55" s="24">
        <v>276</v>
      </c>
      <c r="AB55" s="30">
        <v>18</v>
      </c>
      <c r="AC55" s="24">
        <v>17</v>
      </c>
      <c r="AD55" s="30">
        <v>19</v>
      </c>
      <c r="AE55" s="24">
        <v>6</v>
      </c>
      <c r="AF55" s="30">
        <v>2</v>
      </c>
      <c r="AG55" s="33">
        <v>1</v>
      </c>
      <c r="AH55" s="27">
        <v>0</v>
      </c>
      <c r="AI55" s="34">
        <v>0</v>
      </c>
      <c r="AJ55" s="27">
        <v>0</v>
      </c>
      <c r="AK55" s="34">
        <v>0</v>
      </c>
      <c r="AL55" s="35">
        <v>2</v>
      </c>
      <c r="AM55" s="36">
        <f t="shared" si="0"/>
        <v>0.33333333333333331</v>
      </c>
      <c r="AN55" s="37">
        <v>0</v>
      </c>
      <c r="AO55" s="37">
        <v>2</v>
      </c>
      <c r="AP55" s="37">
        <v>2</v>
      </c>
      <c r="AQ55" s="37">
        <v>5</v>
      </c>
      <c r="AR55" s="38">
        <f t="shared" si="1"/>
        <v>0.83333333333333337</v>
      </c>
      <c r="AS55" s="37">
        <v>1</v>
      </c>
      <c r="AT55" s="23">
        <v>2</v>
      </c>
      <c r="AU55" s="18">
        <f t="shared" si="2"/>
        <v>0.125</v>
      </c>
      <c r="AV55" s="23">
        <v>0</v>
      </c>
      <c r="AW55" s="23">
        <v>8</v>
      </c>
      <c r="AX55" s="23">
        <v>6</v>
      </c>
      <c r="AY55" s="23">
        <v>8</v>
      </c>
      <c r="AZ55" s="18">
        <f t="shared" si="3"/>
        <v>0.5</v>
      </c>
      <c r="BA55" s="39">
        <v>8</v>
      </c>
      <c r="BB55" s="40">
        <v>1</v>
      </c>
      <c r="BC55" s="41">
        <v>0</v>
      </c>
      <c r="BD55" s="42">
        <v>1</v>
      </c>
      <c r="BE55" s="43">
        <v>0</v>
      </c>
    </row>
    <row r="56" spans="1:57" x14ac:dyDescent="0.2">
      <c r="A56" s="22">
        <v>45927</v>
      </c>
      <c r="B56" s="23">
        <v>7</v>
      </c>
      <c r="C56" s="23" t="s">
        <v>57</v>
      </c>
      <c r="D56" s="25">
        <v>2</v>
      </c>
      <c r="E56" s="25">
        <v>2</v>
      </c>
      <c r="F56" s="24" t="s">
        <v>60</v>
      </c>
      <c r="G56" s="26" t="s">
        <v>85</v>
      </c>
      <c r="H56" s="27">
        <v>70</v>
      </c>
      <c r="I56" s="24">
        <v>30</v>
      </c>
      <c r="J56" s="28">
        <v>2.4</v>
      </c>
      <c r="K56" s="29">
        <v>0.93</v>
      </c>
      <c r="L56" s="30">
        <v>2</v>
      </c>
      <c r="M56" s="24">
        <v>1</v>
      </c>
      <c r="N56" s="30">
        <v>30</v>
      </c>
      <c r="O56" s="24">
        <v>9</v>
      </c>
      <c r="P56" s="30">
        <v>1</v>
      </c>
      <c r="Q56" s="24">
        <v>5</v>
      </c>
      <c r="R56" s="30">
        <v>1</v>
      </c>
      <c r="S56" s="24">
        <v>2</v>
      </c>
      <c r="T56" s="28">
        <v>-0.12</v>
      </c>
      <c r="U56" s="31">
        <v>0.34</v>
      </c>
      <c r="V56" s="32">
        <v>13</v>
      </c>
      <c r="W56" s="24">
        <v>7</v>
      </c>
      <c r="X56" s="30">
        <v>4</v>
      </c>
      <c r="Y56" s="24">
        <v>22</v>
      </c>
      <c r="Z56" s="30">
        <v>515</v>
      </c>
      <c r="AA56" s="24">
        <v>226</v>
      </c>
      <c r="AB56" s="30">
        <v>12</v>
      </c>
      <c r="AC56" s="24">
        <v>21</v>
      </c>
      <c r="AD56" s="30">
        <v>22</v>
      </c>
      <c r="AE56" s="24">
        <v>4</v>
      </c>
      <c r="AF56" s="30">
        <v>3</v>
      </c>
      <c r="AG56" s="33">
        <v>6</v>
      </c>
      <c r="AH56" s="27">
        <v>0</v>
      </c>
      <c r="AI56" s="34">
        <v>1</v>
      </c>
      <c r="AJ56" s="27">
        <v>0</v>
      </c>
      <c r="AK56" s="34">
        <v>0</v>
      </c>
      <c r="AL56" s="35">
        <v>7</v>
      </c>
      <c r="AM56" s="36">
        <f t="shared" si="0"/>
        <v>0.23333333333333334</v>
      </c>
      <c r="AN56" s="37">
        <v>0</v>
      </c>
      <c r="AO56" s="37">
        <v>13</v>
      </c>
      <c r="AP56" s="37">
        <v>10</v>
      </c>
      <c r="AQ56" s="37">
        <v>19</v>
      </c>
      <c r="AR56" s="38">
        <f t="shared" si="1"/>
        <v>0.6333333333333333</v>
      </c>
      <c r="AS56" s="37">
        <v>11</v>
      </c>
      <c r="AT56" s="23">
        <v>3</v>
      </c>
      <c r="AU56" s="18">
        <f t="shared" si="2"/>
        <v>0.33333333333333331</v>
      </c>
      <c r="AV56" s="23">
        <v>0</v>
      </c>
      <c r="AW56" s="23">
        <v>5</v>
      </c>
      <c r="AX56" s="23">
        <v>1</v>
      </c>
      <c r="AY56" s="23">
        <v>4</v>
      </c>
      <c r="AZ56" s="18">
        <f t="shared" si="3"/>
        <v>0.44444444444444442</v>
      </c>
      <c r="BA56" s="39">
        <v>5</v>
      </c>
      <c r="BB56" s="40">
        <v>1</v>
      </c>
      <c r="BC56" s="41">
        <v>0</v>
      </c>
      <c r="BD56" s="42">
        <v>0</v>
      </c>
      <c r="BE56" s="43">
        <v>0</v>
      </c>
    </row>
    <row r="57" spans="1:57" x14ac:dyDescent="0.2">
      <c r="A57" s="22">
        <v>45927</v>
      </c>
      <c r="B57" s="23">
        <v>7</v>
      </c>
      <c r="C57" s="23" t="s">
        <v>70</v>
      </c>
      <c r="D57" s="25">
        <v>3</v>
      </c>
      <c r="E57" s="25">
        <v>4</v>
      </c>
      <c r="F57" s="23" t="s">
        <v>68</v>
      </c>
      <c r="H57" s="27">
        <v>44</v>
      </c>
      <c r="I57" s="24">
        <v>56</v>
      </c>
      <c r="J57" s="28">
        <v>1.6</v>
      </c>
      <c r="K57" s="29">
        <v>2.0099999999999998</v>
      </c>
      <c r="L57" s="30">
        <v>5</v>
      </c>
      <c r="M57" s="24">
        <v>4</v>
      </c>
      <c r="N57" s="30">
        <v>13</v>
      </c>
      <c r="O57" s="24">
        <v>22</v>
      </c>
      <c r="P57" s="30">
        <v>7</v>
      </c>
      <c r="Q57" s="24">
        <v>0</v>
      </c>
      <c r="R57" s="30">
        <v>1</v>
      </c>
      <c r="S57" s="24">
        <v>0</v>
      </c>
      <c r="T57" s="28">
        <v>-0.84</v>
      </c>
      <c r="U57" s="31">
        <v>-1.72</v>
      </c>
      <c r="V57" s="32">
        <v>1</v>
      </c>
      <c r="W57" s="24">
        <v>7</v>
      </c>
      <c r="X57" s="30">
        <v>18</v>
      </c>
      <c r="Y57" s="24">
        <v>13</v>
      </c>
      <c r="Z57" s="30">
        <v>348</v>
      </c>
      <c r="AA57" s="24">
        <v>436</v>
      </c>
      <c r="AB57" s="30">
        <v>21</v>
      </c>
      <c r="AC57" s="24">
        <v>11</v>
      </c>
      <c r="AD57" s="30">
        <v>13</v>
      </c>
      <c r="AE57" s="24">
        <v>17</v>
      </c>
      <c r="AF57" s="30">
        <v>4</v>
      </c>
      <c r="AG57" s="33">
        <v>1</v>
      </c>
      <c r="AH57" s="27">
        <v>0</v>
      </c>
      <c r="AI57" s="34">
        <v>0</v>
      </c>
      <c r="AJ57" s="27">
        <v>0</v>
      </c>
      <c r="AK57" s="34">
        <v>1</v>
      </c>
      <c r="AL57" s="35">
        <v>3</v>
      </c>
      <c r="AM57" s="36">
        <f t="shared" si="0"/>
        <v>0.23076923076923078</v>
      </c>
      <c r="AN57" s="37">
        <v>0</v>
      </c>
      <c r="AO57" s="37">
        <v>6</v>
      </c>
      <c r="AP57" s="37">
        <v>4</v>
      </c>
      <c r="AQ57" s="37">
        <v>9</v>
      </c>
      <c r="AR57" s="38">
        <f t="shared" si="1"/>
        <v>0.69230769230769229</v>
      </c>
      <c r="AS57" s="37">
        <v>4</v>
      </c>
      <c r="AT57" s="23">
        <v>11</v>
      </c>
      <c r="AU57" s="18">
        <f t="shared" si="2"/>
        <v>0.5</v>
      </c>
      <c r="AV57" s="23">
        <v>0</v>
      </c>
      <c r="AW57" s="23">
        <v>5</v>
      </c>
      <c r="AX57" s="23">
        <v>6</v>
      </c>
      <c r="AY57" s="23">
        <v>14</v>
      </c>
      <c r="AZ57" s="18">
        <f t="shared" si="3"/>
        <v>0.63636363636363635</v>
      </c>
      <c r="BA57" s="39">
        <v>8</v>
      </c>
      <c r="BB57" s="40">
        <v>1</v>
      </c>
      <c r="BC57" s="41">
        <v>0</v>
      </c>
      <c r="BD57" s="42">
        <v>0</v>
      </c>
      <c r="BE57" s="44">
        <v>1</v>
      </c>
    </row>
    <row r="58" spans="1:57" x14ac:dyDescent="0.2">
      <c r="A58" s="22">
        <v>45928</v>
      </c>
      <c r="B58" s="23">
        <v>7</v>
      </c>
      <c r="C58" s="23" t="s">
        <v>64</v>
      </c>
      <c r="D58" s="25">
        <v>1</v>
      </c>
      <c r="E58" s="25">
        <v>2</v>
      </c>
      <c r="F58" s="23" t="s">
        <v>63</v>
      </c>
      <c r="H58" s="27">
        <v>62</v>
      </c>
      <c r="I58" s="24">
        <v>38</v>
      </c>
      <c r="J58" s="28">
        <v>1.37</v>
      </c>
      <c r="K58" s="29">
        <v>0.36</v>
      </c>
      <c r="L58" s="30">
        <v>2</v>
      </c>
      <c r="M58" s="24">
        <v>0</v>
      </c>
      <c r="N58" s="30">
        <v>13</v>
      </c>
      <c r="O58" s="24">
        <v>8</v>
      </c>
      <c r="P58" s="30">
        <v>0</v>
      </c>
      <c r="Q58" s="24">
        <v>1</v>
      </c>
      <c r="R58" s="30">
        <v>1</v>
      </c>
      <c r="S58" s="24">
        <v>0</v>
      </c>
      <c r="T58" s="28">
        <v>-1.83</v>
      </c>
      <c r="U58" s="31">
        <v>-0.11</v>
      </c>
      <c r="V58" s="32">
        <v>1</v>
      </c>
      <c r="W58" s="24">
        <v>4</v>
      </c>
      <c r="X58" s="30">
        <v>8</v>
      </c>
      <c r="Y58" s="24">
        <v>17</v>
      </c>
      <c r="Z58" s="30">
        <v>495</v>
      </c>
      <c r="AA58" s="24">
        <v>288</v>
      </c>
      <c r="AB58" s="30">
        <v>14</v>
      </c>
      <c r="AC58" s="24">
        <v>27</v>
      </c>
      <c r="AD58" s="30">
        <v>17</v>
      </c>
      <c r="AE58" s="24">
        <v>8</v>
      </c>
      <c r="AF58" s="30">
        <v>1</v>
      </c>
      <c r="AG58" s="33">
        <v>2</v>
      </c>
      <c r="AH58" s="27">
        <v>0</v>
      </c>
      <c r="AI58" s="34">
        <v>0</v>
      </c>
      <c r="AJ58" s="27">
        <v>0</v>
      </c>
      <c r="AK58" s="34">
        <v>0</v>
      </c>
      <c r="AL58" s="35">
        <v>2</v>
      </c>
      <c r="AM58" s="36">
        <f t="shared" si="0"/>
        <v>0.15384615384615385</v>
      </c>
      <c r="AN58" s="37">
        <v>0</v>
      </c>
      <c r="AO58" s="37">
        <v>4</v>
      </c>
      <c r="AP58" s="37">
        <v>7</v>
      </c>
      <c r="AQ58" s="37">
        <v>6</v>
      </c>
      <c r="AR58" s="38">
        <f t="shared" si="1"/>
        <v>0.46153846153846156</v>
      </c>
      <c r="AS58" s="37">
        <v>7</v>
      </c>
      <c r="AT58" s="23">
        <v>2</v>
      </c>
      <c r="AU58" s="18">
        <f t="shared" si="2"/>
        <v>0.25</v>
      </c>
      <c r="AV58" s="23">
        <v>0</v>
      </c>
      <c r="AW58" s="23">
        <v>3</v>
      </c>
      <c r="AX58" s="23">
        <v>3</v>
      </c>
      <c r="AY58" s="23">
        <v>6</v>
      </c>
      <c r="AZ58" s="18">
        <f t="shared" si="3"/>
        <v>0.75</v>
      </c>
      <c r="BA58" s="39">
        <v>2</v>
      </c>
      <c r="BB58" s="40">
        <v>0</v>
      </c>
      <c r="BC58" s="45">
        <v>2</v>
      </c>
      <c r="BD58" s="42">
        <v>0</v>
      </c>
      <c r="BE58" s="43">
        <v>0</v>
      </c>
    </row>
    <row r="59" spans="1:57" x14ac:dyDescent="0.2">
      <c r="A59" s="22">
        <v>45928</v>
      </c>
      <c r="B59" s="23">
        <v>7</v>
      </c>
      <c r="C59" s="24" t="s">
        <v>67</v>
      </c>
      <c r="D59" s="25">
        <v>2</v>
      </c>
      <c r="E59" s="25">
        <v>1</v>
      </c>
      <c r="F59" s="23" t="s">
        <v>76</v>
      </c>
      <c r="G59" s="26" t="s">
        <v>86</v>
      </c>
      <c r="H59" s="27">
        <v>30</v>
      </c>
      <c r="I59" s="24">
        <v>70</v>
      </c>
      <c r="J59" s="28">
        <v>0.97</v>
      </c>
      <c r="K59" s="29">
        <v>1.87</v>
      </c>
      <c r="L59" s="30">
        <v>1</v>
      </c>
      <c r="M59" s="24">
        <v>2</v>
      </c>
      <c r="N59" s="30">
        <v>13</v>
      </c>
      <c r="O59" s="24">
        <v>17</v>
      </c>
      <c r="P59" s="30">
        <v>3</v>
      </c>
      <c r="Q59" s="24">
        <v>4</v>
      </c>
      <c r="R59" s="30">
        <v>1</v>
      </c>
      <c r="S59" s="24">
        <v>1</v>
      </c>
      <c r="T59" s="28">
        <v>-0.38</v>
      </c>
      <c r="U59" s="31">
        <v>-0.96</v>
      </c>
      <c r="V59" s="32">
        <v>2</v>
      </c>
      <c r="W59" s="24">
        <v>11</v>
      </c>
      <c r="X59" s="30">
        <v>15</v>
      </c>
      <c r="Y59" s="24">
        <v>7</v>
      </c>
      <c r="Z59" s="30">
        <v>231</v>
      </c>
      <c r="AA59" s="24">
        <v>536</v>
      </c>
      <c r="AB59" s="30">
        <v>13</v>
      </c>
      <c r="AC59" s="24">
        <v>13</v>
      </c>
      <c r="AD59" s="30">
        <v>7</v>
      </c>
      <c r="AE59" s="24">
        <v>15</v>
      </c>
      <c r="AF59" s="30">
        <v>4</v>
      </c>
      <c r="AG59" s="33">
        <v>0</v>
      </c>
      <c r="AH59" s="27">
        <v>1</v>
      </c>
      <c r="AI59" s="34">
        <v>0</v>
      </c>
      <c r="AJ59" s="27">
        <v>0</v>
      </c>
      <c r="AK59" s="34">
        <v>0</v>
      </c>
      <c r="AL59" s="35">
        <v>5</v>
      </c>
      <c r="AM59" s="36">
        <f t="shared" si="0"/>
        <v>0.38461538461538464</v>
      </c>
      <c r="AN59" s="37">
        <v>1</v>
      </c>
      <c r="AO59" s="37">
        <v>3</v>
      </c>
      <c r="AP59" s="37">
        <v>5</v>
      </c>
      <c r="AQ59" s="37">
        <v>7</v>
      </c>
      <c r="AR59" s="38">
        <f t="shared" si="1"/>
        <v>0.53846153846153844</v>
      </c>
      <c r="AS59" s="37">
        <v>6</v>
      </c>
      <c r="AT59" s="23">
        <v>4</v>
      </c>
      <c r="AU59" s="18">
        <f t="shared" si="2"/>
        <v>0.23529411764705882</v>
      </c>
      <c r="AV59" s="23">
        <v>1</v>
      </c>
      <c r="AW59" s="23">
        <v>10</v>
      </c>
      <c r="AX59" s="23">
        <v>3</v>
      </c>
      <c r="AY59" s="23">
        <v>14</v>
      </c>
      <c r="AZ59" s="18">
        <f t="shared" si="3"/>
        <v>0.82352941176470584</v>
      </c>
      <c r="BA59" s="39">
        <v>3</v>
      </c>
      <c r="BB59" s="40">
        <v>0</v>
      </c>
      <c r="BC59" s="41">
        <v>0</v>
      </c>
      <c r="BD59" s="42">
        <v>0</v>
      </c>
      <c r="BE59" s="43">
        <v>0</v>
      </c>
    </row>
    <row r="60" spans="1:57" x14ac:dyDescent="0.2">
      <c r="A60" s="22">
        <v>45928</v>
      </c>
      <c r="B60" s="23">
        <v>7</v>
      </c>
      <c r="C60" s="23" t="s">
        <v>74</v>
      </c>
      <c r="D60" s="25">
        <v>2</v>
      </c>
      <c r="E60" s="25">
        <v>0</v>
      </c>
      <c r="F60" s="23" t="s">
        <v>62</v>
      </c>
      <c r="H60" s="27">
        <v>67</v>
      </c>
      <c r="I60" s="24">
        <v>33</v>
      </c>
      <c r="J60" s="28">
        <v>2.65</v>
      </c>
      <c r="K60" s="29">
        <v>0.24</v>
      </c>
      <c r="L60" s="30">
        <v>4</v>
      </c>
      <c r="M60" s="24">
        <v>1</v>
      </c>
      <c r="N60" s="30">
        <v>19</v>
      </c>
      <c r="O60" s="24">
        <v>4</v>
      </c>
      <c r="P60" s="30">
        <v>2</v>
      </c>
      <c r="Q60" s="24">
        <v>9</v>
      </c>
      <c r="R60" s="30">
        <v>0</v>
      </c>
      <c r="S60" s="24">
        <v>0</v>
      </c>
      <c r="T60" s="28">
        <v>0.09</v>
      </c>
      <c r="U60" s="31">
        <v>0.82</v>
      </c>
      <c r="V60" s="32">
        <v>5</v>
      </c>
      <c r="W60" s="24">
        <v>3</v>
      </c>
      <c r="X60" s="30">
        <v>19</v>
      </c>
      <c r="Y60" s="24">
        <v>14</v>
      </c>
      <c r="Z60" s="30">
        <v>567</v>
      </c>
      <c r="AA60" s="24">
        <v>291</v>
      </c>
      <c r="AB60" s="30">
        <v>23</v>
      </c>
      <c r="AC60" s="24">
        <v>18</v>
      </c>
      <c r="AD60" s="30">
        <v>13</v>
      </c>
      <c r="AE60" s="24">
        <v>19</v>
      </c>
      <c r="AF60" s="30">
        <v>4</v>
      </c>
      <c r="AG60" s="33">
        <v>6</v>
      </c>
      <c r="AH60" s="27">
        <v>0</v>
      </c>
      <c r="AI60" s="34">
        <v>0</v>
      </c>
      <c r="AJ60" s="27">
        <v>1</v>
      </c>
      <c r="AK60" s="34">
        <v>0</v>
      </c>
      <c r="AL60" s="35">
        <v>11</v>
      </c>
      <c r="AM60" s="36">
        <f t="shared" si="0"/>
        <v>0.57894736842105265</v>
      </c>
      <c r="AN60" s="37">
        <v>0</v>
      </c>
      <c r="AO60" s="37">
        <v>7</v>
      </c>
      <c r="AP60" s="37">
        <v>1</v>
      </c>
      <c r="AQ60" s="37">
        <v>8</v>
      </c>
      <c r="AR60" s="38">
        <f t="shared" si="1"/>
        <v>0.42105263157894735</v>
      </c>
      <c r="AS60" s="37">
        <v>11</v>
      </c>
      <c r="AT60" s="23">
        <v>2</v>
      </c>
      <c r="AU60" s="18">
        <f t="shared" si="2"/>
        <v>0.5</v>
      </c>
      <c r="AV60" s="23">
        <v>0</v>
      </c>
      <c r="AW60" s="23">
        <v>1</v>
      </c>
      <c r="AX60" s="23">
        <v>1</v>
      </c>
      <c r="AY60" s="23">
        <v>1</v>
      </c>
      <c r="AZ60" s="18">
        <f t="shared" si="3"/>
        <v>0.25</v>
      </c>
      <c r="BA60" s="39">
        <v>3</v>
      </c>
      <c r="BB60" s="40">
        <v>0</v>
      </c>
      <c r="BC60" s="41">
        <v>0</v>
      </c>
      <c r="BD60" s="42">
        <v>2</v>
      </c>
      <c r="BE60" s="44">
        <v>1</v>
      </c>
    </row>
    <row r="61" spans="1:57" x14ac:dyDescent="0.2">
      <c r="A61" s="22">
        <v>45928</v>
      </c>
      <c r="B61" s="23">
        <v>7</v>
      </c>
      <c r="C61" s="23" t="s">
        <v>77</v>
      </c>
      <c r="D61" s="25">
        <v>1</v>
      </c>
      <c r="E61" s="25">
        <v>1</v>
      </c>
      <c r="F61" s="24" t="s">
        <v>61</v>
      </c>
      <c r="G61" s="26" t="s">
        <v>87</v>
      </c>
      <c r="H61" s="27">
        <v>72</v>
      </c>
      <c r="I61" s="24">
        <v>28</v>
      </c>
      <c r="J61" s="28">
        <v>2.44</v>
      </c>
      <c r="K61" s="29">
        <v>0.14000000000000001</v>
      </c>
      <c r="L61" s="30">
        <v>3</v>
      </c>
      <c r="M61" s="24">
        <v>0</v>
      </c>
      <c r="N61" s="30">
        <v>23</v>
      </c>
      <c r="O61" s="24">
        <v>2</v>
      </c>
      <c r="P61" s="30">
        <v>0</v>
      </c>
      <c r="Q61" s="24">
        <v>5</v>
      </c>
      <c r="R61" s="30">
        <v>0</v>
      </c>
      <c r="S61" s="24">
        <v>2</v>
      </c>
      <c r="T61" s="28">
        <v>-0.78</v>
      </c>
      <c r="U61" s="31">
        <v>1.64</v>
      </c>
      <c r="V61" s="32">
        <v>10</v>
      </c>
      <c r="W61" s="24">
        <v>0</v>
      </c>
      <c r="X61" s="30">
        <v>16</v>
      </c>
      <c r="Y61" s="24">
        <v>16</v>
      </c>
      <c r="Z61" s="30">
        <v>440</v>
      </c>
      <c r="AA61" s="24">
        <v>183</v>
      </c>
      <c r="AB61" s="30">
        <v>11</v>
      </c>
      <c r="AC61" s="24">
        <v>10</v>
      </c>
      <c r="AD61" s="30">
        <v>16</v>
      </c>
      <c r="AE61" s="24">
        <v>16</v>
      </c>
      <c r="AF61" s="30">
        <v>4</v>
      </c>
      <c r="AG61" s="33">
        <v>3</v>
      </c>
      <c r="AH61" s="27">
        <v>0</v>
      </c>
      <c r="AI61" s="34">
        <v>2</v>
      </c>
      <c r="AJ61" s="27">
        <v>0</v>
      </c>
      <c r="AK61" s="34">
        <v>0</v>
      </c>
      <c r="AL61" s="35">
        <v>6</v>
      </c>
      <c r="AM61" s="36">
        <f t="shared" si="0"/>
        <v>0.2608695652173913</v>
      </c>
      <c r="AN61" s="37">
        <v>1</v>
      </c>
      <c r="AO61" s="37">
        <v>14</v>
      </c>
      <c r="AP61" s="37">
        <v>3</v>
      </c>
      <c r="AQ61" s="37">
        <v>15</v>
      </c>
      <c r="AR61" s="38">
        <f t="shared" si="1"/>
        <v>0.65217391304347827</v>
      </c>
      <c r="AS61" s="37">
        <v>8</v>
      </c>
      <c r="AT61" s="23">
        <v>1</v>
      </c>
      <c r="AU61" s="18">
        <f t="shared" si="2"/>
        <v>0.5</v>
      </c>
      <c r="AV61" s="23">
        <v>0</v>
      </c>
      <c r="AW61" s="23">
        <v>1</v>
      </c>
      <c r="AX61" s="23">
        <v>0</v>
      </c>
      <c r="AY61" s="23">
        <v>1</v>
      </c>
      <c r="AZ61" s="18">
        <f t="shared" si="3"/>
        <v>0.5</v>
      </c>
      <c r="BA61" s="39">
        <v>1</v>
      </c>
      <c r="BB61" s="40">
        <v>0</v>
      </c>
      <c r="BC61" s="41">
        <v>0</v>
      </c>
      <c r="BD61" s="42">
        <v>2</v>
      </c>
      <c r="BE61" s="43">
        <v>0</v>
      </c>
    </row>
    <row r="62" spans="1:57" x14ac:dyDescent="0.2">
      <c r="A62" s="22">
        <v>45929</v>
      </c>
      <c r="B62" s="23">
        <v>7</v>
      </c>
      <c r="C62" s="23" t="s">
        <v>78</v>
      </c>
      <c r="D62" s="25">
        <v>3</v>
      </c>
      <c r="E62" s="25">
        <v>1</v>
      </c>
      <c r="F62" s="23" t="s">
        <v>69</v>
      </c>
      <c r="H62" s="27">
        <v>42</v>
      </c>
      <c r="I62" s="24">
        <v>58</v>
      </c>
      <c r="J62" s="28">
        <v>2.5099999999999998</v>
      </c>
      <c r="K62" s="29">
        <v>0.28999999999999998</v>
      </c>
      <c r="L62" s="30">
        <v>3</v>
      </c>
      <c r="M62" s="24">
        <v>0</v>
      </c>
      <c r="N62" s="30">
        <v>13</v>
      </c>
      <c r="O62" s="24">
        <v>6</v>
      </c>
      <c r="P62" s="30">
        <v>0</v>
      </c>
      <c r="Q62" s="24">
        <v>4</v>
      </c>
      <c r="R62" s="30">
        <v>0</v>
      </c>
      <c r="S62" s="24">
        <v>1</v>
      </c>
      <c r="T62" s="28">
        <v>-0.56000000000000005</v>
      </c>
      <c r="U62" s="31">
        <v>-0.06</v>
      </c>
      <c r="V62" s="32">
        <v>3</v>
      </c>
      <c r="W62" s="24">
        <v>6</v>
      </c>
      <c r="X62" s="30">
        <v>18</v>
      </c>
      <c r="Y62" s="24">
        <v>14</v>
      </c>
      <c r="Z62" s="30">
        <v>347</v>
      </c>
      <c r="AA62" s="24">
        <v>477</v>
      </c>
      <c r="AB62" s="30">
        <v>22</v>
      </c>
      <c r="AC62" s="24">
        <v>11</v>
      </c>
      <c r="AD62" s="30">
        <v>14</v>
      </c>
      <c r="AE62" s="24">
        <v>18</v>
      </c>
      <c r="AF62" s="30">
        <v>1</v>
      </c>
      <c r="AG62" s="33">
        <v>4</v>
      </c>
      <c r="AH62" s="27">
        <v>0</v>
      </c>
      <c r="AI62" s="34">
        <v>0</v>
      </c>
      <c r="AJ62" s="27">
        <v>0</v>
      </c>
      <c r="AK62" s="34">
        <v>0</v>
      </c>
      <c r="AL62" s="35">
        <v>6</v>
      </c>
      <c r="AM62" s="36">
        <f t="shared" si="0"/>
        <v>0.46153846153846156</v>
      </c>
      <c r="AN62" s="37">
        <v>0</v>
      </c>
      <c r="AO62" s="37">
        <v>2</v>
      </c>
      <c r="AP62" s="37">
        <v>5</v>
      </c>
      <c r="AQ62" s="37">
        <v>11</v>
      </c>
      <c r="AR62" s="38">
        <f t="shared" si="1"/>
        <v>0.84615384615384615</v>
      </c>
      <c r="AS62" s="37">
        <v>2</v>
      </c>
      <c r="AT62" s="23">
        <v>1</v>
      </c>
      <c r="AU62" s="18">
        <f t="shared" si="2"/>
        <v>0.16666666666666666</v>
      </c>
      <c r="AV62" s="23">
        <v>0</v>
      </c>
      <c r="AW62" s="23">
        <v>4</v>
      </c>
      <c r="AX62" s="23">
        <v>1</v>
      </c>
      <c r="AY62" s="23">
        <v>5</v>
      </c>
      <c r="AZ62" s="18">
        <f t="shared" si="3"/>
        <v>0.83333333333333337</v>
      </c>
      <c r="BA62" s="39">
        <v>1</v>
      </c>
      <c r="BB62" s="40">
        <v>0</v>
      </c>
      <c r="BC62" s="41">
        <v>0</v>
      </c>
      <c r="BD62" s="42">
        <v>0</v>
      </c>
      <c r="BE62" s="44">
        <v>2</v>
      </c>
    </row>
    <row r="63" spans="1:57" x14ac:dyDescent="0.2">
      <c r="A63" s="22">
        <v>45933</v>
      </c>
      <c r="B63" s="23">
        <v>8</v>
      </c>
      <c r="C63" s="24" t="s">
        <v>62</v>
      </c>
      <c r="D63" s="25">
        <v>2</v>
      </c>
      <c r="E63" s="25">
        <v>5</v>
      </c>
      <c r="F63" s="23" t="s">
        <v>64</v>
      </c>
      <c r="G63" s="46" t="s">
        <v>88</v>
      </c>
      <c r="H63" s="27">
        <v>51</v>
      </c>
      <c r="I63" s="24">
        <v>49</v>
      </c>
      <c r="J63" s="28">
        <v>1.04</v>
      </c>
      <c r="K63" s="29">
        <v>1.71</v>
      </c>
      <c r="L63" s="30">
        <v>2</v>
      </c>
      <c r="M63" s="24">
        <v>3</v>
      </c>
      <c r="N63" s="30">
        <v>15</v>
      </c>
      <c r="O63" s="24">
        <v>14</v>
      </c>
      <c r="P63" s="30">
        <v>2</v>
      </c>
      <c r="Q63" s="24">
        <v>5</v>
      </c>
      <c r="R63" s="30">
        <v>0</v>
      </c>
      <c r="S63" s="24">
        <v>1</v>
      </c>
      <c r="T63" s="28">
        <v>-2.11</v>
      </c>
      <c r="U63" s="31">
        <v>-0.31</v>
      </c>
      <c r="V63" s="32">
        <v>6</v>
      </c>
      <c r="W63" s="24">
        <v>2</v>
      </c>
      <c r="X63" s="30">
        <v>10</v>
      </c>
      <c r="Y63" s="24">
        <v>16</v>
      </c>
      <c r="Z63" s="30">
        <v>453</v>
      </c>
      <c r="AA63" s="24">
        <v>441</v>
      </c>
      <c r="AB63" s="30">
        <v>17</v>
      </c>
      <c r="AC63" s="24">
        <v>17</v>
      </c>
      <c r="AD63" s="30">
        <v>16</v>
      </c>
      <c r="AE63" s="24">
        <v>10</v>
      </c>
      <c r="AF63" s="30">
        <v>2</v>
      </c>
      <c r="AG63" s="33">
        <v>4</v>
      </c>
      <c r="AH63" s="27">
        <v>1</v>
      </c>
      <c r="AI63" s="34">
        <v>0</v>
      </c>
      <c r="AJ63" s="27">
        <v>0</v>
      </c>
      <c r="AK63" s="34">
        <v>0</v>
      </c>
      <c r="AL63" s="35">
        <v>7</v>
      </c>
      <c r="AM63" s="36">
        <f t="shared" si="0"/>
        <v>0.46666666666666667</v>
      </c>
      <c r="AN63" s="37">
        <v>0</v>
      </c>
      <c r="AO63" s="37">
        <v>3</v>
      </c>
      <c r="AP63" s="37">
        <v>5</v>
      </c>
      <c r="AQ63" s="37">
        <v>11</v>
      </c>
      <c r="AR63" s="38">
        <f t="shared" si="1"/>
        <v>0.73333333333333328</v>
      </c>
      <c r="AS63" s="37">
        <v>4</v>
      </c>
      <c r="AT63" s="23">
        <v>7</v>
      </c>
      <c r="AU63" s="18">
        <f t="shared" si="2"/>
        <v>0.5</v>
      </c>
      <c r="AV63" s="23">
        <v>0</v>
      </c>
      <c r="AW63" s="23">
        <v>5</v>
      </c>
      <c r="AX63" s="23">
        <v>2</v>
      </c>
      <c r="AY63" s="23">
        <v>10</v>
      </c>
      <c r="AZ63" s="18">
        <f t="shared" si="3"/>
        <v>0.7142857142857143</v>
      </c>
      <c r="BA63" s="39">
        <v>4</v>
      </c>
      <c r="BB63" s="40">
        <v>0</v>
      </c>
      <c r="BC63" s="45">
        <v>2</v>
      </c>
      <c r="BD63" s="42">
        <v>1</v>
      </c>
      <c r="BE63" s="43">
        <v>0</v>
      </c>
    </row>
    <row r="64" spans="1:57" x14ac:dyDescent="0.2">
      <c r="A64" s="22">
        <v>45933</v>
      </c>
      <c r="B64" s="23">
        <v>8</v>
      </c>
      <c r="C64" s="23" t="s">
        <v>68</v>
      </c>
      <c r="D64" s="25">
        <v>4</v>
      </c>
      <c r="E64" s="25">
        <v>0</v>
      </c>
      <c r="F64" s="23" t="s">
        <v>77</v>
      </c>
      <c r="H64" s="27">
        <v>52</v>
      </c>
      <c r="I64" s="24">
        <v>48</v>
      </c>
      <c r="J64" s="28">
        <v>3.64</v>
      </c>
      <c r="K64" s="29">
        <v>1.18</v>
      </c>
      <c r="L64" s="30">
        <v>8</v>
      </c>
      <c r="M64" s="24">
        <v>2</v>
      </c>
      <c r="N64" s="30">
        <v>25</v>
      </c>
      <c r="O64" s="24">
        <v>17</v>
      </c>
      <c r="P64" s="30">
        <v>7</v>
      </c>
      <c r="Q64" s="24">
        <v>8</v>
      </c>
      <c r="R64" s="30">
        <v>2</v>
      </c>
      <c r="S64" s="24">
        <v>1</v>
      </c>
      <c r="T64" s="28">
        <v>1.63</v>
      </c>
      <c r="U64" s="31">
        <v>-0.35</v>
      </c>
      <c r="V64" s="32">
        <v>6</v>
      </c>
      <c r="W64" s="24">
        <v>2</v>
      </c>
      <c r="X64" s="30">
        <v>15</v>
      </c>
      <c r="Y64" s="24">
        <v>14</v>
      </c>
      <c r="Z64" s="30">
        <v>430</v>
      </c>
      <c r="AA64" s="24">
        <v>397</v>
      </c>
      <c r="AB64" s="30">
        <v>8</v>
      </c>
      <c r="AC64" s="24">
        <v>14</v>
      </c>
      <c r="AD64" s="30">
        <v>13</v>
      </c>
      <c r="AE64" s="24">
        <v>15</v>
      </c>
      <c r="AF64" s="30">
        <v>0</v>
      </c>
      <c r="AG64" s="33">
        <v>2</v>
      </c>
      <c r="AH64" s="27">
        <v>0</v>
      </c>
      <c r="AI64" s="34">
        <v>0</v>
      </c>
      <c r="AJ64" s="27">
        <v>1</v>
      </c>
      <c r="AK64" s="34">
        <v>0</v>
      </c>
      <c r="AL64" s="35">
        <v>12</v>
      </c>
      <c r="AM64" s="36">
        <f t="shared" si="0"/>
        <v>0.48</v>
      </c>
      <c r="AN64" s="37">
        <v>3</v>
      </c>
      <c r="AO64" s="37">
        <v>9</v>
      </c>
      <c r="AP64" s="37">
        <v>4</v>
      </c>
      <c r="AQ64" s="37">
        <v>18</v>
      </c>
      <c r="AR64" s="38">
        <f t="shared" si="1"/>
        <v>0.72</v>
      </c>
      <c r="AS64" s="37">
        <v>7</v>
      </c>
      <c r="AT64" s="23">
        <v>7</v>
      </c>
      <c r="AU64" s="18">
        <f t="shared" si="2"/>
        <v>0.41176470588235292</v>
      </c>
      <c r="AV64" s="23">
        <v>1</v>
      </c>
      <c r="AW64" s="23">
        <v>7</v>
      </c>
      <c r="AX64" s="23">
        <v>3</v>
      </c>
      <c r="AY64" s="23">
        <v>11</v>
      </c>
      <c r="AZ64" s="18">
        <f t="shared" si="3"/>
        <v>0.6470588235294118</v>
      </c>
      <c r="BA64" s="39">
        <v>6</v>
      </c>
      <c r="BB64" s="40">
        <v>1</v>
      </c>
      <c r="BC64" s="41">
        <v>0</v>
      </c>
      <c r="BD64" s="42">
        <v>1</v>
      </c>
      <c r="BE64" s="44">
        <v>1</v>
      </c>
    </row>
    <row r="65" spans="1:57" x14ac:dyDescent="0.2">
      <c r="A65" s="22">
        <v>45934</v>
      </c>
      <c r="B65" s="23">
        <v>8</v>
      </c>
      <c r="C65" s="23" t="s">
        <v>61</v>
      </c>
      <c r="D65" s="25">
        <v>2</v>
      </c>
      <c r="E65" s="25">
        <v>2</v>
      </c>
      <c r="F65" s="23" t="s">
        <v>73</v>
      </c>
      <c r="H65" s="27">
        <v>55</v>
      </c>
      <c r="I65" s="24">
        <v>45</v>
      </c>
      <c r="J65" s="28">
        <v>1.81</v>
      </c>
      <c r="K65" s="29">
        <v>1.04</v>
      </c>
      <c r="L65" s="30">
        <v>3</v>
      </c>
      <c r="M65" s="24">
        <v>2</v>
      </c>
      <c r="N65" s="30">
        <v>11</v>
      </c>
      <c r="O65" s="24">
        <v>12</v>
      </c>
      <c r="P65" s="30">
        <v>4</v>
      </c>
      <c r="Q65" s="24">
        <v>5</v>
      </c>
      <c r="R65" s="30">
        <v>4</v>
      </c>
      <c r="S65" s="24">
        <v>1</v>
      </c>
      <c r="T65" s="28">
        <v>-0.92</v>
      </c>
      <c r="U65" s="31">
        <v>1.06</v>
      </c>
      <c r="V65" s="32">
        <v>7</v>
      </c>
      <c r="W65" s="24">
        <v>5</v>
      </c>
      <c r="X65" s="30">
        <v>15</v>
      </c>
      <c r="Y65" s="24">
        <v>17</v>
      </c>
      <c r="Z65" s="30">
        <v>394</v>
      </c>
      <c r="AA65" s="24">
        <v>332</v>
      </c>
      <c r="AB65" s="30">
        <v>15</v>
      </c>
      <c r="AC65" s="24">
        <v>14</v>
      </c>
      <c r="AD65" s="30">
        <v>16</v>
      </c>
      <c r="AE65" s="24">
        <v>15</v>
      </c>
      <c r="AF65" s="30">
        <v>2</v>
      </c>
      <c r="AG65" s="33">
        <v>3</v>
      </c>
      <c r="AH65" s="27">
        <v>0</v>
      </c>
      <c r="AI65" s="34">
        <v>0</v>
      </c>
      <c r="AJ65" s="27">
        <v>1</v>
      </c>
      <c r="AK65" s="34">
        <v>0</v>
      </c>
      <c r="AL65" s="35">
        <v>7</v>
      </c>
      <c r="AM65" s="36">
        <f t="shared" si="0"/>
        <v>0.63636363636363635</v>
      </c>
      <c r="AN65" s="37">
        <v>0</v>
      </c>
      <c r="AO65" s="37">
        <v>4</v>
      </c>
      <c r="AP65" s="37">
        <v>0</v>
      </c>
      <c r="AQ65" s="37">
        <v>7</v>
      </c>
      <c r="AR65" s="38">
        <f t="shared" si="1"/>
        <v>0.63636363636363635</v>
      </c>
      <c r="AS65" s="37">
        <v>4</v>
      </c>
      <c r="AT65" s="23">
        <v>6</v>
      </c>
      <c r="AU65" s="18">
        <f t="shared" si="2"/>
        <v>0.5</v>
      </c>
      <c r="AV65" s="23">
        <v>0</v>
      </c>
      <c r="AW65" s="23">
        <v>6</v>
      </c>
      <c r="AX65" s="23">
        <v>0</v>
      </c>
      <c r="AY65" s="23">
        <v>6</v>
      </c>
      <c r="AZ65" s="18">
        <f t="shared" si="3"/>
        <v>0.5</v>
      </c>
      <c r="BA65" s="39">
        <v>6</v>
      </c>
      <c r="BB65" s="40">
        <v>1</v>
      </c>
      <c r="BC65" s="41">
        <v>0</v>
      </c>
      <c r="BD65" s="42">
        <v>0</v>
      </c>
      <c r="BE65" s="43">
        <v>0</v>
      </c>
    </row>
    <row r="66" spans="1:57" x14ac:dyDescent="0.2">
      <c r="A66" s="22">
        <v>45934</v>
      </c>
      <c r="B66" s="23">
        <v>8</v>
      </c>
      <c r="C66" s="23" t="s">
        <v>69</v>
      </c>
      <c r="D66" s="25">
        <v>1</v>
      </c>
      <c r="E66" s="25">
        <v>0</v>
      </c>
      <c r="F66" s="23" t="s">
        <v>66</v>
      </c>
      <c r="H66" s="27">
        <v>46</v>
      </c>
      <c r="I66" s="24">
        <v>54</v>
      </c>
      <c r="J66" s="28">
        <v>1.21</v>
      </c>
      <c r="K66" s="29">
        <v>0.57999999999999996</v>
      </c>
      <c r="L66" s="30">
        <v>1</v>
      </c>
      <c r="M66" s="24">
        <v>0</v>
      </c>
      <c r="N66" s="30">
        <v>9</v>
      </c>
      <c r="O66" s="24">
        <v>13</v>
      </c>
      <c r="P66" s="30">
        <v>6</v>
      </c>
      <c r="Q66" s="24">
        <v>2</v>
      </c>
      <c r="R66" s="30">
        <v>3</v>
      </c>
      <c r="S66" s="24">
        <v>1</v>
      </c>
      <c r="T66" s="28">
        <v>0.42</v>
      </c>
      <c r="U66" s="31">
        <v>-0.02</v>
      </c>
      <c r="V66" s="32">
        <v>3</v>
      </c>
      <c r="W66" s="24">
        <v>3</v>
      </c>
      <c r="X66" s="30">
        <v>18</v>
      </c>
      <c r="Y66" s="24">
        <v>17</v>
      </c>
      <c r="Z66" s="30">
        <v>310</v>
      </c>
      <c r="AA66" s="24">
        <v>351</v>
      </c>
      <c r="AB66" s="30">
        <v>17</v>
      </c>
      <c r="AC66" s="24">
        <v>19</v>
      </c>
      <c r="AD66" s="30">
        <v>16</v>
      </c>
      <c r="AE66" s="24">
        <v>18</v>
      </c>
      <c r="AF66" s="30">
        <v>3</v>
      </c>
      <c r="AG66" s="33">
        <v>3</v>
      </c>
      <c r="AH66" s="27">
        <v>0</v>
      </c>
      <c r="AI66" s="34">
        <v>0</v>
      </c>
      <c r="AJ66" s="27">
        <v>1</v>
      </c>
      <c r="AK66" s="34">
        <v>0</v>
      </c>
      <c r="AL66" s="35">
        <v>4</v>
      </c>
      <c r="AM66" s="36">
        <f t="shared" si="0"/>
        <v>0.44444444444444442</v>
      </c>
      <c r="AN66" s="37">
        <v>0</v>
      </c>
      <c r="AO66" s="37">
        <v>1</v>
      </c>
      <c r="AP66" s="37">
        <v>4</v>
      </c>
      <c r="AQ66" s="37">
        <v>4</v>
      </c>
      <c r="AR66" s="38">
        <f t="shared" si="1"/>
        <v>0.44444444444444442</v>
      </c>
      <c r="AS66" s="37">
        <v>5</v>
      </c>
      <c r="AT66" s="23">
        <v>7</v>
      </c>
      <c r="AU66" s="18">
        <f t="shared" si="2"/>
        <v>0.53846153846153844</v>
      </c>
      <c r="AV66" s="23">
        <v>0</v>
      </c>
      <c r="AW66" s="23">
        <v>1</v>
      </c>
      <c r="AX66" s="23">
        <v>5</v>
      </c>
      <c r="AY66" s="23">
        <v>4</v>
      </c>
      <c r="AZ66" s="18">
        <f t="shared" si="3"/>
        <v>0.30769230769230771</v>
      </c>
      <c r="BA66" s="39">
        <v>9</v>
      </c>
      <c r="BB66" s="40">
        <v>0</v>
      </c>
      <c r="BC66" s="41">
        <v>0</v>
      </c>
      <c r="BD66" s="42">
        <v>1</v>
      </c>
      <c r="BE66" s="43">
        <v>0</v>
      </c>
    </row>
    <row r="67" spans="1:57" x14ac:dyDescent="0.2">
      <c r="A67" s="22">
        <v>45934</v>
      </c>
      <c r="B67" s="23">
        <v>8</v>
      </c>
      <c r="C67" s="24" t="s">
        <v>58</v>
      </c>
      <c r="D67" s="25">
        <v>1</v>
      </c>
      <c r="E67" s="25">
        <v>1</v>
      </c>
      <c r="F67" s="23" t="s">
        <v>78</v>
      </c>
      <c r="G67" s="26" t="s">
        <v>89</v>
      </c>
      <c r="H67" s="27">
        <v>54</v>
      </c>
      <c r="I67" s="24">
        <v>46</v>
      </c>
      <c r="J67" s="28">
        <v>1.1000000000000001</v>
      </c>
      <c r="K67" s="29">
        <v>1.61</v>
      </c>
      <c r="L67" s="30">
        <v>2</v>
      </c>
      <c r="M67" s="24">
        <v>2</v>
      </c>
      <c r="N67" s="30">
        <v>14</v>
      </c>
      <c r="O67" s="24">
        <v>11</v>
      </c>
      <c r="P67" s="30">
        <v>4</v>
      </c>
      <c r="Q67" s="24">
        <v>1</v>
      </c>
      <c r="R67" s="30">
        <v>1</v>
      </c>
      <c r="S67" s="24">
        <v>0</v>
      </c>
      <c r="T67" s="28">
        <v>0.55000000000000004</v>
      </c>
      <c r="U67" s="31">
        <v>-0.25</v>
      </c>
      <c r="V67" s="32">
        <v>4</v>
      </c>
      <c r="W67" s="24">
        <v>8</v>
      </c>
      <c r="X67" s="30">
        <v>7</v>
      </c>
      <c r="Y67" s="24">
        <v>16</v>
      </c>
      <c r="Z67" s="30">
        <v>376</v>
      </c>
      <c r="AA67" s="24">
        <v>325</v>
      </c>
      <c r="AB67" s="30">
        <v>8</v>
      </c>
      <c r="AC67" s="24">
        <v>12</v>
      </c>
      <c r="AD67" s="30">
        <v>16</v>
      </c>
      <c r="AE67" s="24">
        <v>7</v>
      </c>
      <c r="AF67" s="30">
        <v>1</v>
      </c>
      <c r="AG67" s="33">
        <v>6</v>
      </c>
      <c r="AH67" s="27">
        <v>1</v>
      </c>
      <c r="AI67" s="34">
        <v>0</v>
      </c>
      <c r="AJ67" s="27">
        <v>0</v>
      </c>
      <c r="AK67" s="34">
        <v>0</v>
      </c>
      <c r="AL67" s="35">
        <v>2</v>
      </c>
      <c r="AM67" s="36">
        <f t="shared" ref="AM67:AM97" si="4">AL67/N67</f>
        <v>0.14285714285714285</v>
      </c>
      <c r="AN67" s="37">
        <v>0</v>
      </c>
      <c r="AO67" s="37">
        <v>10</v>
      </c>
      <c r="AP67" s="37">
        <v>2</v>
      </c>
      <c r="AQ67" s="37">
        <v>7</v>
      </c>
      <c r="AR67" s="38">
        <f t="shared" ref="AR67:AR97" si="5">AQ67/N67</f>
        <v>0.5</v>
      </c>
      <c r="AS67" s="37">
        <v>7</v>
      </c>
      <c r="AT67" s="23">
        <v>5</v>
      </c>
      <c r="AU67" s="18">
        <f t="shared" ref="AU67:AU97" si="6">AT67/O67</f>
        <v>0.45454545454545453</v>
      </c>
      <c r="AV67" s="23">
        <v>0</v>
      </c>
      <c r="AW67" s="23">
        <v>2</v>
      </c>
      <c r="AX67" s="23">
        <v>4</v>
      </c>
      <c r="AY67" s="23">
        <v>10</v>
      </c>
      <c r="AZ67" s="18">
        <f t="shared" ref="AZ67:AZ97" si="7">AY67/O67</f>
        <v>0.90909090909090906</v>
      </c>
      <c r="BA67" s="39">
        <v>1</v>
      </c>
      <c r="BB67" s="40">
        <v>0</v>
      </c>
      <c r="BC67" s="41">
        <v>0</v>
      </c>
      <c r="BD67" s="42">
        <v>0</v>
      </c>
      <c r="BE67" s="44">
        <v>1</v>
      </c>
    </row>
    <row r="68" spans="1:57" x14ac:dyDescent="0.2">
      <c r="A68" s="22">
        <v>45935</v>
      </c>
      <c r="B68" s="23">
        <v>8</v>
      </c>
      <c r="C68" s="23" t="s">
        <v>63</v>
      </c>
      <c r="D68" s="25">
        <v>1</v>
      </c>
      <c r="E68" s="25">
        <v>1</v>
      </c>
      <c r="F68" s="23" t="s">
        <v>67</v>
      </c>
      <c r="H68" s="27">
        <v>51</v>
      </c>
      <c r="I68" s="24">
        <v>49</v>
      </c>
      <c r="J68" s="28">
        <v>1.41</v>
      </c>
      <c r="K68" s="29">
        <v>1.04</v>
      </c>
      <c r="L68" s="30">
        <v>2</v>
      </c>
      <c r="M68" s="24">
        <v>2</v>
      </c>
      <c r="N68" s="30">
        <v>10</v>
      </c>
      <c r="O68" s="24">
        <v>7</v>
      </c>
      <c r="P68" s="30">
        <v>5</v>
      </c>
      <c r="Q68" s="24">
        <v>1</v>
      </c>
      <c r="R68" s="30">
        <v>0</v>
      </c>
      <c r="S68" s="24">
        <v>0</v>
      </c>
      <c r="T68" s="28">
        <v>0.63</v>
      </c>
      <c r="U68" s="31">
        <v>0.3</v>
      </c>
      <c r="V68" s="32">
        <v>5</v>
      </c>
      <c r="W68" s="24">
        <v>3</v>
      </c>
      <c r="X68" s="30">
        <v>14</v>
      </c>
      <c r="Y68" s="24">
        <v>11</v>
      </c>
      <c r="Z68" s="30">
        <v>385</v>
      </c>
      <c r="AA68" s="24">
        <v>382</v>
      </c>
      <c r="AB68" s="30">
        <v>6</v>
      </c>
      <c r="AC68" s="24">
        <v>7</v>
      </c>
      <c r="AD68" s="30">
        <v>11</v>
      </c>
      <c r="AE68" s="24">
        <v>14</v>
      </c>
      <c r="AF68" s="30">
        <v>2</v>
      </c>
      <c r="AG68" s="33">
        <v>3</v>
      </c>
      <c r="AH68" s="27">
        <v>0</v>
      </c>
      <c r="AI68" s="34">
        <v>0</v>
      </c>
      <c r="AJ68" s="27">
        <v>0</v>
      </c>
      <c r="AK68" s="34">
        <v>0</v>
      </c>
      <c r="AL68" s="35">
        <v>2</v>
      </c>
      <c r="AM68" s="36">
        <f t="shared" si="4"/>
        <v>0.2</v>
      </c>
      <c r="AN68" s="37">
        <v>0</v>
      </c>
      <c r="AO68" s="37">
        <v>5</v>
      </c>
      <c r="AP68" s="37">
        <v>3</v>
      </c>
      <c r="AQ68" s="37">
        <v>9</v>
      </c>
      <c r="AR68" s="38">
        <f t="shared" si="5"/>
        <v>0.9</v>
      </c>
      <c r="AS68" s="37">
        <v>1</v>
      </c>
      <c r="AT68" s="23">
        <v>6</v>
      </c>
      <c r="AU68" s="18">
        <f t="shared" si="6"/>
        <v>0.8571428571428571</v>
      </c>
      <c r="AV68" s="23">
        <v>0</v>
      </c>
      <c r="AW68" s="23">
        <v>1</v>
      </c>
      <c r="AX68" s="23">
        <v>0</v>
      </c>
      <c r="AY68" s="23">
        <v>4</v>
      </c>
      <c r="AZ68" s="18">
        <f t="shared" si="7"/>
        <v>0.5714285714285714</v>
      </c>
      <c r="BA68" s="39">
        <v>3</v>
      </c>
      <c r="BB68" s="40">
        <v>0</v>
      </c>
      <c r="BC68" s="41">
        <v>0</v>
      </c>
      <c r="BD68" s="42">
        <v>0</v>
      </c>
      <c r="BE68" s="43">
        <v>0</v>
      </c>
    </row>
    <row r="69" spans="1:57" x14ac:dyDescent="0.2">
      <c r="A69" s="22">
        <v>45935</v>
      </c>
      <c r="B69" s="23">
        <v>8</v>
      </c>
      <c r="C69" s="23" t="s">
        <v>70</v>
      </c>
      <c r="D69" s="25">
        <v>0</v>
      </c>
      <c r="E69" s="25">
        <v>2</v>
      </c>
      <c r="F69" s="23" t="s">
        <v>57</v>
      </c>
      <c r="H69" s="27">
        <v>44</v>
      </c>
      <c r="I69" s="24">
        <v>56</v>
      </c>
      <c r="J69" s="28">
        <v>1.62</v>
      </c>
      <c r="K69" s="29">
        <v>2.86</v>
      </c>
      <c r="L69" s="30">
        <v>2</v>
      </c>
      <c r="M69" s="24">
        <v>3</v>
      </c>
      <c r="N69" s="30">
        <v>13</v>
      </c>
      <c r="O69" s="24">
        <v>17</v>
      </c>
      <c r="P69" s="30">
        <v>5</v>
      </c>
      <c r="Q69" s="24">
        <v>3</v>
      </c>
      <c r="R69" s="30">
        <v>0</v>
      </c>
      <c r="S69" s="24">
        <v>0</v>
      </c>
      <c r="T69" s="28">
        <v>0.33</v>
      </c>
      <c r="U69" s="31">
        <v>0.28000000000000003</v>
      </c>
      <c r="V69" s="32">
        <v>5</v>
      </c>
      <c r="W69" s="24">
        <v>2</v>
      </c>
      <c r="X69" s="30">
        <v>22</v>
      </c>
      <c r="Y69" s="24">
        <v>15</v>
      </c>
      <c r="Z69" s="30">
        <v>307</v>
      </c>
      <c r="AA69" s="24">
        <v>403</v>
      </c>
      <c r="AB69" s="30">
        <v>11</v>
      </c>
      <c r="AC69" s="24">
        <v>21</v>
      </c>
      <c r="AD69" s="30">
        <v>14</v>
      </c>
      <c r="AE69" s="24">
        <v>21</v>
      </c>
      <c r="AF69" s="30">
        <v>1</v>
      </c>
      <c r="AG69" s="33">
        <v>4</v>
      </c>
      <c r="AH69" s="27">
        <v>0</v>
      </c>
      <c r="AI69" s="34">
        <v>0</v>
      </c>
      <c r="AJ69" s="27">
        <v>1</v>
      </c>
      <c r="AK69" s="34">
        <v>1</v>
      </c>
      <c r="AL69" s="35">
        <v>4</v>
      </c>
      <c r="AM69" s="36">
        <f t="shared" si="4"/>
        <v>0.30769230769230771</v>
      </c>
      <c r="AN69" s="37">
        <v>1</v>
      </c>
      <c r="AO69" s="37">
        <v>7</v>
      </c>
      <c r="AP69" s="37">
        <v>2</v>
      </c>
      <c r="AQ69" s="37">
        <v>10</v>
      </c>
      <c r="AR69" s="38">
        <f t="shared" si="5"/>
        <v>0.76923076923076927</v>
      </c>
      <c r="AS69" s="37">
        <v>3</v>
      </c>
      <c r="AT69" s="23">
        <v>8</v>
      </c>
      <c r="AU69" s="18">
        <f t="shared" si="6"/>
        <v>0.47058823529411764</v>
      </c>
      <c r="AV69" s="23">
        <v>1</v>
      </c>
      <c r="AW69" s="23">
        <v>6</v>
      </c>
      <c r="AX69" s="23">
        <v>3</v>
      </c>
      <c r="AY69" s="23">
        <v>8</v>
      </c>
      <c r="AZ69" s="18">
        <f t="shared" si="7"/>
        <v>0.47058823529411764</v>
      </c>
      <c r="BA69" s="39">
        <v>9</v>
      </c>
      <c r="BB69" s="40">
        <v>1</v>
      </c>
      <c r="BC69" s="41">
        <v>0</v>
      </c>
      <c r="BD69" s="42">
        <v>0</v>
      </c>
      <c r="BE69" s="43">
        <v>0</v>
      </c>
    </row>
    <row r="70" spans="1:57" x14ac:dyDescent="0.2">
      <c r="A70" s="22">
        <v>45935</v>
      </c>
      <c r="B70" s="23">
        <v>8</v>
      </c>
      <c r="C70" s="23" t="s">
        <v>65</v>
      </c>
      <c r="D70" s="25">
        <v>1</v>
      </c>
      <c r="E70" s="25">
        <v>0</v>
      </c>
      <c r="F70" s="23" t="s">
        <v>76</v>
      </c>
      <c r="H70" s="27">
        <v>28</v>
      </c>
      <c r="I70" s="24">
        <v>72</v>
      </c>
      <c r="J70" s="28">
        <v>1.1599999999999999</v>
      </c>
      <c r="K70" s="29">
        <v>0.92</v>
      </c>
      <c r="L70" s="30">
        <v>1</v>
      </c>
      <c r="M70" s="24">
        <v>2</v>
      </c>
      <c r="N70" s="30">
        <v>9</v>
      </c>
      <c r="O70" s="24">
        <v>11</v>
      </c>
      <c r="P70" s="30">
        <v>3</v>
      </c>
      <c r="Q70" s="24">
        <v>1</v>
      </c>
      <c r="R70" s="30">
        <v>0</v>
      </c>
      <c r="S70" s="24">
        <v>1</v>
      </c>
      <c r="T70" s="28">
        <v>1.23</v>
      </c>
      <c r="U70" s="31">
        <v>-0.81</v>
      </c>
      <c r="V70" s="32">
        <v>6</v>
      </c>
      <c r="W70" s="24">
        <v>5</v>
      </c>
      <c r="X70" s="30">
        <v>22</v>
      </c>
      <c r="Y70" s="24">
        <v>11</v>
      </c>
      <c r="Z70" s="30">
        <v>213</v>
      </c>
      <c r="AA70" s="24">
        <v>561</v>
      </c>
      <c r="AB70" s="30">
        <v>14</v>
      </c>
      <c r="AC70" s="24">
        <v>19</v>
      </c>
      <c r="AD70" s="30">
        <v>10</v>
      </c>
      <c r="AE70" s="24">
        <v>22</v>
      </c>
      <c r="AF70" s="30">
        <v>2</v>
      </c>
      <c r="AG70" s="33">
        <v>3</v>
      </c>
      <c r="AH70" s="27">
        <v>0</v>
      </c>
      <c r="AI70" s="34">
        <v>0</v>
      </c>
      <c r="AJ70" s="27">
        <v>1</v>
      </c>
      <c r="AK70" s="34">
        <v>0</v>
      </c>
      <c r="AL70" s="35">
        <v>2</v>
      </c>
      <c r="AM70" s="36">
        <f t="shared" si="4"/>
        <v>0.22222222222222221</v>
      </c>
      <c r="AN70" s="37">
        <v>0</v>
      </c>
      <c r="AO70" s="37">
        <v>4</v>
      </c>
      <c r="AP70" s="37">
        <v>3</v>
      </c>
      <c r="AQ70" s="37">
        <v>6</v>
      </c>
      <c r="AR70" s="38">
        <f t="shared" si="5"/>
        <v>0.66666666666666663</v>
      </c>
      <c r="AS70" s="37">
        <v>3</v>
      </c>
      <c r="AT70" s="23">
        <v>3</v>
      </c>
      <c r="AU70" s="18">
        <f t="shared" si="6"/>
        <v>0.27272727272727271</v>
      </c>
      <c r="AV70" s="23">
        <v>0</v>
      </c>
      <c r="AW70" s="23">
        <v>6</v>
      </c>
      <c r="AX70" s="23">
        <v>2</v>
      </c>
      <c r="AY70" s="23">
        <v>6</v>
      </c>
      <c r="AZ70" s="18">
        <f t="shared" si="7"/>
        <v>0.54545454545454541</v>
      </c>
      <c r="BA70" s="39">
        <v>5</v>
      </c>
      <c r="BB70" s="40">
        <v>0</v>
      </c>
      <c r="BC70" s="41">
        <v>0</v>
      </c>
      <c r="BD70" s="42">
        <v>0</v>
      </c>
      <c r="BE70" s="43">
        <v>0</v>
      </c>
    </row>
    <row r="71" spans="1:57" x14ac:dyDescent="0.2">
      <c r="A71" s="22">
        <v>45935</v>
      </c>
      <c r="B71" s="23">
        <v>8</v>
      </c>
      <c r="C71" s="23" t="s">
        <v>60</v>
      </c>
      <c r="D71" s="25">
        <v>0</v>
      </c>
      <c r="E71" s="25">
        <v>0</v>
      </c>
      <c r="F71" s="23" t="s">
        <v>74</v>
      </c>
      <c r="H71" s="27">
        <v>47</v>
      </c>
      <c r="I71" s="24">
        <v>53</v>
      </c>
      <c r="J71" s="28">
        <v>1.27</v>
      </c>
      <c r="K71" s="29">
        <v>0.33</v>
      </c>
      <c r="L71" s="30">
        <v>5</v>
      </c>
      <c r="M71" s="24">
        <v>0</v>
      </c>
      <c r="N71" s="30">
        <v>12</v>
      </c>
      <c r="O71" s="24">
        <v>6</v>
      </c>
      <c r="P71" s="30">
        <v>1</v>
      </c>
      <c r="Q71" s="24">
        <v>5</v>
      </c>
      <c r="R71" s="30">
        <v>0</v>
      </c>
      <c r="S71" s="24">
        <v>0</v>
      </c>
      <c r="T71" s="28">
        <v>0.48</v>
      </c>
      <c r="U71" s="31">
        <v>0.63</v>
      </c>
      <c r="V71" s="32">
        <v>6</v>
      </c>
      <c r="W71" s="24">
        <v>5</v>
      </c>
      <c r="X71" s="30">
        <v>13</v>
      </c>
      <c r="Y71" s="24">
        <v>15</v>
      </c>
      <c r="Z71" s="30">
        <v>371</v>
      </c>
      <c r="AA71" s="24">
        <v>422</v>
      </c>
      <c r="AB71" s="30">
        <v>14</v>
      </c>
      <c r="AC71" s="24">
        <v>11</v>
      </c>
      <c r="AD71" s="30">
        <v>15</v>
      </c>
      <c r="AE71" s="24">
        <v>13</v>
      </c>
      <c r="AF71" s="30">
        <v>0</v>
      </c>
      <c r="AG71" s="33">
        <v>3</v>
      </c>
      <c r="AH71" s="27">
        <v>0</v>
      </c>
      <c r="AI71" s="34">
        <v>0</v>
      </c>
      <c r="AJ71" s="27">
        <v>0</v>
      </c>
      <c r="AK71" s="34">
        <v>0</v>
      </c>
      <c r="AL71" s="35">
        <v>4</v>
      </c>
      <c r="AM71" s="36">
        <f t="shared" si="4"/>
        <v>0.33333333333333331</v>
      </c>
      <c r="AN71" s="37">
        <v>1</v>
      </c>
      <c r="AO71" s="37">
        <v>7</v>
      </c>
      <c r="AP71" s="37">
        <v>1</v>
      </c>
      <c r="AQ71" s="37">
        <v>9</v>
      </c>
      <c r="AR71" s="38">
        <f t="shared" si="5"/>
        <v>0.75</v>
      </c>
      <c r="AS71" s="37">
        <v>3</v>
      </c>
      <c r="AT71" s="23">
        <v>1</v>
      </c>
      <c r="AU71" s="18">
        <f t="shared" si="6"/>
        <v>0.16666666666666666</v>
      </c>
      <c r="AV71" s="23">
        <v>0</v>
      </c>
      <c r="AW71" s="23">
        <v>4</v>
      </c>
      <c r="AX71" s="23">
        <v>1</v>
      </c>
      <c r="AY71" s="23">
        <v>2</v>
      </c>
      <c r="AZ71" s="18">
        <f t="shared" si="7"/>
        <v>0.33333333333333331</v>
      </c>
      <c r="BA71" s="39">
        <v>4</v>
      </c>
      <c r="BB71" s="40">
        <v>0</v>
      </c>
      <c r="BC71" s="41">
        <v>0</v>
      </c>
      <c r="BD71" s="42">
        <v>0</v>
      </c>
      <c r="BE71" s="43">
        <v>0</v>
      </c>
    </row>
    <row r="72" spans="1:57" x14ac:dyDescent="0.2">
      <c r="A72" s="22">
        <v>45948</v>
      </c>
      <c r="B72" s="23">
        <v>9</v>
      </c>
      <c r="C72" s="23" t="s">
        <v>67</v>
      </c>
      <c r="D72" s="25">
        <v>2</v>
      </c>
      <c r="E72" s="25">
        <v>3</v>
      </c>
      <c r="F72" s="23" t="s">
        <v>69</v>
      </c>
      <c r="H72" s="27">
        <v>56</v>
      </c>
      <c r="I72" s="24">
        <v>44</v>
      </c>
      <c r="J72" s="28">
        <v>1.52</v>
      </c>
      <c r="K72" s="29">
        <v>0.98</v>
      </c>
      <c r="L72" s="30">
        <v>2</v>
      </c>
      <c r="M72" s="24">
        <v>2</v>
      </c>
      <c r="N72" s="30">
        <v>12</v>
      </c>
      <c r="O72" s="24">
        <v>7</v>
      </c>
      <c r="P72" s="30">
        <v>0</v>
      </c>
      <c r="Q72" s="24">
        <v>1</v>
      </c>
      <c r="R72" s="30">
        <v>0</v>
      </c>
      <c r="S72" s="24">
        <v>0</v>
      </c>
      <c r="T72" s="28">
        <v>-1.72</v>
      </c>
      <c r="U72" s="31">
        <v>-0.32</v>
      </c>
      <c r="V72" s="32">
        <v>3</v>
      </c>
      <c r="W72" s="24">
        <v>4</v>
      </c>
      <c r="X72" s="30">
        <v>15</v>
      </c>
      <c r="Y72" s="24">
        <v>20</v>
      </c>
      <c r="Z72" s="30">
        <v>379</v>
      </c>
      <c r="AA72" s="24">
        <v>303</v>
      </c>
      <c r="AB72" s="30">
        <v>18</v>
      </c>
      <c r="AC72" s="24">
        <v>15</v>
      </c>
      <c r="AD72" s="30">
        <v>19</v>
      </c>
      <c r="AE72" s="24">
        <v>15</v>
      </c>
      <c r="AF72" s="30">
        <v>4</v>
      </c>
      <c r="AG72" s="33">
        <v>5</v>
      </c>
      <c r="AH72" s="27">
        <v>0</v>
      </c>
      <c r="AI72" s="34">
        <v>0</v>
      </c>
      <c r="AJ72" s="27">
        <v>1</v>
      </c>
      <c r="AK72" s="34">
        <v>0</v>
      </c>
      <c r="AL72" s="35">
        <v>3</v>
      </c>
      <c r="AM72" s="36">
        <f t="shared" si="4"/>
        <v>0.25</v>
      </c>
      <c r="AN72" s="37">
        <v>0</v>
      </c>
      <c r="AO72" s="37">
        <v>7</v>
      </c>
      <c r="AP72" s="37">
        <v>2</v>
      </c>
      <c r="AQ72" s="37">
        <v>10</v>
      </c>
      <c r="AR72" s="38">
        <f t="shared" si="5"/>
        <v>0.83333333333333337</v>
      </c>
      <c r="AS72" s="37">
        <v>2</v>
      </c>
      <c r="AT72" s="23">
        <v>3</v>
      </c>
      <c r="AU72" s="18">
        <f t="shared" si="6"/>
        <v>0.42857142857142855</v>
      </c>
      <c r="AV72" s="23">
        <v>0</v>
      </c>
      <c r="AW72" s="23">
        <v>3</v>
      </c>
      <c r="AX72" s="23">
        <v>1</v>
      </c>
      <c r="AY72" s="23">
        <v>5</v>
      </c>
      <c r="AZ72" s="18">
        <f t="shared" si="7"/>
        <v>0.7142857142857143</v>
      </c>
      <c r="BA72" s="39">
        <v>2</v>
      </c>
      <c r="BB72" s="40">
        <v>1</v>
      </c>
      <c r="BC72" s="41">
        <v>0</v>
      </c>
      <c r="BD72" s="42">
        <v>0</v>
      </c>
      <c r="BE72" s="43">
        <v>0</v>
      </c>
    </row>
    <row r="73" spans="1:57" x14ac:dyDescent="0.2">
      <c r="A73" s="22">
        <v>45948</v>
      </c>
      <c r="B73" s="23">
        <v>9</v>
      </c>
      <c r="C73" s="23" t="s">
        <v>78</v>
      </c>
      <c r="D73" s="25">
        <v>1</v>
      </c>
      <c r="E73" s="25">
        <v>2</v>
      </c>
      <c r="F73" s="23" t="s">
        <v>61</v>
      </c>
      <c r="H73" s="27">
        <v>63</v>
      </c>
      <c r="I73" s="24">
        <v>37</v>
      </c>
      <c r="J73" s="28">
        <v>1.91</v>
      </c>
      <c r="K73" s="29">
        <v>0.63</v>
      </c>
      <c r="L73" s="30">
        <v>2</v>
      </c>
      <c r="M73" s="24">
        <v>1</v>
      </c>
      <c r="N73" s="30">
        <v>11</v>
      </c>
      <c r="O73" s="24">
        <v>6</v>
      </c>
      <c r="P73" s="30">
        <v>1</v>
      </c>
      <c r="Q73" s="24">
        <v>3</v>
      </c>
      <c r="R73" s="30">
        <v>0</v>
      </c>
      <c r="S73" s="24">
        <v>0</v>
      </c>
      <c r="T73" s="28">
        <v>-1.84</v>
      </c>
      <c r="U73" s="31">
        <v>-0.02</v>
      </c>
      <c r="V73" s="32">
        <v>5</v>
      </c>
      <c r="W73" s="24">
        <v>4</v>
      </c>
      <c r="X73" s="30">
        <v>21</v>
      </c>
      <c r="Y73" s="24">
        <v>14</v>
      </c>
      <c r="Z73" s="30">
        <v>524</v>
      </c>
      <c r="AA73" s="24">
        <v>310</v>
      </c>
      <c r="AB73" s="30">
        <v>14</v>
      </c>
      <c r="AC73" s="24">
        <v>17</v>
      </c>
      <c r="AD73" s="30">
        <v>14</v>
      </c>
      <c r="AE73" s="24">
        <v>21</v>
      </c>
      <c r="AF73" s="30">
        <v>2</v>
      </c>
      <c r="AG73" s="33">
        <v>4</v>
      </c>
      <c r="AH73" s="27">
        <v>0</v>
      </c>
      <c r="AI73" s="34">
        <v>0</v>
      </c>
      <c r="AJ73" s="27">
        <v>0</v>
      </c>
      <c r="AK73" s="34">
        <v>0</v>
      </c>
      <c r="AL73" s="35">
        <v>4</v>
      </c>
      <c r="AM73" s="36">
        <f t="shared" si="4"/>
        <v>0.36363636363636365</v>
      </c>
      <c r="AN73" s="37">
        <v>0</v>
      </c>
      <c r="AO73" s="37">
        <v>4</v>
      </c>
      <c r="AP73" s="37">
        <v>3</v>
      </c>
      <c r="AQ73" s="37">
        <v>6</v>
      </c>
      <c r="AR73" s="38">
        <f t="shared" si="5"/>
        <v>0.54545454545454541</v>
      </c>
      <c r="AS73" s="37">
        <v>5</v>
      </c>
      <c r="AT73" s="23">
        <v>2</v>
      </c>
      <c r="AU73" s="18">
        <f t="shared" si="6"/>
        <v>0.33333333333333331</v>
      </c>
      <c r="AV73" s="23">
        <v>0</v>
      </c>
      <c r="AW73" s="23">
        <v>3</v>
      </c>
      <c r="AX73" s="23">
        <v>1</v>
      </c>
      <c r="AY73" s="23">
        <v>5</v>
      </c>
      <c r="AZ73" s="18">
        <f t="shared" si="7"/>
        <v>0.83333333333333337</v>
      </c>
      <c r="BA73" s="39">
        <v>1</v>
      </c>
      <c r="BB73" s="40">
        <v>0</v>
      </c>
      <c r="BC73" s="41">
        <v>0</v>
      </c>
      <c r="BD73" s="42">
        <v>0</v>
      </c>
      <c r="BE73" s="43">
        <v>0</v>
      </c>
    </row>
    <row r="74" spans="1:57" x14ac:dyDescent="0.2">
      <c r="A74" s="22">
        <v>45948</v>
      </c>
      <c r="B74" s="23">
        <v>9</v>
      </c>
      <c r="C74" s="23" t="s">
        <v>64</v>
      </c>
      <c r="D74" s="25">
        <v>1</v>
      </c>
      <c r="E74" s="25">
        <v>2</v>
      </c>
      <c r="F74" s="23" t="s">
        <v>68</v>
      </c>
      <c r="H74" s="27">
        <v>55</v>
      </c>
      <c r="I74" s="24">
        <v>45</v>
      </c>
      <c r="J74" s="28">
        <v>2.39</v>
      </c>
      <c r="K74" s="29">
        <v>0.47</v>
      </c>
      <c r="L74" s="30">
        <v>4</v>
      </c>
      <c r="M74" s="24">
        <v>1</v>
      </c>
      <c r="N74" s="30">
        <v>22</v>
      </c>
      <c r="O74" s="24">
        <v>8</v>
      </c>
      <c r="P74" s="30">
        <v>3</v>
      </c>
      <c r="Q74" s="24">
        <v>2</v>
      </c>
      <c r="R74" s="30">
        <v>1</v>
      </c>
      <c r="S74" s="24">
        <v>0</v>
      </c>
      <c r="T74" s="28">
        <v>-0.15</v>
      </c>
      <c r="U74" s="31">
        <v>0.24</v>
      </c>
      <c r="V74" s="32">
        <v>7</v>
      </c>
      <c r="W74" s="24">
        <v>0</v>
      </c>
      <c r="X74" s="30">
        <v>18</v>
      </c>
      <c r="Y74" s="24">
        <v>8</v>
      </c>
      <c r="Z74" s="30">
        <v>465</v>
      </c>
      <c r="AA74" s="24">
        <v>401</v>
      </c>
      <c r="AB74" s="30">
        <v>19</v>
      </c>
      <c r="AC74" s="24">
        <v>16</v>
      </c>
      <c r="AD74" s="30">
        <v>8</v>
      </c>
      <c r="AE74" s="24">
        <v>18</v>
      </c>
      <c r="AF74" s="30">
        <v>3</v>
      </c>
      <c r="AG74" s="33">
        <v>0</v>
      </c>
      <c r="AH74" s="27">
        <v>0</v>
      </c>
      <c r="AI74" s="34">
        <v>0</v>
      </c>
      <c r="AJ74" s="27">
        <v>0</v>
      </c>
      <c r="AK74" s="34">
        <v>0</v>
      </c>
      <c r="AL74" s="35">
        <v>3</v>
      </c>
      <c r="AM74" s="36">
        <f t="shared" si="4"/>
        <v>0.13636363636363635</v>
      </c>
      <c r="AN74" s="37">
        <v>1</v>
      </c>
      <c r="AO74" s="37">
        <v>7</v>
      </c>
      <c r="AP74" s="37">
        <v>12</v>
      </c>
      <c r="AQ74" s="37">
        <v>11</v>
      </c>
      <c r="AR74" s="38">
        <f t="shared" si="5"/>
        <v>0.5</v>
      </c>
      <c r="AS74" s="37">
        <v>11</v>
      </c>
      <c r="AT74" s="23">
        <v>5</v>
      </c>
      <c r="AU74" s="18">
        <f t="shared" si="6"/>
        <v>0.625</v>
      </c>
      <c r="AV74" s="23">
        <v>0</v>
      </c>
      <c r="AW74" s="23">
        <v>3</v>
      </c>
      <c r="AX74" s="23">
        <v>0</v>
      </c>
      <c r="AY74" s="23">
        <v>6</v>
      </c>
      <c r="AZ74" s="18">
        <f t="shared" si="7"/>
        <v>0.75</v>
      </c>
      <c r="BA74" s="39">
        <v>2</v>
      </c>
      <c r="BB74" s="40">
        <v>0</v>
      </c>
      <c r="BC74" s="41">
        <v>0</v>
      </c>
      <c r="BD74" s="42">
        <v>0</v>
      </c>
      <c r="BE74" s="44">
        <v>1</v>
      </c>
    </row>
    <row r="75" spans="1:57" x14ac:dyDescent="0.2">
      <c r="A75" s="22">
        <v>45948</v>
      </c>
      <c r="B75" s="23">
        <v>9</v>
      </c>
      <c r="C75" s="23" t="s">
        <v>76</v>
      </c>
      <c r="D75" s="25">
        <v>1</v>
      </c>
      <c r="E75" s="25">
        <v>2</v>
      </c>
      <c r="F75" s="23" t="s">
        <v>58</v>
      </c>
      <c r="H75" s="27">
        <v>46</v>
      </c>
      <c r="I75" s="24">
        <v>54</v>
      </c>
      <c r="J75" s="28">
        <v>1.46</v>
      </c>
      <c r="K75" s="29">
        <v>2.97</v>
      </c>
      <c r="L75" s="30">
        <v>3</v>
      </c>
      <c r="M75" s="24">
        <v>5</v>
      </c>
      <c r="N75" s="30">
        <v>5</v>
      </c>
      <c r="O75" s="24">
        <v>16</v>
      </c>
      <c r="P75" s="30">
        <v>3</v>
      </c>
      <c r="Q75" s="24">
        <v>0</v>
      </c>
      <c r="R75" s="30">
        <v>1</v>
      </c>
      <c r="S75" s="24">
        <v>0</v>
      </c>
      <c r="T75" s="28">
        <v>0.65</v>
      </c>
      <c r="U75" s="31">
        <v>0.68</v>
      </c>
      <c r="V75" s="32">
        <v>2</v>
      </c>
      <c r="W75" s="24">
        <v>4</v>
      </c>
      <c r="X75" s="30">
        <v>16</v>
      </c>
      <c r="Y75" s="24">
        <v>10</v>
      </c>
      <c r="Z75" s="30">
        <v>373</v>
      </c>
      <c r="AA75" s="24">
        <v>445</v>
      </c>
      <c r="AB75" s="30">
        <v>9</v>
      </c>
      <c r="AC75" s="24">
        <v>14</v>
      </c>
      <c r="AD75" s="30">
        <v>10</v>
      </c>
      <c r="AE75" s="24">
        <v>16</v>
      </c>
      <c r="AF75" s="30">
        <v>2</v>
      </c>
      <c r="AG75" s="33">
        <v>6</v>
      </c>
      <c r="AH75" s="27">
        <v>0</v>
      </c>
      <c r="AI75" s="34">
        <v>0</v>
      </c>
      <c r="AJ75" s="27">
        <v>0</v>
      </c>
      <c r="AK75" s="34">
        <v>0</v>
      </c>
      <c r="AL75" s="35">
        <v>2</v>
      </c>
      <c r="AM75" s="36">
        <f t="shared" si="4"/>
        <v>0.4</v>
      </c>
      <c r="AN75" s="37">
        <v>1</v>
      </c>
      <c r="AO75" s="37">
        <v>2</v>
      </c>
      <c r="AP75" s="37">
        <v>1</v>
      </c>
      <c r="AQ75" s="37">
        <v>5</v>
      </c>
      <c r="AR75" s="38">
        <f t="shared" si="5"/>
        <v>1</v>
      </c>
      <c r="AS75" s="37">
        <v>0</v>
      </c>
      <c r="AT75" s="23">
        <v>5</v>
      </c>
      <c r="AU75" s="18">
        <f t="shared" si="6"/>
        <v>0.3125</v>
      </c>
      <c r="AV75" s="23">
        <v>2</v>
      </c>
      <c r="AW75" s="23">
        <v>8</v>
      </c>
      <c r="AX75" s="23">
        <v>3</v>
      </c>
      <c r="AY75" s="23">
        <v>13</v>
      </c>
      <c r="AZ75" s="18">
        <f t="shared" si="7"/>
        <v>0.8125</v>
      </c>
      <c r="BA75" s="39">
        <v>3</v>
      </c>
      <c r="BB75" s="40">
        <v>0</v>
      </c>
      <c r="BC75" s="41">
        <v>0</v>
      </c>
      <c r="BD75" s="42">
        <v>0</v>
      </c>
      <c r="BE75" s="43">
        <v>0</v>
      </c>
    </row>
    <row r="76" spans="1:57" x14ac:dyDescent="0.2">
      <c r="A76" s="22">
        <v>45949</v>
      </c>
      <c r="B76" s="23">
        <v>9</v>
      </c>
      <c r="C76" s="23" t="s">
        <v>77</v>
      </c>
      <c r="D76" s="25">
        <v>1</v>
      </c>
      <c r="E76" s="25">
        <v>3</v>
      </c>
      <c r="F76" s="23" t="s">
        <v>60</v>
      </c>
      <c r="H76" s="27">
        <v>55</v>
      </c>
      <c r="I76" s="24">
        <v>45</v>
      </c>
      <c r="J76" s="28">
        <v>1.19</v>
      </c>
      <c r="K76" s="29">
        <v>2.62</v>
      </c>
      <c r="L76" s="30">
        <v>3</v>
      </c>
      <c r="M76" s="24">
        <v>7</v>
      </c>
      <c r="N76" s="30">
        <v>14</v>
      </c>
      <c r="O76" s="24">
        <v>13</v>
      </c>
      <c r="P76" s="30">
        <v>3</v>
      </c>
      <c r="Q76" s="24">
        <v>2</v>
      </c>
      <c r="R76" s="30">
        <v>0</v>
      </c>
      <c r="S76" s="24">
        <v>0</v>
      </c>
      <c r="T76" s="28">
        <v>-0.52</v>
      </c>
      <c r="U76" s="31">
        <v>-0.39</v>
      </c>
      <c r="V76" s="32">
        <v>7</v>
      </c>
      <c r="W76" s="24">
        <v>5</v>
      </c>
      <c r="X76" s="30">
        <v>13</v>
      </c>
      <c r="Y76" s="24">
        <v>11</v>
      </c>
      <c r="Z76" s="30">
        <v>407</v>
      </c>
      <c r="AA76" s="24">
        <v>349</v>
      </c>
      <c r="AB76" s="30">
        <v>13</v>
      </c>
      <c r="AC76" s="24">
        <v>16</v>
      </c>
      <c r="AD76" s="30">
        <v>11</v>
      </c>
      <c r="AE76" s="24">
        <v>13</v>
      </c>
      <c r="AF76" s="30">
        <v>2</v>
      </c>
      <c r="AG76" s="33">
        <v>3</v>
      </c>
      <c r="AH76" s="27">
        <v>0</v>
      </c>
      <c r="AI76" s="34">
        <v>0</v>
      </c>
      <c r="AJ76" s="27">
        <v>0</v>
      </c>
      <c r="AK76" s="34">
        <v>0</v>
      </c>
      <c r="AL76" s="35">
        <v>3</v>
      </c>
      <c r="AM76" s="36">
        <f>AL76/N76</f>
        <v>0.21428571428571427</v>
      </c>
      <c r="AN76" s="37">
        <v>0</v>
      </c>
      <c r="AO76" s="37">
        <v>9</v>
      </c>
      <c r="AP76" s="37">
        <v>2</v>
      </c>
      <c r="AQ76" s="37">
        <v>8</v>
      </c>
      <c r="AR76" s="38">
        <f t="shared" si="5"/>
        <v>0.5714285714285714</v>
      </c>
      <c r="AS76" s="37">
        <v>6</v>
      </c>
      <c r="AT76" s="23">
        <v>5</v>
      </c>
      <c r="AU76" s="18">
        <f>AT76/O76</f>
        <v>0.38461538461538464</v>
      </c>
      <c r="AV76" s="23">
        <v>1</v>
      </c>
      <c r="AW76" s="23">
        <v>7</v>
      </c>
      <c r="AX76" s="23">
        <v>1</v>
      </c>
      <c r="AY76" s="23">
        <v>10</v>
      </c>
      <c r="AZ76" s="18">
        <f t="shared" si="7"/>
        <v>0.76923076923076927</v>
      </c>
      <c r="BA76" s="39">
        <v>3</v>
      </c>
      <c r="BB76" s="40">
        <v>0</v>
      </c>
      <c r="BC76" s="45">
        <v>1</v>
      </c>
      <c r="BD76" s="42">
        <v>0</v>
      </c>
      <c r="BE76" s="43">
        <v>0</v>
      </c>
    </row>
    <row r="77" spans="1:57" x14ac:dyDescent="0.2">
      <c r="A77" s="22">
        <v>45949</v>
      </c>
      <c r="B77" s="23">
        <v>9</v>
      </c>
      <c r="C77" s="23" t="s">
        <v>73</v>
      </c>
      <c r="D77" s="25">
        <v>1</v>
      </c>
      <c r="E77" s="25">
        <v>0</v>
      </c>
      <c r="F77" s="23" t="s">
        <v>65</v>
      </c>
      <c r="H77" s="27">
        <v>60</v>
      </c>
      <c r="I77" s="24">
        <v>40</v>
      </c>
      <c r="J77" s="28">
        <v>0.86</v>
      </c>
      <c r="K77" s="29">
        <v>0.56999999999999995</v>
      </c>
      <c r="L77" s="30">
        <v>0</v>
      </c>
      <c r="M77" s="24">
        <v>1</v>
      </c>
      <c r="N77" s="30">
        <v>15</v>
      </c>
      <c r="O77" s="24">
        <v>10</v>
      </c>
      <c r="P77" s="30">
        <v>5</v>
      </c>
      <c r="Q77" s="24">
        <v>4</v>
      </c>
      <c r="R77" s="30">
        <v>1</v>
      </c>
      <c r="S77" s="24">
        <v>2</v>
      </c>
      <c r="T77" s="28">
        <v>1.26</v>
      </c>
      <c r="U77" s="31">
        <v>-0.05</v>
      </c>
      <c r="V77" s="32">
        <v>8</v>
      </c>
      <c r="W77" s="24">
        <v>4</v>
      </c>
      <c r="X77" s="30">
        <v>5</v>
      </c>
      <c r="Y77" s="24">
        <v>13</v>
      </c>
      <c r="Z77" s="30">
        <v>455</v>
      </c>
      <c r="AA77" s="24">
        <v>309</v>
      </c>
      <c r="AB77" s="30">
        <v>10</v>
      </c>
      <c r="AC77" s="24">
        <v>7</v>
      </c>
      <c r="AD77" s="30">
        <v>13</v>
      </c>
      <c r="AE77" s="24">
        <v>5</v>
      </c>
      <c r="AF77" s="30">
        <v>3</v>
      </c>
      <c r="AG77" s="33">
        <v>5</v>
      </c>
      <c r="AH77" s="27">
        <v>0</v>
      </c>
      <c r="AI77" s="34">
        <v>0</v>
      </c>
      <c r="AJ77" s="27">
        <v>0</v>
      </c>
      <c r="AK77" s="34">
        <v>0</v>
      </c>
      <c r="AL77" s="35">
        <v>5</v>
      </c>
      <c r="AM77" s="36">
        <f t="shared" si="4"/>
        <v>0.33333333333333331</v>
      </c>
      <c r="AN77" s="37">
        <v>0</v>
      </c>
      <c r="AO77" s="37">
        <v>6</v>
      </c>
      <c r="AP77" s="37">
        <v>4</v>
      </c>
      <c r="AQ77" s="37">
        <v>12</v>
      </c>
      <c r="AR77" s="38">
        <f t="shared" si="5"/>
        <v>0.8</v>
      </c>
      <c r="AS77" s="37">
        <v>2</v>
      </c>
      <c r="AT77" s="23">
        <v>6</v>
      </c>
      <c r="AU77" s="18">
        <f t="shared" si="6"/>
        <v>0.6</v>
      </c>
      <c r="AV77" s="23">
        <v>0</v>
      </c>
      <c r="AW77" s="23">
        <v>4</v>
      </c>
      <c r="AX77" s="23">
        <v>0</v>
      </c>
      <c r="AY77" s="23">
        <v>6</v>
      </c>
      <c r="AZ77" s="18">
        <f t="shared" si="7"/>
        <v>0.6</v>
      </c>
      <c r="BA77" s="39">
        <v>4</v>
      </c>
      <c r="BB77" s="40">
        <v>0</v>
      </c>
      <c r="BC77" s="41">
        <v>0</v>
      </c>
      <c r="BD77" s="42">
        <v>0</v>
      </c>
      <c r="BE77" s="43">
        <v>0</v>
      </c>
    </row>
    <row r="78" spans="1:57" x14ac:dyDescent="0.2">
      <c r="A78" s="22">
        <v>45949</v>
      </c>
      <c r="B78" s="23">
        <v>9</v>
      </c>
      <c r="C78" s="23" t="s">
        <v>57</v>
      </c>
      <c r="D78" s="25">
        <v>3</v>
      </c>
      <c r="E78" s="25">
        <v>2</v>
      </c>
      <c r="F78" s="23" t="s">
        <v>62</v>
      </c>
      <c r="H78" s="27">
        <v>70</v>
      </c>
      <c r="I78" s="24">
        <v>30</v>
      </c>
      <c r="J78" s="28">
        <v>1.79</v>
      </c>
      <c r="K78" s="29">
        <v>0.44</v>
      </c>
      <c r="L78" s="30">
        <v>4</v>
      </c>
      <c r="M78" s="24">
        <v>2</v>
      </c>
      <c r="N78" s="30">
        <v>22</v>
      </c>
      <c r="O78" s="24">
        <v>7</v>
      </c>
      <c r="P78" s="30">
        <v>2</v>
      </c>
      <c r="Q78" s="24">
        <v>5</v>
      </c>
      <c r="R78" s="30">
        <v>0</v>
      </c>
      <c r="S78" s="24">
        <v>2</v>
      </c>
      <c r="T78" s="28">
        <v>-0.65</v>
      </c>
      <c r="U78" s="31">
        <v>0.15</v>
      </c>
      <c r="V78" s="32">
        <v>6</v>
      </c>
      <c r="W78" s="24">
        <v>5</v>
      </c>
      <c r="X78" s="30">
        <v>11</v>
      </c>
      <c r="Y78" s="24">
        <v>15</v>
      </c>
      <c r="Z78" s="30">
        <v>637</v>
      </c>
      <c r="AA78" s="24">
        <v>263</v>
      </c>
      <c r="AB78" s="30">
        <v>20</v>
      </c>
      <c r="AC78" s="24">
        <v>15</v>
      </c>
      <c r="AD78" s="30">
        <v>15</v>
      </c>
      <c r="AE78" s="24">
        <v>11</v>
      </c>
      <c r="AF78" s="30">
        <v>5</v>
      </c>
      <c r="AG78" s="33">
        <v>6</v>
      </c>
      <c r="AH78" s="27">
        <v>0</v>
      </c>
      <c r="AI78" s="34">
        <v>0</v>
      </c>
      <c r="AJ78" s="27">
        <v>0</v>
      </c>
      <c r="AK78" s="34">
        <v>0</v>
      </c>
      <c r="AL78" s="35">
        <v>8</v>
      </c>
      <c r="AM78" s="36">
        <f t="shared" si="4"/>
        <v>0.36363636363636365</v>
      </c>
      <c r="AN78" s="37">
        <v>0</v>
      </c>
      <c r="AO78" s="37">
        <v>6</v>
      </c>
      <c r="AP78" s="37">
        <v>8</v>
      </c>
      <c r="AQ78" s="37">
        <v>12</v>
      </c>
      <c r="AR78" s="38">
        <f t="shared" si="5"/>
        <v>0.54545454545454541</v>
      </c>
      <c r="AS78" s="37">
        <v>10</v>
      </c>
      <c r="AT78" s="23">
        <v>4</v>
      </c>
      <c r="AU78" s="18">
        <f t="shared" si="6"/>
        <v>0.5714285714285714</v>
      </c>
      <c r="AV78" s="23">
        <v>0</v>
      </c>
      <c r="AW78" s="23">
        <v>1</v>
      </c>
      <c r="AX78" s="23">
        <v>2</v>
      </c>
      <c r="AY78" s="23">
        <v>4</v>
      </c>
      <c r="AZ78" s="18">
        <f t="shared" si="7"/>
        <v>0.5714285714285714</v>
      </c>
      <c r="BA78" s="39">
        <v>3</v>
      </c>
      <c r="BB78" s="40">
        <v>0</v>
      </c>
      <c r="BC78" s="41">
        <v>0</v>
      </c>
      <c r="BD78" s="42">
        <v>1</v>
      </c>
      <c r="BE78" s="44">
        <v>1</v>
      </c>
    </row>
    <row r="79" spans="1:57" x14ac:dyDescent="0.2">
      <c r="A79" s="22">
        <v>45949</v>
      </c>
      <c r="B79" s="23">
        <v>9</v>
      </c>
      <c r="C79" s="23" t="s">
        <v>74</v>
      </c>
      <c r="D79" s="25">
        <v>2</v>
      </c>
      <c r="E79" s="25">
        <v>1</v>
      </c>
      <c r="F79" s="24" t="s">
        <v>70</v>
      </c>
      <c r="G79" s="26" t="s">
        <v>90</v>
      </c>
      <c r="H79" s="27">
        <v>58</v>
      </c>
      <c r="I79" s="24">
        <v>42</v>
      </c>
      <c r="J79" s="28">
        <v>2.72</v>
      </c>
      <c r="K79" s="29">
        <v>0.84</v>
      </c>
      <c r="L79" s="30">
        <v>2</v>
      </c>
      <c r="M79" s="24">
        <v>1</v>
      </c>
      <c r="N79" s="30">
        <v>21</v>
      </c>
      <c r="O79" s="24">
        <v>16</v>
      </c>
      <c r="P79" s="30">
        <v>5</v>
      </c>
      <c r="Q79" s="24">
        <v>6</v>
      </c>
      <c r="R79" s="30">
        <v>3</v>
      </c>
      <c r="S79" s="24">
        <v>1</v>
      </c>
      <c r="T79" s="28">
        <v>0.31</v>
      </c>
      <c r="U79" s="31">
        <v>0.19</v>
      </c>
      <c r="V79" s="32">
        <v>6</v>
      </c>
      <c r="W79" s="24">
        <v>6</v>
      </c>
      <c r="X79" s="30">
        <v>10</v>
      </c>
      <c r="Y79" s="24">
        <v>19</v>
      </c>
      <c r="Z79" s="30">
        <v>446</v>
      </c>
      <c r="AA79" s="24">
        <v>313</v>
      </c>
      <c r="AB79" s="30">
        <v>18</v>
      </c>
      <c r="AC79" s="24">
        <v>10</v>
      </c>
      <c r="AD79" s="30">
        <v>2</v>
      </c>
      <c r="AE79" s="24">
        <v>5</v>
      </c>
      <c r="AF79" s="30">
        <v>0</v>
      </c>
      <c r="AG79" s="33">
        <v>1</v>
      </c>
      <c r="AH79" s="27">
        <v>0</v>
      </c>
      <c r="AI79" s="34">
        <v>1</v>
      </c>
      <c r="AJ79" s="27">
        <v>1</v>
      </c>
      <c r="AK79" s="34">
        <v>0</v>
      </c>
      <c r="AL79" s="35">
        <v>8</v>
      </c>
      <c r="AM79" s="36">
        <f t="shared" si="4"/>
        <v>0.38095238095238093</v>
      </c>
      <c r="AN79" s="37">
        <v>0</v>
      </c>
      <c r="AO79" s="37">
        <v>7</v>
      </c>
      <c r="AP79" s="37">
        <v>6</v>
      </c>
      <c r="AQ79" s="37">
        <v>18</v>
      </c>
      <c r="AR79" s="38">
        <f t="shared" si="5"/>
        <v>0.8571428571428571</v>
      </c>
      <c r="AS79" s="37">
        <v>3</v>
      </c>
      <c r="AT79" s="23">
        <v>6</v>
      </c>
      <c r="AU79" s="18">
        <f t="shared" si="6"/>
        <v>0.375</v>
      </c>
      <c r="AV79" s="23">
        <v>0</v>
      </c>
      <c r="AW79" s="23">
        <v>4</v>
      </c>
      <c r="AX79" s="23">
        <v>6</v>
      </c>
      <c r="AY79" s="23">
        <v>6</v>
      </c>
      <c r="AZ79" s="18">
        <f t="shared" si="7"/>
        <v>0.375</v>
      </c>
      <c r="BA79" s="39">
        <v>10</v>
      </c>
      <c r="BB79" s="40">
        <v>0</v>
      </c>
      <c r="BC79" s="41">
        <v>0</v>
      </c>
      <c r="BD79" s="42">
        <v>0</v>
      </c>
      <c r="BE79" s="43">
        <v>0</v>
      </c>
    </row>
    <row r="80" spans="1:57" x14ac:dyDescent="0.2">
      <c r="A80" s="22">
        <v>45950</v>
      </c>
      <c r="B80" s="23">
        <v>9</v>
      </c>
      <c r="C80" s="23" t="s">
        <v>66</v>
      </c>
      <c r="D80" s="25">
        <v>2</v>
      </c>
      <c r="E80" s="25">
        <v>0</v>
      </c>
      <c r="F80" s="23" t="s">
        <v>63</v>
      </c>
      <c r="H80" s="27">
        <v>56</v>
      </c>
      <c r="I80" s="24">
        <v>44</v>
      </c>
      <c r="J80" s="28">
        <v>1.34</v>
      </c>
      <c r="K80" s="29">
        <v>0.33</v>
      </c>
      <c r="L80" s="30">
        <v>8</v>
      </c>
      <c r="M80" s="24">
        <v>2</v>
      </c>
      <c r="N80" s="30">
        <v>17</v>
      </c>
      <c r="O80" s="24">
        <v>9</v>
      </c>
      <c r="P80" s="30">
        <v>3</v>
      </c>
      <c r="Q80" s="24">
        <v>7</v>
      </c>
      <c r="R80" s="30">
        <v>0</v>
      </c>
      <c r="S80" s="24">
        <v>2</v>
      </c>
      <c r="T80" s="28">
        <v>0.14000000000000001</v>
      </c>
      <c r="U80" s="31">
        <v>-0.47</v>
      </c>
      <c r="V80" s="32">
        <v>8</v>
      </c>
      <c r="W80" s="24">
        <v>10</v>
      </c>
      <c r="X80" s="30">
        <v>6</v>
      </c>
      <c r="Y80" s="24">
        <v>9</v>
      </c>
      <c r="Z80" s="30">
        <v>518</v>
      </c>
      <c r="AA80" s="24">
        <v>381</v>
      </c>
      <c r="AB80" s="30">
        <v>12</v>
      </c>
      <c r="AC80" s="24">
        <v>16</v>
      </c>
      <c r="AD80" s="30">
        <v>9</v>
      </c>
      <c r="AE80" s="24">
        <v>6</v>
      </c>
      <c r="AF80" s="30">
        <v>1</v>
      </c>
      <c r="AG80" s="33">
        <v>1</v>
      </c>
      <c r="AH80" s="27">
        <v>0</v>
      </c>
      <c r="AI80" s="34">
        <v>0</v>
      </c>
      <c r="AJ80" s="27">
        <v>0</v>
      </c>
      <c r="AK80" s="34">
        <v>0</v>
      </c>
      <c r="AL80" s="35">
        <v>10</v>
      </c>
      <c r="AM80" s="36">
        <f t="shared" si="4"/>
        <v>0.58823529411764708</v>
      </c>
      <c r="AN80" s="37">
        <v>0</v>
      </c>
      <c r="AO80" s="37">
        <v>6</v>
      </c>
      <c r="AP80" s="37">
        <v>1</v>
      </c>
      <c r="AQ80" s="37">
        <v>14</v>
      </c>
      <c r="AR80" s="38">
        <f t="shared" si="5"/>
        <v>0.82352941176470584</v>
      </c>
      <c r="AS80" s="37">
        <v>3</v>
      </c>
      <c r="AT80" s="23">
        <v>3</v>
      </c>
      <c r="AU80" s="18">
        <f t="shared" si="6"/>
        <v>0.33333333333333331</v>
      </c>
      <c r="AV80" s="23">
        <v>1</v>
      </c>
      <c r="AW80" s="23">
        <v>5</v>
      </c>
      <c r="AX80" s="23">
        <v>1</v>
      </c>
      <c r="AY80" s="23">
        <v>7</v>
      </c>
      <c r="AZ80" s="18">
        <f t="shared" si="7"/>
        <v>0.77777777777777779</v>
      </c>
      <c r="BA80" s="39">
        <v>2</v>
      </c>
      <c r="BB80" s="40">
        <v>0</v>
      </c>
      <c r="BC80" s="41">
        <v>0</v>
      </c>
      <c r="BD80" s="42">
        <v>0</v>
      </c>
      <c r="BE80" s="43">
        <v>0</v>
      </c>
    </row>
    <row r="81" spans="1:57" x14ac:dyDescent="0.2">
      <c r="A81" s="22">
        <v>45952</v>
      </c>
      <c r="B81" s="23">
        <v>3</v>
      </c>
      <c r="C81" s="23" t="s">
        <v>64</v>
      </c>
      <c r="D81" s="25">
        <v>0</v>
      </c>
      <c r="E81" s="25">
        <v>0</v>
      </c>
      <c r="F81" s="23" t="s">
        <v>76</v>
      </c>
      <c r="H81" s="27">
        <v>47</v>
      </c>
      <c r="I81" s="24">
        <v>53</v>
      </c>
      <c r="J81" s="28">
        <v>0.61</v>
      </c>
      <c r="K81" s="29">
        <v>0.97</v>
      </c>
      <c r="L81" s="30">
        <v>0</v>
      </c>
      <c r="M81" s="24">
        <v>1</v>
      </c>
      <c r="N81" s="30">
        <v>14</v>
      </c>
      <c r="O81" s="24">
        <v>15</v>
      </c>
      <c r="P81" s="30">
        <v>4</v>
      </c>
      <c r="Q81" s="24">
        <v>4</v>
      </c>
      <c r="R81" s="30">
        <v>2</v>
      </c>
      <c r="S81" s="24">
        <v>1</v>
      </c>
      <c r="T81" s="28">
        <v>0.25</v>
      </c>
      <c r="U81" s="31">
        <v>0.44</v>
      </c>
      <c r="V81" s="32">
        <v>5</v>
      </c>
      <c r="W81" s="24">
        <v>5</v>
      </c>
      <c r="X81" s="30">
        <v>16</v>
      </c>
      <c r="Y81" s="24">
        <v>11</v>
      </c>
      <c r="Z81" s="30">
        <v>364</v>
      </c>
      <c r="AA81" s="24">
        <v>424</v>
      </c>
      <c r="AB81" s="30">
        <v>16</v>
      </c>
      <c r="AC81" s="24">
        <v>29</v>
      </c>
      <c r="AD81" s="30">
        <v>11</v>
      </c>
      <c r="AE81" s="24">
        <v>16</v>
      </c>
      <c r="AF81" s="30">
        <v>3</v>
      </c>
      <c r="AG81" s="33">
        <v>2</v>
      </c>
      <c r="AH81" s="27">
        <v>0</v>
      </c>
      <c r="AI81" s="34">
        <v>0</v>
      </c>
      <c r="AJ81" s="27">
        <v>0</v>
      </c>
      <c r="AK81" s="34">
        <v>0</v>
      </c>
      <c r="AL81" s="35">
        <v>4</v>
      </c>
      <c r="AM81" s="36">
        <f t="shared" si="4"/>
        <v>0.2857142857142857</v>
      </c>
      <c r="AN81" s="37">
        <v>0</v>
      </c>
      <c r="AO81" s="37">
        <v>3</v>
      </c>
      <c r="AP81" s="37">
        <v>7</v>
      </c>
      <c r="AQ81" s="37">
        <v>8</v>
      </c>
      <c r="AR81" s="38">
        <f t="shared" si="5"/>
        <v>0.5714285714285714</v>
      </c>
      <c r="AS81" s="37">
        <v>6</v>
      </c>
      <c r="AT81" s="23">
        <v>4</v>
      </c>
      <c r="AU81" s="18">
        <f t="shared" si="6"/>
        <v>0.26666666666666666</v>
      </c>
      <c r="AV81" s="23">
        <v>0</v>
      </c>
      <c r="AW81" s="23">
        <v>5</v>
      </c>
      <c r="AX81" s="23">
        <v>6</v>
      </c>
      <c r="AY81" s="23">
        <v>4</v>
      </c>
      <c r="AZ81" s="18">
        <f t="shared" si="7"/>
        <v>0.26666666666666666</v>
      </c>
      <c r="BA81" s="39">
        <v>1</v>
      </c>
      <c r="BB81" s="40">
        <v>0</v>
      </c>
      <c r="BC81" s="41">
        <v>0</v>
      </c>
      <c r="BD81" s="42">
        <v>0</v>
      </c>
      <c r="BE81" s="43">
        <v>0</v>
      </c>
    </row>
    <row r="82" spans="1:57" x14ac:dyDescent="0.2">
      <c r="A82" s="22">
        <v>45952</v>
      </c>
      <c r="B82" s="23">
        <v>3</v>
      </c>
      <c r="C82" s="23" t="s">
        <v>67</v>
      </c>
      <c r="D82" s="25">
        <v>0</v>
      </c>
      <c r="E82" s="25">
        <v>2</v>
      </c>
      <c r="F82" s="23" t="s">
        <v>78</v>
      </c>
      <c r="H82" s="27">
        <v>71</v>
      </c>
      <c r="I82" s="24">
        <v>29</v>
      </c>
      <c r="J82" s="28">
        <v>0.85</v>
      </c>
      <c r="K82" s="29">
        <v>1.73</v>
      </c>
      <c r="L82" s="30">
        <v>1</v>
      </c>
      <c r="M82" s="24">
        <v>4</v>
      </c>
      <c r="N82" s="30">
        <v>22</v>
      </c>
      <c r="O82" s="24">
        <v>9</v>
      </c>
      <c r="P82" s="30">
        <v>2</v>
      </c>
      <c r="Q82" s="24">
        <v>3</v>
      </c>
      <c r="R82" s="30">
        <v>0</v>
      </c>
      <c r="S82" s="24">
        <v>0</v>
      </c>
      <c r="T82" s="28">
        <v>0.22</v>
      </c>
      <c r="U82" s="31">
        <v>0.57999999999999996</v>
      </c>
      <c r="V82" s="32">
        <v>17</v>
      </c>
      <c r="W82" s="24">
        <v>3</v>
      </c>
      <c r="X82" s="30">
        <v>7</v>
      </c>
      <c r="Y82" s="24">
        <v>16</v>
      </c>
      <c r="Z82" s="30">
        <v>536</v>
      </c>
      <c r="AA82" s="24">
        <v>229</v>
      </c>
      <c r="AB82" s="30">
        <v>13</v>
      </c>
      <c r="AC82" s="24">
        <v>16</v>
      </c>
      <c r="AD82" s="30">
        <v>16</v>
      </c>
      <c r="AE82" s="24">
        <v>7</v>
      </c>
      <c r="AF82" s="30">
        <v>1</v>
      </c>
      <c r="AG82" s="33">
        <v>3</v>
      </c>
      <c r="AH82" s="27">
        <v>0</v>
      </c>
      <c r="AI82" s="34">
        <v>0</v>
      </c>
      <c r="AJ82" s="27">
        <v>0</v>
      </c>
      <c r="AK82" s="34">
        <v>0</v>
      </c>
      <c r="AL82" s="35">
        <v>3</v>
      </c>
      <c r="AM82" s="36">
        <f t="shared" si="4"/>
        <v>0.13636363636363635</v>
      </c>
      <c r="AN82" s="37">
        <v>0</v>
      </c>
      <c r="AO82" s="37">
        <v>12</v>
      </c>
      <c r="AP82" s="37">
        <v>7</v>
      </c>
      <c r="AQ82" s="37">
        <v>11</v>
      </c>
      <c r="AR82" s="38">
        <f t="shared" si="5"/>
        <v>0.5</v>
      </c>
      <c r="AS82" s="37">
        <v>11</v>
      </c>
      <c r="AT82" s="23">
        <v>4</v>
      </c>
      <c r="AU82" s="18">
        <f t="shared" si="6"/>
        <v>0.44444444444444442</v>
      </c>
      <c r="AV82" s="23">
        <v>0</v>
      </c>
      <c r="AW82" s="23">
        <v>3</v>
      </c>
      <c r="AX82" s="23">
        <v>2</v>
      </c>
      <c r="AY82" s="23">
        <v>7</v>
      </c>
      <c r="AZ82" s="18">
        <f t="shared" si="7"/>
        <v>0.77777777777777779</v>
      </c>
      <c r="BA82" s="39">
        <v>2</v>
      </c>
      <c r="BB82" s="40">
        <v>0</v>
      </c>
      <c r="BC82" s="41">
        <v>1</v>
      </c>
      <c r="BD82" s="42">
        <v>0</v>
      </c>
      <c r="BE82" s="43">
        <v>0</v>
      </c>
    </row>
    <row r="83" spans="1:57" x14ac:dyDescent="0.2">
      <c r="A83" s="22">
        <v>45954</v>
      </c>
      <c r="B83" s="23">
        <v>10</v>
      </c>
      <c r="C83" s="23" t="s">
        <v>70</v>
      </c>
      <c r="D83" s="25">
        <v>2</v>
      </c>
      <c r="E83" s="25">
        <v>2</v>
      </c>
      <c r="F83" s="24" t="s">
        <v>77</v>
      </c>
      <c r="G83" s="47" t="s">
        <v>91</v>
      </c>
      <c r="H83" s="27">
        <v>47</v>
      </c>
      <c r="I83" s="24">
        <v>53</v>
      </c>
      <c r="J83" s="28">
        <v>2.04</v>
      </c>
      <c r="K83" s="29">
        <v>1.65</v>
      </c>
      <c r="L83" s="30">
        <v>3</v>
      </c>
      <c r="M83" s="24">
        <v>4</v>
      </c>
      <c r="N83" s="30">
        <v>10</v>
      </c>
      <c r="O83" s="24">
        <v>13</v>
      </c>
      <c r="P83" s="30">
        <v>6</v>
      </c>
      <c r="Q83" s="24">
        <v>1</v>
      </c>
      <c r="R83" s="30">
        <v>2</v>
      </c>
      <c r="S83" s="24">
        <v>1</v>
      </c>
      <c r="T83" s="28">
        <v>-0.02</v>
      </c>
      <c r="U83" s="31">
        <v>-0.15</v>
      </c>
      <c r="V83" s="32">
        <v>1</v>
      </c>
      <c r="W83" s="24">
        <v>7</v>
      </c>
      <c r="X83" s="30">
        <v>16</v>
      </c>
      <c r="Y83" s="24">
        <v>21</v>
      </c>
      <c r="Z83" s="30">
        <v>366</v>
      </c>
      <c r="AA83" s="24">
        <v>406</v>
      </c>
      <c r="AB83" s="30">
        <v>22</v>
      </c>
      <c r="AC83" s="24">
        <v>22</v>
      </c>
      <c r="AD83" s="30">
        <v>20</v>
      </c>
      <c r="AE83" s="24">
        <v>16</v>
      </c>
      <c r="AF83" s="30">
        <v>2</v>
      </c>
      <c r="AG83" s="33">
        <v>4</v>
      </c>
      <c r="AH83" s="27">
        <v>0</v>
      </c>
      <c r="AI83" s="34">
        <v>1</v>
      </c>
      <c r="AJ83" s="27">
        <v>1</v>
      </c>
      <c r="AK83" s="34">
        <v>0</v>
      </c>
      <c r="AL83" s="35">
        <v>3</v>
      </c>
      <c r="AM83" s="36">
        <f t="shared" si="4"/>
        <v>0.3</v>
      </c>
      <c r="AN83" s="37">
        <v>0</v>
      </c>
      <c r="AO83" s="37">
        <v>7</v>
      </c>
      <c r="AP83" s="37">
        <v>0</v>
      </c>
      <c r="AQ83" s="37">
        <v>5</v>
      </c>
      <c r="AR83" s="38">
        <f t="shared" si="5"/>
        <v>0.5</v>
      </c>
      <c r="AS83" s="37">
        <v>5</v>
      </c>
      <c r="AT83" s="23">
        <v>10</v>
      </c>
      <c r="AU83" s="18">
        <f t="shared" si="6"/>
        <v>0.76923076923076927</v>
      </c>
      <c r="AV83" s="23">
        <v>0</v>
      </c>
      <c r="AW83" s="23">
        <v>0</v>
      </c>
      <c r="AX83" s="23">
        <v>3</v>
      </c>
      <c r="AY83" s="23">
        <v>10</v>
      </c>
      <c r="AZ83" s="18">
        <f t="shared" si="7"/>
        <v>0.76923076923076927</v>
      </c>
      <c r="BA83" s="39">
        <v>3</v>
      </c>
      <c r="BB83" s="40">
        <v>0</v>
      </c>
      <c r="BC83" s="41">
        <v>0</v>
      </c>
      <c r="BD83" s="42">
        <v>0</v>
      </c>
      <c r="BE83" s="43">
        <v>0</v>
      </c>
    </row>
    <row r="84" spans="1:57" x14ac:dyDescent="0.2">
      <c r="A84" s="22">
        <v>45955</v>
      </c>
      <c r="B84" s="23">
        <v>10</v>
      </c>
      <c r="C84" s="23" t="s">
        <v>69</v>
      </c>
      <c r="D84" s="25">
        <v>2</v>
      </c>
      <c r="E84" s="25">
        <v>0</v>
      </c>
      <c r="F84" s="23" t="s">
        <v>73</v>
      </c>
      <c r="H84" s="27">
        <v>52</v>
      </c>
      <c r="I84" s="24">
        <v>48</v>
      </c>
      <c r="J84" s="28">
        <v>1.33</v>
      </c>
      <c r="K84" s="29">
        <v>0.69</v>
      </c>
      <c r="L84" s="30">
        <v>3</v>
      </c>
      <c r="M84" s="24">
        <v>1</v>
      </c>
      <c r="N84" s="30">
        <v>14</v>
      </c>
      <c r="O84" s="24">
        <v>9</v>
      </c>
      <c r="P84" s="30">
        <v>1</v>
      </c>
      <c r="Q84" s="24">
        <v>4</v>
      </c>
      <c r="R84" s="30">
        <v>1</v>
      </c>
      <c r="S84" s="24">
        <v>0</v>
      </c>
      <c r="T84" s="28">
        <v>0.04</v>
      </c>
      <c r="U84" s="31">
        <v>-0.18</v>
      </c>
      <c r="V84" s="32">
        <v>4</v>
      </c>
      <c r="W84" s="24">
        <v>2</v>
      </c>
      <c r="X84" s="30">
        <v>16</v>
      </c>
      <c r="Y84" s="24">
        <v>8</v>
      </c>
      <c r="Z84" s="30">
        <v>412</v>
      </c>
      <c r="AA84" s="24">
        <v>365</v>
      </c>
      <c r="AB84" s="30">
        <v>15</v>
      </c>
      <c r="AC84" s="24">
        <v>17</v>
      </c>
      <c r="AD84" s="30">
        <v>8</v>
      </c>
      <c r="AE84" s="24">
        <v>16</v>
      </c>
      <c r="AF84" s="30">
        <v>0</v>
      </c>
      <c r="AG84" s="33">
        <v>0</v>
      </c>
      <c r="AH84" s="27">
        <v>0</v>
      </c>
      <c r="AI84" s="34">
        <v>0</v>
      </c>
      <c r="AJ84" s="27">
        <v>0</v>
      </c>
      <c r="AK84" s="34">
        <v>0</v>
      </c>
      <c r="AL84" s="35">
        <v>5</v>
      </c>
      <c r="AM84" s="36">
        <f t="shared" si="4"/>
        <v>0.35714285714285715</v>
      </c>
      <c r="AN84" s="37">
        <v>1</v>
      </c>
      <c r="AO84" s="37">
        <v>5</v>
      </c>
      <c r="AP84" s="37">
        <v>4</v>
      </c>
      <c r="AQ84" s="37">
        <v>11</v>
      </c>
      <c r="AR84" s="38">
        <f t="shared" si="5"/>
        <v>0.7857142857142857</v>
      </c>
      <c r="AS84" s="37">
        <v>3</v>
      </c>
      <c r="AT84" s="23">
        <v>1</v>
      </c>
      <c r="AU84" s="18">
        <f t="shared" si="6"/>
        <v>0.1111111111111111</v>
      </c>
      <c r="AV84" s="23">
        <v>1</v>
      </c>
      <c r="AW84" s="23">
        <v>7</v>
      </c>
      <c r="AX84" s="23">
        <v>1</v>
      </c>
      <c r="AY84" s="23">
        <v>3</v>
      </c>
      <c r="AZ84" s="18">
        <f t="shared" si="7"/>
        <v>0.33333333333333331</v>
      </c>
      <c r="BA84" s="39">
        <v>6</v>
      </c>
      <c r="BB84" s="40">
        <v>0</v>
      </c>
      <c r="BC84" s="41">
        <v>0</v>
      </c>
      <c r="BD84" s="42">
        <v>0</v>
      </c>
      <c r="BE84" s="43">
        <v>0</v>
      </c>
    </row>
    <row r="85" spans="1:57" x14ac:dyDescent="0.2">
      <c r="A85" s="22">
        <v>45955</v>
      </c>
      <c r="B85" s="23">
        <v>10</v>
      </c>
      <c r="C85" s="23" t="s">
        <v>68</v>
      </c>
      <c r="D85" s="25">
        <v>2</v>
      </c>
      <c r="E85" s="25">
        <v>0</v>
      </c>
      <c r="F85" s="23" t="s">
        <v>66</v>
      </c>
      <c r="H85" s="27">
        <v>56</v>
      </c>
      <c r="I85" s="24">
        <v>44</v>
      </c>
      <c r="J85" s="28">
        <v>1.0900000000000001</v>
      </c>
      <c r="K85" s="29">
        <v>1.19</v>
      </c>
      <c r="L85" s="30">
        <v>1</v>
      </c>
      <c r="M85" s="24">
        <v>2</v>
      </c>
      <c r="N85" s="30">
        <v>13</v>
      </c>
      <c r="O85" s="24">
        <v>10</v>
      </c>
      <c r="P85" s="30">
        <v>4</v>
      </c>
      <c r="Q85" s="24">
        <v>4</v>
      </c>
      <c r="R85" s="30">
        <v>1</v>
      </c>
      <c r="S85" s="24">
        <v>1</v>
      </c>
      <c r="T85" s="28">
        <v>1.04</v>
      </c>
      <c r="U85" s="31">
        <v>-1.08</v>
      </c>
      <c r="V85" s="32">
        <v>8</v>
      </c>
      <c r="W85" s="24">
        <v>3</v>
      </c>
      <c r="X85" s="30">
        <v>18</v>
      </c>
      <c r="Y85" s="24">
        <v>12</v>
      </c>
      <c r="Z85" s="30">
        <v>459</v>
      </c>
      <c r="AA85" s="24">
        <v>356</v>
      </c>
      <c r="AB85" s="30">
        <v>14</v>
      </c>
      <c r="AC85" s="24">
        <v>19</v>
      </c>
      <c r="AD85" s="30">
        <v>12</v>
      </c>
      <c r="AE85" s="24">
        <v>18</v>
      </c>
      <c r="AF85" s="30">
        <v>4</v>
      </c>
      <c r="AG85" s="33">
        <v>1</v>
      </c>
      <c r="AH85" s="27">
        <v>0</v>
      </c>
      <c r="AI85" s="34">
        <v>0</v>
      </c>
      <c r="AJ85" s="27">
        <v>0</v>
      </c>
      <c r="AK85" s="34">
        <v>0</v>
      </c>
      <c r="AL85" s="35">
        <v>6</v>
      </c>
      <c r="AM85" s="36">
        <f t="shared" si="4"/>
        <v>0.46153846153846156</v>
      </c>
      <c r="AN85" s="37">
        <v>0</v>
      </c>
      <c r="AO85" s="37">
        <v>3</v>
      </c>
      <c r="AP85" s="37">
        <v>4</v>
      </c>
      <c r="AQ85" s="37">
        <v>9</v>
      </c>
      <c r="AR85" s="38">
        <f t="shared" si="5"/>
        <v>0.69230769230769229</v>
      </c>
      <c r="AS85" s="37">
        <v>4</v>
      </c>
      <c r="AT85" s="23">
        <v>4</v>
      </c>
      <c r="AU85" s="23">
        <f t="shared" si="6"/>
        <v>0.4</v>
      </c>
      <c r="AV85" s="23">
        <v>0</v>
      </c>
      <c r="AW85" s="23">
        <v>4</v>
      </c>
      <c r="AX85" s="23">
        <v>2</v>
      </c>
      <c r="AY85" s="23">
        <v>5</v>
      </c>
      <c r="AZ85" s="18">
        <f t="shared" si="7"/>
        <v>0.5</v>
      </c>
      <c r="BA85" s="39">
        <v>5</v>
      </c>
      <c r="BB85" s="40">
        <v>0</v>
      </c>
      <c r="BC85" s="41">
        <v>0</v>
      </c>
      <c r="BD85" s="42">
        <v>0</v>
      </c>
      <c r="BE85" s="43">
        <v>1</v>
      </c>
    </row>
    <row r="86" spans="1:57" x14ac:dyDescent="0.2">
      <c r="A86" s="22">
        <v>45956</v>
      </c>
      <c r="B86" s="23">
        <v>10</v>
      </c>
      <c r="C86" s="24" t="s">
        <v>62</v>
      </c>
      <c r="D86" s="25">
        <v>0</v>
      </c>
      <c r="E86" s="25">
        <v>4</v>
      </c>
      <c r="F86" s="23" t="s">
        <v>76</v>
      </c>
      <c r="G86" s="47" t="s">
        <v>92</v>
      </c>
      <c r="H86" s="27">
        <v>34</v>
      </c>
      <c r="I86" s="24">
        <v>66</v>
      </c>
      <c r="J86" s="28">
        <v>1.24</v>
      </c>
      <c r="K86" s="29">
        <v>2.4700000000000002</v>
      </c>
      <c r="L86" s="30">
        <v>1</v>
      </c>
      <c r="M86" s="24">
        <v>6</v>
      </c>
      <c r="N86" s="30">
        <v>10</v>
      </c>
      <c r="O86" s="24">
        <v>19</v>
      </c>
      <c r="P86" s="30">
        <v>5</v>
      </c>
      <c r="Q86" s="24">
        <v>4</v>
      </c>
      <c r="R86" s="30">
        <v>0</v>
      </c>
      <c r="S86" s="24">
        <v>2</v>
      </c>
      <c r="T86" s="28">
        <v>-1.27</v>
      </c>
      <c r="U86" s="31">
        <v>0.26</v>
      </c>
      <c r="V86" s="32">
        <v>3</v>
      </c>
      <c r="W86" s="24">
        <v>8</v>
      </c>
      <c r="X86" s="30">
        <v>10</v>
      </c>
      <c r="Y86" s="24">
        <v>15</v>
      </c>
      <c r="Z86" s="30">
        <v>302</v>
      </c>
      <c r="AA86" s="24">
        <v>583</v>
      </c>
      <c r="AB86" s="30">
        <v>18</v>
      </c>
      <c r="AC86" s="24">
        <v>7</v>
      </c>
      <c r="AD86" s="30">
        <v>15</v>
      </c>
      <c r="AE86" s="24">
        <v>10</v>
      </c>
      <c r="AF86" s="30">
        <v>3</v>
      </c>
      <c r="AG86" s="33">
        <v>2</v>
      </c>
      <c r="AH86" s="27">
        <v>1</v>
      </c>
      <c r="AI86" s="34">
        <v>0</v>
      </c>
      <c r="AJ86" s="27">
        <v>0</v>
      </c>
      <c r="AK86" s="34">
        <v>0</v>
      </c>
      <c r="AL86" s="35">
        <v>4</v>
      </c>
      <c r="AM86" s="36">
        <f t="shared" si="4"/>
        <v>0.4</v>
      </c>
      <c r="AN86" s="37">
        <v>1</v>
      </c>
      <c r="AO86" s="37">
        <v>6</v>
      </c>
      <c r="AP86" s="37">
        <v>0</v>
      </c>
      <c r="AQ86" s="37">
        <v>8</v>
      </c>
      <c r="AR86" s="38">
        <f t="shared" si="5"/>
        <v>0.8</v>
      </c>
      <c r="AS86" s="37">
        <v>2</v>
      </c>
      <c r="AT86" s="23">
        <v>9</v>
      </c>
      <c r="AU86" s="23">
        <f t="shared" si="6"/>
        <v>0.47368421052631576</v>
      </c>
      <c r="AV86" s="23">
        <v>1</v>
      </c>
      <c r="AW86" s="23">
        <v>5</v>
      </c>
      <c r="AX86" s="23">
        <v>5</v>
      </c>
      <c r="AY86" s="23">
        <v>14</v>
      </c>
      <c r="AZ86" s="18">
        <f t="shared" si="7"/>
        <v>0.73684210526315785</v>
      </c>
      <c r="BA86" s="39">
        <v>5</v>
      </c>
      <c r="BB86" s="40">
        <v>1</v>
      </c>
      <c r="BC86" s="41">
        <v>0</v>
      </c>
      <c r="BD86" s="42">
        <v>1</v>
      </c>
      <c r="BE86" s="43">
        <v>0</v>
      </c>
    </row>
    <row r="87" spans="1:57" x14ac:dyDescent="0.2">
      <c r="A87" s="22">
        <v>45956</v>
      </c>
      <c r="B87" s="23">
        <v>10</v>
      </c>
      <c r="C87" s="23" t="s">
        <v>58</v>
      </c>
      <c r="D87" s="25">
        <v>3</v>
      </c>
      <c r="E87" s="25">
        <v>1</v>
      </c>
      <c r="F87" s="24" t="s">
        <v>65</v>
      </c>
      <c r="G87" s="47" t="s">
        <v>93</v>
      </c>
      <c r="H87" s="27">
        <v>80</v>
      </c>
      <c r="I87" s="24">
        <v>20</v>
      </c>
      <c r="J87" s="28">
        <v>3.31</v>
      </c>
      <c r="K87" s="29">
        <v>1.08</v>
      </c>
      <c r="L87" s="30">
        <v>4</v>
      </c>
      <c r="M87" s="24">
        <v>3</v>
      </c>
      <c r="N87" s="30">
        <v>27</v>
      </c>
      <c r="O87" s="24">
        <v>5</v>
      </c>
      <c r="P87" s="30">
        <v>2</v>
      </c>
      <c r="Q87" s="24">
        <v>10</v>
      </c>
      <c r="R87" s="30">
        <v>0</v>
      </c>
      <c r="S87" s="24">
        <v>2</v>
      </c>
      <c r="T87" s="28">
        <v>-0.02</v>
      </c>
      <c r="U87" s="31">
        <v>1.31</v>
      </c>
      <c r="V87" s="32">
        <v>8</v>
      </c>
      <c r="W87" s="24">
        <v>2</v>
      </c>
      <c r="X87" s="30">
        <v>8</v>
      </c>
      <c r="Y87" s="24">
        <v>12</v>
      </c>
      <c r="Z87" s="30">
        <v>591</v>
      </c>
      <c r="AA87" s="24">
        <v>155</v>
      </c>
      <c r="AB87" s="30">
        <v>13</v>
      </c>
      <c r="AC87" s="24">
        <v>14</v>
      </c>
      <c r="AD87" s="30">
        <v>12</v>
      </c>
      <c r="AE87" s="24">
        <v>8</v>
      </c>
      <c r="AF87" s="30">
        <v>1</v>
      </c>
      <c r="AG87" s="33">
        <v>2</v>
      </c>
      <c r="AH87" s="27">
        <v>0</v>
      </c>
      <c r="AI87" s="34">
        <v>1</v>
      </c>
      <c r="AJ87" s="27">
        <v>0</v>
      </c>
      <c r="AK87" s="34">
        <v>0</v>
      </c>
      <c r="AL87" s="35">
        <v>13</v>
      </c>
      <c r="AM87" s="36">
        <f t="shared" si="4"/>
        <v>0.48148148148148145</v>
      </c>
      <c r="AN87" s="37">
        <v>1</v>
      </c>
      <c r="AO87" s="37">
        <v>10</v>
      </c>
      <c r="AP87" s="37">
        <v>4</v>
      </c>
      <c r="AQ87" s="37">
        <v>14</v>
      </c>
      <c r="AR87" s="38">
        <f t="shared" si="5"/>
        <v>0.51851851851851849</v>
      </c>
      <c r="AS87" s="37">
        <v>3</v>
      </c>
      <c r="AT87" s="23">
        <v>3</v>
      </c>
      <c r="AU87" s="23">
        <f t="shared" si="6"/>
        <v>0.6</v>
      </c>
      <c r="AV87" s="23">
        <v>1</v>
      </c>
      <c r="AW87" s="23">
        <v>2</v>
      </c>
      <c r="AX87" s="23">
        <v>0</v>
      </c>
      <c r="AY87" s="23">
        <v>3</v>
      </c>
      <c r="AZ87" s="18">
        <f t="shared" si="7"/>
        <v>0.6</v>
      </c>
      <c r="BA87" s="39">
        <v>2</v>
      </c>
      <c r="BB87" s="40">
        <v>1</v>
      </c>
      <c r="BC87" s="41">
        <v>0</v>
      </c>
      <c r="BD87" s="42">
        <v>0</v>
      </c>
      <c r="BE87" s="43">
        <v>1</v>
      </c>
    </row>
    <row r="88" spans="1:57" x14ac:dyDescent="0.2">
      <c r="A88" s="22">
        <v>45956</v>
      </c>
      <c r="B88" s="23">
        <v>10</v>
      </c>
      <c r="C88" s="24" t="s">
        <v>61</v>
      </c>
      <c r="D88" s="25">
        <v>1</v>
      </c>
      <c r="E88" s="25">
        <v>2</v>
      </c>
      <c r="F88" s="23" t="s">
        <v>67</v>
      </c>
      <c r="G88" s="47" t="s">
        <v>94</v>
      </c>
      <c r="H88" s="27">
        <v>52</v>
      </c>
      <c r="I88" s="24">
        <v>48</v>
      </c>
      <c r="J88" s="28">
        <v>1.03</v>
      </c>
      <c r="K88" s="29">
        <v>1.25</v>
      </c>
      <c r="L88" s="30">
        <v>2</v>
      </c>
      <c r="M88" s="24">
        <v>3</v>
      </c>
      <c r="N88" s="30">
        <v>15</v>
      </c>
      <c r="O88" s="24">
        <v>16</v>
      </c>
      <c r="P88" s="30">
        <v>4</v>
      </c>
      <c r="Q88" s="24">
        <v>1</v>
      </c>
      <c r="R88" s="30">
        <v>0</v>
      </c>
      <c r="S88" s="24">
        <v>0</v>
      </c>
      <c r="T88" s="28">
        <v>0.87</v>
      </c>
      <c r="U88" s="31">
        <v>-0.12</v>
      </c>
      <c r="V88" s="32">
        <v>6</v>
      </c>
      <c r="W88" s="24">
        <v>5</v>
      </c>
      <c r="X88" s="30">
        <v>11</v>
      </c>
      <c r="Y88" s="24">
        <v>17</v>
      </c>
      <c r="Z88" s="30">
        <v>393</v>
      </c>
      <c r="AA88" s="24">
        <v>359</v>
      </c>
      <c r="AB88" s="30">
        <v>16</v>
      </c>
      <c r="AC88" s="24">
        <v>8</v>
      </c>
      <c r="AD88" s="30">
        <v>17</v>
      </c>
      <c r="AE88" s="24">
        <v>11</v>
      </c>
      <c r="AF88" s="30">
        <v>4</v>
      </c>
      <c r="AG88" s="33">
        <v>3</v>
      </c>
      <c r="AH88" s="27">
        <v>1</v>
      </c>
      <c r="AI88" s="34">
        <v>0</v>
      </c>
      <c r="AJ88" s="27">
        <v>0</v>
      </c>
      <c r="AK88" s="34">
        <v>0</v>
      </c>
      <c r="AL88" s="35">
        <v>2</v>
      </c>
      <c r="AM88" s="36">
        <f t="shared" si="4"/>
        <v>0.13333333333333333</v>
      </c>
      <c r="AN88" s="37">
        <v>1</v>
      </c>
      <c r="AO88" s="37">
        <v>7</v>
      </c>
      <c r="AP88" s="37">
        <v>6</v>
      </c>
      <c r="AQ88" s="37">
        <v>7</v>
      </c>
      <c r="AR88" s="38">
        <f t="shared" si="5"/>
        <v>0.46666666666666667</v>
      </c>
      <c r="AS88" s="37">
        <v>8</v>
      </c>
      <c r="AT88" s="23">
        <v>6</v>
      </c>
      <c r="AU88" s="23">
        <f t="shared" si="6"/>
        <v>0.375</v>
      </c>
      <c r="AV88" s="23">
        <v>0</v>
      </c>
      <c r="AW88" s="23">
        <v>5</v>
      </c>
      <c r="AX88" s="23">
        <v>5</v>
      </c>
      <c r="AY88" s="23">
        <v>10</v>
      </c>
      <c r="AZ88" s="18">
        <f t="shared" si="7"/>
        <v>0.625</v>
      </c>
      <c r="BA88" s="39">
        <v>6</v>
      </c>
      <c r="BB88" s="40">
        <v>1</v>
      </c>
      <c r="BC88" s="41">
        <v>1</v>
      </c>
      <c r="BD88" s="42">
        <v>1</v>
      </c>
      <c r="BE88" s="43">
        <v>0</v>
      </c>
    </row>
    <row r="89" spans="1:57" x14ac:dyDescent="0.2">
      <c r="A89" s="22">
        <v>45956</v>
      </c>
      <c r="B89" s="23">
        <v>10</v>
      </c>
      <c r="C89" s="23" t="s">
        <v>63</v>
      </c>
      <c r="D89" s="25">
        <v>1</v>
      </c>
      <c r="E89" s="25">
        <v>1</v>
      </c>
      <c r="F89" s="23" t="s">
        <v>78</v>
      </c>
      <c r="H89" s="27">
        <v>34</v>
      </c>
      <c r="I89" s="24">
        <v>66</v>
      </c>
      <c r="J89" s="28">
        <v>1.04</v>
      </c>
      <c r="K89" s="29">
        <v>2.57</v>
      </c>
      <c r="L89" s="30">
        <v>0</v>
      </c>
      <c r="M89" s="24">
        <v>6</v>
      </c>
      <c r="N89" s="30">
        <v>12</v>
      </c>
      <c r="O89" s="24">
        <v>20</v>
      </c>
      <c r="P89" s="30">
        <v>5</v>
      </c>
      <c r="Q89" s="24">
        <v>4</v>
      </c>
      <c r="R89" s="30">
        <v>1</v>
      </c>
      <c r="S89" s="24">
        <v>1</v>
      </c>
      <c r="T89" s="28">
        <v>0.57999999999999996</v>
      </c>
      <c r="U89" s="31">
        <v>-0.12</v>
      </c>
      <c r="V89" s="32">
        <v>8</v>
      </c>
      <c r="W89" s="24">
        <v>0</v>
      </c>
      <c r="X89" s="30">
        <v>14</v>
      </c>
      <c r="Y89" s="24">
        <v>10</v>
      </c>
      <c r="Z89" s="30">
        <v>248</v>
      </c>
      <c r="AA89" s="24">
        <v>501</v>
      </c>
      <c r="AB89" s="30">
        <v>11</v>
      </c>
      <c r="AC89" s="24">
        <v>12</v>
      </c>
      <c r="AD89" s="30">
        <v>10</v>
      </c>
      <c r="AE89" s="24">
        <v>13</v>
      </c>
      <c r="AF89" s="30">
        <v>1</v>
      </c>
      <c r="AG89" s="33">
        <v>2</v>
      </c>
      <c r="AH89" s="27">
        <v>0</v>
      </c>
      <c r="AI89" s="34">
        <v>0</v>
      </c>
      <c r="AJ89" s="27">
        <v>0</v>
      </c>
      <c r="AK89" s="34">
        <v>1</v>
      </c>
      <c r="AL89" s="35">
        <v>4</v>
      </c>
      <c r="AM89" s="36">
        <f t="shared" si="4"/>
        <v>0.33333333333333331</v>
      </c>
      <c r="AN89" s="37">
        <v>0</v>
      </c>
      <c r="AO89" s="37">
        <v>4</v>
      </c>
      <c r="AP89" s="37">
        <v>4</v>
      </c>
      <c r="AQ89" s="37">
        <v>8</v>
      </c>
      <c r="AR89" s="38">
        <f t="shared" si="5"/>
        <v>0.66666666666666663</v>
      </c>
      <c r="AS89" s="37">
        <v>4</v>
      </c>
      <c r="AT89" s="23">
        <v>6</v>
      </c>
      <c r="AU89" s="23">
        <f t="shared" si="6"/>
        <v>0.3</v>
      </c>
      <c r="AV89" s="23">
        <v>1</v>
      </c>
      <c r="AW89" s="23">
        <v>9</v>
      </c>
      <c r="AX89" s="23">
        <v>5</v>
      </c>
      <c r="AY89" s="23">
        <v>17</v>
      </c>
      <c r="AZ89" s="18">
        <f t="shared" si="7"/>
        <v>0.85</v>
      </c>
      <c r="BA89" s="39">
        <v>3</v>
      </c>
      <c r="BB89" s="40">
        <v>0</v>
      </c>
      <c r="BC89" s="41">
        <v>0</v>
      </c>
      <c r="BD89" s="42">
        <v>1</v>
      </c>
      <c r="BE89" s="43">
        <v>1</v>
      </c>
    </row>
    <row r="90" spans="1:57" x14ac:dyDescent="0.2">
      <c r="A90" s="22">
        <v>45957</v>
      </c>
      <c r="B90" s="23">
        <v>10</v>
      </c>
      <c r="C90" s="24" t="s">
        <v>57</v>
      </c>
      <c r="D90" s="25">
        <v>0</v>
      </c>
      <c r="E90" s="25">
        <v>4</v>
      </c>
      <c r="F90" s="23" t="s">
        <v>74</v>
      </c>
      <c r="G90" s="47" t="s">
        <v>95</v>
      </c>
      <c r="H90" s="27">
        <v>59</v>
      </c>
      <c r="I90" s="24">
        <v>41</v>
      </c>
      <c r="J90" s="28">
        <v>0.56999999999999995</v>
      </c>
      <c r="K90" s="29">
        <v>2.5</v>
      </c>
      <c r="L90" s="30">
        <v>1</v>
      </c>
      <c r="M90" s="24">
        <v>7</v>
      </c>
      <c r="N90" s="30">
        <v>8</v>
      </c>
      <c r="O90" s="24">
        <v>20</v>
      </c>
      <c r="P90" s="30">
        <v>8</v>
      </c>
      <c r="Q90" s="24">
        <v>5</v>
      </c>
      <c r="R90" s="30">
        <v>1</v>
      </c>
      <c r="S90" s="24">
        <v>0</v>
      </c>
      <c r="T90" s="28">
        <v>-0.91</v>
      </c>
      <c r="U90" s="31">
        <v>0.39</v>
      </c>
      <c r="V90" s="32">
        <v>6</v>
      </c>
      <c r="W90" s="24">
        <v>4</v>
      </c>
      <c r="X90" s="30">
        <v>12</v>
      </c>
      <c r="Y90" s="24">
        <v>15</v>
      </c>
      <c r="Z90" s="30">
        <v>425</v>
      </c>
      <c r="AA90" s="24">
        <v>293</v>
      </c>
      <c r="AB90" s="30">
        <v>12</v>
      </c>
      <c r="AC90" s="24">
        <v>30</v>
      </c>
      <c r="AD90" s="30">
        <v>15</v>
      </c>
      <c r="AE90" s="24">
        <v>12</v>
      </c>
      <c r="AF90" s="30">
        <v>2</v>
      </c>
      <c r="AG90" s="33">
        <v>5</v>
      </c>
      <c r="AH90" s="27">
        <v>1</v>
      </c>
      <c r="AI90" s="34">
        <v>0</v>
      </c>
      <c r="AJ90" s="27">
        <v>0</v>
      </c>
      <c r="AK90" s="34">
        <v>0</v>
      </c>
      <c r="AL90" s="35">
        <v>5</v>
      </c>
      <c r="AM90" s="36">
        <f t="shared" si="4"/>
        <v>0.625</v>
      </c>
      <c r="AN90" s="37">
        <v>0</v>
      </c>
      <c r="AO90" s="37">
        <v>2</v>
      </c>
      <c r="AP90" s="37">
        <v>1</v>
      </c>
      <c r="AQ90" s="37">
        <v>3</v>
      </c>
      <c r="AR90" s="38">
        <f t="shared" si="5"/>
        <v>0.375</v>
      </c>
      <c r="AS90" s="37">
        <v>5</v>
      </c>
      <c r="AT90" s="23">
        <v>13</v>
      </c>
      <c r="AU90" s="23">
        <f t="shared" si="6"/>
        <v>0.65</v>
      </c>
      <c r="AV90" s="23">
        <v>2</v>
      </c>
      <c r="AW90" s="23">
        <v>5</v>
      </c>
      <c r="AX90" s="23">
        <v>2</v>
      </c>
      <c r="AY90" s="23">
        <v>14</v>
      </c>
      <c r="AZ90" s="18">
        <f t="shared" si="7"/>
        <v>0.7</v>
      </c>
      <c r="BA90" s="39">
        <v>6</v>
      </c>
      <c r="BB90" s="40">
        <v>1</v>
      </c>
      <c r="BC90" s="41">
        <v>0</v>
      </c>
      <c r="BD90" s="42">
        <v>0</v>
      </c>
      <c r="BE90" s="43">
        <v>0</v>
      </c>
    </row>
    <row r="91" spans="1:57" x14ac:dyDescent="0.2">
      <c r="A91" s="22">
        <v>45957</v>
      </c>
      <c r="B91" s="23">
        <v>10</v>
      </c>
      <c r="C91" s="23" t="s">
        <v>60</v>
      </c>
      <c r="D91" s="25">
        <v>1</v>
      </c>
      <c r="E91" s="25">
        <v>1</v>
      </c>
      <c r="F91" s="23" t="s">
        <v>64</v>
      </c>
      <c r="H91" s="27">
        <v>55</v>
      </c>
      <c r="I91" s="24">
        <v>45</v>
      </c>
      <c r="J91" s="28">
        <v>2.4500000000000002</v>
      </c>
      <c r="K91" s="29">
        <v>0.99</v>
      </c>
      <c r="L91" s="30">
        <v>2</v>
      </c>
      <c r="M91" s="24">
        <v>1</v>
      </c>
      <c r="N91" s="30">
        <v>26</v>
      </c>
      <c r="O91" s="24">
        <v>8</v>
      </c>
      <c r="P91" s="30">
        <v>0</v>
      </c>
      <c r="Q91" s="24">
        <v>6</v>
      </c>
      <c r="R91" s="30">
        <v>0</v>
      </c>
      <c r="S91" s="24">
        <v>1</v>
      </c>
      <c r="T91" s="28">
        <v>-0.37</v>
      </c>
      <c r="U91" s="31">
        <v>1.17</v>
      </c>
      <c r="V91" s="32">
        <v>7</v>
      </c>
      <c r="W91" s="24">
        <v>4</v>
      </c>
      <c r="X91" s="30">
        <v>9</v>
      </c>
      <c r="Y91" s="24">
        <v>14</v>
      </c>
      <c r="Z91" s="30">
        <v>463</v>
      </c>
      <c r="AA91" s="24">
        <v>376</v>
      </c>
      <c r="AB91" s="30">
        <v>15</v>
      </c>
      <c r="AC91" s="24">
        <v>17</v>
      </c>
      <c r="AD91" s="30">
        <v>14</v>
      </c>
      <c r="AE91" s="24">
        <v>9</v>
      </c>
      <c r="AF91" s="30">
        <v>0</v>
      </c>
      <c r="AG91" s="33">
        <v>2</v>
      </c>
      <c r="AH91" s="27">
        <v>0</v>
      </c>
      <c r="AI91" s="34">
        <v>0</v>
      </c>
      <c r="AJ91" s="27">
        <v>0</v>
      </c>
      <c r="AK91" s="34">
        <v>0</v>
      </c>
      <c r="AL91" s="35">
        <v>7</v>
      </c>
      <c r="AM91" s="36">
        <f t="shared" si="4"/>
        <v>0.26923076923076922</v>
      </c>
      <c r="AN91" s="37">
        <v>0</v>
      </c>
      <c r="AO91" s="37">
        <v>9</v>
      </c>
      <c r="AP91" s="37">
        <v>10</v>
      </c>
      <c r="AQ91" s="37">
        <v>15</v>
      </c>
      <c r="AR91" s="38">
        <f t="shared" si="5"/>
        <v>0.57692307692307687</v>
      </c>
      <c r="AS91" s="37">
        <v>11</v>
      </c>
      <c r="AT91" s="23">
        <v>1</v>
      </c>
      <c r="AU91" s="23">
        <f t="shared" si="6"/>
        <v>0.125</v>
      </c>
      <c r="AV91" s="23">
        <v>0</v>
      </c>
      <c r="AW91" s="23">
        <v>6</v>
      </c>
      <c r="AX91" s="23">
        <v>1</v>
      </c>
      <c r="AY91" s="23">
        <v>4</v>
      </c>
      <c r="AZ91" s="18">
        <f t="shared" si="7"/>
        <v>0.5</v>
      </c>
      <c r="BA91" s="39">
        <v>4</v>
      </c>
      <c r="BB91" s="40">
        <v>0</v>
      </c>
      <c r="BC91" s="41">
        <v>0</v>
      </c>
      <c r="BD91" s="42">
        <v>1</v>
      </c>
      <c r="BE91" s="43">
        <v>0</v>
      </c>
    </row>
    <row r="92" spans="1:57" x14ac:dyDescent="0.2">
      <c r="A92" s="22">
        <v>45961</v>
      </c>
      <c r="B92" s="23">
        <v>11</v>
      </c>
      <c r="C92" s="23" t="s">
        <v>76</v>
      </c>
      <c r="D92" s="25">
        <v>1</v>
      </c>
      <c r="E92" s="25">
        <v>0</v>
      </c>
      <c r="F92" s="23" t="s">
        <v>69</v>
      </c>
      <c r="H92" s="27">
        <v>58</v>
      </c>
      <c r="I92" s="24">
        <v>42</v>
      </c>
      <c r="J92" s="28">
        <v>1.65</v>
      </c>
      <c r="K92" s="29">
        <v>1.04</v>
      </c>
      <c r="L92" s="30">
        <v>1</v>
      </c>
      <c r="M92" s="24">
        <v>3</v>
      </c>
      <c r="N92" s="30">
        <v>16</v>
      </c>
      <c r="O92" s="24">
        <v>11</v>
      </c>
      <c r="P92" s="30">
        <v>6</v>
      </c>
      <c r="Q92" s="24">
        <v>2</v>
      </c>
      <c r="R92" s="30">
        <v>1</v>
      </c>
      <c r="S92" s="24">
        <v>1</v>
      </c>
      <c r="T92" s="28">
        <v>1.22</v>
      </c>
      <c r="U92" s="31">
        <v>0.31</v>
      </c>
      <c r="V92" s="32">
        <v>6</v>
      </c>
      <c r="W92" s="24">
        <v>5</v>
      </c>
      <c r="X92" s="30">
        <v>10</v>
      </c>
      <c r="Y92" s="24">
        <v>15</v>
      </c>
      <c r="Z92" s="30">
        <v>442</v>
      </c>
      <c r="AA92" s="24">
        <v>318</v>
      </c>
      <c r="AB92" s="30">
        <v>11</v>
      </c>
      <c r="AC92" s="24">
        <v>16</v>
      </c>
      <c r="AD92" s="30">
        <v>17</v>
      </c>
      <c r="AE92" s="24">
        <v>12</v>
      </c>
      <c r="AF92" s="30">
        <v>2</v>
      </c>
      <c r="AG92" s="33">
        <v>2</v>
      </c>
      <c r="AH92" s="27">
        <v>0</v>
      </c>
      <c r="AI92" s="34">
        <v>0</v>
      </c>
      <c r="AJ92" s="27">
        <v>1</v>
      </c>
      <c r="AK92" s="34">
        <v>0</v>
      </c>
      <c r="AL92" s="35">
        <v>4</v>
      </c>
      <c r="AM92" s="36">
        <f t="shared" si="4"/>
        <v>0.25</v>
      </c>
      <c r="AN92" s="37">
        <v>1</v>
      </c>
      <c r="AO92" s="37">
        <v>5</v>
      </c>
      <c r="AP92" s="37">
        <v>7</v>
      </c>
      <c r="AQ92" s="37">
        <v>10</v>
      </c>
      <c r="AR92" s="38">
        <f t="shared" si="5"/>
        <v>0.625</v>
      </c>
      <c r="AS92" s="37">
        <v>6</v>
      </c>
      <c r="AT92" s="23">
        <v>6</v>
      </c>
      <c r="AU92" s="23">
        <f t="shared" si="6"/>
        <v>0.54545454545454541</v>
      </c>
      <c r="AV92" s="23">
        <v>0</v>
      </c>
      <c r="AW92" s="23">
        <v>2</v>
      </c>
      <c r="AX92" s="23">
        <v>3</v>
      </c>
      <c r="AY92" s="23">
        <v>6</v>
      </c>
      <c r="AZ92" s="18">
        <f t="shared" si="7"/>
        <v>0.54545454545454541</v>
      </c>
      <c r="BA92" s="39">
        <v>5</v>
      </c>
      <c r="BB92" s="40">
        <v>2</v>
      </c>
      <c r="BC92" s="41">
        <v>0</v>
      </c>
      <c r="BD92" s="42">
        <v>2</v>
      </c>
      <c r="BE92" s="43">
        <v>0</v>
      </c>
    </row>
    <row r="93" spans="1:57" x14ac:dyDescent="0.2">
      <c r="A93" s="22">
        <v>45962</v>
      </c>
      <c r="B93" s="23">
        <v>11</v>
      </c>
      <c r="C93" s="23" t="s">
        <v>65</v>
      </c>
      <c r="D93" s="25">
        <v>1</v>
      </c>
      <c r="E93" s="25">
        <v>0</v>
      </c>
      <c r="F93" s="23" t="s">
        <v>61</v>
      </c>
      <c r="H93" s="27">
        <v>51</v>
      </c>
      <c r="I93" s="24">
        <v>49</v>
      </c>
      <c r="J93" s="28">
        <v>1.39</v>
      </c>
      <c r="K93" s="29">
        <v>0.69</v>
      </c>
      <c r="L93" s="30">
        <v>3</v>
      </c>
      <c r="M93" s="24">
        <v>1</v>
      </c>
      <c r="N93" s="30">
        <v>15</v>
      </c>
      <c r="O93" s="24">
        <v>13</v>
      </c>
      <c r="P93" s="30">
        <v>3</v>
      </c>
      <c r="Q93" s="24">
        <v>2</v>
      </c>
      <c r="R93" s="30">
        <v>0</v>
      </c>
      <c r="S93" s="24">
        <v>1</v>
      </c>
      <c r="T93" s="28">
        <v>0.51</v>
      </c>
      <c r="U93" s="31">
        <v>-0.01</v>
      </c>
      <c r="V93" s="32">
        <v>6</v>
      </c>
      <c r="W93" s="24">
        <v>3</v>
      </c>
      <c r="X93" s="30">
        <v>14</v>
      </c>
      <c r="Y93" s="24">
        <v>10</v>
      </c>
      <c r="Z93" s="30">
        <v>307</v>
      </c>
      <c r="AA93" s="24">
        <v>296</v>
      </c>
      <c r="AB93" s="30">
        <v>14</v>
      </c>
      <c r="AC93" s="24">
        <v>25</v>
      </c>
      <c r="AD93" s="30">
        <v>10</v>
      </c>
      <c r="AE93" s="24">
        <v>14</v>
      </c>
      <c r="AF93" s="30">
        <v>0</v>
      </c>
      <c r="AG93" s="33">
        <v>1</v>
      </c>
      <c r="AH93" s="27">
        <v>0</v>
      </c>
      <c r="AI93" s="34">
        <v>0</v>
      </c>
      <c r="AJ93" s="27">
        <v>0</v>
      </c>
      <c r="AK93" s="34">
        <v>0</v>
      </c>
      <c r="AL93" s="35">
        <v>3</v>
      </c>
      <c r="AM93" s="36">
        <f t="shared" si="4"/>
        <v>0.2</v>
      </c>
      <c r="AN93" s="37">
        <v>0</v>
      </c>
      <c r="AO93" s="37">
        <v>7</v>
      </c>
      <c r="AP93" s="37">
        <v>5</v>
      </c>
      <c r="AQ93" s="37">
        <v>12</v>
      </c>
      <c r="AR93" s="38">
        <f t="shared" si="5"/>
        <v>0.8</v>
      </c>
      <c r="AS93" s="37">
        <v>3</v>
      </c>
      <c r="AT93" s="23">
        <v>3</v>
      </c>
      <c r="AU93" s="23">
        <f t="shared" si="6"/>
        <v>0.23076923076923078</v>
      </c>
      <c r="AV93" s="23">
        <v>0</v>
      </c>
      <c r="AW93" s="23">
        <v>4</v>
      </c>
      <c r="AX93" s="23">
        <v>6</v>
      </c>
      <c r="AY93" s="23">
        <v>6</v>
      </c>
      <c r="AZ93" s="18">
        <f t="shared" si="7"/>
        <v>0.46153846153846156</v>
      </c>
      <c r="BA93" s="39">
        <v>7</v>
      </c>
      <c r="BB93" s="40">
        <v>0</v>
      </c>
      <c r="BC93" s="41">
        <v>0</v>
      </c>
      <c r="BD93" s="42">
        <v>0</v>
      </c>
      <c r="BE93" s="43">
        <v>0</v>
      </c>
    </row>
    <row r="94" spans="1:57" x14ac:dyDescent="0.2">
      <c r="A94" s="22">
        <v>45962</v>
      </c>
      <c r="B94" s="23">
        <v>11</v>
      </c>
      <c r="C94" s="23" t="s">
        <v>58</v>
      </c>
      <c r="D94" s="25">
        <v>0</v>
      </c>
      <c r="E94" s="25">
        <v>0</v>
      </c>
      <c r="F94" s="24" t="s">
        <v>68</v>
      </c>
      <c r="G94" s="47" t="s">
        <v>96</v>
      </c>
      <c r="H94" s="27">
        <v>58</v>
      </c>
      <c r="I94" s="24">
        <v>42</v>
      </c>
      <c r="J94" s="28">
        <v>0.97</v>
      </c>
      <c r="K94" s="29">
        <v>0.36</v>
      </c>
      <c r="L94" s="30">
        <v>3</v>
      </c>
      <c r="M94" s="24">
        <v>0</v>
      </c>
      <c r="N94" s="30">
        <v>23</v>
      </c>
      <c r="O94" s="24">
        <v>9</v>
      </c>
      <c r="P94" s="30">
        <v>2</v>
      </c>
      <c r="Q94" s="24">
        <v>5</v>
      </c>
      <c r="R94" s="30">
        <v>0</v>
      </c>
      <c r="S94" s="24">
        <v>0</v>
      </c>
      <c r="T94" s="28">
        <v>0.34</v>
      </c>
      <c r="U94" s="31">
        <v>0.56999999999999995</v>
      </c>
      <c r="V94" s="32">
        <v>8</v>
      </c>
      <c r="W94" s="24">
        <v>4</v>
      </c>
      <c r="X94" s="30">
        <v>12</v>
      </c>
      <c r="Y94" s="24">
        <v>9</v>
      </c>
      <c r="Z94" s="30">
        <v>397</v>
      </c>
      <c r="AA94" s="24">
        <v>289</v>
      </c>
      <c r="AB94" s="30">
        <v>12</v>
      </c>
      <c r="AC94" s="24">
        <v>15</v>
      </c>
      <c r="AD94" s="30">
        <v>9</v>
      </c>
      <c r="AE94" s="24">
        <v>12</v>
      </c>
      <c r="AF94" s="30">
        <v>0</v>
      </c>
      <c r="AG94" s="33">
        <v>1</v>
      </c>
      <c r="AH94" s="27">
        <v>0</v>
      </c>
      <c r="AI94" s="34">
        <v>1</v>
      </c>
      <c r="AJ94" s="27">
        <v>0</v>
      </c>
      <c r="AK94" s="34">
        <v>0</v>
      </c>
      <c r="AL94" s="35">
        <v>5</v>
      </c>
      <c r="AM94" s="36">
        <f t="shared" si="4"/>
        <v>0.21739130434782608</v>
      </c>
      <c r="AN94" s="37">
        <v>1</v>
      </c>
      <c r="AO94" s="37">
        <v>15</v>
      </c>
      <c r="AP94" s="37">
        <v>3</v>
      </c>
      <c r="AQ94" s="37">
        <v>14</v>
      </c>
      <c r="AR94" s="38">
        <f t="shared" si="5"/>
        <v>0.60869565217391308</v>
      </c>
      <c r="AS94" s="37">
        <v>9</v>
      </c>
      <c r="AT94" s="23">
        <v>2</v>
      </c>
      <c r="AU94" s="23">
        <f t="shared" si="6"/>
        <v>0.22222222222222221</v>
      </c>
      <c r="AV94" s="23">
        <v>1</v>
      </c>
      <c r="AW94" s="23">
        <v>5</v>
      </c>
      <c r="AX94" s="23">
        <v>2</v>
      </c>
      <c r="AY94" s="23">
        <v>5</v>
      </c>
      <c r="AZ94" s="18">
        <f t="shared" si="7"/>
        <v>0.55555555555555558</v>
      </c>
      <c r="BA94" s="39">
        <v>4</v>
      </c>
      <c r="BB94" s="40">
        <v>0</v>
      </c>
      <c r="BC94" s="41">
        <v>0</v>
      </c>
      <c r="BD94" s="42">
        <v>0</v>
      </c>
      <c r="BE94" s="43">
        <v>0</v>
      </c>
    </row>
    <row r="95" spans="1:57" x14ac:dyDescent="0.2">
      <c r="A95" s="22">
        <v>45963</v>
      </c>
      <c r="B95" s="23">
        <v>11</v>
      </c>
      <c r="C95" s="23" t="s">
        <v>67</v>
      </c>
      <c r="D95" s="25">
        <v>1</v>
      </c>
      <c r="E95" s="25">
        <v>3</v>
      </c>
      <c r="F95" s="23" t="s">
        <v>60</v>
      </c>
      <c r="H95" s="27">
        <v>60</v>
      </c>
      <c r="I95" s="24">
        <v>40</v>
      </c>
      <c r="J95" s="28">
        <v>1.45</v>
      </c>
      <c r="K95" s="29">
        <v>1.78</v>
      </c>
      <c r="L95" s="30">
        <v>3</v>
      </c>
      <c r="M95" s="24">
        <v>4</v>
      </c>
      <c r="N95" s="30">
        <v>23</v>
      </c>
      <c r="O95" s="24">
        <v>12</v>
      </c>
      <c r="P95" s="30">
        <v>1</v>
      </c>
      <c r="Q95" s="24">
        <v>6</v>
      </c>
      <c r="R95" s="30">
        <v>1</v>
      </c>
      <c r="S95" s="24">
        <v>1</v>
      </c>
      <c r="T95" s="28">
        <v>-0.96</v>
      </c>
      <c r="U95" s="31">
        <v>0.85</v>
      </c>
      <c r="V95" s="32">
        <v>9</v>
      </c>
      <c r="W95" s="24">
        <v>5</v>
      </c>
      <c r="X95" s="30">
        <v>10</v>
      </c>
      <c r="Y95" s="24">
        <v>12</v>
      </c>
      <c r="Z95" s="30">
        <v>423</v>
      </c>
      <c r="AA95" s="24">
        <v>302</v>
      </c>
      <c r="AB95" s="30">
        <v>15</v>
      </c>
      <c r="AC95" s="24">
        <v>23</v>
      </c>
      <c r="AD95" s="30">
        <v>12</v>
      </c>
      <c r="AE95" s="24">
        <v>10</v>
      </c>
      <c r="AF95" s="30">
        <v>1</v>
      </c>
      <c r="AG95" s="33">
        <v>2</v>
      </c>
      <c r="AH95" s="27">
        <v>0</v>
      </c>
      <c r="AI95" s="34">
        <v>0</v>
      </c>
      <c r="AJ95" s="27">
        <v>0</v>
      </c>
      <c r="AK95" s="34">
        <v>0</v>
      </c>
      <c r="AL95" s="35">
        <v>7</v>
      </c>
      <c r="AM95" s="36">
        <f t="shared" si="4"/>
        <v>0.30434782608695654</v>
      </c>
      <c r="AN95" s="37">
        <v>1</v>
      </c>
      <c r="AO95" s="37">
        <v>13</v>
      </c>
      <c r="AP95" s="37">
        <v>3</v>
      </c>
      <c r="AQ95" s="37">
        <v>13</v>
      </c>
      <c r="AR95" s="38">
        <f t="shared" si="5"/>
        <v>0.56521739130434778</v>
      </c>
      <c r="AS95" s="37">
        <v>10</v>
      </c>
      <c r="AT95" s="23">
        <v>3</v>
      </c>
      <c r="AU95" s="23">
        <f t="shared" si="6"/>
        <v>0.25</v>
      </c>
      <c r="AV95" s="23">
        <v>0</v>
      </c>
      <c r="AW95" s="23">
        <v>4</v>
      </c>
      <c r="AX95" s="23">
        <v>5</v>
      </c>
      <c r="AY95" s="23">
        <v>7</v>
      </c>
      <c r="AZ95" s="18">
        <f t="shared" si="7"/>
        <v>0.58333333333333337</v>
      </c>
      <c r="BA95" s="39">
        <v>5</v>
      </c>
      <c r="BB95" s="40">
        <v>1</v>
      </c>
      <c r="BC95" s="41">
        <v>1</v>
      </c>
      <c r="BD95" s="42">
        <v>0</v>
      </c>
      <c r="BE95" s="43">
        <v>0</v>
      </c>
    </row>
    <row r="96" spans="1:57" x14ac:dyDescent="0.2">
      <c r="A96" s="22">
        <v>45963</v>
      </c>
      <c r="B96" s="23">
        <v>11</v>
      </c>
      <c r="C96" s="23" t="s">
        <v>77</v>
      </c>
      <c r="D96" s="25">
        <v>3</v>
      </c>
      <c r="E96" s="25">
        <v>2</v>
      </c>
      <c r="F96" s="23" t="s">
        <v>63</v>
      </c>
      <c r="H96" s="27">
        <v>44</v>
      </c>
      <c r="I96" s="24">
        <v>56</v>
      </c>
      <c r="J96" s="28">
        <v>1.32</v>
      </c>
      <c r="K96" s="29">
        <v>0.46</v>
      </c>
      <c r="L96" s="30">
        <v>3</v>
      </c>
      <c r="M96" s="24">
        <v>1</v>
      </c>
      <c r="N96" s="30">
        <v>11</v>
      </c>
      <c r="O96" s="24">
        <v>11</v>
      </c>
      <c r="P96" s="30">
        <v>2</v>
      </c>
      <c r="Q96" s="24">
        <v>0</v>
      </c>
      <c r="R96" s="30">
        <v>2</v>
      </c>
      <c r="S96" s="24">
        <v>0</v>
      </c>
      <c r="T96" s="28">
        <v>-0.83</v>
      </c>
      <c r="U96" s="31">
        <v>-0.77</v>
      </c>
      <c r="V96" s="32">
        <v>4</v>
      </c>
      <c r="W96" s="24">
        <v>6</v>
      </c>
      <c r="X96" s="30">
        <v>12</v>
      </c>
      <c r="Y96" s="24">
        <v>15</v>
      </c>
      <c r="Z96" s="30">
        <v>314</v>
      </c>
      <c r="AA96" s="24">
        <v>401</v>
      </c>
      <c r="AB96" s="30">
        <v>12</v>
      </c>
      <c r="AC96" s="24">
        <v>10</v>
      </c>
      <c r="AD96" s="30">
        <v>15</v>
      </c>
      <c r="AE96" s="24">
        <v>12</v>
      </c>
      <c r="AF96" s="30">
        <v>3</v>
      </c>
      <c r="AG96" s="33">
        <v>1</v>
      </c>
      <c r="AH96" s="27">
        <v>0</v>
      </c>
      <c r="AI96" s="34">
        <v>0</v>
      </c>
      <c r="AJ96" s="27">
        <v>0</v>
      </c>
      <c r="AK96" s="34">
        <v>0</v>
      </c>
      <c r="AL96" s="35">
        <v>3</v>
      </c>
      <c r="AM96" s="36">
        <f t="shared" si="4"/>
        <v>0.27272727272727271</v>
      </c>
      <c r="AN96" s="37">
        <v>0</v>
      </c>
      <c r="AO96" s="37">
        <v>3</v>
      </c>
      <c r="AP96" s="37">
        <v>5</v>
      </c>
      <c r="AQ96" s="37">
        <v>6</v>
      </c>
      <c r="AR96" s="38">
        <f t="shared" si="5"/>
        <v>0.54545454545454541</v>
      </c>
      <c r="AS96" s="37">
        <v>5</v>
      </c>
      <c r="AT96" s="23">
        <v>4</v>
      </c>
      <c r="AU96" s="23">
        <f t="shared" si="6"/>
        <v>0.36363636363636365</v>
      </c>
      <c r="AV96" s="23">
        <v>0</v>
      </c>
      <c r="AW96" s="23">
        <v>3</v>
      </c>
      <c r="AX96" s="23">
        <v>4</v>
      </c>
      <c r="AY96" s="23">
        <v>7</v>
      </c>
      <c r="AZ96" s="18">
        <f t="shared" si="7"/>
        <v>0.63636363636363635</v>
      </c>
      <c r="BA96" s="39">
        <v>4</v>
      </c>
      <c r="BB96" s="40">
        <v>0</v>
      </c>
      <c r="BC96" s="41">
        <v>0</v>
      </c>
      <c r="BD96" s="42">
        <v>0</v>
      </c>
      <c r="BE96" s="43">
        <v>0</v>
      </c>
    </row>
    <row r="97" spans="1:57" x14ac:dyDescent="0.2">
      <c r="A97" s="22">
        <v>45963</v>
      </c>
      <c r="B97" s="23">
        <v>11</v>
      </c>
      <c r="C97" s="23" t="s">
        <v>78</v>
      </c>
      <c r="D97" s="25">
        <v>2</v>
      </c>
      <c r="E97" s="25">
        <v>3</v>
      </c>
      <c r="F97" s="23" t="s">
        <v>74</v>
      </c>
      <c r="H97" s="27">
        <v>32</v>
      </c>
      <c r="I97" s="24">
        <v>68</v>
      </c>
      <c r="J97" s="28">
        <v>1.0900000000000001</v>
      </c>
      <c r="K97" s="29">
        <v>1.35</v>
      </c>
      <c r="L97" s="30">
        <v>1</v>
      </c>
      <c r="M97" s="24">
        <v>1</v>
      </c>
      <c r="N97" s="30">
        <v>9</v>
      </c>
      <c r="O97" s="24">
        <v>23</v>
      </c>
      <c r="P97" s="30">
        <v>7</v>
      </c>
      <c r="Q97" s="24">
        <v>1</v>
      </c>
      <c r="R97" s="30">
        <v>3</v>
      </c>
      <c r="S97" s="24">
        <v>1</v>
      </c>
      <c r="T97" s="28">
        <v>-0.2</v>
      </c>
      <c r="U97" s="31">
        <v>-0.04</v>
      </c>
      <c r="V97" s="32">
        <v>1</v>
      </c>
      <c r="W97" s="24">
        <v>6</v>
      </c>
      <c r="X97" s="30">
        <v>8</v>
      </c>
      <c r="Y97" s="24">
        <v>17</v>
      </c>
      <c r="Z97" s="30">
        <v>275</v>
      </c>
      <c r="AA97" s="24">
        <v>613</v>
      </c>
      <c r="AB97" s="30">
        <v>15</v>
      </c>
      <c r="AC97" s="24">
        <v>10</v>
      </c>
      <c r="AD97" s="30">
        <v>17</v>
      </c>
      <c r="AE97" s="24">
        <v>8</v>
      </c>
      <c r="AF97" s="30">
        <v>1</v>
      </c>
      <c r="AG97" s="33">
        <v>5</v>
      </c>
      <c r="AH97" s="27">
        <v>1</v>
      </c>
      <c r="AI97" s="34">
        <v>0</v>
      </c>
      <c r="AJ97" s="27">
        <v>0</v>
      </c>
      <c r="AK97" s="34">
        <v>0</v>
      </c>
      <c r="AL97" s="35">
        <v>3</v>
      </c>
      <c r="AM97" s="36">
        <f t="shared" si="4"/>
        <v>0.33333333333333331</v>
      </c>
      <c r="AN97" s="37">
        <v>0</v>
      </c>
      <c r="AO97" s="37">
        <v>1</v>
      </c>
      <c r="AP97" s="37">
        <v>5</v>
      </c>
      <c r="AQ97" s="37">
        <v>6</v>
      </c>
      <c r="AR97" s="38">
        <f t="shared" si="5"/>
        <v>0.66666666666666663</v>
      </c>
      <c r="AS97" s="37">
        <v>3</v>
      </c>
      <c r="AT97" s="23">
        <v>11</v>
      </c>
      <c r="AU97" s="23">
        <f t="shared" si="6"/>
        <v>0.47826086956521741</v>
      </c>
      <c r="AV97" s="23">
        <v>0</v>
      </c>
      <c r="AW97" s="23">
        <v>10</v>
      </c>
      <c r="AX97" s="23">
        <v>2</v>
      </c>
      <c r="AY97" s="23">
        <v>13</v>
      </c>
      <c r="AZ97" s="18">
        <f t="shared" si="7"/>
        <v>0.56521739130434778</v>
      </c>
      <c r="BA97" s="39">
        <v>10</v>
      </c>
      <c r="BB97" s="40">
        <v>1</v>
      </c>
      <c r="BC97" s="41">
        <v>2</v>
      </c>
      <c r="BD97" s="42">
        <v>0</v>
      </c>
      <c r="BE97" s="43">
        <v>1</v>
      </c>
    </row>
  </sheetData>
  <autoFilter ref="A1:BE100" xr:uid="{B63EF7BD-65B6-428A-9936-7288A1352442}"/>
  <conditionalFormatting sqref="J2:K1048576">
    <cfRule type="cellIs" dxfId="19" priority="5" operator="greaterThan">
      <formula>1.79</formula>
    </cfRule>
    <cfRule type="cellIs" dxfId="18" priority="6" operator="greaterThan">
      <formula>1.19</formula>
    </cfRule>
  </conditionalFormatting>
  <conditionalFormatting sqref="L2:M1048576">
    <cfRule type="cellIs" dxfId="17" priority="19" operator="greaterThan">
      <formula>4</formula>
    </cfRule>
    <cfRule type="cellIs" dxfId="16" priority="20" operator="greaterThan">
      <formula>2</formula>
    </cfRule>
  </conditionalFormatting>
  <conditionalFormatting sqref="T1:U1048576">
    <cfRule type="cellIs" dxfId="15" priority="2" operator="lessThan">
      <formula>-0.1</formula>
    </cfRule>
  </conditionalFormatting>
  <conditionalFormatting sqref="AH1:AK1048576">
    <cfRule type="cellIs" dxfId="14" priority="1" operator="greaterThan">
      <formula>0</formula>
    </cfRule>
  </conditionalFormatting>
  <conditionalFormatting sqref="AL2:AL1048576">
    <cfRule type="cellIs" dxfId="13" priority="17" operator="greaterThan">
      <formula>7</formula>
    </cfRule>
    <cfRule type="cellIs" dxfId="12" priority="18" operator="greaterThan">
      <formula>4</formula>
    </cfRule>
  </conditionalFormatting>
  <conditionalFormatting sqref="AM2:AM1048576">
    <cfRule type="cellIs" dxfId="11" priority="15" operator="greaterThan">
      <formula>0.49</formula>
    </cfRule>
    <cfRule type="cellIs" dxfId="10" priority="16" operator="greaterThan">
      <formula>0.29</formula>
    </cfRule>
  </conditionalFormatting>
  <conditionalFormatting sqref="AR2:AR82">
    <cfRule type="cellIs" dxfId="9" priority="13" operator="greaterThan">
      <formula>0.79</formula>
    </cfRule>
    <cfRule type="cellIs" dxfId="8" priority="14" operator="greaterThan">
      <formula>0.59</formula>
    </cfRule>
  </conditionalFormatting>
  <conditionalFormatting sqref="AT2:AT1048576">
    <cfRule type="cellIs" dxfId="7" priority="9" operator="greaterThan">
      <formula>5</formula>
    </cfRule>
    <cfRule type="cellIs" dxfId="6" priority="10" operator="greaterThan">
      <formula>2</formula>
    </cfRule>
  </conditionalFormatting>
  <conditionalFormatting sqref="AU2:AU1048576">
    <cfRule type="cellIs" dxfId="5" priority="11" operator="greaterThan">
      <formula>0.49</formula>
    </cfRule>
    <cfRule type="cellIs" dxfId="4" priority="12" operator="greaterThan">
      <formula>0.29</formula>
    </cfRule>
  </conditionalFormatting>
  <conditionalFormatting sqref="AZ1:AZ1048576">
    <cfRule type="cellIs" dxfId="3" priority="7" operator="greaterThan">
      <formula>0.79</formula>
    </cfRule>
    <cfRule type="cellIs" dxfId="2" priority="8" operator="greaterThan">
      <formula>0.59</formula>
    </cfRule>
  </conditionalFormatting>
  <conditionalFormatting sqref="BB2:BB1048576 BD2:BD1048576">
    <cfRule type="cellIs" dxfId="1" priority="3" operator="greaterThan">
      <formula>1</formula>
    </cfRule>
  </conditionalFormatting>
  <conditionalFormatting sqref="BC2:BC1048576 BE2:BE1048576">
    <cfRule type="cellIs" dxfId="0" priority="4" operator="greater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İstatistikler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San, Emir (Student)</dc:creator>
  <cp:lastModifiedBy>San, Emir (Student)</cp:lastModifiedBy>
  <dcterms:created xsi:type="dcterms:W3CDTF">2025-12-02T15:35:19Z</dcterms:created>
  <dcterms:modified xsi:type="dcterms:W3CDTF">2025-12-02T15:35:32Z</dcterms:modified>
</cp:coreProperties>
</file>