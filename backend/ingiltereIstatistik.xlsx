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an/futbol-platform/backend/"/>
    </mc:Choice>
  </mc:AlternateContent>
  <xr:revisionPtr revIDLastSave="0" documentId="8_{75FD4411-CFE8-404D-A737-AD17DBBAC859}" xr6:coauthVersionLast="47" xr6:coauthVersionMax="47" xr10:uidLastSave="{00000000-0000-0000-0000-000000000000}"/>
  <bookViews>
    <workbookView xWindow="780" yWindow="1000" windowWidth="27640" windowHeight="16020" xr2:uid="{035BF479-6EAA-E14A-8F56-52CBEE508ACF}"/>
  </bookViews>
  <sheets>
    <sheet name="İstatistikler" sheetId="1" r:id="rId1"/>
  </sheets>
  <definedNames>
    <definedName name="_xlnm._FilterDatabase" localSheetId="0" hidden="1">İstatistikler!$A$1:$BE$101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Z100" i="1" l="1"/>
  <c r="AU100" i="1"/>
  <c r="AR100" i="1"/>
  <c r="AM100" i="1"/>
  <c r="AZ99" i="1"/>
  <c r="AU99" i="1"/>
  <c r="AR99" i="1"/>
  <c r="AM99" i="1"/>
  <c r="AZ98" i="1"/>
  <c r="AU98" i="1"/>
  <c r="AR98" i="1"/>
  <c r="AM98" i="1"/>
  <c r="AZ97" i="1"/>
  <c r="AU97" i="1"/>
  <c r="AR97" i="1"/>
  <c r="AM97" i="1"/>
  <c r="AZ96" i="1"/>
  <c r="AU96" i="1"/>
  <c r="AR96" i="1"/>
  <c r="AM96" i="1"/>
  <c r="AZ95" i="1"/>
  <c r="AU95" i="1"/>
  <c r="AR95" i="1"/>
  <c r="AM95" i="1"/>
  <c r="AZ94" i="1"/>
  <c r="AU94" i="1"/>
  <c r="AR94" i="1"/>
  <c r="AM94" i="1"/>
  <c r="AZ93" i="1"/>
  <c r="AU93" i="1"/>
  <c r="AR93" i="1"/>
  <c r="AM93" i="1"/>
  <c r="AZ92" i="1"/>
  <c r="AU92" i="1"/>
  <c r="AR92" i="1"/>
  <c r="AM92" i="1"/>
  <c r="AZ91" i="1"/>
  <c r="AU91" i="1"/>
  <c r="AR91" i="1"/>
  <c r="AM91" i="1"/>
  <c r="AZ90" i="1"/>
  <c r="AU90" i="1"/>
  <c r="AR90" i="1"/>
  <c r="AM90" i="1"/>
  <c r="AZ89" i="1"/>
  <c r="AU89" i="1"/>
  <c r="AR89" i="1"/>
  <c r="AM89" i="1"/>
  <c r="AZ88" i="1"/>
  <c r="AU88" i="1"/>
  <c r="AR88" i="1"/>
  <c r="AM88" i="1"/>
  <c r="AZ87" i="1"/>
  <c r="AU87" i="1"/>
  <c r="AR87" i="1"/>
  <c r="AM87" i="1"/>
  <c r="AZ86" i="1"/>
  <c r="AU86" i="1"/>
  <c r="AR86" i="1"/>
  <c r="AM86" i="1"/>
  <c r="AZ85" i="1"/>
  <c r="AU85" i="1"/>
  <c r="AR85" i="1"/>
  <c r="AM85" i="1"/>
  <c r="AZ84" i="1"/>
  <c r="AU84" i="1"/>
  <c r="AR84" i="1"/>
  <c r="AM84" i="1"/>
  <c r="AZ83" i="1"/>
  <c r="AU83" i="1"/>
  <c r="AR83" i="1"/>
  <c r="AM83" i="1"/>
  <c r="AZ82" i="1"/>
  <c r="AU82" i="1"/>
  <c r="AR82" i="1"/>
  <c r="AM82" i="1"/>
  <c r="AZ81" i="1"/>
  <c r="AU81" i="1"/>
  <c r="AR81" i="1"/>
  <c r="AM81" i="1"/>
  <c r="AZ80" i="1"/>
  <c r="AU80" i="1"/>
  <c r="AR80" i="1"/>
  <c r="AM80" i="1"/>
  <c r="AZ79" i="1"/>
  <c r="AU79" i="1"/>
  <c r="AR79" i="1"/>
  <c r="AM79" i="1"/>
  <c r="AZ78" i="1"/>
  <c r="AU78" i="1"/>
  <c r="AR78" i="1"/>
  <c r="AM78" i="1"/>
  <c r="AZ77" i="1"/>
  <c r="AU77" i="1"/>
  <c r="AR77" i="1"/>
  <c r="AM77" i="1"/>
  <c r="AZ76" i="1"/>
  <c r="AU76" i="1"/>
  <c r="AR76" i="1"/>
  <c r="AM76" i="1"/>
  <c r="AZ75" i="1"/>
  <c r="AU75" i="1"/>
  <c r="AR75" i="1"/>
  <c r="AM75" i="1"/>
  <c r="AZ74" i="1"/>
  <c r="AU74" i="1"/>
  <c r="AR74" i="1"/>
  <c r="AM74" i="1"/>
  <c r="AZ73" i="1"/>
  <c r="AU73" i="1"/>
  <c r="AR73" i="1"/>
  <c r="AM73" i="1"/>
  <c r="AZ72" i="1"/>
  <c r="AU72" i="1"/>
  <c r="AR72" i="1"/>
  <c r="AM72" i="1"/>
  <c r="AZ71" i="1"/>
  <c r="AU71" i="1"/>
  <c r="AR71" i="1"/>
  <c r="AM71" i="1"/>
  <c r="AZ70" i="1"/>
  <c r="AU70" i="1"/>
  <c r="AR70" i="1"/>
  <c r="AM70" i="1"/>
  <c r="AZ69" i="1"/>
  <c r="AU69" i="1"/>
  <c r="AR69" i="1"/>
  <c r="AM69" i="1"/>
  <c r="AZ68" i="1"/>
  <c r="AU68" i="1"/>
  <c r="AR68" i="1"/>
  <c r="AM68" i="1"/>
  <c r="AZ67" i="1"/>
  <c r="AU67" i="1"/>
  <c r="AR67" i="1"/>
  <c r="AM67" i="1"/>
  <c r="AZ66" i="1"/>
  <c r="AU66" i="1"/>
  <c r="AR66" i="1"/>
  <c r="AM66" i="1"/>
  <c r="AZ65" i="1"/>
  <c r="AU65" i="1"/>
  <c r="AR65" i="1"/>
  <c r="AM65" i="1"/>
  <c r="AZ64" i="1"/>
  <c r="AU64" i="1"/>
  <c r="AR64" i="1"/>
  <c r="AM64" i="1"/>
  <c r="AZ63" i="1"/>
  <c r="AU63" i="1"/>
  <c r="AR63" i="1"/>
  <c r="AM63" i="1"/>
  <c r="AZ62" i="1"/>
  <c r="AU62" i="1"/>
  <c r="AR62" i="1"/>
  <c r="AM62" i="1"/>
  <c r="AZ61" i="1"/>
  <c r="AU61" i="1"/>
  <c r="AR61" i="1"/>
  <c r="AM61" i="1"/>
  <c r="AZ60" i="1"/>
  <c r="AU60" i="1"/>
  <c r="AR60" i="1"/>
  <c r="AM60" i="1"/>
  <c r="AZ59" i="1"/>
  <c r="AU59" i="1"/>
  <c r="AR59" i="1"/>
  <c r="AM59" i="1"/>
  <c r="AZ58" i="1"/>
  <c r="AU58" i="1"/>
  <c r="AR58" i="1"/>
  <c r="AM58" i="1"/>
  <c r="AZ57" i="1"/>
  <c r="AU57" i="1"/>
  <c r="AR57" i="1"/>
  <c r="AM57" i="1"/>
  <c r="AZ56" i="1"/>
  <c r="AU56" i="1"/>
  <c r="AR56" i="1"/>
  <c r="AM56" i="1"/>
  <c r="AZ55" i="1"/>
  <c r="AU55" i="1"/>
  <c r="AR55" i="1"/>
  <c r="AM55" i="1"/>
  <c r="AZ54" i="1"/>
  <c r="AU54" i="1"/>
  <c r="AR54" i="1"/>
  <c r="AM54" i="1"/>
  <c r="AZ53" i="1"/>
  <c r="AU53" i="1"/>
  <c r="AR53" i="1"/>
  <c r="AM53" i="1"/>
  <c r="AZ52" i="1"/>
  <c r="AU52" i="1"/>
  <c r="AR52" i="1"/>
  <c r="AM52" i="1"/>
  <c r="AZ51" i="1"/>
  <c r="AU51" i="1"/>
  <c r="AR51" i="1"/>
  <c r="AM51" i="1"/>
  <c r="AZ50" i="1"/>
  <c r="AU50" i="1"/>
  <c r="AR50" i="1"/>
  <c r="AM50" i="1"/>
  <c r="AZ49" i="1"/>
  <c r="AU49" i="1"/>
  <c r="AR49" i="1"/>
  <c r="AM49" i="1"/>
  <c r="AZ48" i="1"/>
  <c r="AU48" i="1"/>
  <c r="AR48" i="1"/>
  <c r="AM48" i="1"/>
  <c r="AZ47" i="1"/>
  <c r="AU47" i="1"/>
  <c r="AR47" i="1"/>
  <c r="AM47" i="1"/>
  <c r="AZ46" i="1"/>
  <c r="AU46" i="1"/>
  <c r="AR46" i="1"/>
  <c r="AM46" i="1"/>
  <c r="AZ45" i="1"/>
  <c r="AU45" i="1"/>
  <c r="AR45" i="1"/>
  <c r="AM45" i="1"/>
  <c r="AZ44" i="1"/>
  <c r="AU44" i="1"/>
  <c r="AR44" i="1"/>
  <c r="AM44" i="1"/>
  <c r="AZ43" i="1"/>
  <c r="AU43" i="1"/>
  <c r="AR43" i="1"/>
  <c r="AM43" i="1"/>
  <c r="AZ42" i="1"/>
  <c r="AU42" i="1"/>
  <c r="AR42" i="1"/>
  <c r="AM42" i="1"/>
  <c r="AZ41" i="1"/>
  <c r="AU41" i="1"/>
  <c r="AR41" i="1"/>
  <c r="AM41" i="1"/>
  <c r="AZ40" i="1"/>
  <c r="AU40" i="1"/>
  <c r="AR40" i="1"/>
  <c r="AM40" i="1"/>
  <c r="AZ39" i="1"/>
  <c r="AU39" i="1"/>
  <c r="AR39" i="1"/>
  <c r="AM39" i="1"/>
  <c r="AZ38" i="1"/>
  <c r="AU38" i="1"/>
  <c r="AR38" i="1"/>
  <c r="AM38" i="1"/>
  <c r="AZ37" i="1"/>
  <c r="AU37" i="1"/>
  <c r="AR37" i="1"/>
  <c r="AM37" i="1"/>
  <c r="AZ36" i="1"/>
  <c r="AU36" i="1"/>
  <c r="AR36" i="1"/>
  <c r="AM36" i="1"/>
  <c r="AZ35" i="1"/>
  <c r="AU35" i="1"/>
  <c r="AR35" i="1"/>
  <c r="AM35" i="1"/>
  <c r="AZ34" i="1"/>
  <c r="AU34" i="1"/>
  <c r="AR34" i="1"/>
  <c r="AM34" i="1"/>
  <c r="AZ33" i="1"/>
  <c r="AU33" i="1"/>
  <c r="AR33" i="1"/>
  <c r="AM33" i="1"/>
  <c r="AZ32" i="1"/>
  <c r="AU32" i="1"/>
  <c r="AR32" i="1"/>
  <c r="AM32" i="1"/>
  <c r="AZ31" i="1"/>
  <c r="AU31" i="1"/>
  <c r="AR31" i="1"/>
  <c r="AM31" i="1"/>
  <c r="AZ30" i="1"/>
  <c r="AU30" i="1"/>
  <c r="AR30" i="1"/>
  <c r="AM30" i="1"/>
  <c r="AZ29" i="1"/>
  <c r="AU29" i="1"/>
  <c r="AR29" i="1"/>
  <c r="AM29" i="1"/>
  <c r="AZ28" i="1"/>
  <c r="AU28" i="1"/>
  <c r="AR28" i="1"/>
  <c r="AM28" i="1"/>
  <c r="AZ27" i="1"/>
  <c r="AU27" i="1"/>
  <c r="AR27" i="1"/>
  <c r="AM27" i="1"/>
  <c r="AZ26" i="1"/>
  <c r="AU26" i="1"/>
  <c r="AR26" i="1"/>
  <c r="AM26" i="1"/>
  <c r="AZ25" i="1"/>
  <c r="AU25" i="1"/>
  <c r="AR25" i="1"/>
  <c r="AM25" i="1"/>
  <c r="AZ24" i="1"/>
  <c r="AU24" i="1"/>
  <c r="AR24" i="1"/>
  <c r="AM24" i="1"/>
  <c r="AZ23" i="1"/>
  <c r="AU23" i="1"/>
  <c r="AR23" i="1"/>
  <c r="AM23" i="1"/>
  <c r="AZ22" i="1"/>
  <c r="AU22" i="1"/>
  <c r="AR22" i="1"/>
  <c r="AM22" i="1"/>
  <c r="AZ21" i="1"/>
  <c r="AU21" i="1"/>
  <c r="AR21" i="1"/>
  <c r="AM21" i="1"/>
  <c r="AZ20" i="1"/>
  <c r="AU20" i="1"/>
  <c r="AR20" i="1"/>
  <c r="AM20" i="1"/>
  <c r="AZ19" i="1"/>
  <c r="AU19" i="1"/>
  <c r="AR19" i="1"/>
  <c r="AM19" i="1"/>
  <c r="AZ18" i="1"/>
  <c r="AU18" i="1"/>
  <c r="AR18" i="1"/>
  <c r="AM18" i="1"/>
  <c r="AZ17" i="1"/>
  <c r="AU17" i="1"/>
  <c r="AR17" i="1"/>
  <c r="AM17" i="1"/>
  <c r="AZ16" i="1"/>
  <c r="AU16" i="1"/>
  <c r="AR16" i="1"/>
  <c r="AM16" i="1"/>
  <c r="AZ15" i="1"/>
  <c r="AU15" i="1"/>
  <c r="AR15" i="1"/>
  <c r="AM15" i="1"/>
  <c r="AZ14" i="1"/>
  <c r="AU14" i="1"/>
  <c r="AR14" i="1"/>
  <c r="AM14" i="1"/>
  <c r="AZ13" i="1"/>
  <c r="AU13" i="1"/>
  <c r="AR13" i="1"/>
  <c r="AM13" i="1"/>
  <c r="AZ12" i="1"/>
  <c r="AU12" i="1"/>
  <c r="AR12" i="1"/>
  <c r="AM12" i="1"/>
  <c r="AZ11" i="1"/>
  <c r="AU11" i="1"/>
  <c r="AR11" i="1"/>
  <c r="AM11" i="1"/>
  <c r="AZ10" i="1"/>
  <c r="AU10" i="1"/>
  <c r="AR10" i="1"/>
  <c r="AM10" i="1"/>
  <c r="AZ9" i="1"/>
  <c r="AU9" i="1"/>
  <c r="AR9" i="1"/>
  <c r="AM9" i="1"/>
  <c r="AZ8" i="1"/>
  <c r="AU8" i="1"/>
  <c r="AR8" i="1"/>
  <c r="AM8" i="1"/>
  <c r="AZ7" i="1"/>
  <c r="AU7" i="1"/>
  <c r="AR7" i="1"/>
  <c r="AM7" i="1"/>
  <c r="AZ6" i="1"/>
  <c r="AU6" i="1"/>
  <c r="AR6" i="1"/>
  <c r="AM6" i="1"/>
  <c r="AZ5" i="1"/>
  <c r="AU5" i="1"/>
  <c r="AR5" i="1"/>
  <c r="AM5" i="1"/>
  <c r="AZ4" i="1"/>
  <c r="AU4" i="1"/>
  <c r="AR4" i="1"/>
  <c r="AM4" i="1"/>
  <c r="AZ3" i="1"/>
  <c r="AU3" i="1"/>
  <c r="AR3" i="1"/>
  <c r="AM3" i="1"/>
  <c r="AZ2" i="1"/>
  <c r="AU2" i="1"/>
  <c r="AR2" i="1"/>
  <c r="A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T2" authorId="0" shapeId="0" xr:uid="{61DAA23F-D8DB-9547-82E7-3949823BEC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U2" authorId="0" shapeId="0" xr:uid="{41A397FB-1A8F-AE44-AAE2-3DF27F6FAF0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BC2" authorId="0" shapeId="0" xr:uid="{73361521-E731-304E-9335-8C2B718BF8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Dominik Szoboszlai (62)</t>
        </r>
      </text>
    </comment>
    <comment ref="T3" authorId="0" shapeId="0" xr:uid="{1C23B715-D93A-4C46-90DC-E569451B453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Bizot</t>
        </r>
      </text>
    </comment>
    <comment ref="U3" authorId="0" shapeId="0" xr:uid="{20602BFC-C102-C340-825F-21A15496FF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T4" authorId="0" shapeId="0" xr:uid="{C8C9F7C6-69D2-2545-92A1-7F0C48A63F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U4" authorId="0" shapeId="0" xr:uid="{72578E74-6625-0C44-ADE3-4967E192C5B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BD4" authorId="0" shapeId="0" xr:uid="{EFD4D0C6-DB6C-5144-ABD8-70E7222E469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Sasa Lukic (88)</t>
        </r>
      </text>
    </comment>
    <comment ref="T5" authorId="0" shapeId="0" xr:uid="{1B17AA4F-8FB9-3C4D-AB67-9B10555D88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U5" authorId="0" shapeId="0" xr:uid="{6BE35FF1-C43A-C245-A826-CEB6E4FCB61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Hermansen</t>
        </r>
      </text>
    </comment>
    <comment ref="BB5" authorId="0" shapeId="0" xr:uid="{476DC456-AF11-0043-85FD-3A5B9CCF39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 Ballard (84)</t>
        </r>
      </text>
    </comment>
    <comment ref="T6" authorId="0" shapeId="0" xr:uid="{F46705CE-E9A6-1844-B4CB-4F0C7A35F6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U6" authorId="0" shapeId="0" xr:uid="{B03BFFA2-E4C0-F948-9626-5FA94F5203D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BB6" authorId="0" shapeId="0" xr:uid="{9FF818B1-39A2-F04A-A93F-DAF0545A92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Cristian Romero (26)</t>
        </r>
      </text>
    </comment>
    <comment ref="T7" authorId="0" shapeId="0" xr:uid="{E744254A-FABE-C94F-B1D4-5DF991CEF9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</t>
        </r>
      </text>
    </comment>
    <comment ref="U7" authorId="0" shapeId="0" xr:uid="{9893AD74-7C4D-FA43-A73A-3347F8DF72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Trafford</t>
        </r>
      </text>
    </comment>
    <comment ref="BC7" authorId="0" shapeId="0" xr:uid="{A8C13106-2D52-F742-A055-0E02C356D0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Emmanuel Agbadou 36)</t>
        </r>
      </text>
    </comment>
    <comment ref="BD7" authorId="0" shapeId="0" xr:uid="{6CC7D83D-B01E-3E43-BDC2-78AFBCC6D9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Tijjani Reijnders (28)
Matheus Nunes (74)</t>
        </r>
      </text>
    </comment>
    <comment ref="T8" authorId="0" shapeId="0" xr:uid="{01703794-54FD-EE43-9CF0-BB17287161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U8" authorId="0" shapeId="0" xr:uid="{E4490246-B929-4149-AB18-8B56B0B3F6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BB8" authorId="0" shapeId="0" xr:uid="{9D805E26-E81A-6E40-B6C8-B4CF02FA96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Josh Acheampong (68)</t>
        </r>
      </text>
    </comment>
    <comment ref="BD8" authorId="0" shapeId="0" xr:uid="{F7208072-949C-7449-9239-21BC9F75E5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Maxence Lacroix (89)</t>
        </r>
      </text>
    </comment>
    <comment ref="T9" authorId="0" shapeId="0" xr:uid="{170D8492-6260-CD45-B69A-96A86A2CAC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U9" authorId="0" shapeId="0" xr:uid="{B57FAD37-E3A8-5D41-AB13-EC68090C88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BB9" authorId="0" shapeId="0" xr:uid="{018566A7-7A4A-6B4A-B072-D87E1DC2D8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Morgan Gibbs-White (23)
Ibrahim Sangare (50)</t>
        </r>
      </text>
    </comment>
    <comment ref="BE9" authorId="0" shapeId="0" xr:uid="{C4E43DF9-C0D0-8C4D-959A-A5BE650AAD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Sepp van den Berg (46)</t>
        </r>
      </text>
    </comment>
    <comment ref="T10" authorId="0" shapeId="0" xr:uid="{473105B8-FB0B-6741-9D1B-426318D07B0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U10" authorId="0" shapeId="0" xr:uid="{9E455C1E-8161-B44B-BE3F-00D5E73FD7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BC10" authorId="0" shapeId="0" xr:uid="{F6666FC1-4625-8A48-8969-D5BD9FBEFA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Altay Bayındır (12)</t>
        </r>
      </text>
    </comment>
    <comment ref="T11" authorId="0" shapeId="0" xr:uid="{F58D5B5D-EBDB-C044-B965-22390AB266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Perri</t>
        </r>
      </text>
    </comment>
    <comment ref="U11" authorId="0" shapeId="0" xr:uid="{A60D2F4D-1AA1-9E40-A34D-BAE08D4115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BD11" authorId="0" shapeId="0" xr:uid="{F252E322-B61E-2840-87F9-7271F3BC60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Jake O'Brien (30)
Charly Alcaraz (80)</t>
        </r>
      </text>
    </comment>
    <comment ref="T12" authorId="0" shapeId="0" xr:uid="{53627A8B-3269-2C47-AC03-5430AE31E4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Hermansen</t>
        </r>
      </text>
    </comment>
    <comment ref="U12" authorId="0" shapeId="0" xr:uid="{59BA065B-2770-354A-9561-C7440021A72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BB12" authorId="0" shapeId="0" xr:uid="{717089D8-7E16-0C46-9C04-CE6A47B753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El Hadji Malick Diouf (72)</t>
        </r>
      </text>
    </comment>
    <comment ref="BC12" authorId="0" shapeId="0" xr:uid="{BB4E3C77-2673-564A-87BC-CAC58B1974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Mads Hermansen (53)</t>
        </r>
      </text>
    </comment>
    <comment ref="T13" authorId="0" shapeId="0" xr:uid="{1E4FE1F3-A625-4E46-BC36-89554FC7721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Trafford</t>
        </r>
      </text>
    </comment>
    <comment ref="U13" authorId="0" shapeId="0" xr:uid="{7E5A7CDE-AF43-D248-8819-7FAEB7EED9F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BB13" authorId="0" shapeId="0" xr:uid="{444409A1-1648-744B-9765-052E0959776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Rodri (90+2)</t>
        </r>
      </text>
    </comment>
    <comment ref="BC13" authorId="0" shapeId="0" xr:uid="{11D76004-6828-444D-BA49-61C8B957475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James Trafford (45+1)</t>
        </r>
      </text>
    </comment>
    <comment ref="BD13" authorId="0" shapeId="0" xr:uid="{D56DC0C5-B3D4-4C4D-948A-E5C6E06F90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Porro (9)</t>
        </r>
      </text>
    </comment>
    <comment ref="T14" authorId="0" shapeId="0" xr:uid="{DD892A07-57FE-AE46-8B55-003FBDC55E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U14" authorId="0" shapeId="0" xr:uid="{0529C2B3-EDAD-1948-8412-0A2A3CB4EE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</t>
        </r>
      </text>
    </comment>
    <comment ref="BE14" authorId="0" shapeId="0" xr:uid="{A34EEABD-560D-2B4D-8C6B-C116F9A909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Jean-Ricner Bellegarde (3)</t>
        </r>
      </text>
    </comment>
    <comment ref="T15" authorId="0" shapeId="0" xr:uid="{6F3808EA-E705-AC41-A291-B7CAC9B7A7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U15" authorId="0" shapeId="0" xr:uid="{67D738E1-0EBA-504E-84F8-8C61DD259FD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T16" authorId="0" shapeId="0" xr:uid="{30CEEC7E-B4CD-664A-8B4A-76B0213333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U16" authorId="0" shapeId="0" xr:uid="{0155A50C-8849-9440-98E6-76A9B3EE1F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T17" authorId="0" shapeId="0" xr:uid="{2854C931-8D26-BC48-853F-36DC02010E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U17" authorId="0" shapeId="0" xr:uid="{EE845A08-6AE9-8344-8656-2393745E74E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Perri</t>
        </r>
      </text>
    </comment>
    <comment ref="BD17" authorId="0" shapeId="0" xr:uid="{E58578C6-079F-3143-8BE4-886FB5B168A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Anton Stach (15)</t>
        </r>
      </text>
    </comment>
    <comment ref="T18" authorId="0" shapeId="0" xr:uid="{B96C9150-326F-5042-8937-054D2BE24D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U18" authorId="0" shapeId="0" xr:uid="{39111E92-AE57-DE4B-AC58-7C5FA36FBF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BE18" authorId="0" shapeId="0" xr:uid="{EE592A2F-0AC5-0540-A223-4C8AD0FBEAD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Morgan Gibbs-White (36)</t>
        </r>
      </text>
    </comment>
    <comment ref="T19" authorId="0" shapeId="0" xr:uid="{3E335EAA-F946-F04C-9F5F-8724068CEF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U19" authorId="0" shapeId="0" xr:uid="{CC6FAC21-8446-5C4F-9DCC-22007B4AED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BB19" authorId="0" shapeId="0" xr:uid="{478D8C41-3D48-9B48-B2B2-A0EA9E0580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James Tarkowski (15)
James Tarkowski (45)</t>
        </r>
      </text>
    </comment>
    <comment ref="T20" authorId="0" shapeId="0" xr:uid="{44FFB728-ABFD-0F42-AE6F-E628F85C3E0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U20" authorId="0" shapeId="0" xr:uid="{CE1FF824-E01A-7C4C-B180-79E084EA224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BE20" authorId="0" shapeId="0" xr:uid="{9D420E05-606C-054E-94EC-80BF9467EB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Diogo Dalot (71)</t>
        </r>
      </text>
    </comment>
    <comment ref="T21" authorId="0" shapeId="0" xr:uid="{708C8F7F-59FF-3447-9452-B8290F186B6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U21" authorId="0" shapeId="0" xr:uid="{B5D63B62-1E0C-5149-A6D8-DABDADF4BD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BB21" authorId="0" shapeId="0" xr:uid="{57128C92-8740-2D4D-BF6B-B068646D87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Fabian Schar (12)</t>
        </r>
      </text>
    </comment>
    <comment ref="BD21" authorId="0" shapeId="0" xr:uid="{01509764-C1D9-554D-89EA-3F7D010AB7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Florian Wirtz (37)</t>
        </r>
      </text>
    </comment>
    <comment ref="BE21" authorId="0" shapeId="0" xr:uid="{C462223E-61AC-1340-BE34-31EC02C4E6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Milos Kerkez (56)</t>
        </r>
      </text>
    </comment>
    <comment ref="T22" authorId="0" shapeId="0" xr:uid="{34EE910F-0D03-1F4B-B034-8250F12738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U22" authorId="0" shapeId="0" xr:uid="{DF92C096-F2C4-CE44-AADE-69F12BE50D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BB22" authorId="0" shapeId="0" xr:uid="{FB44DA17-1284-5841-9E09-D9A2C2251B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Liam Delap (6)</t>
        </r>
      </text>
    </comment>
    <comment ref="BD22" authorId="0" shapeId="0" xr:uid="{C9DF9F75-6960-DF4C-AC81-6701C8615A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Calvin Bassey (4)</t>
        </r>
      </text>
    </comment>
    <comment ref="T23" authorId="0" shapeId="0" xr:uid="{2578B58A-6A10-384C-A6EC-787711D98F7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U23" authorId="0" shapeId="0" xr:uid="{83927E65-DBFC-0F47-AE13-1464D6A446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T24" authorId="0" shapeId="0" xr:uid="{288756AF-3782-5646-9F39-37BA61316C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U24" authorId="0" shapeId="0" xr:uid="{8C5DAC28-8D23-0F47-A5B6-58BEAA81EE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T25" authorId="0" shapeId="0" xr:uid="{C2B57574-4CDC-CD40-82CE-2FD6C20EE9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U25" authorId="0" shapeId="0" xr:uid="{1F4F69C4-5FBF-8544-A7AD-D576168695C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BB25" authorId="0" shapeId="0" xr:uid="{51EB3792-984F-884D-8CB1-045B204C84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Guglielmo Vicario (65)</t>
        </r>
      </text>
    </comment>
    <comment ref="T26" authorId="0" shapeId="0" xr:uid="{2C0A244A-B7D5-A448-954F-2D830AA80C0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</t>
        </r>
      </text>
    </comment>
    <comment ref="U26" authorId="0" shapeId="0" xr:uid="{02740D7C-EB62-9C4D-AF54-880D2ACCC5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BB26" authorId="0" shapeId="0" xr:uid="{8D272E65-E873-2F49-9047-B1FCBAB47D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Andre (25)
Andre (45)</t>
        </r>
      </text>
    </comment>
    <comment ref="BD26" authorId="0" shapeId="0" xr:uid="{9B182E27-6826-7A47-B491-7F83179FAD2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Iliman Ndiaye (83)</t>
        </r>
      </text>
    </comment>
    <comment ref="BE26" authorId="0" shapeId="0" xr:uid="{2D6ABEA5-F70B-7D4A-9499-15ACD506C99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Vitaly Mykolenko (78)</t>
        </r>
      </text>
    </comment>
    <comment ref="T27" authorId="0" shapeId="0" xr:uid="{3BE1F5D8-FAA5-1544-A17A-841BC5914E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Perri</t>
        </r>
      </text>
    </comment>
    <comment ref="U27" authorId="0" shapeId="0" xr:uid="{1058B73B-6387-5E4C-9164-188CA92A2D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BD27" authorId="0" shapeId="0" xr:uid="{AABB4DB2-BEAC-E445-8398-C5026CD9F3E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Sandro Tonali (32)</t>
        </r>
      </text>
    </comment>
    <comment ref="T28" authorId="0" shapeId="0" xr:uid="{A32247C3-B0D9-0D48-8DFA-2B53154537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U28" authorId="0" shapeId="0" xr:uid="{95CF0393-E8D5-0C45-98DA-1251FAB9DB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Trafford</t>
        </r>
      </text>
    </comment>
    <comment ref="BB28" authorId="0" shapeId="0" xr:uid="{B735B1BB-C561-084D-B374-257DFCBB2F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Maxim De Cuyper (23)</t>
        </r>
      </text>
    </comment>
    <comment ref="T29" authorId="0" shapeId="0" xr:uid="{20AB530A-D8F6-AB4C-AD4E-E961F34FDB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U29" authorId="0" shapeId="0" xr:uid="{5B16B625-A3F9-7243-83B7-871D19F597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Hermansen</t>
        </r>
      </text>
    </comment>
    <comment ref="T30" authorId="0" shapeId="0" xr:uid="{43AF99DD-0F06-C249-99BC-DAFBA67F58D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U30" authorId="0" shapeId="0" xr:uid="{66E853D7-0206-0D47-B529-22C6B868C71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BD30" authorId="0" shapeId="0" xr:uid="{AF474D45-BBC7-A449-8E22-614D37A9C1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David Raya (32)</t>
        </r>
      </text>
    </comment>
    <comment ref="T31" authorId="0" shapeId="0" xr:uid="{A285CD85-A145-354B-8E90-F5686FD75F8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Bizot</t>
        </r>
      </text>
    </comment>
    <comment ref="U31" authorId="0" shapeId="0" xr:uid="{5B4655CC-A906-7042-B1F9-E654BB99AD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BD31" authorId="0" shapeId="0" xr:uid="{490F5EA8-453B-DD42-9D7D-F0AAE58FB9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Jefferson Lerma (81)</t>
        </r>
      </text>
    </comment>
    <comment ref="T32" authorId="0" shapeId="0" xr:uid="{8D800600-022A-284B-840E-439F6EA4D68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U32" authorId="0" shapeId="0" xr:uid="{631ADCC6-2BF5-894D-A28D-219BCED871F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BD32" authorId="0" shapeId="0" xr:uid="{9879D13F-D675-0A4A-95CE-D181DB4C09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Ibrahim Sangare (6)
Morato (13)</t>
        </r>
      </text>
    </comment>
    <comment ref="T33" authorId="0" shapeId="0" xr:uid="{D62B5023-8305-1C43-BEAD-84C3D73EB5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U33" authorId="0" shapeId="0" xr:uid="{063DA730-1119-9647-A123-3A7BBF71D1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BC33" authorId="0" shapeId="0" xr:uid="{A7D91548-6EE6-2647-BA66-802F721B37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Djordje Petrovic (47)</t>
        </r>
      </text>
    </comment>
    <comment ref="T34" authorId="0" shapeId="0" xr:uid="{6E8966E7-6A88-3247-BF63-D97A5CD2A7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U34" authorId="0" shapeId="0" xr:uid="{92C76FE2-FF02-744E-A8E8-BD7771E9E3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BB34" authorId="0" shapeId="0" xr:uid="{9A47F9D6-C42F-9844-926C-D67849E894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Tyrick Mitchell (70)</t>
        </r>
      </text>
    </comment>
    <comment ref="T35" authorId="0" shapeId="0" xr:uid="{3F3F3C68-C8A3-984C-8164-F6225B4A0FD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U35" authorId="0" shapeId="0" xr:uid="{63B68CF3-028F-6B46-AF34-5D13E722A2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 </t>
        </r>
      </text>
    </comment>
    <comment ref="BD35" authorId="0" shapeId="0" xr:uid="{FE6D7283-9D93-004B-900C-AA41462503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Lamare Bogarde (7)</t>
        </r>
      </text>
    </comment>
    <comment ref="T36" authorId="0" shapeId="0" xr:uid="{B50E2E19-AFD4-E740-AD65-8A66D3950F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U36" authorId="0" shapeId="0" xr:uid="{FA249B0D-84A3-4E4B-BF1A-B759049188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Darlow</t>
        </r>
      </text>
    </comment>
    <comment ref="T37" authorId="0" shapeId="0" xr:uid="{5BFA3D5B-5142-B643-8FBA-EFAB416AE7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U37" authorId="0" shapeId="0" xr:uid="{CD1D8C8E-CEC6-6E42-B2E9-4A30F589E1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T38" authorId="0" shapeId="0" xr:uid="{81D1CF56-952C-4446-82C5-36391BFCDF1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Hermansen</t>
        </r>
      </text>
    </comment>
    <comment ref="U38" authorId="0" shapeId="0" xr:uid="{29B20AEB-1EA9-5E43-AFE3-C132449570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T39" authorId="0" shapeId="0" xr:uid="{911CA480-60A1-8347-8CCA-073DF9B8F3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U39" authorId="0" shapeId="0" xr:uid="{213879D3-8FB1-2F4A-8A80-342C065E2DE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BB39" authorId="0" shapeId="0" xr:uid="{9FC0CC8B-5C6D-E24E-AB30-D9FFD540BD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Rico Henry (73)</t>
        </r>
      </text>
    </comment>
    <comment ref="T40" authorId="0" shapeId="0" xr:uid="{388F0790-2466-2348-A9F4-0676423F1C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U40" authorId="0" shapeId="0" xr:uid="{D9D88AAA-A4F2-5140-BEEA-B1FD77071E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T41" authorId="0" shapeId="0" xr:uid="{2AAAD9B3-CA3D-E144-A009-0C88E7B4CB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U41" authorId="0" shapeId="0" xr:uid="{9D6161EB-FE3C-0544-885C-E5135826791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BD41" authorId="0" shapeId="0" xr:uid="{DEBA3C03-9106-A743-89FF-2FBA881BD2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Matthijs de Ligt (54)
Leny Yoro (54)</t>
        </r>
      </text>
    </comment>
    <comment ref="BE41" authorId="0" shapeId="0" xr:uid="{E477989A-3054-EE4B-A08D-BE8E774A85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Harry Maguire (67)</t>
        </r>
      </text>
    </comment>
    <comment ref="T42" authorId="0" shapeId="0" xr:uid="{5F41C6CA-B5E5-9A44-B683-98BB47F9B1C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U42" authorId="0" shapeId="0" xr:uid="{03415B56-FE62-9B49-A922-ECBF685F6B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BB42" authorId="0" shapeId="0" xr:uid="{9E82CA15-9377-8A46-B55E-43E1D88818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 Becker (36)</t>
        </r>
      </text>
    </comment>
    <comment ref="T43" authorId="0" shapeId="0" xr:uid="{8E6BDFBA-3A63-A84E-AEA4-D66D2F4B002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U43" authorId="0" shapeId="0" xr:uid="{AAD95CFB-5D8E-B14F-A16A-DD2E22DA8F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BE43" authorId="0" shapeId="0" xr:uid="{1F71EA3C-9ED9-864B-84FA-E36A673BBD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Lucas Bergvall (30)
Guglielmo Vicario (30)</t>
        </r>
      </text>
    </comment>
    <comment ref="T44" authorId="0" shapeId="0" xr:uid="{D44649E2-C6CF-154D-8A16-023BABE2287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U44" authorId="0" shapeId="0" xr:uid="{841BB56E-BB9D-F04A-B56F-996525FA73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T45" authorId="0" shapeId="0" xr:uid="{B80454C5-1E6F-A146-A169-B28C2903F5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U45" authorId="0" shapeId="0" xr:uid="{7D2D9146-8B62-6649-AFDB-BCBCEC16150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T46" authorId="0" shapeId="0" xr:uid="{98A39D81-4813-E14F-8CEF-C813130D9EF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</t>
        </r>
      </text>
    </comment>
    <comment ref="U46" authorId="0" shapeId="0" xr:uid="{873C5879-BF76-D946-A480-305DF31FA33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Darlow</t>
        </r>
      </text>
    </comment>
    <comment ref="BC46" authorId="0" shapeId="0" xr:uid="{1CDDFC34-7104-6B44-883E-608C595E700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Emmanuel Agbadou (44)</t>
        </r>
      </text>
    </comment>
    <comment ref="T47" authorId="0" shapeId="0" xr:uid="{06F0D2E3-6A21-454B-B005-5178F5E4AFA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U47" authorId="0" shapeId="0" xr:uid="{D18C0A34-5579-EA4C-A8F7-D875E6E5D0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BD47" authorId="0" shapeId="0" xr:uid="{7A579F4B-525F-C44E-A20E-3E6E6E51D6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Reece James (82)</t>
        </r>
      </text>
    </comment>
    <comment ref="BE47" authorId="0" shapeId="0" xr:uid="{0F5F1E9D-DACB-784E-BA2C-258FDACDCF2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Reece James (36)</t>
        </r>
      </text>
    </comment>
    <comment ref="T48" authorId="0" shapeId="0" xr:uid="{11F3F057-4580-6541-9B71-8085A10ABA4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U48" authorId="0" shapeId="0" xr:uid="{56AF3EF8-3FA3-1E4F-B46A-728B99EC7B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BB48" authorId="0" shapeId="0" xr:uid="{77813AEC-1CFD-FA46-B5FC-0913B4A2AE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Sasa Lukic (28)</t>
        </r>
      </text>
    </comment>
    <comment ref="BC48" authorId="0" shapeId="0" xr:uid="{FA1F325E-C760-9B4B-91BC-8BEADE3B0F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Josh King (19)</t>
        </r>
      </text>
    </comment>
    <comment ref="T49" authorId="0" shapeId="0" xr:uid="{09EA3ABF-94DC-3046-94FF-E53715B4853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U49" authorId="0" shapeId="0" xr:uid="{55DE2F28-C47A-F544-9805-D9F209037C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T50" authorId="0" shapeId="0" xr:uid="{414D27FF-9A80-3649-A1D9-39D91D7E6E7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U50" authorId="0" shapeId="0" xr:uid="{CA9CD8A7-EE7B-E046-8BD7-5CFD6A58CB9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 </t>
        </r>
      </text>
    </comment>
    <comment ref="BB50" authorId="0" shapeId="0" xr:uid="{55F662BD-41F3-624D-87CF-9582463E7D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Granit Xhaka (82)</t>
        </r>
      </text>
    </comment>
    <comment ref="BC50" authorId="0" shapeId="0" xr:uid="{C442523F-CEE6-FB47-8D0D-64B0D77CFF4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Robin Roefs (66)</t>
        </r>
      </text>
    </comment>
    <comment ref="T51" authorId="0" shapeId="0" xr:uid="{E43E1BFF-26A9-6046-800C-9A785B5210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U51" authorId="0" shapeId="0" xr:uid="{726EFCB4-429B-AF48-A60A-F13CD24DB81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BD51" authorId="0" shapeId="0" xr:uid="{BF6FD114-3029-6244-9EFB-59D3B64F43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Gianluigi Donnarumma (40)</t>
        </r>
      </text>
    </comment>
    <comment ref="T52" authorId="0" shapeId="0" xr:uid="{45834B79-A43F-0F4B-A34A-5AA410E8587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U52" authorId="0" shapeId="0" xr:uid="{8F462397-32D2-5C44-A68B-CB026F9018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Bayındır</t>
        </r>
      </text>
    </comment>
    <comment ref="T53" authorId="0" shapeId="0" xr:uid="{114C56E4-E125-624D-84BE-5F4EB57290E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U53" authorId="0" shapeId="0" xr:uid="{E2F9512B-9100-1541-9377-C5CC86EE39F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BB53" authorId="0" shapeId="0" xr:uid="{9847416B-68C9-4D45-AE7F-49552FAA8F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Josh Acheampong (68)</t>
        </r>
      </text>
    </comment>
    <comment ref="BC53" authorId="0" shapeId="0" xr:uid="{CDF89150-8B34-DB4B-B497-ED590755C2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Josh Acheampong (90+9)</t>
        </r>
      </text>
    </comment>
    <comment ref="T54" authorId="0" shapeId="0" xr:uid="{3AAAC8D0-7367-474E-BF1B-E9E37BA3EE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U54" authorId="0" shapeId="0" xr:uid="{173F1D64-56CC-B846-A6BF-1656332C764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Alisson</t>
        </r>
      </text>
    </comment>
    <comment ref="BB54" authorId="0" shapeId="0" xr:uid="{D42836E7-99D9-B744-8BB1-F2A3A2BAD0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Daichi Kamada (51)
Jean-Philippe Mateta (84)</t>
        </r>
      </text>
    </comment>
    <comment ref="BC54" authorId="0" shapeId="0" xr:uid="{54C8C3F0-DA62-7E48-94DA-6DBBA737CA4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Chris Richards (86)</t>
        </r>
      </text>
    </comment>
    <comment ref="T55" authorId="0" shapeId="0" xr:uid="{DAB42C67-CF9D-174D-9B0C-D2602D413CC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Darlow</t>
        </r>
      </text>
    </comment>
    <comment ref="U55" authorId="0" shapeId="0" xr:uid="{9A9D7BB4-8E31-C84D-98F4-94D963D0A1C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T56" authorId="0" shapeId="0" xr:uid="{CAE81FCD-68FF-CC42-BE0A-0AA797954B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U56" authorId="0" shapeId="0" xr:uid="{6CFE95D7-1694-F24C-9EB9-B94828CC908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BD56" authorId="0" shapeId="0" xr:uid="{8F39F0F2-3472-3844-9DA9-22B4A372B0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Jaidon Anthony (85)</t>
        </r>
      </text>
    </comment>
    <comment ref="BE56" authorId="0" shapeId="0" xr:uid="{CC55DCBF-BE0B-3749-BC59-69DCABB3B9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Hjalmar Ekdal (90+2)
Maxime Esteve (90+2)</t>
        </r>
      </text>
    </comment>
    <comment ref="T57" authorId="0" shapeId="0" xr:uid="{405BEFD9-C5EC-154C-8909-27188ABF501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U57" authorId="0" shapeId="0" xr:uid="{8355F2AF-0DBD-F24C-B6B9-BD8E3A75C89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BB57" authorId="0" shapeId="0" xr:uid="{9DEFC832-0C50-F144-9962-55DCEFBAC43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Nicolas Dominguez (7)
Chris Wood (89)</t>
        </r>
      </text>
    </comment>
    <comment ref="BD57" authorId="0" shapeId="0" xr:uid="{B6BA8465-303D-214A-A571-A5D651B5B89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Trai Hume (72)</t>
        </r>
      </text>
    </comment>
    <comment ref="T58" authorId="0" shapeId="0" xr:uid="{55E4CBA4-4A04-884F-9C77-9BD52A7875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U58" authorId="0" shapeId="0" xr:uid="{DA00AC24-7C9A-D547-96BB-AEF9402E901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T59" authorId="0" shapeId="0" xr:uid="{99C9D1DF-C1EB-A943-95B7-0813EC9B32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 </t>
        </r>
      </text>
    </comment>
    <comment ref="U59" authorId="0" shapeId="0" xr:uid="{4FA80243-65A1-9949-B2B9-D64986C96F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BB59" authorId="0" shapeId="0" xr:uid="{C83255F4-6158-194C-980D-C61B3CD7A85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Emiliano Martinez (53)</t>
        </r>
      </text>
    </comment>
    <comment ref="BD59" authorId="0" shapeId="0" xr:uid="{75723D21-214D-D34E-A9DD-A73F7E77DC1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Calvin Bassey (16)</t>
        </r>
      </text>
    </comment>
    <comment ref="T60" authorId="0" shapeId="0" xr:uid="{A8686AE9-6C3F-5A42-AD54-0E74CD048A3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U60" authorId="0" shapeId="0" xr:uid="{10DDFA9F-32AD-2747-95E1-FFF6899D69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T61" authorId="0" shapeId="0" xr:uid="{CC385461-0F3A-E84F-B5C6-D34E4A0F4FF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U61" authorId="0" shapeId="0" xr:uid="{252E577A-0D7A-2348-8265-7EC90FD0C27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BB61" authorId="0" shapeId="0" xr:uid="{60FE1E9A-86A2-6741-A7A9-65DE1344F8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Jake O'Brien (62)
James Garner (87)</t>
        </r>
      </text>
    </comment>
    <comment ref="T62" authorId="0" shapeId="0" xr:uid="{EB33D435-5155-AE4D-81CE-455D0E6EF65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U62" authorId="0" shapeId="0" xr:uid="{CC49B15D-772E-AE46-9842-B0CB6B7C508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BB62" authorId="0" shapeId="0" xr:uid="{950AC2AE-AAD2-454D-BAB4-D561033DCA3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Bafode Diakite (86)</t>
        </r>
      </text>
    </comment>
    <comment ref="BD62" authorId="0" shapeId="0" xr:uid="{0B4C555A-5E24-0848-BBD2-EF4488E0642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Timothy Castagne (9)</t>
        </r>
      </text>
    </comment>
    <comment ref="T63" authorId="0" shapeId="0" xr:uid="{18593D8D-99E9-B54B-BA25-819A877028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Darlow</t>
        </r>
      </text>
    </comment>
    <comment ref="U63" authorId="0" shapeId="0" xr:uid="{4C8E6035-767F-874D-8E51-DF438A0277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BB63" authorId="0" shapeId="0" xr:uid="{77B1C3A2-9F01-AA4E-9585-F9A6EDA58EF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Ethan Ampadu (9)</t>
        </r>
      </text>
    </comment>
    <comment ref="BC63" authorId="0" shapeId="0" xr:uid="{D9C61188-D9BA-D744-BF94-A0676FBB28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Gudmondsson (56)</t>
        </r>
      </text>
    </comment>
    <comment ref="BD63" authorId="0" shapeId="0" xr:uid="{808175CC-A0E3-AD41-A754-7401B79A70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Rodrigo Bentancur (25)
Pedro Porro (36)
Richarlison (77)</t>
        </r>
      </text>
    </comment>
    <comment ref="T64" authorId="0" shapeId="0" xr:uid="{6BFE7336-4EF3-A347-99C1-439F5E783B5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U64" authorId="0" shapeId="0" xr:uid="{DE12C50F-80C4-634C-9FCC-723EBEE32D0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BD64" authorId="0" shapeId="0" xr:uid="{E9EA1786-EEEB-EF44-AD7D-BD240971614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Aaron Wan-Bissaka (32)
Lucas Paqueta (81)</t>
        </r>
      </text>
    </comment>
    <comment ref="T65" authorId="0" shapeId="0" xr:uid="{A5074791-BB42-6742-B19F-37F9807017C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Lammens</t>
        </r>
      </text>
    </comment>
    <comment ref="U65" authorId="0" shapeId="0" xr:uid="{175621FF-626A-6E4C-942A-F339BDC8413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BD65" authorId="0" shapeId="0" xr:uid="{80D87748-5E59-5746-A298-7509170BEAC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Nordi Mukiele (40)</t>
        </r>
      </text>
    </comment>
    <comment ref="T66" authorId="0" shapeId="0" xr:uid="{838E117E-9E57-6746-84EC-7CD0D114325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U66" authorId="0" shapeId="0" xr:uid="{90E7611D-7344-6242-8DAD-8782AC24A81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Mamardashvili </t>
        </r>
      </text>
    </comment>
    <comment ref="T67" authorId="0" shapeId="0" xr:uid="{E6E1B349-790E-0544-9D86-8B5DCDC0095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U67" authorId="0" shapeId="0" xr:uid="{4BC60E42-05F3-084F-9BA5-C5BD90D5EA6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T68" authorId="0" shapeId="0" xr:uid="{ECD58616-C264-AB47-A0FA-D106C9BD78A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U68" authorId="0" shapeId="0" xr:uid="{1B96BE5F-2E08-7B4D-B39E-225071D127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BB68" authorId="0" shapeId="0" xr:uid="{387C3582-F4DE-E04F-9DC7-B662E457EA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Idrissa Gueye (56)</t>
        </r>
      </text>
    </comment>
    <comment ref="T69" authorId="0" shapeId="0" xr:uid="{18B229A9-AF5B-564A-9DB0-64ECE77842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U69" authorId="0" shapeId="0" xr:uid="{46F2A86B-6534-3242-9847-21E4FBA7C99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BD69" authorId="0" shapeId="0" xr:uid="{47006E43-6976-794B-878B-78D352BE745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Morato (51)</t>
        </r>
      </text>
    </comment>
    <comment ref="T70" authorId="0" shapeId="0" xr:uid="{47068E44-696A-E94E-BFAA-CD77B7440D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U70" authorId="0" shapeId="0" xr:uid="{5250FC6F-452D-2141-9032-323FE7D4B95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BB70" authorId="0" shapeId="0" xr:uid="{6419707D-4325-FB49-8102-1D4216E7CB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Jackson Tchatchoua (26)</t>
        </r>
      </text>
    </comment>
    <comment ref="BE70" authorId="0" shapeId="0" xr:uid="{09B67922-99C6-6742-8681-839278310C4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Danny Welbeck (20)</t>
        </r>
      </text>
    </comment>
    <comment ref="T71" authorId="0" shapeId="0" xr:uid="{FD1B95C7-B350-8946-8BD0-02DC6EDB44B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U71" authorId="0" shapeId="0" xr:uid="{D67DEA55-7390-094D-B8D3-2C3C83F01C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BD71" authorId="0" shapeId="0" xr:uid="{164CBAE1-05DC-E44B-8DDF-5F3C831BFD4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Josko Gvardiol (47)</t>
        </r>
      </text>
    </comment>
    <comment ref="T72" authorId="0" shapeId="0" xr:uid="{E23D7129-D770-4541-B1E1-29F4A46DBDB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U72" authorId="0" shapeId="0" xr:uid="{81604C9A-F8FE-2144-831B-3E22D53E4DB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BB72" authorId="0" shapeId="0" xr:uid="{332E4A56-9657-4C48-8DB0-D181D86CDD2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Morgan Gibbs-White (57)
Elliot Anderson (82)</t>
        </r>
      </text>
    </comment>
    <comment ref="BC72" authorId="0" shapeId="0" xr:uid="{3B702469-9D98-1949-B766-B1513BBA5A4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Matz Sels (51)</t>
        </r>
      </text>
    </comment>
    <comment ref="BD72" authorId="0" shapeId="0" xr:uid="{E6FC582B-8398-614C-951C-C5C2B1E6F22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Malo Gusto (1)
Romeo Lavia (18)
Josh Acheampong (19)</t>
        </r>
      </text>
    </comment>
    <comment ref="T73" authorId="0" shapeId="0" xr:uid="{FC3B5C8A-8341-0B43-AC21-A2C4BBD8C7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U73" authorId="0" shapeId="0" xr:uid="{0500EFBA-2E25-D84F-8A51-8ADDE31568B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BD73" authorId="0" shapeId="0" xr:uid="{9B54C0BA-845D-A848-9B26-28B20199746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Joelinton (19)</t>
        </r>
      </text>
    </comment>
    <comment ref="T74" authorId="0" shapeId="0" xr:uid="{A39775D0-3EC8-CE4A-BB41-D3B3AB4AA0C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U74" authorId="0" shapeId="0" xr:uid="{C7FACCEF-5D5F-8D45-974B-9D477EF36D0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Darlow</t>
        </r>
      </text>
    </comment>
    <comment ref="BB74" authorId="0" shapeId="0" xr:uid="{FC878841-8BD3-6A44-A4F9-5C45B86080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Jaidon Anthony (31)</t>
        </r>
      </text>
    </comment>
    <comment ref="T75" authorId="0" shapeId="0" xr:uid="{42273AC9-76B8-374E-888B-9292E1049B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U75" authorId="0" shapeId="0" xr:uid="{3B1DB66E-B199-444C-BB2E-DC532CC1E1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BB75" authorId="0" shapeId="0" xr:uid="{AD9AB8F4-4F48-E740-8AC5-1D4BF4537C6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Guehi (37)Daichi Kamada (60)</t>
        </r>
      </text>
    </comment>
    <comment ref="BC75" authorId="0" shapeId="0" xr:uid="{1CD0D6CB-49D8-8840-923A-8ED8818E970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Marc Guehi (37)</t>
        </r>
      </text>
    </comment>
    <comment ref="T76" authorId="0" shapeId="0" xr:uid="{35B69A0D-6D09-5049-B6C4-21754AEEB69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U76" authorId="0" shapeId="0" xr:uid="{E97D274B-A619-8141-A3DD-8D55F7AC25D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BB76" authorId="0" shapeId="0" xr:uid="{35E53355-AE74-614D-B678-362DD4481B3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Nathan Ake (12)</t>
        </r>
      </text>
    </comment>
    <comment ref="T77" authorId="0" shapeId="0" xr:uid="{AEA9F01F-9F04-9D41-AA08-EB2DB34A878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U77" authorId="0" shapeId="0" xr:uid="{9EE768F0-278E-D14D-AC04-FD960D8001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BB77" authorId="0" shapeId="0" xr:uid="{A8F8C394-F9BE-1044-8F8C-EABC646E76E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Granit Xhaka (2)
Chris Rigg (67)</t>
        </r>
      </text>
    </comment>
    <comment ref="T78" authorId="0" shapeId="0" xr:uid="{6981D272-65B6-4148-99D6-16CE0C60679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U78" authorId="0" shapeId="0" xr:uid="{9EF8C82D-6E13-864E-A7A4-D562A26568D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BD78" authorId="0" shapeId="0" xr:uid="{98B87406-D2DD-6B4F-AE95-382B42A81C6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Gabriel Magalhaes (10)
Gabriel Magalhaes (12)
Bukayo Saka (17)</t>
        </r>
      </text>
    </comment>
    <comment ref="T79" authorId="0" shapeId="0" xr:uid="{93639844-482B-0A46-9527-558B63404E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U79" authorId="0" shapeId="0" xr:uid="{116B4C55-CDB0-0B43-BD3C-37DEC5C87A3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BB79" authorId="0" shapeId="0" xr:uid="{EB5046FA-5836-1045-9274-60E149C8159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Wilson Odobert (14)
Pape Matar Sarr (89)</t>
        </r>
      </text>
    </comment>
    <comment ref="BD79" authorId="0" shapeId="0" xr:uid="{3EA5B58B-1CE3-1E45-96CD-5D1AD0D926B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Matty Cash (52)</t>
        </r>
      </text>
    </comment>
    <comment ref="T80" authorId="0" shapeId="0" xr:uid="{3D21F8C4-DEB2-3248-8A71-9F38F691C2E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Mamardashvili</t>
        </r>
      </text>
    </comment>
    <comment ref="U80" authorId="0" shapeId="0" xr:uid="{C05F61A8-A928-454F-86C9-47886704F3B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Lammens</t>
        </r>
      </text>
    </comment>
    <comment ref="BB80" authorId="0" shapeId="0" xr:uid="{22A75438-D58A-9D45-99D3-F5045E4370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Milos Kerkez (26)
Giorgi Mamardashvili (26)</t>
        </r>
      </text>
    </comment>
    <comment ref="BD80" authorId="0" shapeId="0" xr:uid="{3AAF2C62-6867-3C4F-B155-8647ED26C6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Diogo Dalot (28)</t>
        </r>
      </text>
    </comment>
    <comment ref="T81" authorId="0" shapeId="0" xr:uid="{EACBE9ED-12D5-4A4C-8A6B-821D4CD5612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U81" authorId="0" shapeId="0" xr:uid="{80A602F0-E2EA-FD4B-9760-EE1322BAA49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T82" authorId="0" shapeId="0" xr:uid="{CA47EB07-9F44-7644-9935-219CB25898A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Perri</t>
        </r>
      </text>
    </comment>
    <comment ref="U82" authorId="0" shapeId="0" xr:uid="{B003B1DB-FCA1-214E-A84F-C5A71AC2E3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T83" authorId="0" shapeId="0" xr:uid="{99470E6C-9A71-F14C-BCBE-4022110F541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U83" authorId="0" shapeId="0" xr:uid="{0A907004-210D-FD4B-BB60-945BE8449B3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Roefs</t>
        </r>
      </text>
    </comment>
    <comment ref="T84" authorId="0" shapeId="0" xr:uid="{2AE011AB-D0D9-7B40-BE41-03466A47C3F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U84" authorId="0" shapeId="0" xr:uid="{19E89552-38F5-BD46-8AB9-3D6F740300A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BB84" authorId="0" shapeId="0" xr:uid="{F9D6DC8F-A94F-7044-AE57-A93CD4E5D2A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Lewis Miley (16)
Sven Botman (41)</t>
        </r>
      </text>
    </comment>
    <comment ref="BD84" authorId="0" shapeId="0" xr:uid="{D7FE1209-A736-CE43-A5FB-11914618C57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Issa Diop (90+6)</t>
        </r>
      </text>
    </comment>
    <comment ref="BE84" authorId="0" shapeId="0" xr:uid="{8D8A6FAB-AAE5-3A42-8D95-DA8198B01D6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Calvin Bassey (17)
Calvin Bassey (89)</t>
        </r>
      </text>
    </comment>
    <comment ref="T85" authorId="0" shapeId="0" xr:uid="{404FD703-7436-B347-826A-025B33B0AD3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Lammens </t>
        </r>
      </text>
    </comment>
    <comment ref="U85" authorId="0" shapeId="0" xr:uid="{481E7B9C-70E9-DD4B-B66C-32AFC1B4D0E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BB85" authorId="0" shapeId="0" xr:uid="{9B09F6DD-B7A5-6943-B288-013B3ACCCE2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Kobbie Mainoo (75)</t>
        </r>
      </text>
    </comment>
    <comment ref="BD85" authorId="0" shapeId="0" xr:uid="{B1009589-45D9-1147-AC74-3AAF847F4F5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Yasin Ayari (55)
Lewis Dunk (70)</t>
        </r>
      </text>
    </comment>
    <comment ref="T86" authorId="0" shapeId="0" xr:uid="{0D5E60D7-1738-2044-B751-BEDF169AD5D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U86" authorId="0" shapeId="0" xr:uid="{876861FF-C817-BE43-88D9-07DFCC52DA7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Mamardashvili</t>
        </r>
      </text>
    </comment>
    <comment ref="BC86" authorId="0" shapeId="0" xr:uid="{2CCC47AA-484B-D242-8AED-8516C99A8A7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Vitaly Janelt (88)</t>
        </r>
      </text>
    </comment>
    <comment ref="BD86" authorId="0" shapeId="0" xr:uid="{EB9859B0-2C29-5D43-B4E1-872D8B63B2B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Virgil van Dijk (38)</t>
        </r>
      </text>
    </comment>
    <comment ref="T87" authorId="0" shapeId="0" xr:uid="{80E75B89-5BA2-5948-B959-361CC53C37D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U87" authorId="0" shapeId="0" xr:uid="{D6F3740D-0E01-4342-8C68-D9FD6366F46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BB87" authorId="0" shapeId="0" xr:uid="{50EAC426-5E81-D54A-A0FA-53CB8E8DEA5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 Zubimendi (21)</t>
        </r>
      </text>
    </comment>
    <comment ref="T88" authorId="0" shapeId="0" xr:uid="{6D2073EF-1798-214F-A7DE-2452B9189F7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U88" authorId="0" shapeId="0" xr:uid="{FB73F3AF-4A79-FD40-8F60-13ED1DD36D1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</t>
        </r>
      </text>
    </comment>
    <comment ref="T89" authorId="0" shapeId="0" xr:uid="{3937A3D6-BA80-7242-B4CF-8E014055DA3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U89" authorId="0" shapeId="0" xr:uid="{6E29B73D-2AD5-D246-9A86-A3DA202AF7A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BD89" authorId="0" shapeId="0" xr:uid="{BA07AADC-C2B9-AD48-B80C-506B972296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Morgan Gibbs-White (82)</t>
        </r>
      </text>
    </comment>
    <comment ref="BE89" authorId="0" shapeId="0" xr:uid="{3FA58FB9-F127-DD4D-865E-46FC600BC00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Matz Sels (24)</t>
        </r>
      </text>
    </comment>
    <comment ref="T90" authorId="0" shapeId="0" xr:uid="{CC9B1A40-3F60-FA41-9919-B096843B9D7E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U90" authorId="0" shapeId="0" xr:uid="{AC71A3DB-49AC-6A49-88C0-3490B570253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BC90" authorId="0" shapeId="0" xr:uid="{14E1EF20-1CFB-F841-A36F-CB7FC2FCADC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Jean-Ricner Bellegarde (90+4)</t>
        </r>
      </text>
    </comment>
    <comment ref="BD90" authorId="0" shapeId="0" xr:uid="{66AE08F2-2CBC-244D-94D0-9D937494CEA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Axel Tuanzebe (5)</t>
        </r>
      </text>
    </comment>
    <comment ref="T91" authorId="0" shapeId="0" xr:uid="{66CE5AF4-3B09-1D4C-AE86-32D3E2019EE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Pickford</t>
        </r>
      </text>
    </comment>
    <comment ref="U91" authorId="0" shapeId="0" xr:uid="{163DAD41-8219-B241-A544-65F73A3C47D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BB91" authorId="0" shapeId="0" xr:uid="{799CB928-A0AB-5B41-8B8A-57F8CAB0AED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James Tarkowski (63)</t>
        </r>
      </text>
    </comment>
    <comment ref="BC91" authorId="0" shapeId="0" xr:uid="{8696BFD0-F73E-7D4E-AEAF-70A2AFA03FA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Jordan Pickford (50)</t>
        </r>
      </text>
    </comment>
    <comment ref="BD91" authorId="0" shapeId="0" xr:uid="{543476B8-E2E5-1142-9AB2-6E443EF153D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Brennan Johnson (48)</t>
        </r>
      </text>
    </comment>
    <comment ref="T92" authorId="0" shapeId="0" xr:uid="{EAF849FA-A55D-0046-927E-62A76BECF7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Verbruggen</t>
        </r>
      </text>
    </comment>
    <comment ref="U92" authorId="0" shapeId="0" xr:uid="{540070E7-14F6-734B-AD68-EA257A4CFD7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Perri</t>
        </r>
      </text>
    </comment>
    <comment ref="BD92" authorId="0" shapeId="0" xr:uid="{7632F8DF-B51E-0A48-8F0F-7E0EB76F78FA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Ao Tanaka (55)</t>
        </r>
      </text>
    </comment>
    <comment ref="BE92" authorId="0" shapeId="0" xr:uid="{991448CA-0681-1142-8E0A-EA67697BCB0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Jayden Bogie (69)</t>
        </r>
      </text>
    </comment>
    <comment ref="T93" authorId="0" shapeId="0" xr:uid="{C5F51392-8049-A244-BAB1-E753B898035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Dubravka</t>
        </r>
      </text>
    </comment>
    <comment ref="U93" authorId="0" shapeId="0" xr:uid="{D4701715-321D-1F4F-9F96-9176602BB582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Raya</t>
        </r>
      </text>
    </comment>
    <comment ref="BB93" authorId="0" shapeId="0" xr:uid="{C11D8221-1690-E646-BD2B-7CA5B71A4AB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Maxime Esteve (21)
Hannibal Mejbri (90+1)</t>
        </r>
      </text>
    </comment>
    <comment ref="T94" authorId="0" shapeId="0" xr:uid="{0232CE1E-2197-3C47-B46C-BDC1E096DB4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Henderson</t>
        </r>
      </text>
    </comment>
    <comment ref="U94" authorId="0" shapeId="0" xr:uid="{45C7A605-FF01-794C-BCF6-632902D2565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Kelleher</t>
        </r>
      </text>
    </comment>
    <comment ref="BD94" authorId="0" shapeId="0" xr:uid="{3D81BF31-9581-8446-B052-6E0AE201C41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Nathan Collins (51)</t>
        </r>
      </text>
    </comment>
    <comment ref="T95" authorId="0" shapeId="0" xr:uid="{F773C4ED-9225-2742-8956-3B582A169C53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Leno</t>
        </r>
      </text>
    </comment>
    <comment ref="U95" authorId="0" shapeId="0" xr:uid="{0A37DE5C-4A28-CB41-BAE9-57B336855D64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Johnstone</t>
        </r>
      </text>
    </comment>
    <comment ref="T96" authorId="0" shapeId="0" xr:uid="{686BE636-1AE3-3945-B79B-216D2C335DD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Sels</t>
        </r>
      </text>
    </comment>
    <comment ref="U96" authorId="0" shapeId="0" xr:uid="{ABDBAF42-D10C-D54C-A696-A23BA2D65B8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Lammens </t>
        </r>
      </text>
    </comment>
    <comment ref="BD96" authorId="0" shapeId="0" xr:uid="{2E4020E1-7AA1-3541-910C-E00DD5189F2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Noussair Mazraoui (88)</t>
        </r>
      </text>
    </comment>
    <comment ref="T97" authorId="0" shapeId="0" xr:uid="{3556E9B5-5881-1749-AB5E-903DDB0D1AA7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Vicario</t>
        </r>
      </text>
    </comment>
    <comment ref="U97" authorId="0" shapeId="0" xr:uid="{F0A5E77B-2F06-C64D-AEED-A44661D152CB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Sanchez</t>
        </r>
      </text>
    </comment>
    <comment ref="BB97" authorId="0" shapeId="0" xr:uid="{F69C5527-5F1E-2D43-B139-4EA499F6785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Pedro Porro (30)
Pedro Porro (56)</t>
        </r>
      </text>
    </comment>
    <comment ref="BC97" authorId="0" shapeId="0" xr:uid="{184CA322-FF3C-874F-9325-5DAAD2F7E5E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Micky van de Ven (33)</t>
        </r>
      </text>
    </comment>
    <comment ref="BD97" authorId="0" shapeId="0" xr:uid="{8FC113AA-E790-204C-BC96-EC3DFA8D1FB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Moises Caicedo (70)</t>
        </r>
      </text>
    </comment>
    <comment ref="T98" authorId="0" shapeId="0" xr:uid="{05718D1E-BACF-E048-A1E5-394A9420EE4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Mamardashvili</t>
        </r>
      </text>
    </comment>
    <comment ref="U98" authorId="0" shapeId="0" xr:uid="{614EB63F-849C-2445-8B1A-5A06CF7AC47F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Martinez</t>
        </r>
      </text>
    </comment>
    <comment ref="BB98" authorId="0" shapeId="0" xr:uid="{884FC637-C7B2-7542-BD35-82D91C751F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Ibrahim Konate (24)</t>
        </r>
      </text>
    </comment>
    <comment ref="BD98" authorId="0" shapeId="0" xr:uid="{717D9DE8-B5AA-6147-9B83-D1752A06B6D0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Boubacar Kamara (22)
Ezri Konsa (61)</t>
        </r>
      </text>
    </comment>
    <comment ref="BE98" authorId="0" shapeId="0" xr:uid="{771E6D12-60AB-7840-BE48-3F832F4FDCFC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Emiliano Martinez (45)</t>
        </r>
      </text>
    </comment>
    <comment ref="T99" authorId="0" shapeId="0" xr:uid="{588100E1-7417-AE48-A60E-4C2A01270BF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Areola</t>
        </r>
      </text>
    </comment>
    <comment ref="U99" authorId="0" shapeId="0" xr:uid="{4DC4218D-7064-8C46-B555-48A7FF711DF1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Pope</t>
        </r>
      </text>
    </comment>
    <comment ref="BD99" authorId="0" shapeId="0" xr:uid="{E809CD4B-ADCF-B841-B10B-83CB2BA253A5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Fabian Schar (90+1)</t>
        </r>
      </text>
    </comment>
    <comment ref="BE99" authorId="0" shapeId="0" xr:uid="{3D6A0B38-57C1-704E-BEDC-3849AE48696D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Nick Pope (90+6)</t>
        </r>
      </text>
    </comment>
    <comment ref="T100" authorId="0" shapeId="0" xr:uid="{0F858692-5E81-0446-8412-5CE1BCE22928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Donnarumma </t>
        </r>
      </text>
    </comment>
    <comment ref="U100" authorId="0" shapeId="0" xr:uid="{DB51990D-BAF5-B64E-B386-8417F923BBB9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Petrovic</t>
        </r>
      </text>
    </comment>
    <comment ref="BC100" authorId="0" shapeId="0" xr:uid="{5299D173-D8FA-7F4F-94B2-A531B6843116}">
      <text>
        <r>
          <rPr>
            <b/>
            <sz val="9"/>
            <color indexed="81"/>
            <rFont val="Tahoma"/>
            <family val="2"/>
            <charset val="162"/>
          </rPr>
          <t>pc:</t>
        </r>
        <r>
          <rPr>
            <sz val="9"/>
            <color indexed="81"/>
            <rFont val="Tahoma"/>
            <family val="2"/>
            <charset val="162"/>
          </rPr>
          <t xml:space="preserve">
Gianluigi Donnarumma (24)</t>
        </r>
      </text>
    </comment>
  </commentList>
</comments>
</file>

<file path=xl/sharedStrings.xml><?xml version="1.0" encoding="utf-8"?>
<sst xmlns="http://schemas.openxmlformats.org/spreadsheetml/2006/main" count="265" uniqueCount="87">
  <si>
    <t>Tarih</t>
  </si>
  <si>
    <t>Hafta</t>
  </si>
  <si>
    <t>EV</t>
  </si>
  <si>
    <t>EV Skor</t>
  </si>
  <si>
    <t>DEP Skor</t>
  </si>
  <si>
    <t>DEP</t>
  </si>
  <si>
    <t>Takım/Dakika/Olay Notları</t>
  </si>
  <si>
    <t>EV Topa Sahip Olma</t>
  </si>
  <si>
    <t>DEP Topa Sahip Olma</t>
  </si>
  <si>
    <t>EV xG</t>
  </si>
  <si>
    <t>DEP xG</t>
  </si>
  <si>
    <t>EV Büyük Şans</t>
  </si>
  <si>
    <t>DEP Büyük Şans</t>
  </si>
  <si>
    <t>EV Toplam Şut</t>
  </si>
  <si>
    <t>DEP Toplam Şut</t>
  </si>
  <si>
    <t>EV Kaleci Kurtarışı</t>
  </si>
  <si>
    <t>DEP Kaleci Kurtarışı</t>
  </si>
  <si>
    <t>EV Kritik Kaleci Kurtarışı</t>
  </si>
  <si>
    <t>DEP Kritik Kaleci Kurtarışı</t>
  </si>
  <si>
    <t>EV Kaleci Performans</t>
  </si>
  <si>
    <t>DEP Kaleci Performans</t>
  </si>
  <si>
    <t>EV Korner</t>
  </si>
  <si>
    <t>DEP Korner</t>
  </si>
  <si>
    <t>EV Faul</t>
  </si>
  <si>
    <t>DEP Faul</t>
  </si>
  <si>
    <t>EV Pas</t>
  </si>
  <si>
    <t>DEP Pas</t>
  </si>
  <si>
    <t>EV Top Kapma</t>
  </si>
  <si>
    <t>DEP Top Kapma</t>
  </si>
  <si>
    <t>EV Serbest Vuruşu</t>
  </si>
  <si>
    <t>DEP Serbest Vuruş</t>
  </si>
  <si>
    <t>EV Sarı Kart</t>
  </si>
  <si>
    <t>DEP Sarı Kart</t>
  </si>
  <si>
    <t xml:space="preserve">EV Kırmızı Kart </t>
  </si>
  <si>
    <t>DEP Kırmızı Kart</t>
  </si>
  <si>
    <t>EV Penaltı xG</t>
  </si>
  <si>
    <t>DEP Penaltı xG</t>
  </si>
  <si>
    <t>EV İsabetli Şut</t>
  </si>
  <si>
    <t>EV İsabetli Şut Yüzdesi</t>
  </si>
  <si>
    <t>EV Direkten Dönen</t>
  </si>
  <si>
    <t>EV İsabetsiz Şut</t>
  </si>
  <si>
    <t>EV Engellenen Şutu</t>
  </si>
  <si>
    <t>EV Ceza Sahası İçinden Şut</t>
  </si>
  <si>
    <t>EV Ceza Sahası İçinden Şut Yüzdesi</t>
  </si>
  <si>
    <t>EV Ceza Sahası Dışından Şut</t>
  </si>
  <si>
    <t>DEP İsabetli Şut</t>
  </si>
  <si>
    <t>DEP İsabetli Şut Yüzdesi</t>
  </si>
  <si>
    <t>DEP Direkten Dönen</t>
  </si>
  <si>
    <t>DEP İsabetsiz Şut</t>
  </si>
  <si>
    <t>DEP Engellenen Şutu</t>
  </si>
  <si>
    <t>DEP Ceza Sahası İçinden Şut</t>
  </si>
  <si>
    <t>DEP Ceza Sahası İçinden Şut Yüzdesi</t>
  </si>
  <si>
    <t>DEP Ceza Sahası Dışından Şut</t>
  </si>
  <si>
    <t>EV Şuta Sebep Olan Hata (Ev Sahibi Takımının Gol Yemesine Dönük Negatif Unsur)</t>
  </si>
  <si>
    <t>EV Gole Sebep Olan Hata (Ev Sahibi Takımının Gol Yemesine Dönük Negatif Unsur)</t>
  </si>
  <si>
    <t>DEP Şuta Sebep Olan Hata (Deplasman Takımının Gol Yemesine Dönük Negatif Unsur)</t>
  </si>
  <si>
    <t>DEP Gole Sebep Olan Hata (Deplasman Takımının Gol Yemesine Dönük Negatif Unsur)</t>
  </si>
  <si>
    <t>Liverpool</t>
  </si>
  <si>
    <t>Bournemouth</t>
  </si>
  <si>
    <t>Aston Villa</t>
  </si>
  <si>
    <t>Newcastle</t>
  </si>
  <si>
    <t>Aston Villa'da 66. dakikada Ezri Konsa kırmızı kart gördü. (Son Adama Faul)</t>
  </si>
  <si>
    <t>Brighton</t>
  </si>
  <si>
    <t>Fulham</t>
  </si>
  <si>
    <t>Sunderland</t>
  </si>
  <si>
    <t>West Ham</t>
  </si>
  <si>
    <t>Tottenham</t>
  </si>
  <si>
    <t>Burnley</t>
  </si>
  <si>
    <t>Wolves</t>
  </si>
  <si>
    <t>Man City</t>
  </si>
  <si>
    <t>Chelsea</t>
  </si>
  <si>
    <t>Crystal Palace</t>
  </si>
  <si>
    <t>Forest</t>
  </si>
  <si>
    <t>Brentford</t>
  </si>
  <si>
    <t>Man Utd</t>
  </si>
  <si>
    <t>Arsenal</t>
  </si>
  <si>
    <t>Leeds</t>
  </si>
  <si>
    <t>Everton</t>
  </si>
  <si>
    <t>Wolves'da 49. dakikada Toti Gomez'in kırmızı kart gördü. (Son Adama Faul)</t>
  </si>
  <si>
    <t>Newcastle'da 45+3. dakikada Anthony Gordon kırmızı kart gördü. (Sert Faul)</t>
  </si>
  <si>
    <t>West Ham'da 54. dakikada Tomas Soucek kırmızı kart gördü. (Sert Faul)</t>
  </si>
  <si>
    <t>Burnley'de 84. dakikada Lesley Ugochukwu kırmızı kart gördü. (Sert Faul)</t>
  </si>
  <si>
    <t>Chelsea'de 5. dakikada Robert Sanchez (Son Adama Faul), Man Utd'da 45+5. dakikada Casemiro (İkinci Sarı Karttan) kırmızı kart gördü.</t>
  </si>
  <si>
    <t>Sunderland'da 33. dakikada Reinildo Mandava kırmızı kart gördü. (Şiddetli Davranış)</t>
  </si>
  <si>
    <t>Chelsea'de 53. dakikada Trevoh Chalobah kırmızı kart gördü. (Son Adama Faul)</t>
  </si>
  <si>
    <t>Chelsea 87. dakikada Malo Gusto kırmızı kart gördü. (Faul, İkinci Sarı Karttan)</t>
  </si>
  <si>
    <t>Wolves'da 36 dakikada Emmanuel Agbadou kırmızı kart gördü. (Son Adama Faul)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</si>
</sst>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F]d\ mmmm\ yy;@"/>
    <numFmt numFmtId="165" formatCode="0.0"/>
  </numFmts>
  <fonts count="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164" fontId="2" fillId="2" borderId="1" xfId="0" applyNumberFormat="1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2" fontId="3" fillId="3" borderId="4" xfId="0" applyNumberFormat="1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2" fontId="3" fillId="4" borderId="4" xfId="0" applyNumberFormat="1" applyFont="1" applyFill="1" applyBorder="1"/>
    <xf numFmtId="2" fontId="3" fillId="4" borderId="5" xfId="0" applyNumberFormat="1" applyFont="1" applyFill="1" applyBorder="1"/>
    <xf numFmtId="0" fontId="3" fillId="2" borderId="6" xfId="0" applyFont="1" applyFill="1" applyBorder="1"/>
    <xf numFmtId="0" fontId="3" fillId="2" borderId="5" xfId="0" applyFont="1" applyFill="1" applyBorder="1"/>
    <xf numFmtId="0" fontId="3" fillId="3" borderId="3" xfId="0" applyFont="1" applyFill="1" applyBorder="1"/>
    <xf numFmtId="9" fontId="3" fillId="3" borderId="6" xfId="1" applyFont="1" applyFill="1" applyBorder="1"/>
    <xf numFmtId="9" fontId="3" fillId="3" borderId="4" xfId="1" applyFont="1" applyFill="1" applyBorder="1"/>
    <xf numFmtId="165" fontId="4" fillId="3" borderId="3" xfId="0" applyNumberFormat="1" applyFont="1" applyFill="1" applyBorder="1"/>
    <xf numFmtId="165" fontId="4" fillId="3" borderId="7" xfId="0" applyNumberFormat="1" applyFont="1" applyFill="1" applyBorder="1"/>
    <xf numFmtId="0" fontId="0" fillId="0" borderId="8" xfId="0" applyBorder="1"/>
    <xf numFmtId="164" fontId="0" fillId="0" borderId="1" xfId="0" applyNumberForma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0" fontId="0" fillId="0" borderId="2" xfId="0" applyBorder="1"/>
    <xf numFmtId="0" fontId="0" fillId="5" borderId="9" xfId="0" applyFill="1" applyBorder="1"/>
    <xf numFmtId="0" fontId="0" fillId="6" borderId="1" xfId="0" applyFill="1" applyBorder="1"/>
    <xf numFmtId="2" fontId="0" fillId="5" borderId="1" xfId="0" applyNumberFormat="1" applyFill="1" applyBorder="1"/>
    <xf numFmtId="2" fontId="0" fillId="6" borderId="1" xfId="0" applyNumberFormat="1" applyFill="1" applyBorder="1"/>
    <xf numFmtId="0" fontId="0" fillId="5" borderId="1" xfId="0" applyFill="1" applyBorder="1"/>
    <xf numFmtId="2" fontId="0" fillId="6" borderId="10" xfId="0" applyNumberFormat="1" applyFill="1" applyBorder="1"/>
    <xf numFmtId="0" fontId="0" fillId="5" borderId="8" xfId="0" applyFill="1" applyBorder="1"/>
    <xf numFmtId="0" fontId="0" fillId="6" borderId="10" xfId="0" applyFill="1" applyBorder="1"/>
    <xf numFmtId="0" fontId="0" fillId="7" borderId="9" xfId="0" applyFill="1" applyBorder="1"/>
    <xf numFmtId="9" fontId="0" fillId="7" borderId="8" xfId="1" applyFont="1" applyFill="1" applyBorder="1"/>
    <xf numFmtId="0" fontId="0" fillId="7" borderId="1" xfId="0" applyFill="1" applyBorder="1"/>
    <xf numFmtId="9" fontId="0" fillId="7" borderId="1" xfId="1" applyFont="1" applyFill="1" applyBorder="1"/>
    <xf numFmtId="9" fontId="0" fillId="0" borderId="1" xfId="1" applyFont="1" applyFill="1" applyBorder="1"/>
    <xf numFmtId="0" fontId="0" fillId="0" borderId="10" xfId="0" applyBorder="1"/>
    <xf numFmtId="165" fontId="6" fillId="7" borderId="9" xfId="0" applyNumberFormat="1" applyFont="1" applyFill="1" applyBorder="1"/>
    <xf numFmtId="165" fontId="6" fillId="7" borderId="1" xfId="0" applyNumberFormat="1" applyFont="1" applyFill="1" applyBorder="1"/>
    <xf numFmtId="165" fontId="6" fillId="0" borderId="1" xfId="0" applyNumberFormat="1" applyFont="1" applyBorder="1"/>
    <xf numFmtId="165" fontId="6" fillId="0" borderId="10" xfId="0" applyNumberFormat="1" applyFont="1" applyBorder="1"/>
    <xf numFmtId="0" fontId="0" fillId="4" borderId="2" xfId="0" applyFill="1" applyBorder="1"/>
  </cellXfs>
  <cellStyles count="2">
    <cellStyle name="Normal" xfId="0" builtinId="0"/>
    <cellStyle name="Percent" xfId="1" builtinId="5"/>
  </cellStyles>
  <dxfs count="21"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FFCC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CC006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1059-72C4-1045-BEFC-85EBC5FA2D44}">
  <sheetPr>
    <tabColor theme="9" tint="0.39997558519241921"/>
  </sheetPr>
  <dimension ref="A1:BF100"/>
  <sheetViews>
    <sheetView tabSelected="1" workbookViewId="0">
      <pane ySplit="1" topLeftCell="A75" activePane="bottomLeft" state="frozen"/>
      <selection pane="bottomLeft" activeCell="E107" sqref="E107"/>
    </sheetView>
  </sheetViews>
  <sheetFormatPr baseColWidth="10" defaultColWidth="9.1640625" defaultRowHeight="15" x14ac:dyDescent="0.2"/>
  <cols>
    <col min="1" max="1" width="13.33203125" style="21" customWidth="1"/>
    <col min="2" max="2" width="2.6640625" style="22" customWidth="1"/>
    <col min="3" max="3" width="12.6640625" style="22" customWidth="1"/>
    <col min="4" max="5" width="4.6640625" style="23" customWidth="1"/>
    <col min="6" max="6" width="12.6640625" style="22" customWidth="1"/>
    <col min="7" max="7" width="9.6640625" style="24" customWidth="1"/>
    <col min="8" max="8" width="3.6640625" style="25" customWidth="1"/>
    <col min="9" max="9" width="3.6640625" style="26" customWidth="1"/>
    <col min="10" max="10" width="5.33203125" style="27" customWidth="1"/>
    <col min="11" max="11" width="5.33203125" style="28" customWidth="1"/>
    <col min="12" max="12" width="3.6640625" style="29" customWidth="1"/>
    <col min="13" max="13" width="3.6640625" style="26" customWidth="1"/>
    <col min="14" max="14" width="3.6640625" style="29" customWidth="1"/>
    <col min="15" max="15" width="3.6640625" style="26" customWidth="1"/>
    <col min="16" max="16" width="3.6640625" style="29" customWidth="1"/>
    <col min="17" max="17" width="3.6640625" style="26" customWidth="1"/>
    <col min="18" max="18" width="3.6640625" style="29" customWidth="1"/>
    <col min="19" max="19" width="3.6640625" style="26" customWidth="1"/>
    <col min="20" max="20" width="5.33203125" style="27" customWidth="1"/>
    <col min="21" max="21" width="5.33203125" style="30" customWidth="1"/>
    <col min="22" max="22" width="3.6640625" style="31" customWidth="1"/>
    <col min="23" max="23" width="3.6640625" style="26" customWidth="1"/>
    <col min="24" max="24" width="3.6640625" style="29" customWidth="1"/>
    <col min="25" max="25" width="3.6640625" style="26" customWidth="1"/>
    <col min="26" max="26" width="4.33203125" style="29" customWidth="1"/>
    <col min="27" max="27" width="4.33203125" style="26" customWidth="1"/>
    <col min="28" max="28" width="3.6640625" style="29" customWidth="1"/>
    <col min="29" max="29" width="3.6640625" style="26" customWidth="1"/>
    <col min="30" max="30" width="3.6640625" style="29" customWidth="1"/>
    <col min="31" max="31" width="3.6640625" style="26" customWidth="1"/>
    <col min="32" max="32" width="2.6640625" style="29" customWidth="1"/>
    <col min="33" max="33" width="2.6640625" style="26" customWidth="1"/>
    <col min="34" max="34" width="2.6640625" style="29" customWidth="1"/>
    <col min="35" max="35" width="2.6640625" style="26" customWidth="1"/>
    <col min="36" max="36" width="2.6640625" style="29" customWidth="1"/>
    <col min="37" max="37" width="2.6640625" style="32" customWidth="1"/>
    <col min="38" max="38" width="4.6640625" style="33" customWidth="1"/>
    <col min="39" max="39" width="5.33203125" style="34" customWidth="1"/>
    <col min="40" max="43" width="4.33203125" style="35" customWidth="1"/>
    <col min="44" max="44" width="5.33203125" style="36" customWidth="1"/>
    <col min="45" max="45" width="4.33203125" style="35" customWidth="1"/>
    <col min="46" max="46" width="4.6640625" style="22" customWidth="1"/>
    <col min="47" max="47" width="5.33203125" style="22" customWidth="1"/>
    <col min="48" max="51" width="4.33203125" style="22" customWidth="1"/>
    <col min="52" max="52" width="5.33203125" style="37" customWidth="1"/>
    <col min="53" max="53" width="4.33203125" style="38" customWidth="1"/>
    <col min="54" max="54" width="3.6640625" style="39" customWidth="1"/>
    <col min="55" max="55" width="3.6640625" style="40" customWidth="1"/>
    <col min="56" max="56" width="3.6640625" style="41" customWidth="1"/>
    <col min="57" max="57" width="3.6640625" style="42" customWidth="1"/>
    <col min="58" max="58" width="9.1640625" style="20"/>
    <col min="59" max="16384" width="9.1640625" style="22"/>
  </cols>
  <sheetData>
    <row r="1" spans="1:57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2" t="s">
        <v>20</v>
      </c>
      <c r="V1" s="13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14" t="s">
        <v>36</v>
      </c>
      <c r="AL1" s="15" t="s">
        <v>37</v>
      </c>
      <c r="AM1" s="16" t="s">
        <v>38</v>
      </c>
      <c r="AN1" s="7" t="s">
        <v>39</v>
      </c>
      <c r="AO1" s="7" t="s">
        <v>40</v>
      </c>
      <c r="AP1" s="10" t="s">
        <v>41</v>
      </c>
      <c r="AQ1" s="9" t="s">
        <v>42</v>
      </c>
      <c r="AR1" s="17" t="s">
        <v>43</v>
      </c>
      <c r="AS1" s="7" t="s">
        <v>44</v>
      </c>
      <c r="AT1" s="9" t="s">
        <v>45</v>
      </c>
      <c r="AU1" s="9" t="s">
        <v>46</v>
      </c>
      <c r="AV1" s="7" t="s">
        <v>47</v>
      </c>
      <c r="AW1" s="7" t="s">
        <v>48</v>
      </c>
      <c r="AX1" s="10" t="s">
        <v>49</v>
      </c>
      <c r="AY1" s="9" t="s">
        <v>50</v>
      </c>
      <c r="AZ1" s="17" t="s">
        <v>51</v>
      </c>
      <c r="BA1" s="14" t="s">
        <v>52</v>
      </c>
      <c r="BB1" s="18" t="s">
        <v>53</v>
      </c>
      <c r="BC1" s="18" t="s">
        <v>54</v>
      </c>
      <c r="BD1" s="18" t="s">
        <v>55</v>
      </c>
      <c r="BE1" s="19" t="s">
        <v>56</v>
      </c>
    </row>
    <row r="2" spans="1:57" x14ac:dyDescent="0.2">
      <c r="A2" s="21">
        <v>45884</v>
      </c>
      <c r="B2" s="22">
        <v>1</v>
      </c>
      <c r="C2" s="22" t="s">
        <v>57</v>
      </c>
      <c r="D2" s="23">
        <v>4</v>
      </c>
      <c r="E2" s="23">
        <v>2</v>
      </c>
      <c r="F2" s="22" t="s">
        <v>58</v>
      </c>
      <c r="H2" s="25">
        <v>61</v>
      </c>
      <c r="I2" s="26">
        <v>39</v>
      </c>
      <c r="J2" s="27">
        <v>2.21</v>
      </c>
      <c r="K2" s="28">
        <v>1.7</v>
      </c>
      <c r="L2" s="29">
        <v>3</v>
      </c>
      <c r="M2" s="26">
        <v>3</v>
      </c>
      <c r="N2" s="29">
        <v>19</v>
      </c>
      <c r="O2" s="26">
        <v>10</v>
      </c>
      <c r="P2" s="29">
        <v>1</v>
      </c>
      <c r="Q2" s="26">
        <v>6</v>
      </c>
      <c r="R2" s="29">
        <v>0</v>
      </c>
      <c r="S2" s="26">
        <v>1</v>
      </c>
      <c r="T2" s="27">
        <v>-1.19</v>
      </c>
      <c r="U2" s="30">
        <v>-0.95</v>
      </c>
      <c r="V2" s="31">
        <v>6</v>
      </c>
      <c r="W2" s="26">
        <v>7</v>
      </c>
      <c r="X2" s="29">
        <v>7</v>
      </c>
      <c r="Y2" s="26">
        <v>10</v>
      </c>
      <c r="Z2" s="29">
        <v>489</v>
      </c>
      <c r="AA2" s="26">
        <v>299</v>
      </c>
      <c r="AB2" s="29">
        <v>16</v>
      </c>
      <c r="AC2" s="26">
        <v>20</v>
      </c>
      <c r="AD2" s="29">
        <v>10</v>
      </c>
      <c r="AE2" s="26">
        <v>7</v>
      </c>
      <c r="AF2" s="29">
        <v>1</v>
      </c>
      <c r="AG2" s="26">
        <v>2</v>
      </c>
      <c r="AH2" s="29">
        <v>0</v>
      </c>
      <c r="AI2" s="26">
        <v>0</v>
      </c>
      <c r="AJ2" s="29">
        <v>0</v>
      </c>
      <c r="AK2" s="32">
        <v>0</v>
      </c>
      <c r="AL2" s="33">
        <v>10</v>
      </c>
      <c r="AM2" s="34">
        <f>AL2/N2</f>
        <v>0.52631578947368418</v>
      </c>
      <c r="AN2" s="35">
        <v>0</v>
      </c>
      <c r="AO2" s="35">
        <v>7</v>
      </c>
      <c r="AP2" s="35">
        <v>2</v>
      </c>
      <c r="AQ2" s="35">
        <v>15</v>
      </c>
      <c r="AR2" s="36">
        <f>AQ2/N2</f>
        <v>0.78947368421052633</v>
      </c>
      <c r="AS2" s="35">
        <v>4</v>
      </c>
      <c r="AT2" s="22">
        <v>3</v>
      </c>
      <c r="AU2" s="37">
        <f>AT2/O2</f>
        <v>0.3</v>
      </c>
      <c r="AV2" s="22">
        <v>0</v>
      </c>
      <c r="AW2" s="22">
        <v>4</v>
      </c>
      <c r="AX2" s="22">
        <v>3</v>
      </c>
      <c r="AY2" s="22">
        <v>8</v>
      </c>
      <c r="AZ2" s="37">
        <f>AY2/O2</f>
        <v>0.8</v>
      </c>
      <c r="BA2" s="38">
        <v>2</v>
      </c>
      <c r="BB2" s="39">
        <v>0</v>
      </c>
      <c r="BC2" s="40">
        <v>1</v>
      </c>
      <c r="BD2" s="41">
        <v>0</v>
      </c>
      <c r="BE2" s="42">
        <v>0</v>
      </c>
    </row>
    <row r="3" spans="1:57" x14ac:dyDescent="0.2">
      <c r="A3" s="21">
        <v>45885</v>
      </c>
      <c r="B3" s="22">
        <v>1</v>
      </c>
      <c r="C3" s="26" t="s">
        <v>59</v>
      </c>
      <c r="D3" s="23">
        <v>0</v>
      </c>
      <c r="E3" s="23">
        <v>0</v>
      </c>
      <c r="F3" s="22" t="s">
        <v>60</v>
      </c>
      <c r="G3" s="43" t="s">
        <v>61</v>
      </c>
      <c r="H3" s="25">
        <v>40</v>
      </c>
      <c r="I3" s="26">
        <v>60</v>
      </c>
      <c r="J3" s="27">
        <v>0.2</v>
      </c>
      <c r="K3" s="28">
        <v>1.43</v>
      </c>
      <c r="L3" s="29">
        <v>1</v>
      </c>
      <c r="M3" s="26">
        <v>2</v>
      </c>
      <c r="N3" s="29">
        <v>3</v>
      </c>
      <c r="O3" s="26">
        <v>10</v>
      </c>
      <c r="P3" s="29">
        <v>3</v>
      </c>
      <c r="Q3" s="26">
        <v>3</v>
      </c>
      <c r="R3" s="29">
        <v>2</v>
      </c>
      <c r="S3" s="26">
        <v>0</v>
      </c>
      <c r="T3" s="27">
        <v>0.64</v>
      </c>
      <c r="U3" s="30">
        <v>0.2</v>
      </c>
      <c r="V3" s="31">
        <v>3</v>
      </c>
      <c r="W3" s="26">
        <v>6</v>
      </c>
      <c r="X3" s="29">
        <v>13</v>
      </c>
      <c r="Y3" s="26">
        <v>11</v>
      </c>
      <c r="Z3" s="29">
        <v>310</v>
      </c>
      <c r="AA3" s="26">
        <v>451</v>
      </c>
      <c r="AB3" s="29">
        <v>11</v>
      </c>
      <c r="AC3" s="26">
        <v>10</v>
      </c>
      <c r="AD3" s="29">
        <v>11</v>
      </c>
      <c r="AE3" s="26">
        <v>13</v>
      </c>
      <c r="AF3" s="29">
        <v>1</v>
      </c>
      <c r="AG3" s="26">
        <v>1</v>
      </c>
      <c r="AH3" s="29">
        <v>1</v>
      </c>
      <c r="AI3" s="26">
        <v>0</v>
      </c>
      <c r="AJ3" s="29">
        <v>0</v>
      </c>
      <c r="AK3" s="32">
        <v>0</v>
      </c>
      <c r="AL3" s="33">
        <v>3</v>
      </c>
      <c r="AM3" s="34">
        <f t="shared" ref="AM3:AM66" si="0">AL3/N3</f>
        <v>1</v>
      </c>
      <c r="AN3" s="35">
        <v>0</v>
      </c>
      <c r="AO3" s="35">
        <v>0</v>
      </c>
      <c r="AP3" s="35">
        <v>0</v>
      </c>
      <c r="AQ3" s="35">
        <v>3</v>
      </c>
      <c r="AR3" s="36">
        <f t="shared" ref="AR3:AR66" si="1">AQ3/N3</f>
        <v>1</v>
      </c>
      <c r="AS3" s="35">
        <v>0</v>
      </c>
      <c r="AT3" s="22">
        <v>3</v>
      </c>
      <c r="AU3" s="37">
        <f t="shared" ref="AU3:AU66" si="2">AT3/O3</f>
        <v>0.3</v>
      </c>
      <c r="AV3" s="22">
        <v>0</v>
      </c>
      <c r="AW3" s="22">
        <v>6</v>
      </c>
      <c r="AX3" s="22">
        <v>7</v>
      </c>
      <c r="AY3" s="22">
        <v>9</v>
      </c>
      <c r="AZ3" s="37">
        <f t="shared" ref="AZ3:AZ66" si="3">AY3/O3</f>
        <v>0.9</v>
      </c>
      <c r="BA3" s="38">
        <v>7</v>
      </c>
      <c r="BB3" s="39">
        <v>0</v>
      </c>
      <c r="BC3" s="40">
        <v>0</v>
      </c>
      <c r="BD3" s="41">
        <v>0</v>
      </c>
      <c r="BE3" s="42">
        <v>0</v>
      </c>
    </row>
    <row r="4" spans="1:57" x14ac:dyDescent="0.2">
      <c r="A4" s="21">
        <v>45885</v>
      </c>
      <c r="B4" s="22">
        <v>1</v>
      </c>
      <c r="C4" s="22" t="s">
        <v>62</v>
      </c>
      <c r="D4" s="23">
        <v>1</v>
      </c>
      <c r="E4" s="23">
        <v>1</v>
      </c>
      <c r="F4" s="22" t="s">
        <v>63</v>
      </c>
      <c r="H4" s="25">
        <v>50</v>
      </c>
      <c r="I4" s="26">
        <v>50</v>
      </c>
      <c r="J4" s="27">
        <v>1.48</v>
      </c>
      <c r="K4" s="28">
        <v>0.76</v>
      </c>
      <c r="L4" s="29">
        <v>2</v>
      </c>
      <c r="M4" s="26">
        <v>1</v>
      </c>
      <c r="N4" s="29">
        <v>10</v>
      </c>
      <c r="O4" s="26">
        <v>7</v>
      </c>
      <c r="P4" s="29">
        <v>1</v>
      </c>
      <c r="Q4" s="26">
        <v>3</v>
      </c>
      <c r="R4" s="29">
        <v>0</v>
      </c>
      <c r="S4" s="26">
        <v>0</v>
      </c>
      <c r="T4" s="27">
        <v>-0.27</v>
      </c>
      <c r="U4" s="30">
        <v>0.02</v>
      </c>
      <c r="V4" s="31">
        <v>4</v>
      </c>
      <c r="W4" s="26">
        <v>3</v>
      </c>
      <c r="X4" s="29">
        <v>16</v>
      </c>
      <c r="Y4" s="26">
        <v>15</v>
      </c>
      <c r="Z4" s="29">
        <v>427</v>
      </c>
      <c r="AA4" s="26">
        <v>423</v>
      </c>
      <c r="AB4" s="29">
        <v>19</v>
      </c>
      <c r="AC4" s="26">
        <v>15</v>
      </c>
      <c r="AD4" s="29">
        <v>14</v>
      </c>
      <c r="AE4" s="26">
        <v>16</v>
      </c>
      <c r="AF4" s="29">
        <v>3</v>
      </c>
      <c r="AG4" s="26">
        <v>3</v>
      </c>
      <c r="AH4" s="29">
        <v>0</v>
      </c>
      <c r="AI4" s="26">
        <v>0</v>
      </c>
      <c r="AJ4" s="29">
        <v>1</v>
      </c>
      <c r="AK4" s="32">
        <v>0</v>
      </c>
      <c r="AL4" s="33">
        <v>4</v>
      </c>
      <c r="AM4" s="34">
        <f t="shared" si="0"/>
        <v>0.4</v>
      </c>
      <c r="AN4" s="35">
        <v>0</v>
      </c>
      <c r="AO4" s="35">
        <v>5</v>
      </c>
      <c r="AP4" s="35">
        <v>1</v>
      </c>
      <c r="AQ4" s="35">
        <v>6</v>
      </c>
      <c r="AR4" s="36">
        <f t="shared" si="1"/>
        <v>0.6</v>
      </c>
      <c r="AS4" s="35">
        <v>4</v>
      </c>
      <c r="AT4" s="22">
        <v>2</v>
      </c>
      <c r="AU4" s="37">
        <f t="shared" si="2"/>
        <v>0.2857142857142857</v>
      </c>
      <c r="AV4" s="22">
        <v>0</v>
      </c>
      <c r="AW4" s="22">
        <v>4</v>
      </c>
      <c r="AX4" s="22">
        <v>1</v>
      </c>
      <c r="AY4" s="22">
        <v>5</v>
      </c>
      <c r="AZ4" s="37">
        <f t="shared" si="3"/>
        <v>0.7142857142857143</v>
      </c>
      <c r="BA4" s="38">
        <v>2</v>
      </c>
      <c r="BB4" s="39">
        <v>0</v>
      </c>
      <c r="BC4" s="40">
        <v>0</v>
      </c>
      <c r="BD4" s="41">
        <v>1</v>
      </c>
      <c r="BE4" s="42">
        <v>0</v>
      </c>
    </row>
    <row r="5" spans="1:57" x14ac:dyDescent="0.2">
      <c r="A5" s="21">
        <v>45885</v>
      </c>
      <c r="B5" s="22">
        <v>1</v>
      </c>
      <c r="C5" s="22" t="s">
        <v>64</v>
      </c>
      <c r="D5" s="23">
        <v>3</v>
      </c>
      <c r="E5" s="23">
        <v>0</v>
      </c>
      <c r="F5" s="22" t="s">
        <v>65</v>
      </c>
      <c r="H5" s="25">
        <v>37</v>
      </c>
      <c r="I5" s="26">
        <v>63</v>
      </c>
      <c r="J5" s="27">
        <v>0.75</v>
      </c>
      <c r="K5" s="28">
        <v>0.56000000000000005</v>
      </c>
      <c r="L5" s="29">
        <v>2</v>
      </c>
      <c r="M5" s="26">
        <v>0</v>
      </c>
      <c r="N5" s="29">
        <v>10</v>
      </c>
      <c r="O5" s="26">
        <v>12</v>
      </c>
      <c r="P5" s="29">
        <v>4</v>
      </c>
      <c r="Q5" s="26">
        <v>2</v>
      </c>
      <c r="R5" s="29">
        <v>1</v>
      </c>
      <c r="S5" s="26">
        <v>1</v>
      </c>
      <c r="T5" s="27">
        <v>0.37</v>
      </c>
      <c r="U5" s="30">
        <v>-1.36</v>
      </c>
      <c r="V5" s="31">
        <v>5</v>
      </c>
      <c r="W5" s="26">
        <v>7</v>
      </c>
      <c r="X5" s="29">
        <v>8</v>
      </c>
      <c r="Y5" s="26">
        <v>10</v>
      </c>
      <c r="Z5" s="29">
        <v>323</v>
      </c>
      <c r="AA5" s="26">
        <v>550</v>
      </c>
      <c r="AB5" s="29">
        <v>14</v>
      </c>
      <c r="AC5" s="26">
        <v>12</v>
      </c>
      <c r="AD5" s="29">
        <v>10</v>
      </c>
      <c r="AE5" s="26">
        <v>8</v>
      </c>
      <c r="AF5" s="29">
        <v>0</v>
      </c>
      <c r="AG5" s="26">
        <v>1</v>
      </c>
      <c r="AH5" s="29">
        <v>0</v>
      </c>
      <c r="AI5" s="26">
        <v>0</v>
      </c>
      <c r="AJ5" s="29">
        <v>0</v>
      </c>
      <c r="AK5" s="32">
        <v>0</v>
      </c>
      <c r="AL5" s="33">
        <v>5</v>
      </c>
      <c r="AM5" s="34">
        <f t="shared" si="0"/>
        <v>0.5</v>
      </c>
      <c r="AN5" s="35">
        <v>0</v>
      </c>
      <c r="AO5" s="35">
        <v>4</v>
      </c>
      <c r="AP5" s="35">
        <v>1</v>
      </c>
      <c r="AQ5" s="35">
        <v>9</v>
      </c>
      <c r="AR5" s="36">
        <f t="shared" si="1"/>
        <v>0.9</v>
      </c>
      <c r="AS5" s="35">
        <v>1</v>
      </c>
      <c r="AT5" s="22">
        <v>4</v>
      </c>
      <c r="AU5" s="37">
        <f t="shared" si="2"/>
        <v>0.33333333333333331</v>
      </c>
      <c r="AV5" s="22">
        <v>0</v>
      </c>
      <c r="AW5" s="22">
        <v>2</v>
      </c>
      <c r="AX5" s="22">
        <v>6</v>
      </c>
      <c r="AY5" s="22">
        <v>7</v>
      </c>
      <c r="AZ5" s="37">
        <f t="shared" si="3"/>
        <v>0.58333333333333337</v>
      </c>
      <c r="BA5" s="38">
        <v>5</v>
      </c>
      <c r="BB5" s="39">
        <v>1</v>
      </c>
      <c r="BC5" s="40">
        <v>0</v>
      </c>
      <c r="BD5" s="41">
        <v>0</v>
      </c>
      <c r="BE5" s="42">
        <v>0</v>
      </c>
    </row>
    <row r="6" spans="1:57" x14ac:dyDescent="0.2">
      <c r="A6" s="21">
        <v>45885</v>
      </c>
      <c r="B6" s="22">
        <v>1</v>
      </c>
      <c r="C6" s="22" t="s">
        <v>66</v>
      </c>
      <c r="D6" s="23">
        <v>3</v>
      </c>
      <c r="E6" s="23">
        <v>0</v>
      </c>
      <c r="F6" s="22" t="s">
        <v>67</v>
      </c>
      <c r="H6" s="25">
        <v>67</v>
      </c>
      <c r="I6" s="26">
        <v>33</v>
      </c>
      <c r="J6" s="27">
        <v>2.3199999999999998</v>
      </c>
      <c r="K6" s="28">
        <v>0.94</v>
      </c>
      <c r="L6" s="29">
        <v>2</v>
      </c>
      <c r="M6" s="26">
        <v>0</v>
      </c>
      <c r="N6" s="29">
        <v>16</v>
      </c>
      <c r="O6" s="26">
        <v>14</v>
      </c>
      <c r="P6" s="29">
        <v>4</v>
      </c>
      <c r="Q6" s="26">
        <v>3</v>
      </c>
      <c r="R6" s="29">
        <v>0</v>
      </c>
      <c r="S6" s="26">
        <v>1</v>
      </c>
      <c r="T6" s="27">
        <v>1.07</v>
      </c>
      <c r="U6" s="30">
        <v>-0.39</v>
      </c>
      <c r="V6" s="31">
        <v>6</v>
      </c>
      <c r="W6" s="26">
        <v>5</v>
      </c>
      <c r="X6" s="29">
        <v>14</v>
      </c>
      <c r="Y6" s="26">
        <v>8</v>
      </c>
      <c r="Z6" s="29">
        <v>511</v>
      </c>
      <c r="AA6" s="26">
        <v>246</v>
      </c>
      <c r="AB6" s="29">
        <v>12</v>
      </c>
      <c r="AC6" s="26">
        <v>6</v>
      </c>
      <c r="AD6" s="29">
        <v>8</v>
      </c>
      <c r="AE6" s="26">
        <v>14</v>
      </c>
      <c r="AF6" s="29">
        <v>0</v>
      </c>
      <c r="AG6" s="26">
        <v>0</v>
      </c>
      <c r="AH6" s="29">
        <v>0</v>
      </c>
      <c r="AI6" s="26">
        <v>0</v>
      </c>
      <c r="AJ6" s="29">
        <v>0</v>
      </c>
      <c r="AK6" s="32">
        <v>0</v>
      </c>
      <c r="AL6" s="33">
        <v>6</v>
      </c>
      <c r="AM6" s="34">
        <f t="shared" si="0"/>
        <v>0.375</v>
      </c>
      <c r="AN6" s="35">
        <v>0</v>
      </c>
      <c r="AO6" s="35">
        <v>9</v>
      </c>
      <c r="AP6" s="35">
        <v>1</v>
      </c>
      <c r="AQ6" s="35">
        <v>12</v>
      </c>
      <c r="AR6" s="36">
        <f t="shared" si="1"/>
        <v>0.75</v>
      </c>
      <c r="AS6" s="35">
        <v>4</v>
      </c>
      <c r="AT6" s="22">
        <v>4</v>
      </c>
      <c r="AU6" s="37">
        <f t="shared" si="2"/>
        <v>0.2857142857142857</v>
      </c>
      <c r="AV6" s="22">
        <v>0</v>
      </c>
      <c r="AW6" s="22">
        <v>7</v>
      </c>
      <c r="AX6" s="22">
        <v>3</v>
      </c>
      <c r="AY6" s="22">
        <v>7</v>
      </c>
      <c r="AZ6" s="37">
        <f t="shared" si="3"/>
        <v>0.5</v>
      </c>
      <c r="BA6" s="38">
        <v>7</v>
      </c>
      <c r="BB6" s="39">
        <v>1</v>
      </c>
      <c r="BC6" s="40">
        <v>0</v>
      </c>
      <c r="BD6" s="41">
        <v>0</v>
      </c>
      <c r="BE6" s="42">
        <v>0</v>
      </c>
    </row>
    <row r="7" spans="1:57" x14ac:dyDescent="0.2">
      <c r="A7" s="21">
        <v>45885</v>
      </c>
      <c r="B7" s="22">
        <v>1</v>
      </c>
      <c r="C7" s="22" t="s">
        <v>68</v>
      </c>
      <c r="D7" s="23">
        <v>0</v>
      </c>
      <c r="E7" s="23">
        <v>4</v>
      </c>
      <c r="F7" s="22" t="s">
        <v>69</v>
      </c>
      <c r="H7" s="25">
        <v>42</v>
      </c>
      <c r="I7" s="26">
        <v>58</v>
      </c>
      <c r="J7" s="27">
        <v>0.56000000000000005</v>
      </c>
      <c r="K7" s="28">
        <v>2.4700000000000002</v>
      </c>
      <c r="L7" s="29">
        <v>0</v>
      </c>
      <c r="M7" s="26">
        <v>3</v>
      </c>
      <c r="N7" s="29">
        <v>9</v>
      </c>
      <c r="O7" s="26">
        <v>15</v>
      </c>
      <c r="P7" s="29">
        <v>0</v>
      </c>
      <c r="Q7" s="26">
        <v>3</v>
      </c>
      <c r="R7" s="29">
        <v>0</v>
      </c>
      <c r="S7" s="26">
        <v>1</v>
      </c>
      <c r="T7" s="27">
        <v>-1.73</v>
      </c>
      <c r="U7" s="30">
        <v>0.74</v>
      </c>
      <c r="V7" s="31">
        <v>4</v>
      </c>
      <c r="W7" s="26">
        <v>5</v>
      </c>
      <c r="X7" s="29">
        <v>13</v>
      </c>
      <c r="Y7" s="26">
        <v>7</v>
      </c>
      <c r="Z7" s="29">
        <v>394</v>
      </c>
      <c r="AA7" s="26">
        <v>563</v>
      </c>
      <c r="AB7" s="29">
        <v>25</v>
      </c>
      <c r="AC7" s="26">
        <v>18</v>
      </c>
      <c r="AD7" s="29">
        <v>7</v>
      </c>
      <c r="AE7" s="26">
        <v>13</v>
      </c>
      <c r="AF7" s="29">
        <v>1</v>
      </c>
      <c r="AG7" s="26">
        <v>2</v>
      </c>
      <c r="AH7" s="29">
        <v>0</v>
      </c>
      <c r="AI7" s="26">
        <v>0</v>
      </c>
      <c r="AJ7" s="29">
        <v>0</v>
      </c>
      <c r="AK7" s="32">
        <v>0</v>
      </c>
      <c r="AL7" s="33">
        <v>3</v>
      </c>
      <c r="AM7" s="34">
        <f t="shared" si="0"/>
        <v>0.33333333333333331</v>
      </c>
      <c r="AN7" s="35">
        <v>0</v>
      </c>
      <c r="AO7" s="35">
        <v>3</v>
      </c>
      <c r="AP7" s="35">
        <v>3</v>
      </c>
      <c r="AQ7" s="35">
        <v>6</v>
      </c>
      <c r="AR7" s="36">
        <f t="shared" si="1"/>
        <v>0.66666666666666663</v>
      </c>
      <c r="AS7" s="35">
        <v>3</v>
      </c>
      <c r="AT7" s="22">
        <v>4</v>
      </c>
      <c r="AU7" s="37">
        <f t="shared" si="2"/>
        <v>0.26666666666666666</v>
      </c>
      <c r="AV7" s="22">
        <v>0</v>
      </c>
      <c r="AW7" s="22">
        <v>7</v>
      </c>
      <c r="AX7" s="22">
        <v>4</v>
      </c>
      <c r="AY7" s="22">
        <v>8</v>
      </c>
      <c r="AZ7" s="37">
        <f t="shared" si="3"/>
        <v>0.53333333333333333</v>
      </c>
      <c r="BA7" s="38">
        <v>7</v>
      </c>
      <c r="BB7" s="39">
        <v>0</v>
      </c>
      <c r="BC7" s="40">
        <v>1</v>
      </c>
      <c r="BD7" s="41">
        <v>2</v>
      </c>
      <c r="BE7" s="42">
        <v>0</v>
      </c>
    </row>
    <row r="8" spans="1:57" x14ac:dyDescent="0.2">
      <c r="A8" s="21">
        <v>45886</v>
      </c>
      <c r="B8" s="22">
        <v>1</v>
      </c>
      <c r="C8" s="22" t="s">
        <v>70</v>
      </c>
      <c r="D8" s="23">
        <v>0</v>
      </c>
      <c r="E8" s="23">
        <v>0</v>
      </c>
      <c r="F8" s="22" t="s">
        <v>71</v>
      </c>
      <c r="H8" s="25">
        <v>72</v>
      </c>
      <c r="I8" s="26">
        <v>28</v>
      </c>
      <c r="J8" s="27">
        <v>1.6</v>
      </c>
      <c r="K8" s="28">
        <v>0.66</v>
      </c>
      <c r="L8" s="29">
        <v>2</v>
      </c>
      <c r="M8" s="26">
        <v>1</v>
      </c>
      <c r="N8" s="29">
        <v>19</v>
      </c>
      <c r="O8" s="26">
        <v>11</v>
      </c>
      <c r="P8" s="29">
        <v>4</v>
      </c>
      <c r="Q8" s="26">
        <v>2</v>
      </c>
      <c r="R8" s="29">
        <v>1</v>
      </c>
      <c r="S8" s="26">
        <v>0</v>
      </c>
      <c r="T8" s="27">
        <v>0.26</v>
      </c>
      <c r="U8" s="30">
        <v>0.65</v>
      </c>
      <c r="V8" s="31">
        <v>11</v>
      </c>
      <c r="W8" s="26">
        <v>2</v>
      </c>
      <c r="X8" s="29">
        <v>10</v>
      </c>
      <c r="Y8" s="26">
        <v>12</v>
      </c>
      <c r="Z8" s="29">
        <v>568</v>
      </c>
      <c r="AA8" s="26">
        <v>226</v>
      </c>
      <c r="AB8" s="29">
        <v>13</v>
      </c>
      <c r="AC8" s="26">
        <v>16</v>
      </c>
      <c r="AD8" s="29">
        <v>12</v>
      </c>
      <c r="AE8" s="26">
        <v>10</v>
      </c>
      <c r="AF8" s="29">
        <v>2</v>
      </c>
      <c r="AG8" s="26">
        <v>3</v>
      </c>
      <c r="AH8" s="29">
        <v>0</v>
      </c>
      <c r="AI8" s="26">
        <v>0</v>
      </c>
      <c r="AJ8" s="29">
        <v>0</v>
      </c>
      <c r="AK8" s="32">
        <v>0</v>
      </c>
      <c r="AL8" s="33">
        <v>3</v>
      </c>
      <c r="AM8" s="34">
        <f t="shared" si="0"/>
        <v>0.15789473684210525</v>
      </c>
      <c r="AN8" s="35">
        <v>0</v>
      </c>
      <c r="AO8" s="35">
        <v>7</v>
      </c>
      <c r="AP8" s="35">
        <v>9</v>
      </c>
      <c r="AQ8" s="35">
        <v>11</v>
      </c>
      <c r="AR8" s="36">
        <f t="shared" si="1"/>
        <v>0.57894736842105265</v>
      </c>
      <c r="AS8" s="35">
        <v>8</v>
      </c>
      <c r="AT8" s="22">
        <v>4</v>
      </c>
      <c r="AU8" s="37">
        <f t="shared" si="2"/>
        <v>0.36363636363636365</v>
      </c>
      <c r="AV8" s="22">
        <v>0</v>
      </c>
      <c r="AW8" s="22">
        <v>3</v>
      </c>
      <c r="AX8" s="22">
        <v>4</v>
      </c>
      <c r="AY8" s="22">
        <v>4</v>
      </c>
      <c r="AZ8" s="37">
        <f t="shared" si="3"/>
        <v>0.36363636363636365</v>
      </c>
      <c r="BA8" s="38">
        <v>7</v>
      </c>
      <c r="BB8" s="39">
        <v>1</v>
      </c>
      <c r="BC8" s="40">
        <v>0</v>
      </c>
      <c r="BD8" s="41">
        <v>1</v>
      </c>
      <c r="BE8" s="42">
        <v>0</v>
      </c>
    </row>
    <row r="9" spans="1:57" x14ac:dyDescent="0.2">
      <c r="A9" s="21">
        <v>45886</v>
      </c>
      <c r="B9" s="22">
        <v>1</v>
      </c>
      <c r="C9" s="22" t="s">
        <v>72</v>
      </c>
      <c r="D9" s="23">
        <v>3</v>
      </c>
      <c r="E9" s="23">
        <v>1</v>
      </c>
      <c r="F9" s="22" t="s">
        <v>73</v>
      </c>
      <c r="H9" s="25">
        <v>54</v>
      </c>
      <c r="I9" s="26">
        <v>46</v>
      </c>
      <c r="J9" s="27">
        <v>1.83</v>
      </c>
      <c r="K9" s="28">
        <v>1.49</v>
      </c>
      <c r="L9" s="29">
        <v>4</v>
      </c>
      <c r="M9" s="26">
        <v>1</v>
      </c>
      <c r="N9" s="29">
        <v>11</v>
      </c>
      <c r="O9" s="26">
        <v>10</v>
      </c>
      <c r="P9" s="29">
        <v>2</v>
      </c>
      <c r="Q9" s="26">
        <v>2</v>
      </c>
      <c r="R9" s="29">
        <v>1</v>
      </c>
      <c r="S9" s="26">
        <v>0</v>
      </c>
      <c r="T9" s="27">
        <v>0.47</v>
      </c>
      <c r="U9" s="30">
        <v>-0.56999999999999995</v>
      </c>
      <c r="V9" s="31">
        <v>5</v>
      </c>
      <c r="W9" s="26">
        <v>5</v>
      </c>
      <c r="X9" s="29">
        <v>7</v>
      </c>
      <c r="Y9" s="26">
        <v>15</v>
      </c>
      <c r="Z9" s="29">
        <v>417</v>
      </c>
      <c r="AA9" s="26">
        <v>346</v>
      </c>
      <c r="AB9" s="29">
        <v>12</v>
      </c>
      <c r="AC9" s="26">
        <v>20</v>
      </c>
      <c r="AD9" s="29">
        <v>15</v>
      </c>
      <c r="AE9" s="26">
        <v>6</v>
      </c>
      <c r="AF9" s="29">
        <v>1</v>
      </c>
      <c r="AG9" s="26">
        <v>2</v>
      </c>
      <c r="AH9" s="29">
        <v>0</v>
      </c>
      <c r="AI9" s="26">
        <v>0</v>
      </c>
      <c r="AJ9" s="29">
        <v>0</v>
      </c>
      <c r="AK9" s="32">
        <v>1</v>
      </c>
      <c r="AL9" s="33">
        <v>5</v>
      </c>
      <c r="AM9" s="34">
        <f t="shared" si="0"/>
        <v>0.45454545454545453</v>
      </c>
      <c r="AN9" s="35">
        <v>0</v>
      </c>
      <c r="AO9" s="35">
        <v>4</v>
      </c>
      <c r="AP9" s="35">
        <v>2</v>
      </c>
      <c r="AQ9" s="35">
        <v>6</v>
      </c>
      <c r="AR9" s="36">
        <f t="shared" si="1"/>
        <v>0.54545454545454541</v>
      </c>
      <c r="AS9" s="35">
        <v>5</v>
      </c>
      <c r="AT9" s="22">
        <v>3</v>
      </c>
      <c r="AU9" s="37">
        <f t="shared" si="2"/>
        <v>0.3</v>
      </c>
      <c r="AV9" s="22">
        <v>0</v>
      </c>
      <c r="AW9" s="22">
        <v>4</v>
      </c>
      <c r="AX9" s="22">
        <v>3</v>
      </c>
      <c r="AY9" s="22">
        <v>7</v>
      </c>
      <c r="AZ9" s="37">
        <f t="shared" si="3"/>
        <v>0.7</v>
      </c>
      <c r="BA9" s="38">
        <v>3</v>
      </c>
      <c r="BB9" s="39">
        <v>2</v>
      </c>
      <c r="BC9" s="40">
        <v>0</v>
      </c>
      <c r="BD9" s="41">
        <v>0</v>
      </c>
      <c r="BE9" s="42">
        <v>1</v>
      </c>
    </row>
    <row r="10" spans="1:57" x14ac:dyDescent="0.2">
      <c r="A10" s="21">
        <v>45886</v>
      </c>
      <c r="B10" s="22">
        <v>1</v>
      </c>
      <c r="C10" s="22" t="s">
        <v>74</v>
      </c>
      <c r="D10" s="23">
        <v>0</v>
      </c>
      <c r="E10" s="23">
        <v>1</v>
      </c>
      <c r="F10" s="22" t="s">
        <v>75</v>
      </c>
      <c r="H10" s="25">
        <v>61</v>
      </c>
      <c r="I10" s="26">
        <v>39</v>
      </c>
      <c r="J10" s="27">
        <v>1.52</v>
      </c>
      <c r="K10" s="28">
        <v>1.31</v>
      </c>
      <c r="L10" s="29">
        <v>0</v>
      </c>
      <c r="M10" s="26">
        <v>1</v>
      </c>
      <c r="N10" s="29">
        <v>22</v>
      </c>
      <c r="O10" s="26">
        <v>9</v>
      </c>
      <c r="P10" s="29">
        <v>2</v>
      </c>
      <c r="Q10" s="26">
        <v>7</v>
      </c>
      <c r="R10" s="29">
        <v>0</v>
      </c>
      <c r="S10" s="26">
        <v>2</v>
      </c>
      <c r="T10" s="27">
        <v>0.21</v>
      </c>
      <c r="U10" s="30">
        <v>0.75</v>
      </c>
      <c r="V10" s="31">
        <v>3</v>
      </c>
      <c r="W10" s="26">
        <v>4</v>
      </c>
      <c r="X10" s="29">
        <v>10</v>
      </c>
      <c r="Y10" s="26">
        <v>19</v>
      </c>
      <c r="Z10" s="29">
        <v>475</v>
      </c>
      <c r="AA10" s="26">
        <v>294</v>
      </c>
      <c r="AB10" s="29">
        <v>22</v>
      </c>
      <c r="AC10" s="26">
        <v>18</v>
      </c>
      <c r="AD10" s="29">
        <v>19</v>
      </c>
      <c r="AE10" s="26">
        <v>10</v>
      </c>
      <c r="AF10" s="29">
        <v>1</v>
      </c>
      <c r="AG10" s="26">
        <v>4</v>
      </c>
      <c r="AH10" s="29">
        <v>0</v>
      </c>
      <c r="AI10" s="26">
        <v>0</v>
      </c>
      <c r="AJ10" s="29">
        <v>0</v>
      </c>
      <c r="AK10" s="32">
        <v>0</v>
      </c>
      <c r="AL10" s="33">
        <v>7</v>
      </c>
      <c r="AM10" s="34">
        <f t="shared" si="0"/>
        <v>0.31818181818181818</v>
      </c>
      <c r="AN10" s="35">
        <v>1</v>
      </c>
      <c r="AO10" s="35">
        <v>7</v>
      </c>
      <c r="AP10" s="35">
        <v>8</v>
      </c>
      <c r="AQ10" s="35">
        <v>15</v>
      </c>
      <c r="AR10" s="36">
        <f t="shared" si="1"/>
        <v>0.68181818181818177</v>
      </c>
      <c r="AS10" s="35">
        <v>7</v>
      </c>
      <c r="AT10" s="22">
        <v>3</v>
      </c>
      <c r="AU10" s="37">
        <f t="shared" si="2"/>
        <v>0.33333333333333331</v>
      </c>
      <c r="AV10" s="22">
        <v>0</v>
      </c>
      <c r="AW10" s="22">
        <v>3</v>
      </c>
      <c r="AX10" s="22">
        <v>3</v>
      </c>
      <c r="AY10" s="22">
        <v>5</v>
      </c>
      <c r="AZ10" s="37">
        <f t="shared" si="3"/>
        <v>0.55555555555555558</v>
      </c>
      <c r="BA10" s="38">
        <v>4</v>
      </c>
      <c r="BB10" s="39">
        <v>0</v>
      </c>
      <c r="BC10" s="40">
        <v>1</v>
      </c>
      <c r="BD10" s="41">
        <v>0</v>
      </c>
      <c r="BE10" s="42">
        <v>0</v>
      </c>
    </row>
    <row r="11" spans="1:57" x14ac:dyDescent="0.2">
      <c r="A11" s="21">
        <v>45887</v>
      </c>
      <c r="B11" s="22">
        <v>1</v>
      </c>
      <c r="C11" s="22" t="s">
        <v>76</v>
      </c>
      <c r="D11" s="23">
        <v>1</v>
      </c>
      <c r="E11" s="23">
        <v>0</v>
      </c>
      <c r="F11" s="22" t="s">
        <v>77</v>
      </c>
      <c r="H11" s="25">
        <v>54</v>
      </c>
      <c r="I11" s="26">
        <v>46</v>
      </c>
      <c r="J11" s="27">
        <v>2.13</v>
      </c>
      <c r="K11" s="28">
        <v>0.8</v>
      </c>
      <c r="L11" s="29">
        <v>3</v>
      </c>
      <c r="M11" s="26">
        <v>1</v>
      </c>
      <c r="N11" s="29">
        <v>21</v>
      </c>
      <c r="O11" s="26">
        <v>7</v>
      </c>
      <c r="P11" s="29">
        <v>1</v>
      </c>
      <c r="Q11" s="26">
        <v>2</v>
      </c>
      <c r="R11" s="29">
        <v>1</v>
      </c>
      <c r="S11" s="26">
        <v>1</v>
      </c>
      <c r="T11" s="27">
        <v>0.1</v>
      </c>
      <c r="U11" s="30">
        <v>7.0000000000000007E-2</v>
      </c>
      <c r="V11" s="31">
        <v>7</v>
      </c>
      <c r="W11" s="26">
        <v>2</v>
      </c>
      <c r="X11" s="29">
        <v>6</v>
      </c>
      <c r="Y11" s="26">
        <v>8</v>
      </c>
      <c r="Z11" s="29">
        <v>481</v>
      </c>
      <c r="AA11" s="26">
        <v>411</v>
      </c>
      <c r="AB11" s="29">
        <v>15</v>
      </c>
      <c r="AC11" s="26">
        <v>16</v>
      </c>
      <c r="AD11" s="29">
        <v>7</v>
      </c>
      <c r="AE11" s="26">
        <v>6</v>
      </c>
      <c r="AF11" s="29">
        <v>0</v>
      </c>
      <c r="AG11" s="26">
        <v>2</v>
      </c>
      <c r="AH11" s="29">
        <v>0</v>
      </c>
      <c r="AI11" s="26">
        <v>0</v>
      </c>
      <c r="AJ11" s="29">
        <v>1</v>
      </c>
      <c r="AK11" s="32">
        <v>0</v>
      </c>
      <c r="AL11" s="33">
        <v>3</v>
      </c>
      <c r="AM11" s="34">
        <f t="shared" si="0"/>
        <v>0.14285714285714285</v>
      </c>
      <c r="AN11" s="35">
        <v>0</v>
      </c>
      <c r="AO11" s="35">
        <v>7</v>
      </c>
      <c r="AP11" s="35">
        <v>11</v>
      </c>
      <c r="AQ11" s="35">
        <v>12</v>
      </c>
      <c r="AR11" s="36">
        <f t="shared" si="1"/>
        <v>0.5714285714285714</v>
      </c>
      <c r="AS11" s="35">
        <v>9</v>
      </c>
      <c r="AT11" s="22">
        <v>1</v>
      </c>
      <c r="AU11" s="37">
        <f t="shared" si="2"/>
        <v>0.14285714285714285</v>
      </c>
      <c r="AV11" s="22">
        <v>0</v>
      </c>
      <c r="AW11" s="22">
        <v>3</v>
      </c>
      <c r="AX11" s="22">
        <v>3</v>
      </c>
      <c r="AY11" s="22">
        <v>5</v>
      </c>
      <c r="AZ11" s="37">
        <f t="shared" si="3"/>
        <v>0.7142857142857143</v>
      </c>
      <c r="BA11" s="38">
        <v>2</v>
      </c>
      <c r="BB11" s="39">
        <v>0</v>
      </c>
      <c r="BC11" s="40">
        <v>0</v>
      </c>
      <c r="BD11" s="41">
        <v>2</v>
      </c>
      <c r="BE11" s="42">
        <v>0</v>
      </c>
    </row>
    <row r="12" spans="1:57" x14ac:dyDescent="0.2">
      <c r="A12" s="21">
        <v>45891</v>
      </c>
      <c r="B12" s="22">
        <v>2</v>
      </c>
      <c r="C12" s="22" t="s">
        <v>65</v>
      </c>
      <c r="D12" s="23">
        <v>1</v>
      </c>
      <c r="E12" s="23">
        <v>5</v>
      </c>
      <c r="F12" s="22" t="s">
        <v>70</v>
      </c>
      <c r="H12" s="25">
        <v>41</v>
      </c>
      <c r="I12" s="26">
        <v>59</v>
      </c>
      <c r="J12" s="27">
        <v>0.73</v>
      </c>
      <c r="K12" s="28">
        <v>2.74</v>
      </c>
      <c r="L12" s="29">
        <v>1</v>
      </c>
      <c r="M12" s="26">
        <v>7</v>
      </c>
      <c r="N12" s="29">
        <v>12</v>
      </c>
      <c r="O12" s="26">
        <v>12</v>
      </c>
      <c r="P12" s="29">
        <v>2</v>
      </c>
      <c r="Q12" s="26">
        <v>3</v>
      </c>
      <c r="R12" s="29">
        <v>0</v>
      </c>
      <c r="S12" s="26">
        <v>0</v>
      </c>
      <c r="T12" s="27">
        <v>0.14000000000000001</v>
      </c>
      <c r="U12" s="30">
        <v>-0.67</v>
      </c>
      <c r="V12" s="31">
        <v>7</v>
      </c>
      <c r="W12" s="26">
        <v>5</v>
      </c>
      <c r="X12" s="29">
        <v>7</v>
      </c>
      <c r="Y12" s="26">
        <v>10</v>
      </c>
      <c r="Z12" s="29">
        <v>392</v>
      </c>
      <c r="AA12" s="26">
        <v>577</v>
      </c>
      <c r="AB12" s="29">
        <v>11</v>
      </c>
      <c r="AC12" s="26">
        <v>19</v>
      </c>
      <c r="AD12" s="29">
        <v>10</v>
      </c>
      <c r="AE12" s="26">
        <v>7</v>
      </c>
      <c r="AF12" s="29">
        <v>0</v>
      </c>
      <c r="AG12" s="26">
        <v>1</v>
      </c>
      <c r="AH12" s="29">
        <v>0</v>
      </c>
      <c r="AI12" s="26">
        <v>0</v>
      </c>
      <c r="AJ12" s="29">
        <v>0</v>
      </c>
      <c r="AK12" s="32">
        <v>0</v>
      </c>
      <c r="AL12" s="33">
        <v>4</v>
      </c>
      <c r="AM12" s="34">
        <f t="shared" si="0"/>
        <v>0.33333333333333331</v>
      </c>
      <c r="AN12" s="35">
        <v>0</v>
      </c>
      <c r="AO12" s="35">
        <v>5</v>
      </c>
      <c r="AP12" s="35">
        <v>3</v>
      </c>
      <c r="AQ12" s="35">
        <v>9</v>
      </c>
      <c r="AR12" s="36">
        <f t="shared" si="1"/>
        <v>0.75</v>
      </c>
      <c r="AS12" s="35">
        <v>3</v>
      </c>
      <c r="AT12" s="22">
        <v>7</v>
      </c>
      <c r="AU12" s="37">
        <f t="shared" si="2"/>
        <v>0.58333333333333337</v>
      </c>
      <c r="AV12" s="22">
        <v>0</v>
      </c>
      <c r="AW12" s="22">
        <v>4</v>
      </c>
      <c r="AX12" s="22">
        <v>1</v>
      </c>
      <c r="AY12" s="22">
        <v>10</v>
      </c>
      <c r="AZ12" s="37">
        <f t="shared" si="3"/>
        <v>0.83333333333333337</v>
      </c>
      <c r="BA12" s="38">
        <v>2</v>
      </c>
      <c r="BB12" s="39">
        <v>1</v>
      </c>
      <c r="BC12" s="40">
        <v>1</v>
      </c>
      <c r="BD12" s="41">
        <v>0</v>
      </c>
      <c r="BE12" s="42">
        <v>0</v>
      </c>
    </row>
    <row r="13" spans="1:57" x14ac:dyDescent="0.2">
      <c r="A13" s="21">
        <v>45892</v>
      </c>
      <c r="B13" s="22">
        <v>2</v>
      </c>
      <c r="C13" s="22" t="s">
        <v>69</v>
      </c>
      <c r="D13" s="23">
        <v>0</v>
      </c>
      <c r="E13" s="23">
        <v>2</v>
      </c>
      <c r="F13" s="22" t="s">
        <v>66</v>
      </c>
      <c r="H13" s="25">
        <v>61</v>
      </c>
      <c r="I13" s="26">
        <v>39</v>
      </c>
      <c r="J13" s="27">
        <v>1.55</v>
      </c>
      <c r="K13" s="28">
        <v>1.1100000000000001</v>
      </c>
      <c r="L13" s="29">
        <v>2</v>
      </c>
      <c r="M13" s="26">
        <v>3</v>
      </c>
      <c r="N13" s="29">
        <v>10</v>
      </c>
      <c r="O13" s="26">
        <v>12</v>
      </c>
      <c r="P13" s="29">
        <v>3</v>
      </c>
      <c r="Q13" s="26">
        <v>4</v>
      </c>
      <c r="R13" s="29">
        <v>1</v>
      </c>
      <c r="S13" s="26">
        <v>0</v>
      </c>
      <c r="T13" s="27">
        <v>0.08</v>
      </c>
      <c r="U13" s="30">
        <v>0.64</v>
      </c>
      <c r="V13" s="31">
        <v>7</v>
      </c>
      <c r="W13" s="26">
        <v>2</v>
      </c>
      <c r="X13" s="29">
        <v>7</v>
      </c>
      <c r="Y13" s="26">
        <v>12</v>
      </c>
      <c r="Z13" s="29">
        <v>525</v>
      </c>
      <c r="AA13" s="26">
        <v>331</v>
      </c>
      <c r="AB13" s="29">
        <v>20</v>
      </c>
      <c r="AC13" s="26">
        <v>24</v>
      </c>
      <c r="AD13" s="29">
        <v>12</v>
      </c>
      <c r="AE13" s="26">
        <v>7</v>
      </c>
      <c r="AF13" s="29">
        <v>1</v>
      </c>
      <c r="AG13" s="26">
        <v>4</v>
      </c>
      <c r="AH13" s="29">
        <v>0</v>
      </c>
      <c r="AI13" s="26">
        <v>0</v>
      </c>
      <c r="AJ13" s="29">
        <v>0</v>
      </c>
      <c r="AK13" s="32">
        <v>0</v>
      </c>
      <c r="AL13" s="33">
        <v>4</v>
      </c>
      <c r="AM13" s="34">
        <f t="shared" si="0"/>
        <v>0.4</v>
      </c>
      <c r="AN13" s="35">
        <v>0</v>
      </c>
      <c r="AO13" s="35">
        <v>3</v>
      </c>
      <c r="AP13" s="35">
        <v>3</v>
      </c>
      <c r="AQ13" s="35">
        <v>6</v>
      </c>
      <c r="AR13" s="36">
        <f t="shared" si="1"/>
        <v>0.6</v>
      </c>
      <c r="AS13" s="35">
        <v>4</v>
      </c>
      <c r="AT13" s="22">
        <v>5</v>
      </c>
      <c r="AU13" s="37">
        <f t="shared" si="2"/>
        <v>0.41666666666666669</v>
      </c>
      <c r="AV13" s="22">
        <v>0</v>
      </c>
      <c r="AW13" s="22">
        <v>5</v>
      </c>
      <c r="AX13" s="22">
        <v>2</v>
      </c>
      <c r="AY13" s="22">
        <v>10</v>
      </c>
      <c r="AZ13" s="37">
        <f t="shared" si="3"/>
        <v>0.83333333333333337</v>
      </c>
      <c r="BA13" s="38">
        <v>2</v>
      </c>
      <c r="BB13" s="39">
        <v>1</v>
      </c>
      <c r="BC13" s="40">
        <v>1</v>
      </c>
      <c r="BD13" s="41">
        <v>1</v>
      </c>
      <c r="BE13" s="42">
        <v>0</v>
      </c>
    </row>
    <row r="14" spans="1:57" x14ac:dyDescent="0.2">
      <c r="A14" s="21">
        <v>45892</v>
      </c>
      <c r="B14" s="22">
        <v>2</v>
      </c>
      <c r="C14" s="22" t="s">
        <v>58</v>
      </c>
      <c r="D14" s="23">
        <v>1</v>
      </c>
      <c r="E14" s="23">
        <v>0</v>
      </c>
      <c r="F14" s="26" t="s">
        <v>68</v>
      </c>
      <c r="G14" s="43" t="s">
        <v>78</v>
      </c>
      <c r="H14" s="25">
        <v>59</v>
      </c>
      <c r="I14" s="26">
        <v>41</v>
      </c>
      <c r="J14" s="27">
        <v>1.29</v>
      </c>
      <c r="K14" s="28">
        <v>0.46</v>
      </c>
      <c r="L14" s="29">
        <v>2</v>
      </c>
      <c r="M14" s="26">
        <v>0</v>
      </c>
      <c r="N14" s="29">
        <v>14</v>
      </c>
      <c r="O14" s="26">
        <v>6</v>
      </c>
      <c r="P14" s="29">
        <v>1</v>
      </c>
      <c r="Q14" s="26">
        <v>3</v>
      </c>
      <c r="R14" s="29">
        <v>1</v>
      </c>
      <c r="S14" s="26">
        <v>1</v>
      </c>
      <c r="T14" s="27">
        <v>0.24</v>
      </c>
      <c r="U14" s="30">
        <v>-7.0000000000000007E-2</v>
      </c>
      <c r="V14" s="31">
        <v>8</v>
      </c>
      <c r="W14" s="26">
        <v>3</v>
      </c>
      <c r="X14" s="29">
        <v>13</v>
      </c>
      <c r="Y14" s="26">
        <v>16</v>
      </c>
      <c r="Z14" s="29">
        <v>447</v>
      </c>
      <c r="AA14" s="26">
        <v>307</v>
      </c>
      <c r="AB14" s="29">
        <v>12</v>
      </c>
      <c r="AC14" s="26">
        <v>21</v>
      </c>
      <c r="AD14" s="29">
        <v>16</v>
      </c>
      <c r="AE14" s="26">
        <v>13</v>
      </c>
      <c r="AF14" s="29">
        <v>2</v>
      </c>
      <c r="AG14" s="26">
        <v>4</v>
      </c>
      <c r="AH14" s="29">
        <v>0</v>
      </c>
      <c r="AI14" s="26">
        <v>1</v>
      </c>
      <c r="AJ14" s="29">
        <v>0</v>
      </c>
      <c r="AK14" s="32">
        <v>0</v>
      </c>
      <c r="AL14" s="33">
        <v>4</v>
      </c>
      <c r="AM14" s="34">
        <f t="shared" si="0"/>
        <v>0.2857142857142857</v>
      </c>
      <c r="AN14" s="35">
        <v>1</v>
      </c>
      <c r="AO14" s="35">
        <v>5</v>
      </c>
      <c r="AP14" s="35">
        <v>5</v>
      </c>
      <c r="AQ14" s="35">
        <v>8</v>
      </c>
      <c r="AR14" s="36">
        <f t="shared" si="1"/>
        <v>0.5714285714285714</v>
      </c>
      <c r="AS14" s="35">
        <v>6</v>
      </c>
      <c r="AT14" s="22">
        <v>1</v>
      </c>
      <c r="AU14" s="37">
        <f t="shared" si="2"/>
        <v>0.16666666666666666</v>
      </c>
      <c r="AV14" s="22">
        <v>0</v>
      </c>
      <c r="AW14" s="22">
        <v>3</v>
      </c>
      <c r="AX14" s="22">
        <v>2</v>
      </c>
      <c r="AY14" s="22">
        <v>3</v>
      </c>
      <c r="AZ14" s="37">
        <f t="shared" si="3"/>
        <v>0.5</v>
      </c>
      <c r="BA14" s="38">
        <v>3</v>
      </c>
      <c r="BB14" s="39">
        <v>0</v>
      </c>
      <c r="BC14" s="40">
        <v>0</v>
      </c>
      <c r="BD14" s="41">
        <v>0</v>
      </c>
      <c r="BE14" s="42">
        <v>1</v>
      </c>
    </row>
    <row r="15" spans="1:57" x14ac:dyDescent="0.2">
      <c r="A15" s="21">
        <v>45892</v>
      </c>
      <c r="B15" s="22">
        <v>2</v>
      </c>
      <c r="C15" s="22" t="s">
        <v>73</v>
      </c>
      <c r="D15" s="23">
        <v>1</v>
      </c>
      <c r="E15" s="23">
        <v>0</v>
      </c>
      <c r="F15" s="22" t="s">
        <v>59</v>
      </c>
      <c r="H15" s="25">
        <v>24</v>
      </c>
      <c r="I15" s="26">
        <v>76</v>
      </c>
      <c r="J15" s="27">
        <v>1.21</v>
      </c>
      <c r="K15" s="28">
        <v>1.19</v>
      </c>
      <c r="L15" s="29">
        <v>2</v>
      </c>
      <c r="M15" s="26">
        <v>1</v>
      </c>
      <c r="N15" s="29">
        <v>9</v>
      </c>
      <c r="O15" s="26">
        <v>17</v>
      </c>
      <c r="P15" s="29">
        <v>2</v>
      </c>
      <c r="Q15" s="26">
        <v>1</v>
      </c>
      <c r="R15" s="29">
        <v>0</v>
      </c>
      <c r="S15" s="26">
        <v>0</v>
      </c>
      <c r="T15" s="27">
        <v>0.13</v>
      </c>
      <c r="U15" s="30">
        <v>0.36</v>
      </c>
      <c r="V15" s="31">
        <v>2</v>
      </c>
      <c r="W15" s="26">
        <v>9</v>
      </c>
      <c r="X15" s="29">
        <v>11</v>
      </c>
      <c r="Y15" s="26">
        <v>9</v>
      </c>
      <c r="Z15" s="29">
        <v>178</v>
      </c>
      <c r="AA15" s="26">
        <v>587</v>
      </c>
      <c r="AB15" s="29">
        <v>28</v>
      </c>
      <c r="AC15" s="26">
        <v>14</v>
      </c>
      <c r="AD15" s="29">
        <v>9</v>
      </c>
      <c r="AE15" s="26">
        <v>11</v>
      </c>
      <c r="AF15" s="29">
        <v>1</v>
      </c>
      <c r="AG15" s="26">
        <v>2</v>
      </c>
      <c r="AH15" s="29">
        <v>0</v>
      </c>
      <c r="AI15" s="26">
        <v>0</v>
      </c>
      <c r="AJ15" s="29">
        <v>0</v>
      </c>
      <c r="AK15" s="32">
        <v>0</v>
      </c>
      <c r="AL15" s="33">
        <v>2</v>
      </c>
      <c r="AM15" s="34">
        <f t="shared" si="0"/>
        <v>0.22222222222222221</v>
      </c>
      <c r="AN15" s="35">
        <v>0</v>
      </c>
      <c r="AO15" s="35">
        <v>4</v>
      </c>
      <c r="AP15" s="35">
        <v>3</v>
      </c>
      <c r="AQ15" s="35">
        <v>8</v>
      </c>
      <c r="AR15" s="36">
        <f t="shared" si="1"/>
        <v>0.88888888888888884</v>
      </c>
      <c r="AS15" s="35">
        <v>1</v>
      </c>
      <c r="AT15" s="22">
        <v>2</v>
      </c>
      <c r="AU15" s="37">
        <f t="shared" si="2"/>
        <v>0.11764705882352941</v>
      </c>
      <c r="AV15" s="22">
        <v>0</v>
      </c>
      <c r="AW15" s="22">
        <v>7</v>
      </c>
      <c r="AX15" s="22">
        <v>8</v>
      </c>
      <c r="AY15" s="22">
        <v>12</v>
      </c>
      <c r="AZ15" s="37">
        <f t="shared" si="3"/>
        <v>0.70588235294117652</v>
      </c>
      <c r="BA15" s="38">
        <v>5</v>
      </c>
      <c r="BB15" s="39">
        <v>0</v>
      </c>
      <c r="BC15" s="40">
        <v>0</v>
      </c>
      <c r="BD15" s="41">
        <v>0</v>
      </c>
      <c r="BE15" s="42">
        <v>0</v>
      </c>
    </row>
    <row r="16" spans="1:57" x14ac:dyDescent="0.2">
      <c r="A16" s="21">
        <v>45892</v>
      </c>
      <c r="B16" s="22">
        <v>2</v>
      </c>
      <c r="C16" s="22" t="s">
        <v>67</v>
      </c>
      <c r="D16" s="23">
        <v>2</v>
      </c>
      <c r="E16" s="23">
        <v>0</v>
      </c>
      <c r="F16" s="22" t="s">
        <v>64</v>
      </c>
      <c r="H16" s="25">
        <v>42</v>
      </c>
      <c r="I16" s="26">
        <v>58</v>
      </c>
      <c r="J16" s="27">
        <v>1</v>
      </c>
      <c r="K16" s="28">
        <v>0.77</v>
      </c>
      <c r="L16" s="29">
        <v>2</v>
      </c>
      <c r="M16" s="26">
        <v>2</v>
      </c>
      <c r="N16" s="29">
        <v>7</v>
      </c>
      <c r="O16" s="26">
        <v>9</v>
      </c>
      <c r="P16" s="29">
        <v>1</v>
      </c>
      <c r="Q16" s="26">
        <v>0</v>
      </c>
      <c r="R16" s="29">
        <v>0</v>
      </c>
      <c r="S16" s="26">
        <v>0</v>
      </c>
      <c r="T16" s="27">
        <v>0.7</v>
      </c>
      <c r="U16" s="30">
        <v>-0.42</v>
      </c>
      <c r="V16" s="31">
        <v>4</v>
      </c>
      <c r="W16" s="26">
        <v>3</v>
      </c>
      <c r="X16" s="29">
        <v>9</v>
      </c>
      <c r="Y16" s="26">
        <v>5</v>
      </c>
      <c r="Z16" s="29">
        <v>442</v>
      </c>
      <c r="AA16" s="26">
        <v>616</v>
      </c>
      <c r="AB16" s="29">
        <v>22</v>
      </c>
      <c r="AC16" s="26">
        <v>18</v>
      </c>
      <c r="AD16" s="29">
        <v>5</v>
      </c>
      <c r="AE16" s="26">
        <v>9</v>
      </c>
      <c r="AF16" s="29">
        <v>0</v>
      </c>
      <c r="AG16" s="26">
        <v>1</v>
      </c>
      <c r="AH16" s="29">
        <v>0</v>
      </c>
      <c r="AI16" s="26">
        <v>0</v>
      </c>
      <c r="AJ16" s="29">
        <v>0</v>
      </c>
      <c r="AK16" s="32">
        <v>0</v>
      </c>
      <c r="AL16" s="33">
        <v>2</v>
      </c>
      <c r="AM16" s="34">
        <f t="shared" si="0"/>
        <v>0.2857142857142857</v>
      </c>
      <c r="AN16" s="35">
        <v>1</v>
      </c>
      <c r="AO16" s="35">
        <v>4</v>
      </c>
      <c r="AP16" s="35">
        <v>1</v>
      </c>
      <c r="AQ16" s="35">
        <v>4</v>
      </c>
      <c r="AR16" s="36">
        <f t="shared" si="1"/>
        <v>0.5714285714285714</v>
      </c>
      <c r="AS16" s="35">
        <v>3</v>
      </c>
      <c r="AT16" s="22">
        <v>1</v>
      </c>
      <c r="AU16" s="37">
        <f t="shared" si="2"/>
        <v>0.1111111111111111</v>
      </c>
      <c r="AV16" s="22">
        <v>0</v>
      </c>
      <c r="AW16" s="22">
        <v>3</v>
      </c>
      <c r="AX16" s="22">
        <v>5</v>
      </c>
      <c r="AY16" s="22">
        <v>6</v>
      </c>
      <c r="AZ16" s="37">
        <f t="shared" si="3"/>
        <v>0.66666666666666663</v>
      </c>
      <c r="BA16" s="38">
        <v>3</v>
      </c>
      <c r="BB16" s="39">
        <v>0</v>
      </c>
      <c r="BC16" s="40">
        <v>0</v>
      </c>
      <c r="BD16" s="41">
        <v>0</v>
      </c>
      <c r="BE16" s="42">
        <v>0</v>
      </c>
    </row>
    <row r="17" spans="1:57" x14ac:dyDescent="0.2">
      <c r="A17" s="21">
        <v>45892</v>
      </c>
      <c r="B17" s="22">
        <v>2</v>
      </c>
      <c r="C17" s="22" t="s">
        <v>75</v>
      </c>
      <c r="D17" s="23">
        <v>5</v>
      </c>
      <c r="E17" s="23">
        <v>0</v>
      </c>
      <c r="F17" s="22" t="s">
        <v>76</v>
      </c>
      <c r="H17" s="25">
        <v>68</v>
      </c>
      <c r="I17" s="26">
        <v>32</v>
      </c>
      <c r="J17" s="27">
        <v>2.88</v>
      </c>
      <c r="K17" s="28">
        <v>0.17</v>
      </c>
      <c r="L17" s="29">
        <v>3</v>
      </c>
      <c r="M17" s="26">
        <v>0</v>
      </c>
      <c r="N17" s="29">
        <v>18</v>
      </c>
      <c r="O17" s="26">
        <v>3</v>
      </c>
      <c r="P17" s="29">
        <v>1</v>
      </c>
      <c r="Q17" s="26">
        <v>0</v>
      </c>
      <c r="R17" s="29">
        <v>0</v>
      </c>
      <c r="S17" s="26">
        <v>0</v>
      </c>
      <c r="T17" s="27">
        <v>0.14000000000000001</v>
      </c>
      <c r="U17" s="30">
        <v>-2.23</v>
      </c>
      <c r="V17" s="31">
        <v>2</v>
      </c>
      <c r="W17" s="26">
        <v>2</v>
      </c>
      <c r="X17" s="29">
        <v>8</v>
      </c>
      <c r="Y17" s="26">
        <v>11</v>
      </c>
      <c r="Z17" s="29">
        <v>599</v>
      </c>
      <c r="AA17" s="26">
        <v>290</v>
      </c>
      <c r="AB17" s="29">
        <v>12</v>
      </c>
      <c r="AC17" s="26">
        <v>18</v>
      </c>
      <c r="AD17" s="29">
        <v>10</v>
      </c>
      <c r="AE17" s="26">
        <v>8</v>
      </c>
      <c r="AF17" s="29">
        <v>0</v>
      </c>
      <c r="AG17" s="26">
        <v>2</v>
      </c>
      <c r="AH17" s="29">
        <v>0</v>
      </c>
      <c r="AI17" s="26">
        <v>0</v>
      </c>
      <c r="AJ17" s="29">
        <v>1</v>
      </c>
      <c r="AK17" s="32">
        <v>0</v>
      </c>
      <c r="AL17" s="33">
        <v>5</v>
      </c>
      <c r="AM17" s="34">
        <f t="shared" si="0"/>
        <v>0.27777777777777779</v>
      </c>
      <c r="AN17" s="35">
        <v>0</v>
      </c>
      <c r="AO17" s="35">
        <v>9</v>
      </c>
      <c r="AP17" s="35">
        <v>4</v>
      </c>
      <c r="AQ17" s="35">
        <v>13</v>
      </c>
      <c r="AR17" s="36">
        <f t="shared" si="1"/>
        <v>0.72222222222222221</v>
      </c>
      <c r="AS17" s="35">
        <v>5</v>
      </c>
      <c r="AT17" s="22">
        <v>1</v>
      </c>
      <c r="AU17" s="37">
        <f t="shared" si="2"/>
        <v>0.33333333333333331</v>
      </c>
      <c r="AV17" s="22">
        <v>0</v>
      </c>
      <c r="AW17" s="22">
        <v>0</v>
      </c>
      <c r="AX17" s="22">
        <v>2</v>
      </c>
      <c r="AY17" s="22">
        <v>2</v>
      </c>
      <c r="AZ17" s="37">
        <f t="shared" si="3"/>
        <v>0.66666666666666663</v>
      </c>
      <c r="BA17" s="38">
        <v>1</v>
      </c>
      <c r="BB17" s="39">
        <v>0</v>
      </c>
      <c r="BC17" s="40">
        <v>0</v>
      </c>
      <c r="BD17" s="41">
        <v>1</v>
      </c>
      <c r="BE17" s="42">
        <v>0</v>
      </c>
    </row>
    <row r="18" spans="1:57" x14ac:dyDescent="0.2">
      <c r="A18" s="21">
        <v>45893</v>
      </c>
      <c r="B18" s="22">
        <v>2</v>
      </c>
      <c r="C18" s="22" t="s">
        <v>71</v>
      </c>
      <c r="D18" s="23">
        <v>1</v>
      </c>
      <c r="E18" s="23">
        <v>1</v>
      </c>
      <c r="F18" s="22" t="s">
        <v>72</v>
      </c>
      <c r="H18" s="25">
        <v>42</v>
      </c>
      <c r="I18" s="26">
        <v>58</v>
      </c>
      <c r="J18" s="27">
        <v>1.1000000000000001</v>
      </c>
      <c r="K18" s="28">
        <v>0.93</v>
      </c>
      <c r="L18" s="29">
        <v>2</v>
      </c>
      <c r="M18" s="26">
        <v>2</v>
      </c>
      <c r="N18" s="29">
        <v>8</v>
      </c>
      <c r="O18" s="26">
        <v>9</v>
      </c>
      <c r="P18" s="29">
        <v>0</v>
      </c>
      <c r="Q18" s="26">
        <v>3</v>
      </c>
      <c r="R18" s="29">
        <v>0</v>
      </c>
      <c r="S18" s="26">
        <v>0</v>
      </c>
      <c r="T18" s="27">
        <v>-0.74</v>
      </c>
      <c r="U18" s="30">
        <v>-0.17</v>
      </c>
      <c r="V18" s="31">
        <v>1</v>
      </c>
      <c r="W18" s="26">
        <v>3</v>
      </c>
      <c r="X18" s="29">
        <v>11</v>
      </c>
      <c r="Y18" s="26">
        <v>11</v>
      </c>
      <c r="Z18" s="29">
        <v>377</v>
      </c>
      <c r="AA18" s="26">
        <v>514</v>
      </c>
      <c r="AB18" s="29">
        <v>20</v>
      </c>
      <c r="AC18" s="26">
        <v>12</v>
      </c>
      <c r="AD18" s="29">
        <v>11</v>
      </c>
      <c r="AE18" s="26">
        <v>11</v>
      </c>
      <c r="AF18" s="29">
        <v>3</v>
      </c>
      <c r="AG18" s="26">
        <v>3</v>
      </c>
      <c r="AH18" s="29">
        <v>0</v>
      </c>
      <c r="AI18" s="26">
        <v>0</v>
      </c>
      <c r="AJ18" s="29">
        <v>0</v>
      </c>
      <c r="AK18" s="32">
        <v>0</v>
      </c>
      <c r="AL18" s="33">
        <v>4</v>
      </c>
      <c r="AM18" s="34">
        <f t="shared" si="0"/>
        <v>0.5</v>
      </c>
      <c r="AN18" s="35">
        <v>1</v>
      </c>
      <c r="AO18" s="35">
        <v>4</v>
      </c>
      <c r="AP18" s="35">
        <v>0</v>
      </c>
      <c r="AQ18" s="35">
        <v>7</v>
      </c>
      <c r="AR18" s="36">
        <f t="shared" si="1"/>
        <v>0.875</v>
      </c>
      <c r="AS18" s="35">
        <v>1</v>
      </c>
      <c r="AT18" s="22">
        <v>1</v>
      </c>
      <c r="AU18" s="37">
        <f t="shared" si="2"/>
        <v>0.1111111111111111</v>
      </c>
      <c r="AV18" s="22">
        <v>1</v>
      </c>
      <c r="AW18" s="22">
        <v>7</v>
      </c>
      <c r="AX18" s="22">
        <v>1</v>
      </c>
      <c r="AY18" s="22">
        <v>8</v>
      </c>
      <c r="AZ18" s="37">
        <f t="shared" si="3"/>
        <v>0.88888888888888884</v>
      </c>
      <c r="BA18" s="38">
        <v>1</v>
      </c>
      <c r="BB18" s="39">
        <v>0</v>
      </c>
      <c r="BC18" s="40">
        <v>0</v>
      </c>
      <c r="BD18" s="41">
        <v>0</v>
      </c>
      <c r="BE18" s="42">
        <v>1</v>
      </c>
    </row>
    <row r="19" spans="1:57" x14ac:dyDescent="0.2">
      <c r="A19" s="21">
        <v>45893</v>
      </c>
      <c r="B19" s="22">
        <v>2</v>
      </c>
      <c r="C19" s="22" t="s">
        <v>77</v>
      </c>
      <c r="D19" s="23">
        <v>2</v>
      </c>
      <c r="E19" s="23">
        <v>0</v>
      </c>
      <c r="F19" s="22" t="s">
        <v>62</v>
      </c>
      <c r="H19" s="25">
        <v>42</v>
      </c>
      <c r="I19" s="26">
        <v>58</v>
      </c>
      <c r="J19" s="27">
        <v>1.6</v>
      </c>
      <c r="K19" s="28">
        <v>2.4300000000000002</v>
      </c>
      <c r="L19" s="29">
        <v>2</v>
      </c>
      <c r="M19" s="26">
        <v>3</v>
      </c>
      <c r="N19" s="29">
        <v>11</v>
      </c>
      <c r="O19" s="26">
        <v>13</v>
      </c>
      <c r="P19" s="29">
        <v>4</v>
      </c>
      <c r="Q19" s="26">
        <v>1</v>
      </c>
      <c r="R19" s="29">
        <v>2</v>
      </c>
      <c r="S19" s="26">
        <v>0</v>
      </c>
      <c r="T19" s="27">
        <v>1.54</v>
      </c>
      <c r="U19" s="30">
        <v>-0.79</v>
      </c>
      <c r="V19" s="31">
        <v>2</v>
      </c>
      <c r="W19" s="26">
        <v>2</v>
      </c>
      <c r="X19" s="29">
        <v>7</v>
      </c>
      <c r="Y19" s="26">
        <v>15</v>
      </c>
      <c r="Z19" s="29">
        <v>362</v>
      </c>
      <c r="AA19" s="26">
        <v>490</v>
      </c>
      <c r="AB19" s="29">
        <v>15</v>
      </c>
      <c r="AC19" s="26">
        <v>17</v>
      </c>
      <c r="AD19" s="29">
        <v>15</v>
      </c>
      <c r="AE19" s="26">
        <v>6</v>
      </c>
      <c r="AF19" s="29">
        <v>4</v>
      </c>
      <c r="AG19" s="26">
        <v>3</v>
      </c>
      <c r="AH19" s="29">
        <v>0</v>
      </c>
      <c r="AI19" s="26">
        <v>0</v>
      </c>
      <c r="AJ19" s="29">
        <v>0</v>
      </c>
      <c r="AK19" s="32">
        <v>1</v>
      </c>
      <c r="AL19" s="33">
        <v>3</v>
      </c>
      <c r="AM19" s="34">
        <f t="shared" si="0"/>
        <v>0.27272727272727271</v>
      </c>
      <c r="AN19" s="35">
        <v>0</v>
      </c>
      <c r="AO19" s="35">
        <v>7</v>
      </c>
      <c r="AP19" s="35">
        <v>1</v>
      </c>
      <c r="AQ19" s="35">
        <v>6</v>
      </c>
      <c r="AR19" s="36">
        <f t="shared" si="1"/>
        <v>0.54545454545454541</v>
      </c>
      <c r="AS19" s="35">
        <v>5</v>
      </c>
      <c r="AT19" s="22">
        <v>4</v>
      </c>
      <c r="AU19" s="37">
        <f t="shared" si="2"/>
        <v>0.30769230769230771</v>
      </c>
      <c r="AV19" s="22">
        <v>1</v>
      </c>
      <c r="AW19" s="22">
        <v>5</v>
      </c>
      <c r="AX19" s="22">
        <v>4</v>
      </c>
      <c r="AY19" s="22">
        <v>7</v>
      </c>
      <c r="AZ19" s="37">
        <f t="shared" si="3"/>
        <v>0.53846153846153844</v>
      </c>
      <c r="BA19" s="38">
        <v>6</v>
      </c>
      <c r="BB19" s="39">
        <v>2</v>
      </c>
      <c r="BC19" s="40">
        <v>0</v>
      </c>
      <c r="BD19" s="41">
        <v>0</v>
      </c>
      <c r="BE19" s="42">
        <v>0</v>
      </c>
    </row>
    <row r="20" spans="1:57" x14ac:dyDescent="0.2">
      <c r="A20" s="21">
        <v>45893</v>
      </c>
      <c r="B20" s="22">
        <v>2</v>
      </c>
      <c r="C20" s="22" t="s">
        <v>63</v>
      </c>
      <c r="D20" s="23">
        <v>1</v>
      </c>
      <c r="E20" s="23">
        <v>1</v>
      </c>
      <c r="F20" s="22" t="s">
        <v>74</v>
      </c>
      <c r="H20" s="25">
        <v>52</v>
      </c>
      <c r="I20" s="26">
        <v>48</v>
      </c>
      <c r="J20" s="27">
        <v>1.76</v>
      </c>
      <c r="K20" s="28">
        <v>1.63</v>
      </c>
      <c r="L20" s="29">
        <v>3</v>
      </c>
      <c r="M20" s="26">
        <v>2</v>
      </c>
      <c r="N20" s="29">
        <v>13</v>
      </c>
      <c r="O20" s="26">
        <v>10</v>
      </c>
      <c r="P20" s="29">
        <v>3</v>
      </c>
      <c r="Q20" s="26">
        <v>2</v>
      </c>
      <c r="R20" s="29">
        <v>2</v>
      </c>
      <c r="S20" s="26">
        <v>1</v>
      </c>
      <c r="T20" s="27">
        <v>-0.46</v>
      </c>
      <c r="U20" s="30">
        <v>0.37</v>
      </c>
      <c r="V20" s="31">
        <v>9</v>
      </c>
      <c r="W20" s="26">
        <v>6</v>
      </c>
      <c r="X20" s="29">
        <v>12</v>
      </c>
      <c r="Y20" s="26">
        <v>10</v>
      </c>
      <c r="Z20" s="29">
        <v>419</v>
      </c>
      <c r="AA20" s="26">
        <v>397</v>
      </c>
      <c r="AB20" s="29">
        <v>10</v>
      </c>
      <c r="AC20" s="26">
        <v>17</v>
      </c>
      <c r="AD20" s="29">
        <v>10</v>
      </c>
      <c r="AE20" s="26">
        <v>11</v>
      </c>
      <c r="AF20" s="29">
        <v>1</v>
      </c>
      <c r="AG20" s="26">
        <v>1</v>
      </c>
      <c r="AH20" s="29">
        <v>0</v>
      </c>
      <c r="AI20" s="26">
        <v>0</v>
      </c>
      <c r="AJ20" s="29">
        <v>0</v>
      </c>
      <c r="AK20" s="32">
        <v>1</v>
      </c>
      <c r="AL20" s="33">
        <v>4</v>
      </c>
      <c r="AM20" s="34">
        <f t="shared" si="0"/>
        <v>0.30769230769230771</v>
      </c>
      <c r="AN20" s="35">
        <v>0</v>
      </c>
      <c r="AO20" s="35">
        <v>4</v>
      </c>
      <c r="AP20" s="35">
        <v>5</v>
      </c>
      <c r="AQ20" s="35">
        <v>10</v>
      </c>
      <c r="AR20" s="36">
        <f t="shared" si="1"/>
        <v>0.76923076923076927</v>
      </c>
      <c r="AS20" s="35">
        <v>3</v>
      </c>
      <c r="AT20" s="22">
        <v>3</v>
      </c>
      <c r="AU20" s="37">
        <f t="shared" si="2"/>
        <v>0.3</v>
      </c>
      <c r="AV20" s="22">
        <v>1</v>
      </c>
      <c r="AW20" s="22">
        <v>6</v>
      </c>
      <c r="AX20" s="22">
        <v>1</v>
      </c>
      <c r="AY20" s="22">
        <v>8</v>
      </c>
      <c r="AZ20" s="37">
        <f t="shared" si="3"/>
        <v>0.8</v>
      </c>
      <c r="BA20" s="38">
        <v>2</v>
      </c>
      <c r="BB20" s="39">
        <v>0</v>
      </c>
      <c r="BC20" s="40">
        <v>0</v>
      </c>
      <c r="BD20" s="41">
        <v>0</v>
      </c>
      <c r="BE20" s="42">
        <v>1</v>
      </c>
    </row>
    <row r="21" spans="1:57" x14ac:dyDescent="0.2">
      <c r="A21" s="21">
        <v>45894</v>
      </c>
      <c r="B21" s="22">
        <v>2</v>
      </c>
      <c r="C21" s="26" t="s">
        <v>60</v>
      </c>
      <c r="D21" s="23">
        <v>2</v>
      </c>
      <c r="E21" s="23">
        <v>3</v>
      </c>
      <c r="F21" s="22" t="s">
        <v>57</v>
      </c>
      <c r="G21" s="43" t="s">
        <v>79</v>
      </c>
      <c r="H21" s="25">
        <v>38</v>
      </c>
      <c r="I21" s="26">
        <v>62</v>
      </c>
      <c r="J21" s="27">
        <v>0.98</v>
      </c>
      <c r="K21" s="28">
        <v>0.69</v>
      </c>
      <c r="L21" s="29">
        <v>4</v>
      </c>
      <c r="M21" s="26">
        <v>2</v>
      </c>
      <c r="N21" s="29">
        <v>10</v>
      </c>
      <c r="O21" s="26">
        <v>5</v>
      </c>
      <c r="P21" s="29">
        <v>1</v>
      </c>
      <c r="Q21" s="26">
        <v>1</v>
      </c>
      <c r="R21" s="29">
        <v>1</v>
      </c>
      <c r="S21" s="26">
        <v>0</v>
      </c>
      <c r="T21" s="27">
        <v>-0.74</v>
      </c>
      <c r="U21" s="30">
        <v>-0.13</v>
      </c>
      <c r="V21" s="31">
        <v>7</v>
      </c>
      <c r="W21" s="26">
        <v>1</v>
      </c>
      <c r="X21" s="29">
        <v>17</v>
      </c>
      <c r="Y21" s="26">
        <v>15</v>
      </c>
      <c r="Z21" s="29">
        <v>247</v>
      </c>
      <c r="AA21" s="26">
        <v>445</v>
      </c>
      <c r="AB21" s="29">
        <v>12</v>
      </c>
      <c r="AC21" s="26">
        <v>13</v>
      </c>
      <c r="AD21" s="29">
        <v>15</v>
      </c>
      <c r="AE21" s="26">
        <v>17</v>
      </c>
      <c r="AF21" s="29">
        <v>2</v>
      </c>
      <c r="AG21" s="26">
        <v>3</v>
      </c>
      <c r="AH21" s="29">
        <v>1</v>
      </c>
      <c r="AI21" s="26">
        <v>0</v>
      </c>
      <c r="AJ21" s="29">
        <v>0</v>
      </c>
      <c r="AK21" s="32">
        <v>0</v>
      </c>
      <c r="AL21" s="33">
        <v>3</v>
      </c>
      <c r="AM21" s="34">
        <f t="shared" si="0"/>
        <v>0.3</v>
      </c>
      <c r="AN21" s="35">
        <v>0</v>
      </c>
      <c r="AO21" s="35">
        <v>4</v>
      </c>
      <c r="AP21" s="35">
        <v>3</v>
      </c>
      <c r="AQ21" s="35">
        <v>8</v>
      </c>
      <c r="AR21" s="36">
        <f t="shared" si="1"/>
        <v>0.8</v>
      </c>
      <c r="AS21" s="35">
        <v>2</v>
      </c>
      <c r="AT21" s="22">
        <v>4</v>
      </c>
      <c r="AU21" s="37">
        <f t="shared" si="2"/>
        <v>0.8</v>
      </c>
      <c r="AV21" s="22">
        <v>0</v>
      </c>
      <c r="AW21" s="22">
        <v>0</v>
      </c>
      <c r="AX21" s="22">
        <v>1</v>
      </c>
      <c r="AY21" s="22">
        <v>3</v>
      </c>
      <c r="AZ21" s="37">
        <f t="shared" si="3"/>
        <v>0.6</v>
      </c>
      <c r="BA21" s="38">
        <v>2</v>
      </c>
      <c r="BB21" s="39">
        <v>1</v>
      </c>
      <c r="BC21" s="40">
        <v>0</v>
      </c>
      <c r="BD21" s="41">
        <v>1</v>
      </c>
      <c r="BE21" s="42">
        <v>1</v>
      </c>
    </row>
    <row r="22" spans="1:57" x14ac:dyDescent="0.2">
      <c r="A22" s="21">
        <v>45899</v>
      </c>
      <c r="B22" s="22">
        <v>3</v>
      </c>
      <c r="C22" s="22" t="s">
        <v>70</v>
      </c>
      <c r="D22" s="23">
        <v>2</v>
      </c>
      <c r="E22" s="23">
        <v>0</v>
      </c>
      <c r="F22" s="22" t="s">
        <v>63</v>
      </c>
      <c r="H22" s="25">
        <v>54</v>
      </c>
      <c r="I22" s="26">
        <v>46</v>
      </c>
      <c r="J22" s="27">
        <v>2.35</v>
      </c>
      <c r="K22" s="28">
        <v>1.02</v>
      </c>
      <c r="L22" s="29">
        <v>3</v>
      </c>
      <c r="M22" s="26">
        <v>1</v>
      </c>
      <c r="N22" s="29">
        <v>13</v>
      </c>
      <c r="O22" s="26">
        <v>11</v>
      </c>
      <c r="P22" s="29">
        <v>1</v>
      </c>
      <c r="Q22" s="26">
        <v>4</v>
      </c>
      <c r="R22" s="29">
        <v>0</v>
      </c>
      <c r="S22" s="26">
        <v>1</v>
      </c>
      <c r="T22" s="27">
        <v>0.1</v>
      </c>
      <c r="U22" s="30">
        <v>1.19</v>
      </c>
      <c r="V22" s="31">
        <v>6</v>
      </c>
      <c r="W22" s="26">
        <v>4</v>
      </c>
      <c r="X22" s="29">
        <v>11</v>
      </c>
      <c r="Y22" s="26">
        <v>17</v>
      </c>
      <c r="Z22" s="29">
        <v>494</v>
      </c>
      <c r="AA22" s="26">
        <v>415</v>
      </c>
      <c r="AB22" s="29">
        <v>19</v>
      </c>
      <c r="AC22" s="26">
        <v>29</v>
      </c>
      <c r="AD22" s="29">
        <v>16</v>
      </c>
      <c r="AE22" s="26">
        <v>11</v>
      </c>
      <c r="AF22" s="29">
        <v>2</v>
      </c>
      <c r="AG22" s="26">
        <v>2</v>
      </c>
      <c r="AH22" s="29">
        <v>0</v>
      </c>
      <c r="AI22" s="26">
        <v>0</v>
      </c>
      <c r="AJ22" s="29">
        <v>1</v>
      </c>
      <c r="AK22" s="32">
        <v>0</v>
      </c>
      <c r="AL22" s="33">
        <v>6</v>
      </c>
      <c r="AM22" s="34">
        <f t="shared" si="0"/>
        <v>0.46153846153846156</v>
      </c>
      <c r="AN22" s="35">
        <v>0</v>
      </c>
      <c r="AO22" s="35">
        <v>1</v>
      </c>
      <c r="AP22" s="35">
        <v>6</v>
      </c>
      <c r="AQ22" s="35">
        <v>10</v>
      </c>
      <c r="AR22" s="36">
        <f t="shared" si="1"/>
        <v>0.76923076923076927</v>
      </c>
      <c r="AS22" s="35">
        <v>3</v>
      </c>
      <c r="AT22" s="22">
        <v>3</v>
      </c>
      <c r="AU22" s="37">
        <f t="shared" si="2"/>
        <v>0.27272727272727271</v>
      </c>
      <c r="AV22" s="22">
        <v>0</v>
      </c>
      <c r="AW22" s="22">
        <v>6</v>
      </c>
      <c r="AX22" s="22">
        <v>2</v>
      </c>
      <c r="AY22" s="22">
        <v>8</v>
      </c>
      <c r="AZ22" s="37">
        <f t="shared" si="3"/>
        <v>0.72727272727272729</v>
      </c>
      <c r="BA22" s="38">
        <v>3</v>
      </c>
      <c r="BB22" s="39">
        <v>1</v>
      </c>
      <c r="BC22" s="40">
        <v>0</v>
      </c>
      <c r="BD22" s="41">
        <v>1</v>
      </c>
      <c r="BE22" s="42">
        <v>0</v>
      </c>
    </row>
    <row r="23" spans="1:57" x14ac:dyDescent="0.2">
      <c r="A23" s="21">
        <v>45899</v>
      </c>
      <c r="B23" s="22">
        <v>3</v>
      </c>
      <c r="C23" s="22" t="s">
        <v>74</v>
      </c>
      <c r="D23" s="23">
        <v>3</v>
      </c>
      <c r="E23" s="23">
        <v>2</v>
      </c>
      <c r="F23" s="22" t="s">
        <v>67</v>
      </c>
      <c r="H23" s="25">
        <v>62</v>
      </c>
      <c r="I23" s="26">
        <v>38</v>
      </c>
      <c r="J23" s="27">
        <v>3.63</v>
      </c>
      <c r="K23" s="28">
        <v>1.2</v>
      </c>
      <c r="L23" s="29">
        <v>4</v>
      </c>
      <c r="M23" s="26">
        <v>2</v>
      </c>
      <c r="N23" s="29">
        <v>26</v>
      </c>
      <c r="O23" s="26">
        <v>6</v>
      </c>
      <c r="P23" s="29">
        <v>1</v>
      </c>
      <c r="Q23" s="26">
        <v>5</v>
      </c>
      <c r="R23" s="29">
        <v>0</v>
      </c>
      <c r="S23" s="26">
        <v>1</v>
      </c>
      <c r="T23" s="27">
        <v>-0.34</v>
      </c>
      <c r="U23" s="30">
        <v>-0.82</v>
      </c>
      <c r="V23" s="31">
        <v>7</v>
      </c>
      <c r="W23" s="26">
        <v>1</v>
      </c>
      <c r="X23" s="29">
        <v>9</v>
      </c>
      <c r="Y23" s="26">
        <v>9</v>
      </c>
      <c r="Z23" s="29">
        <v>508</v>
      </c>
      <c r="AA23" s="26">
        <v>318</v>
      </c>
      <c r="AB23" s="29">
        <v>16</v>
      </c>
      <c r="AC23" s="26">
        <v>20</v>
      </c>
      <c r="AD23" s="29">
        <v>8</v>
      </c>
      <c r="AE23" s="26">
        <v>9</v>
      </c>
      <c r="AF23" s="29">
        <v>1</v>
      </c>
      <c r="AG23" s="26">
        <v>5</v>
      </c>
      <c r="AH23" s="29">
        <v>0</v>
      </c>
      <c r="AI23" s="26">
        <v>0</v>
      </c>
      <c r="AJ23" s="29">
        <v>1</v>
      </c>
      <c r="AK23" s="32">
        <v>0</v>
      </c>
      <c r="AL23" s="33">
        <v>6</v>
      </c>
      <c r="AM23" s="34">
        <f t="shared" si="0"/>
        <v>0.23076923076923078</v>
      </c>
      <c r="AN23" s="35">
        <v>2</v>
      </c>
      <c r="AO23" s="35">
        <v>13</v>
      </c>
      <c r="AP23" s="35">
        <v>7</v>
      </c>
      <c r="AQ23" s="35">
        <v>19</v>
      </c>
      <c r="AR23" s="36">
        <f t="shared" si="1"/>
        <v>0.73076923076923073</v>
      </c>
      <c r="AS23" s="35">
        <v>7</v>
      </c>
      <c r="AT23" s="22">
        <v>3</v>
      </c>
      <c r="AU23" s="37">
        <f t="shared" si="2"/>
        <v>0.5</v>
      </c>
      <c r="AV23" s="22">
        <v>0</v>
      </c>
      <c r="AW23" s="22">
        <v>1</v>
      </c>
      <c r="AX23" s="22">
        <v>2</v>
      </c>
      <c r="AY23" s="22">
        <v>5</v>
      </c>
      <c r="AZ23" s="37">
        <f t="shared" si="3"/>
        <v>0.83333333333333337</v>
      </c>
      <c r="BA23" s="38">
        <v>1</v>
      </c>
      <c r="BB23" s="39">
        <v>0</v>
      </c>
      <c r="BC23" s="40">
        <v>0</v>
      </c>
      <c r="BD23" s="41">
        <v>0</v>
      </c>
      <c r="BE23" s="42">
        <v>0</v>
      </c>
    </row>
    <row r="24" spans="1:57" x14ac:dyDescent="0.2">
      <c r="A24" s="21">
        <v>45899</v>
      </c>
      <c r="B24" s="22">
        <v>3</v>
      </c>
      <c r="C24" s="22" t="s">
        <v>64</v>
      </c>
      <c r="D24" s="23">
        <v>2</v>
      </c>
      <c r="E24" s="23">
        <v>1</v>
      </c>
      <c r="F24" s="22" t="s">
        <v>73</v>
      </c>
      <c r="H24" s="25">
        <v>54</v>
      </c>
      <c r="I24" s="26">
        <v>46</v>
      </c>
      <c r="J24" s="27">
        <v>1.54</v>
      </c>
      <c r="K24" s="28">
        <v>1.2</v>
      </c>
      <c r="L24" s="29">
        <v>2</v>
      </c>
      <c r="M24" s="26">
        <v>2</v>
      </c>
      <c r="N24" s="29">
        <v>12</v>
      </c>
      <c r="O24" s="26">
        <v>7</v>
      </c>
      <c r="P24" s="29">
        <v>3</v>
      </c>
      <c r="Q24" s="26">
        <v>1</v>
      </c>
      <c r="R24" s="29">
        <v>2</v>
      </c>
      <c r="S24" s="26">
        <v>0</v>
      </c>
      <c r="T24" s="27">
        <v>0.45</v>
      </c>
      <c r="U24" s="30">
        <v>-0.92</v>
      </c>
      <c r="V24" s="31">
        <v>3</v>
      </c>
      <c r="W24" s="26">
        <v>4</v>
      </c>
      <c r="X24" s="29">
        <v>11</v>
      </c>
      <c r="Y24" s="26">
        <v>12</v>
      </c>
      <c r="Z24" s="29">
        <v>419</v>
      </c>
      <c r="AA24" s="26">
        <v>354</v>
      </c>
      <c r="AB24" s="29">
        <v>28</v>
      </c>
      <c r="AC24" s="26">
        <v>9</v>
      </c>
      <c r="AD24" s="29">
        <v>11</v>
      </c>
      <c r="AE24" s="26">
        <v>10</v>
      </c>
      <c r="AF24" s="29">
        <v>3</v>
      </c>
      <c r="AG24" s="26">
        <v>2</v>
      </c>
      <c r="AH24" s="29">
        <v>0</v>
      </c>
      <c r="AI24" s="26">
        <v>0</v>
      </c>
      <c r="AJ24" s="29">
        <v>1</v>
      </c>
      <c r="AK24" s="32">
        <v>1</v>
      </c>
      <c r="AL24" s="33">
        <v>3</v>
      </c>
      <c r="AM24" s="34">
        <f t="shared" si="0"/>
        <v>0.25</v>
      </c>
      <c r="AN24" s="35">
        <v>0</v>
      </c>
      <c r="AO24" s="35">
        <v>6</v>
      </c>
      <c r="AP24" s="35">
        <v>3</v>
      </c>
      <c r="AQ24" s="35">
        <v>9</v>
      </c>
      <c r="AR24" s="36">
        <f t="shared" si="1"/>
        <v>0.75</v>
      </c>
      <c r="AS24" s="35">
        <v>3</v>
      </c>
      <c r="AT24" s="22">
        <v>4</v>
      </c>
      <c r="AU24" s="37">
        <f t="shared" si="2"/>
        <v>0.5714285714285714</v>
      </c>
      <c r="AV24" s="22">
        <v>0</v>
      </c>
      <c r="AW24" s="22">
        <v>2</v>
      </c>
      <c r="AX24" s="22">
        <v>1</v>
      </c>
      <c r="AY24" s="22">
        <v>5</v>
      </c>
      <c r="AZ24" s="37">
        <f t="shared" si="3"/>
        <v>0.7142857142857143</v>
      </c>
      <c r="BA24" s="38">
        <v>2</v>
      </c>
      <c r="BB24" s="39">
        <v>0</v>
      </c>
      <c r="BC24" s="40">
        <v>0</v>
      </c>
      <c r="BD24" s="41">
        <v>0</v>
      </c>
      <c r="BE24" s="42">
        <v>0</v>
      </c>
    </row>
    <row r="25" spans="1:57" x14ac:dyDescent="0.2">
      <c r="A25" s="21">
        <v>45899</v>
      </c>
      <c r="B25" s="22">
        <v>3</v>
      </c>
      <c r="C25" s="22" t="s">
        <v>66</v>
      </c>
      <c r="D25" s="23">
        <v>0</v>
      </c>
      <c r="E25" s="23">
        <v>1</v>
      </c>
      <c r="F25" s="22" t="s">
        <v>58</v>
      </c>
      <c r="H25" s="25">
        <v>61</v>
      </c>
      <c r="I25" s="26">
        <v>39</v>
      </c>
      <c r="J25" s="27">
        <v>0.19</v>
      </c>
      <c r="K25" s="28">
        <v>1.59</v>
      </c>
      <c r="L25" s="29">
        <v>0</v>
      </c>
      <c r="M25" s="26">
        <v>3</v>
      </c>
      <c r="N25" s="29">
        <v>5</v>
      </c>
      <c r="O25" s="26">
        <v>20</v>
      </c>
      <c r="P25" s="29">
        <v>5</v>
      </c>
      <c r="Q25" s="26">
        <v>1</v>
      </c>
      <c r="R25" s="29">
        <v>2</v>
      </c>
      <c r="S25" s="26">
        <v>0</v>
      </c>
      <c r="T25" s="27">
        <v>0.48</v>
      </c>
      <c r="U25" s="30">
        <v>0.22</v>
      </c>
      <c r="V25" s="31">
        <v>0</v>
      </c>
      <c r="W25" s="26">
        <v>8</v>
      </c>
      <c r="X25" s="29">
        <v>17</v>
      </c>
      <c r="Y25" s="26">
        <v>13</v>
      </c>
      <c r="Z25" s="29">
        <v>477</v>
      </c>
      <c r="AA25" s="26">
        <v>296</v>
      </c>
      <c r="AB25" s="29">
        <v>16</v>
      </c>
      <c r="AC25" s="26">
        <v>28</v>
      </c>
      <c r="AD25" s="29">
        <v>13</v>
      </c>
      <c r="AE25" s="26">
        <v>17</v>
      </c>
      <c r="AF25" s="29">
        <v>2</v>
      </c>
      <c r="AG25" s="26">
        <v>4</v>
      </c>
      <c r="AH25" s="29">
        <v>0</v>
      </c>
      <c r="AI25" s="26">
        <v>0</v>
      </c>
      <c r="AJ25" s="29">
        <v>0</v>
      </c>
      <c r="AK25" s="32">
        <v>0</v>
      </c>
      <c r="AL25" s="33">
        <v>1</v>
      </c>
      <c r="AM25" s="34">
        <f t="shared" si="0"/>
        <v>0.2</v>
      </c>
      <c r="AN25" s="35">
        <v>0</v>
      </c>
      <c r="AO25" s="35">
        <v>3</v>
      </c>
      <c r="AP25" s="35">
        <v>1</v>
      </c>
      <c r="AQ25" s="35">
        <v>3</v>
      </c>
      <c r="AR25" s="36">
        <f t="shared" si="1"/>
        <v>0.6</v>
      </c>
      <c r="AS25" s="35">
        <v>2</v>
      </c>
      <c r="AT25" s="22">
        <v>6</v>
      </c>
      <c r="AU25" s="37">
        <f t="shared" si="2"/>
        <v>0.3</v>
      </c>
      <c r="AV25" s="22">
        <v>0</v>
      </c>
      <c r="AW25" s="22">
        <v>9</v>
      </c>
      <c r="AX25" s="22">
        <v>5</v>
      </c>
      <c r="AY25" s="22">
        <v>15</v>
      </c>
      <c r="AZ25" s="37">
        <f t="shared" si="3"/>
        <v>0.75</v>
      </c>
      <c r="BA25" s="38">
        <v>5</v>
      </c>
      <c r="BB25" s="39">
        <v>1</v>
      </c>
      <c r="BC25" s="40">
        <v>0</v>
      </c>
      <c r="BD25" s="41">
        <v>0</v>
      </c>
      <c r="BE25" s="42">
        <v>0</v>
      </c>
    </row>
    <row r="26" spans="1:57" x14ac:dyDescent="0.2">
      <c r="A26" s="21">
        <v>45899</v>
      </c>
      <c r="B26" s="22">
        <v>3</v>
      </c>
      <c r="C26" s="22" t="s">
        <v>68</v>
      </c>
      <c r="D26" s="23">
        <v>2</v>
      </c>
      <c r="E26" s="23">
        <v>3</v>
      </c>
      <c r="F26" s="22" t="s">
        <v>77</v>
      </c>
      <c r="H26" s="25">
        <v>59</v>
      </c>
      <c r="I26" s="26">
        <v>41</v>
      </c>
      <c r="J26" s="27">
        <v>1.1100000000000001</v>
      </c>
      <c r="K26" s="28">
        <v>1.93</v>
      </c>
      <c r="L26" s="29">
        <v>2</v>
      </c>
      <c r="M26" s="26">
        <v>3</v>
      </c>
      <c r="N26" s="29">
        <v>12</v>
      </c>
      <c r="O26" s="26">
        <v>10</v>
      </c>
      <c r="P26" s="29">
        <v>1</v>
      </c>
      <c r="Q26" s="26">
        <v>2</v>
      </c>
      <c r="R26" s="29">
        <v>0</v>
      </c>
      <c r="S26" s="26">
        <v>0</v>
      </c>
      <c r="T26" s="27">
        <v>-0.42</v>
      </c>
      <c r="U26" s="30">
        <v>-0.84</v>
      </c>
      <c r="V26" s="31">
        <v>2</v>
      </c>
      <c r="W26" s="26">
        <v>2</v>
      </c>
      <c r="X26" s="29">
        <v>15</v>
      </c>
      <c r="Y26" s="26">
        <v>10</v>
      </c>
      <c r="Z26" s="29">
        <v>524</v>
      </c>
      <c r="AA26" s="26">
        <v>371</v>
      </c>
      <c r="AB26" s="29">
        <v>23</v>
      </c>
      <c r="AC26" s="26">
        <v>16</v>
      </c>
      <c r="AD26" s="29">
        <v>10</v>
      </c>
      <c r="AE26" s="26">
        <v>15</v>
      </c>
      <c r="AF26" s="29">
        <v>0</v>
      </c>
      <c r="AG26" s="26">
        <v>1</v>
      </c>
      <c r="AH26" s="29">
        <v>0</v>
      </c>
      <c r="AI26" s="26">
        <v>0</v>
      </c>
      <c r="AJ26" s="29">
        <v>0</v>
      </c>
      <c r="AK26" s="32">
        <v>0</v>
      </c>
      <c r="AL26" s="33">
        <v>4</v>
      </c>
      <c r="AM26" s="34">
        <f t="shared" si="0"/>
        <v>0.33333333333333331</v>
      </c>
      <c r="AN26" s="35">
        <v>0</v>
      </c>
      <c r="AO26" s="35">
        <v>3</v>
      </c>
      <c r="AP26" s="35">
        <v>5</v>
      </c>
      <c r="AQ26" s="35">
        <v>6</v>
      </c>
      <c r="AR26" s="36">
        <f t="shared" si="1"/>
        <v>0.5</v>
      </c>
      <c r="AS26" s="35">
        <v>6</v>
      </c>
      <c r="AT26" s="22">
        <v>4</v>
      </c>
      <c r="AU26" s="37">
        <f t="shared" si="2"/>
        <v>0.4</v>
      </c>
      <c r="AV26" s="22">
        <v>0</v>
      </c>
      <c r="AW26" s="22">
        <v>2</v>
      </c>
      <c r="AX26" s="22">
        <v>4</v>
      </c>
      <c r="AY26" s="22">
        <v>7</v>
      </c>
      <c r="AZ26" s="37">
        <f t="shared" si="3"/>
        <v>0.7</v>
      </c>
      <c r="BA26" s="38">
        <v>3</v>
      </c>
      <c r="BB26" s="39">
        <v>2</v>
      </c>
      <c r="BC26" s="40">
        <v>0</v>
      </c>
      <c r="BD26" s="41">
        <v>1</v>
      </c>
      <c r="BE26" s="42">
        <v>1</v>
      </c>
    </row>
    <row r="27" spans="1:57" x14ac:dyDescent="0.2">
      <c r="A27" s="21">
        <v>45899</v>
      </c>
      <c r="B27" s="22">
        <v>3</v>
      </c>
      <c r="C27" s="22" t="s">
        <v>76</v>
      </c>
      <c r="D27" s="23">
        <v>0</v>
      </c>
      <c r="E27" s="23">
        <v>0</v>
      </c>
      <c r="F27" s="22" t="s">
        <v>60</v>
      </c>
      <c r="H27" s="25">
        <v>43</v>
      </c>
      <c r="I27" s="26">
        <v>57</v>
      </c>
      <c r="J27" s="27">
        <v>0.69</v>
      </c>
      <c r="K27" s="28">
        <v>0.46</v>
      </c>
      <c r="L27" s="29">
        <v>1</v>
      </c>
      <c r="M27" s="26">
        <v>0</v>
      </c>
      <c r="N27" s="29">
        <v>10</v>
      </c>
      <c r="O27" s="26">
        <v>8</v>
      </c>
      <c r="P27" s="29">
        <v>2</v>
      </c>
      <c r="Q27" s="26">
        <v>1</v>
      </c>
      <c r="R27" s="29">
        <v>1</v>
      </c>
      <c r="S27" s="26">
        <v>0</v>
      </c>
      <c r="T27" s="27">
        <v>0.14000000000000001</v>
      </c>
      <c r="U27" s="30">
        <v>0.09</v>
      </c>
      <c r="V27" s="31">
        <v>5</v>
      </c>
      <c r="W27" s="26">
        <v>5</v>
      </c>
      <c r="X27" s="29">
        <v>10</v>
      </c>
      <c r="Y27" s="26">
        <v>15</v>
      </c>
      <c r="Z27" s="29">
        <v>414</v>
      </c>
      <c r="AA27" s="26">
        <v>547</v>
      </c>
      <c r="AB27" s="29">
        <v>18</v>
      </c>
      <c r="AC27" s="26">
        <v>10</v>
      </c>
      <c r="AD27" s="29">
        <v>15</v>
      </c>
      <c r="AE27" s="26">
        <v>10</v>
      </c>
      <c r="AF27" s="29">
        <v>1</v>
      </c>
      <c r="AG27" s="26">
        <v>1</v>
      </c>
      <c r="AH27" s="29">
        <v>0</v>
      </c>
      <c r="AI27" s="26">
        <v>0</v>
      </c>
      <c r="AJ27" s="29">
        <v>0</v>
      </c>
      <c r="AK27" s="32">
        <v>0</v>
      </c>
      <c r="AL27" s="33">
        <v>1</v>
      </c>
      <c r="AM27" s="34">
        <f t="shared" si="0"/>
        <v>0.1</v>
      </c>
      <c r="AN27" s="35">
        <v>0</v>
      </c>
      <c r="AO27" s="35">
        <v>6</v>
      </c>
      <c r="AP27" s="35">
        <v>3</v>
      </c>
      <c r="AQ27" s="35">
        <v>4</v>
      </c>
      <c r="AR27" s="36">
        <f t="shared" si="1"/>
        <v>0.4</v>
      </c>
      <c r="AS27" s="35">
        <v>6</v>
      </c>
      <c r="AT27" s="22">
        <v>2</v>
      </c>
      <c r="AU27" s="37">
        <f t="shared" si="2"/>
        <v>0.25</v>
      </c>
      <c r="AV27" s="22">
        <v>0</v>
      </c>
      <c r="AW27" s="22">
        <v>3</v>
      </c>
      <c r="AX27" s="22">
        <v>3</v>
      </c>
      <c r="AY27" s="22">
        <v>4</v>
      </c>
      <c r="AZ27" s="37">
        <f t="shared" si="3"/>
        <v>0.5</v>
      </c>
      <c r="BA27" s="38">
        <v>4</v>
      </c>
      <c r="BB27" s="39">
        <v>0</v>
      </c>
      <c r="BC27" s="40">
        <v>0</v>
      </c>
      <c r="BD27" s="41">
        <v>1</v>
      </c>
      <c r="BE27" s="42">
        <v>0</v>
      </c>
    </row>
    <row r="28" spans="1:57" x14ac:dyDescent="0.2">
      <c r="A28" s="21">
        <v>45900</v>
      </c>
      <c r="B28" s="22">
        <v>3</v>
      </c>
      <c r="C28" s="22" t="s">
        <v>62</v>
      </c>
      <c r="D28" s="23">
        <v>2</v>
      </c>
      <c r="E28" s="23">
        <v>1</v>
      </c>
      <c r="F28" s="22" t="s">
        <v>69</v>
      </c>
      <c r="H28" s="25">
        <v>36</v>
      </c>
      <c r="I28" s="26">
        <v>64</v>
      </c>
      <c r="J28" s="27">
        <v>2.2999999999999998</v>
      </c>
      <c r="K28" s="28">
        <v>1.82</v>
      </c>
      <c r="L28" s="29">
        <v>3</v>
      </c>
      <c r="M28" s="26">
        <v>3</v>
      </c>
      <c r="N28" s="29">
        <v>12</v>
      </c>
      <c r="O28" s="26">
        <v>12</v>
      </c>
      <c r="P28" s="29">
        <v>2</v>
      </c>
      <c r="Q28" s="26">
        <v>5</v>
      </c>
      <c r="R28" s="29">
        <v>0</v>
      </c>
      <c r="S28" s="26">
        <v>2</v>
      </c>
      <c r="T28" s="27">
        <v>0.1</v>
      </c>
      <c r="U28" s="30">
        <v>1.07</v>
      </c>
      <c r="V28" s="31">
        <v>3</v>
      </c>
      <c r="W28" s="26">
        <v>2</v>
      </c>
      <c r="X28" s="29">
        <v>16</v>
      </c>
      <c r="Y28" s="26">
        <v>14</v>
      </c>
      <c r="Z28" s="29">
        <v>315</v>
      </c>
      <c r="AA28" s="26">
        <v>565</v>
      </c>
      <c r="AB28" s="29">
        <v>17</v>
      </c>
      <c r="AC28" s="26">
        <v>15</v>
      </c>
      <c r="AD28" s="29">
        <v>13</v>
      </c>
      <c r="AE28" s="26">
        <v>16</v>
      </c>
      <c r="AF28" s="29">
        <v>2</v>
      </c>
      <c r="AG28" s="26">
        <v>2</v>
      </c>
      <c r="AH28" s="29">
        <v>0</v>
      </c>
      <c r="AI28" s="26">
        <v>0</v>
      </c>
      <c r="AJ28" s="29">
        <v>1</v>
      </c>
      <c r="AK28" s="32">
        <v>0</v>
      </c>
      <c r="AL28" s="33">
        <v>7</v>
      </c>
      <c r="AM28" s="34">
        <f t="shared" si="0"/>
        <v>0.58333333333333337</v>
      </c>
      <c r="AN28" s="35">
        <v>0</v>
      </c>
      <c r="AO28" s="35">
        <v>2</v>
      </c>
      <c r="AP28" s="35">
        <v>3</v>
      </c>
      <c r="AQ28" s="35">
        <v>10</v>
      </c>
      <c r="AR28" s="36">
        <f t="shared" si="1"/>
        <v>0.83333333333333337</v>
      </c>
      <c r="AS28" s="35">
        <v>2</v>
      </c>
      <c r="AT28" s="22">
        <v>3</v>
      </c>
      <c r="AU28" s="37">
        <f t="shared" si="2"/>
        <v>0.25</v>
      </c>
      <c r="AV28" s="22">
        <v>0</v>
      </c>
      <c r="AW28" s="22">
        <v>8</v>
      </c>
      <c r="AX28" s="22">
        <v>1</v>
      </c>
      <c r="AY28" s="22">
        <v>8</v>
      </c>
      <c r="AZ28" s="37">
        <f t="shared" si="3"/>
        <v>0.66666666666666663</v>
      </c>
      <c r="BA28" s="38">
        <v>4</v>
      </c>
      <c r="BB28" s="39">
        <v>1</v>
      </c>
      <c r="BC28" s="40">
        <v>0</v>
      </c>
      <c r="BD28" s="41">
        <v>0</v>
      </c>
      <c r="BE28" s="42">
        <v>0</v>
      </c>
    </row>
    <row r="29" spans="1:57" x14ac:dyDescent="0.2">
      <c r="A29" s="21">
        <v>45900</v>
      </c>
      <c r="B29" s="22">
        <v>3</v>
      </c>
      <c r="C29" s="22" t="s">
        <v>72</v>
      </c>
      <c r="D29" s="23">
        <v>0</v>
      </c>
      <c r="E29" s="23">
        <v>3</v>
      </c>
      <c r="F29" s="22" t="s">
        <v>65</v>
      </c>
      <c r="H29" s="25">
        <v>58</v>
      </c>
      <c r="I29" s="26">
        <v>42</v>
      </c>
      <c r="J29" s="27">
        <v>0.73</v>
      </c>
      <c r="K29" s="28">
        <v>2.42</v>
      </c>
      <c r="L29" s="29">
        <v>1</v>
      </c>
      <c r="M29" s="26">
        <v>4</v>
      </c>
      <c r="N29" s="29">
        <v>11</v>
      </c>
      <c r="O29" s="26">
        <v>12</v>
      </c>
      <c r="P29" s="29">
        <v>5</v>
      </c>
      <c r="Q29" s="26">
        <v>3</v>
      </c>
      <c r="R29" s="29">
        <v>3</v>
      </c>
      <c r="S29" s="26">
        <v>0</v>
      </c>
      <c r="T29" s="27">
        <v>0.28999999999999998</v>
      </c>
      <c r="U29" s="30">
        <v>0.28999999999999998</v>
      </c>
      <c r="V29" s="31">
        <v>9</v>
      </c>
      <c r="W29" s="26">
        <v>7</v>
      </c>
      <c r="X29" s="29">
        <v>14</v>
      </c>
      <c r="Y29" s="26">
        <v>6</v>
      </c>
      <c r="Z29" s="29">
        <v>541</v>
      </c>
      <c r="AA29" s="26">
        <v>385</v>
      </c>
      <c r="AB29" s="29">
        <v>19</v>
      </c>
      <c r="AC29" s="26">
        <v>16</v>
      </c>
      <c r="AD29" s="29">
        <v>6</v>
      </c>
      <c r="AE29" s="26">
        <v>13</v>
      </c>
      <c r="AF29" s="29">
        <v>0</v>
      </c>
      <c r="AG29" s="26">
        <v>0</v>
      </c>
      <c r="AH29" s="29">
        <v>0</v>
      </c>
      <c r="AI29" s="26">
        <v>0</v>
      </c>
      <c r="AJ29" s="29">
        <v>0</v>
      </c>
      <c r="AK29" s="32">
        <v>1</v>
      </c>
      <c r="AL29" s="33">
        <v>3</v>
      </c>
      <c r="AM29" s="34">
        <f t="shared" si="0"/>
        <v>0.27272727272727271</v>
      </c>
      <c r="AN29" s="35">
        <v>0</v>
      </c>
      <c r="AO29" s="35">
        <v>3</v>
      </c>
      <c r="AP29" s="35">
        <v>5</v>
      </c>
      <c r="AQ29" s="35">
        <v>9</v>
      </c>
      <c r="AR29" s="36">
        <f t="shared" si="1"/>
        <v>0.81818181818181823</v>
      </c>
      <c r="AS29" s="35">
        <v>2</v>
      </c>
      <c r="AT29" s="22">
        <v>8</v>
      </c>
      <c r="AU29" s="37">
        <f t="shared" si="2"/>
        <v>0.66666666666666663</v>
      </c>
      <c r="AV29" s="22">
        <v>0</v>
      </c>
      <c r="AW29" s="22">
        <v>4</v>
      </c>
      <c r="AX29" s="22">
        <v>0</v>
      </c>
      <c r="AY29" s="22">
        <v>10</v>
      </c>
      <c r="AZ29" s="37">
        <f t="shared" si="3"/>
        <v>0.83333333333333337</v>
      </c>
      <c r="BA29" s="38">
        <v>2</v>
      </c>
      <c r="BB29" s="39">
        <v>0</v>
      </c>
      <c r="BC29" s="40">
        <v>0</v>
      </c>
      <c r="BD29" s="41">
        <v>0</v>
      </c>
      <c r="BE29" s="42">
        <v>0</v>
      </c>
    </row>
    <row r="30" spans="1:57" x14ac:dyDescent="0.2">
      <c r="A30" s="21">
        <v>45900</v>
      </c>
      <c r="B30" s="22">
        <v>3</v>
      </c>
      <c r="C30" s="22" t="s">
        <v>57</v>
      </c>
      <c r="D30" s="23">
        <v>1</v>
      </c>
      <c r="E30" s="23">
        <v>0</v>
      </c>
      <c r="F30" s="22" t="s">
        <v>75</v>
      </c>
      <c r="H30" s="25">
        <v>53</v>
      </c>
      <c r="I30" s="26">
        <v>47</v>
      </c>
      <c r="J30" s="27">
        <v>0.52</v>
      </c>
      <c r="K30" s="28">
        <v>0.49</v>
      </c>
      <c r="L30" s="29">
        <v>0</v>
      </c>
      <c r="M30" s="26">
        <v>0</v>
      </c>
      <c r="N30" s="29">
        <v>9</v>
      </c>
      <c r="O30" s="26">
        <v>11</v>
      </c>
      <c r="P30" s="29">
        <v>1</v>
      </c>
      <c r="Q30" s="26">
        <v>2</v>
      </c>
      <c r="R30" s="29">
        <v>1</v>
      </c>
      <c r="S30" s="26">
        <v>0</v>
      </c>
      <c r="T30" s="27">
        <v>0.56000000000000005</v>
      </c>
      <c r="U30" s="30">
        <v>-0.73</v>
      </c>
      <c r="V30" s="31">
        <v>3</v>
      </c>
      <c r="W30" s="26">
        <v>8</v>
      </c>
      <c r="X30" s="29">
        <v>7</v>
      </c>
      <c r="Y30" s="26">
        <v>10</v>
      </c>
      <c r="Z30" s="29">
        <v>435</v>
      </c>
      <c r="AA30" s="26">
        <v>371</v>
      </c>
      <c r="AB30" s="29">
        <v>11</v>
      </c>
      <c r="AC30" s="26">
        <v>14</v>
      </c>
      <c r="AD30" s="29">
        <v>10</v>
      </c>
      <c r="AE30" s="26">
        <v>7</v>
      </c>
      <c r="AF30" s="29">
        <v>2</v>
      </c>
      <c r="AG30" s="26">
        <v>2</v>
      </c>
      <c r="AH30" s="29">
        <v>0</v>
      </c>
      <c r="AI30" s="26">
        <v>0</v>
      </c>
      <c r="AJ30" s="29">
        <v>0</v>
      </c>
      <c r="AK30" s="32">
        <v>0</v>
      </c>
      <c r="AL30" s="33">
        <v>3</v>
      </c>
      <c r="AM30" s="34">
        <f t="shared" si="0"/>
        <v>0.33333333333333331</v>
      </c>
      <c r="AN30" s="35">
        <v>0</v>
      </c>
      <c r="AO30" s="35">
        <v>2</v>
      </c>
      <c r="AP30" s="35">
        <v>4</v>
      </c>
      <c r="AQ30" s="35">
        <v>4</v>
      </c>
      <c r="AR30" s="36">
        <f t="shared" si="1"/>
        <v>0.44444444444444442</v>
      </c>
      <c r="AS30" s="35">
        <v>5</v>
      </c>
      <c r="AT30" s="22">
        <v>1</v>
      </c>
      <c r="AU30" s="37">
        <f t="shared" si="2"/>
        <v>9.0909090909090912E-2</v>
      </c>
      <c r="AV30" s="22">
        <v>0</v>
      </c>
      <c r="AW30" s="22">
        <v>3</v>
      </c>
      <c r="AX30" s="22">
        <v>7</v>
      </c>
      <c r="AY30" s="22">
        <v>8</v>
      </c>
      <c r="AZ30" s="37">
        <f t="shared" si="3"/>
        <v>0.72727272727272729</v>
      </c>
      <c r="BA30" s="38">
        <v>3</v>
      </c>
      <c r="BB30" s="39">
        <v>0</v>
      </c>
      <c r="BC30" s="40">
        <v>0</v>
      </c>
      <c r="BD30" s="41">
        <v>1</v>
      </c>
      <c r="BE30" s="42">
        <v>0</v>
      </c>
    </row>
    <row r="31" spans="1:57" x14ac:dyDescent="0.2">
      <c r="A31" s="21">
        <v>45900</v>
      </c>
      <c r="B31" s="22">
        <v>3</v>
      </c>
      <c r="C31" s="22" t="s">
        <v>59</v>
      </c>
      <c r="D31" s="23">
        <v>0</v>
      </c>
      <c r="E31" s="23">
        <v>3</v>
      </c>
      <c r="F31" s="22" t="s">
        <v>71</v>
      </c>
      <c r="H31" s="25">
        <v>58</v>
      </c>
      <c r="I31" s="26">
        <v>42</v>
      </c>
      <c r="J31" s="27">
        <v>1.1399999999999999</v>
      </c>
      <c r="K31" s="28">
        <v>2.65</v>
      </c>
      <c r="L31" s="29">
        <v>2</v>
      </c>
      <c r="M31" s="26">
        <v>4</v>
      </c>
      <c r="N31" s="29">
        <v>13</v>
      </c>
      <c r="O31" s="26">
        <v>6</v>
      </c>
      <c r="P31" s="29">
        <v>1</v>
      </c>
      <c r="Q31" s="26">
        <v>4</v>
      </c>
      <c r="R31" s="29">
        <v>0</v>
      </c>
      <c r="S31" s="26">
        <v>1</v>
      </c>
      <c r="T31" s="27">
        <v>-0.55000000000000004</v>
      </c>
      <c r="U31" s="30">
        <v>1.01</v>
      </c>
      <c r="V31" s="31">
        <v>10</v>
      </c>
      <c r="W31" s="26">
        <v>1</v>
      </c>
      <c r="X31" s="29">
        <v>7</v>
      </c>
      <c r="Y31" s="26">
        <v>14</v>
      </c>
      <c r="Z31" s="29">
        <v>531</v>
      </c>
      <c r="AA31" s="26">
        <v>386</v>
      </c>
      <c r="AB31" s="29">
        <v>11</v>
      </c>
      <c r="AC31" s="26">
        <v>26</v>
      </c>
      <c r="AD31" s="29">
        <v>14</v>
      </c>
      <c r="AE31" s="26">
        <v>6</v>
      </c>
      <c r="AF31" s="29">
        <v>2</v>
      </c>
      <c r="AG31" s="26">
        <v>3</v>
      </c>
      <c r="AH31" s="29">
        <v>0</v>
      </c>
      <c r="AI31" s="26">
        <v>0</v>
      </c>
      <c r="AJ31" s="29">
        <v>0</v>
      </c>
      <c r="AK31" s="32">
        <v>1</v>
      </c>
      <c r="AL31" s="33">
        <v>4</v>
      </c>
      <c r="AM31" s="34">
        <f t="shared" si="0"/>
        <v>0.30769230769230771</v>
      </c>
      <c r="AN31" s="35">
        <v>0</v>
      </c>
      <c r="AO31" s="35">
        <v>8</v>
      </c>
      <c r="AP31" s="35">
        <v>1</v>
      </c>
      <c r="AQ31" s="35">
        <v>10</v>
      </c>
      <c r="AR31" s="36">
        <f t="shared" si="1"/>
        <v>0.76923076923076927</v>
      </c>
      <c r="AS31" s="35">
        <v>3</v>
      </c>
      <c r="AT31" s="22">
        <v>4</v>
      </c>
      <c r="AU31" s="37">
        <f t="shared" si="2"/>
        <v>0.66666666666666663</v>
      </c>
      <c r="AV31" s="22">
        <v>0</v>
      </c>
      <c r="AW31" s="22">
        <v>1</v>
      </c>
      <c r="AX31" s="22">
        <v>1</v>
      </c>
      <c r="AY31" s="22">
        <v>5</v>
      </c>
      <c r="AZ31" s="37">
        <f t="shared" si="3"/>
        <v>0.83333333333333337</v>
      </c>
      <c r="BA31" s="38">
        <v>1</v>
      </c>
      <c r="BB31" s="39">
        <v>0</v>
      </c>
      <c r="BC31" s="40">
        <v>0</v>
      </c>
      <c r="BD31" s="41">
        <v>1</v>
      </c>
      <c r="BE31" s="42">
        <v>0</v>
      </c>
    </row>
    <row r="32" spans="1:57" x14ac:dyDescent="0.2">
      <c r="A32" s="21">
        <v>45913</v>
      </c>
      <c r="B32" s="22">
        <v>4</v>
      </c>
      <c r="C32" s="22" t="s">
        <v>75</v>
      </c>
      <c r="D32" s="23">
        <v>3</v>
      </c>
      <c r="E32" s="23">
        <v>0</v>
      </c>
      <c r="F32" s="22" t="s">
        <v>72</v>
      </c>
      <c r="H32" s="25">
        <v>54</v>
      </c>
      <c r="I32" s="26">
        <v>46</v>
      </c>
      <c r="J32" s="27">
        <v>1.84</v>
      </c>
      <c r="K32" s="28">
        <v>0.2</v>
      </c>
      <c r="L32" s="29">
        <v>5</v>
      </c>
      <c r="M32" s="26">
        <v>0</v>
      </c>
      <c r="N32" s="29">
        <v>16</v>
      </c>
      <c r="O32" s="26">
        <v>5</v>
      </c>
      <c r="P32" s="29">
        <v>1</v>
      </c>
      <c r="Q32" s="26">
        <v>2</v>
      </c>
      <c r="R32" s="29">
        <v>1</v>
      </c>
      <c r="S32" s="26">
        <v>0</v>
      </c>
      <c r="T32" s="27">
        <v>0.06</v>
      </c>
      <c r="U32" s="30">
        <v>-0.65</v>
      </c>
      <c r="V32" s="31">
        <v>8</v>
      </c>
      <c r="W32" s="26">
        <v>3</v>
      </c>
      <c r="X32" s="29">
        <v>8</v>
      </c>
      <c r="Y32" s="26">
        <v>11</v>
      </c>
      <c r="Z32" s="29">
        <v>478</v>
      </c>
      <c r="AA32" s="26">
        <v>409</v>
      </c>
      <c r="AB32" s="29">
        <v>13</v>
      </c>
      <c r="AC32" s="26">
        <v>12</v>
      </c>
      <c r="AD32" s="29">
        <v>11</v>
      </c>
      <c r="AE32" s="26">
        <v>8</v>
      </c>
      <c r="AF32" s="29">
        <v>1</v>
      </c>
      <c r="AG32" s="26">
        <v>1</v>
      </c>
      <c r="AH32" s="29">
        <v>0</v>
      </c>
      <c r="AI32" s="26">
        <v>0</v>
      </c>
      <c r="AJ32" s="29">
        <v>0</v>
      </c>
      <c r="AK32" s="32">
        <v>0</v>
      </c>
      <c r="AL32" s="33">
        <v>5</v>
      </c>
      <c r="AM32" s="34">
        <f t="shared" si="0"/>
        <v>0.3125</v>
      </c>
      <c r="AN32" s="35">
        <v>1</v>
      </c>
      <c r="AO32" s="35">
        <v>6</v>
      </c>
      <c r="AP32" s="35">
        <v>5</v>
      </c>
      <c r="AQ32" s="35">
        <v>12</v>
      </c>
      <c r="AR32" s="36">
        <f t="shared" si="1"/>
        <v>0.75</v>
      </c>
      <c r="AS32" s="35">
        <v>4</v>
      </c>
      <c r="AT32" s="22">
        <v>1</v>
      </c>
      <c r="AU32" s="37">
        <f t="shared" si="2"/>
        <v>0.2</v>
      </c>
      <c r="AV32" s="22">
        <v>0</v>
      </c>
      <c r="AW32" s="22">
        <v>1</v>
      </c>
      <c r="AX32" s="22">
        <v>3</v>
      </c>
      <c r="AY32" s="22">
        <v>3</v>
      </c>
      <c r="AZ32" s="37">
        <f t="shared" si="3"/>
        <v>0.6</v>
      </c>
      <c r="BA32" s="38">
        <v>2</v>
      </c>
      <c r="BB32" s="39">
        <v>0</v>
      </c>
      <c r="BC32" s="40">
        <v>0</v>
      </c>
      <c r="BD32" s="41">
        <v>2</v>
      </c>
      <c r="BE32" s="42">
        <v>0</v>
      </c>
    </row>
    <row r="33" spans="1:57" x14ac:dyDescent="0.2">
      <c r="A33" s="21">
        <v>45913</v>
      </c>
      <c r="B33" s="22">
        <v>4</v>
      </c>
      <c r="C33" s="22" t="s">
        <v>58</v>
      </c>
      <c r="D33" s="23">
        <v>2</v>
      </c>
      <c r="E33" s="23">
        <v>1</v>
      </c>
      <c r="F33" s="22" t="s">
        <v>62</v>
      </c>
      <c r="H33" s="25">
        <v>51</v>
      </c>
      <c r="I33" s="26">
        <v>49</v>
      </c>
      <c r="J33" s="27">
        <v>1.45</v>
      </c>
      <c r="K33" s="28">
        <v>0.62</v>
      </c>
      <c r="L33" s="29">
        <v>1</v>
      </c>
      <c r="M33" s="26">
        <v>2</v>
      </c>
      <c r="N33" s="29">
        <v>13</v>
      </c>
      <c r="O33" s="26">
        <v>6</v>
      </c>
      <c r="P33" s="29">
        <v>1</v>
      </c>
      <c r="Q33" s="26">
        <v>3</v>
      </c>
      <c r="R33" s="29">
        <v>1</v>
      </c>
      <c r="S33" s="26">
        <v>0</v>
      </c>
      <c r="T33" s="27">
        <v>0.28000000000000003</v>
      </c>
      <c r="U33" s="30">
        <v>-0.51</v>
      </c>
      <c r="V33" s="31">
        <v>4</v>
      </c>
      <c r="W33" s="26">
        <v>4</v>
      </c>
      <c r="X33" s="29">
        <v>16</v>
      </c>
      <c r="Y33" s="26">
        <v>10</v>
      </c>
      <c r="Z33" s="29">
        <v>393</v>
      </c>
      <c r="AA33" s="26">
        <v>374</v>
      </c>
      <c r="AB33" s="29">
        <v>18</v>
      </c>
      <c r="AC33" s="26">
        <v>20</v>
      </c>
      <c r="AD33" s="29">
        <v>9</v>
      </c>
      <c r="AE33" s="26">
        <v>16</v>
      </c>
      <c r="AF33" s="29">
        <v>4</v>
      </c>
      <c r="AG33" s="26">
        <v>4</v>
      </c>
      <c r="AH33" s="29">
        <v>0</v>
      </c>
      <c r="AI33" s="26">
        <v>0</v>
      </c>
      <c r="AJ33" s="29">
        <v>1</v>
      </c>
      <c r="AK33" s="32">
        <v>0</v>
      </c>
      <c r="AL33" s="33">
        <v>5</v>
      </c>
      <c r="AM33" s="34">
        <f t="shared" si="0"/>
        <v>0.38461538461538464</v>
      </c>
      <c r="AN33" s="35">
        <v>0</v>
      </c>
      <c r="AO33" s="35">
        <v>4</v>
      </c>
      <c r="AP33" s="35">
        <v>4</v>
      </c>
      <c r="AQ33" s="35">
        <v>7</v>
      </c>
      <c r="AR33" s="36">
        <f t="shared" si="1"/>
        <v>0.53846153846153844</v>
      </c>
      <c r="AS33" s="35">
        <v>6</v>
      </c>
      <c r="AT33" s="22">
        <v>2</v>
      </c>
      <c r="AU33" s="37">
        <f t="shared" si="2"/>
        <v>0.33333333333333331</v>
      </c>
      <c r="AV33" s="22">
        <v>0</v>
      </c>
      <c r="AW33" s="22">
        <v>2</v>
      </c>
      <c r="AX33" s="22">
        <v>2</v>
      </c>
      <c r="AY33" s="22">
        <v>5</v>
      </c>
      <c r="AZ33" s="37">
        <f t="shared" si="3"/>
        <v>0.83333333333333337</v>
      </c>
      <c r="BA33" s="38">
        <v>1</v>
      </c>
      <c r="BB33" s="39">
        <v>0</v>
      </c>
      <c r="BC33" s="40">
        <v>1</v>
      </c>
      <c r="BD33" s="41">
        <v>0</v>
      </c>
      <c r="BE33" s="42">
        <v>0</v>
      </c>
    </row>
    <row r="34" spans="1:57" x14ac:dyDescent="0.2">
      <c r="A34" s="21">
        <v>45913</v>
      </c>
      <c r="B34" s="22">
        <v>4</v>
      </c>
      <c r="C34" s="22" t="s">
        <v>71</v>
      </c>
      <c r="D34" s="23">
        <v>0</v>
      </c>
      <c r="E34" s="23">
        <v>0</v>
      </c>
      <c r="F34" s="22" t="s">
        <v>64</v>
      </c>
      <c r="H34" s="25">
        <v>56</v>
      </c>
      <c r="I34" s="26">
        <v>44</v>
      </c>
      <c r="J34" s="27">
        <v>1.77</v>
      </c>
      <c r="K34" s="28">
        <v>0.36</v>
      </c>
      <c r="L34" s="29">
        <v>3</v>
      </c>
      <c r="M34" s="26">
        <v>0</v>
      </c>
      <c r="N34" s="29">
        <v>14</v>
      </c>
      <c r="O34" s="26">
        <v>6</v>
      </c>
      <c r="P34" s="29">
        <v>0</v>
      </c>
      <c r="Q34" s="26">
        <v>6</v>
      </c>
      <c r="R34" s="29">
        <v>0</v>
      </c>
      <c r="S34" s="26">
        <v>2</v>
      </c>
      <c r="T34" s="27">
        <v>0</v>
      </c>
      <c r="U34" s="30">
        <v>1.36</v>
      </c>
      <c r="V34" s="31">
        <v>5</v>
      </c>
      <c r="W34" s="26">
        <v>3</v>
      </c>
      <c r="X34" s="29">
        <v>10</v>
      </c>
      <c r="Y34" s="26">
        <v>8</v>
      </c>
      <c r="Z34" s="29">
        <v>491</v>
      </c>
      <c r="AA34" s="26">
        <v>386</v>
      </c>
      <c r="AB34" s="29">
        <v>10</v>
      </c>
      <c r="AC34" s="26">
        <v>13</v>
      </c>
      <c r="AD34" s="29">
        <v>8</v>
      </c>
      <c r="AE34" s="26">
        <v>10</v>
      </c>
      <c r="AF34" s="29">
        <v>1</v>
      </c>
      <c r="AG34" s="26">
        <v>1</v>
      </c>
      <c r="AH34" s="29">
        <v>0</v>
      </c>
      <c r="AI34" s="26">
        <v>0</v>
      </c>
      <c r="AJ34" s="29">
        <v>0</v>
      </c>
      <c r="AK34" s="32">
        <v>0</v>
      </c>
      <c r="AL34" s="33">
        <v>6</v>
      </c>
      <c r="AM34" s="34">
        <f t="shared" si="0"/>
        <v>0.42857142857142855</v>
      </c>
      <c r="AN34" s="35">
        <v>0</v>
      </c>
      <c r="AO34" s="35">
        <v>4</v>
      </c>
      <c r="AP34" s="35">
        <v>4</v>
      </c>
      <c r="AQ34" s="35">
        <v>8</v>
      </c>
      <c r="AR34" s="36">
        <f t="shared" si="1"/>
        <v>0.5714285714285714</v>
      </c>
      <c r="AS34" s="35">
        <v>6</v>
      </c>
      <c r="AT34" s="22">
        <v>0</v>
      </c>
      <c r="AU34" s="37">
        <f t="shared" si="2"/>
        <v>0</v>
      </c>
      <c r="AV34" s="22">
        <v>0</v>
      </c>
      <c r="AW34" s="22">
        <v>4</v>
      </c>
      <c r="AX34" s="22">
        <v>2</v>
      </c>
      <c r="AY34" s="22">
        <v>5</v>
      </c>
      <c r="AZ34" s="37">
        <f t="shared" si="3"/>
        <v>0.83333333333333337</v>
      </c>
      <c r="BA34" s="38">
        <v>1</v>
      </c>
      <c r="BB34" s="39">
        <v>1</v>
      </c>
      <c r="BC34" s="40">
        <v>0</v>
      </c>
      <c r="BD34" s="41">
        <v>0</v>
      </c>
      <c r="BE34" s="42">
        <v>0</v>
      </c>
    </row>
    <row r="35" spans="1:57" x14ac:dyDescent="0.2">
      <c r="A35" s="21">
        <v>45913</v>
      </c>
      <c r="B35" s="22">
        <v>4</v>
      </c>
      <c r="C35" s="22" t="s">
        <v>77</v>
      </c>
      <c r="D35" s="23">
        <v>0</v>
      </c>
      <c r="E35" s="23">
        <v>0</v>
      </c>
      <c r="F35" s="22" t="s">
        <v>59</v>
      </c>
      <c r="H35" s="25">
        <v>48</v>
      </c>
      <c r="I35" s="26">
        <v>52</v>
      </c>
      <c r="J35" s="27">
        <v>2.08</v>
      </c>
      <c r="K35" s="28">
        <v>0.54</v>
      </c>
      <c r="L35" s="29">
        <v>3</v>
      </c>
      <c r="M35" s="26">
        <v>0</v>
      </c>
      <c r="N35" s="29">
        <v>20</v>
      </c>
      <c r="O35" s="26">
        <v>7</v>
      </c>
      <c r="P35" s="29">
        <v>1</v>
      </c>
      <c r="Q35" s="26">
        <v>2</v>
      </c>
      <c r="R35" s="29">
        <v>0</v>
      </c>
      <c r="S35" s="26">
        <v>1</v>
      </c>
      <c r="T35" s="27">
        <v>0.13</v>
      </c>
      <c r="U35" s="30">
        <v>0.28999999999999998</v>
      </c>
      <c r="V35" s="31">
        <v>10</v>
      </c>
      <c r="W35" s="26">
        <v>3</v>
      </c>
      <c r="X35" s="29">
        <v>17</v>
      </c>
      <c r="Y35" s="26">
        <v>15</v>
      </c>
      <c r="Z35" s="29">
        <v>343</v>
      </c>
      <c r="AA35" s="26">
        <v>384</v>
      </c>
      <c r="AB35" s="29">
        <v>23</v>
      </c>
      <c r="AC35" s="26">
        <v>16</v>
      </c>
      <c r="AD35" s="29">
        <v>15</v>
      </c>
      <c r="AE35" s="26">
        <v>17</v>
      </c>
      <c r="AF35" s="29">
        <v>3</v>
      </c>
      <c r="AG35" s="26">
        <v>3</v>
      </c>
      <c r="AH35" s="29">
        <v>0</v>
      </c>
      <c r="AI35" s="26">
        <v>0</v>
      </c>
      <c r="AJ35" s="29">
        <v>0</v>
      </c>
      <c r="AK35" s="32">
        <v>0</v>
      </c>
      <c r="AL35" s="33">
        <v>2</v>
      </c>
      <c r="AM35" s="34">
        <f t="shared" si="0"/>
        <v>0.1</v>
      </c>
      <c r="AN35" s="35">
        <v>0</v>
      </c>
      <c r="AO35" s="35">
        <v>9</v>
      </c>
      <c r="AP35" s="35">
        <v>9</v>
      </c>
      <c r="AQ35" s="35">
        <v>14</v>
      </c>
      <c r="AR35" s="36">
        <f t="shared" si="1"/>
        <v>0.7</v>
      </c>
      <c r="AS35" s="35">
        <v>6</v>
      </c>
      <c r="AT35" s="22">
        <v>1</v>
      </c>
      <c r="AU35" s="37">
        <f t="shared" si="2"/>
        <v>0.14285714285714285</v>
      </c>
      <c r="AV35" s="22">
        <v>0</v>
      </c>
      <c r="AW35" s="22">
        <v>1</v>
      </c>
      <c r="AX35" s="22">
        <v>5</v>
      </c>
      <c r="AY35" s="22">
        <v>3</v>
      </c>
      <c r="AZ35" s="37">
        <f t="shared" si="3"/>
        <v>0.42857142857142855</v>
      </c>
      <c r="BA35" s="38">
        <v>4</v>
      </c>
      <c r="BB35" s="39">
        <v>0</v>
      </c>
      <c r="BC35" s="40">
        <v>0</v>
      </c>
      <c r="BD35" s="41">
        <v>1</v>
      </c>
      <c r="BE35" s="42">
        <v>0</v>
      </c>
    </row>
    <row r="36" spans="1:57" x14ac:dyDescent="0.2">
      <c r="A36" s="21">
        <v>45913</v>
      </c>
      <c r="B36" s="22">
        <v>4</v>
      </c>
      <c r="C36" s="22" t="s">
        <v>63</v>
      </c>
      <c r="D36" s="23">
        <v>1</v>
      </c>
      <c r="E36" s="23">
        <v>0</v>
      </c>
      <c r="F36" s="22" t="s">
        <v>76</v>
      </c>
      <c r="H36" s="25">
        <v>54</v>
      </c>
      <c r="I36" s="26">
        <v>46</v>
      </c>
      <c r="J36" s="27">
        <v>0.85</v>
      </c>
      <c r="K36" s="28">
        <v>0.79</v>
      </c>
      <c r="L36" s="29">
        <v>2</v>
      </c>
      <c r="M36" s="26">
        <v>1</v>
      </c>
      <c r="N36" s="29">
        <v>5</v>
      </c>
      <c r="O36" s="26">
        <v>10</v>
      </c>
      <c r="P36" s="29">
        <v>3</v>
      </c>
      <c r="Q36" s="26">
        <v>3</v>
      </c>
      <c r="R36" s="29">
        <v>0</v>
      </c>
      <c r="S36" s="26">
        <v>2</v>
      </c>
      <c r="T36" s="27">
        <v>0.52</v>
      </c>
      <c r="U36" s="30">
        <v>-0.12</v>
      </c>
      <c r="V36" s="31">
        <v>3</v>
      </c>
      <c r="W36" s="26">
        <v>3</v>
      </c>
      <c r="X36" s="29">
        <v>20</v>
      </c>
      <c r="Y36" s="26">
        <v>15</v>
      </c>
      <c r="Z36" s="29">
        <v>451</v>
      </c>
      <c r="AA36" s="26">
        <v>388</v>
      </c>
      <c r="AB36" s="29">
        <v>24</v>
      </c>
      <c r="AC36" s="26">
        <v>18</v>
      </c>
      <c r="AD36" s="29">
        <v>15</v>
      </c>
      <c r="AE36" s="26">
        <v>20</v>
      </c>
      <c r="AF36" s="29">
        <v>1</v>
      </c>
      <c r="AG36" s="26">
        <v>2</v>
      </c>
      <c r="AH36" s="29">
        <v>0</v>
      </c>
      <c r="AI36" s="26">
        <v>0</v>
      </c>
      <c r="AJ36" s="29">
        <v>0</v>
      </c>
      <c r="AK36" s="32">
        <v>0</v>
      </c>
      <c r="AL36" s="33">
        <v>3</v>
      </c>
      <c r="AM36" s="34">
        <f t="shared" si="0"/>
        <v>0.6</v>
      </c>
      <c r="AN36" s="35">
        <v>0</v>
      </c>
      <c r="AO36" s="35">
        <v>2</v>
      </c>
      <c r="AP36" s="35">
        <v>0</v>
      </c>
      <c r="AQ36" s="35">
        <v>3</v>
      </c>
      <c r="AR36" s="36">
        <f t="shared" si="1"/>
        <v>0.6</v>
      </c>
      <c r="AS36" s="35">
        <v>2</v>
      </c>
      <c r="AT36" s="22">
        <v>3</v>
      </c>
      <c r="AU36" s="37">
        <f t="shared" si="2"/>
        <v>0.3</v>
      </c>
      <c r="AV36" s="22">
        <v>1</v>
      </c>
      <c r="AW36" s="22">
        <v>3</v>
      </c>
      <c r="AX36" s="22">
        <v>4</v>
      </c>
      <c r="AY36" s="22">
        <v>7</v>
      </c>
      <c r="AZ36" s="37">
        <f t="shared" si="3"/>
        <v>0.7</v>
      </c>
      <c r="BA36" s="38">
        <v>3</v>
      </c>
      <c r="BB36" s="39">
        <v>0</v>
      </c>
      <c r="BC36" s="40">
        <v>0</v>
      </c>
      <c r="BD36" s="41">
        <v>0</v>
      </c>
      <c r="BE36" s="42">
        <v>0</v>
      </c>
    </row>
    <row r="37" spans="1:57" x14ac:dyDescent="0.2">
      <c r="A37" s="21">
        <v>45913</v>
      </c>
      <c r="B37" s="22">
        <v>4</v>
      </c>
      <c r="C37" s="22" t="s">
        <v>60</v>
      </c>
      <c r="D37" s="23">
        <v>1</v>
      </c>
      <c r="E37" s="23">
        <v>0</v>
      </c>
      <c r="F37" s="22" t="s">
        <v>68</v>
      </c>
      <c r="H37" s="25">
        <v>57</v>
      </c>
      <c r="I37" s="26">
        <v>43</v>
      </c>
      <c r="J37" s="27">
        <v>1.55</v>
      </c>
      <c r="K37" s="28">
        <v>0.5</v>
      </c>
      <c r="L37" s="29">
        <v>1</v>
      </c>
      <c r="M37" s="26">
        <v>0</v>
      </c>
      <c r="N37" s="29">
        <v>16</v>
      </c>
      <c r="O37" s="26">
        <v>8</v>
      </c>
      <c r="P37" s="29">
        <v>3</v>
      </c>
      <c r="Q37" s="26">
        <v>3</v>
      </c>
      <c r="R37" s="29">
        <v>2</v>
      </c>
      <c r="S37" s="26">
        <v>1</v>
      </c>
      <c r="T37" s="27">
        <v>0.37</v>
      </c>
      <c r="U37" s="30">
        <v>0.75</v>
      </c>
      <c r="V37" s="31">
        <v>9</v>
      </c>
      <c r="W37" s="26">
        <v>4</v>
      </c>
      <c r="X37" s="29">
        <v>10</v>
      </c>
      <c r="Y37" s="26">
        <v>17</v>
      </c>
      <c r="Z37" s="29">
        <v>449</v>
      </c>
      <c r="AA37" s="26">
        <v>343</v>
      </c>
      <c r="AB37" s="29">
        <v>10</v>
      </c>
      <c r="AC37" s="26">
        <v>16</v>
      </c>
      <c r="AD37" s="29">
        <v>17</v>
      </c>
      <c r="AE37" s="26">
        <v>10</v>
      </c>
      <c r="AF37" s="29">
        <v>1</v>
      </c>
      <c r="AG37" s="26">
        <v>4</v>
      </c>
      <c r="AH37" s="29">
        <v>0</v>
      </c>
      <c r="AI37" s="26">
        <v>0</v>
      </c>
      <c r="AJ37" s="29">
        <v>0</v>
      </c>
      <c r="AK37" s="32">
        <v>0</v>
      </c>
      <c r="AL37" s="33">
        <v>4</v>
      </c>
      <c r="AM37" s="34">
        <f t="shared" si="0"/>
        <v>0.25</v>
      </c>
      <c r="AN37" s="35">
        <v>1</v>
      </c>
      <c r="AO37" s="35">
        <v>7</v>
      </c>
      <c r="AP37" s="35">
        <v>5</v>
      </c>
      <c r="AQ37" s="35">
        <v>8</v>
      </c>
      <c r="AR37" s="36">
        <f t="shared" si="1"/>
        <v>0.5</v>
      </c>
      <c r="AS37" s="35">
        <v>8</v>
      </c>
      <c r="AT37" s="22">
        <v>3</v>
      </c>
      <c r="AU37" s="37">
        <f t="shared" si="2"/>
        <v>0.375</v>
      </c>
      <c r="AV37" s="22">
        <v>0</v>
      </c>
      <c r="AW37" s="22">
        <v>3</v>
      </c>
      <c r="AX37" s="22">
        <v>2</v>
      </c>
      <c r="AY37" s="22">
        <v>7</v>
      </c>
      <c r="AZ37" s="37">
        <f t="shared" si="3"/>
        <v>0.875</v>
      </c>
      <c r="BA37" s="38">
        <v>1</v>
      </c>
      <c r="BB37" s="39">
        <v>0</v>
      </c>
      <c r="BC37" s="40">
        <v>0</v>
      </c>
      <c r="BD37" s="41">
        <v>0</v>
      </c>
      <c r="BE37" s="42">
        <v>0</v>
      </c>
    </row>
    <row r="38" spans="1:57" x14ac:dyDescent="0.2">
      <c r="A38" s="21">
        <v>45913</v>
      </c>
      <c r="B38" s="22">
        <v>4</v>
      </c>
      <c r="C38" s="26" t="s">
        <v>65</v>
      </c>
      <c r="D38" s="23">
        <v>0</v>
      </c>
      <c r="E38" s="23">
        <v>3</v>
      </c>
      <c r="F38" s="22" t="s">
        <v>66</v>
      </c>
      <c r="G38" s="43" t="s">
        <v>80</v>
      </c>
      <c r="H38" s="25">
        <v>36</v>
      </c>
      <c r="I38" s="26">
        <v>64</v>
      </c>
      <c r="J38" s="27">
        <v>0.6</v>
      </c>
      <c r="K38" s="28">
        <v>1.29</v>
      </c>
      <c r="L38" s="29">
        <v>1</v>
      </c>
      <c r="M38" s="26">
        <v>2</v>
      </c>
      <c r="N38" s="29">
        <v>7</v>
      </c>
      <c r="O38" s="26">
        <v>14</v>
      </c>
      <c r="P38" s="29">
        <v>2</v>
      </c>
      <c r="Q38" s="26">
        <v>4</v>
      </c>
      <c r="R38" s="29">
        <v>0</v>
      </c>
      <c r="S38" s="26">
        <v>1</v>
      </c>
      <c r="T38" s="27">
        <v>-0.77</v>
      </c>
      <c r="U38" s="30">
        <v>0.28999999999999998</v>
      </c>
      <c r="V38" s="31">
        <v>2</v>
      </c>
      <c r="W38" s="26">
        <v>13</v>
      </c>
      <c r="X38" s="29">
        <v>8</v>
      </c>
      <c r="Y38" s="26">
        <v>7</v>
      </c>
      <c r="Z38" s="29">
        <v>310</v>
      </c>
      <c r="AA38" s="26">
        <v>534</v>
      </c>
      <c r="AB38" s="29">
        <v>13</v>
      </c>
      <c r="AC38" s="26">
        <v>16</v>
      </c>
      <c r="AD38" s="29">
        <v>7</v>
      </c>
      <c r="AE38" s="26">
        <v>8</v>
      </c>
      <c r="AF38" s="29">
        <v>0</v>
      </c>
      <c r="AG38" s="26">
        <v>1</v>
      </c>
      <c r="AH38" s="29">
        <v>1</v>
      </c>
      <c r="AI38" s="26">
        <v>0</v>
      </c>
      <c r="AJ38" s="29">
        <v>0</v>
      </c>
      <c r="AK38" s="32">
        <v>0</v>
      </c>
      <c r="AL38" s="33">
        <v>4</v>
      </c>
      <c r="AM38" s="34">
        <f t="shared" si="0"/>
        <v>0.5714285714285714</v>
      </c>
      <c r="AN38" s="35">
        <v>0</v>
      </c>
      <c r="AO38" s="35">
        <v>3</v>
      </c>
      <c r="AP38" s="35">
        <v>0</v>
      </c>
      <c r="AQ38" s="35">
        <v>6</v>
      </c>
      <c r="AR38" s="36">
        <f t="shared" si="1"/>
        <v>0.8571428571428571</v>
      </c>
      <c r="AS38" s="35">
        <v>1</v>
      </c>
      <c r="AT38" s="22">
        <v>5</v>
      </c>
      <c r="AU38" s="37">
        <f t="shared" si="2"/>
        <v>0.35714285714285715</v>
      </c>
      <c r="AV38" s="22">
        <v>0</v>
      </c>
      <c r="AW38" s="22">
        <v>4</v>
      </c>
      <c r="AX38" s="22">
        <v>5</v>
      </c>
      <c r="AY38" s="22">
        <v>10</v>
      </c>
      <c r="AZ38" s="37">
        <f t="shared" si="3"/>
        <v>0.7142857142857143</v>
      </c>
      <c r="BA38" s="38">
        <v>4</v>
      </c>
      <c r="BB38" s="39">
        <v>0</v>
      </c>
      <c r="BC38" s="40">
        <v>0</v>
      </c>
      <c r="BD38" s="41">
        <v>0</v>
      </c>
      <c r="BE38" s="42">
        <v>0</v>
      </c>
    </row>
    <row r="39" spans="1:57" x14ac:dyDescent="0.2">
      <c r="A39" s="21">
        <v>45913</v>
      </c>
      <c r="B39" s="22">
        <v>4</v>
      </c>
      <c r="C39" s="22" t="s">
        <v>73</v>
      </c>
      <c r="D39" s="23">
        <v>2</v>
      </c>
      <c r="E39" s="23">
        <v>2</v>
      </c>
      <c r="F39" s="22" t="s">
        <v>70</v>
      </c>
      <c r="H39" s="25">
        <v>34</v>
      </c>
      <c r="I39" s="26">
        <v>66</v>
      </c>
      <c r="J39" s="27">
        <v>1.43</v>
      </c>
      <c r="K39" s="28">
        <v>1.25</v>
      </c>
      <c r="L39" s="29">
        <v>1</v>
      </c>
      <c r="M39" s="26">
        <v>2</v>
      </c>
      <c r="N39" s="29">
        <v>7</v>
      </c>
      <c r="O39" s="26">
        <v>16</v>
      </c>
      <c r="P39" s="29">
        <v>4</v>
      </c>
      <c r="Q39" s="26">
        <v>3</v>
      </c>
      <c r="R39" s="29">
        <v>1</v>
      </c>
      <c r="S39" s="26">
        <v>2</v>
      </c>
      <c r="T39" s="27">
        <v>0.23</v>
      </c>
      <c r="U39" s="30">
        <v>0.3</v>
      </c>
      <c r="V39" s="31">
        <v>5</v>
      </c>
      <c r="W39" s="26">
        <v>6</v>
      </c>
      <c r="X39" s="29">
        <v>13</v>
      </c>
      <c r="Y39" s="26">
        <v>9</v>
      </c>
      <c r="Z39" s="29">
        <v>284</v>
      </c>
      <c r="AA39" s="26">
        <v>570</v>
      </c>
      <c r="AB39" s="29">
        <v>17</v>
      </c>
      <c r="AC39" s="26">
        <v>15</v>
      </c>
      <c r="AD39" s="29">
        <v>9</v>
      </c>
      <c r="AE39" s="26">
        <v>13</v>
      </c>
      <c r="AF39" s="29">
        <v>3</v>
      </c>
      <c r="AG39" s="26">
        <v>2</v>
      </c>
      <c r="AH39" s="29">
        <v>0</v>
      </c>
      <c r="AI39" s="26">
        <v>0</v>
      </c>
      <c r="AJ39" s="29">
        <v>0</v>
      </c>
      <c r="AK39" s="32">
        <v>0</v>
      </c>
      <c r="AL39" s="33">
        <v>4</v>
      </c>
      <c r="AM39" s="34">
        <f t="shared" si="0"/>
        <v>0.5714285714285714</v>
      </c>
      <c r="AN39" s="35">
        <v>0</v>
      </c>
      <c r="AO39" s="35">
        <v>2</v>
      </c>
      <c r="AP39" s="35">
        <v>1</v>
      </c>
      <c r="AQ39" s="35">
        <v>7</v>
      </c>
      <c r="AR39" s="36">
        <f t="shared" si="1"/>
        <v>1</v>
      </c>
      <c r="AS39" s="35">
        <v>0</v>
      </c>
      <c r="AT39" s="22">
        <v>6</v>
      </c>
      <c r="AU39" s="37">
        <f t="shared" si="2"/>
        <v>0.375</v>
      </c>
      <c r="AV39" s="22">
        <v>0</v>
      </c>
      <c r="AW39" s="22">
        <v>3</v>
      </c>
      <c r="AX39" s="22">
        <v>7</v>
      </c>
      <c r="AY39" s="22">
        <v>10</v>
      </c>
      <c r="AZ39" s="37">
        <f t="shared" si="3"/>
        <v>0.625</v>
      </c>
      <c r="BA39" s="38">
        <v>6</v>
      </c>
      <c r="BB39" s="39">
        <v>1</v>
      </c>
      <c r="BC39" s="40">
        <v>0</v>
      </c>
      <c r="BD39" s="41">
        <v>0</v>
      </c>
      <c r="BE39" s="42">
        <v>0</v>
      </c>
    </row>
    <row r="40" spans="1:57" x14ac:dyDescent="0.2">
      <c r="A40" s="21">
        <v>45914</v>
      </c>
      <c r="B40" s="22">
        <v>4</v>
      </c>
      <c r="C40" s="26" t="s">
        <v>67</v>
      </c>
      <c r="D40" s="23">
        <v>0</v>
      </c>
      <c r="E40" s="23">
        <v>1</v>
      </c>
      <c r="F40" s="22" t="s">
        <v>57</v>
      </c>
      <c r="G40" s="43" t="s">
        <v>81</v>
      </c>
      <c r="H40" s="25">
        <v>19</v>
      </c>
      <c r="I40" s="26">
        <v>81</v>
      </c>
      <c r="J40" s="27">
        <v>0.13</v>
      </c>
      <c r="K40" s="28">
        <v>2.65</v>
      </c>
      <c r="L40" s="29">
        <v>0</v>
      </c>
      <c r="M40" s="26">
        <v>3</v>
      </c>
      <c r="N40" s="29">
        <v>3</v>
      </c>
      <c r="O40" s="26">
        <v>27</v>
      </c>
      <c r="P40" s="29">
        <v>3</v>
      </c>
      <c r="Q40" s="26">
        <v>0</v>
      </c>
      <c r="R40" s="29">
        <v>1</v>
      </c>
      <c r="S40" s="26">
        <v>0</v>
      </c>
      <c r="T40" s="27">
        <v>0.18</v>
      </c>
      <c r="U40" s="30">
        <v>0</v>
      </c>
      <c r="V40" s="31">
        <v>1</v>
      </c>
      <c r="W40" s="26">
        <v>13</v>
      </c>
      <c r="X40" s="29">
        <v>9</v>
      </c>
      <c r="Y40" s="26">
        <v>9</v>
      </c>
      <c r="Z40" s="29">
        <v>168</v>
      </c>
      <c r="AA40" s="26">
        <v>697</v>
      </c>
      <c r="AB40" s="29">
        <v>16</v>
      </c>
      <c r="AC40" s="26">
        <v>10</v>
      </c>
      <c r="AD40" s="29">
        <v>9</v>
      </c>
      <c r="AE40" s="26">
        <v>8</v>
      </c>
      <c r="AF40" s="29">
        <v>2</v>
      </c>
      <c r="AG40" s="26">
        <v>2</v>
      </c>
      <c r="AH40" s="29">
        <v>1</v>
      </c>
      <c r="AI40" s="26">
        <v>0</v>
      </c>
      <c r="AJ40" s="29">
        <v>0</v>
      </c>
      <c r="AK40" s="32">
        <v>1</v>
      </c>
      <c r="AL40" s="33">
        <v>0</v>
      </c>
      <c r="AM40" s="34">
        <f t="shared" si="0"/>
        <v>0</v>
      </c>
      <c r="AN40" s="35">
        <v>0</v>
      </c>
      <c r="AO40" s="35">
        <v>3</v>
      </c>
      <c r="AP40" s="35">
        <v>0</v>
      </c>
      <c r="AQ40" s="35">
        <v>1</v>
      </c>
      <c r="AR40" s="36">
        <f t="shared" si="1"/>
        <v>0.33333333333333331</v>
      </c>
      <c r="AS40" s="35">
        <v>2</v>
      </c>
      <c r="AT40" s="22">
        <v>4</v>
      </c>
      <c r="AU40" s="37">
        <f t="shared" si="2"/>
        <v>0.14814814814814814</v>
      </c>
      <c r="AV40" s="22">
        <v>0</v>
      </c>
      <c r="AW40" s="22">
        <v>11</v>
      </c>
      <c r="AX40" s="22">
        <v>12</v>
      </c>
      <c r="AY40" s="22">
        <v>14</v>
      </c>
      <c r="AZ40" s="37">
        <f t="shared" si="3"/>
        <v>0.51851851851851849</v>
      </c>
      <c r="BA40" s="38">
        <v>13</v>
      </c>
      <c r="BB40" s="39">
        <v>0</v>
      </c>
      <c r="BC40" s="40">
        <v>0</v>
      </c>
      <c r="BD40" s="41">
        <v>0</v>
      </c>
      <c r="BE40" s="42">
        <v>0</v>
      </c>
    </row>
    <row r="41" spans="1:57" x14ac:dyDescent="0.2">
      <c r="A41" s="21">
        <v>45914</v>
      </c>
      <c r="B41" s="22">
        <v>4</v>
      </c>
      <c r="C41" s="22" t="s">
        <v>69</v>
      </c>
      <c r="D41" s="23">
        <v>3</v>
      </c>
      <c r="E41" s="23">
        <v>0</v>
      </c>
      <c r="F41" s="22" t="s">
        <v>74</v>
      </c>
      <c r="H41" s="25">
        <v>45</v>
      </c>
      <c r="I41" s="26">
        <v>55</v>
      </c>
      <c r="J41" s="27">
        <v>2.63</v>
      </c>
      <c r="K41" s="28">
        <v>1.52</v>
      </c>
      <c r="L41" s="29">
        <v>4</v>
      </c>
      <c r="M41" s="26">
        <v>2</v>
      </c>
      <c r="N41" s="29">
        <v>13</v>
      </c>
      <c r="O41" s="26">
        <v>12</v>
      </c>
      <c r="P41" s="29">
        <v>2</v>
      </c>
      <c r="Q41" s="26">
        <v>3</v>
      </c>
      <c r="R41" s="29">
        <v>2</v>
      </c>
      <c r="S41" s="26">
        <v>0</v>
      </c>
      <c r="T41" s="27">
        <v>0.14000000000000001</v>
      </c>
      <c r="U41" s="30">
        <v>-0.7</v>
      </c>
      <c r="V41" s="31">
        <v>2</v>
      </c>
      <c r="W41" s="26">
        <v>4</v>
      </c>
      <c r="X41" s="29">
        <v>8</v>
      </c>
      <c r="Y41" s="26">
        <v>8</v>
      </c>
      <c r="Z41" s="29">
        <v>430</v>
      </c>
      <c r="AA41" s="26">
        <v>501</v>
      </c>
      <c r="AB41" s="29">
        <v>13</v>
      </c>
      <c r="AC41" s="26">
        <v>23</v>
      </c>
      <c r="AD41" s="29">
        <v>8</v>
      </c>
      <c r="AE41" s="26">
        <v>8</v>
      </c>
      <c r="AF41" s="29">
        <v>0</v>
      </c>
      <c r="AG41" s="26">
        <v>0</v>
      </c>
      <c r="AH41" s="29">
        <v>0</v>
      </c>
      <c r="AI41" s="26">
        <v>0</v>
      </c>
      <c r="AJ41" s="29">
        <v>0</v>
      </c>
      <c r="AK41" s="32">
        <v>0</v>
      </c>
      <c r="AL41" s="33">
        <v>6</v>
      </c>
      <c r="AM41" s="34">
        <f t="shared" si="0"/>
        <v>0.46153846153846156</v>
      </c>
      <c r="AN41" s="35">
        <v>1</v>
      </c>
      <c r="AO41" s="35">
        <v>7</v>
      </c>
      <c r="AP41" s="35">
        <v>0</v>
      </c>
      <c r="AQ41" s="35">
        <v>12</v>
      </c>
      <c r="AR41" s="36">
        <f t="shared" si="1"/>
        <v>0.92307692307692313</v>
      </c>
      <c r="AS41" s="35">
        <v>1</v>
      </c>
      <c r="AT41" s="22">
        <v>2</v>
      </c>
      <c r="AU41" s="37">
        <f t="shared" si="2"/>
        <v>0.16666666666666666</v>
      </c>
      <c r="AV41" s="22">
        <v>0</v>
      </c>
      <c r="AW41" s="22">
        <v>8</v>
      </c>
      <c r="AX41" s="22">
        <v>2</v>
      </c>
      <c r="AY41" s="22">
        <v>7</v>
      </c>
      <c r="AZ41" s="37">
        <f t="shared" si="3"/>
        <v>0.58333333333333337</v>
      </c>
      <c r="BA41" s="38">
        <v>5</v>
      </c>
      <c r="BB41" s="39">
        <v>0</v>
      </c>
      <c r="BC41" s="40">
        <v>0</v>
      </c>
      <c r="BD41" s="41">
        <v>2</v>
      </c>
      <c r="BE41" s="42">
        <v>1</v>
      </c>
    </row>
    <row r="42" spans="1:57" x14ac:dyDescent="0.2">
      <c r="A42" s="21">
        <v>45920</v>
      </c>
      <c r="B42" s="22">
        <v>5</v>
      </c>
      <c r="C42" s="22" t="s">
        <v>57</v>
      </c>
      <c r="D42" s="23">
        <v>2</v>
      </c>
      <c r="E42" s="23">
        <v>1</v>
      </c>
      <c r="F42" s="22" t="s">
        <v>77</v>
      </c>
      <c r="H42" s="25">
        <v>57</v>
      </c>
      <c r="I42" s="26">
        <v>43</v>
      </c>
      <c r="J42" s="27">
        <v>0.9</v>
      </c>
      <c r="K42" s="28">
        <v>0.7</v>
      </c>
      <c r="L42" s="29">
        <v>1</v>
      </c>
      <c r="M42" s="26">
        <v>0</v>
      </c>
      <c r="N42" s="29">
        <v>11</v>
      </c>
      <c r="O42" s="26">
        <v>9</v>
      </c>
      <c r="P42" s="29">
        <v>1</v>
      </c>
      <c r="Q42" s="26">
        <v>1</v>
      </c>
      <c r="R42" s="29">
        <v>0</v>
      </c>
      <c r="S42" s="26">
        <v>0</v>
      </c>
      <c r="T42" s="27">
        <v>-0.43</v>
      </c>
      <c r="U42" s="30">
        <v>-0.82</v>
      </c>
      <c r="V42" s="31">
        <v>5</v>
      </c>
      <c r="W42" s="26">
        <v>4</v>
      </c>
      <c r="X42" s="29">
        <v>11</v>
      </c>
      <c r="Y42" s="26">
        <v>10</v>
      </c>
      <c r="Z42" s="29">
        <v>475</v>
      </c>
      <c r="AA42" s="26">
        <v>345</v>
      </c>
      <c r="AB42" s="29">
        <v>18</v>
      </c>
      <c r="AC42" s="26">
        <v>18</v>
      </c>
      <c r="AD42" s="29">
        <v>10</v>
      </c>
      <c r="AE42" s="26">
        <v>11</v>
      </c>
      <c r="AF42" s="29">
        <v>2</v>
      </c>
      <c r="AG42" s="26">
        <v>3</v>
      </c>
      <c r="AH42" s="29">
        <v>0</v>
      </c>
      <c r="AI42" s="26">
        <v>0</v>
      </c>
      <c r="AJ42" s="29">
        <v>0</v>
      </c>
      <c r="AK42" s="32">
        <v>0</v>
      </c>
      <c r="AL42" s="33">
        <v>3</v>
      </c>
      <c r="AM42" s="34">
        <f t="shared" si="0"/>
        <v>0.27272727272727271</v>
      </c>
      <c r="AN42" s="35">
        <v>0</v>
      </c>
      <c r="AO42" s="35">
        <v>3</v>
      </c>
      <c r="AP42" s="35">
        <v>5</v>
      </c>
      <c r="AQ42" s="35">
        <v>9</v>
      </c>
      <c r="AR42" s="36">
        <f t="shared" si="1"/>
        <v>0.81818181818181823</v>
      </c>
      <c r="AS42" s="35">
        <v>2</v>
      </c>
      <c r="AT42" s="22">
        <v>2</v>
      </c>
      <c r="AU42" s="37">
        <f t="shared" si="2"/>
        <v>0.22222222222222221</v>
      </c>
      <c r="AV42" s="22">
        <v>0</v>
      </c>
      <c r="AW42" s="22">
        <v>4</v>
      </c>
      <c r="AX42" s="22">
        <v>3</v>
      </c>
      <c r="AY42" s="22">
        <v>6</v>
      </c>
      <c r="AZ42" s="37">
        <f t="shared" si="3"/>
        <v>0.66666666666666663</v>
      </c>
      <c r="BA42" s="38">
        <v>3</v>
      </c>
      <c r="BB42" s="39">
        <v>1</v>
      </c>
      <c r="BC42" s="40">
        <v>0</v>
      </c>
      <c r="BD42" s="41">
        <v>0</v>
      </c>
      <c r="BE42" s="42">
        <v>0</v>
      </c>
    </row>
    <row r="43" spans="1:57" x14ac:dyDescent="0.2">
      <c r="A43" s="21">
        <v>45920</v>
      </c>
      <c r="B43" s="22">
        <v>5</v>
      </c>
      <c r="C43" s="22" t="s">
        <v>62</v>
      </c>
      <c r="D43" s="23">
        <v>2</v>
      </c>
      <c r="E43" s="23">
        <v>2</v>
      </c>
      <c r="F43" s="22" t="s">
        <v>66</v>
      </c>
      <c r="H43" s="25">
        <v>36</v>
      </c>
      <c r="I43" s="26">
        <v>64</v>
      </c>
      <c r="J43" s="27">
        <v>1.32</v>
      </c>
      <c r="K43" s="28">
        <v>1.22</v>
      </c>
      <c r="L43" s="29">
        <v>1</v>
      </c>
      <c r="M43" s="26">
        <v>1</v>
      </c>
      <c r="N43" s="29">
        <v>12</v>
      </c>
      <c r="O43" s="26">
        <v>11</v>
      </c>
      <c r="P43" s="29">
        <v>2</v>
      </c>
      <c r="Q43" s="26">
        <v>2</v>
      </c>
      <c r="R43" s="29">
        <v>1</v>
      </c>
      <c r="S43" s="26">
        <v>0</v>
      </c>
      <c r="T43" s="27">
        <v>-0.45</v>
      </c>
      <c r="U43" s="30">
        <v>-0.73</v>
      </c>
      <c r="V43" s="31">
        <v>2</v>
      </c>
      <c r="W43" s="26">
        <v>10</v>
      </c>
      <c r="X43" s="29">
        <v>10</v>
      </c>
      <c r="Y43" s="26">
        <v>13</v>
      </c>
      <c r="Z43" s="29">
        <v>307</v>
      </c>
      <c r="AA43" s="26">
        <v>523</v>
      </c>
      <c r="AB43" s="29">
        <v>25</v>
      </c>
      <c r="AC43" s="26">
        <v>26</v>
      </c>
      <c r="AD43" s="29">
        <v>13</v>
      </c>
      <c r="AE43" s="26">
        <v>10</v>
      </c>
      <c r="AF43" s="29">
        <v>1</v>
      </c>
      <c r="AG43" s="26">
        <v>2</v>
      </c>
      <c r="AH43" s="29">
        <v>0</v>
      </c>
      <c r="AI43" s="26">
        <v>0</v>
      </c>
      <c r="AJ43" s="29">
        <v>0</v>
      </c>
      <c r="AK43" s="32">
        <v>0</v>
      </c>
      <c r="AL43" s="33">
        <v>4</v>
      </c>
      <c r="AM43" s="34">
        <f t="shared" si="0"/>
        <v>0.33333333333333331</v>
      </c>
      <c r="AN43" s="35">
        <v>0</v>
      </c>
      <c r="AO43" s="35">
        <v>7</v>
      </c>
      <c r="AP43" s="35">
        <v>1</v>
      </c>
      <c r="AQ43" s="35">
        <v>5</v>
      </c>
      <c r="AR43" s="36">
        <f t="shared" si="1"/>
        <v>0.41666666666666669</v>
      </c>
      <c r="AS43" s="35">
        <v>7</v>
      </c>
      <c r="AT43" s="22">
        <v>3</v>
      </c>
      <c r="AU43" s="37">
        <f t="shared" si="2"/>
        <v>0.27272727272727271</v>
      </c>
      <c r="AV43" s="22">
        <v>0</v>
      </c>
      <c r="AW43" s="22">
        <v>6</v>
      </c>
      <c r="AX43" s="22">
        <v>2</v>
      </c>
      <c r="AY43" s="22">
        <v>9</v>
      </c>
      <c r="AZ43" s="37">
        <f t="shared" si="3"/>
        <v>0.81818181818181823</v>
      </c>
      <c r="BA43" s="38">
        <v>2</v>
      </c>
      <c r="BB43" s="39">
        <v>0</v>
      </c>
      <c r="BC43" s="40">
        <v>0</v>
      </c>
      <c r="BD43" s="41">
        <v>0</v>
      </c>
      <c r="BE43" s="42">
        <v>2</v>
      </c>
    </row>
    <row r="44" spans="1:57" x14ac:dyDescent="0.2">
      <c r="A44" s="21">
        <v>45920</v>
      </c>
      <c r="B44" s="22">
        <v>5</v>
      </c>
      <c r="C44" s="22" t="s">
        <v>67</v>
      </c>
      <c r="D44" s="23">
        <v>1</v>
      </c>
      <c r="E44" s="23">
        <v>1</v>
      </c>
      <c r="F44" s="22" t="s">
        <v>72</v>
      </c>
      <c r="H44" s="25">
        <v>37</v>
      </c>
      <c r="I44" s="26">
        <v>63</v>
      </c>
      <c r="J44" s="27">
        <v>0.85</v>
      </c>
      <c r="K44" s="28">
        <v>1.1000000000000001</v>
      </c>
      <c r="L44" s="29">
        <v>2</v>
      </c>
      <c r="M44" s="26">
        <v>2</v>
      </c>
      <c r="N44" s="29">
        <v>12</v>
      </c>
      <c r="O44" s="26">
        <v>17</v>
      </c>
      <c r="P44" s="29">
        <v>7</v>
      </c>
      <c r="Q44" s="26">
        <v>4</v>
      </c>
      <c r="R44" s="29">
        <v>2</v>
      </c>
      <c r="S44" s="26">
        <v>0</v>
      </c>
      <c r="T44" s="27">
        <v>0.47</v>
      </c>
      <c r="U44" s="30">
        <v>-0.02</v>
      </c>
      <c r="V44" s="31">
        <v>4</v>
      </c>
      <c r="W44" s="26">
        <v>5</v>
      </c>
      <c r="X44" s="29">
        <v>12</v>
      </c>
      <c r="Y44" s="26">
        <v>11</v>
      </c>
      <c r="Z44" s="29">
        <v>348</v>
      </c>
      <c r="AA44" s="26">
        <v>628</v>
      </c>
      <c r="AB44" s="29">
        <v>11</v>
      </c>
      <c r="AC44" s="26">
        <v>11</v>
      </c>
      <c r="AD44" s="29">
        <v>11</v>
      </c>
      <c r="AE44" s="26">
        <v>12</v>
      </c>
      <c r="AF44" s="29">
        <v>1</v>
      </c>
      <c r="AG44" s="26">
        <v>1</v>
      </c>
      <c r="AH44" s="29">
        <v>0</v>
      </c>
      <c r="AI44" s="26">
        <v>0</v>
      </c>
      <c r="AJ44" s="29">
        <v>0</v>
      </c>
      <c r="AK44" s="32">
        <v>0</v>
      </c>
      <c r="AL44" s="33">
        <v>5</v>
      </c>
      <c r="AM44" s="34">
        <f t="shared" si="0"/>
        <v>0.41666666666666669</v>
      </c>
      <c r="AN44" s="35">
        <v>1</v>
      </c>
      <c r="AO44" s="35">
        <v>4</v>
      </c>
      <c r="AP44" s="35">
        <v>3</v>
      </c>
      <c r="AQ44" s="35">
        <v>9</v>
      </c>
      <c r="AR44" s="36">
        <f t="shared" si="1"/>
        <v>0.75</v>
      </c>
      <c r="AS44" s="35">
        <v>3</v>
      </c>
      <c r="AT44" s="22">
        <v>8</v>
      </c>
      <c r="AU44" s="37">
        <f t="shared" si="2"/>
        <v>0.47058823529411764</v>
      </c>
      <c r="AV44" s="22">
        <v>0</v>
      </c>
      <c r="AW44" s="22">
        <v>2</v>
      </c>
      <c r="AX44" s="22">
        <v>7</v>
      </c>
      <c r="AY44" s="22">
        <v>9</v>
      </c>
      <c r="AZ44" s="37">
        <f t="shared" si="3"/>
        <v>0.52941176470588236</v>
      </c>
      <c r="BA44" s="38">
        <v>8</v>
      </c>
      <c r="BB44" s="39">
        <v>0</v>
      </c>
      <c r="BC44" s="40">
        <v>0</v>
      </c>
      <c r="BD44" s="41">
        <v>0</v>
      </c>
      <c r="BE44" s="42">
        <v>0</v>
      </c>
    </row>
    <row r="45" spans="1:57" x14ac:dyDescent="0.2">
      <c r="A45" s="21">
        <v>45920</v>
      </c>
      <c r="B45" s="22">
        <v>5</v>
      </c>
      <c r="C45" s="22" t="s">
        <v>65</v>
      </c>
      <c r="D45" s="23">
        <v>1</v>
      </c>
      <c r="E45" s="23">
        <v>2</v>
      </c>
      <c r="F45" s="22" t="s">
        <v>71</v>
      </c>
      <c r="H45" s="25">
        <v>57</v>
      </c>
      <c r="I45" s="26">
        <v>43</v>
      </c>
      <c r="J45" s="27">
        <v>0.66</v>
      </c>
      <c r="K45" s="28">
        <v>2.31</v>
      </c>
      <c r="L45" s="29">
        <v>1</v>
      </c>
      <c r="M45" s="26">
        <v>4</v>
      </c>
      <c r="N45" s="29">
        <v>8</v>
      </c>
      <c r="O45" s="26">
        <v>18</v>
      </c>
      <c r="P45" s="29">
        <v>1</v>
      </c>
      <c r="Q45" s="26">
        <v>2</v>
      </c>
      <c r="R45" s="29">
        <v>0</v>
      </c>
      <c r="S45" s="26">
        <v>0</v>
      </c>
      <c r="T45" s="27">
        <v>-0.63</v>
      </c>
      <c r="U45" s="30">
        <v>0.55000000000000004</v>
      </c>
      <c r="V45" s="31">
        <v>8</v>
      </c>
      <c r="W45" s="26">
        <v>8</v>
      </c>
      <c r="X45" s="29">
        <v>15</v>
      </c>
      <c r="Y45" s="26">
        <v>5</v>
      </c>
      <c r="Z45" s="29">
        <v>450</v>
      </c>
      <c r="AA45" s="26">
        <v>345</v>
      </c>
      <c r="AB45" s="29">
        <v>9</v>
      </c>
      <c r="AC45" s="26">
        <v>22</v>
      </c>
      <c r="AD45" s="29">
        <v>5</v>
      </c>
      <c r="AE45" s="26">
        <v>15</v>
      </c>
      <c r="AF45" s="29">
        <v>3</v>
      </c>
      <c r="AG45" s="26">
        <v>3</v>
      </c>
      <c r="AH45" s="29">
        <v>0</v>
      </c>
      <c r="AI45" s="26">
        <v>0</v>
      </c>
      <c r="AJ45" s="29">
        <v>0</v>
      </c>
      <c r="AK45" s="32">
        <v>0</v>
      </c>
      <c r="AL45" s="33">
        <v>3</v>
      </c>
      <c r="AM45" s="34">
        <f t="shared" si="0"/>
        <v>0.375</v>
      </c>
      <c r="AN45" s="35">
        <v>0</v>
      </c>
      <c r="AO45" s="35">
        <v>4</v>
      </c>
      <c r="AP45" s="35">
        <v>1</v>
      </c>
      <c r="AQ45" s="35">
        <v>7</v>
      </c>
      <c r="AR45" s="36">
        <f t="shared" si="1"/>
        <v>0.875</v>
      </c>
      <c r="AS45" s="35">
        <v>1</v>
      </c>
      <c r="AT45" s="22">
        <v>3</v>
      </c>
      <c r="AU45" s="37">
        <f t="shared" si="2"/>
        <v>0.16666666666666666</v>
      </c>
      <c r="AV45" s="22">
        <v>1</v>
      </c>
      <c r="AW45" s="22">
        <v>9</v>
      </c>
      <c r="AX45" s="22">
        <v>6</v>
      </c>
      <c r="AY45" s="22">
        <v>14</v>
      </c>
      <c r="AZ45" s="37">
        <f t="shared" si="3"/>
        <v>0.77777777777777779</v>
      </c>
      <c r="BA45" s="38">
        <v>4</v>
      </c>
      <c r="BB45" s="39">
        <v>0</v>
      </c>
      <c r="BC45" s="40">
        <v>0</v>
      </c>
      <c r="BD45" s="41">
        <v>0</v>
      </c>
      <c r="BE45" s="42">
        <v>0</v>
      </c>
    </row>
    <row r="46" spans="1:57" x14ac:dyDescent="0.2">
      <c r="A46" s="21">
        <v>45920</v>
      </c>
      <c r="B46" s="22">
        <v>5</v>
      </c>
      <c r="C46" s="22" t="s">
        <v>68</v>
      </c>
      <c r="D46" s="23">
        <v>1</v>
      </c>
      <c r="E46" s="23">
        <v>3</v>
      </c>
      <c r="F46" s="22" t="s">
        <v>76</v>
      </c>
      <c r="H46" s="25">
        <v>56</v>
      </c>
      <c r="I46" s="26">
        <v>44</v>
      </c>
      <c r="J46" s="27">
        <v>1.78</v>
      </c>
      <c r="K46" s="28">
        <v>0.48</v>
      </c>
      <c r="L46" s="29">
        <v>1</v>
      </c>
      <c r="M46" s="26">
        <v>1</v>
      </c>
      <c r="N46" s="29">
        <v>16</v>
      </c>
      <c r="O46" s="26">
        <v>6</v>
      </c>
      <c r="P46" s="29">
        <v>1</v>
      </c>
      <c r="Q46" s="26">
        <v>5</v>
      </c>
      <c r="R46" s="29">
        <v>0</v>
      </c>
      <c r="S46" s="26">
        <v>1</v>
      </c>
      <c r="T46" s="27">
        <v>-1.46</v>
      </c>
      <c r="U46" s="30">
        <v>0.31</v>
      </c>
      <c r="V46" s="31">
        <v>4</v>
      </c>
      <c r="W46" s="26">
        <v>0</v>
      </c>
      <c r="X46" s="29">
        <v>11</v>
      </c>
      <c r="Y46" s="26">
        <v>9</v>
      </c>
      <c r="Z46" s="29">
        <v>507</v>
      </c>
      <c r="AA46" s="26">
        <v>416</v>
      </c>
      <c r="AB46" s="29">
        <v>28</v>
      </c>
      <c r="AC46" s="26">
        <v>20</v>
      </c>
      <c r="AD46" s="29">
        <v>9</v>
      </c>
      <c r="AE46" s="26">
        <v>11</v>
      </c>
      <c r="AF46" s="29">
        <v>1</v>
      </c>
      <c r="AG46" s="26">
        <v>1</v>
      </c>
      <c r="AH46" s="29">
        <v>0</v>
      </c>
      <c r="AI46" s="26">
        <v>0</v>
      </c>
      <c r="AJ46" s="29">
        <v>0</v>
      </c>
      <c r="AK46" s="32">
        <v>0</v>
      </c>
      <c r="AL46" s="33">
        <v>6</v>
      </c>
      <c r="AM46" s="34">
        <f t="shared" si="0"/>
        <v>0.375</v>
      </c>
      <c r="AN46" s="35">
        <v>0</v>
      </c>
      <c r="AO46" s="35">
        <v>6</v>
      </c>
      <c r="AP46" s="35">
        <v>4</v>
      </c>
      <c r="AQ46" s="35">
        <v>13</v>
      </c>
      <c r="AR46" s="36">
        <f t="shared" si="1"/>
        <v>0.8125</v>
      </c>
      <c r="AS46" s="35">
        <v>3</v>
      </c>
      <c r="AT46" s="22">
        <v>4</v>
      </c>
      <c r="AU46" s="37">
        <f t="shared" si="2"/>
        <v>0.66666666666666663</v>
      </c>
      <c r="AV46" s="22">
        <v>0</v>
      </c>
      <c r="AW46" s="22">
        <v>2</v>
      </c>
      <c r="AX46" s="22">
        <v>0</v>
      </c>
      <c r="AY46" s="22">
        <v>2</v>
      </c>
      <c r="AZ46" s="37">
        <f t="shared" si="3"/>
        <v>0.33333333333333331</v>
      </c>
      <c r="BA46" s="38">
        <v>4</v>
      </c>
      <c r="BB46" s="39">
        <v>0</v>
      </c>
      <c r="BC46" s="40">
        <v>1</v>
      </c>
      <c r="BD46" s="41">
        <v>0</v>
      </c>
      <c r="BE46" s="42">
        <v>0</v>
      </c>
    </row>
    <row r="47" spans="1:57" x14ac:dyDescent="0.2">
      <c r="A47" s="21">
        <v>45920</v>
      </c>
      <c r="B47" s="22">
        <v>5</v>
      </c>
      <c r="C47" s="22" t="s">
        <v>74</v>
      </c>
      <c r="D47" s="23">
        <v>2</v>
      </c>
      <c r="E47" s="23">
        <v>1</v>
      </c>
      <c r="F47" s="26" t="s">
        <v>70</v>
      </c>
      <c r="G47" s="43" t="s">
        <v>82</v>
      </c>
      <c r="H47" s="25">
        <v>41</v>
      </c>
      <c r="I47" s="26">
        <v>59</v>
      </c>
      <c r="J47" s="27">
        <v>1.84</v>
      </c>
      <c r="K47" s="28">
        <v>0.43</v>
      </c>
      <c r="L47" s="29">
        <v>3</v>
      </c>
      <c r="M47" s="26">
        <v>1</v>
      </c>
      <c r="N47" s="29">
        <v>11</v>
      </c>
      <c r="O47" s="26">
        <v>5</v>
      </c>
      <c r="P47" s="29">
        <v>0</v>
      </c>
      <c r="Q47" s="26">
        <v>2</v>
      </c>
      <c r="R47" s="29">
        <v>0</v>
      </c>
      <c r="S47" s="26">
        <v>1</v>
      </c>
      <c r="T47" s="27">
        <v>-0.41</v>
      </c>
      <c r="U47" s="30">
        <v>-0.13</v>
      </c>
      <c r="V47" s="31">
        <v>5</v>
      </c>
      <c r="W47" s="26">
        <v>5</v>
      </c>
      <c r="X47" s="29">
        <v>13</v>
      </c>
      <c r="Y47" s="26">
        <v>14</v>
      </c>
      <c r="Z47" s="29">
        <v>371</v>
      </c>
      <c r="AA47" s="26">
        <v>550</v>
      </c>
      <c r="AB47" s="29">
        <v>21</v>
      </c>
      <c r="AC47" s="26">
        <v>16</v>
      </c>
      <c r="AD47" s="29">
        <v>14</v>
      </c>
      <c r="AE47" s="26">
        <v>13</v>
      </c>
      <c r="AF47" s="29">
        <v>2</v>
      </c>
      <c r="AG47" s="26">
        <v>5</v>
      </c>
      <c r="AH47" s="29">
        <v>1</v>
      </c>
      <c r="AI47" s="26">
        <v>1</v>
      </c>
      <c r="AJ47" s="29">
        <v>1</v>
      </c>
      <c r="AK47" s="32">
        <v>1</v>
      </c>
      <c r="AL47" s="33">
        <v>4</v>
      </c>
      <c r="AM47" s="34">
        <f t="shared" si="0"/>
        <v>0.36363636363636365</v>
      </c>
      <c r="AN47" s="35">
        <v>0</v>
      </c>
      <c r="AO47" s="35">
        <v>3</v>
      </c>
      <c r="AP47" s="35">
        <v>4</v>
      </c>
      <c r="AQ47" s="35">
        <v>6</v>
      </c>
      <c r="AR47" s="36">
        <f t="shared" si="1"/>
        <v>0.54545454545454541</v>
      </c>
      <c r="AS47" s="35">
        <v>5</v>
      </c>
      <c r="AT47" s="22">
        <v>1</v>
      </c>
      <c r="AU47" s="37">
        <f t="shared" si="2"/>
        <v>0.2</v>
      </c>
      <c r="AV47" s="22">
        <v>0</v>
      </c>
      <c r="AW47" s="22">
        <v>2</v>
      </c>
      <c r="AX47" s="22">
        <v>2</v>
      </c>
      <c r="AY47" s="22">
        <v>4</v>
      </c>
      <c r="AZ47" s="37">
        <f t="shared" si="3"/>
        <v>0.8</v>
      </c>
      <c r="BA47" s="38">
        <v>1</v>
      </c>
      <c r="BB47" s="39">
        <v>0</v>
      </c>
      <c r="BC47" s="40">
        <v>0</v>
      </c>
      <c r="BD47" s="41">
        <v>1</v>
      </c>
      <c r="BE47" s="42">
        <v>1</v>
      </c>
    </row>
    <row r="48" spans="1:57" x14ac:dyDescent="0.2">
      <c r="A48" s="21">
        <v>45920</v>
      </c>
      <c r="B48" s="22">
        <v>5</v>
      </c>
      <c r="C48" s="22" t="s">
        <v>63</v>
      </c>
      <c r="D48" s="23">
        <v>3</v>
      </c>
      <c r="E48" s="23">
        <v>1</v>
      </c>
      <c r="F48" s="22" t="s">
        <v>73</v>
      </c>
      <c r="H48" s="25">
        <v>53</v>
      </c>
      <c r="I48" s="26">
        <v>47</v>
      </c>
      <c r="J48" s="27">
        <v>1.01</v>
      </c>
      <c r="K48" s="28">
        <v>0.6</v>
      </c>
      <c r="L48" s="29">
        <v>3</v>
      </c>
      <c r="M48" s="26">
        <v>1</v>
      </c>
      <c r="N48" s="29">
        <v>14</v>
      </c>
      <c r="O48" s="26">
        <v>8</v>
      </c>
      <c r="P48" s="29">
        <v>2</v>
      </c>
      <c r="Q48" s="26">
        <v>2</v>
      </c>
      <c r="R48" s="29">
        <v>0</v>
      </c>
      <c r="S48" s="26">
        <v>0</v>
      </c>
      <c r="T48" s="27">
        <v>-0.12</v>
      </c>
      <c r="U48" s="30">
        <v>-2.15</v>
      </c>
      <c r="V48" s="31">
        <v>2</v>
      </c>
      <c r="W48" s="26">
        <v>10</v>
      </c>
      <c r="X48" s="29">
        <v>11</v>
      </c>
      <c r="Y48" s="26">
        <v>13</v>
      </c>
      <c r="Z48" s="29">
        <v>456</v>
      </c>
      <c r="AA48" s="26">
        <v>398</v>
      </c>
      <c r="AB48" s="29">
        <v>19</v>
      </c>
      <c r="AC48" s="26">
        <v>13</v>
      </c>
      <c r="AD48" s="29">
        <v>13</v>
      </c>
      <c r="AE48" s="26">
        <v>11</v>
      </c>
      <c r="AF48" s="29">
        <v>4</v>
      </c>
      <c r="AG48" s="26">
        <v>1</v>
      </c>
      <c r="AH48" s="29">
        <v>0</v>
      </c>
      <c r="AI48" s="26">
        <v>0</v>
      </c>
      <c r="AJ48" s="29">
        <v>0</v>
      </c>
      <c r="AK48" s="32">
        <v>0</v>
      </c>
      <c r="AL48" s="33">
        <v>3</v>
      </c>
      <c r="AM48" s="34">
        <f t="shared" si="0"/>
        <v>0.21428571428571427</v>
      </c>
      <c r="AN48" s="35">
        <v>0</v>
      </c>
      <c r="AO48" s="35">
        <v>5</v>
      </c>
      <c r="AP48" s="35">
        <v>6</v>
      </c>
      <c r="AQ48" s="35">
        <v>8</v>
      </c>
      <c r="AR48" s="36">
        <f t="shared" si="1"/>
        <v>0.5714285714285714</v>
      </c>
      <c r="AS48" s="35">
        <v>6</v>
      </c>
      <c r="AT48" s="22">
        <v>3</v>
      </c>
      <c r="AU48" s="37">
        <f t="shared" si="2"/>
        <v>0.375</v>
      </c>
      <c r="AV48" s="22">
        <v>0</v>
      </c>
      <c r="AW48" s="22">
        <v>2</v>
      </c>
      <c r="AX48" s="22">
        <v>3</v>
      </c>
      <c r="AY48" s="22">
        <v>8</v>
      </c>
      <c r="AZ48" s="37">
        <f t="shared" si="3"/>
        <v>1</v>
      </c>
      <c r="BA48" s="38">
        <v>0</v>
      </c>
      <c r="BB48" s="39">
        <v>1</v>
      </c>
      <c r="BC48" s="40">
        <v>1</v>
      </c>
      <c r="BD48" s="41">
        <v>0</v>
      </c>
      <c r="BE48" s="42">
        <v>0</v>
      </c>
    </row>
    <row r="49" spans="1:57" x14ac:dyDescent="0.2">
      <c r="A49" s="21">
        <v>45921</v>
      </c>
      <c r="B49" s="22">
        <v>5</v>
      </c>
      <c r="C49" s="22" t="s">
        <v>58</v>
      </c>
      <c r="D49" s="23">
        <v>0</v>
      </c>
      <c r="E49" s="23">
        <v>0</v>
      </c>
      <c r="F49" s="22" t="s">
        <v>60</v>
      </c>
      <c r="H49" s="25">
        <v>56</v>
      </c>
      <c r="I49" s="26">
        <v>44</v>
      </c>
      <c r="J49" s="27">
        <v>0.46</v>
      </c>
      <c r="K49" s="28">
        <v>0.14000000000000001</v>
      </c>
      <c r="L49" s="29">
        <v>0</v>
      </c>
      <c r="M49" s="26">
        <v>0</v>
      </c>
      <c r="N49" s="29">
        <v>11</v>
      </c>
      <c r="O49" s="26">
        <v>4</v>
      </c>
      <c r="P49" s="29">
        <v>1</v>
      </c>
      <c r="Q49" s="26">
        <v>2</v>
      </c>
      <c r="R49" s="29">
        <v>0</v>
      </c>
      <c r="S49" s="26">
        <v>1</v>
      </c>
      <c r="T49" s="27">
        <v>0.1</v>
      </c>
      <c r="U49" s="30">
        <v>0.26</v>
      </c>
      <c r="V49" s="31">
        <v>5</v>
      </c>
      <c r="W49" s="26">
        <v>2</v>
      </c>
      <c r="X49" s="29">
        <v>7</v>
      </c>
      <c r="Y49" s="26">
        <v>10</v>
      </c>
      <c r="Z49" s="29">
        <v>698</v>
      </c>
      <c r="AA49" s="26">
        <v>390</v>
      </c>
      <c r="AB49" s="29">
        <v>15</v>
      </c>
      <c r="AC49" s="26">
        <v>19</v>
      </c>
      <c r="AD49" s="29">
        <v>10</v>
      </c>
      <c r="AE49" s="26">
        <v>7</v>
      </c>
      <c r="AF49" s="29">
        <v>2</v>
      </c>
      <c r="AG49" s="26">
        <v>1</v>
      </c>
      <c r="AH49" s="29">
        <v>0</v>
      </c>
      <c r="AI49" s="26">
        <v>0</v>
      </c>
      <c r="AJ49" s="29">
        <v>0</v>
      </c>
      <c r="AK49" s="32">
        <v>0</v>
      </c>
      <c r="AL49" s="33">
        <v>2</v>
      </c>
      <c r="AM49" s="34">
        <f t="shared" si="0"/>
        <v>0.18181818181818182</v>
      </c>
      <c r="AN49" s="35">
        <v>0</v>
      </c>
      <c r="AO49" s="35">
        <v>3</v>
      </c>
      <c r="AP49" s="35">
        <v>6</v>
      </c>
      <c r="AQ49" s="35">
        <v>4</v>
      </c>
      <c r="AR49" s="36">
        <f t="shared" si="1"/>
        <v>0.36363636363636365</v>
      </c>
      <c r="AS49" s="35">
        <v>7</v>
      </c>
      <c r="AT49" s="22">
        <v>1</v>
      </c>
      <c r="AU49" s="37">
        <f t="shared" si="2"/>
        <v>0.25</v>
      </c>
      <c r="AV49" s="22">
        <v>0</v>
      </c>
      <c r="AW49" s="22">
        <v>2</v>
      </c>
      <c r="AX49" s="22">
        <v>1</v>
      </c>
      <c r="AY49" s="22">
        <v>1</v>
      </c>
      <c r="AZ49" s="37">
        <f t="shared" si="3"/>
        <v>0.25</v>
      </c>
      <c r="BA49" s="38">
        <v>3</v>
      </c>
      <c r="BB49" s="39">
        <v>0</v>
      </c>
      <c r="BC49" s="40">
        <v>0</v>
      </c>
      <c r="BD49" s="41">
        <v>0</v>
      </c>
      <c r="BE49" s="42">
        <v>0</v>
      </c>
    </row>
    <row r="50" spans="1:57" x14ac:dyDescent="0.2">
      <c r="A50" s="21">
        <v>45921</v>
      </c>
      <c r="B50" s="22">
        <v>5</v>
      </c>
      <c r="C50" s="26" t="s">
        <v>64</v>
      </c>
      <c r="D50" s="23">
        <v>1</v>
      </c>
      <c r="E50" s="23">
        <v>1</v>
      </c>
      <c r="F50" s="22" t="s">
        <v>59</v>
      </c>
      <c r="G50" s="43" t="s">
        <v>83</v>
      </c>
      <c r="H50" s="25">
        <v>29</v>
      </c>
      <c r="I50" s="26">
        <v>71</v>
      </c>
      <c r="J50" s="27">
        <v>1.04</v>
      </c>
      <c r="K50" s="28">
        <v>0.78</v>
      </c>
      <c r="L50" s="29">
        <v>1</v>
      </c>
      <c r="M50" s="26">
        <v>2</v>
      </c>
      <c r="N50" s="29">
        <v>14</v>
      </c>
      <c r="O50" s="26">
        <v>12</v>
      </c>
      <c r="P50" s="29">
        <v>1</v>
      </c>
      <c r="Q50" s="26">
        <v>3</v>
      </c>
      <c r="R50" s="29">
        <v>0</v>
      </c>
      <c r="S50" s="26">
        <v>0</v>
      </c>
      <c r="T50" s="27">
        <v>-0.85</v>
      </c>
      <c r="U50" s="30">
        <v>-0.01</v>
      </c>
      <c r="V50" s="31">
        <v>6</v>
      </c>
      <c r="W50" s="26">
        <v>5</v>
      </c>
      <c r="X50" s="29">
        <v>14</v>
      </c>
      <c r="Y50" s="26">
        <v>8</v>
      </c>
      <c r="Z50" s="29">
        <v>218</v>
      </c>
      <c r="AA50" s="26">
        <v>547</v>
      </c>
      <c r="AB50" s="29">
        <v>20</v>
      </c>
      <c r="AC50" s="26">
        <v>11</v>
      </c>
      <c r="AD50" s="29">
        <v>8</v>
      </c>
      <c r="AE50" s="26">
        <v>14</v>
      </c>
      <c r="AF50" s="29">
        <v>2</v>
      </c>
      <c r="AG50" s="26">
        <v>1</v>
      </c>
      <c r="AH50" s="29">
        <v>1</v>
      </c>
      <c r="AI50" s="26">
        <v>0</v>
      </c>
      <c r="AJ50" s="29">
        <v>0</v>
      </c>
      <c r="AK50" s="32">
        <v>0</v>
      </c>
      <c r="AL50" s="33">
        <v>4</v>
      </c>
      <c r="AM50" s="34">
        <f t="shared" si="0"/>
        <v>0.2857142857142857</v>
      </c>
      <c r="AN50" s="35">
        <v>1</v>
      </c>
      <c r="AO50" s="35">
        <v>6</v>
      </c>
      <c r="AP50" s="35">
        <v>4</v>
      </c>
      <c r="AQ50" s="35">
        <v>10</v>
      </c>
      <c r="AR50" s="36">
        <f t="shared" si="1"/>
        <v>0.7142857142857143</v>
      </c>
      <c r="AS50" s="35">
        <v>4</v>
      </c>
      <c r="AT50" s="22">
        <v>2</v>
      </c>
      <c r="AU50" s="37">
        <f t="shared" si="2"/>
        <v>0.16666666666666666</v>
      </c>
      <c r="AV50" s="22">
        <v>0</v>
      </c>
      <c r="AW50" s="22">
        <v>4</v>
      </c>
      <c r="AX50" s="22">
        <v>6</v>
      </c>
      <c r="AY50" s="22">
        <v>6</v>
      </c>
      <c r="AZ50" s="37">
        <f t="shared" si="3"/>
        <v>0.5</v>
      </c>
      <c r="BA50" s="38">
        <v>6</v>
      </c>
      <c r="BB50" s="39">
        <v>1</v>
      </c>
      <c r="BC50" s="40">
        <v>1</v>
      </c>
      <c r="BD50" s="41">
        <v>0</v>
      </c>
      <c r="BE50" s="42">
        <v>0</v>
      </c>
    </row>
    <row r="51" spans="1:57" x14ac:dyDescent="0.2">
      <c r="A51" s="21">
        <v>45921</v>
      </c>
      <c r="B51" s="22">
        <v>5</v>
      </c>
      <c r="C51" s="22" t="s">
        <v>75</v>
      </c>
      <c r="D51" s="23">
        <v>1</v>
      </c>
      <c r="E51" s="23">
        <v>1</v>
      </c>
      <c r="F51" s="22" t="s">
        <v>69</v>
      </c>
      <c r="H51" s="25">
        <v>67</v>
      </c>
      <c r="I51" s="26">
        <v>33</v>
      </c>
      <c r="J51" s="27">
        <v>0.89</v>
      </c>
      <c r="K51" s="28">
        <v>0.87</v>
      </c>
      <c r="L51" s="29">
        <v>2</v>
      </c>
      <c r="M51" s="26">
        <v>2</v>
      </c>
      <c r="N51" s="29">
        <v>12</v>
      </c>
      <c r="O51" s="26">
        <v>5</v>
      </c>
      <c r="P51" s="29">
        <v>2</v>
      </c>
      <c r="Q51" s="26">
        <v>2</v>
      </c>
      <c r="R51" s="29">
        <v>0</v>
      </c>
      <c r="S51" s="26">
        <v>0</v>
      </c>
      <c r="T51" s="27">
        <v>0.11</v>
      </c>
      <c r="U51" s="30">
        <v>0.24</v>
      </c>
      <c r="V51" s="31">
        <v>11</v>
      </c>
      <c r="W51" s="26">
        <v>1</v>
      </c>
      <c r="X51" s="29">
        <v>11</v>
      </c>
      <c r="Y51" s="26">
        <v>10</v>
      </c>
      <c r="Z51" s="29">
        <v>582</v>
      </c>
      <c r="AA51" s="26">
        <v>300</v>
      </c>
      <c r="AB51" s="29">
        <v>20</v>
      </c>
      <c r="AC51" s="26">
        <v>13</v>
      </c>
      <c r="AD51" s="29">
        <v>10</v>
      </c>
      <c r="AE51" s="26">
        <v>11</v>
      </c>
      <c r="AF51" s="29">
        <v>1</v>
      </c>
      <c r="AG51" s="26">
        <v>2</v>
      </c>
      <c r="AH51" s="29">
        <v>0</v>
      </c>
      <c r="AI51" s="26">
        <v>0</v>
      </c>
      <c r="AJ51" s="29">
        <v>0</v>
      </c>
      <c r="AK51" s="32">
        <v>0</v>
      </c>
      <c r="AL51" s="33">
        <v>3</v>
      </c>
      <c r="AM51" s="34">
        <f t="shared" si="0"/>
        <v>0.25</v>
      </c>
      <c r="AN51" s="35">
        <v>0</v>
      </c>
      <c r="AO51" s="35">
        <v>6</v>
      </c>
      <c r="AP51" s="35">
        <v>3</v>
      </c>
      <c r="AQ51" s="35">
        <v>11</v>
      </c>
      <c r="AR51" s="36">
        <f t="shared" si="1"/>
        <v>0.91666666666666663</v>
      </c>
      <c r="AS51" s="35">
        <v>1</v>
      </c>
      <c r="AT51" s="22">
        <v>3</v>
      </c>
      <c r="AU51" s="37">
        <f t="shared" si="2"/>
        <v>0.6</v>
      </c>
      <c r="AV51" s="22">
        <v>0</v>
      </c>
      <c r="AW51" s="22">
        <v>2</v>
      </c>
      <c r="AX51" s="22">
        <v>0</v>
      </c>
      <c r="AY51" s="22">
        <v>4</v>
      </c>
      <c r="AZ51" s="37">
        <f t="shared" si="3"/>
        <v>0.8</v>
      </c>
      <c r="BA51" s="38">
        <v>1</v>
      </c>
      <c r="BB51" s="39">
        <v>0</v>
      </c>
      <c r="BC51" s="40">
        <v>0</v>
      </c>
      <c r="BD51" s="41">
        <v>1</v>
      </c>
      <c r="BE51" s="42">
        <v>0</v>
      </c>
    </row>
    <row r="52" spans="1:57" x14ac:dyDescent="0.2">
      <c r="A52" s="21">
        <v>45927</v>
      </c>
      <c r="B52" s="22">
        <v>6</v>
      </c>
      <c r="C52" s="22" t="s">
        <v>73</v>
      </c>
      <c r="D52" s="23">
        <v>3</v>
      </c>
      <c r="E52" s="23">
        <v>1</v>
      </c>
      <c r="F52" s="22" t="s">
        <v>74</v>
      </c>
      <c r="H52" s="25">
        <v>44</v>
      </c>
      <c r="I52" s="26">
        <v>56</v>
      </c>
      <c r="J52" s="27">
        <v>2.02</v>
      </c>
      <c r="K52" s="28">
        <v>2.08</v>
      </c>
      <c r="L52" s="29">
        <v>6</v>
      </c>
      <c r="M52" s="26">
        <v>4</v>
      </c>
      <c r="N52" s="29">
        <v>10</v>
      </c>
      <c r="O52" s="26">
        <v>14</v>
      </c>
      <c r="P52" s="29">
        <v>5</v>
      </c>
      <c r="Q52" s="26">
        <v>5</v>
      </c>
      <c r="R52" s="29">
        <v>2</v>
      </c>
      <c r="S52" s="26">
        <v>1</v>
      </c>
      <c r="T52" s="27">
        <v>1.43</v>
      </c>
      <c r="U52" s="30">
        <v>0.03</v>
      </c>
      <c r="V52" s="31">
        <v>4</v>
      </c>
      <c r="W52" s="26">
        <v>2</v>
      </c>
      <c r="X52" s="29">
        <v>14</v>
      </c>
      <c r="Y52" s="26">
        <v>10</v>
      </c>
      <c r="Z52" s="29">
        <v>359</v>
      </c>
      <c r="AA52" s="26">
        <v>458</v>
      </c>
      <c r="AB52" s="29">
        <v>14</v>
      </c>
      <c r="AC52" s="26">
        <v>16</v>
      </c>
      <c r="AD52" s="29">
        <v>10</v>
      </c>
      <c r="AE52" s="26">
        <v>13</v>
      </c>
      <c r="AF52" s="29">
        <v>2</v>
      </c>
      <c r="AG52" s="26">
        <v>2</v>
      </c>
      <c r="AH52" s="29">
        <v>0</v>
      </c>
      <c r="AI52" s="26">
        <v>0</v>
      </c>
      <c r="AJ52" s="29">
        <v>0</v>
      </c>
      <c r="AK52" s="32">
        <v>1</v>
      </c>
      <c r="AL52" s="33">
        <v>8</v>
      </c>
      <c r="AM52" s="34">
        <f t="shared" si="0"/>
        <v>0.8</v>
      </c>
      <c r="AN52" s="35">
        <v>0</v>
      </c>
      <c r="AO52" s="35">
        <v>1</v>
      </c>
      <c r="AP52" s="35">
        <v>1</v>
      </c>
      <c r="AQ52" s="35">
        <v>7</v>
      </c>
      <c r="AR52" s="36">
        <f t="shared" si="1"/>
        <v>0.7</v>
      </c>
      <c r="AS52" s="35">
        <v>3</v>
      </c>
      <c r="AT52" s="22">
        <v>6</v>
      </c>
      <c r="AU52" s="37">
        <f t="shared" si="2"/>
        <v>0.42857142857142855</v>
      </c>
      <c r="AV52" s="22">
        <v>0</v>
      </c>
      <c r="AW52" s="22">
        <v>4</v>
      </c>
      <c r="AX52" s="22">
        <v>4</v>
      </c>
      <c r="AY52" s="22">
        <v>9</v>
      </c>
      <c r="AZ52" s="37">
        <f t="shared" si="3"/>
        <v>0.6428571428571429</v>
      </c>
      <c r="BA52" s="38">
        <v>5</v>
      </c>
      <c r="BB52" s="39">
        <v>0</v>
      </c>
      <c r="BC52" s="40">
        <v>0</v>
      </c>
      <c r="BD52" s="41">
        <v>0</v>
      </c>
      <c r="BE52" s="42">
        <v>0</v>
      </c>
    </row>
    <row r="53" spans="1:57" x14ac:dyDescent="0.2">
      <c r="A53" s="21">
        <v>45927</v>
      </c>
      <c r="B53" s="22">
        <v>6</v>
      </c>
      <c r="C53" s="26" t="s">
        <v>70</v>
      </c>
      <c r="D53" s="23">
        <v>1</v>
      </c>
      <c r="E53" s="23">
        <v>3</v>
      </c>
      <c r="F53" s="22" t="s">
        <v>62</v>
      </c>
      <c r="G53" s="43" t="s">
        <v>84</v>
      </c>
      <c r="H53" s="25">
        <v>60</v>
      </c>
      <c r="I53" s="26">
        <v>40</v>
      </c>
      <c r="J53" s="27">
        <v>1.81</v>
      </c>
      <c r="K53" s="28">
        <v>2.2799999999999998</v>
      </c>
      <c r="L53" s="29">
        <v>2</v>
      </c>
      <c r="M53" s="26">
        <v>4</v>
      </c>
      <c r="N53" s="29">
        <v>13</v>
      </c>
      <c r="O53" s="26">
        <v>12</v>
      </c>
      <c r="P53" s="29">
        <v>0</v>
      </c>
      <c r="Q53" s="26">
        <v>2</v>
      </c>
      <c r="R53" s="29">
        <v>0</v>
      </c>
      <c r="S53" s="26">
        <v>2</v>
      </c>
      <c r="T53" s="27">
        <v>-1.23</v>
      </c>
      <c r="U53" s="30">
        <v>1.1200000000000001</v>
      </c>
      <c r="V53" s="31">
        <v>5</v>
      </c>
      <c r="W53" s="26">
        <v>7</v>
      </c>
      <c r="X53" s="29">
        <v>9</v>
      </c>
      <c r="Y53" s="26">
        <v>16</v>
      </c>
      <c r="Z53" s="29">
        <v>470</v>
      </c>
      <c r="AA53" s="26">
        <v>316</v>
      </c>
      <c r="AB53" s="29">
        <v>16</v>
      </c>
      <c r="AC53" s="26">
        <v>9</v>
      </c>
      <c r="AD53" s="29">
        <v>3</v>
      </c>
      <c r="AE53" s="26">
        <v>5</v>
      </c>
      <c r="AF53" s="29">
        <v>1</v>
      </c>
      <c r="AG53" s="26">
        <v>0</v>
      </c>
      <c r="AH53" s="29">
        <v>1</v>
      </c>
      <c r="AI53" s="26">
        <v>0</v>
      </c>
      <c r="AJ53" s="29">
        <v>0</v>
      </c>
      <c r="AK53" s="32">
        <v>0</v>
      </c>
      <c r="AL53" s="33">
        <v>3</v>
      </c>
      <c r="AM53" s="34">
        <f t="shared" si="0"/>
        <v>0.23076923076923078</v>
      </c>
      <c r="AN53" s="35">
        <v>0</v>
      </c>
      <c r="AO53" s="35">
        <v>4</v>
      </c>
      <c r="AP53" s="35">
        <v>6</v>
      </c>
      <c r="AQ53" s="35">
        <v>7</v>
      </c>
      <c r="AR53" s="36">
        <f t="shared" si="1"/>
        <v>0.53846153846153844</v>
      </c>
      <c r="AS53" s="35">
        <v>6</v>
      </c>
      <c r="AT53" s="22">
        <v>3</v>
      </c>
      <c r="AU53" s="37">
        <f t="shared" si="2"/>
        <v>0.25</v>
      </c>
      <c r="AV53" s="22">
        <v>0</v>
      </c>
      <c r="AW53" s="22">
        <v>7</v>
      </c>
      <c r="AX53" s="22">
        <v>2</v>
      </c>
      <c r="AY53" s="22">
        <v>8</v>
      </c>
      <c r="AZ53" s="37">
        <f t="shared" si="3"/>
        <v>0.66666666666666663</v>
      </c>
      <c r="BA53" s="38">
        <v>4</v>
      </c>
      <c r="BB53" s="39">
        <v>1</v>
      </c>
      <c r="BC53" s="40">
        <v>1</v>
      </c>
      <c r="BD53" s="41">
        <v>0</v>
      </c>
      <c r="BE53" s="42">
        <v>0</v>
      </c>
    </row>
    <row r="54" spans="1:57" x14ac:dyDescent="0.2">
      <c r="A54" s="21">
        <v>45927</v>
      </c>
      <c r="B54" s="22">
        <v>6</v>
      </c>
      <c r="C54" s="22" t="s">
        <v>71</v>
      </c>
      <c r="D54" s="23">
        <v>2</v>
      </c>
      <c r="E54" s="23">
        <v>1</v>
      </c>
      <c r="F54" s="22" t="s">
        <v>57</v>
      </c>
      <c r="H54" s="25">
        <v>28</v>
      </c>
      <c r="I54" s="26">
        <v>72</v>
      </c>
      <c r="J54" s="27">
        <v>2.92</v>
      </c>
      <c r="K54" s="28">
        <v>2.14</v>
      </c>
      <c r="L54" s="29">
        <v>7</v>
      </c>
      <c r="M54" s="26">
        <v>6</v>
      </c>
      <c r="N54" s="29">
        <v>16</v>
      </c>
      <c r="O54" s="26">
        <v>20</v>
      </c>
      <c r="P54" s="29">
        <v>3</v>
      </c>
      <c r="Q54" s="26">
        <v>5</v>
      </c>
      <c r="R54" s="29">
        <v>0</v>
      </c>
      <c r="S54" s="26">
        <v>1</v>
      </c>
      <c r="T54" s="27">
        <v>0.79</v>
      </c>
      <c r="U54" s="30">
        <v>0.65</v>
      </c>
      <c r="V54" s="31">
        <v>2</v>
      </c>
      <c r="W54" s="26">
        <v>6</v>
      </c>
      <c r="X54" s="29">
        <v>10</v>
      </c>
      <c r="Y54" s="26">
        <v>8</v>
      </c>
      <c r="Z54" s="29">
        <v>270</v>
      </c>
      <c r="AA54" s="26">
        <v>688</v>
      </c>
      <c r="AB54" s="29">
        <v>24</v>
      </c>
      <c r="AC54" s="26">
        <v>7</v>
      </c>
      <c r="AD54" s="29">
        <v>8</v>
      </c>
      <c r="AE54" s="26">
        <v>10</v>
      </c>
      <c r="AF54" s="29">
        <v>1</v>
      </c>
      <c r="AG54" s="26">
        <v>3</v>
      </c>
      <c r="AH54" s="29">
        <v>0</v>
      </c>
      <c r="AI54" s="26">
        <v>0</v>
      </c>
      <c r="AJ54" s="29">
        <v>0</v>
      </c>
      <c r="AK54" s="32">
        <v>0</v>
      </c>
      <c r="AL54" s="33">
        <v>7</v>
      </c>
      <c r="AM54" s="34">
        <f t="shared" si="0"/>
        <v>0.4375</v>
      </c>
      <c r="AN54" s="35">
        <v>1</v>
      </c>
      <c r="AO54" s="35">
        <v>7</v>
      </c>
      <c r="AP54" s="35">
        <v>2</v>
      </c>
      <c r="AQ54" s="35">
        <v>12</v>
      </c>
      <c r="AR54" s="36">
        <f t="shared" si="1"/>
        <v>0.75</v>
      </c>
      <c r="AS54" s="35">
        <v>4</v>
      </c>
      <c r="AT54" s="22">
        <v>4</v>
      </c>
      <c r="AU54" s="37">
        <f t="shared" si="2"/>
        <v>0.2</v>
      </c>
      <c r="AV54" s="22">
        <v>0</v>
      </c>
      <c r="AW54" s="22">
        <v>11</v>
      </c>
      <c r="AX54" s="22">
        <v>5</v>
      </c>
      <c r="AY54" s="22">
        <v>13</v>
      </c>
      <c r="AZ54" s="37">
        <f t="shared" si="3"/>
        <v>0.65</v>
      </c>
      <c r="BA54" s="38">
        <v>7</v>
      </c>
      <c r="BB54" s="39">
        <v>2</v>
      </c>
      <c r="BC54" s="40">
        <v>1</v>
      </c>
      <c r="BD54" s="41">
        <v>2</v>
      </c>
      <c r="BE54" s="42">
        <v>0</v>
      </c>
    </row>
    <row r="55" spans="1:57" x14ac:dyDescent="0.2">
      <c r="A55" s="21">
        <v>45927</v>
      </c>
      <c r="B55" s="22">
        <v>6</v>
      </c>
      <c r="C55" s="22" t="s">
        <v>76</v>
      </c>
      <c r="D55" s="23">
        <v>2</v>
      </c>
      <c r="E55" s="23">
        <v>2</v>
      </c>
      <c r="F55" s="22" t="s">
        <v>58</v>
      </c>
      <c r="H55" s="25">
        <v>41</v>
      </c>
      <c r="I55" s="26">
        <v>59</v>
      </c>
      <c r="J55" s="27">
        <v>1.84</v>
      </c>
      <c r="K55" s="28">
        <v>0.82</v>
      </c>
      <c r="L55" s="29">
        <v>3</v>
      </c>
      <c r="M55" s="26">
        <v>1</v>
      </c>
      <c r="N55" s="29">
        <v>19</v>
      </c>
      <c r="O55" s="26">
        <v>12</v>
      </c>
      <c r="P55" s="29">
        <v>3</v>
      </c>
      <c r="Q55" s="26">
        <v>6</v>
      </c>
      <c r="R55" s="29">
        <v>0</v>
      </c>
      <c r="S55" s="26">
        <v>2</v>
      </c>
      <c r="T55" s="27">
        <v>-0.69</v>
      </c>
      <c r="U55" s="30">
        <v>0.04</v>
      </c>
      <c r="V55" s="31">
        <v>7</v>
      </c>
      <c r="W55" s="26">
        <v>4</v>
      </c>
      <c r="X55" s="29">
        <v>12</v>
      </c>
      <c r="Y55" s="26">
        <v>13</v>
      </c>
      <c r="Z55" s="29">
        <v>357</v>
      </c>
      <c r="AA55" s="26">
        <v>509</v>
      </c>
      <c r="AB55" s="29">
        <v>27</v>
      </c>
      <c r="AC55" s="26">
        <v>23</v>
      </c>
      <c r="AD55" s="29">
        <v>13</v>
      </c>
      <c r="AE55" s="26">
        <v>12</v>
      </c>
      <c r="AF55" s="29">
        <v>2</v>
      </c>
      <c r="AG55" s="26">
        <v>2</v>
      </c>
      <c r="AH55" s="29">
        <v>0</v>
      </c>
      <c r="AI55" s="26">
        <v>0</v>
      </c>
      <c r="AJ55" s="29">
        <v>0</v>
      </c>
      <c r="AK55" s="32">
        <v>0</v>
      </c>
      <c r="AL55" s="33">
        <v>8</v>
      </c>
      <c r="AM55" s="34">
        <f t="shared" si="0"/>
        <v>0.42105263157894735</v>
      </c>
      <c r="AN55" s="35">
        <v>0</v>
      </c>
      <c r="AO55" s="35">
        <v>5</v>
      </c>
      <c r="AP55" s="35">
        <v>6</v>
      </c>
      <c r="AQ55" s="35">
        <v>16</v>
      </c>
      <c r="AR55" s="36">
        <f t="shared" si="1"/>
        <v>0.84210526315789469</v>
      </c>
      <c r="AS55" s="35">
        <v>3</v>
      </c>
      <c r="AT55" s="22">
        <v>5</v>
      </c>
      <c r="AU55" s="37">
        <f t="shared" si="2"/>
        <v>0.41666666666666669</v>
      </c>
      <c r="AV55" s="22">
        <v>0</v>
      </c>
      <c r="AW55" s="22">
        <v>4</v>
      </c>
      <c r="AX55" s="22">
        <v>3</v>
      </c>
      <c r="AY55" s="22">
        <v>7</v>
      </c>
      <c r="AZ55" s="37">
        <f t="shared" si="3"/>
        <v>0.58333333333333337</v>
      </c>
      <c r="BA55" s="38">
        <v>5</v>
      </c>
      <c r="BB55" s="39">
        <v>0</v>
      </c>
      <c r="BC55" s="40">
        <v>0</v>
      </c>
      <c r="BD55" s="41">
        <v>0</v>
      </c>
      <c r="BE55" s="42">
        <v>0</v>
      </c>
    </row>
    <row r="56" spans="1:57" x14ac:dyDescent="0.2">
      <c r="A56" s="21">
        <v>45927</v>
      </c>
      <c r="B56" s="22">
        <v>6</v>
      </c>
      <c r="C56" s="22" t="s">
        <v>69</v>
      </c>
      <c r="D56" s="23">
        <v>5</v>
      </c>
      <c r="E56" s="23">
        <v>1</v>
      </c>
      <c r="F56" s="22" t="s">
        <v>67</v>
      </c>
      <c r="H56" s="25">
        <v>69</v>
      </c>
      <c r="I56" s="26">
        <v>31</v>
      </c>
      <c r="J56" s="27">
        <v>2.0299999999999998</v>
      </c>
      <c r="K56" s="28">
        <v>0.41</v>
      </c>
      <c r="L56" s="29">
        <v>5</v>
      </c>
      <c r="M56" s="26">
        <v>0</v>
      </c>
      <c r="N56" s="29">
        <v>21</v>
      </c>
      <c r="O56" s="26">
        <v>9</v>
      </c>
      <c r="P56" s="29">
        <v>1</v>
      </c>
      <c r="Q56" s="26">
        <v>5</v>
      </c>
      <c r="R56" s="29">
        <v>1</v>
      </c>
      <c r="S56" s="26">
        <v>1</v>
      </c>
      <c r="T56" s="27">
        <v>-0.39</v>
      </c>
      <c r="U56" s="30">
        <v>-2.25</v>
      </c>
      <c r="V56" s="31">
        <v>10</v>
      </c>
      <c r="W56" s="26">
        <v>2</v>
      </c>
      <c r="X56" s="29">
        <v>5</v>
      </c>
      <c r="Y56" s="26">
        <v>7</v>
      </c>
      <c r="Z56" s="29">
        <v>638</v>
      </c>
      <c r="AA56" s="26">
        <v>295</v>
      </c>
      <c r="AB56" s="29">
        <v>8</v>
      </c>
      <c r="AC56" s="26">
        <v>20</v>
      </c>
      <c r="AD56" s="29">
        <v>7</v>
      </c>
      <c r="AE56" s="26">
        <v>5</v>
      </c>
      <c r="AF56" s="29">
        <v>1</v>
      </c>
      <c r="AG56" s="26">
        <v>3</v>
      </c>
      <c r="AH56" s="29">
        <v>0</v>
      </c>
      <c r="AI56" s="26">
        <v>0</v>
      </c>
      <c r="AJ56" s="29">
        <v>0</v>
      </c>
      <c r="AK56" s="32">
        <v>0</v>
      </c>
      <c r="AL56" s="33">
        <v>8</v>
      </c>
      <c r="AM56" s="34">
        <f t="shared" si="0"/>
        <v>0.38095238095238093</v>
      </c>
      <c r="AN56" s="35">
        <v>0</v>
      </c>
      <c r="AO56" s="35">
        <v>7</v>
      </c>
      <c r="AP56" s="35">
        <v>6</v>
      </c>
      <c r="AQ56" s="35">
        <v>13</v>
      </c>
      <c r="AR56" s="36">
        <f t="shared" si="1"/>
        <v>0.61904761904761907</v>
      </c>
      <c r="AS56" s="35">
        <v>8</v>
      </c>
      <c r="AT56" s="22">
        <v>2</v>
      </c>
      <c r="AU56" s="37">
        <f t="shared" si="2"/>
        <v>0.22222222222222221</v>
      </c>
      <c r="AV56" s="22">
        <v>0</v>
      </c>
      <c r="AW56" s="22">
        <v>2</v>
      </c>
      <c r="AX56" s="22">
        <v>5</v>
      </c>
      <c r="AY56" s="22">
        <v>5</v>
      </c>
      <c r="AZ56" s="37">
        <f t="shared" si="3"/>
        <v>0.55555555555555558</v>
      </c>
      <c r="BA56" s="38">
        <v>4</v>
      </c>
      <c r="BB56" s="39">
        <v>0</v>
      </c>
      <c r="BC56" s="40">
        <v>0</v>
      </c>
      <c r="BD56" s="41">
        <v>1</v>
      </c>
      <c r="BE56" s="42">
        <v>2</v>
      </c>
    </row>
    <row r="57" spans="1:57" x14ac:dyDescent="0.2">
      <c r="A57" s="21">
        <v>45927</v>
      </c>
      <c r="B57" s="22">
        <v>6</v>
      </c>
      <c r="C57" s="22" t="s">
        <v>72</v>
      </c>
      <c r="D57" s="23">
        <v>0</v>
      </c>
      <c r="E57" s="23">
        <v>1</v>
      </c>
      <c r="F57" s="22" t="s">
        <v>64</v>
      </c>
      <c r="H57" s="25">
        <v>65</v>
      </c>
      <c r="I57" s="26">
        <v>35</v>
      </c>
      <c r="J57" s="27">
        <v>1.68</v>
      </c>
      <c r="K57" s="28">
        <v>1.19</v>
      </c>
      <c r="L57" s="29">
        <v>1</v>
      </c>
      <c r="M57" s="26">
        <v>3</v>
      </c>
      <c r="N57" s="29">
        <v>22</v>
      </c>
      <c r="O57" s="26">
        <v>11</v>
      </c>
      <c r="P57" s="29">
        <v>2</v>
      </c>
      <c r="Q57" s="26">
        <v>6</v>
      </c>
      <c r="R57" s="29">
        <v>0</v>
      </c>
      <c r="S57" s="26">
        <v>2</v>
      </c>
      <c r="T57" s="27">
        <v>-0.13</v>
      </c>
      <c r="U57" s="30">
        <v>1.69</v>
      </c>
      <c r="V57" s="31">
        <v>7</v>
      </c>
      <c r="W57" s="26">
        <v>4</v>
      </c>
      <c r="X57" s="29">
        <v>11</v>
      </c>
      <c r="Y57" s="26">
        <v>6</v>
      </c>
      <c r="Z57" s="29">
        <v>578</v>
      </c>
      <c r="AA57" s="26">
        <v>318</v>
      </c>
      <c r="AB57" s="29">
        <v>16</v>
      </c>
      <c r="AC57" s="26">
        <v>10</v>
      </c>
      <c r="AD57" s="29">
        <v>6</v>
      </c>
      <c r="AE57" s="26">
        <v>11</v>
      </c>
      <c r="AF57" s="29">
        <v>4</v>
      </c>
      <c r="AG57" s="26">
        <v>2</v>
      </c>
      <c r="AH57" s="29">
        <v>0</v>
      </c>
      <c r="AI57" s="26">
        <v>0</v>
      </c>
      <c r="AJ57" s="29">
        <v>0</v>
      </c>
      <c r="AK57" s="32">
        <v>0</v>
      </c>
      <c r="AL57" s="33">
        <v>6</v>
      </c>
      <c r="AM57" s="34">
        <f t="shared" si="0"/>
        <v>0.27272727272727271</v>
      </c>
      <c r="AN57" s="35">
        <v>0</v>
      </c>
      <c r="AO57" s="35">
        <v>10</v>
      </c>
      <c r="AP57" s="35">
        <v>6</v>
      </c>
      <c r="AQ57" s="35">
        <v>15</v>
      </c>
      <c r="AR57" s="36">
        <f t="shared" si="1"/>
        <v>0.68181818181818177</v>
      </c>
      <c r="AS57" s="35">
        <v>7</v>
      </c>
      <c r="AT57" s="22">
        <v>3</v>
      </c>
      <c r="AU57" s="37">
        <f t="shared" si="2"/>
        <v>0.27272727272727271</v>
      </c>
      <c r="AV57" s="22">
        <v>0</v>
      </c>
      <c r="AW57" s="22">
        <v>5</v>
      </c>
      <c r="AX57" s="22">
        <v>3</v>
      </c>
      <c r="AY57" s="22">
        <v>8</v>
      </c>
      <c r="AZ57" s="37">
        <f t="shared" si="3"/>
        <v>0.72727272727272729</v>
      </c>
      <c r="BA57" s="38">
        <v>3</v>
      </c>
      <c r="BB57" s="39">
        <v>2</v>
      </c>
      <c r="BC57" s="40">
        <v>0</v>
      </c>
      <c r="BD57" s="41">
        <v>1</v>
      </c>
      <c r="BE57" s="42">
        <v>0</v>
      </c>
    </row>
    <row r="58" spans="1:57" x14ac:dyDescent="0.2">
      <c r="A58" s="21">
        <v>45927</v>
      </c>
      <c r="B58" s="22">
        <v>6</v>
      </c>
      <c r="C58" s="22" t="s">
        <v>66</v>
      </c>
      <c r="D58" s="23">
        <v>1</v>
      </c>
      <c r="E58" s="23">
        <v>1</v>
      </c>
      <c r="F58" s="22" t="s">
        <v>68</v>
      </c>
      <c r="H58" s="25">
        <v>51</v>
      </c>
      <c r="I58" s="26">
        <v>49</v>
      </c>
      <c r="J58" s="27">
        <v>0.87</v>
      </c>
      <c r="K58" s="28">
        <v>1.1499999999999999</v>
      </c>
      <c r="L58" s="29">
        <v>1</v>
      </c>
      <c r="M58" s="26">
        <v>1</v>
      </c>
      <c r="N58" s="29">
        <v>10</v>
      </c>
      <c r="O58" s="26">
        <v>9</v>
      </c>
      <c r="P58" s="29">
        <v>2</v>
      </c>
      <c r="Q58" s="26">
        <v>2</v>
      </c>
      <c r="R58" s="29">
        <v>0</v>
      </c>
      <c r="S58" s="26">
        <v>0</v>
      </c>
      <c r="T58" s="27">
        <v>0.43</v>
      </c>
      <c r="U58" s="30">
        <v>0.5</v>
      </c>
      <c r="V58" s="31">
        <v>10</v>
      </c>
      <c r="W58" s="26">
        <v>9</v>
      </c>
      <c r="X58" s="29">
        <v>9</v>
      </c>
      <c r="Y58" s="26">
        <v>11</v>
      </c>
      <c r="Z58" s="29">
        <v>398</v>
      </c>
      <c r="AA58" s="26">
        <v>394</v>
      </c>
      <c r="AB58" s="29">
        <v>17</v>
      </c>
      <c r="AC58" s="26">
        <v>31</v>
      </c>
      <c r="AD58" s="29">
        <v>11</v>
      </c>
      <c r="AE58" s="26">
        <v>9</v>
      </c>
      <c r="AF58" s="29">
        <v>3</v>
      </c>
      <c r="AG58" s="26">
        <v>2</v>
      </c>
      <c r="AH58" s="29">
        <v>0</v>
      </c>
      <c r="AI58" s="26">
        <v>0</v>
      </c>
      <c r="AJ58" s="29">
        <v>0</v>
      </c>
      <c r="AK58" s="32">
        <v>0</v>
      </c>
      <c r="AL58" s="33">
        <v>3</v>
      </c>
      <c r="AM58" s="34">
        <f t="shared" si="0"/>
        <v>0.3</v>
      </c>
      <c r="AN58" s="35">
        <v>0</v>
      </c>
      <c r="AO58" s="35">
        <v>5</v>
      </c>
      <c r="AP58" s="35">
        <v>2</v>
      </c>
      <c r="AQ58" s="35">
        <v>7</v>
      </c>
      <c r="AR58" s="36">
        <f t="shared" si="1"/>
        <v>0.7</v>
      </c>
      <c r="AS58" s="35">
        <v>3</v>
      </c>
      <c r="AT58" s="22">
        <v>3</v>
      </c>
      <c r="AU58" s="37">
        <f t="shared" si="2"/>
        <v>0.33333333333333331</v>
      </c>
      <c r="AV58" s="22">
        <v>1</v>
      </c>
      <c r="AW58" s="22">
        <v>5</v>
      </c>
      <c r="AX58" s="22">
        <v>1</v>
      </c>
      <c r="AY58" s="22">
        <v>6</v>
      </c>
      <c r="AZ58" s="37">
        <f t="shared" si="3"/>
        <v>0.66666666666666663</v>
      </c>
      <c r="BA58" s="38">
        <v>3</v>
      </c>
      <c r="BB58" s="39">
        <v>0</v>
      </c>
      <c r="BC58" s="40">
        <v>0</v>
      </c>
      <c r="BD58" s="41">
        <v>0</v>
      </c>
      <c r="BE58" s="42">
        <v>0</v>
      </c>
    </row>
    <row r="59" spans="1:57" x14ac:dyDescent="0.2">
      <c r="A59" s="21">
        <v>45928</v>
      </c>
      <c r="B59" s="22">
        <v>6</v>
      </c>
      <c r="C59" s="22" t="s">
        <v>59</v>
      </c>
      <c r="D59" s="23">
        <v>3</v>
      </c>
      <c r="E59" s="23">
        <v>1</v>
      </c>
      <c r="F59" s="22" t="s">
        <v>63</v>
      </c>
      <c r="H59" s="25">
        <v>48</v>
      </c>
      <c r="I59" s="26">
        <v>52</v>
      </c>
      <c r="J59" s="27">
        <v>1.1100000000000001</v>
      </c>
      <c r="K59" s="28">
        <v>0.92</v>
      </c>
      <c r="L59" s="29">
        <v>3</v>
      </c>
      <c r="M59" s="26">
        <v>1</v>
      </c>
      <c r="N59" s="29">
        <v>9</v>
      </c>
      <c r="O59" s="26">
        <v>11</v>
      </c>
      <c r="P59" s="29">
        <v>3</v>
      </c>
      <c r="Q59" s="26">
        <v>1</v>
      </c>
      <c r="R59" s="29">
        <v>1</v>
      </c>
      <c r="S59" s="26">
        <v>0</v>
      </c>
      <c r="T59" s="27">
        <v>-0.24</v>
      </c>
      <c r="U59" s="30">
        <v>-1.3</v>
      </c>
      <c r="V59" s="31">
        <v>2</v>
      </c>
      <c r="W59" s="26">
        <v>8</v>
      </c>
      <c r="X59" s="29">
        <v>10</v>
      </c>
      <c r="Y59" s="26">
        <v>13</v>
      </c>
      <c r="Z59" s="29">
        <v>403</v>
      </c>
      <c r="AA59" s="26">
        <v>414</v>
      </c>
      <c r="AB59" s="29">
        <v>10</v>
      </c>
      <c r="AC59" s="26">
        <v>16</v>
      </c>
      <c r="AD59" s="29">
        <v>13</v>
      </c>
      <c r="AE59" s="26">
        <v>10</v>
      </c>
      <c r="AF59" s="29">
        <v>1</v>
      </c>
      <c r="AG59" s="26">
        <v>4</v>
      </c>
      <c r="AH59" s="29">
        <v>0</v>
      </c>
      <c r="AI59" s="26">
        <v>0</v>
      </c>
      <c r="AJ59" s="29">
        <v>0</v>
      </c>
      <c r="AK59" s="32">
        <v>0</v>
      </c>
      <c r="AL59" s="33">
        <v>4</v>
      </c>
      <c r="AM59" s="34">
        <f t="shared" si="0"/>
        <v>0.44444444444444442</v>
      </c>
      <c r="AN59" s="35">
        <v>0</v>
      </c>
      <c r="AO59" s="35">
        <v>3</v>
      </c>
      <c r="AP59" s="35">
        <v>2</v>
      </c>
      <c r="AQ59" s="35">
        <v>4</v>
      </c>
      <c r="AR59" s="36">
        <f t="shared" si="1"/>
        <v>0.44444444444444442</v>
      </c>
      <c r="AS59" s="35">
        <v>5</v>
      </c>
      <c r="AT59" s="22">
        <v>4</v>
      </c>
      <c r="AU59" s="37">
        <f t="shared" si="2"/>
        <v>0.36363636363636365</v>
      </c>
      <c r="AV59" s="22">
        <v>0</v>
      </c>
      <c r="AW59" s="22">
        <v>4</v>
      </c>
      <c r="AX59" s="22">
        <v>3</v>
      </c>
      <c r="AY59" s="22">
        <v>9</v>
      </c>
      <c r="AZ59" s="37">
        <f t="shared" si="3"/>
        <v>0.81818181818181823</v>
      </c>
      <c r="BA59" s="38">
        <v>2</v>
      </c>
      <c r="BB59" s="39">
        <v>1</v>
      </c>
      <c r="BC59" s="40">
        <v>0</v>
      </c>
      <c r="BD59" s="41">
        <v>1</v>
      </c>
      <c r="BE59" s="42">
        <v>0</v>
      </c>
    </row>
    <row r="60" spans="1:57" x14ac:dyDescent="0.2">
      <c r="A60" s="21">
        <v>45928</v>
      </c>
      <c r="B60" s="22">
        <v>6</v>
      </c>
      <c r="C60" s="22" t="s">
        <v>60</v>
      </c>
      <c r="D60" s="23">
        <v>1</v>
      </c>
      <c r="E60" s="23">
        <v>2</v>
      </c>
      <c r="F60" s="22" t="s">
        <v>75</v>
      </c>
      <c r="H60" s="25">
        <v>37</v>
      </c>
      <c r="I60" s="26">
        <v>63</v>
      </c>
      <c r="J60" s="27">
        <v>0.61</v>
      </c>
      <c r="K60" s="28">
        <v>2.04</v>
      </c>
      <c r="L60" s="29">
        <v>1</v>
      </c>
      <c r="M60" s="26">
        <v>4</v>
      </c>
      <c r="N60" s="29">
        <v>8</v>
      </c>
      <c r="O60" s="26">
        <v>20</v>
      </c>
      <c r="P60" s="29">
        <v>5</v>
      </c>
      <c r="Q60" s="26">
        <v>2</v>
      </c>
      <c r="R60" s="29">
        <v>4</v>
      </c>
      <c r="S60" s="26">
        <v>0</v>
      </c>
      <c r="T60" s="27">
        <v>0.73</v>
      </c>
      <c r="U60" s="30">
        <v>-7.0000000000000007E-2</v>
      </c>
      <c r="V60" s="31">
        <v>7</v>
      </c>
      <c r="W60" s="26">
        <v>12</v>
      </c>
      <c r="X60" s="29">
        <v>8</v>
      </c>
      <c r="Y60" s="26">
        <v>9</v>
      </c>
      <c r="Z60" s="29">
        <v>279</v>
      </c>
      <c r="AA60" s="26">
        <v>495</v>
      </c>
      <c r="AB60" s="29">
        <v>12</v>
      </c>
      <c r="AC60" s="26">
        <v>13</v>
      </c>
      <c r="AD60" s="29">
        <v>9</v>
      </c>
      <c r="AE60" s="26">
        <v>8</v>
      </c>
      <c r="AF60" s="29">
        <v>2</v>
      </c>
      <c r="AG60" s="26">
        <v>1</v>
      </c>
      <c r="AH60" s="29">
        <v>0</v>
      </c>
      <c r="AI60" s="26">
        <v>0</v>
      </c>
      <c r="AJ60" s="29">
        <v>0</v>
      </c>
      <c r="AK60" s="32">
        <v>0</v>
      </c>
      <c r="AL60" s="33">
        <v>3</v>
      </c>
      <c r="AM60" s="34">
        <f t="shared" si="0"/>
        <v>0.375</v>
      </c>
      <c r="AN60" s="35">
        <v>0</v>
      </c>
      <c r="AO60" s="35">
        <v>1</v>
      </c>
      <c r="AP60" s="35">
        <v>4</v>
      </c>
      <c r="AQ60" s="35">
        <v>7</v>
      </c>
      <c r="AR60" s="36">
        <f t="shared" si="1"/>
        <v>0.875</v>
      </c>
      <c r="AS60" s="35">
        <v>1</v>
      </c>
      <c r="AT60" s="22">
        <v>7</v>
      </c>
      <c r="AU60" s="37">
        <f t="shared" si="2"/>
        <v>0.35</v>
      </c>
      <c r="AV60" s="22">
        <v>1</v>
      </c>
      <c r="AW60" s="22">
        <v>7</v>
      </c>
      <c r="AX60" s="22">
        <v>6</v>
      </c>
      <c r="AY60" s="22">
        <v>18</v>
      </c>
      <c r="AZ60" s="37">
        <f t="shared" si="3"/>
        <v>0.9</v>
      </c>
      <c r="BA60" s="38">
        <v>2</v>
      </c>
      <c r="BB60" s="39">
        <v>0</v>
      </c>
      <c r="BC60" s="40">
        <v>0</v>
      </c>
      <c r="BD60" s="41">
        <v>0</v>
      </c>
      <c r="BE60" s="42">
        <v>0</v>
      </c>
    </row>
    <row r="61" spans="1:57" x14ac:dyDescent="0.2">
      <c r="A61" s="21">
        <v>45929</v>
      </c>
      <c r="B61" s="22">
        <v>6</v>
      </c>
      <c r="C61" s="22" t="s">
        <v>77</v>
      </c>
      <c r="D61" s="23">
        <v>1</v>
      </c>
      <c r="E61" s="23">
        <v>1</v>
      </c>
      <c r="F61" s="22" t="s">
        <v>65</v>
      </c>
      <c r="H61" s="25">
        <v>52</v>
      </c>
      <c r="I61" s="26">
        <v>48</v>
      </c>
      <c r="J61" s="27">
        <v>0.73</v>
      </c>
      <c r="K61" s="28">
        <v>1.19</v>
      </c>
      <c r="L61" s="29">
        <v>0</v>
      </c>
      <c r="M61" s="26">
        <v>1</v>
      </c>
      <c r="N61" s="29">
        <v>12</v>
      </c>
      <c r="O61" s="26">
        <v>14</v>
      </c>
      <c r="P61" s="29">
        <v>2</v>
      </c>
      <c r="Q61" s="26">
        <v>5</v>
      </c>
      <c r="R61" s="29">
        <v>0</v>
      </c>
      <c r="S61" s="26">
        <v>1</v>
      </c>
      <c r="T61" s="27">
        <v>0.19</v>
      </c>
      <c r="U61" s="30">
        <v>-0.59</v>
      </c>
      <c r="V61" s="31">
        <v>3</v>
      </c>
      <c r="W61" s="26">
        <v>5</v>
      </c>
      <c r="X61" s="29">
        <v>7</v>
      </c>
      <c r="Y61" s="26">
        <v>16</v>
      </c>
      <c r="Z61" s="29">
        <v>447</v>
      </c>
      <c r="AA61" s="26">
        <v>416</v>
      </c>
      <c r="AB61" s="29">
        <v>11</v>
      </c>
      <c r="AC61" s="26">
        <v>16</v>
      </c>
      <c r="AD61" s="29">
        <v>16</v>
      </c>
      <c r="AE61" s="26">
        <v>7</v>
      </c>
      <c r="AF61" s="29">
        <v>3</v>
      </c>
      <c r="AG61" s="26">
        <v>4</v>
      </c>
      <c r="AH61" s="29">
        <v>0</v>
      </c>
      <c r="AI61" s="26">
        <v>0</v>
      </c>
      <c r="AJ61" s="29">
        <v>0</v>
      </c>
      <c r="AK61" s="32">
        <v>0</v>
      </c>
      <c r="AL61" s="33">
        <v>6</v>
      </c>
      <c r="AM61" s="34">
        <f t="shared" si="0"/>
        <v>0.5</v>
      </c>
      <c r="AN61" s="35">
        <v>0</v>
      </c>
      <c r="AO61" s="35">
        <v>3</v>
      </c>
      <c r="AP61" s="35">
        <v>3</v>
      </c>
      <c r="AQ61" s="35">
        <v>9</v>
      </c>
      <c r="AR61" s="36">
        <f t="shared" si="1"/>
        <v>0.75</v>
      </c>
      <c r="AS61" s="35">
        <v>3</v>
      </c>
      <c r="AT61" s="22">
        <v>3</v>
      </c>
      <c r="AU61" s="37">
        <f t="shared" si="2"/>
        <v>0.21428571428571427</v>
      </c>
      <c r="AV61" s="22">
        <v>0</v>
      </c>
      <c r="AW61" s="22">
        <v>5</v>
      </c>
      <c r="AX61" s="22">
        <v>6</v>
      </c>
      <c r="AY61" s="22">
        <v>10</v>
      </c>
      <c r="AZ61" s="37">
        <f t="shared" si="3"/>
        <v>0.7142857142857143</v>
      </c>
      <c r="BA61" s="38">
        <v>4</v>
      </c>
      <c r="BB61" s="39">
        <v>2</v>
      </c>
      <c r="BC61" s="40">
        <v>0</v>
      </c>
      <c r="BD61" s="41">
        <v>0</v>
      </c>
      <c r="BE61" s="42">
        <v>0</v>
      </c>
    </row>
    <row r="62" spans="1:57" x14ac:dyDescent="0.2">
      <c r="A62" s="21">
        <v>45933</v>
      </c>
      <c r="B62" s="22">
        <v>7</v>
      </c>
      <c r="C62" s="22" t="s">
        <v>58</v>
      </c>
      <c r="D62" s="23">
        <v>3</v>
      </c>
      <c r="E62" s="23">
        <v>1</v>
      </c>
      <c r="F62" s="22" t="s">
        <v>63</v>
      </c>
      <c r="H62" s="25">
        <v>54</v>
      </c>
      <c r="I62" s="26">
        <v>46</v>
      </c>
      <c r="J62" s="27">
        <v>1.1200000000000001</v>
      </c>
      <c r="K62" s="28">
        <v>0.88</v>
      </c>
      <c r="L62" s="29">
        <v>1</v>
      </c>
      <c r="M62" s="26">
        <v>1</v>
      </c>
      <c r="N62" s="29">
        <v>11</v>
      </c>
      <c r="O62" s="26">
        <v>12</v>
      </c>
      <c r="P62" s="29">
        <v>1</v>
      </c>
      <c r="Q62" s="26">
        <v>1</v>
      </c>
      <c r="R62" s="29">
        <v>3</v>
      </c>
      <c r="S62" s="26">
        <v>3</v>
      </c>
      <c r="T62" s="27">
        <v>0.06</v>
      </c>
      <c r="U62" s="30">
        <v>-1.19</v>
      </c>
      <c r="V62" s="31">
        <v>4</v>
      </c>
      <c r="W62" s="26">
        <v>3</v>
      </c>
      <c r="X62" s="29">
        <v>8</v>
      </c>
      <c r="Y62" s="26">
        <v>10</v>
      </c>
      <c r="Z62" s="29">
        <v>536</v>
      </c>
      <c r="AA62" s="26">
        <v>473</v>
      </c>
      <c r="AB62" s="29">
        <v>10</v>
      </c>
      <c r="AC62" s="26">
        <v>11</v>
      </c>
      <c r="AD62" s="29">
        <v>10</v>
      </c>
      <c r="AE62" s="26">
        <v>8</v>
      </c>
      <c r="AF62" s="29">
        <v>0</v>
      </c>
      <c r="AG62" s="26">
        <v>1</v>
      </c>
      <c r="AH62" s="29">
        <v>0</v>
      </c>
      <c r="AI62" s="26">
        <v>0</v>
      </c>
      <c r="AJ62" s="29">
        <v>0</v>
      </c>
      <c r="AK62" s="32">
        <v>0</v>
      </c>
      <c r="AL62" s="33">
        <v>6</v>
      </c>
      <c r="AM62" s="34">
        <f t="shared" si="0"/>
        <v>0.54545454545454541</v>
      </c>
      <c r="AN62" s="35">
        <v>0</v>
      </c>
      <c r="AO62" s="35">
        <v>2</v>
      </c>
      <c r="AP62" s="35">
        <v>3</v>
      </c>
      <c r="AQ62" s="35">
        <v>6</v>
      </c>
      <c r="AR62" s="36">
        <f t="shared" si="1"/>
        <v>0.54545454545454541</v>
      </c>
      <c r="AS62" s="35">
        <v>5</v>
      </c>
      <c r="AT62" s="22">
        <v>4</v>
      </c>
      <c r="AU62" s="37">
        <f t="shared" si="2"/>
        <v>0.33333333333333331</v>
      </c>
      <c r="AV62" s="22">
        <v>0</v>
      </c>
      <c r="AW62" s="22">
        <v>4</v>
      </c>
      <c r="AX62" s="22">
        <v>4</v>
      </c>
      <c r="AY62" s="22">
        <v>5</v>
      </c>
      <c r="AZ62" s="37">
        <f t="shared" si="3"/>
        <v>0.41666666666666669</v>
      </c>
      <c r="BA62" s="38">
        <v>7</v>
      </c>
      <c r="BB62" s="39">
        <v>1</v>
      </c>
      <c r="BC62" s="40">
        <v>0</v>
      </c>
      <c r="BD62" s="41">
        <v>1</v>
      </c>
      <c r="BE62" s="42">
        <v>0</v>
      </c>
    </row>
    <row r="63" spans="1:57" x14ac:dyDescent="0.2">
      <c r="A63" s="21">
        <v>45934</v>
      </c>
      <c r="B63" s="22">
        <v>7</v>
      </c>
      <c r="C63" s="22" t="s">
        <v>76</v>
      </c>
      <c r="D63" s="23">
        <v>1</v>
      </c>
      <c r="E63" s="23">
        <v>2</v>
      </c>
      <c r="F63" s="22" t="s">
        <v>66</v>
      </c>
      <c r="H63" s="25">
        <v>57</v>
      </c>
      <c r="I63" s="26">
        <v>43</v>
      </c>
      <c r="J63" s="27">
        <v>1.68</v>
      </c>
      <c r="K63" s="28">
        <v>0.53</v>
      </c>
      <c r="L63" s="29">
        <v>4</v>
      </c>
      <c r="M63" s="26">
        <v>1</v>
      </c>
      <c r="N63" s="29">
        <v>16</v>
      </c>
      <c r="O63" s="26">
        <v>9</v>
      </c>
      <c r="P63" s="29">
        <v>1</v>
      </c>
      <c r="Q63" s="26">
        <v>3</v>
      </c>
      <c r="R63" s="29">
        <v>0</v>
      </c>
      <c r="S63" s="26">
        <v>0</v>
      </c>
      <c r="T63" s="27">
        <v>-1.4</v>
      </c>
      <c r="U63" s="30">
        <v>0.66</v>
      </c>
      <c r="V63" s="31">
        <v>4</v>
      </c>
      <c r="W63" s="26">
        <v>1</v>
      </c>
      <c r="X63" s="29">
        <v>10</v>
      </c>
      <c r="Y63" s="26">
        <v>12</v>
      </c>
      <c r="Z63" s="29">
        <v>478</v>
      </c>
      <c r="AA63" s="26">
        <v>374</v>
      </c>
      <c r="AB63" s="29">
        <v>19</v>
      </c>
      <c r="AC63" s="26">
        <v>15</v>
      </c>
      <c r="AD63" s="29">
        <v>12</v>
      </c>
      <c r="AE63" s="26">
        <v>10</v>
      </c>
      <c r="AF63" s="29">
        <v>2</v>
      </c>
      <c r="AG63" s="26">
        <v>3</v>
      </c>
      <c r="AH63" s="29">
        <v>0</v>
      </c>
      <c r="AI63" s="26">
        <v>0</v>
      </c>
      <c r="AJ63" s="29">
        <v>0</v>
      </c>
      <c r="AK63" s="32">
        <v>0</v>
      </c>
      <c r="AL63" s="33">
        <v>4</v>
      </c>
      <c r="AM63" s="34">
        <f t="shared" si="0"/>
        <v>0.25</v>
      </c>
      <c r="AN63" s="35">
        <v>1</v>
      </c>
      <c r="AO63" s="35">
        <v>10</v>
      </c>
      <c r="AP63" s="35">
        <v>2</v>
      </c>
      <c r="AQ63" s="35">
        <v>11</v>
      </c>
      <c r="AR63" s="36">
        <f t="shared" si="1"/>
        <v>0.6875</v>
      </c>
      <c r="AS63" s="35">
        <v>5</v>
      </c>
      <c r="AT63" s="22">
        <v>3</v>
      </c>
      <c r="AU63" s="37">
        <f t="shared" si="2"/>
        <v>0.33333333333333331</v>
      </c>
      <c r="AV63" s="22">
        <v>1</v>
      </c>
      <c r="AW63" s="22">
        <v>4</v>
      </c>
      <c r="AX63" s="22">
        <v>2</v>
      </c>
      <c r="AY63" s="22">
        <v>4</v>
      </c>
      <c r="AZ63" s="37">
        <f t="shared" si="3"/>
        <v>0.44444444444444442</v>
      </c>
      <c r="BA63" s="38">
        <v>5</v>
      </c>
      <c r="BB63" s="39">
        <v>1</v>
      </c>
      <c r="BC63" s="40">
        <v>1</v>
      </c>
      <c r="BD63" s="41">
        <v>3</v>
      </c>
      <c r="BE63" s="42">
        <v>0</v>
      </c>
    </row>
    <row r="64" spans="1:57" x14ac:dyDescent="0.2">
      <c r="A64" s="21">
        <v>45934</v>
      </c>
      <c r="B64" s="22">
        <v>7</v>
      </c>
      <c r="C64" s="22" t="s">
        <v>75</v>
      </c>
      <c r="D64" s="23">
        <v>2</v>
      </c>
      <c r="E64" s="23">
        <v>0</v>
      </c>
      <c r="F64" s="22" t="s">
        <v>65</v>
      </c>
      <c r="H64" s="25">
        <v>68</v>
      </c>
      <c r="I64" s="26">
        <v>32</v>
      </c>
      <c r="J64" s="27">
        <v>2.77</v>
      </c>
      <c r="K64" s="28">
        <v>0.49</v>
      </c>
      <c r="L64" s="29">
        <v>4</v>
      </c>
      <c r="M64" s="26">
        <v>2</v>
      </c>
      <c r="N64" s="29">
        <v>21</v>
      </c>
      <c r="O64" s="26">
        <v>4</v>
      </c>
      <c r="P64" s="29">
        <v>0</v>
      </c>
      <c r="Q64" s="26">
        <v>3</v>
      </c>
      <c r="R64" s="29">
        <v>0</v>
      </c>
      <c r="S64" s="26">
        <v>0</v>
      </c>
      <c r="T64" s="27">
        <v>0</v>
      </c>
      <c r="U64" s="30">
        <v>0.2</v>
      </c>
      <c r="V64" s="31">
        <v>8</v>
      </c>
      <c r="W64" s="26">
        <v>3</v>
      </c>
      <c r="X64" s="29">
        <v>14</v>
      </c>
      <c r="Y64" s="26">
        <v>14</v>
      </c>
      <c r="Z64" s="29">
        <v>566</v>
      </c>
      <c r="AA64" s="26">
        <v>268</v>
      </c>
      <c r="AB64" s="29">
        <v>23</v>
      </c>
      <c r="AC64" s="26">
        <v>17</v>
      </c>
      <c r="AD64" s="29">
        <v>13</v>
      </c>
      <c r="AE64" s="26">
        <v>14</v>
      </c>
      <c r="AF64" s="29">
        <v>0</v>
      </c>
      <c r="AG64" s="26">
        <v>2</v>
      </c>
      <c r="AH64" s="29">
        <v>0</v>
      </c>
      <c r="AI64" s="26">
        <v>0</v>
      </c>
      <c r="AJ64" s="29">
        <v>1</v>
      </c>
      <c r="AK64" s="32">
        <v>0</v>
      </c>
      <c r="AL64" s="33">
        <v>5</v>
      </c>
      <c r="AM64" s="34">
        <f t="shared" si="0"/>
        <v>0.23809523809523808</v>
      </c>
      <c r="AN64" s="35">
        <v>1</v>
      </c>
      <c r="AO64" s="35">
        <v>7</v>
      </c>
      <c r="AP64" s="35">
        <v>9</v>
      </c>
      <c r="AQ64" s="35">
        <v>16</v>
      </c>
      <c r="AR64" s="36">
        <f t="shared" si="1"/>
        <v>0.76190476190476186</v>
      </c>
      <c r="AS64" s="35">
        <v>5</v>
      </c>
      <c r="AT64" s="22">
        <v>0</v>
      </c>
      <c r="AU64" s="37">
        <f t="shared" si="2"/>
        <v>0</v>
      </c>
      <c r="AV64" s="22">
        <v>0</v>
      </c>
      <c r="AW64" s="22">
        <v>3</v>
      </c>
      <c r="AX64" s="22">
        <v>1</v>
      </c>
      <c r="AY64" s="22">
        <v>4</v>
      </c>
      <c r="AZ64" s="37">
        <f t="shared" si="3"/>
        <v>1</v>
      </c>
      <c r="BA64" s="38">
        <v>0</v>
      </c>
      <c r="BB64" s="39">
        <v>0</v>
      </c>
      <c r="BC64" s="40">
        <v>0</v>
      </c>
      <c r="BD64" s="41">
        <v>2</v>
      </c>
      <c r="BE64" s="42">
        <v>0</v>
      </c>
    </row>
    <row r="65" spans="1:57" x14ac:dyDescent="0.2">
      <c r="A65" s="21">
        <v>45934</v>
      </c>
      <c r="B65" s="22">
        <v>7</v>
      </c>
      <c r="C65" s="22" t="s">
        <v>74</v>
      </c>
      <c r="D65" s="23">
        <v>2</v>
      </c>
      <c r="E65" s="23">
        <v>0</v>
      </c>
      <c r="F65" s="22" t="s">
        <v>64</v>
      </c>
      <c r="H65" s="25">
        <v>50</v>
      </c>
      <c r="I65" s="26">
        <v>50</v>
      </c>
      <c r="J65" s="27">
        <v>1.84</v>
      </c>
      <c r="K65" s="28">
        <v>0.71</v>
      </c>
      <c r="L65" s="29">
        <v>2</v>
      </c>
      <c r="M65" s="26">
        <v>2</v>
      </c>
      <c r="N65" s="29">
        <v>15</v>
      </c>
      <c r="O65" s="26">
        <v>8</v>
      </c>
      <c r="P65" s="29">
        <v>3</v>
      </c>
      <c r="Q65" s="26">
        <v>4</v>
      </c>
      <c r="R65" s="29">
        <v>1</v>
      </c>
      <c r="S65" s="26">
        <v>2</v>
      </c>
      <c r="T65" s="27">
        <v>0.94</v>
      </c>
      <c r="U65" s="30">
        <v>7.0000000000000007E-2</v>
      </c>
      <c r="V65" s="31">
        <v>2</v>
      </c>
      <c r="W65" s="26">
        <v>3</v>
      </c>
      <c r="X65" s="29">
        <v>10</v>
      </c>
      <c r="Y65" s="26">
        <v>12</v>
      </c>
      <c r="Z65" s="29">
        <v>448</v>
      </c>
      <c r="AA65" s="26">
        <v>428</v>
      </c>
      <c r="AB65" s="29">
        <v>17</v>
      </c>
      <c r="AC65" s="26">
        <v>21</v>
      </c>
      <c r="AD65" s="29">
        <v>12</v>
      </c>
      <c r="AE65" s="26">
        <v>10</v>
      </c>
      <c r="AF65" s="29">
        <v>1</v>
      </c>
      <c r="AG65" s="26">
        <v>4</v>
      </c>
      <c r="AH65" s="29">
        <v>0</v>
      </c>
      <c r="AI65" s="26">
        <v>0</v>
      </c>
      <c r="AJ65" s="29">
        <v>0</v>
      </c>
      <c r="AK65" s="32">
        <v>0</v>
      </c>
      <c r="AL65" s="33">
        <v>6</v>
      </c>
      <c r="AM65" s="34">
        <f t="shared" si="0"/>
        <v>0.4</v>
      </c>
      <c r="AN65" s="35">
        <v>0</v>
      </c>
      <c r="AO65" s="35">
        <v>7</v>
      </c>
      <c r="AP65" s="35">
        <v>2</v>
      </c>
      <c r="AQ65" s="35">
        <v>11</v>
      </c>
      <c r="AR65" s="36">
        <f t="shared" si="1"/>
        <v>0.73333333333333328</v>
      </c>
      <c r="AS65" s="35">
        <v>4</v>
      </c>
      <c r="AT65" s="22">
        <v>3</v>
      </c>
      <c r="AU65" s="37">
        <f t="shared" si="2"/>
        <v>0.375</v>
      </c>
      <c r="AV65" s="22">
        <v>0</v>
      </c>
      <c r="AW65" s="22">
        <v>4</v>
      </c>
      <c r="AX65" s="22">
        <v>1</v>
      </c>
      <c r="AY65" s="22">
        <v>5</v>
      </c>
      <c r="AZ65" s="37">
        <f t="shared" si="3"/>
        <v>0.625</v>
      </c>
      <c r="BA65" s="38">
        <v>3</v>
      </c>
      <c r="BB65" s="39">
        <v>0</v>
      </c>
      <c r="BC65" s="40">
        <v>0</v>
      </c>
      <c r="BD65" s="41">
        <v>1</v>
      </c>
      <c r="BE65" s="42">
        <v>0</v>
      </c>
    </row>
    <row r="66" spans="1:57" x14ac:dyDescent="0.2">
      <c r="A66" s="21">
        <v>45934</v>
      </c>
      <c r="B66" s="22">
        <v>7</v>
      </c>
      <c r="C66" s="22" t="s">
        <v>70</v>
      </c>
      <c r="D66" s="23">
        <v>2</v>
      </c>
      <c r="E66" s="23">
        <v>1</v>
      </c>
      <c r="F66" s="22" t="s">
        <v>57</v>
      </c>
      <c r="H66" s="25">
        <v>53</v>
      </c>
      <c r="I66" s="26">
        <v>47</v>
      </c>
      <c r="J66" s="27">
        <v>1</v>
      </c>
      <c r="K66" s="28">
        <v>1.95</v>
      </c>
      <c r="L66" s="29">
        <v>2</v>
      </c>
      <c r="M66" s="26">
        <v>4</v>
      </c>
      <c r="N66" s="29">
        <v>12</v>
      </c>
      <c r="O66" s="26">
        <v>12</v>
      </c>
      <c r="P66" s="29">
        <v>1</v>
      </c>
      <c r="Q66" s="26">
        <v>4</v>
      </c>
      <c r="R66" s="29">
        <v>0</v>
      </c>
      <c r="S66" s="26">
        <v>2</v>
      </c>
      <c r="T66" s="27">
        <v>-0.04</v>
      </c>
      <c r="U66" s="30">
        <v>-0.34</v>
      </c>
      <c r="V66" s="31">
        <v>7</v>
      </c>
      <c r="W66" s="26">
        <v>2</v>
      </c>
      <c r="X66" s="29">
        <v>9</v>
      </c>
      <c r="Y66" s="26">
        <v>8</v>
      </c>
      <c r="Z66" s="29">
        <v>508</v>
      </c>
      <c r="AA66" s="26">
        <v>450</v>
      </c>
      <c r="AB66" s="29">
        <v>21</v>
      </c>
      <c r="AC66" s="26">
        <v>16</v>
      </c>
      <c r="AD66" s="29">
        <v>8</v>
      </c>
      <c r="AE66" s="26">
        <v>9</v>
      </c>
      <c r="AF66" s="29">
        <v>0</v>
      </c>
      <c r="AG66" s="26">
        <v>2</v>
      </c>
      <c r="AH66" s="29">
        <v>0</v>
      </c>
      <c r="AI66" s="26">
        <v>0</v>
      </c>
      <c r="AJ66" s="29">
        <v>0</v>
      </c>
      <c r="AK66" s="32">
        <v>0</v>
      </c>
      <c r="AL66" s="33">
        <v>6</v>
      </c>
      <c r="AM66" s="34">
        <f t="shared" si="0"/>
        <v>0.5</v>
      </c>
      <c r="AN66" s="35">
        <v>2</v>
      </c>
      <c r="AO66" s="35">
        <v>4</v>
      </c>
      <c r="AP66" s="35">
        <v>2</v>
      </c>
      <c r="AQ66" s="35">
        <v>6</v>
      </c>
      <c r="AR66" s="36">
        <f t="shared" si="1"/>
        <v>0.5</v>
      </c>
      <c r="AS66" s="35">
        <v>6</v>
      </c>
      <c r="AT66" s="22">
        <v>2</v>
      </c>
      <c r="AU66" s="37">
        <f t="shared" si="2"/>
        <v>0.16666666666666666</v>
      </c>
      <c r="AV66" s="22">
        <v>0</v>
      </c>
      <c r="AW66" s="22">
        <v>5</v>
      </c>
      <c r="AX66" s="22">
        <v>5</v>
      </c>
      <c r="AY66" s="22">
        <v>8</v>
      </c>
      <c r="AZ66" s="37">
        <f t="shared" si="3"/>
        <v>0.66666666666666663</v>
      </c>
      <c r="BA66" s="38">
        <v>4</v>
      </c>
      <c r="BB66" s="39">
        <v>0</v>
      </c>
      <c r="BC66" s="40">
        <v>0</v>
      </c>
      <c r="BD66" s="41">
        <v>0</v>
      </c>
      <c r="BE66" s="42">
        <v>0</v>
      </c>
    </row>
    <row r="67" spans="1:57" x14ac:dyDescent="0.2">
      <c r="A67" s="21">
        <v>45935</v>
      </c>
      <c r="B67" s="22">
        <v>7</v>
      </c>
      <c r="C67" s="22" t="s">
        <v>59</v>
      </c>
      <c r="D67" s="23">
        <v>2</v>
      </c>
      <c r="E67" s="23">
        <v>1</v>
      </c>
      <c r="F67" s="22" t="s">
        <v>67</v>
      </c>
      <c r="H67" s="25">
        <v>55</v>
      </c>
      <c r="I67" s="26">
        <v>45</v>
      </c>
      <c r="J67" s="27">
        <v>1.1599999999999999</v>
      </c>
      <c r="K67" s="28">
        <v>0.4</v>
      </c>
      <c r="L67" s="29">
        <v>2</v>
      </c>
      <c r="M67" s="26">
        <v>1</v>
      </c>
      <c r="N67" s="29">
        <v>15</v>
      </c>
      <c r="O67" s="26">
        <v>5</v>
      </c>
      <c r="P67" s="29">
        <v>1</v>
      </c>
      <c r="Q67" s="26">
        <v>5</v>
      </c>
      <c r="R67" s="29">
        <v>1</v>
      </c>
      <c r="S67" s="26">
        <v>3</v>
      </c>
      <c r="T67" s="27">
        <v>-0.71</v>
      </c>
      <c r="U67" s="30">
        <v>0.05</v>
      </c>
      <c r="V67" s="31">
        <v>6</v>
      </c>
      <c r="W67" s="26">
        <v>4</v>
      </c>
      <c r="X67" s="29">
        <v>9</v>
      </c>
      <c r="Y67" s="26">
        <v>15</v>
      </c>
      <c r="Z67" s="29">
        <v>496</v>
      </c>
      <c r="AA67" s="26">
        <v>409</v>
      </c>
      <c r="AB67" s="29">
        <v>15</v>
      </c>
      <c r="AC67" s="26">
        <v>27</v>
      </c>
      <c r="AD67" s="29">
        <v>15</v>
      </c>
      <c r="AE67" s="26">
        <v>9</v>
      </c>
      <c r="AF67" s="29">
        <v>3</v>
      </c>
      <c r="AG67" s="26">
        <v>1</v>
      </c>
      <c r="AH67" s="29">
        <v>0</v>
      </c>
      <c r="AI67" s="26">
        <v>0</v>
      </c>
      <c r="AJ67" s="29">
        <v>0</v>
      </c>
      <c r="AK67" s="32">
        <v>0</v>
      </c>
      <c r="AL67" s="33">
        <v>7</v>
      </c>
      <c r="AM67" s="34">
        <f t="shared" ref="AM67:AM100" si="4">AL67/N67</f>
        <v>0.46666666666666667</v>
      </c>
      <c r="AN67" s="35">
        <v>0</v>
      </c>
      <c r="AO67" s="35">
        <v>5</v>
      </c>
      <c r="AP67" s="35">
        <v>3</v>
      </c>
      <c r="AQ67" s="35">
        <v>12</v>
      </c>
      <c r="AR67" s="36">
        <f t="shared" ref="AR67:AR100" si="5">AQ67/N67</f>
        <v>0.8</v>
      </c>
      <c r="AS67" s="35">
        <v>3</v>
      </c>
      <c r="AT67" s="22">
        <v>2</v>
      </c>
      <c r="AU67" s="37">
        <f t="shared" ref="AU67:AU100" si="6">AT67/O67</f>
        <v>0.4</v>
      </c>
      <c r="AV67" s="22">
        <v>0</v>
      </c>
      <c r="AW67" s="22">
        <v>1</v>
      </c>
      <c r="AX67" s="22">
        <v>2</v>
      </c>
      <c r="AY67" s="22">
        <v>3</v>
      </c>
      <c r="AZ67" s="37">
        <f t="shared" ref="AZ67:AZ100" si="7">AY67/O67</f>
        <v>0.6</v>
      </c>
      <c r="BA67" s="38">
        <v>2</v>
      </c>
      <c r="BB67" s="39">
        <v>0</v>
      </c>
      <c r="BC67" s="40">
        <v>0</v>
      </c>
      <c r="BD67" s="41">
        <v>0</v>
      </c>
      <c r="BE67" s="42">
        <v>0</v>
      </c>
    </row>
    <row r="68" spans="1:57" x14ac:dyDescent="0.2">
      <c r="A68" s="21">
        <v>45935</v>
      </c>
      <c r="B68" s="22">
        <v>7</v>
      </c>
      <c r="C68" s="22" t="s">
        <v>77</v>
      </c>
      <c r="D68" s="23">
        <v>2</v>
      </c>
      <c r="E68" s="23">
        <v>1</v>
      </c>
      <c r="F68" s="22" t="s">
        <v>71</v>
      </c>
      <c r="H68" s="25">
        <v>50</v>
      </c>
      <c r="I68" s="26">
        <v>50</v>
      </c>
      <c r="J68" s="27">
        <v>2.0299999999999998</v>
      </c>
      <c r="K68" s="28">
        <v>1.53</v>
      </c>
      <c r="L68" s="29">
        <v>5</v>
      </c>
      <c r="M68" s="26">
        <v>5</v>
      </c>
      <c r="N68" s="29">
        <v>14</v>
      </c>
      <c r="O68" s="26">
        <v>15</v>
      </c>
      <c r="P68" s="29">
        <v>5</v>
      </c>
      <c r="Q68" s="26">
        <v>5</v>
      </c>
      <c r="R68" s="29">
        <v>2</v>
      </c>
      <c r="S68" s="26">
        <v>0</v>
      </c>
      <c r="T68" s="27">
        <v>0.4</v>
      </c>
      <c r="U68" s="30">
        <v>0.62</v>
      </c>
      <c r="V68" s="31">
        <v>2</v>
      </c>
      <c r="W68" s="26">
        <v>4</v>
      </c>
      <c r="X68" s="29">
        <v>13</v>
      </c>
      <c r="Y68" s="26">
        <v>16</v>
      </c>
      <c r="Z68" s="29">
        <v>433</v>
      </c>
      <c r="AA68" s="26">
        <v>432</v>
      </c>
      <c r="AB68" s="29">
        <v>19</v>
      </c>
      <c r="AC68" s="26">
        <v>31</v>
      </c>
      <c r="AD68" s="29">
        <v>15</v>
      </c>
      <c r="AE68" s="26">
        <v>13</v>
      </c>
      <c r="AF68" s="29">
        <v>2</v>
      </c>
      <c r="AG68" s="26">
        <v>3</v>
      </c>
      <c r="AH68" s="29">
        <v>0</v>
      </c>
      <c r="AI68" s="26">
        <v>0</v>
      </c>
      <c r="AJ68" s="29">
        <v>1</v>
      </c>
      <c r="AK68" s="32">
        <v>0</v>
      </c>
      <c r="AL68" s="33">
        <v>7</v>
      </c>
      <c r="AM68" s="34">
        <f t="shared" si="4"/>
        <v>0.5</v>
      </c>
      <c r="AN68" s="35">
        <v>0</v>
      </c>
      <c r="AO68" s="35">
        <v>5</v>
      </c>
      <c r="AP68" s="35">
        <v>2</v>
      </c>
      <c r="AQ68" s="35">
        <v>10</v>
      </c>
      <c r="AR68" s="36">
        <f t="shared" si="5"/>
        <v>0.7142857142857143</v>
      </c>
      <c r="AS68" s="35">
        <v>4</v>
      </c>
      <c r="AT68" s="22">
        <v>8</v>
      </c>
      <c r="AU68" s="37">
        <f t="shared" si="6"/>
        <v>0.53333333333333333</v>
      </c>
      <c r="AV68" s="22">
        <v>1</v>
      </c>
      <c r="AW68" s="22">
        <v>4</v>
      </c>
      <c r="AX68" s="22">
        <v>3</v>
      </c>
      <c r="AY68" s="22">
        <v>11</v>
      </c>
      <c r="AZ68" s="37">
        <f t="shared" si="7"/>
        <v>0.73333333333333328</v>
      </c>
      <c r="BA68" s="38">
        <v>4</v>
      </c>
      <c r="BB68" s="39">
        <v>1</v>
      </c>
      <c r="BC68" s="40">
        <v>0</v>
      </c>
      <c r="BD68" s="41">
        <v>0</v>
      </c>
      <c r="BE68" s="42">
        <v>0</v>
      </c>
    </row>
    <row r="69" spans="1:57" x14ac:dyDescent="0.2">
      <c r="A69" s="21">
        <v>45935</v>
      </c>
      <c r="B69" s="22">
        <v>7</v>
      </c>
      <c r="C69" s="22" t="s">
        <v>60</v>
      </c>
      <c r="D69" s="23">
        <v>2</v>
      </c>
      <c r="E69" s="23">
        <v>0</v>
      </c>
      <c r="F69" s="22" t="s">
        <v>72</v>
      </c>
      <c r="H69" s="25">
        <v>51</v>
      </c>
      <c r="I69" s="26">
        <v>49</v>
      </c>
      <c r="J69" s="27">
        <v>3.45</v>
      </c>
      <c r="K69" s="28">
        <v>0.3</v>
      </c>
      <c r="L69" s="29">
        <v>6</v>
      </c>
      <c r="M69" s="26">
        <v>0</v>
      </c>
      <c r="N69" s="29">
        <v>18</v>
      </c>
      <c r="O69" s="26">
        <v>5</v>
      </c>
      <c r="P69" s="29">
        <v>4</v>
      </c>
      <c r="Q69" s="26">
        <v>7</v>
      </c>
      <c r="R69" s="29">
        <v>0</v>
      </c>
      <c r="S69" s="26">
        <v>0</v>
      </c>
      <c r="T69" s="27">
        <v>0.25</v>
      </c>
      <c r="U69" s="30">
        <v>1.84</v>
      </c>
      <c r="V69" s="31">
        <v>8</v>
      </c>
      <c r="W69" s="26">
        <v>1</v>
      </c>
      <c r="X69" s="29">
        <v>16</v>
      </c>
      <c r="Y69" s="26">
        <v>15</v>
      </c>
      <c r="Z69" s="29">
        <v>464</v>
      </c>
      <c r="AA69" s="26">
        <v>452</v>
      </c>
      <c r="AB69" s="29">
        <v>16</v>
      </c>
      <c r="AC69" s="26">
        <v>13</v>
      </c>
      <c r="AD69" s="29">
        <v>14</v>
      </c>
      <c r="AE69" s="26">
        <v>16</v>
      </c>
      <c r="AF69" s="29">
        <v>0</v>
      </c>
      <c r="AG69" s="26">
        <v>4</v>
      </c>
      <c r="AH69" s="29">
        <v>0</v>
      </c>
      <c r="AI69" s="26">
        <v>0</v>
      </c>
      <c r="AJ69" s="29">
        <v>1</v>
      </c>
      <c r="AK69" s="32">
        <v>0</v>
      </c>
      <c r="AL69" s="33">
        <v>9</v>
      </c>
      <c r="AM69" s="34">
        <f t="shared" si="4"/>
        <v>0.5</v>
      </c>
      <c r="AN69" s="35">
        <v>1</v>
      </c>
      <c r="AO69" s="35">
        <v>4</v>
      </c>
      <c r="AP69" s="35">
        <v>5</v>
      </c>
      <c r="AQ69" s="35">
        <v>13</v>
      </c>
      <c r="AR69" s="36">
        <f t="shared" si="5"/>
        <v>0.72222222222222221</v>
      </c>
      <c r="AS69" s="35">
        <v>5</v>
      </c>
      <c r="AT69" s="22">
        <v>4</v>
      </c>
      <c r="AU69" s="37">
        <f t="shared" si="6"/>
        <v>0.8</v>
      </c>
      <c r="AV69" s="22">
        <v>0</v>
      </c>
      <c r="AW69" s="22">
        <v>1</v>
      </c>
      <c r="AX69" s="22">
        <v>0</v>
      </c>
      <c r="AY69" s="22">
        <v>4</v>
      </c>
      <c r="AZ69" s="37">
        <f t="shared" si="7"/>
        <v>0.8</v>
      </c>
      <c r="BA69" s="38">
        <v>1</v>
      </c>
      <c r="BB69" s="39">
        <v>0</v>
      </c>
      <c r="BC69" s="40">
        <v>0</v>
      </c>
      <c r="BD69" s="41">
        <v>1</v>
      </c>
      <c r="BE69" s="42">
        <v>0</v>
      </c>
    </row>
    <row r="70" spans="1:57" x14ac:dyDescent="0.2">
      <c r="A70" s="21">
        <v>45935</v>
      </c>
      <c r="B70" s="22">
        <v>7</v>
      </c>
      <c r="C70" s="22" t="s">
        <v>68</v>
      </c>
      <c r="D70" s="23">
        <v>1</v>
      </c>
      <c r="E70" s="23">
        <v>1</v>
      </c>
      <c r="F70" s="22" t="s">
        <v>62</v>
      </c>
      <c r="H70" s="25">
        <v>42</v>
      </c>
      <c r="I70" s="26">
        <v>58</v>
      </c>
      <c r="J70" s="27">
        <v>0.56000000000000005</v>
      </c>
      <c r="K70" s="28">
        <v>0.92</v>
      </c>
      <c r="L70" s="29">
        <v>1</v>
      </c>
      <c r="M70" s="26">
        <v>2</v>
      </c>
      <c r="N70" s="29">
        <v>6</v>
      </c>
      <c r="O70" s="26">
        <v>17</v>
      </c>
      <c r="P70" s="29">
        <v>5</v>
      </c>
      <c r="Q70" s="26">
        <v>3</v>
      </c>
      <c r="R70" s="29">
        <v>1</v>
      </c>
      <c r="S70" s="26">
        <v>0</v>
      </c>
      <c r="T70" s="27">
        <v>0.46</v>
      </c>
      <c r="U70" s="30">
        <v>-0.33</v>
      </c>
      <c r="V70" s="31">
        <v>2</v>
      </c>
      <c r="W70" s="26">
        <v>8</v>
      </c>
      <c r="X70" s="29">
        <v>13</v>
      </c>
      <c r="Y70" s="26">
        <v>9</v>
      </c>
      <c r="Z70" s="29">
        <v>353</v>
      </c>
      <c r="AA70" s="26">
        <v>492</v>
      </c>
      <c r="AB70" s="29">
        <v>26</v>
      </c>
      <c r="AC70" s="26">
        <v>19</v>
      </c>
      <c r="AD70" s="29">
        <v>9</v>
      </c>
      <c r="AE70" s="26">
        <v>13</v>
      </c>
      <c r="AF70" s="29">
        <v>2</v>
      </c>
      <c r="AG70" s="26">
        <v>4</v>
      </c>
      <c r="AH70" s="29">
        <v>0</v>
      </c>
      <c r="AI70" s="26">
        <v>0</v>
      </c>
      <c r="AJ70" s="29">
        <v>0</v>
      </c>
      <c r="AK70" s="32">
        <v>0</v>
      </c>
      <c r="AL70" s="33">
        <v>3</v>
      </c>
      <c r="AM70" s="34">
        <f t="shared" si="4"/>
        <v>0.5</v>
      </c>
      <c r="AN70" s="35">
        <v>1</v>
      </c>
      <c r="AO70" s="35">
        <v>3</v>
      </c>
      <c r="AP70" s="35">
        <v>0</v>
      </c>
      <c r="AQ70" s="35">
        <v>4</v>
      </c>
      <c r="AR70" s="36">
        <f t="shared" si="5"/>
        <v>0.66666666666666663</v>
      </c>
      <c r="AS70" s="35">
        <v>2</v>
      </c>
      <c r="AT70" s="22">
        <v>6</v>
      </c>
      <c r="AU70" s="37">
        <f t="shared" si="6"/>
        <v>0.35294117647058826</v>
      </c>
      <c r="AV70" s="22">
        <v>0</v>
      </c>
      <c r="AW70" s="22">
        <v>6</v>
      </c>
      <c r="AX70" s="22">
        <v>5</v>
      </c>
      <c r="AY70" s="22">
        <v>10</v>
      </c>
      <c r="AZ70" s="37">
        <f t="shared" si="7"/>
        <v>0.58823529411764708</v>
      </c>
      <c r="BA70" s="38">
        <v>7</v>
      </c>
      <c r="BB70" s="39">
        <v>1</v>
      </c>
      <c r="BC70" s="40">
        <v>0</v>
      </c>
      <c r="BD70" s="41">
        <v>0</v>
      </c>
      <c r="BE70" s="42">
        <v>1</v>
      </c>
    </row>
    <row r="71" spans="1:57" x14ac:dyDescent="0.2">
      <c r="A71" s="21">
        <v>45935</v>
      </c>
      <c r="B71" s="22">
        <v>7</v>
      </c>
      <c r="C71" s="22" t="s">
        <v>73</v>
      </c>
      <c r="D71" s="23">
        <v>0</v>
      </c>
      <c r="E71" s="23">
        <v>1</v>
      </c>
      <c r="F71" s="22" t="s">
        <v>69</v>
      </c>
      <c r="H71" s="25">
        <v>30</v>
      </c>
      <c r="I71" s="26">
        <v>70</v>
      </c>
      <c r="J71" s="27">
        <v>0.7</v>
      </c>
      <c r="K71" s="28">
        <v>0.85</v>
      </c>
      <c r="L71" s="29">
        <v>1</v>
      </c>
      <c r="M71" s="26">
        <v>2</v>
      </c>
      <c r="N71" s="29">
        <v>6</v>
      </c>
      <c r="O71" s="26">
        <v>10</v>
      </c>
      <c r="P71" s="29">
        <v>3</v>
      </c>
      <c r="Q71" s="26">
        <v>1</v>
      </c>
      <c r="R71" s="29">
        <v>1</v>
      </c>
      <c r="S71" s="26">
        <v>0</v>
      </c>
      <c r="T71" s="27">
        <v>-0.35</v>
      </c>
      <c r="U71" s="30">
        <v>0.23</v>
      </c>
      <c r="V71" s="31">
        <v>3</v>
      </c>
      <c r="W71" s="26">
        <v>2</v>
      </c>
      <c r="X71" s="29">
        <v>10</v>
      </c>
      <c r="Y71" s="26">
        <v>6</v>
      </c>
      <c r="Z71" s="29">
        <v>311</v>
      </c>
      <c r="AA71" s="26">
        <v>764</v>
      </c>
      <c r="AB71" s="29">
        <v>16</v>
      </c>
      <c r="AC71" s="26">
        <v>14</v>
      </c>
      <c r="AD71" s="29">
        <v>6</v>
      </c>
      <c r="AE71" s="26">
        <v>10</v>
      </c>
      <c r="AF71" s="29">
        <v>3</v>
      </c>
      <c r="AG71" s="26">
        <v>2</v>
      </c>
      <c r="AH71" s="29">
        <v>0</v>
      </c>
      <c r="AI71" s="26">
        <v>0</v>
      </c>
      <c r="AJ71" s="29">
        <v>0</v>
      </c>
      <c r="AK71" s="32">
        <v>0</v>
      </c>
      <c r="AL71" s="33">
        <v>1</v>
      </c>
      <c r="AM71" s="34">
        <f t="shared" si="4"/>
        <v>0.16666666666666666</v>
      </c>
      <c r="AN71" s="35">
        <v>0</v>
      </c>
      <c r="AO71" s="35">
        <v>3</v>
      </c>
      <c r="AP71" s="35">
        <v>2</v>
      </c>
      <c r="AQ71" s="35">
        <v>4</v>
      </c>
      <c r="AR71" s="36">
        <f t="shared" si="5"/>
        <v>0.66666666666666663</v>
      </c>
      <c r="AS71" s="35">
        <v>2</v>
      </c>
      <c r="AT71" s="22">
        <v>4</v>
      </c>
      <c r="AU71" s="37">
        <f t="shared" si="6"/>
        <v>0.4</v>
      </c>
      <c r="AV71" s="22">
        <v>0</v>
      </c>
      <c r="AW71" s="22">
        <v>2</v>
      </c>
      <c r="AX71" s="22">
        <v>4</v>
      </c>
      <c r="AY71" s="22">
        <v>6</v>
      </c>
      <c r="AZ71" s="37">
        <f t="shared" si="7"/>
        <v>0.6</v>
      </c>
      <c r="BA71" s="38">
        <v>4</v>
      </c>
      <c r="BB71" s="39">
        <v>0</v>
      </c>
      <c r="BC71" s="40">
        <v>0</v>
      </c>
      <c r="BD71" s="41">
        <v>1</v>
      </c>
      <c r="BE71" s="42">
        <v>0</v>
      </c>
    </row>
    <row r="72" spans="1:57" x14ac:dyDescent="0.2">
      <c r="A72" s="21">
        <v>45948</v>
      </c>
      <c r="B72" s="22">
        <v>8</v>
      </c>
      <c r="C72" s="22" t="s">
        <v>72</v>
      </c>
      <c r="D72" s="23">
        <v>0</v>
      </c>
      <c r="E72" s="23">
        <v>3</v>
      </c>
      <c r="F72" s="26" t="s">
        <v>70</v>
      </c>
      <c r="G72" s="43" t="s">
        <v>85</v>
      </c>
      <c r="H72" s="25">
        <v>50</v>
      </c>
      <c r="I72" s="26">
        <v>50</v>
      </c>
      <c r="J72" s="27">
        <v>2.35</v>
      </c>
      <c r="K72" s="28">
        <v>1.67</v>
      </c>
      <c r="L72" s="29">
        <v>4</v>
      </c>
      <c r="M72" s="26">
        <v>4</v>
      </c>
      <c r="N72" s="29">
        <v>12</v>
      </c>
      <c r="O72" s="26">
        <v>17</v>
      </c>
      <c r="P72" s="29">
        <v>3</v>
      </c>
      <c r="Q72" s="26">
        <v>2</v>
      </c>
      <c r="R72" s="29">
        <v>0</v>
      </c>
      <c r="S72" s="26">
        <v>0</v>
      </c>
      <c r="T72" s="27">
        <v>-0.84</v>
      </c>
      <c r="U72" s="30">
        <v>0.55000000000000004</v>
      </c>
      <c r="V72" s="31">
        <v>5</v>
      </c>
      <c r="W72" s="26">
        <v>2</v>
      </c>
      <c r="X72" s="29">
        <v>13</v>
      </c>
      <c r="Y72" s="26">
        <v>16</v>
      </c>
      <c r="Z72" s="29">
        <v>445</v>
      </c>
      <c r="AA72" s="26">
        <v>463</v>
      </c>
      <c r="AB72" s="29">
        <v>19</v>
      </c>
      <c r="AC72" s="26">
        <v>15</v>
      </c>
      <c r="AD72" s="29">
        <v>16</v>
      </c>
      <c r="AE72" s="26">
        <v>13</v>
      </c>
      <c r="AF72" s="29">
        <v>2</v>
      </c>
      <c r="AG72" s="26">
        <v>4</v>
      </c>
      <c r="AH72" s="29">
        <v>0</v>
      </c>
      <c r="AI72" s="26">
        <v>1</v>
      </c>
      <c r="AJ72" s="29">
        <v>0</v>
      </c>
      <c r="AK72" s="32">
        <v>0</v>
      </c>
      <c r="AL72" s="33">
        <v>2</v>
      </c>
      <c r="AM72" s="34">
        <f t="shared" si="4"/>
        <v>0.16666666666666666</v>
      </c>
      <c r="AN72" s="35">
        <v>1</v>
      </c>
      <c r="AO72" s="35">
        <v>8</v>
      </c>
      <c r="AP72" s="35">
        <v>2</v>
      </c>
      <c r="AQ72" s="35">
        <v>8</v>
      </c>
      <c r="AR72" s="36">
        <f t="shared" si="5"/>
        <v>0.66666666666666663</v>
      </c>
      <c r="AS72" s="35">
        <v>4</v>
      </c>
      <c r="AT72" s="22">
        <v>6</v>
      </c>
      <c r="AU72" s="37">
        <f t="shared" si="6"/>
        <v>0.35294117647058826</v>
      </c>
      <c r="AV72" s="22">
        <v>0</v>
      </c>
      <c r="AW72" s="22">
        <v>6</v>
      </c>
      <c r="AX72" s="22">
        <v>5</v>
      </c>
      <c r="AY72" s="22">
        <v>11</v>
      </c>
      <c r="AZ72" s="37">
        <f t="shared" si="7"/>
        <v>0.6470588235294118</v>
      </c>
      <c r="BA72" s="38">
        <v>6</v>
      </c>
      <c r="BB72" s="39">
        <v>2</v>
      </c>
      <c r="BC72" s="40">
        <v>1</v>
      </c>
      <c r="BD72" s="41">
        <v>3</v>
      </c>
      <c r="BE72" s="42">
        <v>0</v>
      </c>
    </row>
    <row r="73" spans="1:57" x14ac:dyDescent="0.2">
      <c r="A73" s="21">
        <v>45948</v>
      </c>
      <c r="B73" s="22">
        <v>8</v>
      </c>
      <c r="C73" s="22" t="s">
        <v>62</v>
      </c>
      <c r="D73" s="23">
        <v>2</v>
      </c>
      <c r="E73" s="23">
        <v>1</v>
      </c>
      <c r="F73" s="22" t="s">
        <v>60</v>
      </c>
      <c r="H73" s="25">
        <v>46</v>
      </c>
      <c r="I73" s="26">
        <v>54</v>
      </c>
      <c r="J73" s="27">
        <v>0.91</v>
      </c>
      <c r="K73" s="28">
        <v>1.45</v>
      </c>
      <c r="L73" s="29">
        <v>1</v>
      </c>
      <c r="M73" s="26">
        <v>1</v>
      </c>
      <c r="N73" s="29">
        <v>13</v>
      </c>
      <c r="O73" s="26">
        <v>16</v>
      </c>
      <c r="P73" s="29">
        <v>2</v>
      </c>
      <c r="Q73" s="26">
        <v>3</v>
      </c>
      <c r="R73" s="29">
        <v>0</v>
      </c>
      <c r="S73" s="26">
        <v>2</v>
      </c>
      <c r="T73" s="27">
        <v>0.06</v>
      </c>
      <c r="U73" s="30">
        <v>-0.56000000000000005</v>
      </c>
      <c r="V73" s="31">
        <v>8</v>
      </c>
      <c r="W73" s="26">
        <v>4</v>
      </c>
      <c r="X73" s="29">
        <v>9</v>
      </c>
      <c r="Y73" s="26">
        <v>9</v>
      </c>
      <c r="Z73" s="29">
        <v>421</v>
      </c>
      <c r="AA73" s="26">
        <v>491</v>
      </c>
      <c r="AB73" s="29">
        <v>21</v>
      </c>
      <c r="AC73" s="26">
        <v>17</v>
      </c>
      <c r="AD73" s="29">
        <v>9</v>
      </c>
      <c r="AE73" s="26">
        <v>9</v>
      </c>
      <c r="AF73" s="29">
        <v>0</v>
      </c>
      <c r="AG73" s="26">
        <v>1</v>
      </c>
      <c r="AH73" s="29">
        <v>0</v>
      </c>
      <c r="AI73" s="26">
        <v>0</v>
      </c>
      <c r="AJ73" s="29">
        <v>0</v>
      </c>
      <c r="AK73" s="32">
        <v>0</v>
      </c>
      <c r="AL73" s="33">
        <v>5</v>
      </c>
      <c r="AM73" s="34">
        <f t="shared" si="4"/>
        <v>0.38461538461538464</v>
      </c>
      <c r="AN73" s="35">
        <v>0</v>
      </c>
      <c r="AO73" s="35">
        <v>3</v>
      </c>
      <c r="AP73" s="35">
        <v>5</v>
      </c>
      <c r="AQ73" s="35">
        <v>6</v>
      </c>
      <c r="AR73" s="36">
        <f t="shared" si="5"/>
        <v>0.46153846153846156</v>
      </c>
      <c r="AS73" s="35">
        <v>7</v>
      </c>
      <c r="AT73" s="22">
        <v>3</v>
      </c>
      <c r="AU73" s="37">
        <f t="shared" si="6"/>
        <v>0.1875</v>
      </c>
      <c r="AV73" s="22">
        <v>0</v>
      </c>
      <c r="AW73" s="22">
        <v>8</v>
      </c>
      <c r="AX73" s="22">
        <v>5</v>
      </c>
      <c r="AY73" s="22">
        <v>10</v>
      </c>
      <c r="AZ73" s="37">
        <f t="shared" si="7"/>
        <v>0.625</v>
      </c>
      <c r="BA73" s="38">
        <v>6</v>
      </c>
      <c r="BB73" s="39">
        <v>0</v>
      </c>
      <c r="BC73" s="40">
        <v>0</v>
      </c>
      <c r="BD73" s="41">
        <v>1</v>
      </c>
      <c r="BE73" s="42">
        <v>0</v>
      </c>
    </row>
    <row r="74" spans="1:57" x14ac:dyDescent="0.2">
      <c r="A74" s="21">
        <v>45948</v>
      </c>
      <c r="B74" s="22">
        <v>8</v>
      </c>
      <c r="C74" s="22" t="s">
        <v>67</v>
      </c>
      <c r="D74" s="23">
        <v>2</v>
      </c>
      <c r="E74" s="23">
        <v>0</v>
      </c>
      <c r="F74" s="22" t="s">
        <v>76</v>
      </c>
      <c r="H74" s="25">
        <v>31</v>
      </c>
      <c r="I74" s="26">
        <v>69</v>
      </c>
      <c r="J74" s="27">
        <v>0.45</v>
      </c>
      <c r="K74" s="28">
        <v>2.63</v>
      </c>
      <c r="L74" s="29">
        <v>1</v>
      </c>
      <c r="M74" s="26">
        <v>4</v>
      </c>
      <c r="N74" s="29">
        <v>4</v>
      </c>
      <c r="O74" s="26">
        <v>19</v>
      </c>
      <c r="P74" s="29">
        <v>4</v>
      </c>
      <c r="Q74" s="26">
        <v>1</v>
      </c>
      <c r="R74" s="29">
        <v>0</v>
      </c>
      <c r="S74" s="26">
        <v>0</v>
      </c>
      <c r="T74" s="27">
        <v>0.51</v>
      </c>
      <c r="U74" s="30">
        <v>-0.79</v>
      </c>
      <c r="V74" s="31">
        <v>1</v>
      </c>
      <c r="W74" s="26">
        <v>5</v>
      </c>
      <c r="X74" s="29">
        <v>10</v>
      </c>
      <c r="Y74" s="26">
        <v>7</v>
      </c>
      <c r="Z74" s="29">
        <v>292</v>
      </c>
      <c r="AA74" s="26">
        <v>615</v>
      </c>
      <c r="AB74" s="29">
        <v>14</v>
      </c>
      <c r="AC74" s="26">
        <v>13</v>
      </c>
      <c r="AD74" s="29">
        <v>7</v>
      </c>
      <c r="AE74" s="26">
        <v>10</v>
      </c>
      <c r="AF74" s="29">
        <v>2</v>
      </c>
      <c r="AG74" s="26">
        <v>1</v>
      </c>
      <c r="AH74" s="29">
        <v>0</v>
      </c>
      <c r="AI74" s="26">
        <v>0</v>
      </c>
      <c r="AJ74" s="29">
        <v>0</v>
      </c>
      <c r="AK74" s="32">
        <v>0</v>
      </c>
      <c r="AL74" s="33">
        <v>3</v>
      </c>
      <c r="AM74" s="34">
        <f t="shared" si="4"/>
        <v>0.75</v>
      </c>
      <c r="AN74" s="35">
        <v>0</v>
      </c>
      <c r="AO74" s="35">
        <v>1</v>
      </c>
      <c r="AP74" s="35">
        <v>0</v>
      </c>
      <c r="AQ74" s="35">
        <v>1</v>
      </c>
      <c r="AR74" s="36">
        <f t="shared" si="5"/>
        <v>0.25</v>
      </c>
      <c r="AS74" s="35">
        <v>3</v>
      </c>
      <c r="AT74" s="22">
        <v>4</v>
      </c>
      <c r="AU74" s="37">
        <f t="shared" si="6"/>
        <v>0.21052631578947367</v>
      </c>
      <c r="AV74" s="22">
        <v>0</v>
      </c>
      <c r="AW74" s="22">
        <v>12</v>
      </c>
      <c r="AX74" s="22">
        <v>3</v>
      </c>
      <c r="AY74" s="22">
        <v>17</v>
      </c>
      <c r="AZ74" s="37">
        <f t="shared" si="7"/>
        <v>0.89473684210526316</v>
      </c>
      <c r="BA74" s="38">
        <v>2</v>
      </c>
      <c r="BB74" s="39">
        <v>1</v>
      </c>
      <c r="BC74" s="40">
        <v>0</v>
      </c>
      <c r="BD74" s="41">
        <v>0</v>
      </c>
      <c r="BE74" s="42">
        <v>0</v>
      </c>
    </row>
    <row r="75" spans="1:57" x14ac:dyDescent="0.2">
      <c r="A75" s="21">
        <v>45948</v>
      </c>
      <c r="B75" s="22">
        <v>8</v>
      </c>
      <c r="C75" s="22" t="s">
        <v>71</v>
      </c>
      <c r="D75" s="23">
        <v>3</v>
      </c>
      <c r="E75" s="23">
        <v>3</v>
      </c>
      <c r="F75" s="22" t="s">
        <v>58</v>
      </c>
      <c r="H75" s="25">
        <v>52</v>
      </c>
      <c r="I75" s="26">
        <v>48</v>
      </c>
      <c r="J75" s="27">
        <v>4.4400000000000004</v>
      </c>
      <c r="K75" s="28">
        <v>2.0299999999999998</v>
      </c>
      <c r="L75" s="29">
        <v>7</v>
      </c>
      <c r="M75" s="26">
        <v>3</v>
      </c>
      <c r="N75" s="29">
        <v>20</v>
      </c>
      <c r="O75" s="26">
        <v>8</v>
      </c>
      <c r="P75" s="29">
        <v>2</v>
      </c>
      <c r="Q75" s="26">
        <v>4</v>
      </c>
      <c r="R75" s="29">
        <v>1</v>
      </c>
      <c r="S75" s="26">
        <v>1</v>
      </c>
      <c r="T75" s="27">
        <v>-0.19</v>
      </c>
      <c r="U75" s="30">
        <v>0.93</v>
      </c>
      <c r="V75" s="31">
        <v>6</v>
      </c>
      <c r="W75" s="26">
        <v>5</v>
      </c>
      <c r="X75" s="29">
        <v>8</v>
      </c>
      <c r="Y75" s="26">
        <v>16</v>
      </c>
      <c r="Z75" s="29">
        <v>404</v>
      </c>
      <c r="AA75" s="26">
        <v>364</v>
      </c>
      <c r="AB75" s="29">
        <v>23</v>
      </c>
      <c r="AC75" s="26">
        <v>18</v>
      </c>
      <c r="AD75" s="29">
        <v>15</v>
      </c>
      <c r="AE75" s="26">
        <v>8</v>
      </c>
      <c r="AF75" s="29">
        <v>1</v>
      </c>
      <c r="AG75" s="26">
        <v>4</v>
      </c>
      <c r="AH75" s="29">
        <v>0</v>
      </c>
      <c r="AI75" s="26">
        <v>0</v>
      </c>
      <c r="AJ75" s="29">
        <v>1</v>
      </c>
      <c r="AK75" s="32">
        <v>0</v>
      </c>
      <c r="AL75" s="33">
        <v>7</v>
      </c>
      <c r="AM75" s="34">
        <f t="shared" si="4"/>
        <v>0.35</v>
      </c>
      <c r="AN75" s="35">
        <v>0</v>
      </c>
      <c r="AO75" s="35">
        <v>6</v>
      </c>
      <c r="AP75" s="35">
        <v>7</v>
      </c>
      <c r="AQ75" s="35">
        <v>15</v>
      </c>
      <c r="AR75" s="36">
        <f t="shared" si="5"/>
        <v>0.75</v>
      </c>
      <c r="AS75" s="35">
        <v>5</v>
      </c>
      <c r="AT75" s="22">
        <v>5</v>
      </c>
      <c r="AU75" s="37">
        <f t="shared" si="6"/>
        <v>0.625</v>
      </c>
      <c r="AV75" s="22">
        <v>0</v>
      </c>
      <c r="AW75" s="22">
        <v>3</v>
      </c>
      <c r="AX75" s="22">
        <v>0</v>
      </c>
      <c r="AY75" s="22">
        <v>5</v>
      </c>
      <c r="AZ75" s="37">
        <f t="shared" si="7"/>
        <v>0.625</v>
      </c>
      <c r="BA75" s="38">
        <v>3</v>
      </c>
      <c r="BB75" s="39">
        <v>1</v>
      </c>
      <c r="BC75" s="40">
        <v>1</v>
      </c>
      <c r="BD75" s="41">
        <v>0</v>
      </c>
      <c r="BE75" s="42">
        <v>0</v>
      </c>
    </row>
    <row r="76" spans="1:57" x14ac:dyDescent="0.2">
      <c r="A76" s="21">
        <v>45948</v>
      </c>
      <c r="B76" s="22">
        <v>8</v>
      </c>
      <c r="C76" s="22" t="s">
        <v>69</v>
      </c>
      <c r="D76" s="23">
        <v>2</v>
      </c>
      <c r="E76" s="23">
        <v>0</v>
      </c>
      <c r="F76" s="22" t="s">
        <v>77</v>
      </c>
      <c r="H76" s="25">
        <v>71</v>
      </c>
      <c r="I76" s="26">
        <v>29</v>
      </c>
      <c r="J76" s="27">
        <v>2.38</v>
      </c>
      <c r="K76" s="28">
        <v>0.81</v>
      </c>
      <c r="L76" s="29">
        <v>6</v>
      </c>
      <c r="M76" s="26">
        <v>1</v>
      </c>
      <c r="N76" s="29">
        <v>19</v>
      </c>
      <c r="O76" s="26">
        <v>5</v>
      </c>
      <c r="P76" s="29">
        <v>1</v>
      </c>
      <c r="Q76" s="26">
        <v>5</v>
      </c>
      <c r="R76" s="29">
        <v>0</v>
      </c>
      <c r="S76" s="26">
        <v>1</v>
      </c>
      <c r="T76" s="27">
        <v>7.0000000000000007E-2</v>
      </c>
      <c r="U76" s="30">
        <v>-0.52</v>
      </c>
      <c r="V76" s="31">
        <v>11</v>
      </c>
      <c r="W76" s="26">
        <v>3</v>
      </c>
      <c r="X76" s="29">
        <v>8</v>
      </c>
      <c r="Y76" s="26">
        <v>14</v>
      </c>
      <c r="Z76" s="29">
        <v>749</v>
      </c>
      <c r="AA76" s="26">
        <v>300</v>
      </c>
      <c r="AB76" s="29">
        <v>15</v>
      </c>
      <c r="AC76" s="26">
        <v>18</v>
      </c>
      <c r="AD76" s="29">
        <v>14</v>
      </c>
      <c r="AE76" s="26">
        <v>8</v>
      </c>
      <c r="AF76" s="29">
        <v>0</v>
      </c>
      <c r="AG76" s="26">
        <v>2</v>
      </c>
      <c r="AH76" s="29">
        <v>0</v>
      </c>
      <c r="AI76" s="26">
        <v>0</v>
      </c>
      <c r="AJ76" s="29">
        <v>0</v>
      </c>
      <c r="AK76" s="32">
        <v>0</v>
      </c>
      <c r="AL76" s="33">
        <v>7</v>
      </c>
      <c r="AM76" s="34">
        <f t="shared" si="4"/>
        <v>0.36842105263157893</v>
      </c>
      <c r="AN76" s="35">
        <v>0</v>
      </c>
      <c r="AO76" s="35">
        <v>5</v>
      </c>
      <c r="AP76" s="35">
        <v>7</v>
      </c>
      <c r="AQ76" s="35">
        <v>16</v>
      </c>
      <c r="AR76" s="36">
        <f t="shared" si="5"/>
        <v>0.84210526315789469</v>
      </c>
      <c r="AS76" s="35">
        <v>3</v>
      </c>
      <c r="AT76" s="22">
        <v>1</v>
      </c>
      <c r="AU76" s="37">
        <f t="shared" si="6"/>
        <v>0.2</v>
      </c>
      <c r="AV76" s="22">
        <v>0</v>
      </c>
      <c r="AW76" s="22">
        <v>2</v>
      </c>
      <c r="AX76" s="22">
        <v>2</v>
      </c>
      <c r="AY76" s="22">
        <v>4</v>
      </c>
      <c r="AZ76" s="37">
        <f t="shared" si="7"/>
        <v>0.8</v>
      </c>
      <c r="BA76" s="38">
        <v>1</v>
      </c>
      <c r="BB76" s="39">
        <v>1</v>
      </c>
      <c r="BC76" s="40">
        <v>0</v>
      </c>
      <c r="BD76" s="41">
        <v>0</v>
      </c>
      <c r="BE76" s="42">
        <v>0</v>
      </c>
    </row>
    <row r="77" spans="1:57" x14ac:dyDescent="0.2">
      <c r="A77" s="21">
        <v>45948</v>
      </c>
      <c r="B77" s="22">
        <v>8</v>
      </c>
      <c r="C77" s="22" t="s">
        <v>64</v>
      </c>
      <c r="D77" s="23">
        <v>2</v>
      </c>
      <c r="E77" s="23">
        <v>0</v>
      </c>
      <c r="F77" s="22" t="s">
        <v>68</v>
      </c>
      <c r="H77" s="25">
        <v>41</v>
      </c>
      <c r="I77" s="26">
        <v>59</v>
      </c>
      <c r="J77" s="27">
        <v>0.65</v>
      </c>
      <c r="K77" s="28">
        <v>0.83</v>
      </c>
      <c r="L77" s="29">
        <v>2</v>
      </c>
      <c r="M77" s="26">
        <v>0</v>
      </c>
      <c r="N77" s="29">
        <v>8</v>
      </c>
      <c r="O77" s="26">
        <v>16</v>
      </c>
      <c r="P77" s="29">
        <v>3</v>
      </c>
      <c r="Q77" s="26">
        <v>1</v>
      </c>
      <c r="R77" s="29">
        <v>1</v>
      </c>
      <c r="S77" s="26">
        <v>0</v>
      </c>
      <c r="T77" s="27">
        <v>0.27</v>
      </c>
      <c r="U77" s="30">
        <v>-1.78</v>
      </c>
      <c r="V77" s="31">
        <v>2</v>
      </c>
      <c r="W77" s="26">
        <v>2</v>
      </c>
      <c r="X77" s="29">
        <v>5</v>
      </c>
      <c r="Y77" s="26">
        <v>12</v>
      </c>
      <c r="Z77" s="29">
        <v>341</v>
      </c>
      <c r="AA77" s="26">
        <v>466</v>
      </c>
      <c r="AB77" s="29">
        <v>14</v>
      </c>
      <c r="AC77" s="26">
        <v>15</v>
      </c>
      <c r="AD77" s="29">
        <v>12</v>
      </c>
      <c r="AE77" s="26">
        <v>5</v>
      </c>
      <c r="AF77" s="29">
        <v>0</v>
      </c>
      <c r="AG77" s="26">
        <v>0</v>
      </c>
      <c r="AH77" s="29">
        <v>0</v>
      </c>
      <c r="AI77" s="26">
        <v>0</v>
      </c>
      <c r="AJ77" s="29">
        <v>0</v>
      </c>
      <c r="AK77" s="32">
        <v>0</v>
      </c>
      <c r="AL77" s="33">
        <v>2</v>
      </c>
      <c r="AM77" s="34">
        <f t="shared" si="4"/>
        <v>0.25</v>
      </c>
      <c r="AN77" s="35">
        <v>1</v>
      </c>
      <c r="AO77" s="35">
        <v>3</v>
      </c>
      <c r="AP77" s="35">
        <v>3</v>
      </c>
      <c r="AQ77" s="35">
        <v>5</v>
      </c>
      <c r="AR77" s="36">
        <f t="shared" si="5"/>
        <v>0.625</v>
      </c>
      <c r="AS77" s="35">
        <v>3</v>
      </c>
      <c r="AT77" s="22">
        <v>3</v>
      </c>
      <c r="AU77" s="37">
        <f t="shared" si="6"/>
        <v>0.1875</v>
      </c>
      <c r="AV77" s="22">
        <v>0</v>
      </c>
      <c r="AW77" s="22">
        <v>8</v>
      </c>
      <c r="AX77" s="22">
        <v>5</v>
      </c>
      <c r="AY77" s="22">
        <v>8</v>
      </c>
      <c r="AZ77" s="37">
        <f t="shared" si="7"/>
        <v>0.5</v>
      </c>
      <c r="BA77" s="38">
        <v>8</v>
      </c>
      <c r="BB77" s="39">
        <v>2</v>
      </c>
      <c r="BC77" s="40">
        <v>0</v>
      </c>
      <c r="BD77" s="41">
        <v>0</v>
      </c>
      <c r="BE77" s="42">
        <v>0</v>
      </c>
    </row>
    <row r="78" spans="1:57" x14ac:dyDescent="0.2">
      <c r="A78" s="21">
        <v>45948</v>
      </c>
      <c r="B78" s="22">
        <v>8</v>
      </c>
      <c r="C78" s="22" t="s">
        <v>63</v>
      </c>
      <c r="D78" s="23">
        <v>0</v>
      </c>
      <c r="E78" s="23">
        <v>1</v>
      </c>
      <c r="F78" s="22" t="s">
        <v>75</v>
      </c>
      <c r="H78" s="25">
        <v>37</v>
      </c>
      <c r="I78" s="26">
        <v>63</v>
      </c>
      <c r="J78" s="27">
        <v>0.44</v>
      </c>
      <c r="K78" s="28">
        <v>1.87</v>
      </c>
      <c r="L78" s="29">
        <v>0</v>
      </c>
      <c r="M78" s="26">
        <v>3</v>
      </c>
      <c r="N78" s="29">
        <v>9</v>
      </c>
      <c r="O78" s="26">
        <v>16</v>
      </c>
      <c r="P78" s="29">
        <v>4</v>
      </c>
      <c r="Q78" s="26">
        <v>0</v>
      </c>
      <c r="R78" s="29">
        <v>1</v>
      </c>
      <c r="S78" s="26">
        <v>0</v>
      </c>
      <c r="T78" s="27">
        <v>0.42</v>
      </c>
      <c r="U78" s="30">
        <v>0</v>
      </c>
      <c r="V78" s="31">
        <v>6</v>
      </c>
      <c r="W78" s="26">
        <v>10</v>
      </c>
      <c r="X78" s="29">
        <v>11</v>
      </c>
      <c r="Y78" s="26">
        <v>4</v>
      </c>
      <c r="Z78" s="29">
        <v>313</v>
      </c>
      <c r="AA78" s="26">
        <v>546</v>
      </c>
      <c r="AB78" s="29">
        <v>20</v>
      </c>
      <c r="AC78" s="26">
        <v>9</v>
      </c>
      <c r="AD78" s="29">
        <v>4</v>
      </c>
      <c r="AE78" s="26">
        <v>11</v>
      </c>
      <c r="AF78" s="29">
        <v>0</v>
      </c>
      <c r="AG78" s="26">
        <v>0</v>
      </c>
      <c r="AH78" s="29">
        <v>0</v>
      </c>
      <c r="AI78" s="26">
        <v>0</v>
      </c>
      <c r="AJ78" s="29">
        <v>0</v>
      </c>
      <c r="AK78" s="32">
        <v>0</v>
      </c>
      <c r="AL78" s="33">
        <v>0</v>
      </c>
      <c r="AM78" s="34">
        <f t="shared" si="4"/>
        <v>0</v>
      </c>
      <c r="AN78" s="35">
        <v>0</v>
      </c>
      <c r="AO78" s="35">
        <v>5</v>
      </c>
      <c r="AP78" s="35">
        <v>4</v>
      </c>
      <c r="AQ78" s="35">
        <v>6</v>
      </c>
      <c r="AR78" s="36">
        <f t="shared" si="5"/>
        <v>0.66666666666666663</v>
      </c>
      <c r="AS78" s="35">
        <v>3</v>
      </c>
      <c r="AT78" s="22">
        <v>5</v>
      </c>
      <c r="AU78" s="37">
        <f t="shared" si="6"/>
        <v>0.3125</v>
      </c>
      <c r="AV78" s="22">
        <v>0</v>
      </c>
      <c r="AW78" s="22">
        <v>7</v>
      </c>
      <c r="AX78" s="22">
        <v>4</v>
      </c>
      <c r="AY78" s="22">
        <v>14</v>
      </c>
      <c r="AZ78" s="37">
        <f t="shared" si="7"/>
        <v>0.875</v>
      </c>
      <c r="BA78" s="38">
        <v>2</v>
      </c>
      <c r="BB78" s="39">
        <v>0</v>
      </c>
      <c r="BC78" s="40">
        <v>0</v>
      </c>
      <c r="BD78" s="41">
        <v>3</v>
      </c>
      <c r="BE78" s="42">
        <v>0</v>
      </c>
    </row>
    <row r="79" spans="1:57" x14ac:dyDescent="0.2">
      <c r="A79" s="21">
        <v>45949</v>
      </c>
      <c r="B79" s="22">
        <v>8</v>
      </c>
      <c r="C79" s="22" t="s">
        <v>66</v>
      </c>
      <c r="D79" s="23">
        <v>1</v>
      </c>
      <c r="E79" s="23">
        <v>2</v>
      </c>
      <c r="F79" s="22" t="s">
        <v>59</v>
      </c>
      <c r="H79" s="25">
        <v>53</v>
      </c>
      <c r="I79" s="26">
        <v>47</v>
      </c>
      <c r="J79" s="27">
        <v>0.75</v>
      </c>
      <c r="K79" s="28">
        <v>0.32</v>
      </c>
      <c r="L79" s="29">
        <v>3</v>
      </c>
      <c r="M79" s="26">
        <v>0</v>
      </c>
      <c r="N79" s="29">
        <v>10</v>
      </c>
      <c r="O79" s="26">
        <v>8</v>
      </c>
      <c r="P79" s="29">
        <v>0</v>
      </c>
      <c r="Q79" s="26">
        <v>2</v>
      </c>
      <c r="R79" s="29">
        <v>0</v>
      </c>
      <c r="S79" s="26">
        <v>1</v>
      </c>
      <c r="T79" s="27">
        <v>-1.03</v>
      </c>
      <c r="U79" s="30">
        <v>0</v>
      </c>
      <c r="V79" s="31">
        <v>6</v>
      </c>
      <c r="W79" s="26">
        <v>6</v>
      </c>
      <c r="X79" s="29">
        <v>11</v>
      </c>
      <c r="Y79" s="26">
        <v>7</v>
      </c>
      <c r="Z79" s="29">
        <v>382</v>
      </c>
      <c r="AA79" s="26">
        <v>348</v>
      </c>
      <c r="AB79" s="29">
        <v>25</v>
      </c>
      <c r="AC79" s="26">
        <v>24</v>
      </c>
      <c r="AD79" s="29">
        <v>7</v>
      </c>
      <c r="AE79" s="26">
        <v>11</v>
      </c>
      <c r="AF79" s="29">
        <v>2</v>
      </c>
      <c r="AG79" s="26">
        <v>0</v>
      </c>
      <c r="AH79" s="29">
        <v>0</v>
      </c>
      <c r="AI79" s="26">
        <v>0</v>
      </c>
      <c r="AJ79" s="29">
        <v>0</v>
      </c>
      <c r="AK79" s="32">
        <v>0</v>
      </c>
      <c r="AL79" s="33">
        <v>3</v>
      </c>
      <c r="AM79" s="34">
        <f t="shared" si="4"/>
        <v>0.3</v>
      </c>
      <c r="AN79" s="35">
        <v>0</v>
      </c>
      <c r="AO79" s="35">
        <v>5</v>
      </c>
      <c r="AP79" s="35">
        <v>2</v>
      </c>
      <c r="AQ79" s="35">
        <v>7</v>
      </c>
      <c r="AR79" s="36">
        <f t="shared" si="5"/>
        <v>0.7</v>
      </c>
      <c r="AS79" s="35">
        <v>3</v>
      </c>
      <c r="AT79" s="22">
        <v>2</v>
      </c>
      <c r="AU79" s="37">
        <f t="shared" si="6"/>
        <v>0.25</v>
      </c>
      <c r="AV79" s="22">
        <v>0</v>
      </c>
      <c r="AW79" s="22">
        <v>4</v>
      </c>
      <c r="AX79" s="22">
        <v>2</v>
      </c>
      <c r="AY79" s="22">
        <v>2</v>
      </c>
      <c r="AZ79" s="37">
        <f t="shared" si="7"/>
        <v>0.25</v>
      </c>
      <c r="BA79" s="38">
        <v>6</v>
      </c>
      <c r="BB79" s="39">
        <v>2</v>
      </c>
      <c r="BC79" s="40">
        <v>0</v>
      </c>
      <c r="BD79" s="41">
        <v>1</v>
      </c>
      <c r="BE79" s="42">
        <v>0</v>
      </c>
    </row>
    <row r="80" spans="1:57" x14ac:dyDescent="0.2">
      <c r="A80" s="21">
        <v>45949</v>
      </c>
      <c r="B80" s="22">
        <v>8</v>
      </c>
      <c r="C80" s="22" t="s">
        <v>57</v>
      </c>
      <c r="D80" s="23">
        <v>1</v>
      </c>
      <c r="E80" s="23">
        <v>2</v>
      </c>
      <c r="F80" s="22" t="s">
        <v>74</v>
      </c>
      <c r="H80" s="25">
        <v>64</v>
      </c>
      <c r="I80" s="26">
        <v>36</v>
      </c>
      <c r="J80" s="27">
        <v>2.75</v>
      </c>
      <c r="K80" s="28">
        <v>1.34</v>
      </c>
      <c r="L80" s="29">
        <v>5</v>
      </c>
      <c r="M80" s="26">
        <v>5</v>
      </c>
      <c r="N80" s="29">
        <v>19</v>
      </c>
      <c r="O80" s="26">
        <v>12</v>
      </c>
      <c r="P80" s="29">
        <v>2</v>
      </c>
      <c r="Q80" s="26">
        <v>5</v>
      </c>
      <c r="R80" s="29">
        <v>0</v>
      </c>
      <c r="S80" s="26">
        <v>0</v>
      </c>
      <c r="T80" s="27">
        <v>-0.94</v>
      </c>
      <c r="U80" s="30">
        <v>1.33</v>
      </c>
      <c r="V80" s="31">
        <v>9</v>
      </c>
      <c r="W80" s="26">
        <v>4</v>
      </c>
      <c r="X80" s="29">
        <v>8</v>
      </c>
      <c r="Y80" s="26">
        <v>14</v>
      </c>
      <c r="Z80" s="29">
        <v>480</v>
      </c>
      <c r="AA80" s="26">
        <v>294</v>
      </c>
      <c r="AB80" s="29">
        <v>13</v>
      </c>
      <c r="AC80" s="26">
        <v>15</v>
      </c>
      <c r="AD80" s="29">
        <v>14</v>
      </c>
      <c r="AE80" s="26">
        <v>8</v>
      </c>
      <c r="AF80" s="29">
        <v>0</v>
      </c>
      <c r="AG80" s="26">
        <v>2</v>
      </c>
      <c r="AH80" s="29">
        <v>0</v>
      </c>
      <c r="AI80" s="26">
        <v>0</v>
      </c>
      <c r="AJ80" s="29">
        <v>0</v>
      </c>
      <c r="AK80" s="32">
        <v>0</v>
      </c>
      <c r="AL80" s="33">
        <v>6</v>
      </c>
      <c r="AM80" s="34">
        <f t="shared" si="4"/>
        <v>0.31578947368421051</v>
      </c>
      <c r="AN80" s="35">
        <v>2</v>
      </c>
      <c r="AO80" s="35">
        <v>11</v>
      </c>
      <c r="AP80" s="35">
        <v>2</v>
      </c>
      <c r="AQ80" s="35">
        <v>16</v>
      </c>
      <c r="AR80" s="36">
        <f t="shared" si="5"/>
        <v>0.84210526315789469</v>
      </c>
      <c r="AS80" s="35">
        <v>3</v>
      </c>
      <c r="AT80" s="22">
        <v>4</v>
      </c>
      <c r="AU80" s="37">
        <f t="shared" si="6"/>
        <v>0.33333333333333331</v>
      </c>
      <c r="AV80" s="22">
        <v>1</v>
      </c>
      <c r="AW80" s="22">
        <v>5</v>
      </c>
      <c r="AX80" s="22">
        <v>3</v>
      </c>
      <c r="AY80" s="22">
        <v>10</v>
      </c>
      <c r="AZ80" s="37">
        <f t="shared" si="7"/>
        <v>0.83333333333333337</v>
      </c>
      <c r="BA80" s="38">
        <v>2</v>
      </c>
      <c r="BB80" s="39">
        <v>2</v>
      </c>
      <c r="BC80" s="40">
        <v>0</v>
      </c>
      <c r="BD80" s="41">
        <v>1</v>
      </c>
      <c r="BE80" s="42">
        <v>0</v>
      </c>
    </row>
    <row r="81" spans="1:57" x14ac:dyDescent="0.2">
      <c r="A81" s="21">
        <v>45950</v>
      </c>
      <c r="B81" s="22">
        <v>8</v>
      </c>
      <c r="C81" s="22" t="s">
        <v>65</v>
      </c>
      <c r="D81" s="23">
        <v>0</v>
      </c>
      <c r="E81" s="23">
        <v>2</v>
      </c>
      <c r="F81" s="22" t="s">
        <v>73</v>
      </c>
      <c r="H81" s="25">
        <v>44</v>
      </c>
      <c r="I81" s="26">
        <v>56</v>
      </c>
      <c r="J81" s="27">
        <v>0.35</v>
      </c>
      <c r="K81" s="28">
        <v>2.37</v>
      </c>
      <c r="L81" s="29">
        <v>0</v>
      </c>
      <c r="M81" s="26">
        <v>5</v>
      </c>
      <c r="N81" s="29">
        <v>7</v>
      </c>
      <c r="O81" s="26">
        <v>22</v>
      </c>
      <c r="P81" s="29">
        <v>4</v>
      </c>
      <c r="Q81" s="26">
        <v>1</v>
      </c>
      <c r="R81" s="29">
        <v>2</v>
      </c>
      <c r="S81" s="26">
        <v>1</v>
      </c>
      <c r="T81" s="27">
        <v>-0.25</v>
      </c>
      <c r="U81" s="30">
        <v>0.2</v>
      </c>
      <c r="V81" s="31">
        <v>6</v>
      </c>
      <c r="W81" s="26">
        <v>10</v>
      </c>
      <c r="X81" s="29">
        <v>10</v>
      </c>
      <c r="Y81" s="26">
        <v>10</v>
      </c>
      <c r="Z81" s="29">
        <v>344</v>
      </c>
      <c r="AA81" s="26">
        <v>451</v>
      </c>
      <c r="AB81" s="29">
        <v>16</v>
      </c>
      <c r="AC81" s="26">
        <v>11</v>
      </c>
      <c r="AD81" s="29">
        <v>10</v>
      </c>
      <c r="AE81" s="26">
        <v>10</v>
      </c>
      <c r="AF81" s="29">
        <v>1</v>
      </c>
      <c r="AG81" s="26">
        <v>1</v>
      </c>
      <c r="AH81" s="29">
        <v>0</v>
      </c>
      <c r="AI81" s="26">
        <v>0</v>
      </c>
      <c r="AJ81" s="29">
        <v>0</v>
      </c>
      <c r="AK81" s="32">
        <v>0</v>
      </c>
      <c r="AL81" s="33">
        <v>1</v>
      </c>
      <c r="AM81" s="34">
        <f t="shared" si="4"/>
        <v>0.14285714285714285</v>
      </c>
      <c r="AN81" s="35">
        <v>0</v>
      </c>
      <c r="AO81" s="35">
        <v>3</v>
      </c>
      <c r="AP81" s="35">
        <v>3</v>
      </c>
      <c r="AQ81" s="35">
        <v>2</v>
      </c>
      <c r="AR81" s="36">
        <f t="shared" si="5"/>
        <v>0.2857142857142857</v>
      </c>
      <c r="AS81" s="35">
        <v>5</v>
      </c>
      <c r="AT81" s="22">
        <v>7</v>
      </c>
      <c r="AU81" s="37">
        <f t="shared" si="6"/>
        <v>0.31818181818181818</v>
      </c>
      <c r="AV81" s="22">
        <v>2</v>
      </c>
      <c r="AW81" s="22">
        <v>10</v>
      </c>
      <c r="AX81" s="22">
        <v>5</v>
      </c>
      <c r="AY81" s="22">
        <v>20</v>
      </c>
      <c r="AZ81" s="37">
        <f t="shared" si="7"/>
        <v>0.90909090909090906</v>
      </c>
      <c r="BA81" s="38">
        <v>2</v>
      </c>
      <c r="BB81" s="39">
        <v>0</v>
      </c>
      <c r="BC81" s="40">
        <v>0</v>
      </c>
      <c r="BD81" s="41">
        <v>0</v>
      </c>
      <c r="BE81" s="42">
        <v>0</v>
      </c>
    </row>
    <row r="82" spans="1:57" x14ac:dyDescent="0.2">
      <c r="A82" s="21">
        <v>45954</v>
      </c>
      <c r="B82" s="22">
        <v>9</v>
      </c>
      <c r="C82" s="22" t="s">
        <v>76</v>
      </c>
      <c r="D82" s="23">
        <v>2</v>
      </c>
      <c r="E82" s="23">
        <v>1</v>
      </c>
      <c r="F82" s="22" t="s">
        <v>65</v>
      </c>
      <c r="H82" s="25">
        <v>41</v>
      </c>
      <c r="I82" s="26">
        <v>59</v>
      </c>
      <c r="J82" s="27">
        <v>1.49</v>
      </c>
      <c r="K82" s="28">
        <v>0.65</v>
      </c>
      <c r="L82" s="29">
        <v>3</v>
      </c>
      <c r="M82" s="26">
        <v>0</v>
      </c>
      <c r="N82" s="29">
        <v>13</v>
      </c>
      <c r="O82" s="26">
        <v>9</v>
      </c>
      <c r="P82" s="29">
        <v>2</v>
      </c>
      <c r="Q82" s="26">
        <v>3</v>
      </c>
      <c r="R82" s="29">
        <v>0</v>
      </c>
      <c r="S82" s="26">
        <v>0</v>
      </c>
      <c r="T82" s="27">
        <v>0.03</v>
      </c>
      <c r="U82" s="30">
        <v>-0.54</v>
      </c>
      <c r="V82" s="31">
        <v>3</v>
      </c>
      <c r="W82" s="26">
        <v>4</v>
      </c>
      <c r="X82" s="29">
        <v>12</v>
      </c>
      <c r="Y82" s="26">
        <v>11</v>
      </c>
      <c r="Z82" s="29">
        <v>369</v>
      </c>
      <c r="AA82" s="26">
        <v>525</v>
      </c>
      <c r="AB82" s="29">
        <v>21</v>
      </c>
      <c r="AC82" s="26">
        <v>12</v>
      </c>
      <c r="AD82" s="29">
        <v>11</v>
      </c>
      <c r="AE82" s="26">
        <v>12</v>
      </c>
      <c r="AF82" s="29">
        <v>3</v>
      </c>
      <c r="AG82" s="26">
        <v>3</v>
      </c>
      <c r="AH82" s="29">
        <v>0</v>
      </c>
      <c r="AI82" s="26">
        <v>0</v>
      </c>
      <c r="AJ82" s="29">
        <v>0</v>
      </c>
      <c r="AK82" s="32">
        <v>0</v>
      </c>
      <c r="AL82" s="33">
        <v>5</v>
      </c>
      <c r="AM82" s="34">
        <f t="shared" si="4"/>
        <v>0.38461538461538464</v>
      </c>
      <c r="AN82" s="35">
        <v>0</v>
      </c>
      <c r="AO82" s="35">
        <v>5</v>
      </c>
      <c r="AP82" s="35">
        <v>3</v>
      </c>
      <c r="AQ82" s="35">
        <v>8</v>
      </c>
      <c r="AR82" s="36">
        <f t="shared" si="5"/>
        <v>0.61538461538461542</v>
      </c>
      <c r="AS82" s="35">
        <v>5</v>
      </c>
      <c r="AT82" s="22">
        <v>3</v>
      </c>
      <c r="AU82" s="22">
        <f t="shared" si="6"/>
        <v>0.33333333333333331</v>
      </c>
      <c r="AV82" s="22">
        <v>0</v>
      </c>
      <c r="AW82" s="22">
        <v>3</v>
      </c>
      <c r="AX82" s="22">
        <v>3</v>
      </c>
      <c r="AY82" s="22">
        <v>4</v>
      </c>
      <c r="AZ82" s="37">
        <f t="shared" si="7"/>
        <v>0.44444444444444442</v>
      </c>
      <c r="BA82" s="38">
        <v>5</v>
      </c>
      <c r="BB82" s="39">
        <v>0</v>
      </c>
      <c r="BC82" s="40">
        <v>0</v>
      </c>
      <c r="BD82" s="41">
        <v>0</v>
      </c>
      <c r="BE82" s="42">
        <v>0</v>
      </c>
    </row>
    <row r="83" spans="1:57" x14ac:dyDescent="0.2">
      <c r="A83" s="21">
        <v>45955</v>
      </c>
      <c r="B83" s="22">
        <v>9</v>
      </c>
      <c r="C83" s="22" t="s">
        <v>70</v>
      </c>
      <c r="D83" s="23">
        <v>1</v>
      </c>
      <c r="E83" s="23">
        <v>2</v>
      </c>
      <c r="F83" s="22" t="s">
        <v>64</v>
      </c>
      <c r="H83" s="25">
        <v>68</v>
      </c>
      <c r="I83" s="26">
        <v>32</v>
      </c>
      <c r="J83" s="27">
        <v>0.9</v>
      </c>
      <c r="K83" s="28">
        <v>1.31</v>
      </c>
      <c r="L83" s="29">
        <v>2</v>
      </c>
      <c r="M83" s="26">
        <v>2</v>
      </c>
      <c r="N83" s="29">
        <v>16</v>
      </c>
      <c r="O83" s="26">
        <v>10</v>
      </c>
      <c r="P83" s="29">
        <v>2</v>
      </c>
      <c r="Q83" s="26">
        <v>6</v>
      </c>
      <c r="R83" s="29">
        <v>0</v>
      </c>
      <c r="S83" s="26">
        <v>0</v>
      </c>
      <c r="T83" s="27">
        <v>-0.42</v>
      </c>
      <c r="U83" s="30">
        <v>-0.01</v>
      </c>
      <c r="V83" s="31">
        <v>9</v>
      </c>
      <c r="W83" s="26">
        <v>1</v>
      </c>
      <c r="X83" s="29">
        <v>15</v>
      </c>
      <c r="Y83" s="26">
        <v>13</v>
      </c>
      <c r="Z83" s="29">
        <v>629</v>
      </c>
      <c r="AA83" s="26">
        <v>293</v>
      </c>
      <c r="AB83" s="29">
        <v>8</v>
      </c>
      <c r="AC83" s="26">
        <v>14</v>
      </c>
      <c r="AD83" s="29">
        <v>13</v>
      </c>
      <c r="AE83" s="26">
        <v>15</v>
      </c>
      <c r="AF83" s="29">
        <v>1</v>
      </c>
      <c r="AG83" s="26">
        <v>1</v>
      </c>
      <c r="AH83" s="29">
        <v>0</v>
      </c>
      <c r="AI83" s="26">
        <v>0</v>
      </c>
      <c r="AJ83" s="29">
        <v>0</v>
      </c>
      <c r="AK83" s="32">
        <v>0</v>
      </c>
      <c r="AL83" s="33">
        <v>7</v>
      </c>
      <c r="AM83" s="34">
        <f t="shared" si="4"/>
        <v>0.4375</v>
      </c>
      <c r="AN83" s="35">
        <v>0</v>
      </c>
      <c r="AO83" s="35">
        <v>5</v>
      </c>
      <c r="AP83" s="35">
        <v>4</v>
      </c>
      <c r="AQ83" s="35">
        <v>10</v>
      </c>
      <c r="AR83" s="36">
        <f t="shared" si="5"/>
        <v>0.625</v>
      </c>
      <c r="AS83" s="35">
        <v>6</v>
      </c>
      <c r="AT83" s="22">
        <v>4</v>
      </c>
      <c r="AU83" s="22">
        <f t="shared" si="6"/>
        <v>0.4</v>
      </c>
      <c r="AV83" s="22">
        <v>0</v>
      </c>
      <c r="AW83" s="22">
        <v>2</v>
      </c>
      <c r="AX83" s="22">
        <v>4</v>
      </c>
      <c r="AY83" s="22">
        <v>7</v>
      </c>
      <c r="AZ83" s="37">
        <f t="shared" si="7"/>
        <v>0.7</v>
      </c>
      <c r="BA83" s="38">
        <v>3</v>
      </c>
      <c r="BB83" s="39">
        <v>0</v>
      </c>
      <c r="BC83" s="40">
        <v>0</v>
      </c>
      <c r="BD83" s="41">
        <v>0</v>
      </c>
      <c r="BE83" s="42">
        <v>0</v>
      </c>
    </row>
    <row r="84" spans="1:57" x14ac:dyDescent="0.2">
      <c r="A84" s="21">
        <v>45955</v>
      </c>
      <c r="B84" s="22">
        <v>9</v>
      </c>
      <c r="C84" s="22" t="s">
        <v>60</v>
      </c>
      <c r="D84" s="23">
        <v>2</v>
      </c>
      <c r="E84" s="23">
        <v>1</v>
      </c>
      <c r="F84" s="22" t="s">
        <v>63</v>
      </c>
      <c r="H84" s="25">
        <v>51</v>
      </c>
      <c r="I84" s="26">
        <v>49</v>
      </c>
      <c r="J84" s="27">
        <v>2.14</v>
      </c>
      <c r="K84" s="28">
        <v>1.53</v>
      </c>
      <c r="L84" s="29">
        <v>4</v>
      </c>
      <c r="M84" s="26">
        <v>2</v>
      </c>
      <c r="N84" s="29">
        <v>18</v>
      </c>
      <c r="O84" s="26">
        <v>12</v>
      </c>
      <c r="P84" s="29">
        <v>4</v>
      </c>
      <c r="Q84" s="26">
        <v>5</v>
      </c>
      <c r="R84" s="29">
        <v>0</v>
      </c>
      <c r="S84" s="26">
        <v>0</v>
      </c>
      <c r="T84" s="27">
        <v>1.69</v>
      </c>
      <c r="U84" s="30">
        <v>0.15</v>
      </c>
      <c r="V84" s="31">
        <v>4</v>
      </c>
      <c r="W84" s="26">
        <v>3</v>
      </c>
      <c r="X84" s="29">
        <v>11</v>
      </c>
      <c r="Y84" s="26">
        <v>18</v>
      </c>
      <c r="Z84" s="29">
        <v>452</v>
      </c>
      <c r="AA84" s="26">
        <v>444</v>
      </c>
      <c r="AB84" s="29">
        <v>14</v>
      </c>
      <c r="AC84" s="26">
        <v>19</v>
      </c>
      <c r="AD84" s="29">
        <v>18</v>
      </c>
      <c r="AE84" s="26">
        <v>11</v>
      </c>
      <c r="AF84" s="29">
        <v>0</v>
      </c>
      <c r="AG84" s="26">
        <v>2</v>
      </c>
      <c r="AH84" s="29">
        <v>0</v>
      </c>
      <c r="AI84" s="26">
        <v>0</v>
      </c>
      <c r="AJ84" s="29">
        <v>0</v>
      </c>
      <c r="AK84" s="32">
        <v>0</v>
      </c>
      <c r="AL84" s="33">
        <v>7</v>
      </c>
      <c r="AM84" s="34">
        <f t="shared" si="4"/>
        <v>0.3888888888888889</v>
      </c>
      <c r="AN84" s="35">
        <v>1</v>
      </c>
      <c r="AO84" s="35">
        <v>6</v>
      </c>
      <c r="AP84" s="35">
        <v>5</v>
      </c>
      <c r="AQ84" s="35">
        <v>10</v>
      </c>
      <c r="AR84" s="36">
        <f t="shared" si="5"/>
        <v>0.55555555555555558</v>
      </c>
      <c r="AS84" s="35">
        <v>8</v>
      </c>
      <c r="AT84" s="22">
        <v>5</v>
      </c>
      <c r="AU84" s="22">
        <f t="shared" si="6"/>
        <v>0.41666666666666669</v>
      </c>
      <c r="AV84" s="22">
        <v>0</v>
      </c>
      <c r="AW84" s="22">
        <v>2</v>
      </c>
      <c r="AX84" s="22">
        <v>5</v>
      </c>
      <c r="AY84" s="22">
        <v>8</v>
      </c>
      <c r="AZ84" s="37">
        <f t="shared" si="7"/>
        <v>0.66666666666666663</v>
      </c>
      <c r="BA84" s="38">
        <v>4</v>
      </c>
      <c r="BB84" s="39">
        <v>2</v>
      </c>
      <c r="BC84" s="40">
        <v>0</v>
      </c>
      <c r="BD84" s="41">
        <v>1</v>
      </c>
      <c r="BE84" s="42">
        <v>2</v>
      </c>
    </row>
    <row r="85" spans="1:57" x14ac:dyDescent="0.2">
      <c r="A85" s="21">
        <v>45955</v>
      </c>
      <c r="B85" s="22">
        <v>9</v>
      </c>
      <c r="C85" s="22" t="s">
        <v>74</v>
      </c>
      <c r="D85" s="23">
        <v>4</v>
      </c>
      <c r="E85" s="23">
        <v>2</v>
      </c>
      <c r="F85" s="22" t="s">
        <v>62</v>
      </c>
      <c r="H85" s="25">
        <v>44</v>
      </c>
      <c r="I85" s="26">
        <v>56</v>
      </c>
      <c r="J85" s="27">
        <v>1.29</v>
      </c>
      <c r="K85" s="28">
        <v>1.1200000000000001</v>
      </c>
      <c r="L85" s="29">
        <v>4</v>
      </c>
      <c r="M85" s="26">
        <v>1</v>
      </c>
      <c r="N85" s="29">
        <v>13</v>
      </c>
      <c r="O85" s="26">
        <v>17</v>
      </c>
      <c r="P85" s="29">
        <v>3</v>
      </c>
      <c r="Q85" s="26">
        <v>5</v>
      </c>
      <c r="R85" s="29">
        <v>1</v>
      </c>
      <c r="S85" s="26">
        <v>2</v>
      </c>
      <c r="T85" s="27">
        <v>-0.3</v>
      </c>
      <c r="U85" s="30">
        <v>-0.96</v>
      </c>
      <c r="V85" s="31">
        <v>1</v>
      </c>
      <c r="W85" s="26">
        <v>6</v>
      </c>
      <c r="X85" s="29">
        <v>4</v>
      </c>
      <c r="Y85" s="26">
        <v>13</v>
      </c>
      <c r="Z85" s="29">
        <v>442</v>
      </c>
      <c r="AA85" s="26">
        <v>568</v>
      </c>
      <c r="AB85" s="29">
        <v>21</v>
      </c>
      <c r="AC85" s="26">
        <v>18</v>
      </c>
      <c r="AD85" s="29">
        <v>13</v>
      </c>
      <c r="AE85" s="26">
        <v>4</v>
      </c>
      <c r="AF85" s="29">
        <v>2</v>
      </c>
      <c r="AG85" s="26">
        <v>2</v>
      </c>
      <c r="AH85" s="29">
        <v>0</v>
      </c>
      <c r="AI85" s="26">
        <v>0</v>
      </c>
      <c r="AJ85" s="29">
        <v>0</v>
      </c>
      <c r="AK85" s="32">
        <v>0</v>
      </c>
      <c r="AL85" s="33">
        <v>9</v>
      </c>
      <c r="AM85" s="34">
        <f t="shared" si="4"/>
        <v>0.69230769230769229</v>
      </c>
      <c r="AN85" s="35">
        <v>0</v>
      </c>
      <c r="AO85" s="35">
        <v>3</v>
      </c>
      <c r="AP85" s="35">
        <v>1</v>
      </c>
      <c r="AQ85" s="35">
        <v>7</v>
      </c>
      <c r="AR85" s="36">
        <f t="shared" si="5"/>
        <v>0.53846153846153844</v>
      </c>
      <c r="AS85" s="35">
        <v>6</v>
      </c>
      <c r="AT85" s="22">
        <v>5</v>
      </c>
      <c r="AU85" s="22">
        <f t="shared" si="6"/>
        <v>0.29411764705882354</v>
      </c>
      <c r="AV85" s="22">
        <v>0</v>
      </c>
      <c r="AW85" s="22">
        <v>8</v>
      </c>
      <c r="AX85" s="22">
        <v>4</v>
      </c>
      <c r="AY85" s="22">
        <v>10</v>
      </c>
      <c r="AZ85" s="37">
        <f t="shared" si="7"/>
        <v>0.58823529411764708</v>
      </c>
      <c r="BA85" s="38">
        <v>7</v>
      </c>
      <c r="BB85" s="39">
        <v>1</v>
      </c>
      <c r="BC85" s="40">
        <v>0</v>
      </c>
      <c r="BD85" s="41">
        <v>2</v>
      </c>
      <c r="BE85" s="42">
        <v>0</v>
      </c>
    </row>
    <row r="86" spans="1:57" x14ac:dyDescent="0.2">
      <c r="A86" s="21">
        <v>45955</v>
      </c>
      <c r="B86" s="22">
        <v>9</v>
      </c>
      <c r="C86" s="22" t="s">
        <v>73</v>
      </c>
      <c r="D86" s="23">
        <v>3</v>
      </c>
      <c r="E86" s="23">
        <v>2</v>
      </c>
      <c r="F86" s="22" t="s">
        <v>57</v>
      </c>
      <c r="H86" s="25">
        <v>34</v>
      </c>
      <c r="I86" s="26">
        <v>66</v>
      </c>
      <c r="J86" s="27">
        <v>2.75</v>
      </c>
      <c r="K86" s="28">
        <v>2.2999999999999998</v>
      </c>
      <c r="L86" s="29">
        <v>7</v>
      </c>
      <c r="M86" s="26">
        <v>3</v>
      </c>
      <c r="N86" s="29">
        <v>17</v>
      </c>
      <c r="O86" s="26">
        <v>18</v>
      </c>
      <c r="P86" s="29">
        <v>3</v>
      </c>
      <c r="Q86" s="26">
        <v>5</v>
      </c>
      <c r="R86" s="29">
        <v>0</v>
      </c>
      <c r="S86" s="26">
        <v>2</v>
      </c>
      <c r="T86" s="27">
        <v>0.06</v>
      </c>
      <c r="U86" s="30">
        <v>-0.51</v>
      </c>
      <c r="V86" s="31">
        <v>5</v>
      </c>
      <c r="W86" s="26">
        <v>4</v>
      </c>
      <c r="X86" s="29">
        <v>7</v>
      </c>
      <c r="Y86" s="26">
        <v>10</v>
      </c>
      <c r="Z86" s="29">
        <v>288</v>
      </c>
      <c r="AA86" s="26">
        <v>586</v>
      </c>
      <c r="AB86" s="29">
        <v>15</v>
      </c>
      <c r="AC86" s="26">
        <v>21</v>
      </c>
      <c r="AD86" s="29">
        <v>9</v>
      </c>
      <c r="AE86" s="26">
        <v>7</v>
      </c>
      <c r="AF86" s="29">
        <v>3</v>
      </c>
      <c r="AG86" s="26">
        <v>2</v>
      </c>
      <c r="AH86" s="29">
        <v>0</v>
      </c>
      <c r="AI86" s="26">
        <v>0</v>
      </c>
      <c r="AJ86" s="29">
        <v>1</v>
      </c>
      <c r="AK86" s="32">
        <v>0</v>
      </c>
      <c r="AL86" s="33">
        <v>8</v>
      </c>
      <c r="AM86" s="34">
        <f t="shared" si="4"/>
        <v>0.47058823529411764</v>
      </c>
      <c r="AN86" s="35">
        <v>0</v>
      </c>
      <c r="AO86" s="35">
        <v>7</v>
      </c>
      <c r="AP86" s="35">
        <v>2</v>
      </c>
      <c r="AQ86" s="35">
        <v>12</v>
      </c>
      <c r="AR86" s="36">
        <f t="shared" si="5"/>
        <v>0.70588235294117652</v>
      </c>
      <c r="AS86" s="35">
        <v>5</v>
      </c>
      <c r="AT86" s="22">
        <v>5</v>
      </c>
      <c r="AU86" s="22">
        <f t="shared" si="6"/>
        <v>0.27777777777777779</v>
      </c>
      <c r="AV86" s="22">
        <v>0</v>
      </c>
      <c r="AW86" s="22">
        <v>7</v>
      </c>
      <c r="AX86" s="22">
        <v>6</v>
      </c>
      <c r="AY86" s="22">
        <v>12</v>
      </c>
      <c r="AZ86" s="37">
        <f t="shared" si="7"/>
        <v>0.66666666666666663</v>
      </c>
      <c r="BA86" s="38">
        <v>6</v>
      </c>
      <c r="BB86" s="39">
        <v>0</v>
      </c>
      <c r="BC86" s="40">
        <v>1</v>
      </c>
      <c r="BD86" s="41">
        <v>1</v>
      </c>
      <c r="BE86" s="42">
        <v>0</v>
      </c>
    </row>
    <row r="87" spans="1:57" x14ac:dyDescent="0.2">
      <c r="A87" s="21">
        <v>45956</v>
      </c>
      <c r="B87" s="22">
        <v>9</v>
      </c>
      <c r="C87" s="22" t="s">
        <v>75</v>
      </c>
      <c r="D87" s="23">
        <v>1</v>
      </c>
      <c r="E87" s="23">
        <v>0</v>
      </c>
      <c r="F87" s="22" t="s">
        <v>71</v>
      </c>
      <c r="H87" s="25">
        <v>60</v>
      </c>
      <c r="I87" s="26">
        <v>40</v>
      </c>
      <c r="J87" s="27">
        <v>0.92</v>
      </c>
      <c r="K87" s="28">
        <v>0.45</v>
      </c>
      <c r="L87" s="29">
        <v>2</v>
      </c>
      <c r="M87" s="26">
        <v>0</v>
      </c>
      <c r="N87" s="29">
        <v>10</v>
      </c>
      <c r="O87" s="26">
        <v>7</v>
      </c>
      <c r="P87" s="29">
        <v>1</v>
      </c>
      <c r="Q87" s="26">
        <v>2</v>
      </c>
      <c r="R87" s="29">
        <v>0</v>
      </c>
      <c r="S87" s="26">
        <v>0</v>
      </c>
      <c r="T87" s="27">
        <v>0.48</v>
      </c>
      <c r="U87" s="30">
        <v>0.02</v>
      </c>
      <c r="V87" s="31">
        <v>4</v>
      </c>
      <c r="W87" s="26">
        <v>3</v>
      </c>
      <c r="X87" s="29">
        <v>6</v>
      </c>
      <c r="Y87" s="26">
        <v>11</v>
      </c>
      <c r="Z87" s="29">
        <v>540</v>
      </c>
      <c r="AA87" s="26">
        <v>360</v>
      </c>
      <c r="AB87" s="29">
        <v>12</v>
      </c>
      <c r="AC87" s="26">
        <v>16</v>
      </c>
      <c r="AD87" s="29">
        <v>11</v>
      </c>
      <c r="AE87" s="26">
        <v>6</v>
      </c>
      <c r="AF87" s="29">
        <v>0</v>
      </c>
      <c r="AG87" s="26">
        <v>0</v>
      </c>
      <c r="AH87" s="29">
        <v>0</v>
      </c>
      <c r="AI87" s="26">
        <v>0</v>
      </c>
      <c r="AJ87" s="29">
        <v>0</v>
      </c>
      <c r="AK87" s="32">
        <v>0</v>
      </c>
      <c r="AL87" s="33">
        <v>3</v>
      </c>
      <c r="AM87" s="34">
        <f t="shared" si="4"/>
        <v>0.3</v>
      </c>
      <c r="AN87" s="35">
        <v>1</v>
      </c>
      <c r="AO87" s="35">
        <v>4</v>
      </c>
      <c r="AP87" s="35">
        <v>3</v>
      </c>
      <c r="AQ87" s="35">
        <v>7</v>
      </c>
      <c r="AR87" s="36">
        <f t="shared" si="5"/>
        <v>0.7</v>
      </c>
      <c r="AS87" s="35">
        <v>3</v>
      </c>
      <c r="AT87" s="22">
        <v>1</v>
      </c>
      <c r="AU87" s="22">
        <f t="shared" si="6"/>
        <v>0.14285714285714285</v>
      </c>
      <c r="AV87" s="22">
        <v>0</v>
      </c>
      <c r="AW87" s="22">
        <v>3</v>
      </c>
      <c r="AX87" s="22">
        <v>3</v>
      </c>
      <c r="AY87" s="22">
        <v>5</v>
      </c>
      <c r="AZ87" s="37">
        <f t="shared" si="7"/>
        <v>0.7142857142857143</v>
      </c>
      <c r="BA87" s="38">
        <v>2</v>
      </c>
      <c r="BB87" s="39">
        <v>1</v>
      </c>
      <c r="BC87" s="40">
        <v>0</v>
      </c>
      <c r="BD87" s="41">
        <v>0</v>
      </c>
      <c r="BE87" s="42">
        <v>0</v>
      </c>
    </row>
    <row r="88" spans="1:57" x14ac:dyDescent="0.2">
      <c r="A88" s="21">
        <v>45956</v>
      </c>
      <c r="B88" s="22">
        <v>9</v>
      </c>
      <c r="C88" s="22" t="s">
        <v>59</v>
      </c>
      <c r="D88" s="23">
        <v>1</v>
      </c>
      <c r="E88" s="23">
        <v>0</v>
      </c>
      <c r="F88" s="22" t="s">
        <v>69</v>
      </c>
      <c r="H88" s="25">
        <v>47</v>
      </c>
      <c r="I88" s="26">
        <v>53</v>
      </c>
      <c r="J88" s="27">
        <v>0.81</v>
      </c>
      <c r="K88" s="28">
        <v>1.18</v>
      </c>
      <c r="L88" s="29">
        <v>2</v>
      </c>
      <c r="M88" s="26">
        <v>2</v>
      </c>
      <c r="N88" s="29">
        <v>9</v>
      </c>
      <c r="O88" s="26">
        <v>18</v>
      </c>
      <c r="P88" s="29">
        <v>3</v>
      </c>
      <c r="Q88" s="26">
        <v>2</v>
      </c>
      <c r="R88" s="29">
        <v>0</v>
      </c>
      <c r="S88" s="26">
        <v>0</v>
      </c>
      <c r="T88" s="27">
        <v>0.16</v>
      </c>
      <c r="U88" s="30">
        <v>-0.19</v>
      </c>
      <c r="V88" s="31">
        <v>5</v>
      </c>
      <c r="W88" s="26">
        <v>6</v>
      </c>
      <c r="X88" s="29">
        <v>8</v>
      </c>
      <c r="Y88" s="26">
        <v>16</v>
      </c>
      <c r="Z88" s="29">
        <v>449</v>
      </c>
      <c r="AA88" s="26">
        <v>504</v>
      </c>
      <c r="AB88" s="29">
        <v>18</v>
      </c>
      <c r="AC88" s="26">
        <v>14</v>
      </c>
      <c r="AD88" s="29">
        <v>16</v>
      </c>
      <c r="AE88" s="26">
        <v>8</v>
      </c>
      <c r="AF88" s="29">
        <v>1</v>
      </c>
      <c r="AG88" s="26">
        <v>4</v>
      </c>
      <c r="AH88" s="29">
        <v>0</v>
      </c>
      <c r="AI88" s="26">
        <v>0</v>
      </c>
      <c r="AJ88" s="29">
        <v>0</v>
      </c>
      <c r="AK88" s="32">
        <v>0</v>
      </c>
      <c r="AL88" s="33">
        <v>3</v>
      </c>
      <c r="AM88" s="34">
        <f t="shared" si="4"/>
        <v>0.33333333333333331</v>
      </c>
      <c r="AN88" s="35">
        <v>0</v>
      </c>
      <c r="AO88" s="35">
        <v>1</v>
      </c>
      <c r="AP88" s="35">
        <v>5</v>
      </c>
      <c r="AQ88" s="35">
        <v>8</v>
      </c>
      <c r="AR88" s="36">
        <f t="shared" si="5"/>
        <v>0.88888888888888884</v>
      </c>
      <c r="AS88" s="35">
        <v>1</v>
      </c>
      <c r="AT88" s="22">
        <v>4</v>
      </c>
      <c r="AU88" s="22">
        <f t="shared" si="6"/>
        <v>0.22222222222222221</v>
      </c>
      <c r="AV88" s="22">
        <v>0</v>
      </c>
      <c r="AW88" s="22">
        <v>5</v>
      </c>
      <c r="AX88" s="22">
        <v>9</v>
      </c>
      <c r="AY88" s="22">
        <v>14</v>
      </c>
      <c r="AZ88" s="37">
        <f t="shared" si="7"/>
        <v>0.77777777777777779</v>
      </c>
      <c r="BA88" s="38">
        <v>4</v>
      </c>
      <c r="BB88" s="39">
        <v>0</v>
      </c>
      <c r="BC88" s="40">
        <v>0</v>
      </c>
      <c r="BD88" s="41">
        <v>0</v>
      </c>
      <c r="BE88" s="42">
        <v>0</v>
      </c>
    </row>
    <row r="89" spans="1:57" x14ac:dyDescent="0.2">
      <c r="A89" s="21">
        <v>45956</v>
      </c>
      <c r="B89" s="22">
        <v>9</v>
      </c>
      <c r="C89" s="22" t="s">
        <v>58</v>
      </c>
      <c r="D89" s="23">
        <v>2</v>
      </c>
      <c r="E89" s="23">
        <v>0</v>
      </c>
      <c r="F89" s="22" t="s">
        <v>72</v>
      </c>
      <c r="H89" s="25">
        <v>52</v>
      </c>
      <c r="I89" s="26">
        <v>48</v>
      </c>
      <c r="J89" s="27">
        <v>0.57999999999999996</v>
      </c>
      <c r="K89" s="28">
        <v>0.37</v>
      </c>
      <c r="L89" s="29">
        <v>0</v>
      </c>
      <c r="M89" s="26">
        <v>0</v>
      </c>
      <c r="N89" s="29">
        <v>13</v>
      </c>
      <c r="O89" s="26">
        <v>8</v>
      </c>
      <c r="P89" s="29">
        <v>4</v>
      </c>
      <c r="Q89" s="26">
        <v>3</v>
      </c>
      <c r="R89" s="29">
        <v>2</v>
      </c>
      <c r="S89" s="26">
        <v>2</v>
      </c>
      <c r="T89" s="27">
        <v>0.81</v>
      </c>
      <c r="U89" s="30">
        <v>-1.44</v>
      </c>
      <c r="V89" s="31">
        <v>6</v>
      </c>
      <c r="W89" s="26">
        <v>4</v>
      </c>
      <c r="X89" s="29">
        <v>17</v>
      </c>
      <c r="Y89" s="26">
        <v>7</v>
      </c>
      <c r="Z89" s="29">
        <v>447</v>
      </c>
      <c r="AA89" s="26">
        <v>409</v>
      </c>
      <c r="AB89" s="29">
        <v>9</v>
      </c>
      <c r="AC89" s="26">
        <v>19</v>
      </c>
      <c r="AD89" s="29">
        <v>7</v>
      </c>
      <c r="AE89" s="26">
        <v>17</v>
      </c>
      <c r="AF89" s="29">
        <v>3</v>
      </c>
      <c r="AG89" s="26">
        <v>1</v>
      </c>
      <c r="AH89" s="29">
        <v>0</v>
      </c>
      <c r="AI89" s="26">
        <v>0</v>
      </c>
      <c r="AJ89" s="29">
        <v>0</v>
      </c>
      <c r="AK89" s="32">
        <v>0</v>
      </c>
      <c r="AL89" s="33">
        <v>5</v>
      </c>
      <c r="AM89" s="34">
        <f t="shared" si="4"/>
        <v>0.38461538461538464</v>
      </c>
      <c r="AN89" s="35">
        <v>0</v>
      </c>
      <c r="AO89" s="35">
        <v>4</v>
      </c>
      <c r="AP89" s="35">
        <v>4</v>
      </c>
      <c r="AQ89" s="35">
        <v>5</v>
      </c>
      <c r="AR89" s="36">
        <f t="shared" si="5"/>
        <v>0.38461538461538464</v>
      </c>
      <c r="AS89" s="35">
        <v>8</v>
      </c>
      <c r="AT89" s="22">
        <v>4</v>
      </c>
      <c r="AU89" s="22">
        <f t="shared" si="6"/>
        <v>0.5</v>
      </c>
      <c r="AV89" s="22">
        <v>0</v>
      </c>
      <c r="AW89" s="22">
        <v>2</v>
      </c>
      <c r="AX89" s="22">
        <v>2</v>
      </c>
      <c r="AY89" s="22">
        <v>3</v>
      </c>
      <c r="AZ89" s="37">
        <f t="shared" si="7"/>
        <v>0.375</v>
      </c>
      <c r="BA89" s="38">
        <v>5</v>
      </c>
      <c r="BB89" s="39">
        <v>0</v>
      </c>
      <c r="BC89" s="40">
        <v>0</v>
      </c>
      <c r="BD89" s="41">
        <v>1</v>
      </c>
      <c r="BE89" s="42">
        <v>1</v>
      </c>
    </row>
    <row r="90" spans="1:57" x14ac:dyDescent="0.2">
      <c r="A90" s="21">
        <v>45956</v>
      </c>
      <c r="B90" s="22">
        <v>9</v>
      </c>
      <c r="C90" s="22" t="s">
        <v>68</v>
      </c>
      <c r="D90" s="23">
        <v>2</v>
      </c>
      <c r="E90" s="23">
        <v>3</v>
      </c>
      <c r="F90" s="22" t="s">
        <v>67</v>
      </c>
      <c r="H90" s="25">
        <v>57</v>
      </c>
      <c r="I90" s="26">
        <v>43</v>
      </c>
      <c r="J90" s="27">
        <v>2.2799999999999998</v>
      </c>
      <c r="K90" s="28">
        <v>1.43</v>
      </c>
      <c r="L90" s="29">
        <v>3</v>
      </c>
      <c r="M90" s="26">
        <v>2</v>
      </c>
      <c r="N90" s="29">
        <v>15</v>
      </c>
      <c r="O90" s="26">
        <v>11</v>
      </c>
      <c r="P90" s="29">
        <v>4</v>
      </c>
      <c r="Q90" s="26">
        <v>5</v>
      </c>
      <c r="R90" s="29">
        <v>1</v>
      </c>
      <c r="S90" s="26">
        <v>1</v>
      </c>
      <c r="T90" s="27">
        <v>-1.1200000000000001</v>
      </c>
      <c r="U90" s="30">
        <v>0.3</v>
      </c>
      <c r="V90" s="31">
        <v>4</v>
      </c>
      <c r="W90" s="26">
        <v>3</v>
      </c>
      <c r="X90" s="29">
        <v>12</v>
      </c>
      <c r="Y90" s="26">
        <v>7</v>
      </c>
      <c r="Z90" s="29">
        <v>493</v>
      </c>
      <c r="AA90" s="26">
        <v>391</v>
      </c>
      <c r="AB90" s="29">
        <v>14</v>
      </c>
      <c r="AC90" s="26">
        <v>19</v>
      </c>
      <c r="AD90" s="29">
        <v>6</v>
      </c>
      <c r="AE90" s="26">
        <v>12</v>
      </c>
      <c r="AF90" s="29">
        <v>1</v>
      </c>
      <c r="AG90" s="26">
        <v>0</v>
      </c>
      <c r="AH90" s="29">
        <v>1</v>
      </c>
      <c r="AI90" s="26">
        <v>0</v>
      </c>
      <c r="AJ90" s="29">
        <v>0</v>
      </c>
      <c r="AK90" s="32">
        <v>0</v>
      </c>
      <c r="AL90" s="33">
        <v>7</v>
      </c>
      <c r="AM90" s="34">
        <f t="shared" si="4"/>
        <v>0.46666666666666667</v>
      </c>
      <c r="AN90" s="35">
        <v>1</v>
      </c>
      <c r="AO90" s="35">
        <v>6</v>
      </c>
      <c r="AP90" s="35">
        <v>2</v>
      </c>
      <c r="AQ90" s="35">
        <v>10</v>
      </c>
      <c r="AR90" s="36">
        <f t="shared" si="5"/>
        <v>0.66666666666666663</v>
      </c>
      <c r="AS90" s="35">
        <v>5</v>
      </c>
      <c r="AT90" s="22">
        <v>7</v>
      </c>
      <c r="AU90" s="22">
        <f t="shared" si="6"/>
        <v>0.63636363636363635</v>
      </c>
      <c r="AV90" s="22">
        <v>0</v>
      </c>
      <c r="AW90" s="22">
        <v>1</v>
      </c>
      <c r="AX90" s="22">
        <v>3</v>
      </c>
      <c r="AY90" s="22">
        <v>6</v>
      </c>
      <c r="AZ90" s="37">
        <f t="shared" si="7"/>
        <v>0.54545454545454541</v>
      </c>
      <c r="BA90" s="38">
        <v>5</v>
      </c>
      <c r="BB90" s="39">
        <v>0</v>
      </c>
      <c r="BC90" s="40">
        <v>1</v>
      </c>
      <c r="BD90" s="41">
        <v>1</v>
      </c>
      <c r="BE90" s="42">
        <v>0</v>
      </c>
    </row>
    <row r="91" spans="1:57" x14ac:dyDescent="0.2">
      <c r="A91" s="21">
        <v>45956</v>
      </c>
      <c r="B91" s="22">
        <v>9</v>
      </c>
      <c r="C91" s="22" t="s">
        <v>77</v>
      </c>
      <c r="D91" s="23">
        <v>0</v>
      </c>
      <c r="E91" s="23">
        <v>3</v>
      </c>
      <c r="F91" s="22" t="s">
        <v>66</v>
      </c>
      <c r="H91" s="25">
        <v>54</v>
      </c>
      <c r="I91" s="26">
        <v>46</v>
      </c>
      <c r="J91" s="27">
        <v>1.74</v>
      </c>
      <c r="K91" s="28">
        <v>1.72</v>
      </c>
      <c r="L91" s="29">
        <v>3</v>
      </c>
      <c r="M91" s="26">
        <v>4</v>
      </c>
      <c r="N91" s="29">
        <v>12</v>
      </c>
      <c r="O91" s="26">
        <v>7</v>
      </c>
      <c r="P91" s="29">
        <v>1</v>
      </c>
      <c r="Q91" s="26">
        <v>2</v>
      </c>
      <c r="R91" s="29">
        <v>1</v>
      </c>
      <c r="S91" s="26">
        <v>3</v>
      </c>
      <c r="T91" s="27">
        <v>0.23</v>
      </c>
      <c r="U91" s="30">
        <v>1.2</v>
      </c>
      <c r="V91" s="31">
        <v>9</v>
      </c>
      <c r="W91" s="26">
        <v>8</v>
      </c>
      <c r="X91" s="29">
        <v>9</v>
      </c>
      <c r="Y91" s="26">
        <v>8</v>
      </c>
      <c r="Z91" s="29">
        <v>442</v>
      </c>
      <c r="AA91" s="26">
        <v>395</v>
      </c>
      <c r="AB91" s="29">
        <v>19</v>
      </c>
      <c r="AC91" s="26">
        <v>20</v>
      </c>
      <c r="AD91" s="29">
        <v>8</v>
      </c>
      <c r="AE91" s="26">
        <v>9</v>
      </c>
      <c r="AF91" s="29">
        <v>2</v>
      </c>
      <c r="AG91" s="26">
        <v>0</v>
      </c>
      <c r="AH91" s="29">
        <v>0</v>
      </c>
      <c r="AI91" s="26">
        <v>0</v>
      </c>
      <c r="AJ91" s="29">
        <v>0</v>
      </c>
      <c r="AK91" s="32">
        <v>0</v>
      </c>
      <c r="AL91" s="33">
        <v>2</v>
      </c>
      <c r="AM91" s="34">
        <f t="shared" si="4"/>
        <v>0.16666666666666666</v>
      </c>
      <c r="AN91" s="35">
        <v>0</v>
      </c>
      <c r="AO91" s="35">
        <v>5</v>
      </c>
      <c r="AP91" s="35">
        <v>5</v>
      </c>
      <c r="AQ91" s="35">
        <v>8</v>
      </c>
      <c r="AR91" s="36">
        <f t="shared" si="5"/>
        <v>0.66666666666666663</v>
      </c>
      <c r="AS91" s="35">
        <v>4</v>
      </c>
      <c r="AT91" s="22">
        <v>4</v>
      </c>
      <c r="AU91" s="22">
        <f t="shared" si="6"/>
        <v>0.5714285714285714</v>
      </c>
      <c r="AV91" s="22">
        <v>0</v>
      </c>
      <c r="AW91" s="22">
        <v>2</v>
      </c>
      <c r="AX91" s="22">
        <v>1</v>
      </c>
      <c r="AY91" s="22">
        <v>5</v>
      </c>
      <c r="AZ91" s="37">
        <f t="shared" si="7"/>
        <v>0.7142857142857143</v>
      </c>
      <c r="BA91" s="38">
        <v>2</v>
      </c>
      <c r="BB91" s="39">
        <v>1</v>
      </c>
      <c r="BC91" s="40">
        <v>1</v>
      </c>
      <c r="BD91" s="41">
        <v>1</v>
      </c>
      <c r="BE91" s="42">
        <v>0</v>
      </c>
    </row>
    <row r="92" spans="1:57" x14ac:dyDescent="0.2">
      <c r="A92" s="21">
        <v>45962</v>
      </c>
      <c r="B92" s="22">
        <v>10</v>
      </c>
      <c r="C92" s="22" t="s">
        <v>62</v>
      </c>
      <c r="D92" s="23">
        <v>3</v>
      </c>
      <c r="E92" s="23">
        <v>0</v>
      </c>
      <c r="F92" s="22" t="s">
        <v>76</v>
      </c>
      <c r="H92" s="25">
        <v>50</v>
      </c>
      <c r="I92" s="26">
        <v>50</v>
      </c>
      <c r="J92" s="27">
        <v>3.07</v>
      </c>
      <c r="K92" s="28">
        <v>0.5</v>
      </c>
      <c r="L92" s="29">
        <v>3</v>
      </c>
      <c r="M92" s="26">
        <v>1</v>
      </c>
      <c r="N92" s="29">
        <v>14</v>
      </c>
      <c r="O92" s="26">
        <v>5</v>
      </c>
      <c r="P92" s="29">
        <v>2</v>
      </c>
      <c r="Q92" s="26">
        <v>4</v>
      </c>
      <c r="R92" s="29">
        <v>0</v>
      </c>
      <c r="S92" s="26">
        <v>0</v>
      </c>
      <c r="T92" s="27">
        <v>0.88</v>
      </c>
      <c r="U92" s="30">
        <v>1.48</v>
      </c>
      <c r="V92" s="31">
        <v>4</v>
      </c>
      <c r="W92" s="26">
        <v>7</v>
      </c>
      <c r="X92" s="29">
        <v>10</v>
      </c>
      <c r="Y92" s="26">
        <v>7</v>
      </c>
      <c r="Z92" s="29">
        <v>491</v>
      </c>
      <c r="AA92" s="26">
        <v>486</v>
      </c>
      <c r="AB92" s="29">
        <v>24</v>
      </c>
      <c r="AC92" s="26">
        <v>12</v>
      </c>
      <c r="AD92" s="29">
        <v>7</v>
      </c>
      <c r="AE92" s="26">
        <v>10</v>
      </c>
      <c r="AF92" s="29">
        <v>0</v>
      </c>
      <c r="AG92" s="26">
        <v>1</v>
      </c>
      <c r="AH92" s="29">
        <v>0</v>
      </c>
      <c r="AI92" s="26">
        <v>0</v>
      </c>
      <c r="AJ92" s="29">
        <v>0</v>
      </c>
      <c r="AK92" s="32">
        <v>0</v>
      </c>
      <c r="AL92" s="33">
        <v>7</v>
      </c>
      <c r="AM92" s="34">
        <f t="shared" si="4"/>
        <v>0.5</v>
      </c>
      <c r="AN92" s="35">
        <v>0</v>
      </c>
      <c r="AO92" s="35">
        <v>5</v>
      </c>
      <c r="AP92" s="35">
        <v>2</v>
      </c>
      <c r="AQ92" s="35">
        <v>8</v>
      </c>
      <c r="AR92" s="36">
        <f t="shared" si="5"/>
        <v>0.5714285714285714</v>
      </c>
      <c r="AS92" s="35">
        <v>6</v>
      </c>
      <c r="AT92" s="22">
        <v>2</v>
      </c>
      <c r="AU92" s="22">
        <f t="shared" si="6"/>
        <v>0.4</v>
      </c>
      <c r="AV92" s="22">
        <v>0</v>
      </c>
      <c r="AW92" s="22">
        <v>2</v>
      </c>
      <c r="AX92" s="22">
        <v>1</v>
      </c>
      <c r="AY92" s="22">
        <v>3</v>
      </c>
      <c r="AZ92" s="37">
        <f t="shared" si="7"/>
        <v>0.6</v>
      </c>
      <c r="BA92" s="38">
        <v>2</v>
      </c>
      <c r="BB92" s="39">
        <v>0</v>
      </c>
      <c r="BC92" s="40">
        <v>0</v>
      </c>
      <c r="BD92" s="41">
        <v>1</v>
      </c>
      <c r="BE92" s="42">
        <v>1</v>
      </c>
    </row>
    <row r="93" spans="1:57" x14ac:dyDescent="0.2">
      <c r="A93" s="21">
        <v>45962</v>
      </c>
      <c r="B93" s="22">
        <v>10</v>
      </c>
      <c r="C93" s="22" t="s">
        <v>67</v>
      </c>
      <c r="D93" s="23">
        <v>0</v>
      </c>
      <c r="E93" s="23">
        <v>2</v>
      </c>
      <c r="F93" s="22" t="s">
        <v>75</v>
      </c>
      <c r="H93" s="25">
        <v>46</v>
      </c>
      <c r="I93" s="26">
        <v>54</v>
      </c>
      <c r="J93" s="27">
        <v>0.42</v>
      </c>
      <c r="K93" s="28">
        <v>2.42</v>
      </c>
      <c r="L93" s="29">
        <v>1</v>
      </c>
      <c r="M93" s="26">
        <v>4</v>
      </c>
      <c r="N93" s="29">
        <v>3</v>
      </c>
      <c r="O93" s="26">
        <v>12</v>
      </c>
      <c r="P93" s="29">
        <v>5</v>
      </c>
      <c r="Q93" s="26">
        <v>0</v>
      </c>
      <c r="R93" s="29">
        <v>1</v>
      </c>
      <c r="S93" s="26">
        <v>0</v>
      </c>
      <c r="T93" s="27">
        <v>0.57999999999999996</v>
      </c>
      <c r="U93" s="30">
        <v>0</v>
      </c>
      <c r="V93" s="31">
        <v>1</v>
      </c>
      <c r="W93" s="26">
        <v>6</v>
      </c>
      <c r="X93" s="29">
        <v>10</v>
      </c>
      <c r="Y93" s="26">
        <v>13</v>
      </c>
      <c r="Z93" s="29">
        <v>427</v>
      </c>
      <c r="AA93" s="26">
        <v>494</v>
      </c>
      <c r="AB93" s="29">
        <v>14</v>
      </c>
      <c r="AC93" s="26">
        <v>16</v>
      </c>
      <c r="AD93" s="29">
        <v>13</v>
      </c>
      <c r="AE93" s="26">
        <v>10</v>
      </c>
      <c r="AF93" s="29">
        <v>2</v>
      </c>
      <c r="AG93" s="26">
        <v>1</v>
      </c>
      <c r="AH93" s="29">
        <v>0</v>
      </c>
      <c r="AI93" s="26">
        <v>0</v>
      </c>
      <c r="AJ93" s="29">
        <v>0</v>
      </c>
      <c r="AK93" s="32">
        <v>0</v>
      </c>
      <c r="AL93" s="33">
        <v>0</v>
      </c>
      <c r="AM93" s="34">
        <f t="shared" si="4"/>
        <v>0</v>
      </c>
      <c r="AN93" s="35">
        <v>1</v>
      </c>
      <c r="AO93" s="35">
        <v>3</v>
      </c>
      <c r="AP93" s="35">
        <v>0</v>
      </c>
      <c r="AQ93" s="35">
        <v>2</v>
      </c>
      <c r="AR93" s="36">
        <f t="shared" si="5"/>
        <v>0.66666666666666663</v>
      </c>
      <c r="AS93" s="35">
        <v>1</v>
      </c>
      <c r="AT93" s="22">
        <v>8</v>
      </c>
      <c r="AU93" s="22">
        <f t="shared" si="6"/>
        <v>0.66666666666666663</v>
      </c>
      <c r="AV93" s="22">
        <v>0</v>
      </c>
      <c r="AW93" s="22">
        <v>3</v>
      </c>
      <c r="AX93" s="22">
        <v>1</v>
      </c>
      <c r="AY93" s="22">
        <v>9</v>
      </c>
      <c r="AZ93" s="37">
        <f t="shared" si="7"/>
        <v>0.75</v>
      </c>
      <c r="BA93" s="38">
        <v>3</v>
      </c>
      <c r="BB93" s="39">
        <v>2</v>
      </c>
      <c r="BC93" s="40">
        <v>0</v>
      </c>
      <c r="BD93" s="41">
        <v>0</v>
      </c>
      <c r="BE93" s="42">
        <v>0</v>
      </c>
    </row>
    <row r="94" spans="1:57" x14ac:dyDescent="0.2">
      <c r="A94" s="21">
        <v>45962</v>
      </c>
      <c r="B94" s="22">
        <v>10</v>
      </c>
      <c r="C94" s="22" t="s">
        <v>71</v>
      </c>
      <c r="D94" s="23">
        <v>2</v>
      </c>
      <c r="E94" s="23">
        <v>0</v>
      </c>
      <c r="F94" s="22" t="s">
        <v>73</v>
      </c>
      <c r="H94" s="25">
        <v>36</v>
      </c>
      <c r="I94" s="26">
        <v>64</v>
      </c>
      <c r="J94" s="27">
        <v>0.7</v>
      </c>
      <c r="K94" s="28">
        <v>0.54</v>
      </c>
      <c r="L94" s="29">
        <v>1</v>
      </c>
      <c r="M94" s="26">
        <v>1</v>
      </c>
      <c r="N94" s="29">
        <v>10</v>
      </c>
      <c r="O94" s="26">
        <v>6</v>
      </c>
      <c r="P94" s="29">
        <v>2</v>
      </c>
      <c r="Q94" s="26">
        <v>2</v>
      </c>
      <c r="R94" s="29">
        <v>1</v>
      </c>
      <c r="S94" s="26">
        <v>0</v>
      </c>
      <c r="T94" s="27">
        <v>0.77</v>
      </c>
      <c r="U94" s="30">
        <v>-1.18</v>
      </c>
      <c r="V94" s="31">
        <v>6</v>
      </c>
      <c r="W94" s="26">
        <v>5</v>
      </c>
      <c r="X94" s="29">
        <v>7</v>
      </c>
      <c r="Y94" s="26">
        <v>11</v>
      </c>
      <c r="Z94" s="29">
        <v>268</v>
      </c>
      <c r="AA94" s="26">
        <v>493</v>
      </c>
      <c r="AB94" s="29">
        <v>13</v>
      </c>
      <c r="AC94" s="26">
        <v>16</v>
      </c>
      <c r="AD94" s="29">
        <v>11</v>
      </c>
      <c r="AE94" s="26">
        <v>7</v>
      </c>
      <c r="AF94" s="29">
        <v>0</v>
      </c>
      <c r="AG94" s="26">
        <v>3</v>
      </c>
      <c r="AH94" s="29">
        <v>0</v>
      </c>
      <c r="AI94" s="26">
        <v>0</v>
      </c>
      <c r="AJ94" s="29">
        <v>0</v>
      </c>
      <c r="AK94" s="32">
        <v>0</v>
      </c>
      <c r="AL94" s="33">
        <v>3</v>
      </c>
      <c r="AM94" s="34">
        <f t="shared" si="4"/>
        <v>0.3</v>
      </c>
      <c r="AN94" s="35">
        <v>1</v>
      </c>
      <c r="AO94" s="35">
        <v>3</v>
      </c>
      <c r="AP94" s="35">
        <v>4</v>
      </c>
      <c r="AQ94" s="35">
        <v>6</v>
      </c>
      <c r="AR94" s="36">
        <f t="shared" si="5"/>
        <v>0.6</v>
      </c>
      <c r="AS94" s="35">
        <v>4</v>
      </c>
      <c r="AT94" s="22">
        <v>2</v>
      </c>
      <c r="AU94" s="22">
        <f t="shared" si="6"/>
        <v>0.33333333333333331</v>
      </c>
      <c r="AV94" s="22">
        <v>0</v>
      </c>
      <c r="AW94" s="22">
        <v>2</v>
      </c>
      <c r="AX94" s="22">
        <v>2</v>
      </c>
      <c r="AY94" s="22">
        <v>2</v>
      </c>
      <c r="AZ94" s="37">
        <f t="shared" si="7"/>
        <v>0.33333333333333331</v>
      </c>
      <c r="BA94" s="38">
        <v>4</v>
      </c>
      <c r="BB94" s="39">
        <v>0</v>
      </c>
      <c r="BC94" s="40">
        <v>0</v>
      </c>
      <c r="BD94" s="41">
        <v>1</v>
      </c>
      <c r="BE94" s="42">
        <v>0</v>
      </c>
    </row>
    <row r="95" spans="1:57" x14ac:dyDescent="0.2">
      <c r="A95" s="21">
        <v>45962</v>
      </c>
      <c r="B95" s="22">
        <v>10</v>
      </c>
      <c r="C95" s="22" t="s">
        <v>63</v>
      </c>
      <c r="D95" s="23">
        <v>3</v>
      </c>
      <c r="E95" s="23">
        <v>0</v>
      </c>
      <c r="F95" s="26" t="s">
        <v>68</v>
      </c>
      <c r="G95" s="43" t="s">
        <v>86</v>
      </c>
      <c r="H95" s="25">
        <v>63</v>
      </c>
      <c r="I95" s="26">
        <v>37</v>
      </c>
      <c r="J95" s="27">
        <v>1.39</v>
      </c>
      <c r="K95" s="28">
        <v>0.24</v>
      </c>
      <c r="L95" s="29">
        <v>2</v>
      </c>
      <c r="M95" s="26">
        <v>1</v>
      </c>
      <c r="N95" s="29">
        <v>19</v>
      </c>
      <c r="O95" s="26">
        <v>5</v>
      </c>
      <c r="P95" s="29">
        <v>2</v>
      </c>
      <c r="Q95" s="26">
        <v>4</v>
      </c>
      <c r="R95" s="29">
        <v>0</v>
      </c>
      <c r="S95" s="26">
        <v>3</v>
      </c>
      <c r="T95" s="27">
        <v>0.1</v>
      </c>
      <c r="U95" s="30">
        <v>-1.08</v>
      </c>
      <c r="V95" s="31">
        <v>10</v>
      </c>
      <c r="W95" s="26">
        <v>1</v>
      </c>
      <c r="X95" s="29">
        <v>13</v>
      </c>
      <c r="Y95" s="26">
        <v>14</v>
      </c>
      <c r="Z95" s="29">
        <v>549</v>
      </c>
      <c r="AA95" s="26">
        <v>316</v>
      </c>
      <c r="AB95" s="29">
        <v>6</v>
      </c>
      <c r="AC95" s="26">
        <v>17</v>
      </c>
      <c r="AD95" s="29">
        <v>14</v>
      </c>
      <c r="AE95" s="26">
        <v>13</v>
      </c>
      <c r="AF95" s="29">
        <v>1</v>
      </c>
      <c r="AG95" s="26">
        <v>3</v>
      </c>
      <c r="AH95" s="29">
        <v>0</v>
      </c>
      <c r="AI95" s="26">
        <v>1</v>
      </c>
      <c r="AJ95" s="29">
        <v>0</v>
      </c>
      <c r="AK95" s="32">
        <v>0</v>
      </c>
      <c r="AL95" s="33">
        <v>6</v>
      </c>
      <c r="AM95" s="34">
        <f t="shared" si="4"/>
        <v>0.31578947368421051</v>
      </c>
      <c r="AN95" s="35">
        <v>1</v>
      </c>
      <c r="AO95" s="35">
        <v>5</v>
      </c>
      <c r="AP95" s="35">
        <v>8</v>
      </c>
      <c r="AQ95" s="35">
        <v>11</v>
      </c>
      <c r="AR95" s="36">
        <f t="shared" si="5"/>
        <v>0.57894736842105265</v>
      </c>
      <c r="AS95" s="35">
        <v>8</v>
      </c>
      <c r="AT95" s="22">
        <v>2</v>
      </c>
      <c r="AU95" s="22">
        <f t="shared" si="6"/>
        <v>0.4</v>
      </c>
      <c r="AV95" s="22">
        <v>0</v>
      </c>
      <c r="AW95" s="22">
        <v>2</v>
      </c>
      <c r="AX95" s="22">
        <v>1</v>
      </c>
      <c r="AY95" s="22">
        <v>3</v>
      </c>
      <c r="AZ95" s="37">
        <f t="shared" si="7"/>
        <v>0.6</v>
      </c>
      <c r="BA95" s="38">
        <v>2</v>
      </c>
      <c r="BB95" s="39">
        <v>0</v>
      </c>
      <c r="BC95" s="40">
        <v>0</v>
      </c>
      <c r="BD95" s="41">
        <v>0</v>
      </c>
      <c r="BE95" s="42">
        <v>0</v>
      </c>
    </row>
    <row r="96" spans="1:57" x14ac:dyDescent="0.2">
      <c r="A96" s="21">
        <v>45962</v>
      </c>
      <c r="B96" s="22">
        <v>10</v>
      </c>
      <c r="C96" s="22" t="s">
        <v>72</v>
      </c>
      <c r="D96" s="23">
        <v>2</v>
      </c>
      <c r="E96" s="23">
        <v>2</v>
      </c>
      <c r="F96" s="22" t="s">
        <v>74</v>
      </c>
      <c r="H96" s="25">
        <v>41</v>
      </c>
      <c r="I96" s="26">
        <v>59</v>
      </c>
      <c r="J96" s="27">
        <v>1.93</v>
      </c>
      <c r="K96" s="28">
        <v>1.1200000000000001</v>
      </c>
      <c r="L96" s="29">
        <v>1</v>
      </c>
      <c r="M96" s="26">
        <v>0</v>
      </c>
      <c r="N96" s="29">
        <v>17</v>
      </c>
      <c r="O96" s="26">
        <v>18</v>
      </c>
      <c r="P96" s="29">
        <v>4</v>
      </c>
      <c r="Q96" s="26">
        <v>1</v>
      </c>
      <c r="R96" s="29">
        <v>1</v>
      </c>
      <c r="S96" s="26">
        <v>0</v>
      </c>
      <c r="T96" s="27">
        <v>-0.57999999999999996</v>
      </c>
      <c r="U96" s="30">
        <v>-0.44</v>
      </c>
      <c r="V96" s="31">
        <v>8</v>
      </c>
      <c r="W96" s="26">
        <v>5</v>
      </c>
      <c r="X96" s="29">
        <v>10</v>
      </c>
      <c r="Y96" s="26">
        <v>7</v>
      </c>
      <c r="Z96" s="29">
        <v>350</v>
      </c>
      <c r="AA96" s="26">
        <v>525</v>
      </c>
      <c r="AB96" s="29">
        <v>17</v>
      </c>
      <c r="AC96" s="26">
        <v>12</v>
      </c>
      <c r="AD96" s="29">
        <v>7</v>
      </c>
      <c r="AE96" s="26">
        <v>10</v>
      </c>
      <c r="AF96" s="29">
        <v>1</v>
      </c>
      <c r="AG96" s="26">
        <v>1</v>
      </c>
      <c r="AH96" s="29">
        <v>0</v>
      </c>
      <c r="AI96" s="26">
        <v>0</v>
      </c>
      <c r="AJ96" s="29">
        <v>0</v>
      </c>
      <c r="AK96" s="32">
        <v>0</v>
      </c>
      <c r="AL96" s="33">
        <v>3</v>
      </c>
      <c r="AM96" s="34">
        <f t="shared" si="4"/>
        <v>0.17647058823529413</v>
      </c>
      <c r="AN96" s="35">
        <v>0</v>
      </c>
      <c r="AO96" s="35">
        <v>8</v>
      </c>
      <c r="AP96" s="35">
        <v>6</v>
      </c>
      <c r="AQ96" s="35">
        <v>11</v>
      </c>
      <c r="AR96" s="36">
        <f t="shared" si="5"/>
        <v>0.6470588235294118</v>
      </c>
      <c r="AS96" s="35">
        <v>6</v>
      </c>
      <c r="AT96" s="22">
        <v>7</v>
      </c>
      <c r="AU96" s="22">
        <f t="shared" si="6"/>
        <v>0.3888888888888889</v>
      </c>
      <c r="AV96" s="22">
        <v>1</v>
      </c>
      <c r="AW96" s="22">
        <v>6</v>
      </c>
      <c r="AX96" s="22">
        <v>5</v>
      </c>
      <c r="AY96" s="22">
        <v>8</v>
      </c>
      <c r="AZ96" s="37">
        <f t="shared" si="7"/>
        <v>0.44444444444444442</v>
      </c>
      <c r="BA96" s="38">
        <v>10</v>
      </c>
      <c r="BB96" s="39">
        <v>0</v>
      </c>
      <c r="BC96" s="40">
        <v>0</v>
      </c>
      <c r="BD96" s="41">
        <v>1</v>
      </c>
      <c r="BE96" s="42">
        <v>0</v>
      </c>
    </row>
    <row r="97" spans="1:57" x14ac:dyDescent="0.2">
      <c r="A97" s="21">
        <v>45962</v>
      </c>
      <c r="B97" s="22">
        <v>10</v>
      </c>
      <c r="C97" s="22" t="s">
        <v>66</v>
      </c>
      <c r="D97" s="23">
        <v>0</v>
      </c>
      <c r="E97" s="23">
        <v>1</v>
      </c>
      <c r="F97" s="22" t="s">
        <v>70</v>
      </c>
      <c r="H97" s="25">
        <v>48</v>
      </c>
      <c r="I97" s="26">
        <v>52</v>
      </c>
      <c r="J97" s="27">
        <v>0.1</v>
      </c>
      <c r="K97" s="28">
        <v>3.68</v>
      </c>
      <c r="L97" s="29">
        <v>0</v>
      </c>
      <c r="M97" s="26">
        <v>6</v>
      </c>
      <c r="N97" s="29">
        <v>3</v>
      </c>
      <c r="O97" s="26">
        <v>15</v>
      </c>
      <c r="P97" s="29">
        <v>8</v>
      </c>
      <c r="Q97" s="26">
        <v>1</v>
      </c>
      <c r="R97" s="29">
        <v>1</v>
      </c>
      <c r="S97" s="26">
        <v>1</v>
      </c>
      <c r="T97" s="27">
        <v>2.17</v>
      </c>
      <c r="U97" s="30">
        <v>0.16</v>
      </c>
      <c r="V97" s="31">
        <v>6</v>
      </c>
      <c r="W97" s="26">
        <v>5</v>
      </c>
      <c r="X97" s="29">
        <v>14</v>
      </c>
      <c r="Y97" s="26">
        <v>12</v>
      </c>
      <c r="Z97" s="29">
        <v>387</v>
      </c>
      <c r="AA97" s="26">
        <v>425</v>
      </c>
      <c r="AB97" s="29">
        <v>30</v>
      </c>
      <c r="AC97" s="26">
        <v>20</v>
      </c>
      <c r="AD97" s="29">
        <v>12</v>
      </c>
      <c r="AE97" s="26">
        <v>14</v>
      </c>
      <c r="AF97" s="29">
        <v>4</v>
      </c>
      <c r="AG97" s="26">
        <v>2</v>
      </c>
      <c r="AH97" s="29">
        <v>0</v>
      </c>
      <c r="AI97" s="26">
        <v>0</v>
      </c>
      <c r="AJ97" s="29">
        <v>0</v>
      </c>
      <c r="AK97" s="32">
        <v>0</v>
      </c>
      <c r="AL97" s="33">
        <v>1</v>
      </c>
      <c r="AM97" s="34">
        <f t="shared" si="4"/>
        <v>0.33333333333333331</v>
      </c>
      <c r="AN97" s="35">
        <v>0</v>
      </c>
      <c r="AO97" s="35">
        <v>1</v>
      </c>
      <c r="AP97" s="35">
        <v>1</v>
      </c>
      <c r="AQ97" s="35">
        <v>2</v>
      </c>
      <c r="AR97" s="36">
        <f t="shared" si="5"/>
        <v>0.66666666666666663</v>
      </c>
      <c r="AS97" s="35">
        <v>1</v>
      </c>
      <c r="AT97" s="22">
        <v>9</v>
      </c>
      <c r="AU97" s="22">
        <f t="shared" si="6"/>
        <v>0.6</v>
      </c>
      <c r="AV97" s="22">
        <v>0</v>
      </c>
      <c r="AW97" s="22">
        <v>5</v>
      </c>
      <c r="AX97" s="22">
        <v>1</v>
      </c>
      <c r="AY97" s="22">
        <v>12</v>
      </c>
      <c r="AZ97" s="37">
        <f t="shared" si="7"/>
        <v>0.8</v>
      </c>
      <c r="BA97" s="38">
        <v>3</v>
      </c>
      <c r="BB97" s="39">
        <v>2</v>
      </c>
      <c r="BC97" s="40">
        <v>1</v>
      </c>
      <c r="BD97" s="41">
        <v>1</v>
      </c>
      <c r="BE97" s="42">
        <v>0</v>
      </c>
    </row>
    <row r="98" spans="1:57" x14ac:dyDescent="0.2">
      <c r="A98" s="21">
        <v>45962</v>
      </c>
      <c r="B98" s="22">
        <v>10</v>
      </c>
      <c r="C98" s="22" t="s">
        <v>57</v>
      </c>
      <c r="D98" s="23">
        <v>2</v>
      </c>
      <c r="E98" s="23">
        <v>0</v>
      </c>
      <c r="F98" s="22" t="s">
        <v>59</v>
      </c>
      <c r="H98" s="25">
        <v>53</v>
      </c>
      <c r="I98" s="26">
        <v>47</v>
      </c>
      <c r="J98" s="27">
        <v>1.19</v>
      </c>
      <c r="K98" s="28">
        <v>0.41</v>
      </c>
      <c r="L98" s="29">
        <v>4</v>
      </c>
      <c r="M98" s="26">
        <v>0</v>
      </c>
      <c r="N98" s="29">
        <v>16</v>
      </c>
      <c r="O98" s="26">
        <v>10</v>
      </c>
      <c r="P98" s="29">
        <v>3</v>
      </c>
      <c r="Q98" s="26">
        <v>2</v>
      </c>
      <c r="R98" s="29">
        <v>2</v>
      </c>
      <c r="S98" s="26">
        <v>1</v>
      </c>
      <c r="T98" s="27">
        <v>0.3</v>
      </c>
      <c r="U98" s="30">
        <v>-0.99</v>
      </c>
      <c r="V98" s="31">
        <v>1</v>
      </c>
      <c r="W98" s="26">
        <v>4</v>
      </c>
      <c r="X98" s="29">
        <v>13</v>
      </c>
      <c r="Y98" s="26">
        <v>11</v>
      </c>
      <c r="Z98" s="29">
        <v>467</v>
      </c>
      <c r="AA98" s="26">
        <v>398</v>
      </c>
      <c r="AB98" s="29">
        <v>12</v>
      </c>
      <c r="AC98" s="26">
        <v>11</v>
      </c>
      <c r="AD98" s="29">
        <v>11</v>
      </c>
      <c r="AE98" s="26">
        <v>13</v>
      </c>
      <c r="AF98" s="29">
        <v>2</v>
      </c>
      <c r="AG98" s="26">
        <v>3</v>
      </c>
      <c r="AH98" s="29">
        <v>0</v>
      </c>
      <c r="AI98" s="26">
        <v>0</v>
      </c>
      <c r="AJ98" s="29">
        <v>0</v>
      </c>
      <c r="AK98" s="32">
        <v>0</v>
      </c>
      <c r="AL98" s="33">
        <v>4</v>
      </c>
      <c r="AM98" s="34">
        <f t="shared" si="4"/>
        <v>0.25</v>
      </c>
      <c r="AN98" s="35">
        <v>0</v>
      </c>
      <c r="AO98" s="35">
        <v>7</v>
      </c>
      <c r="AP98" s="35">
        <v>5</v>
      </c>
      <c r="AQ98" s="35">
        <v>7</v>
      </c>
      <c r="AR98" s="36">
        <f t="shared" si="5"/>
        <v>0.4375</v>
      </c>
      <c r="AS98" s="35">
        <v>9</v>
      </c>
      <c r="AT98" s="22">
        <v>6</v>
      </c>
      <c r="AU98" s="22">
        <f t="shared" si="6"/>
        <v>0.6</v>
      </c>
      <c r="AV98" s="22">
        <v>1</v>
      </c>
      <c r="AW98" s="22">
        <v>6</v>
      </c>
      <c r="AX98" s="22">
        <v>1</v>
      </c>
      <c r="AY98" s="22">
        <v>4</v>
      </c>
      <c r="AZ98" s="37">
        <f t="shared" si="7"/>
        <v>0.4</v>
      </c>
      <c r="BA98" s="38">
        <v>6</v>
      </c>
      <c r="BB98" s="39">
        <v>1</v>
      </c>
      <c r="BC98" s="40">
        <v>0</v>
      </c>
      <c r="BD98" s="41">
        <v>2</v>
      </c>
      <c r="BE98" s="42">
        <v>1</v>
      </c>
    </row>
    <row r="99" spans="1:57" x14ac:dyDescent="0.2">
      <c r="A99" s="21">
        <v>45963</v>
      </c>
      <c r="B99" s="22">
        <v>10</v>
      </c>
      <c r="C99" s="22" t="s">
        <v>65</v>
      </c>
      <c r="D99" s="23">
        <v>3</v>
      </c>
      <c r="E99" s="23">
        <v>1</v>
      </c>
      <c r="F99" s="22" t="s">
        <v>60</v>
      </c>
      <c r="H99" s="25">
        <v>37</v>
      </c>
      <c r="I99" s="26">
        <v>63</v>
      </c>
      <c r="J99" s="27">
        <v>1.75</v>
      </c>
      <c r="K99" s="28">
        <v>0.52</v>
      </c>
      <c r="L99" s="29">
        <v>2</v>
      </c>
      <c r="M99" s="26">
        <v>0</v>
      </c>
      <c r="N99" s="29">
        <v>15</v>
      </c>
      <c r="O99" s="26">
        <v>12</v>
      </c>
      <c r="P99" s="29">
        <v>3</v>
      </c>
      <c r="Q99" s="26">
        <v>7</v>
      </c>
      <c r="R99" s="29">
        <v>3</v>
      </c>
      <c r="S99" s="26">
        <v>2</v>
      </c>
      <c r="T99" s="27">
        <v>-0.21</v>
      </c>
      <c r="U99" s="30">
        <v>-1.07</v>
      </c>
      <c r="V99" s="31">
        <v>7</v>
      </c>
      <c r="W99" s="26">
        <v>6</v>
      </c>
      <c r="X99" s="29">
        <v>5</v>
      </c>
      <c r="Y99" s="26">
        <v>10</v>
      </c>
      <c r="Z99" s="29">
        <v>320</v>
      </c>
      <c r="AA99" s="26">
        <v>545</v>
      </c>
      <c r="AB99" s="29">
        <v>21</v>
      </c>
      <c r="AC99" s="26">
        <v>8</v>
      </c>
      <c r="AD99" s="29">
        <v>10</v>
      </c>
      <c r="AE99" s="26">
        <v>5</v>
      </c>
      <c r="AF99" s="29">
        <v>1</v>
      </c>
      <c r="AG99" s="26">
        <v>2</v>
      </c>
      <c r="AH99" s="29">
        <v>0</v>
      </c>
      <c r="AI99" s="26">
        <v>0</v>
      </c>
      <c r="AJ99" s="29">
        <v>0</v>
      </c>
      <c r="AK99" s="32">
        <v>0</v>
      </c>
      <c r="AL99" s="33">
        <v>9</v>
      </c>
      <c r="AM99" s="34">
        <f t="shared" si="4"/>
        <v>0.6</v>
      </c>
      <c r="AN99" s="35">
        <v>1</v>
      </c>
      <c r="AO99" s="35">
        <v>3</v>
      </c>
      <c r="AP99" s="35">
        <v>3</v>
      </c>
      <c r="AQ99" s="35">
        <v>10</v>
      </c>
      <c r="AR99" s="36">
        <f t="shared" si="5"/>
        <v>0.66666666666666663</v>
      </c>
      <c r="AS99" s="35">
        <v>5</v>
      </c>
      <c r="AT99" s="22">
        <v>4</v>
      </c>
      <c r="AU99" s="22">
        <f t="shared" si="6"/>
        <v>0.33333333333333331</v>
      </c>
      <c r="AV99" s="22">
        <v>0</v>
      </c>
      <c r="AW99" s="22">
        <v>6</v>
      </c>
      <c r="AX99" s="22">
        <v>2</v>
      </c>
      <c r="AY99" s="22">
        <v>6</v>
      </c>
      <c r="AZ99" s="37">
        <f t="shared" si="7"/>
        <v>0.5</v>
      </c>
      <c r="BA99" s="38">
        <v>6</v>
      </c>
      <c r="BB99" s="39">
        <v>0</v>
      </c>
      <c r="BC99" s="40">
        <v>0</v>
      </c>
      <c r="BD99" s="41">
        <v>1</v>
      </c>
      <c r="BE99" s="42">
        <v>1</v>
      </c>
    </row>
    <row r="100" spans="1:57" x14ac:dyDescent="0.2">
      <c r="A100" s="21">
        <v>45963</v>
      </c>
      <c r="B100" s="22">
        <v>10</v>
      </c>
      <c r="C100" s="22" t="s">
        <v>69</v>
      </c>
      <c r="D100" s="23">
        <v>3</v>
      </c>
      <c r="E100" s="23">
        <v>1</v>
      </c>
      <c r="F100" s="22" t="s">
        <v>58</v>
      </c>
      <c r="H100" s="25">
        <v>48</v>
      </c>
      <c r="I100" s="26">
        <v>52</v>
      </c>
      <c r="J100" s="27">
        <v>2.2200000000000002</v>
      </c>
      <c r="K100" s="28">
        <v>0.72</v>
      </c>
      <c r="L100" s="29">
        <v>4</v>
      </c>
      <c r="M100" s="26">
        <v>1</v>
      </c>
      <c r="N100" s="29">
        <v>15</v>
      </c>
      <c r="O100" s="26">
        <v>8</v>
      </c>
      <c r="P100" s="29">
        <v>4</v>
      </c>
      <c r="Q100" s="26">
        <v>4</v>
      </c>
      <c r="R100" s="29">
        <v>1</v>
      </c>
      <c r="S100" s="26">
        <v>0</v>
      </c>
      <c r="T100" s="27">
        <v>0.54</v>
      </c>
      <c r="U100" s="30">
        <v>-1.61</v>
      </c>
      <c r="V100" s="31">
        <v>9</v>
      </c>
      <c r="W100" s="26">
        <v>4</v>
      </c>
      <c r="X100" s="29">
        <v>8</v>
      </c>
      <c r="Y100" s="26">
        <v>11</v>
      </c>
      <c r="Z100" s="29">
        <v>493</v>
      </c>
      <c r="AA100" s="26">
        <v>521</v>
      </c>
      <c r="AB100" s="29">
        <v>10</v>
      </c>
      <c r="AC100" s="26">
        <v>23</v>
      </c>
      <c r="AD100" s="29">
        <v>11</v>
      </c>
      <c r="AE100" s="26">
        <v>8</v>
      </c>
      <c r="AF100" s="29">
        <v>2</v>
      </c>
      <c r="AG100" s="26">
        <v>2</v>
      </c>
      <c r="AH100" s="29">
        <v>0</v>
      </c>
      <c r="AI100" s="26">
        <v>0</v>
      </c>
      <c r="AJ100" s="29">
        <v>0</v>
      </c>
      <c r="AK100" s="32">
        <v>0</v>
      </c>
      <c r="AL100" s="33">
        <v>8</v>
      </c>
      <c r="AM100" s="34">
        <f t="shared" si="4"/>
        <v>0.53333333333333333</v>
      </c>
      <c r="AN100" s="35">
        <v>0</v>
      </c>
      <c r="AO100" s="35">
        <v>4</v>
      </c>
      <c r="AP100" s="35">
        <v>3</v>
      </c>
      <c r="AQ100" s="35">
        <v>13</v>
      </c>
      <c r="AR100" s="36">
        <f t="shared" si="5"/>
        <v>0.8666666666666667</v>
      </c>
      <c r="AS100" s="35">
        <v>2</v>
      </c>
      <c r="AT100" s="22">
        <v>5</v>
      </c>
      <c r="AU100" s="22">
        <f t="shared" si="6"/>
        <v>0.625</v>
      </c>
      <c r="AV100" s="22">
        <v>0</v>
      </c>
      <c r="AW100" s="22">
        <v>2</v>
      </c>
      <c r="AX100" s="22">
        <v>1</v>
      </c>
      <c r="AY100" s="22">
        <v>4</v>
      </c>
      <c r="AZ100" s="37">
        <f t="shared" si="7"/>
        <v>0.5</v>
      </c>
      <c r="BA100" s="38">
        <v>4</v>
      </c>
      <c r="BB100" s="39">
        <v>0</v>
      </c>
      <c r="BC100" s="40">
        <v>1</v>
      </c>
      <c r="BD100" s="41">
        <v>0</v>
      </c>
      <c r="BE100" s="42">
        <v>0</v>
      </c>
    </row>
  </sheetData>
  <autoFilter ref="A1:BE101" xr:uid="{19D99939-5B38-44D4-8E1E-101BE4A64AE2}"/>
  <conditionalFormatting sqref="J2:K1048576">
    <cfRule type="cellIs" dxfId="20" priority="8" operator="greaterThan">
      <formula>1.79</formula>
    </cfRule>
    <cfRule type="cellIs" dxfId="19" priority="9" operator="greaterThan">
      <formula>1.19</formula>
    </cfRule>
  </conditionalFormatting>
  <conditionalFormatting sqref="L2:M1048576">
    <cfRule type="cellIs" dxfId="18" priority="10" operator="greaterThan">
      <formula>4</formula>
    </cfRule>
    <cfRule type="cellIs" dxfId="17" priority="11" operator="greaterThan">
      <formula>2</formula>
    </cfRule>
  </conditionalFormatting>
  <conditionalFormatting sqref="T1:U1048576">
    <cfRule type="cellIs" dxfId="16" priority="2" operator="lessThan">
      <formula>-0.1</formula>
    </cfRule>
  </conditionalFormatting>
  <conditionalFormatting sqref="AH1:AK1048576">
    <cfRule type="cellIs" dxfId="15" priority="1" operator="greaterThan">
      <formula>0</formula>
    </cfRule>
  </conditionalFormatting>
  <conditionalFormatting sqref="AL2:AL1048576">
    <cfRule type="cellIs" dxfId="14" priority="20" operator="greaterThan">
      <formula>7</formula>
    </cfRule>
    <cfRule type="cellIs" dxfId="13" priority="21" operator="greaterThan">
      <formula>4</formula>
    </cfRule>
  </conditionalFormatting>
  <conditionalFormatting sqref="AM2:AM1048576">
    <cfRule type="cellIs" dxfId="12" priority="12" operator="greaterThan">
      <formula>0.49</formula>
    </cfRule>
    <cfRule type="cellIs" dxfId="11" priority="13" operator="greaterThan">
      <formula>0.29</formula>
    </cfRule>
  </conditionalFormatting>
  <conditionalFormatting sqref="AR2:AR71">
    <cfRule type="cellIs" dxfId="10" priority="18" operator="greaterThan">
      <formula>0.79</formula>
    </cfRule>
    <cfRule type="cellIs" dxfId="9" priority="19" operator="greaterThan">
      <formula>0.59</formula>
    </cfRule>
  </conditionalFormatting>
  <conditionalFormatting sqref="AT2:AT1048576">
    <cfRule type="cellIs" dxfId="8" priority="14" operator="greaterThan">
      <formula>5</formula>
    </cfRule>
    <cfRule type="cellIs" dxfId="7" priority="15" operator="greaterThan">
      <formula>2</formula>
    </cfRule>
  </conditionalFormatting>
  <conditionalFormatting sqref="AU2:AU1048576">
    <cfRule type="cellIs" dxfId="6" priority="16" operator="greaterThan">
      <formula>0.49</formula>
    </cfRule>
    <cfRule type="cellIs" dxfId="5" priority="17" operator="greaterThan">
      <formula>0.29</formula>
    </cfRule>
  </conditionalFormatting>
  <conditionalFormatting sqref="AZ2:AZ1048576">
    <cfRule type="cellIs" dxfId="4" priority="6" operator="greaterThan">
      <formula>0.79</formula>
    </cfRule>
    <cfRule type="cellIs" dxfId="3" priority="7" operator="greaterThan">
      <formula>0.59</formula>
    </cfRule>
  </conditionalFormatting>
  <conditionalFormatting sqref="BB2:BB1048576 BD2:BD1048576">
    <cfRule type="cellIs" dxfId="2" priority="3" operator="greaterThan">
      <formula>1</formula>
    </cfRule>
    <cfRule type="cellIs" dxfId="1" priority="4" operator="greaterThan">
      <formula>0</formula>
    </cfRule>
  </conditionalFormatting>
  <conditionalFormatting sqref="BC2:BC1048576 BE2:BE1048576">
    <cfRule type="cellIs" dxfId="0" priority="5" operator="greaterThan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İstatistikler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San, Emir (Student)</dc:creator>
  <cp:lastModifiedBy>San, Emir (Student)</cp:lastModifiedBy>
  <dcterms:created xsi:type="dcterms:W3CDTF">2025-12-02T15:34:34Z</dcterms:created>
  <dcterms:modified xsi:type="dcterms:W3CDTF">2025-12-02T15:34:44Z</dcterms:modified>
</cp:coreProperties>
</file>